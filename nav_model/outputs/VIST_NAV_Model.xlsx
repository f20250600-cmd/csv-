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ME" sheetId="2" state="visible" r:id="rId4"/>
    <sheet name="Inputs" sheetId="3" state="visible" r:id="rId5"/>
    <sheet name="Model" sheetId="4" state="visible" r:id="rId6"/>
    <sheet name="Cohorts" sheetId="5" state="visible" r:id="rId7"/>
  </sheets>
  <definedNames>
    <definedName function="false" hidden="false" name="BaseRate" vbProcedure="false">Inputs!$B$34</definedName>
    <definedName function="false" hidden="false" name="BrentLR" vbProcedure="false">Inputs!$F$19</definedName>
    <definedName function="false" hidden="false" name="BrentLRBase" vbProcedure="false">Inputs!$C$19</definedName>
    <definedName function="false" hidden="false" name="BrentShift" vbProcedure="false">Inputs!$B$5</definedName>
    <definedName function="false" hidden="false" name="CostEsc" vbProcedure="false">Inputs!$B$31</definedName>
    <definedName function="false" hidden="false" name="Disc" vbProcedure="false">Inputs!$B$6</definedName>
    <definedName function="false" hidden="false" name="EUR" vbProcedure="false">Inputs!$B$9</definedName>
    <definedName function="false" hidden="false" name="ExportDuty" vbProcedure="false">Inputs!$B$8</definedName>
    <definedName function="false" hidden="false" name="Facilities" vbProcedure="false">Inputs!$B$32</definedName>
    <definedName function="false" hidden="false" name="FlowRate" vbProcedure="false">Inputs!$B$47</definedName>
    <definedName function="false" hidden="false" name="Fut1" vbProcedure="false">Inputs!$B$15</definedName>
    <definedName function="false" hidden="false" name="Fut2" vbProcedure="false">Inputs!$C$15</definedName>
    <definedName function="false" hidden="false" name="Fut3" vbProcedure="false">Inputs!$D$15</definedName>
    <definedName function="false" hidden="false" name="GasBoe" vbProcedure="false">Inputs!$B$25</definedName>
    <definedName function="false" hidden="false" name="GNA" vbProcedure="false">Inputs!$B$30</definedName>
    <definedName function="false" hidden="false" name="Infl" vbProcedure="false">Inputs!$B$16</definedName>
    <definedName function="false" hidden="false" name="Inventory" vbProcedure="false">Inputs!$B$11</definedName>
    <definedName function="false" hidden="false" name="Lifting" vbProcedure="false">Inputs!$B$28</definedName>
    <definedName function="false" hidden="false" name="NetDebt" vbProcedure="false">Inputs!$B$43</definedName>
    <definedName function="false" hidden="false" name="OilDisc" vbProcedure="false">Inputs!$B$24</definedName>
    <definedName function="false" hidden="false" name="OilShare" vbProcedure="false">Inputs!$B$23</definedName>
    <definedName function="false" hidden="false" name="OtherClaims" vbProcedure="false">Inputs!$B$44</definedName>
    <definedName function="false" hidden="false" name="Price" vbProcedure="false">Inputs!$B$46</definedName>
    <definedName function="false" hidden="false" name="PUDWells" vbProcedure="false">Inputs!$B$12</definedName>
    <definedName function="false" hidden="false" name="Royalty" vbProcedure="false">Inputs!$B$26</definedName>
    <definedName function="false" hidden="false" name="Scenario" vbProcedure="false">Inputs!$B$4</definedName>
    <definedName function="false" hidden="false" name="Shares" vbProcedure="false">Inputs!$B$45</definedName>
    <definedName function="false" hidden="false" name="TailDecl" vbProcedure="false">Inputs!$B$37</definedName>
    <definedName function="false" hidden="false" name="TaxBasis" vbProcedure="false">Inputs!$B$41</definedName>
    <definedName function="false" hidden="false" name="TaxLife" vbProcedure="false">Inputs!$B$42</definedName>
    <definedName function="false" hidden="false" name="TaxRate" vbProcedure="false">Inputs!$B$40</definedName>
    <definedName function="false" hidden="false" name="Transport" vbProcedure="false">Inputs!$B$29</definedName>
    <definedName function="false" hidden="false" name="Turnover" vbProcedure="false">Inputs!$B$27</definedName>
    <definedName function="false" hidden="false" name="UnbRisk" vbProcedure="false">Inputs!$B$7</definedName>
    <definedName function="false" hidden="false" name="WC1" vbProcedure="false">Inputs!$B$33</definedName>
    <definedName function="false" hidden="false" name="WC2" vbProcedure="false">Inputs!$C$33</definedName>
    <definedName function="false" hidden="false" name="WC3" vbProcedure="false">Inputs!$D$33</definedName>
    <definedName function="false" hidden="false" name="WellCostMult" vbProcedure="false">Inputs!$B$10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<sst xmlns="http://schemas.openxmlformats.org/spreadsheetml/2006/main" count="269" uniqueCount="172">
  <si>
    <t xml:space="preserve">VIST - SUMMARY (recalculates from Inputs)</t>
  </si>
  <si>
    <t xml:space="preserve">PV producing base ($mm)</t>
  </si>
  <si>
    <t xml:space="preserve">PV proved undeveloped wells ($mm)</t>
  </si>
  <si>
    <t xml:space="preserve">PV unbooked inventory, unrisked ($mm)</t>
  </si>
  <si>
    <t xml:space="preserve">PV unbooked inventory, risked ($mm)</t>
  </si>
  <si>
    <t xml:space="preserve">Gross asset value, risked ($mm)</t>
  </si>
  <si>
    <t xml:space="preserve">Less: net debt &amp; other claims ($mm)</t>
  </si>
  <si>
    <t xml:space="preserve">Equity NAV, risked ($mm)</t>
  </si>
  <si>
    <t xml:space="preserve">NAV per ADS - risked ($)</t>
  </si>
  <si>
    <t xml:space="preserve">NAV per ADS - unrisked inventory ($)</t>
  </si>
  <si>
    <t xml:space="preserve">Hard floor: producing base only, per ADS ($)</t>
  </si>
  <si>
    <t xml:space="preserve">Share price ($/ADS)</t>
  </si>
  <si>
    <t xml:space="preserve">Upside / (downside) to risked NAV</t>
  </si>
  <si>
    <t xml:space="preserve">Entry at 30% margin of safety to risked NAV ($)</t>
  </si>
  <si>
    <t xml:space="preserve">Market cap ($mm)</t>
  </si>
  <si>
    <t xml:space="preserve">Enterprise value ($mm)</t>
  </si>
  <si>
    <t xml:space="preserve">EV / P1 EBITDA (full plan)</t>
  </si>
  <si>
    <t xml:space="preserve">EV per flowing boe/d ($)</t>
  </si>
  <si>
    <t xml:space="preserve">EV per boe of 1P reserves (588 MMboe YE-25) ($)</t>
  </si>
  <si>
    <t xml:space="preserve">P1 equity-level FCF yield (unlevered FCF / market cap)</t>
  </si>
  <si>
    <t xml:space="preserve">Production, EBITDA and FCF (full plan)</t>
  </si>
  <si>
    <t xml:space="preserve">P1 (Sep-2027)</t>
  </si>
  <si>
    <t xml:space="preserve">P2 (Sep-2028)</t>
  </si>
  <si>
    <t xml:space="preserve">P3 (Sep-2029)</t>
  </si>
  <si>
    <t xml:space="preserve">P4 (Sep-2030)</t>
  </si>
  <si>
    <t xml:space="preserve">P6 (Sep-2032)</t>
  </si>
  <si>
    <t xml:space="preserve">P9 (Sep-2035)</t>
  </si>
  <si>
    <t xml:space="preserve">Production (kboe/d)</t>
  </si>
  <si>
    <t xml:space="preserve">Revenue ($mm)</t>
  </si>
  <si>
    <t xml:space="preserve">EBITDA ($mm)</t>
  </si>
  <si>
    <t xml:space="preserve">Capex ($mm)</t>
  </si>
  <si>
    <t xml:space="preserve">Unlevered FCF ($mm)</t>
  </si>
  <si>
    <t xml:space="preserve">Brent ($/bbl)</t>
  </si>
  <si>
    <t xml:space="preserve">Scenario snapshot at default inputs (STATIC - rerun build_vista_excel.py to refresh)</t>
  </si>
  <si>
    <t xml:space="preserve">Scenario</t>
  </si>
  <si>
    <t xml:space="preserve">Risked NAV/ADS</t>
  </si>
  <si>
    <t xml:space="preserve">Unrisked NAV/ADS</t>
  </si>
  <si>
    <t xml:space="preserve">Producing-base floor</t>
  </si>
  <si>
    <t xml:space="preserve">Up/(down)side</t>
  </si>
  <si>
    <t xml:space="preserve">Low</t>
  </si>
  <si>
    <t xml:space="preserve">Base</t>
  </si>
  <si>
    <t xml:space="preserve">High</t>
  </si>
  <si>
    <t xml:space="preserve">Extreme</t>
  </si>
  <si>
    <t xml:space="preserve">Risked NAV/ADS: long-run Brent (2026$, rows) x discount rate (cols) - STATIC</t>
  </si>
  <si>
    <t xml:space="preserve">Brent LR \ discount</t>
  </si>
  <si>
    <t xml:space="preserve">Vista Energy (VIST) - asset-based NAV model (E&amp;P method), editable</t>
  </si>
  <si>
    <t xml:space="preserve">NAV = PV(producing base, no new wells) + PV(proved undeveloped wells) + risk factor x PV(unbooked inventory) - net debt &amp; other claims.</t>
  </si>
  <si>
    <t xml:space="preserve">Edit blue cells / yellow levers on 'Inputs'. 'Model' holds annual periods (P1 = Oct-26..Sep-27), 'Cohorts' the well-by-vintage production, 'Summary' the results.</t>
  </si>
  <si>
    <t xml:space="preserve">Colours: blue = input, yellow = key lever, green = link, black = formula.</t>
  </si>
  <si>
    <t xml:space="preserve">Units: $mm unless stated; production MMboe per period and kboe/d; prices nominal $/bbl (long-run inputs in 2026$).</t>
  </si>
  <si>
    <t xml:space="preserve">Main levers: Scenario (Brent long run), Brent shift, discount rate (Argentina risk), unbooked-inventory risk factor, export duty, EUR, well-cost multiplier, inventory.</t>
  </si>
  <si>
    <t xml:space="preserve">Calibration: P1 ~177 kboe/d and ~237 kboe/d by 2030 (guidance 158 kboe/d 2026, target 250 by 2030); EBITDA/boe matches Q2-26 (~$56.7 at ~$95 Brent).</t>
  </si>
  <si>
    <t xml:space="preserve">Sources: Vista Q2-26 results/call (production, net debt $3.06bn, lifting $4.5/boe, realized $89.4/bbl), YE-25 reserves (588 MMboe 1P, PV-10 $6.61bn),</t>
  </si>
  <si>
    <t xml:space="preserve">well cost $14.2mm (Q4-25) -&gt; $11mm target 2028, &gt;1,320 locations, Equinor deal ($712mm, closed May-26); Brent futures Sep-26. Other items are estimates (see comments).</t>
  </si>
  <si>
    <t xml:space="preserve">INPUTS - blue = input, yellow = key lever</t>
  </si>
  <si>
    <t xml:space="preserve">Control panel</t>
  </si>
  <si>
    <t xml:space="preserve">Scenario (Low / Base / High / Extreme)</t>
  </si>
  <si>
    <t xml:space="preserve">Selects long-run Brent from the scenario table</t>
  </si>
  <si>
    <t xml:space="preserve">Long-run Brent shift ($/bbl, 2026$)</t>
  </si>
  <si>
    <t xml:space="preserve">Discount rate (unlevered, Argentina-risked)</t>
  </si>
  <si>
    <t xml:space="preserve">10% = investment-grade path; 15%+ = macro relapse / capital controls</t>
  </si>
  <si>
    <t xml:space="preserve">Risk factor on unbooked inventory (beyond proved wells)</t>
  </si>
  <si>
    <t xml:space="preserve">Industry practice ~50-75% for unproved locations</t>
  </si>
  <si>
    <t xml:space="preserve">Export duty on crude</t>
  </si>
  <si>
    <t xml:space="preserve">0% today; historically up to 8%</t>
  </si>
  <si>
    <t xml:space="preserve">Net EUR per well (MMboe)</t>
  </si>
  <si>
    <t xml:space="preserve">Calibrated to guidance; Vaca Muerta type curves ~1.0-1.5 MMboe gross</t>
  </si>
  <si>
    <t xml:space="preserve">Well-cost multiplier</t>
  </si>
  <si>
    <t xml:space="preserve">Total drilling inventory (net wells)</t>
  </si>
  <si>
    <t xml:space="preserve">&gt;1,320 ready-to-drill (company) + ~150 net Equinor (estimate)</t>
  </si>
  <si>
    <t xml:space="preserve">Wells to develop proved undeveloped (PUD) reserves</t>
  </si>
  <si>
    <t xml:space="preserve">355.7 MMboe PUD (YE-25) + Equinor, at ~0.9 MMboe/well</t>
  </si>
  <si>
    <t xml:space="preserve">Brent deck (nominal $/bbl)</t>
  </si>
  <si>
    <t xml:space="preserve">Futures: P1 (Oct-26..Sep-27), P2, P3</t>
  </si>
  <si>
    <t xml:space="preserve">Spot ~$101-105 late Sep-26 (Hormuz); Aug-27 $78.4; 2028 ~$75-76</t>
  </si>
  <si>
    <t xml:space="preserve">Inflation / escalator</t>
  </si>
  <si>
    <t xml:space="preserve">Long-run Brent (2026$/bbl)</t>
  </si>
  <si>
    <t xml:space="preserve">Active = scenario + shift</t>
  </si>
  <si>
    <t xml:space="preserve">Scenario description</t>
  </si>
  <si>
    <t xml:space="preserve">War premium fully unwinds; OPEC+ spare capacity returns; pre-war 2025 levels</t>
  </si>
  <si>
    <t xml:space="preserve">Futures curve: ~$75 in 2028, roughly flat real thereafter</t>
  </si>
  <si>
    <t xml:space="preserve">Lasting risk premium + post-war underinvestment</t>
  </si>
  <si>
    <t xml:space="preserve">Prolonged Hormuz disruption / structural shortage</t>
  </si>
  <si>
    <t xml:space="preserve">Operations and costs</t>
  </si>
  <si>
    <t xml:space="preserve">Oil share of production</t>
  </si>
  <si>
    <t xml:space="preserve">Realized oil discount to Brent ($/bbl)</t>
  </si>
  <si>
    <t xml:space="preserve">Q2-26 realized $89.4/bbl</t>
  </si>
  <si>
    <t xml:space="preserve">Gas price ($/boe, 2026$)</t>
  </si>
  <si>
    <t xml:space="preserve">~$3.5/MMBtu - estimate</t>
  </si>
  <si>
    <t xml:space="preserve">Royalties (% revenue)</t>
  </si>
  <si>
    <t xml:space="preserve">Neuquen 12% + extension premia - estimate</t>
  </si>
  <si>
    <t xml:space="preserve">Provincial turnover tax (% revenue)</t>
  </si>
  <si>
    <t xml:space="preserve">Lifting cost ($/boe, 2026$)</t>
  </si>
  <si>
    <t xml:space="preserve">Q2-26 $4.5; Q1 $4.3</t>
  </si>
  <si>
    <t xml:space="preserve">Transport, storage &amp; selling ($/boe)</t>
  </si>
  <si>
    <t xml:space="preserve">Estimate</t>
  </si>
  <si>
    <t xml:space="preserve">G&amp;A ($/boe)</t>
  </si>
  <si>
    <t xml:space="preserve">Cost escalator</t>
  </si>
  <si>
    <t xml:space="preserve">Facilities / infrastructure capex ($/boe)</t>
  </si>
  <si>
    <t xml:space="preserve">Well cost ($mm/well): P1, P2, P3 (then escalates)</t>
  </si>
  <si>
    <t xml:space="preserve">$14.2mm Q4-25; company targets $11mm by 2028</t>
  </si>
  <si>
    <t xml:space="preserve">Production at 1-Oct-2026 from existing wells (kboe/d)</t>
  </si>
  <si>
    <t xml:space="preserve">Q3 guide 160, Q4 170</t>
  </si>
  <si>
    <t xml:space="preserve">Base decline by period: P1..P5, then terminal</t>
  </si>
  <si>
    <t xml:space="preserve">New-well profile (share of EUR by period of life): P1..P10, then tail decline below</t>
  </si>
  <si>
    <t xml:space="preserve">Well profile tail decline (after P10)</t>
  </si>
  <si>
    <t xml:space="preserve">Tax and balance sheet</t>
  </si>
  <si>
    <t xml:space="preserve">Income tax rate</t>
  </si>
  <si>
    <t xml:space="preserve">Existing tax basis ($bn, amortised over 7 periods)</t>
  </si>
  <si>
    <t xml:space="preserve">Tax life of new capex (periods)</t>
  </si>
  <si>
    <t xml:space="preserve">Net debt ($bn, 30-Jun-26)</t>
  </si>
  <si>
    <t xml:space="preserve">Q2-26 results</t>
  </si>
  <si>
    <t xml:space="preserve">Other claims ($bn: leases, abandonment)</t>
  </si>
  <si>
    <t xml:space="preserve">ADS outstanding (mm)</t>
  </si>
  <si>
    <t xml:space="preserve">incl. ADS issued to Equinor</t>
  </si>
  <si>
    <t xml:space="preserve">18-Sep-2026</t>
  </si>
  <si>
    <t xml:space="preserve">Flowing production for EV/boe (kboe/d)</t>
  </si>
  <si>
    <t xml:space="preserve">VIST - annual model ($mm unless stated; P1 = Oct-26..Sep-27). Formulas only.</t>
  </si>
  <si>
    <t xml:space="preserve">Period</t>
  </si>
  <si>
    <t xml:space="preserve">Ends Sep-</t>
  </si>
  <si>
    <t xml:space="preserve">Escalator (mid-period)</t>
  </si>
  <si>
    <t xml:space="preserve">Cost escalator (mid-period)</t>
  </si>
  <si>
    <t xml:space="preserve">Brent ($/bbl, nominal)</t>
  </si>
  <si>
    <t xml:space="preserve">Revenue per boe ($)</t>
  </si>
  <si>
    <t xml:space="preserve">EBITDA per boe ($)</t>
  </si>
  <si>
    <t xml:space="preserve">Well cost ($mm/well)</t>
  </si>
  <si>
    <t xml:space="preserve">Well plan (net wells per period) - EDIT</t>
  </si>
  <si>
    <t xml:space="preserve">Base decline</t>
  </si>
  <si>
    <t xml:space="preserve">Base rate at start of period (kboe/d)</t>
  </si>
  <si>
    <t xml:space="preserve">Base production (MMboe)</t>
  </si>
  <si>
    <t xml:space="preserve">Well profile by age (share of EUR)</t>
  </si>
  <si>
    <t xml:space="preserve">PRODUCING BASE ONLY (no new wells)</t>
  </si>
  <si>
    <t xml:space="preserve">Wells tied in</t>
  </si>
  <si>
    <t xml:space="preserve">New-well production (MMboe)</t>
  </si>
  <si>
    <t xml:space="preserve">Total production (MMboe)</t>
  </si>
  <si>
    <t xml:space="preserve">Capex: wells + facilities ($mm)</t>
  </si>
  <si>
    <t xml:space="preserve">Tax depreciation ($mm)</t>
  </si>
  <si>
    <t xml:space="preserve">Cash tax ($mm)</t>
  </si>
  <si>
    <t xml:space="preserve">Unlevered free cash flow ($mm)</t>
  </si>
  <si>
    <t xml:space="preserve">PV at discount rate ($mm)</t>
  </si>
  <si>
    <t xml:space="preserve">PRODUCING + PROVED UNDEVELOPED WELLS</t>
  </si>
  <si>
    <t xml:space="preserve">PRODUCING + FULL INVENTORY</t>
  </si>
  <si>
    <t xml:space="preserve">New-well production by vintage (MMboe) = wells in vintage x EUR x profile(age)</t>
  </si>
  <si>
    <t xml:space="preserve">Vintage P1</t>
  </si>
  <si>
    <t xml:space="preserve">Vintage P2</t>
  </si>
  <si>
    <t xml:space="preserve">Vintage P3</t>
  </si>
  <si>
    <t xml:space="preserve">Vintage P4</t>
  </si>
  <si>
    <t xml:space="preserve">Vintage P5</t>
  </si>
  <si>
    <t xml:space="preserve">Vintage P6</t>
  </si>
  <si>
    <t xml:space="preserve">Vintage P7</t>
  </si>
  <si>
    <t xml:space="preserve">Vintage P8</t>
  </si>
  <si>
    <t xml:space="preserve">Vintage P9</t>
  </si>
  <si>
    <t xml:space="preserve">Vintage P10</t>
  </si>
  <si>
    <t xml:space="preserve">Vintage P11</t>
  </si>
  <si>
    <t xml:space="preserve">Vintage P12</t>
  </si>
  <si>
    <t xml:space="preserve">Vintage P13</t>
  </si>
  <si>
    <t xml:space="preserve">Vintage P14</t>
  </si>
  <si>
    <t xml:space="preserve">Vintage P15</t>
  </si>
  <si>
    <t xml:space="preserve">Vintage P16</t>
  </si>
  <si>
    <t xml:space="preserve">Vintage P17</t>
  </si>
  <si>
    <t xml:space="preserve">Vintage P18</t>
  </si>
  <si>
    <t xml:space="preserve">Vintage P19</t>
  </si>
  <si>
    <t xml:space="preserve">Vintage P20</t>
  </si>
  <si>
    <t xml:space="preserve">Vintage P21</t>
  </si>
  <si>
    <t xml:space="preserve">Vintage P22</t>
  </si>
  <si>
    <t xml:space="preserve">Vintage P23</t>
  </si>
  <si>
    <t xml:space="preserve">Vintage P24</t>
  </si>
  <si>
    <t xml:space="preserve">Vintage P25</t>
  </si>
  <si>
    <t xml:space="preserve">Vintage P26</t>
  </si>
  <si>
    <t xml:space="preserve">Vintage P27</t>
  </si>
  <si>
    <t xml:space="preserve">Vintage P28</t>
  </si>
  <si>
    <t xml:space="preserve">Vintage P29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</si>
</sst>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0.0%;\(0.0%\);\-"/>
    <numFmt numFmtId="168" formatCode="0.0\x"/>
    <numFmt numFmtId="169" formatCode="#,##0.0;\(#,##0.0\);\-"/>
    <numFmt numFmtId="170" formatCode="0"/>
    <numFmt numFmtId="171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DDE6F0"/>
      </patternFill>
    </fill>
    <fill>
      <patternFill patternType="solid">
        <fgColor rgb="FFDDE6F0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9" min="2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tr">
        <f aca="false">"Scenario: "&amp;Scenario&amp;"  |  long-run Brent $"&amp;TEXT(BrentLR,"0")&amp;" (2026$)  |  discount "&amp;TEXT(Disc,"0.0%")&amp;"  |  unbooked risk "&amp;TEXT(UnbRisk,"0%")</f>
        <v>Scenario: Base  |  long-run Brent $72 (2026$)  |  discount 12.0%  |  unbooked risk 60%</v>
      </c>
    </row>
    <row r="4" customFormat="false" ht="15" hidden="false" customHeight="false" outlineLevel="0" collapsed="false">
      <c r="A4" s="4" t="s">
        <v>1</v>
      </c>
      <c r="B4" s="5" t="n">
        <f aca="false">Model!$B$29</f>
        <v>6469.40538428145</v>
      </c>
    </row>
    <row r="5" customFormat="false" ht="15" hidden="false" customHeight="false" outlineLevel="0" collapsed="false">
      <c r="A5" s="4" t="s">
        <v>2</v>
      </c>
      <c r="B5" s="5" t="n">
        <f aca="false">Model!$B$42-Model!$B$29</f>
        <v>3078.73279208353</v>
      </c>
    </row>
    <row r="6" customFormat="false" ht="15" hidden="false" customHeight="false" outlineLevel="0" collapsed="false">
      <c r="A6" s="4" t="s">
        <v>3</v>
      </c>
      <c r="B6" s="5" t="n">
        <f aca="false">Model!$B$55-Model!$B$42</f>
        <v>4357.91871372322</v>
      </c>
    </row>
    <row r="7" customFormat="false" ht="15" hidden="false" customHeight="false" outlineLevel="0" collapsed="false">
      <c r="A7" s="4" t="s">
        <v>4</v>
      </c>
      <c r="B7" s="5" t="n">
        <f aca="false">B6*UnbRisk</f>
        <v>2614.75122823393</v>
      </c>
    </row>
    <row r="8" customFormat="false" ht="15" hidden="false" customHeight="false" outlineLevel="0" collapsed="false">
      <c r="A8" s="2" t="s">
        <v>5</v>
      </c>
      <c r="B8" s="6" t="n">
        <f aca="false">B4+B5+B7</f>
        <v>12162.8894045989</v>
      </c>
    </row>
    <row r="9" customFormat="false" ht="15" hidden="false" customHeight="false" outlineLevel="0" collapsed="false">
      <c r="A9" s="4" t="s">
        <v>6</v>
      </c>
      <c r="B9" s="5" t="n">
        <f aca="false">(NetDebt+OtherClaims)*1000</f>
        <v>3360</v>
      </c>
    </row>
    <row r="10" customFormat="false" ht="15" hidden="false" customHeight="false" outlineLevel="0" collapsed="false">
      <c r="A10" s="2" t="s">
        <v>7</v>
      </c>
      <c r="B10" s="6" t="n">
        <f aca="false">B8-B9</f>
        <v>8802.8894045989</v>
      </c>
    </row>
    <row r="11" customFormat="false" ht="15" hidden="false" customHeight="false" outlineLevel="0" collapsed="false">
      <c r="A11" s="2" t="s">
        <v>8</v>
      </c>
      <c r="B11" s="7" t="n">
        <f aca="false">B10/Shares</f>
        <v>79.5777382444305</v>
      </c>
    </row>
    <row r="12" customFormat="false" ht="15" hidden="false" customHeight="false" outlineLevel="0" collapsed="false">
      <c r="A12" s="4" t="s">
        <v>9</v>
      </c>
      <c r="B12" s="8" t="n">
        <f aca="false">(Model!$B$55-B9)/Shares</f>
        <v>95.3358966740932</v>
      </c>
    </row>
    <row r="13" customFormat="false" ht="15" hidden="false" customHeight="false" outlineLevel="0" collapsed="false">
      <c r="A13" s="4" t="s">
        <v>10</v>
      </c>
      <c r="B13" s="8" t="n">
        <f aca="false">(Model!$B$29-B9)/Shares</f>
        <v>28.1088897512335</v>
      </c>
    </row>
    <row r="14" customFormat="false" ht="15" hidden="false" customHeight="false" outlineLevel="0" collapsed="false">
      <c r="A14" s="4" t="s">
        <v>11</v>
      </c>
      <c r="B14" s="8" t="n">
        <f aca="false">Price</f>
        <v>73.35</v>
      </c>
    </row>
    <row r="15" customFormat="false" ht="15" hidden="false" customHeight="false" outlineLevel="0" collapsed="false">
      <c r="A15" s="2" t="s">
        <v>12</v>
      </c>
      <c r="B15" s="9" t="n">
        <f aca="false">B11/B14-1</f>
        <v>0.0849044068770348</v>
      </c>
    </row>
    <row r="16" customFormat="false" ht="15" hidden="false" customHeight="false" outlineLevel="0" collapsed="false">
      <c r="A16" s="4" t="s">
        <v>13</v>
      </c>
      <c r="B16" s="8" t="n">
        <f aca="false">0.7*B11</f>
        <v>55.7044167711013</v>
      </c>
    </row>
    <row r="18" customFormat="false" ht="15" hidden="false" customHeight="false" outlineLevel="0" collapsed="false">
      <c r="A18" s="4" t="s">
        <v>14</v>
      </c>
      <c r="B18" s="5" t="n">
        <f aca="false">Price*Shares</f>
        <v>8113.977</v>
      </c>
    </row>
    <row r="19" customFormat="false" ht="15" hidden="false" customHeight="false" outlineLevel="0" collapsed="false">
      <c r="A19" s="4" t="s">
        <v>15</v>
      </c>
      <c r="B19" s="5" t="n">
        <f aca="false">B18+B9</f>
        <v>11473.977</v>
      </c>
    </row>
    <row r="20" customFormat="false" ht="15" hidden="false" customHeight="false" outlineLevel="0" collapsed="false">
      <c r="A20" s="4" t="s">
        <v>16</v>
      </c>
      <c r="B20" s="10" t="n">
        <f aca="false">B19/Model!G50</f>
        <v>3.36726647757338</v>
      </c>
    </row>
    <row r="21" customFormat="false" ht="15" hidden="false" customHeight="false" outlineLevel="0" collapsed="false">
      <c r="A21" s="4" t="s">
        <v>17</v>
      </c>
      <c r="B21" s="5" t="n">
        <f aca="false">B19*1000/FlowRate</f>
        <v>69539.2545454545</v>
      </c>
    </row>
    <row r="22" customFormat="false" ht="15" hidden="false" customHeight="false" outlineLevel="0" collapsed="false">
      <c r="A22" s="4" t="s">
        <v>18</v>
      </c>
      <c r="B22" s="8" t="n">
        <f aca="false">B19/588.1</f>
        <v>19.5102482570991</v>
      </c>
    </row>
    <row r="23" customFormat="false" ht="15" hidden="false" customHeight="false" outlineLevel="0" collapsed="false">
      <c r="A23" s="4" t="s">
        <v>19</v>
      </c>
      <c r="B23" s="11" t="n">
        <f aca="false">Model!G54/B18</f>
        <v>0.117184477708058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</row>
    <row r="27" customFormat="false" ht="15" hidden="false" customHeight="false" outlineLevel="0" collapsed="false">
      <c r="A27" s="4" t="s">
        <v>27</v>
      </c>
      <c r="B27" s="12" t="n">
        <f aca="false">Model!G48</f>
        <v>176.809931506849</v>
      </c>
      <c r="C27" s="12" t="n">
        <f aca="false">Model!H48</f>
        <v>192.147123287671</v>
      </c>
      <c r="D27" s="12" t="n">
        <f aca="false">Model!I48</f>
        <v>215.215195890411</v>
      </c>
      <c r="E27" s="12" t="n">
        <f aca="false">Model!J48</f>
        <v>236.734868465753</v>
      </c>
      <c r="F27" s="12" t="n">
        <f aca="false">Model!L48</f>
        <v>269.238414870115</v>
      </c>
      <c r="G27" s="12" t="n">
        <f aca="false">Model!O48</f>
        <v>304.121863066334</v>
      </c>
    </row>
    <row r="28" customFormat="false" ht="15" hidden="false" customHeight="false" outlineLevel="0" collapsed="false">
      <c r="A28" s="4" t="s">
        <v>28</v>
      </c>
      <c r="B28" s="13" t="n">
        <f aca="false">Model!G49</f>
        <v>4950.34482545487</v>
      </c>
      <c r="C28" s="13" t="n">
        <f aca="false">Model!H49</f>
        <v>4590.41254375855</v>
      </c>
      <c r="D28" s="13" t="n">
        <f aca="false">Model!I49</f>
        <v>5043.41688880182</v>
      </c>
      <c r="E28" s="13" t="n">
        <f aca="false">Model!J49</f>
        <v>5678.00939744224</v>
      </c>
      <c r="F28" s="13" t="n">
        <f aca="false">Model!L49</f>
        <v>6735.7536873999</v>
      </c>
      <c r="G28" s="13" t="n">
        <f aca="false">Model!O49</f>
        <v>8103.71508291425</v>
      </c>
    </row>
    <row r="29" customFormat="false" ht="15" hidden="false" customHeight="false" outlineLevel="0" collapsed="false">
      <c r="A29" s="4" t="s">
        <v>29</v>
      </c>
      <c r="B29" s="13" t="n">
        <f aca="false">Model!G50</f>
        <v>3407.50489348521</v>
      </c>
      <c r="C29" s="13" t="n">
        <f aca="false">Model!H50</f>
        <v>3041.65632339649</v>
      </c>
      <c r="D29" s="13" t="n">
        <f aca="false">Model!I50</f>
        <v>3310.19850001046</v>
      </c>
      <c r="E29" s="13" t="n">
        <f aca="false">Model!J50</f>
        <v>3729.87237396922</v>
      </c>
      <c r="F29" s="13" t="n">
        <f aca="false">Model!L50</f>
        <v>4427.51918924694</v>
      </c>
      <c r="G29" s="13" t="n">
        <f aca="false">Model!O50</f>
        <v>5331.51040791659</v>
      </c>
    </row>
    <row r="30" customFormat="false" ht="15" hidden="false" customHeight="false" outlineLevel="0" collapsed="false">
      <c r="A30" s="4" t="s">
        <v>30</v>
      </c>
      <c r="B30" s="13" t="n">
        <f aca="false">Model!G51</f>
        <v>1735.53335901634</v>
      </c>
      <c r="C30" s="13" t="n">
        <f aca="false">Model!H51</f>
        <v>1779.24458874566</v>
      </c>
      <c r="D30" s="13" t="n">
        <f aca="false">Model!I51</f>
        <v>1732.62100464211</v>
      </c>
      <c r="E30" s="13" t="n">
        <f aca="false">Model!J51</f>
        <v>1792.52859958002</v>
      </c>
      <c r="F30" s="13" t="n">
        <f aca="false">Model!L51</f>
        <v>1904.63353032629</v>
      </c>
      <c r="G30" s="13" t="n">
        <f aca="false">Model!O51</f>
        <v>2066.41198062897</v>
      </c>
    </row>
    <row r="31" customFormat="false" ht="15" hidden="false" customHeight="false" outlineLevel="0" collapsed="false">
      <c r="A31" s="4" t="s">
        <v>31</v>
      </c>
      <c r="B31" s="13" t="n">
        <f aca="false">Model!G54</f>
        <v>950.832156880193</v>
      </c>
      <c r="C31" s="13" t="n">
        <f aca="false">Model!H54</f>
        <v>793.866477805403</v>
      </c>
      <c r="D31" s="13" t="n">
        <f aca="false">Model!I54</f>
        <v>1136.32594703298</v>
      </c>
      <c r="E31" s="13" t="n">
        <f aca="false">Model!J54</f>
        <v>1474.68337213886</v>
      </c>
      <c r="F31" s="13" t="n">
        <f aca="false">Model!L54</f>
        <v>1957.30919477719</v>
      </c>
      <c r="G31" s="13" t="n">
        <f aca="false">Model!O54</f>
        <v>2084.51467576072</v>
      </c>
    </row>
    <row r="32" customFormat="false" ht="15" hidden="false" customHeight="false" outlineLevel="0" collapsed="false">
      <c r="A32" s="4" t="s">
        <v>32</v>
      </c>
      <c r="B32" s="12" t="n">
        <f aca="false">Model!G7</f>
        <v>90</v>
      </c>
      <c r="C32" s="12" t="n">
        <f aca="false">Model!H7</f>
        <v>77</v>
      </c>
      <c r="D32" s="12" t="n">
        <f aca="false">Model!I7</f>
        <v>75.5</v>
      </c>
      <c r="E32" s="12" t="n">
        <f aca="false">Model!J7</f>
        <v>77.1672631437313</v>
      </c>
      <c r="F32" s="12" t="n">
        <f aca="false">Model!L7</f>
        <v>80.284820574738</v>
      </c>
      <c r="G32" s="12" t="n">
        <f aca="false">Model!O7</f>
        <v>85.1988938724766</v>
      </c>
    </row>
    <row r="34" customFormat="false" ht="15" hidden="false" customHeight="false" outlineLevel="0" collapsed="false">
      <c r="A34" s="2" t="s">
        <v>33</v>
      </c>
    </row>
    <row r="35" customFormat="false" ht="15" hidden="false" customHeight="false" outlineLevel="0" collapsed="false">
      <c r="A35" s="2" t="s">
        <v>34</v>
      </c>
      <c r="B35" s="2" t="s">
        <v>35</v>
      </c>
      <c r="C35" s="2" t="s">
        <v>36</v>
      </c>
      <c r="D35" s="2" t="s">
        <v>37</v>
      </c>
      <c r="E35" s="2" t="s">
        <v>38</v>
      </c>
    </row>
    <row r="36" customFormat="false" ht="15" hidden="false" customHeight="false" outlineLevel="0" collapsed="false">
      <c r="A36" s="4" t="s">
        <v>39</v>
      </c>
      <c r="B36" s="8" t="n">
        <v>51.6669</v>
      </c>
      <c r="C36" s="8" t="n">
        <v>60.8206</v>
      </c>
      <c r="D36" s="8" t="n">
        <v>20.0179</v>
      </c>
      <c r="E36" s="11" t="n">
        <v>-0.2956</v>
      </c>
    </row>
    <row r="37" customFormat="false" ht="15" hidden="false" customHeight="false" outlineLevel="0" collapsed="false">
      <c r="A37" s="4" t="s">
        <v>40</v>
      </c>
      <c r="B37" s="8" t="n">
        <v>79.5777</v>
      </c>
      <c r="C37" s="8" t="n">
        <v>95.3359</v>
      </c>
      <c r="D37" s="8" t="n">
        <v>28.1089</v>
      </c>
      <c r="E37" s="11" t="n">
        <v>0.0849</v>
      </c>
    </row>
    <row r="38" customFormat="false" ht="15" hidden="false" customHeight="false" outlineLevel="0" collapsed="false">
      <c r="A38" s="4" t="s">
        <v>41</v>
      </c>
      <c r="B38" s="8" t="n">
        <v>109.5305</v>
      </c>
      <c r="C38" s="8" t="n">
        <v>132.7275</v>
      </c>
      <c r="D38" s="8" t="n">
        <v>36.173</v>
      </c>
      <c r="E38" s="11" t="n">
        <v>0.4933</v>
      </c>
    </row>
    <row r="39" customFormat="false" ht="15" hidden="false" customHeight="false" outlineLevel="0" collapsed="false">
      <c r="A39" s="4" t="s">
        <v>42</v>
      </c>
      <c r="B39" s="8" t="n">
        <v>144.0913</v>
      </c>
      <c r="C39" s="8" t="n">
        <v>175.8716</v>
      </c>
      <c r="D39" s="8" t="n">
        <v>44.5951</v>
      </c>
      <c r="E39" s="11" t="n">
        <v>0.9644</v>
      </c>
    </row>
    <row r="41" customFormat="false" ht="15" hidden="false" customHeight="false" outlineLevel="0" collapsed="false">
      <c r="A41" s="2" t="s">
        <v>43</v>
      </c>
    </row>
    <row r="42" customFormat="false" ht="15" hidden="false" customHeight="false" outlineLevel="0" collapsed="false">
      <c r="A42" s="2" t="s">
        <v>44</v>
      </c>
      <c r="B42" s="14" t="n">
        <v>0.1</v>
      </c>
      <c r="C42" s="14" t="n">
        <v>0.12</v>
      </c>
      <c r="D42" s="14" t="n">
        <v>0.15</v>
      </c>
      <c r="E42" s="14" t="n">
        <v>0.18</v>
      </c>
    </row>
    <row r="43" customFormat="false" ht="15" hidden="false" customHeight="false" outlineLevel="0" collapsed="false">
      <c r="A43" s="2" t="n">
        <v>55</v>
      </c>
      <c r="B43" s="8" t="n">
        <v>50.35</v>
      </c>
      <c r="C43" s="8" t="n">
        <v>39.71</v>
      </c>
      <c r="D43" s="8" t="n">
        <v>27.65</v>
      </c>
      <c r="E43" s="8" t="n">
        <v>18.8</v>
      </c>
    </row>
    <row r="44" customFormat="false" ht="15" hidden="false" customHeight="false" outlineLevel="0" collapsed="false">
      <c r="A44" s="2" t="n">
        <v>60</v>
      </c>
      <c r="B44" s="8" t="n">
        <v>64.09</v>
      </c>
      <c r="C44" s="8" t="n">
        <v>51.67</v>
      </c>
      <c r="D44" s="8" t="n">
        <v>37.53</v>
      </c>
      <c r="E44" s="8" t="n">
        <v>27.12</v>
      </c>
    </row>
    <row r="45" customFormat="false" ht="15" hidden="false" customHeight="false" outlineLevel="0" collapsed="false">
      <c r="A45" s="2" t="n">
        <v>65</v>
      </c>
      <c r="B45" s="8" t="n">
        <v>77.65</v>
      </c>
      <c r="C45" s="8" t="n">
        <v>63.45</v>
      </c>
      <c r="D45" s="8" t="n">
        <v>47.26</v>
      </c>
      <c r="E45" s="8" t="n">
        <v>35.3</v>
      </c>
    </row>
    <row r="46" customFormat="false" ht="15" hidden="false" customHeight="false" outlineLevel="0" collapsed="false">
      <c r="A46" s="2" t="n">
        <v>72</v>
      </c>
      <c r="B46" s="8" t="n">
        <v>96.22</v>
      </c>
      <c r="C46" s="8" t="n">
        <v>79.58</v>
      </c>
      <c r="D46" s="8" t="n">
        <v>60.56</v>
      </c>
      <c r="E46" s="8" t="n">
        <v>46.49</v>
      </c>
    </row>
    <row r="47" customFormat="false" ht="15" hidden="false" customHeight="false" outlineLevel="0" collapsed="false">
      <c r="A47" s="2" t="n">
        <v>80</v>
      </c>
      <c r="B47" s="8" t="n">
        <v>117.44</v>
      </c>
      <c r="C47" s="8" t="n">
        <v>98.01</v>
      </c>
      <c r="D47" s="8" t="n">
        <v>75.76</v>
      </c>
      <c r="E47" s="8" t="n">
        <v>59.27</v>
      </c>
    </row>
    <row r="48" customFormat="false" ht="15" hidden="false" customHeight="false" outlineLevel="0" collapsed="false">
      <c r="A48" s="2" t="n">
        <v>85</v>
      </c>
      <c r="B48" s="8" t="n">
        <v>130.7</v>
      </c>
      <c r="C48" s="8" t="n">
        <v>109.53</v>
      </c>
      <c r="D48" s="8" t="n">
        <v>85.27</v>
      </c>
      <c r="E48" s="8" t="n">
        <v>67.26</v>
      </c>
    </row>
    <row r="49" customFormat="false" ht="15" hidden="false" customHeight="false" outlineLevel="0" collapsed="false">
      <c r="A49" s="2" t="n">
        <v>95</v>
      </c>
      <c r="B49" s="8" t="n">
        <v>157.23</v>
      </c>
      <c r="C49" s="8" t="n">
        <v>132.57</v>
      </c>
      <c r="D49" s="8" t="n">
        <v>104.27</v>
      </c>
      <c r="E49" s="8" t="n">
        <v>83.24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false" outlineLevel="0" collapsed="false">
      <c r="A1" s="2" t="s">
        <v>45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46</v>
      </c>
    </row>
    <row r="4" customFormat="false" ht="15" hidden="false" customHeight="false" outlineLevel="0" collapsed="false">
      <c r="A4" s="4" t="s">
        <v>47</v>
      </c>
    </row>
    <row r="5" customFormat="false" ht="15" hidden="false" customHeight="false" outlineLevel="0" collapsed="false">
      <c r="A5" s="4" t="s">
        <v>48</v>
      </c>
    </row>
    <row r="6" customFormat="false" ht="15" hidden="false" customHeight="false" outlineLevel="0" collapsed="false">
      <c r="A6" s="4" t="s">
        <v>49</v>
      </c>
    </row>
    <row r="7" customFormat="false" ht="15" hidden="false" customHeight="false" outlineLevel="0" collapsed="false">
      <c r="A7" s="4" t="s">
        <v>50</v>
      </c>
    </row>
    <row r="8" customFormat="false" ht="15" hidden="false" customHeight="false" outlineLevel="0" collapsed="false">
      <c r="A8" s="4" t="s">
        <v>51</v>
      </c>
    </row>
    <row r="9" customFormat="false" ht="15" hidden="false" customHeight="false" outlineLevel="0" collapsed="false">
      <c r="A9" s="4" t="s">
        <v>52</v>
      </c>
    </row>
    <row r="10" customFormat="false" ht="15" hidden="false" customHeight="false" outlineLevel="0" collapsed="false">
      <c r="A10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3"/>
    <col collapsed="false" customWidth="true" hidden="false" outlineLevel="0" max="7" min="7" style="1" width="70"/>
    <col collapsed="false" customWidth="true" hidden="false" outlineLevel="0" max="11" min="8" style="1" width="13"/>
  </cols>
  <sheetData>
    <row r="1" customFormat="false" ht="15" hidden="false" customHeight="false" outlineLevel="0" collapsed="false">
      <c r="A1" s="2" t="s">
        <v>54</v>
      </c>
    </row>
    <row r="3" customFormat="false" ht="15" hidden="false" customHeight="false" outlineLevel="0" collapsed="false">
      <c r="A3" s="15" t="s">
        <v>55</v>
      </c>
      <c r="B3" s="16"/>
      <c r="C3" s="16"/>
      <c r="D3" s="16"/>
      <c r="E3" s="16"/>
      <c r="F3" s="16"/>
      <c r="G3" s="16"/>
    </row>
    <row r="4" customFormat="false" ht="15" hidden="false" customHeight="false" outlineLevel="0" collapsed="false">
      <c r="A4" s="4" t="s">
        <v>56</v>
      </c>
      <c r="B4" s="17" t="s">
        <v>40</v>
      </c>
      <c r="G4" s="3" t="s">
        <v>57</v>
      </c>
    </row>
    <row r="5" customFormat="false" ht="15" hidden="false" customHeight="false" outlineLevel="0" collapsed="false">
      <c r="A5" s="4" t="s">
        <v>58</v>
      </c>
      <c r="B5" s="18" t="n">
        <v>0</v>
      </c>
    </row>
    <row r="6" customFormat="false" ht="15" hidden="false" customHeight="false" outlineLevel="0" collapsed="false">
      <c r="A6" s="4" t="s">
        <v>59</v>
      </c>
      <c r="B6" s="19" t="n">
        <v>0.12</v>
      </c>
      <c r="G6" s="3" t="s">
        <v>60</v>
      </c>
    </row>
    <row r="7" customFormat="false" ht="15" hidden="false" customHeight="false" outlineLevel="0" collapsed="false">
      <c r="A7" s="4" t="s">
        <v>61</v>
      </c>
      <c r="B7" s="19" t="n">
        <v>0.6</v>
      </c>
      <c r="G7" s="3" t="s">
        <v>62</v>
      </c>
    </row>
    <row r="8" customFormat="false" ht="15" hidden="false" customHeight="false" outlineLevel="0" collapsed="false">
      <c r="A8" s="4" t="s">
        <v>63</v>
      </c>
      <c r="B8" s="19" t="n">
        <v>0</v>
      </c>
      <c r="G8" s="3" t="s">
        <v>64</v>
      </c>
    </row>
    <row r="9" customFormat="false" ht="15" hidden="false" customHeight="false" outlineLevel="0" collapsed="false">
      <c r="A9" s="4" t="s">
        <v>65</v>
      </c>
      <c r="B9" s="20" t="n">
        <v>0.9</v>
      </c>
      <c r="G9" s="3" t="s">
        <v>66</v>
      </c>
    </row>
    <row r="10" customFormat="false" ht="15" hidden="false" customHeight="false" outlineLevel="0" collapsed="false">
      <c r="A10" s="4" t="s">
        <v>67</v>
      </c>
      <c r="B10" s="20" t="n">
        <v>1</v>
      </c>
    </row>
    <row r="11" customFormat="false" ht="15" hidden="false" customHeight="false" outlineLevel="0" collapsed="false">
      <c r="A11" s="4" t="s">
        <v>68</v>
      </c>
      <c r="B11" s="21" t="n">
        <v>1470</v>
      </c>
      <c r="G11" s="3" t="s">
        <v>69</v>
      </c>
    </row>
    <row r="12" customFormat="false" ht="15" hidden="false" customHeight="false" outlineLevel="0" collapsed="false">
      <c r="A12" s="4" t="s">
        <v>70</v>
      </c>
      <c r="B12" s="22" t="n">
        <v>450</v>
      </c>
      <c r="G12" s="3" t="s">
        <v>71</v>
      </c>
    </row>
    <row r="14" customFormat="false" ht="15" hidden="false" customHeight="false" outlineLevel="0" collapsed="false">
      <c r="A14" s="15" t="s">
        <v>72</v>
      </c>
      <c r="B14" s="16"/>
      <c r="C14" s="16"/>
      <c r="D14" s="16"/>
      <c r="E14" s="16"/>
      <c r="F14" s="16"/>
      <c r="G14" s="16"/>
    </row>
    <row r="15" customFormat="false" ht="15" hidden="false" customHeight="false" outlineLevel="0" collapsed="false">
      <c r="A15" s="4" t="s">
        <v>73</v>
      </c>
      <c r="B15" s="23" t="n">
        <v>90</v>
      </c>
      <c r="C15" s="23" t="n">
        <v>77</v>
      </c>
      <c r="D15" s="23" t="n">
        <v>75.5</v>
      </c>
      <c r="G15" s="3" t="s">
        <v>74</v>
      </c>
    </row>
    <row r="16" customFormat="false" ht="15" hidden="false" customHeight="false" outlineLevel="0" collapsed="false">
      <c r="A16" s="4" t="s">
        <v>75</v>
      </c>
      <c r="B16" s="24" t="n">
        <v>0.02</v>
      </c>
    </row>
    <row r="18" customFormat="false" ht="15" hidden="false" customHeight="false" outlineLevel="0" collapsed="false">
      <c r="A18" s="2" t="s">
        <v>34</v>
      </c>
      <c r="B18" s="25" t="s">
        <v>39</v>
      </c>
      <c r="C18" s="25" t="s">
        <v>40</v>
      </c>
      <c r="D18" s="25" t="s">
        <v>41</v>
      </c>
      <c r="E18" s="25" t="s">
        <v>42</v>
      </c>
    </row>
    <row r="19" customFormat="false" ht="15" hidden="false" customHeight="false" outlineLevel="0" collapsed="false">
      <c r="A19" s="4" t="s">
        <v>76</v>
      </c>
      <c r="B19" s="23" t="n">
        <v>60</v>
      </c>
      <c r="C19" s="23" t="n">
        <v>72</v>
      </c>
      <c r="D19" s="23" t="n">
        <v>85</v>
      </c>
      <c r="E19" s="23" t="n">
        <v>100</v>
      </c>
      <c r="F19" s="26" t="n">
        <f aca="false">INDEX(B19:E19,MATCH(Scenario,B18:E18,0))+BrentShift</f>
        <v>72</v>
      </c>
      <c r="G19" s="3" t="s">
        <v>77</v>
      </c>
    </row>
    <row r="20" customFormat="false" ht="15" hidden="false" customHeight="false" outlineLevel="0" collapsed="false">
      <c r="A20" s="4" t="s">
        <v>78</v>
      </c>
      <c r="B20" s="3" t="s">
        <v>79</v>
      </c>
      <c r="C20" s="3" t="s">
        <v>80</v>
      </c>
      <c r="D20" s="3" t="s">
        <v>81</v>
      </c>
      <c r="E20" s="3" t="s">
        <v>82</v>
      </c>
    </row>
    <row r="22" customFormat="false" ht="15" hidden="false" customHeight="false" outlineLevel="0" collapsed="false">
      <c r="A22" s="15" t="s">
        <v>83</v>
      </c>
      <c r="B22" s="16"/>
      <c r="C22" s="16"/>
      <c r="D22" s="16"/>
      <c r="E22" s="16"/>
      <c r="F22" s="16"/>
      <c r="G22" s="16"/>
    </row>
    <row r="23" customFormat="false" ht="15" hidden="false" customHeight="false" outlineLevel="0" collapsed="false">
      <c r="A23" s="4" t="s">
        <v>84</v>
      </c>
      <c r="B23" s="24" t="n">
        <v>0.87</v>
      </c>
    </row>
    <row r="24" customFormat="false" ht="15" hidden="false" customHeight="false" outlineLevel="0" collapsed="false">
      <c r="A24" s="4" t="s">
        <v>85</v>
      </c>
      <c r="B24" s="23" t="n">
        <v>5</v>
      </c>
      <c r="G24" s="3" t="s">
        <v>86</v>
      </c>
    </row>
    <row r="25" customFormat="false" ht="15" hidden="false" customHeight="false" outlineLevel="0" collapsed="false">
      <c r="A25" s="4" t="s">
        <v>87</v>
      </c>
      <c r="B25" s="23" t="n">
        <v>21</v>
      </c>
      <c r="G25" s="3" t="s">
        <v>88</v>
      </c>
    </row>
    <row r="26" customFormat="false" ht="15" hidden="false" customHeight="false" outlineLevel="0" collapsed="false">
      <c r="A26" s="4" t="s">
        <v>89</v>
      </c>
      <c r="B26" s="24" t="n">
        <v>0.15</v>
      </c>
      <c r="G26" s="3" t="s">
        <v>90</v>
      </c>
    </row>
    <row r="27" customFormat="false" ht="15" hidden="false" customHeight="false" outlineLevel="0" collapsed="false">
      <c r="A27" s="4" t="s">
        <v>91</v>
      </c>
      <c r="B27" s="24" t="n">
        <v>0.03</v>
      </c>
    </row>
    <row r="28" customFormat="false" ht="15" hidden="false" customHeight="false" outlineLevel="0" collapsed="false">
      <c r="A28" s="4" t="s">
        <v>92</v>
      </c>
      <c r="B28" s="27" t="n">
        <v>4.5</v>
      </c>
      <c r="G28" s="3" t="s">
        <v>93</v>
      </c>
    </row>
    <row r="29" customFormat="false" ht="15" hidden="false" customHeight="false" outlineLevel="0" collapsed="false">
      <c r="A29" s="4" t="s">
        <v>94</v>
      </c>
      <c r="B29" s="27" t="n">
        <v>4</v>
      </c>
      <c r="G29" s="3" t="s">
        <v>95</v>
      </c>
    </row>
    <row r="30" customFormat="false" ht="15" hidden="false" customHeight="false" outlineLevel="0" collapsed="false">
      <c r="A30" s="4" t="s">
        <v>96</v>
      </c>
      <c r="B30" s="27" t="n">
        <v>1.5</v>
      </c>
      <c r="G30" s="3" t="s">
        <v>95</v>
      </c>
    </row>
    <row r="31" customFormat="false" ht="15" hidden="false" customHeight="false" outlineLevel="0" collapsed="false">
      <c r="A31" s="4" t="s">
        <v>97</v>
      </c>
      <c r="B31" s="24" t="n">
        <v>0.02</v>
      </c>
    </row>
    <row r="32" customFormat="false" ht="15" hidden="false" customHeight="false" outlineLevel="0" collapsed="false">
      <c r="A32" s="4" t="s">
        <v>98</v>
      </c>
      <c r="B32" s="27" t="n">
        <v>3</v>
      </c>
      <c r="G32" s="3" t="s">
        <v>95</v>
      </c>
    </row>
    <row r="33" customFormat="false" ht="15" hidden="false" customHeight="false" outlineLevel="0" collapsed="false">
      <c r="A33" s="4" t="s">
        <v>99</v>
      </c>
      <c r="B33" s="23" t="n">
        <v>14</v>
      </c>
      <c r="C33" s="23" t="n">
        <v>12.5</v>
      </c>
      <c r="D33" s="23" t="n">
        <v>11</v>
      </c>
      <c r="G33" s="3" t="s">
        <v>100</v>
      </c>
    </row>
    <row r="34" customFormat="false" ht="15" hidden="false" customHeight="false" outlineLevel="0" collapsed="false">
      <c r="A34" s="4" t="s">
        <v>101</v>
      </c>
      <c r="B34" s="23" t="n">
        <v>165</v>
      </c>
      <c r="G34" s="3" t="s">
        <v>102</v>
      </c>
    </row>
    <row r="35" customFormat="false" ht="15" hidden="false" customHeight="false" outlineLevel="0" collapsed="false">
      <c r="A35" s="4" t="s">
        <v>103</v>
      </c>
      <c r="B35" s="24" t="n">
        <v>0.35</v>
      </c>
      <c r="C35" s="24" t="n">
        <v>0.24</v>
      </c>
      <c r="D35" s="24" t="n">
        <v>0.18</v>
      </c>
      <c r="E35" s="24" t="n">
        <v>0.14</v>
      </c>
      <c r="F35" s="24" t="n">
        <v>0.12</v>
      </c>
      <c r="G35" s="24" t="n">
        <v>0.09</v>
      </c>
    </row>
    <row r="36" customFormat="false" ht="15" hidden="false" customHeight="false" outlineLevel="0" collapsed="false">
      <c r="A36" s="4" t="s">
        <v>104</v>
      </c>
      <c r="B36" s="24" t="n">
        <v>0.15</v>
      </c>
      <c r="C36" s="24" t="n">
        <v>0.19</v>
      </c>
      <c r="D36" s="24" t="n">
        <v>0.12</v>
      </c>
      <c r="E36" s="24" t="n">
        <v>0.09</v>
      </c>
      <c r="F36" s="24" t="n">
        <v>0.07</v>
      </c>
      <c r="G36" s="24" t="n">
        <v>0.06</v>
      </c>
      <c r="H36" s="24" t="n">
        <v>0.05</v>
      </c>
      <c r="I36" s="24" t="n">
        <v>0.045</v>
      </c>
      <c r="J36" s="24" t="n">
        <v>0.04</v>
      </c>
      <c r="K36" s="24" t="n">
        <v>0.035</v>
      </c>
    </row>
    <row r="37" customFormat="false" ht="15" hidden="false" customHeight="false" outlineLevel="0" collapsed="false">
      <c r="A37" s="4" t="s">
        <v>105</v>
      </c>
      <c r="B37" s="24" t="n">
        <v>0.1</v>
      </c>
    </row>
    <row r="39" customFormat="false" ht="15" hidden="false" customHeight="false" outlineLevel="0" collapsed="false">
      <c r="A39" s="15" t="s">
        <v>106</v>
      </c>
      <c r="B39" s="16"/>
      <c r="C39" s="16"/>
      <c r="D39" s="16"/>
      <c r="E39" s="16"/>
      <c r="F39" s="16"/>
      <c r="G39" s="16"/>
    </row>
    <row r="40" customFormat="false" ht="15" hidden="false" customHeight="false" outlineLevel="0" collapsed="false">
      <c r="A40" s="4" t="s">
        <v>107</v>
      </c>
      <c r="B40" s="24" t="n">
        <v>0.35</v>
      </c>
    </row>
    <row r="41" customFormat="false" ht="15" hidden="false" customHeight="false" outlineLevel="0" collapsed="false">
      <c r="A41" s="4" t="s">
        <v>108</v>
      </c>
      <c r="B41" s="27" t="n">
        <v>7</v>
      </c>
      <c r="G41" s="3" t="s">
        <v>95</v>
      </c>
    </row>
    <row r="42" customFormat="false" ht="15" hidden="false" customHeight="false" outlineLevel="0" collapsed="false">
      <c r="A42" s="4" t="s">
        <v>109</v>
      </c>
      <c r="B42" s="28" t="n">
        <v>5</v>
      </c>
    </row>
    <row r="43" customFormat="false" ht="15" hidden="false" customHeight="false" outlineLevel="0" collapsed="false">
      <c r="A43" s="4" t="s">
        <v>110</v>
      </c>
      <c r="B43" s="27" t="n">
        <v>3.06</v>
      </c>
      <c r="G43" s="3" t="s">
        <v>111</v>
      </c>
    </row>
    <row r="44" customFormat="false" ht="15" hidden="false" customHeight="false" outlineLevel="0" collapsed="false">
      <c r="A44" s="4" t="s">
        <v>112</v>
      </c>
      <c r="B44" s="27" t="n">
        <v>0.3</v>
      </c>
      <c r="G44" s="3" t="s">
        <v>95</v>
      </c>
    </row>
    <row r="45" customFormat="false" ht="15" hidden="false" customHeight="false" outlineLevel="0" collapsed="false">
      <c r="A45" s="4" t="s">
        <v>113</v>
      </c>
      <c r="B45" s="27" t="n">
        <v>110.62</v>
      </c>
      <c r="G45" s="3" t="s">
        <v>114</v>
      </c>
    </row>
    <row r="46" customFormat="false" ht="15" hidden="false" customHeight="false" outlineLevel="0" collapsed="false">
      <c r="A46" s="4" t="s">
        <v>11</v>
      </c>
      <c r="B46" s="27" t="n">
        <v>73.35</v>
      </c>
      <c r="G46" s="3" t="s">
        <v>115</v>
      </c>
    </row>
    <row r="47" customFormat="false" ht="15" hidden="false" customHeight="false" outlineLevel="0" collapsed="false">
      <c r="A47" s="4" t="s">
        <v>116</v>
      </c>
      <c r="B47" s="23" t="n">
        <v>165</v>
      </c>
    </row>
  </sheetData>
  <dataValidations count="1">
    <dataValidation allowBlank="false" errorStyle="stop" operator="between" showDropDown="false" showErrorMessage="false" showInputMessage="false" sqref="B4" type="list">
      <formula1>"Low,Base,High,Extreme"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0"/>
    <col collapsed="false" customWidth="true" hidden="false" outlineLevel="0" max="6" min="3" style="1" width="3"/>
    <col collapsed="false" customWidth="true" hidden="false" outlineLevel="0" max="35" min="7" style="1" width="9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2" t="s">
        <v>118</v>
      </c>
      <c r="G3" s="29" t="n">
        <v>1</v>
      </c>
      <c r="H3" s="29" t="n">
        <v>2</v>
      </c>
      <c r="I3" s="29" t="n">
        <v>3</v>
      </c>
      <c r="J3" s="29" t="n">
        <v>4</v>
      </c>
      <c r="K3" s="29" t="n">
        <v>5</v>
      </c>
      <c r="L3" s="29" t="n">
        <v>6</v>
      </c>
      <c r="M3" s="29" t="n">
        <v>7</v>
      </c>
      <c r="N3" s="29" t="n">
        <v>8</v>
      </c>
      <c r="O3" s="29" t="n">
        <v>9</v>
      </c>
      <c r="P3" s="29" t="n">
        <v>10</v>
      </c>
      <c r="Q3" s="29" t="n">
        <v>11</v>
      </c>
      <c r="R3" s="29" t="n">
        <v>12</v>
      </c>
      <c r="S3" s="29" t="n">
        <v>13</v>
      </c>
      <c r="T3" s="29" t="n">
        <v>14</v>
      </c>
      <c r="U3" s="29" t="n">
        <v>15</v>
      </c>
      <c r="V3" s="29" t="n">
        <v>16</v>
      </c>
      <c r="W3" s="29" t="n">
        <v>17</v>
      </c>
      <c r="X3" s="29" t="n">
        <v>18</v>
      </c>
      <c r="Y3" s="29" t="n">
        <v>19</v>
      </c>
      <c r="Z3" s="29" t="n">
        <v>20</v>
      </c>
      <c r="AA3" s="29" t="n">
        <v>21</v>
      </c>
      <c r="AB3" s="29" t="n">
        <v>22</v>
      </c>
      <c r="AC3" s="29" t="n">
        <v>23</v>
      </c>
      <c r="AD3" s="29" t="n">
        <v>24</v>
      </c>
      <c r="AE3" s="29" t="n">
        <v>25</v>
      </c>
      <c r="AF3" s="29" t="n">
        <v>26</v>
      </c>
      <c r="AG3" s="29" t="n">
        <v>27</v>
      </c>
      <c r="AH3" s="29" t="n">
        <v>28</v>
      </c>
      <c r="AI3" s="29" t="n">
        <v>29</v>
      </c>
    </row>
    <row r="4" customFormat="false" ht="15" hidden="false" customHeight="false" outlineLevel="0" collapsed="false">
      <c r="A4" s="2" t="s">
        <v>119</v>
      </c>
      <c r="G4" s="29" t="n">
        <v>2027</v>
      </c>
      <c r="H4" s="29" t="n">
        <v>2028</v>
      </c>
      <c r="I4" s="29" t="n">
        <v>2029</v>
      </c>
      <c r="J4" s="29" t="n">
        <v>2030</v>
      </c>
      <c r="K4" s="29" t="n">
        <v>2031</v>
      </c>
      <c r="L4" s="29" t="n">
        <v>2032</v>
      </c>
      <c r="M4" s="29" t="n">
        <v>2033</v>
      </c>
      <c r="N4" s="29" t="n">
        <v>2034</v>
      </c>
      <c r="O4" s="29" t="n">
        <v>2035</v>
      </c>
      <c r="P4" s="29" t="n">
        <v>2036</v>
      </c>
      <c r="Q4" s="29" t="n">
        <v>2037</v>
      </c>
      <c r="R4" s="29" t="n">
        <v>2038</v>
      </c>
      <c r="S4" s="29" t="n">
        <v>2039</v>
      </c>
      <c r="T4" s="29" t="n">
        <v>2040</v>
      </c>
      <c r="U4" s="29" t="n">
        <v>2041</v>
      </c>
      <c r="V4" s="29" t="n">
        <v>2042</v>
      </c>
      <c r="W4" s="29" t="n">
        <v>2043</v>
      </c>
      <c r="X4" s="29" t="n">
        <v>2044</v>
      </c>
      <c r="Y4" s="29" t="n">
        <v>2045</v>
      </c>
      <c r="Z4" s="29" t="n">
        <v>2046</v>
      </c>
      <c r="AA4" s="29" t="n">
        <v>2047</v>
      </c>
      <c r="AB4" s="29" t="n">
        <v>2048</v>
      </c>
      <c r="AC4" s="29" t="n">
        <v>2049</v>
      </c>
      <c r="AD4" s="29" t="n">
        <v>2050</v>
      </c>
      <c r="AE4" s="29" t="n">
        <v>2051</v>
      </c>
      <c r="AF4" s="29" t="n">
        <v>2052</v>
      </c>
      <c r="AG4" s="29" t="n">
        <v>2053</v>
      </c>
      <c r="AH4" s="29" t="n">
        <v>2054</v>
      </c>
      <c r="AI4" s="29" t="n">
        <v>2055</v>
      </c>
    </row>
    <row r="5" customFormat="false" ht="15" hidden="false" customHeight="false" outlineLevel="0" collapsed="false">
      <c r="A5" s="4" t="s">
        <v>120</v>
      </c>
      <c r="G5" s="30" t="n">
        <f aca="false">(1+Infl)^(G3-0.5)</f>
        <v>1.00995049383621</v>
      </c>
      <c r="H5" s="30" t="n">
        <f aca="false">(1+Infl)^(H3-0.5)</f>
        <v>1.03014950371293</v>
      </c>
      <c r="I5" s="30" t="n">
        <f aca="false">(1+Infl)^(I3-0.5)</f>
        <v>1.05075249378719</v>
      </c>
      <c r="J5" s="30" t="n">
        <f aca="false">(1+Infl)^(J3-0.5)</f>
        <v>1.07176754366293</v>
      </c>
      <c r="K5" s="30" t="n">
        <f aca="false">(1+Infl)^(K3-0.5)</f>
        <v>1.09320289453619</v>
      </c>
      <c r="L5" s="30" t="n">
        <f aca="false">(1+Infl)^(L3-0.5)</f>
        <v>1.11506695242692</v>
      </c>
      <c r="M5" s="30" t="n">
        <f aca="false">(1+Infl)^(M3-0.5)</f>
        <v>1.13736829147546</v>
      </c>
      <c r="N5" s="30" t="n">
        <f aca="false">(1+Infl)^(N3-0.5)</f>
        <v>1.16011565730496</v>
      </c>
      <c r="O5" s="30" t="n">
        <f aca="false">(1+Infl)^(O3-0.5)</f>
        <v>1.18331797045106</v>
      </c>
      <c r="P5" s="30" t="n">
        <f aca="false">(1+Infl)^(P3-0.5)</f>
        <v>1.20698432986009</v>
      </c>
      <c r="Q5" s="30" t="n">
        <f aca="false">(1+Infl)^(Q3-0.5)</f>
        <v>1.23112401645729</v>
      </c>
      <c r="R5" s="30" t="n">
        <f aca="false">(1+Infl)^(R3-0.5)</f>
        <v>1.25574649678643</v>
      </c>
      <c r="S5" s="30" t="n">
        <f aca="false">(1+Infl)^(S3-0.5)</f>
        <v>1.28086142672216</v>
      </c>
      <c r="T5" s="30" t="n">
        <f aca="false">(1+Infl)^(T3-0.5)</f>
        <v>1.3064786552566</v>
      </c>
      <c r="U5" s="30" t="n">
        <f aca="false">(1+Infl)^(U3-0.5)</f>
        <v>1.33260822836174</v>
      </c>
      <c r="V5" s="30" t="n">
        <f aca="false">(1+Infl)^(V3-0.5)</f>
        <v>1.35926039292897</v>
      </c>
      <c r="W5" s="30" t="n">
        <f aca="false">(1+Infl)^(W3-0.5)</f>
        <v>1.38644560078755</v>
      </c>
      <c r="X5" s="30" t="n">
        <f aca="false">(1+Infl)^(X3-0.5)</f>
        <v>1.4141745128033</v>
      </c>
      <c r="Y5" s="30" t="n">
        <f aca="false">(1+Infl)^(Y3-0.5)</f>
        <v>1.44245800305937</v>
      </c>
      <c r="Z5" s="30" t="n">
        <f aca="false">(1+Infl)^(Z3-0.5)</f>
        <v>1.47130716312056</v>
      </c>
      <c r="AA5" s="30" t="n">
        <f aca="false">(1+Infl)^(AA3-0.5)</f>
        <v>1.50073330638297</v>
      </c>
      <c r="AB5" s="30" t="n">
        <f aca="false">(1+Infl)^(AB3-0.5)</f>
        <v>1.53074797251063</v>
      </c>
      <c r="AC5" s="30" t="n">
        <f aca="false">(1+Infl)^(AC3-0.5)</f>
        <v>1.56136293196084</v>
      </c>
      <c r="AD5" s="30" t="n">
        <f aca="false">(1+Infl)^(AD3-0.5)</f>
        <v>1.59259019060006</v>
      </c>
      <c r="AE5" s="30" t="n">
        <f aca="false">(1+Infl)^(AE3-0.5)</f>
        <v>1.62444199441206</v>
      </c>
      <c r="AF5" s="30" t="n">
        <f aca="false">(1+Infl)^(AF3-0.5)</f>
        <v>1.6569308343003</v>
      </c>
      <c r="AG5" s="30" t="n">
        <f aca="false">(1+Infl)^(AG3-0.5)</f>
        <v>1.6900694509863</v>
      </c>
      <c r="AH5" s="30" t="n">
        <f aca="false">(1+Infl)^(AH3-0.5)</f>
        <v>1.72387084000603</v>
      </c>
      <c r="AI5" s="30" t="n">
        <f aca="false">(1+Infl)^(AI3-0.5)</f>
        <v>1.75834825680615</v>
      </c>
    </row>
    <row r="6" customFormat="false" ht="15" hidden="false" customHeight="false" outlineLevel="0" collapsed="false">
      <c r="A6" s="4" t="s">
        <v>121</v>
      </c>
      <c r="G6" s="30" t="n">
        <f aca="false">(1+CostEsc)^(G3-0.5)</f>
        <v>1.00995049383621</v>
      </c>
      <c r="H6" s="30" t="n">
        <f aca="false">(1+CostEsc)^(H3-0.5)</f>
        <v>1.03014950371293</v>
      </c>
      <c r="I6" s="30" t="n">
        <f aca="false">(1+CostEsc)^(I3-0.5)</f>
        <v>1.05075249378719</v>
      </c>
      <c r="J6" s="30" t="n">
        <f aca="false">(1+CostEsc)^(J3-0.5)</f>
        <v>1.07176754366293</v>
      </c>
      <c r="K6" s="30" t="n">
        <f aca="false">(1+CostEsc)^(K3-0.5)</f>
        <v>1.09320289453619</v>
      </c>
      <c r="L6" s="30" t="n">
        <f aca="false">(1+CostEsc)^(L3-0.5)</f>
        <v>1.11506695242692</v>
      </c>
      <c r="M6" s="30" t="n">
        <f aca="false">(1+CostEsc)^(M3-0.5)</f>
        <v>1.13736829147546</v>
      </c>
      <c r="N6" s="30" t="n">
        <f aca="false">(1+CostEsc)^(N3-0.5)</f>
        <v>1.16011565730496</v>
      </c>
      <c r="O6" s="30" t="n">
        <f aca="false">(1+CostEsc)^(O3-0.5)</f>
        <v>1.18331797045106</v>
      </c>
      <c r="P6" s="30" t="n">
        <f aca="false">(1+CostEsc)^(P3-0.5)</f>
        <v>1.20698432986009</v>
      </c>
      <c r="Q6" s="30" t="n">
        <f aca="false">(1+CostEsc)^(Q3-0.5)</f>
        <v>1.23112401645729</v>
      </c>
      <c r="R6" s="30" t="n">
        <f aca="false">(1+CostEsc)^(R3-0.5)</f>
        <v>1.25574649678643</v>
      </c>
      <c r="S6" s="30" t="n">
        <f aca="false">(1+CostEsc)^(S3-0.5)</f>
        <v>1.28086142672216</v>
      </c>
      <c r="T6" s="30" t="n">
        <f aca="false">(1+CostEsc)^(T3-0.5)</f>
        <v>1.3064786552566</v>
      </c>
      <c r="U6" s="30" t="n">
        <f aca="false">(1+CostEsc)^(U3-0.5)</f>
        <v>1.33260822836174</v>
      </c>
      <c r="V6" s="30" t="n">
        <f aca="false">(1+CostEsc)^(V3-0.5)</f>
        <v>1.35926039292897</v>
      </c>
      <c r="W6" s="30" t="n">
        <f aca="false">(1+CostEsc)^(W3-0.5)</f>
        <v>1.38644560078755</v>
      </c>
      <c r="X6" s="30" t="n">
        <f aca="false">(1+CostEsc)^(X3-0.5)</f>
        <v>1.4141745128033</v>
      </c>
      <c r="Y6" s="30" t="n">
        <f aca="false">(1+CostEsc)^(Y3-0.5)</f>
        <v>1.44245800305937</v>
      </c>
      <c r="Z6" s="30" t="n">
        <f aca="false">(1+CostEsc)^(Z3-0.5)</f>
        <v>1.47130716312056</v>
      </c>
      <c r="AA6" s="30" t="n">
        <f aca="false">(1+CostEsc)^(AA3-0.5)</f>
        <v>1.50073330638297</v>
      </c>
      <c r="AB6" s="30" t="n">
        <f aca="false">(1+CostEsc)^(AB3-0.5)</f>
        <v>1.53074797251063</v>
      </c>
      <c r="AC6" s="30" t="n">
        <f aca="false">(1+CostEsc)^(AC3-0.5)</f>
        <v>1.56136293196084</v>
      </c>
      <c r="AD6" s="30" t="n">
        <f aca="false">(1+CostEsc)^(AD3-0.5)</f>
        <v>1.59259019060006</v>
      </c>
      <c r="AE6" s="30" t="n">
        <f aca="false">(1+CostEsc)^(AE3-0.5)</f>
        <v>1.62444199441206</v>
      </c>
      <c r="AF6" s="30" t="n">
        <f aca="false">(1+CostEsc)^(AF3-0.5)</f>
        <v>1.6569308343003</v>
      </c>
      <c r="AG6" s="30" t="n">
        <f aca="false">(1+CostEsc)^(AG3-0.5)</f>
        <v>1.6900694509863</v>
      </c>
      <c r="AH6" s="30" t="n">
        <f aca="false">(1+CostEsc)^(AH3-0.5)</f>
        <v>1.72387084000603</v>
      </c>
      <c r="AI6" s="30" t="n">
        <f aca="false">(1+CostEsc)^(AI3-0.5)</f>
        <v>1.75834825680615</v>
      </c>
    </row>
    <row r="7" customFormat="false" ht="15" hidden="false" customHeight="false" outlineLevel="0" collapsed="false">
      <c r="A7" s="2" t="s">
        <v>122</v>
      </c>
      <c r="G7" s="26" t="n">
        <f aca="false">Fut1</f>
        <v>90</v>
      </c>
      <c r="H7" s="26" t="n">
        <f aca="false">Fut2+0.5*(BrentLR*H5-BrentLRBase*H5)</f>
        <v>77</v>
      </c>
      <c r="I7" s="26" t="n">
        <f aca="false">Fut3+(BrentLR*I5-BrentLRBase*I5)</f>
        <v>75.5</v>
      </c>
      <c r="J7" s="26" t="n">
        <f aca="false">BrentLR*J5</f>
        <v>77.1672631437313</v>
      </c>
      <c r="K7" s="26" t="n">
        <f aca="false">BrentLR*K5</f>
        <v>78.7106084066059</v>
      </c>
      <c r="L7" s="26" t="n">
        <f aca="false">BrentLR*L5</f>
        <v>80.284820574738</v>
      </c>
      <c r="M7" s="26" t="n">
        <f aca="false">BrentLR*M5</f>
        <v>81.8905169862328</v>
      </c>
      <c r="N7" s="26" t="n">
        <f aca="false">BrentLR*N5</f>
        <v>83.5283273259574</v>
      </c>
      <c r="O7" s="26" t="n">
        <f aca="false">BrentLR*O5</f>
        <v>85.1988938724766</v>
      </c>
      <c r="P7" s="26" t="n">
        <f aca="false">BrentLR*P5</f>
        <v>86.9028717499261</v>
      </c>
      <c r="Q7" s="26" t="n">
        <f aca="false">BrentLR*Q5</f>
        <v>88.6409291849247</v>
      </c>
      <c r="R7" s="26" t="n">
        <f aca="false">BrentLR*R5</f>
        <v>90.4137477686232</v>
      </c>
      <c r="S7" s="26" t="n">
        <f aca="false">BrentLR*S5</f>
        <v>92.2220227239956</v>
      </c>
      <c r="T7" s="26" t="n">
        <f aca="false">BrentLR*T5</f>
        <v>94.0664631784755</v>
      </c>
      <c r="U7" s="26" t="n">
        <f aca="false">BrentLR*U5</f>
        <v>95.947792442045</v>
      </c>
      <c r="V7" s="26" t="n">
        <f aca="false">BrentLR*V5</f>
        <v>97.866748290886</v>
      </c>
      <c r="W7" s="26" t="n">
        <f aca="false">BrentLR*W5</f>
        <v>99.8240832567037</v>
      </c>
      <c r="X7" s="26" t="n">
        <f aca="false">BrentLR*X5</f>
        <v>101.820564921838</v>
      </c>
      <c r="Y7" s="26" t="n">
        <f aca="false">BrentLR*Y5</f>
        <v>103.856976220274</v>
      </c>
      <c r="Z7" s="26" t="n">
        <f aca="false">BrentLR*Z5</f>
        <v>105.93411574468</v>
      </c>
      <c r="AA7" s="26" t="n">
        <f aca="false">BrentLR*AA5</f>
        <v>108.052798059574</v>
      </c>
      <c r="AB7" s="26" t="n">
        <f aca="false">BrentLR*AB5</f>
        <v>110.213854020765</v>
      </c>
      <c r="AC7" s="26" t="n">
        <f aca="false">BrentLR*AC5</f>
        <v>112.41813110118</v>
      </c>
      <c r="AD7" s="26" t="n">
        <f aca="false">BrentLR*AD5</f>
        <v>114.666493723204</v>
      </c>
      <c r="AE7" s="26" t="n">
        <f aca="false">BrentLR*AE5</f>
        <v>116.959823597668</v>
      </c>
      <c r="AF7" s="26" t="n">
        <f aca="false">BrentLR*AF5</f>
        <v>119.299020069621</v>
      </c>
      <c r="AG7" s="26" t="n">
        <f aca="false">BrentLR*AG5</f>
        <v>121.685000471014</v>
      </c>
      <c r="AH7" s="26" t="n">
        <f aca="false">BrentLR*AH5</f>
        <v>124.118700480434</v>
      </c>
      <c r="AI7" s="26" t="n">
        <f aca="false">BrentLR*AI5</f>
        <v>126.601074490043</v>
      </c>
    </row>
    <row r="8" customFormat="false" ht="15" hidden="false" customHeight="false" outlineLevel="0" collapsed="false">
      <c r="A8" s="4" t="s">
        <v>123</v>
      </c>
      <c r="G8" s="8" t="n">
        <f aca="false">OilShare*(G7-OilDisc)+(1-OilShare)*GasBoe*G6</f>
        <v>76.7071648481729</v>
      </c>
      <c r="H8" s="8" t="n">
        <f aca="false">OilShare*(H7-OilDisc)+(1-OilShare)*GasBoe*H6</f>
        <v>65.4523081451363</v>
      </c>
      <c r="I8" s="8" t="n">
        <f aca="false">OilShare*(I7-OilDisc)+(1-OilShare)*GasBoe*I6</f>
        <v>64.203554308039</v>
      </c>
      <c r="J8" s="8" t="n">
        <f aca="false">OilShare*(J7-OilDisc)+(1-OilShare)*GasBoe*J6</f>
        <v>65.711444329246</v>
      </c>
      <c r="K8" s="8" t="n">
        <f aca="false">OilShare*(K7-OilDisc)+(1-OilShare)*GasBoe*K6</f>
        <v>67.1126732158309</v>
      </c>
      <c r="L8" s="8" t="n">
        <f aca="false">OilShare*(L7-OilDisc)+(1-OilShare)*GasBoe*L6</f>
        <v>68.5419266801476</v>
      </c>
      <c r="M8" s="8" t="n">
        <f aca="false">OilShare*(M7-OilDisc)+(1-OilShare)*GasBoe*M6</f>
        <v>69.9997652137505</v>
      </c>
      <c r="N8" s="8" t="n">
        <f aca="false">OilShare*(N7-OilDisc)+(1-OilShare)*GasBoe*N6</f>
        <v>71.4867605180255</v>
      </c>
      <c r="O8" s="8" t="n">
        <f aca="false">OilShare*(O7-OilDisc)+(1-OilShare)*GasBoe*O6</f>
        <v>73.003495728386</v>
      </c>
      <c r="P8" s="8" t="n">
        <f aca="false">OilShare*(P7-OilDisc)+(1-OilShare)*GasBoe*P6</f>
        <v>74.5505656429538</v>
      </c>
      <c r="Q8" s="8" t="n">
        <f aca="false">OilShare*(Q7-OilDisc)+(1-OilShare)*GasBoe*Q6</f>
        <v>76.1285769558129</v>
      </c>
      <c r="R8" s="8" t="n">
        <f aca="false">OilShare*(R7-OilDisc)+(1-OilShare)*GasBoe*R6</f>
        <v>77.7381484949291</v>
      </c>
      <c r="S8" s="8" t="n">
        <f aca="false">OilShare*(S7-OilDisc)+(1-OilShare)*GasBoe*S6</f>
        <v>79.3799114648277</v>
      </c>
      <c r="T8" s="8" t="n">
        <f aca="false">OilShare*(T7-OilDisc)+(1-OilShare)*GasBoe*T6</f>
        <v>81.0545096941242</v>
      </c>
      <c r="U8" s="8" t="n">
        <f aca="false">OilShare*(U7-OilDisc)+(1-OilShare)*GasBoe*U6</f>
        <v>82.7625998880067</v>
      </c>
      <c r="V8" s="8" t="n">
        <f aca="false">OilShare*(V7-OilDisc)+(1-OilShare)*GasBoe*V6</f>
        <v>84.5048518857669</v>
      </c>
      <c r="W8" s="8" t="n">
        <f aca="false">OilShare*(W7-OilDisc)+(1-OilShare)*GasBoe*W6</f>
        <v>86.2819489234822</v>
      </c>
      <c r="X8" s="8" t="n">
        <f aca="false">OilShare*(X7-OilDisc)+(1-OilShare)*GasBoe*X6</f>
        <v>88.0945879019518</v>
      </c>
      <c r="Y8" s="8" t="n">
        <f aca="false">OilShare*(Y7-OilDisc)+(1-OilShare)*GasBoe*Y6</f>
        <v>89.9434796599909</v>
      </c>
      <c r="Z8" s="8" t="n">
        <f aca="false">OilShare*(Z7-OilDisc)+(1-OilShare)*GasBoe*Z6</f>
        <v>91.8293492531907</v>
      </c>
      <c r="AA8" s="8" t="n">
        <f aca="false">OilShare*(AA7-OilDisc)+(1-OilShare)*GasBoe*AA6</f>
        <v>93.7529362382545</v>
      </c>
      <c r="AB8" s="8" t="n">
        <f aca="false">OilShare*(AB7-OilDisc)+(1-OilShare)*GasBoe*AB6</f>
        <v>95.7149949630196</v>
      </c>
      <c r="AC8" s="8" t="n">
        <f aca="false">OilShare*(AC7-OilDisc)+(1-OilShare)*GasBoe*AC6</f>
        <v>97.71629486228</v>
      </c>
      <c r="AD8" s="8" t="n">
        <f aca="false">OilShare*(AD7-OilDisc)+(1-OilShare)*GasBoe*AD6</f>
        <v>99.7576207595256</v>
      </c>
      <c r="AE8" s="8" t="n">
        <f aca="false">OilShare*(AE7-OilDisc)+(1-OilShare)*GasBoe*AE6</f>
        <v>101.839773174716</v>
      </c>
      <c r="AF8" s="8" t="n">
        <f aca="false">OilShare*(AF7-OilDisc)+(1-OilShare)*GasBoe*AF6</f>
        <v>103.96356863821</v>
      </c>
      <c r="AG8" s="8" t="n">
        <f aca="false">OilShare*(AG7-OilDisc)+(1-OilShare)*GasBoe*AG6</f>
        <v>106.129840010975</v>
      </c>
      <c r="AH8" s="8" t="n">
        <f aca="false">OilShare*(AH7-OilDisc)+(1-OilShare)*GasBoe*AH6</f>
        <v>108.339436811194</v>
      </c>
      <c r="AI8" s="8" t="n">
        <f aca="false">OilShare*(AI7-OilDisc)+(1-OilShare)*GasBoe*AI6</f>
        <v>110.593225547418</v>
      </c>
    </row>
    <row r="9" customFormat="false" ht="15" hidden="false" customHeight="false" outlineLevel="0" collapsed="false">
      <c r="A9" s="2" t="s">
        <v>124</v>
      </c>
      <c r="G9" s="31" t="n">
        <f aca="false">G8*(1-Royalty-Turnover-ExportDuty)-(Lifting+Transport+GNA)*G6</f>
        <v>52.8003702371397</v>
      </c>
      <c r="H9" s="31" t="n">
        <f aca="false">H8*(1-Royalty-Turnover-ExportDuty)-(Lifting+Transport+GNA)*H6</f>
        <v>43.3693976418824</v>
      </c>
      <c r="I9" s="31" t="n">
        <f aca="false">I8*(1-Royalty-Turnover-ExportDuty)-(Lifting+Transport+GNA)*I6</f>
        <v>42.1393895947201</v>
      </c>
      <c r="J9" s="31" t="n">
        <f aca="false">J8*(1-Royalty-Turnover-ExportDuty)-(Lifting+Transport+GNA)*J6</f>
        <v>43.1657089133524</v>
      </c>
      <c r="K9" s="31" t="n">
        <f aca="false">K8*(1-Royalty-Turnover-ExportDuty)-(Lifting+Transport+GNA)*K6</f>
        <v>44.1003630916194</v>
      </c>
      <c r="L9" s="31" t="n">
        <f aca="false">L8*(1-Royalty-Turnover-ExportDuty)-(Lifting+Transport+GNA)*L6</f>
        <v>45.0537103534518</v>
      </c>
      <c r="M9" s="31" t="n">
        <f aca="false">M8*(1-Royalty-Turnover-ExportDuty)-(Lifting+Transport+GNA)*M6</f>
        <v>46.0261245605209</v>
      </c>
      <c r="N9" s="31" t="n">
        <f aca="false">N8*(1-Royalty-Turnover-ExportDuty)-(Lifting+Transport+GNA)*N6</f>
        <v>47.0179870517313</v>
      </c>
      <c r="O9" s="31" t="n">
        <f aca="false">O8*(1-Royalty-Turnover-ExportDuty)-(Lifting+Transport+GNA)*O6</f>
        <v>48.0296867927659</v>
      </c>
      <c r="P9" s="31" t="n">
        <f aca="false">P8*(1-Royalty-Turnover-ExportDuty)-(Lifting+Transport+GNA)*P6</f>
        <v>49.0616205286212</v>
      </c>
      <c r="Q9" s="31" t="n">
        <f aca="false">Q8*(1-Royalty-Turnover-ExportDuty)-(Lifting+Transport+GNA)*Q6</f>
        <v>50.1141929391937</v>
      </c>
      <c r="R9" s="31" t="n">
        <f aca="false">R8*(1-Royalty-Turnover-ExportDuty)-(Lifting+Transport+GNA)*R6</f>
        <v>51.1878167979775</v>
      </c>
      <c r="S9" s="31" t="n">
        <f aca="false">S8*(1-Royalty-Turnover-ExportDuty)-(Lifting+Transport+GNA)*S6</f>
        <v>52.2829131339371</v>
      </c>
      <c r="T9" s="31" t="n">
        <f aca="false">T8*(1-Royalty-Turnover-ExportDuty)-(Lifting+Transport+GNA)*T6</f>
        <v>53.3999113966158</v>
      </c>
      <c r="U9" s="31" t="n">
        <f aca="false">U8*(1-Royalty-Turnover-ExportDuty)-(Lifting+Transport+GNA)*U6</f>
        <v>54.5392496245481</v>
      </c>
      <c r="V9" s="31" t="n">
        <f aca="false">V8*(1-Royalty-Turnover-ExportDuty)-(Lifting+Transport+GNA)*V6</f>
        <v>55.7013746170391</v>
      </c>
      <c r="W9" s="31" t="n">
        <f aca="false">W8*(1-Royalty-Turnover-ExportDuty)-(Lifting+Transport+GNA)*W6</f>
        <v>56.8867421093799</v>
      </c>
      <c r="X9" s="31" t="n">
        <f aca="false">X8*(1-Royalty-Turnover-ExportDuty)-(Lifting+Transport+GNA)*X6</f>
        <v>58.0958169515675</v>
      </c>
      <c r="Y9" s="31" t="n">
        <f aca="false">Y8*(1-Royalty-Turnover-ExportDuty)-(Lifting+Transport+GNA)*Y6</f>
        <v>59.3290732905988</v>
      </c>
      <c r="Z9" s="31" t="n">
        <f aca="false">Z8*(1-Royalty-Turnover-ExportDuty)-(Lifting+Transport+GNA)*Z6</f>
        <v>60.5869947564108</v>
      </c>
      <c r="AA9" s="31" t="n">
        <f aca="false">AA8*(1-Royalty-Turnover-ExportDuty)-(Lifting+Transport+GNA)*AA6</f>
        <v>61.870074651539</v>
      </c>
      <c r="AB9" s="31" t="n">
        <f aca="false">AB8*(1-Royalty-Turnover-ExportDuty)-(Lifting+Transport+GNA)*AB6</f>
        <v>63.1788161445698</v>
      </c>
      <c r="AC9" s="31" t="n">
        <f aca="false">AC8*(1-Royalty-Turnover-ExportDuty)-(Lifting+Transport+GNA)*AC6</f>
        <v>64.5137324674612</v>
      </c>
      <c r="AD9" s="31" t="n">
        <f aca="false">AD8*(1-Royalty-Turnover-ExportDuty)-(Lifting+Transport+GNA)*AD6</f>
        <v>65.8753471168105</v>
      </c>
      <c r="AE9" s="31" t="n">
        <f aca="false">AE8*(1-Royalty-Turnover-ExportDuty)-(Lifting+Transport+GNA)*AE6</f>
        <v>67.2641940591467</v>
      </c>
      <c r="AF9" s="31" t="n">
        <f aca="false">AF8*(1-Royalty-Turnover-ExportDuty)-(Lifting+Transport+GNA)*AF6</f>
        <v>68.6808179403296</v>
      </c>
      <c r="AG9" s="31" t="n">
        <f aca="false">AG8*(1-Royalty-Turnover-ExportDuty)-(Lifting+Transport+GNA)*AG6</f>
        <v>70.1257742991362</v>
      </c>
      <c r="AH9" s="31" t="n">
        <f aca="false">AH8*(1-Royalty-Turnover-ExportDuty)-(Lifting+Transport+GNA)*AH6</f>
        <v>71.5996297851189</v>
      </c>
      <c r="AI9" s="31" t="n">
        <f aca="false">AI8*(1-Royalty-Turnover-ExportDuty)-(Lifting+Transport+GNA)*AI6</f>
        <v>73.1029623808213</v>
      </c>
    </row>
    <row r="10" customFormat="false" ht="15" hidden="false" customHeight="false" outlineLevel="0" collapsed="false">
      <c r="A10" s="4" t="s">
        <v>125</v>
      </c>
      <c r="G10" s="8" t="n">
        <f aca="false">WC1*WellCostMult</f>
        <v>14</v>
      </c>
      <c r="H10" s="8" t="n">
        <f aca="false">WC2*WellCostMult</f>
        <v>12.5</v>
      </c>
      <c r="I10" s="8" t="n">
        <f aca="false">WC3*WellCostMult</f>
        <v>11</v>
      </c>
      <c r="J10" s="8" t="n">
        <f aca="false">WC3*(1+CostEsc)^(J3-3)*WellCostMult</f>
        <v>11.22</v>
      </c>
      <c r="K10" s="8" t="n">
        <f aca="false">WC3*(1+CostEsc)^(K3-3)*WellCostMult</f>
        <v>11.4444</v>
      </c>
      <c r="L10" s="8" t="n">
        <f aca="false">WC3*(1+CostEsc)^(L3-3)*WellCostMult</f>
        <v>11.673288</v>
      </c>
      <c r="M10" s="8" t="n">
        <f aca="false">WC3*(1+CostEsc)^(M3-3)*WellCostMult</f>
        <v>11.90675376</v>
      </c>
      <c r="N10" s="8" t="n">
        <f aca="false">WC3*(1+CostEsc)^(N3-3)*WellCostMult</f>
        <v>12.1448888352</v>
      </c>
      <c r="O10" s="8" t="n">
        <f aca="false">WC3*(1+CostEsc)^(O3-3)*WellCostMult</f>
        <v>12.387786611904</v>
      </c>
      <c r="P10" s="8" t="n">
        <f aca="false">WC3*(1+CostEsc)^(P3-3)*WellCostMult</f>
        <v>12.6355423441421</v>
      </c>
      <c r="Q10" s="8" t="n">
        <f aca="false">WC3*(1+CostEsc)^(Q3-3)*WellCostMult</f>
        <v>12.8882531910249</v>
      </c>
      <c r="R10" s="8" t="n">
        <f aca="false">WC3*(1+CostEsc)^(R3-3)*WellCostMult</f>
        <v>13.1460182548454</v>
      </c>
      <c r="S10" s="8" t="n">
        <f aca="false">WC3*(1+CostEsc)^(S3-3)*WellCostMult</f>
        <v>13.4089386199423</v>
      </c>
      <c r="T10" s="8" t="n">
        <f aca="false">WC3*(1+CostEsc)^(T3-3)*WellCostMult</f>
        <v>13.6771173923412</v>
      </c>
      <c r="U10" s="8" t="n">
        <f aca="false">WC3*(1+CostEsc)^(U3-3)*WellCostMult</f>
        <v>13.950659740188</v>
      </c>
      <c r="V10" s="8" t="n">
        <f aca="false">WC3*(1+CostEsc)^(V3-3)*WellCostMult</f>
        <v>14.2296729349918</v>
      </c>
      <c r="W10" s="8" t="n">
        <f aca="false">WC3*(1+CostEsc)^(W3-3)*WellCostMult</f>
        <v>14.5142663936916</v>
      </c>
      <c r="X10" s="8" t="n">
        <f aca="false">WC3*(1+CostEsc)^(X3-3)*WellCostMult</f>
        <v>14.8045517215654</v>
      </c>
      <c r="Y10" s="8" t="n">
        <f aca="false">WC3*(1+CostEsc)^(Y3-3)*WellCostMult</f>
        <v>15.1006427559967</v>
      </c>
      <c r="Z10" s="8" t="n">
        <f aca="false">WC3*(1+CostEsc)^(Z3-3)*WellCostMult</f>
        <v>15.4026556111167</v>
      </c>
      <c r="AA10" s="8" t="n">
        <f aca="false">WC3*(1+CostEsc)^(AA3-3)*WellCostMult</f>
        <v>15.710708723339</v>
      </c>
      <c r="AB10" s="8" t="n">
        <f aca="false">WC3*(1+CostEsc)^(AB3-3)*WellCostMult</f>
        <v>16.0249228978058</v>
      </c>
      <c r="AC10" s="8" t="n">
        <f aca="false">WC3*(1+CostEsc)^(AC3-3)*WellCostMult</f>
        <v>16.3454213557619</v>
      </c>
      <c r="AD10" s="8" t="n">
        <f aca="false">WC3*(1+CostEsc)^(AD3-3)*WellCostMult</f>
        <v>16.6723297828771</v>
      </c>
      <c r="AE10" s="8" t="n">
        <f aca="false">WC3*(1+CostEsc)^(AE3-3)*WellCostMult</f>
        <v>17.0057763785347</v>
      </c>
      <c r="AF10" s="8" t="n">
        <f aca="false">WC3*(1+CostEsc)^(AF3-3)*WellCostMult</f>
        <v>17.3458919061054</v>
      </c>
      <c r="AG10" s="8" t="n">
        <f aca="false">WC3*(1+CostEsc)^(AG3-3)*WellCostMult</f>
        <v>17.6928097442275</v>
      </c>
      <c r="AH10" s="8" t="n">
        <f aca="false">WC3*(1+CostEsc)^(AH3-3)*WellCostMult</f>
        <v>18.046665939112</v>
      </c>
      <c r="AI10" s="8" t="n">
        <f aca="false">WC3*(1+CostEsc)^(AI3-3)*WellCostMult</f>
        <v>18.4075992578943</v>
      </c>
    </row>
    <row r="11" customFormat="false" ht="15" hidden="false" customHeight="false" outlineLevel="0" collapsed="false">
      <c r="A11" s="4" t="s">
        <v>126</v>
      </c>
      <c r="G11" s="21" t="n">
        <v>110</v>
      </c>
      <c r="H11" s="21" t="n">
        <v>125</v>
      </c>
      <c r="I11" s="21" t="n">
        <v>135</v>
      </c>
      <c r="J11" s="21" t="n">
        <v>135</v>
      </c>
      <c r="K11" s="21" t="n">
        <v>135</v>
      </c>
      <c r="L11" s="21" t="n">
        <v>135</v>
      </c>
      <c r="M11" s="21" t="n">
        <v>135</v>
      </c>
      <c r="N11" s="21" t="n">
        <v>135</v>
      </c>
      <c r="O11" s="21" t="n">
        <v>135</v>
      </c>
      <c r="P11" s="21" t="n">
        <v>135</v>
      </c>
      <c r="Q11" s="21" t="n">
        <v>135</v>
      </c>
      <c r="R11" s="21" t="n">
        <v>135</v>
      </c>
      <c r="S11" s="21" t="n">
        <v>135</v>
      </c>
      <c r="T11" s="21" t="n">
        <v>135</v>
      </c>
      <c r="U11" s="21" t="n">
        <v>135</v>
      </c>
      <c r="V11" s="21" t="n">
        <v>135</v>
      </c>
      <c r="W11" s="21" t="n">
        <v>135</v>
      </c>
      <c r="X11" s="21" t="n">
        <v>135</v>
      </c>
      <c r="Y11" s="21" t="n">
        <v>135</v>
      </c>
      <c r="Z11" s="21" t="n">
        <v>135</v>
      </c>
      <c r="AA11" s="21" t="n">
        <v>135</v>
      </c>
      <c r="AB11" s="21" t="n">
        <v>135</v>
      </c>
      <c r="AC11" s="21" t="n">
        <v>135</v>
      </c>
      <c r="AD11" s="21" t="n">
        <v>135</v>
      </c>
      <c r="AE11" s="21" t="n">
        <v>135</v>
      </c>
      <c r="AF11" s="21" t="n">
        <v>135</v>
      </c>
      <c r="AG11" s="21" t="n">
        <v>135</v>
      </c>
      <c r="AH11" s="21" t="n">
        <v>135</v>
      </c>
      <c r="AI11" s="21" t="n">
        <v>135</v>
      </c>
    </row>
    <row r="12" customFormat="false" ht="15" hidden="false" customHeight="false" outlineLevel="0" collapsed="false">
      <c r="A12" s="4" t="s">
        <v>127</v>
      </c>
      <c r="G12" s="11" t="n">
        <f aca="false">Inputs!$B$35</f>
        <v>0.35</v>
      </c>
      <c r="H12" s="11" t="n">
        <f aca="false">Inputs!$C$35</f>
        <v>0.24</v>
      </c>
      <c r="I12" s="11" t="n">
        <f aca="false">Inputs!$D$35</f>
        <v>0.18</v>
      </c>
      <c r="J12" s="11" t="n">
        <f aca="false">Inputs!$E$35</f>
        <v>0.14</v>
      </c>
      <c r="K12" s="11" t="n">
        <f aca="false">Inputs!$F$35</f>
        <v>0.12</v>
      </c>
      <c r="L12" s="11" t="n">
        <f aca="false">Inputs!$G$35</f>
        <v>0.09</v>
      </c>
      <c r="M12" s="11" t="n">
        <f aca="false">Inputs!$G$35</f>
        <v>0.09</v>
      </c>
      <c r="N12" s="11" t="n">
        <f aca="false">Inputs!$G$35</f>
        <v>0.09</v>
      </c>
      <c r="O12" s="11" t="n">
        <f aca="false">Inputs!$G$35</f>
        <v>0.09</v>
      </c>
      <c r="P12" s="11" t="n">
        <f aca="false">Inputs!$G$35</f>
        <v>0.09</v>
      </c>
      <c r="Q12" s="11" t="n">
        <f aca="false">Inputs!$G$35</f>
        <v>0.09</v>
      </c>
      <c r="R12" s="11" t="n">
        <f aca="false">Inputs!$G$35</f>
        <v>0.09</v>
      </c>
      <c r="S12" s="11" t="n">
        <f aca="false">Inputs!$G$35</f>
        <v>0.09</v>
      </c>
      <c r="T12" s="11" t="n">
        <f aca="false">Inputs!$G$35</f>
        <v>0.09</v>
      </c>
      <c r="U12" s="11" t="n">
        <f aca="false">Inputs!$G$35</f>
        <v>0.09</v>
      </c>
      <c r="V12" s="11" t="n">
        <f aca="false">Inputs!$G$35</f>
        <v>0.09</v>
      </c>
      <c r="W12" s="11" t="n">
        <f aca="false">Inputs!$G$35</f>
        <v>0.09</v>
      </c>
      <c r="X12" s="11" t="n">
        <f aca="false">Inputs!$G$35</f>
        <v>0.09</v>
      </c>
      <c r="Y12" s="11" t="n">
        <f aca="false">Inputs!$G$35</f>
        <v>0.09</v>
      </c>
      <c r="Z12" s="11" t="n">
        <f aca="false">Inputs!$G$35</f>
        <v>0.09</v>
      </c>
      <c r="AA12" s="11" t="n">
        <f aca="false">Inputs!$G$35</f>
        <v>0.09</v>
      </c>
      <c r="AB12" s="11" t="n">
        <f aca="false">Inputs!$G$35</f>
        <v>0.09</v>
      </c>
      <c r="AC12" s="11" t="n">
        <f aca="false">Inputs!$G$35</f>
        <v>0.09</v>
      </c>
      <c r="AD12" s="11" t="n">
        <f aca="false">Inputs!$G$35</f>
        <v>0.09</v>
      </c>
      <c r="AE12" s="11" t="n">
        <f aca="false">Inputs!$G$35</f>
        <v>0.09</v>
      </c>
      <c r="AF12" s="11" t="n">
        <f aca="false">Inputs!$G$35</f>
        <v>0.09</v>
      </c>
      <c r="AG12" s="11" t="n">
        <f aca="false">Inputs!$G$35</f>
        <v>0.09</v>
      </c>
      <c r="AH12" s="11" t="n">
        <f aca="false">Inputs!$G$35</f>
        <v>0.09</v>
      </c>
      <c r="AI12" s="11" t="n">
        <f aca="false">Inputs!$G$35</f>
        <v>0.09</v>
      </c>
    </row>
    <row r="13" customFormat="false" ht="15" hidden="false" customHeight="false" outlineLevel="0" collapsed="false">
      <c r="A13" s="4" t="s">
        <v>128</v>
      </c>
      <c r="G13" s="32" t="n">
        <f aca="false">BaseRate</f>
        <v>165</v>
      </c>
      <c r="H13" s="32" t="n">
        <f aca="false">G13*(1-G12)</f>
        <v>107.25</v>
      </c>
      <c r="I13" s="32" t="n">
        <f aca="false">H13*(1-H12)</f>
        <v>81.51</v>
      </c>
      <c r="J13" s="32" t="n">
        <f aca="false">I13*(1-I12)</f>
        <v>66.8382</v>
      </c>
      <c r="K13" s="32" t="n">
        <f aca="false">J13*(1-J12)</f>
        <v>57.480852</v>
      </c>
      <c r="L13" s="32" t="n">
        <f aca="false">K13*(1-K12)</f>
        <v>50.58314976</v>
      </c>
      <c r="M13" s="32" t="n">
        <f aca="false">L13*(1-L12)</f>
        <v>46.0306662816</v>
      </c>
      <c r="N13" s="32" t="n">
        <f aca="false">M13*(1-M12)</f>
        <v>41.887906316256</v>
      </c>
      <c r="O13" s="32" t="n">
        <f aca="false">N13*(1-N12)</f>
        <v>38.117994747793</v>
      </c>
      <c r="P13" s="32" t="n">
        <f aca="false">O13*(1-O12)</f>
        <v>34.6873752204916</v>
      </c>
      <c r="Q13" s="32" t="n">
        <f aca="false">P13*(1-P12)</f>
        <v>31.5655114506474</v>
      </c>
      <c r="R13" s="32" t="n">
        <f aca="false">Q13*(1-Q12)</f>
        <v>28.7246154200891</v>
      </c>
      <c r="S13" s="32" t="n">
        <f aca="false">R13*(1-R12)</f>
        <v>26.1394000322811</v>
      </c>
      <c r="T13" s="32" t="n">
        <f aca="false">S13*(1-S12)</f>
        <v>23.7868540293758</v>
      </c>
      <c r="U13" s="32" t="n">
        <f aca="false">T13*(1-T12)</f>
        <v>21.646037166732</v>
      </c>
      <c r="V13" s="32" t="n">
        <f aca="false">U13*(1-U12)</f>
        <v>19.6978938217261</v>
      </c>
      <c r="W13" s="32" t="n">
        <f aca="false">V13*(1-V12)</f>
        <v>17.9250833777707</v>
      </c>
      <c r="X13" s="32" t="n">
        <f aca="false">W13*(1-W12)</f>
        <v>16.3118258737714</v>
      </c>
      <c r="Y13" s="32" t="n">
        <f aca="false">X13*(1-X12)</f>
        <v>14.843761545132</v>
      </c>
      <c r="Z13" s="32" t="n">
        <f aca="false">Y13*(1-Y12)</f>
        <v>13.5078230060701</v>
      </c>
      <c r="AA13" s="32" t="n">
        <f aca="false">Z13*(1-Z12)</f>
        <v>12.2921189355238</v>
      </c>
      <c r="AB13" s="32" t="n">
        <f aca="false">AA13*(1-AA12)</f>
        <v>11.1858282313266</v>
      </c>
      <c r="AC13" s="32" t="n">
        <f aca="false">AB13*(1-AB12)</f>
        <v>10.1791036905072</v>
      </c>
      <c r="AD13" s="32" t="n">
        <f aca="false">AC13*(1-AC12)</f>
        <v>9.26298435836158</v>
      </c>
      <c r="AE13" s="32" t="n">
        <f aca="false">AD13*(1-AD12)</f>
        <v>8.42931576610904</v>
      </c>
      <c r="AF13" s="32" t="n">
        <f aca="false">AE13*(1-AE12)</f>
        <v>7.67067734715923</v>
      </c>
      <c r="AG13" s="32" t="n">
        <f aca="false">AF13*(1-AF12)</f>
        <v>6.9803163859149</v>
      </c>
      <c r="AH13" s="32" t="n">
        <f aca="false">AG13*(1-AG12)</f>
        <v>6.35208791118256</v>
      </c>
      <c r="AI13" s="32" t="n">
        <f aca="false">AH13*(1-AH12)</f>
        <v>5.78039999917613</v>
      </c>
    </row>
    <row r="14" customFormat="false" ht="15" hidden="false" customHeight="false" outlineLevel="0" collapsed="false">
      <c r="A14" s="4" t="s">
        <v>129</v>
      </c>
      <c r="G14" s="8" t="n">
        <f aca="false">G13*(1-G12/2)*365/1000</f>
        <v>49.685625</v>
      </c>
      <c r="H14" s="8" t="n">
        <f aca="false">H13*(1-H12/2)*365/1000</f>
        <v>34.4487</v>
      </c>
      <c r="I14" s="8" t="n">
        <f aca="false">I13*(1-I12/2)*365/1000</f>
        <v>27.0735465</v>
      </c>
      <c r="J14" s="8" t="n">
        <f aca="false">J13*(1-J12/2)*365/1000</f>
        <v>22.68822699</v>
      </c>
      <c r="K14" s="8" t="n">
        <f aca="false">K13*(1-K12/2)*365/1000</f>
        <v>19.7216803212</v>
      </c>
      <c r="L14" s="8" t="n">
        <f aca="false">L13*(1-L12/2)*365/1000</f>
        <v>17.632021427592</v>
      </c>
      <c r="M14" s="8" t="n">
        <f aca="false">M13*(1-M12/2)*365/1000</f>
        <v>16.0451394991087</v>
      </c>
      <c r="N14" s="8" t="n">
        <f aca="false">N13*(1-N12/2)*365/1000</f>
        <v>14.6010769441889</v>
      </c>
      <c r="O14" s="8" t="n">
        <f aca="false">O13*(1-O12/2)*365/1000</f>
        <v>13.2869800192119</v>
      </c>
      <c r="P14" s="8" t="n">
        <f aca="false">P13*(1-P12/2)*365/1000</f>
        <v>12.0911518174829</v>
      </c>
      <c r="Q14" s="8" t="n">
        <f aca="false">Q13*(1-Q12/2)*365/1000</f>
        <v>11.0029481539094</v>
      </c>
      <c r="R14" s="8" t="n">
        <f aca="false">R13*(1-R12/2)*365/1000</f>
        <v>10.0126828200576</v>
      </c>
      <c r="S14" s="8" t="n">
        <f aca="false">S13*(1-S12/2)*365/1000</f>
        <v>9.11154136625238</v>
      </c>
      <c r="T14" s="8" t="n">
        <f aca="false">T13*(1-T12/2)*365/1000</f>
        <v>8.29150264328967</v>
      </c>
      <c r="U14" s="8" t="n">
        <f aca="false">U13*(1-U12/2)*365/1000</f>
        <v>7.5452674053936</v>
      </c>
      <c r="V14" s="8" t="n">
        <f aca="false">V13*(1-V12/2)*365/1000</f>
        <v>6.86619333890817</v>
      </c>
      <c r="W14" s="8" t="n">
        <f aca="false">W13*(1-W12/2)*365/1000</f>
        <v>6.24823593840644</v>
      </c>
      <c r="X14" s="8" t="n">
        <f aca="false">X13*(1-X12/2)*365/1000</f>
        <v>5.68589470394986</v>
      </c>
      <c r="Y14" s="8" t="n">
        <f aca="false">Y13*(1-Y12/2)*365/1000</f>
        <v>5.17416418059437</v>
      </c>
      <c r="Z14" s="8" t="n">
        <f aca="false">Z13*(1-Z12/2)*365/1000</f>
        <v>4.70848940434088</v>
      </c>
      <c r="AA14" s="8" t="n">
        <f aca="false">AA13*(1-AA12/2)*365/1000</f>
        <v>4.2847253579502</v>
      </c>
      <c r="AB14" s="8" t="n">
        <f aca="false">AB13*(1-AB12/2)*365/1000</f>
        <v>3.89910007573468</v>
      </c>
      <c r="AC14" s="8" t="n">
        <f aca="false">AC13*(1-AC12/2)*365/1000</f>
        <v>3.54818106891856</v>
      </c>
      <c r="AD14" s="8" t="n">
        <f aca="false">AD13*(1-AD12/2)*365/1000</f>
        <v>3.22884477271589</v>
      </c>
      <c r="AE14" s="8" t="n">
        <f aca="false">AE13*(1-AE12/2)*365/1000</f>
        <v>2.93824874317146</v>
      </c>
      <c r="AF14" s="8" t="n">
        <f aca="false">AF13*(1-AF12/2)*365/1000</f>
        <v>2.67380635628603</v>
      </c>
      <c r="AG14" s="8" t="n">
        <f aca="false">AG13*(1-AG12/2)*365/1000</f>
        <v>2.43316378422029</v>
      </c>
      <c r="AH14" s="8" t="n">
        <f aca="false">AH13*(1-AH12/2)*365/1000</f>
        <v>2.21417904364046</v>
      </c>
      <c r="AI14" s="8" t="n">
        <f aca="false">AI13*(1-AI12/2)*365/1000</f>
        <v>2.01490292971282</v>
      </c>
    </row>
    <row r="15" customFormat="false" ht="15" hidden="false" customHeight="false" outlineLevel="0" collapsed="false">
      <c r="A15" s="4" t="s">
        <v>130</v>
      </c>
      <c r="G15" s="11" t="n">
        <f aca="false">Inputs!$B$36</f>
        <v>0.15</v>
      </c>
      <c r="H15" s="11" t="n">
        <f aca="false">Inputs!$C$36</f>
        <v>0.19</v>
      </c>
      <c r="I15" s="11" t="n">
        <f aca="false">Inputs!$D$36</f>
        <v>0.12</v>
      </c>
      <c r="J15" s="11" t="n">
        <f aca="false">Inputs!$E$36</f>
        <v>0.09</v>
      </c>
      <c r="K15" s="11" t="n">
        <f aca="false">Inputs!$F$36</f>
        <v>0.07</v>
      </c>
      <c r="L15" s="11" t="n">
        <f aca="false">Inputs!$G$36</f>
        <v>0.06</v>
      </c>
      <c r="M15" s="11" t="n">
        <f aca="false">Inputs!$H$36</f>
        <v>0.05</v>
      </c>
      <c r="N15" s="11" t="n">
        <f aca="false">Inputs!$I$36</f>
        <v>0.045</v>
      </c>
      <c r="O15" s="11" t="n">
        <f aca="false">Inputs!$J$36</f>
        <v>0.04</v>
      </c>
      <c r="P15" s="11" t="n">
        <f aca="false">Inputs!$K$36</f>
        <v>0.035</v>
      </c>
      <c r="Q15" s="11" t="n">
        <f aca="false">P15*(1-TailDecl)</f>
        <v>0.0315</v>
      </c>
      <c r="R15" s="11" t="n">
        <f aca="false">Q15*(1-TailDecl)</f>
        <v>0.02835</v>
      </c>
      <c r="S15" s="11" t="n">
        <f aca="false">R15*(1-TailDecl)</f>
        <v>0.025515</v>
      </c>
      <c r="T15" s="11" t="n">
        <f aca="false">S15*(1-TailDecl)</f>
        <v>0.0229635</v>
      </c>
      <c r="U15" s="11" t="n">
        <f aca="false">T15*(1-TailDecl)</f>
        <v>0.02066715</v>
      </c>
      <c r="V15" s="11" t="n">
        <f aca="false">U15*(1-TailDecl)</f>
        <v>0.018600435</v>
      </c>
      <c r="W15" s="11" t="n">
        <f aca="false">V15*(1-TailDecl)</f>
        <v>0.0167403915</v>
      </c>
      <c r="X15" s="11" t="n">
        <f aca="false">W15*(1-TailDecl)</f>
        <v>0.01506635235</v>
      </c>
      <c r="Y15" s="11" t="n">
        <f aca="false">X15*(1-TailDecl)</f>
        <v>0.013559717115</v>
      </c>
      <c r="Z15" s="11" t="n">
        <f aca="false">Y15*(1-TailDecl)</f>
        <v>0.0122037454035</v>
      </c>
      <c r="AA15" s="11" t="n">
        <f aca="false">Z15*(1-TailDecl)</f>
        <v>0.01098337086315</v>
      </c>
      <c r="AB15" s="11" t="n">
        <f aca="false">AA15*(1-TailDecl)</f>
        <v>0.00988503377683501</v>
      </c>
      <c r="AC15" s="11" t="n">
        <f aca="false">AB15*(1-TailDecl)</f>
        <v>0.00889653039915151</v>
      </c>
      <c r="AD15" s="11" t="n">
        <f aca="false">AC15*(1-TailDecl)</f>
        <v>0.00800687735923636</v>
      </c>
      <c r="AE15" s="11" t="n">
        <f aca="false">AD15*(1-TailDecl)</f>
        <v>0.00720618962331272</v>
      </c>
      <c r="AF15" s="11" t="n">
        <f aca="false">AE15*(1-TailDecl)</f>
        <v>0.00648557066098145</v>
      </c>
      <c r="AG15" s="11" t="n">
        <f aca="false">AF15*(1-TailDecl)</f>
        <v>0.0058370135948833</v>
      </c>
      <c r="AH15" s="11" t="n">
        <f aca="false">AG15*(1-TailDecl)</f>
        <v>0.00525331223539497</v>
      </c>
      <c r="AI15" s="11" t="n">
        <f aca="false">AH15*(1-TailDecl)</f>
        <v>0.00472798101185548</v>
      </c>
    </row>
    <row r="18" customFormat="false" ht="15" hidden="false" customHeight="false" outlineLevel="0" collapsed="false">
      <c r="A18" s="15" t="s">
        <v>131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customFormat="false" ht="15" hidden="false" customHeight="false" outlineLevel="0" collapsed="false">
      <c r="A19" s="4" t="s">
        <v>132</v>
      </c>
      <c r="G19" s="5" t="n">
        <f aca="false">MAX(0,MIN(G$11,0))</f>
        <v>0</v>
      </c>
      <c r="H19" s="5" t="n">
        <f aca="false">MAX(0,MIN(H$11,0-SUM($G19:G19)))</f>
        <v>0</v>
      </c>
      <c r="I19" s="5" t="n">
        <f aca="false">MAX(0,MIN(I$11,0-SUM($G19:H19)))</f>
        <v>0</v>
      </c>
      <c r="J19" s="5" t="n">
        <f aca="false">MAX(0,MIN(J$11,0-SUM($G19:I19)))</f>
        <v>0</v>
      </c>
      <c r="K19" s="5" t="n">
        <f aca="false">MAX(0,MIN(K$11,0-SUM($G19:J19)))</f>
        <v>0</v>
      </c>
      <c r="L19" s="5" t="n">
        <f aca="false">MAX(0,MIN(L$11,0-SUM($G19:K19)))</f>
        <v>0</v>
      </c>
      <c r="M19" s="5" t="n">
        <f aca="false">MAX(0,MIN(M$11,0-SUM($G19:L19)))</f>
        <v>0</v>
      </c>
      <c r="N19" s="5" t="n">
        <f aca="false">MAX(0,MIN(N$11,0-SUM($G19:M19)))</f>
        <v>0</v>
      </c>
      <c r="O19" s="5" t="n">
        <f aca="false">MAX(0,MIN(O$11,0-SUM($G19:N19)))</f>
        <v>0</v>
      </c>
      <c r="P19" s="5" t="n">
        <f aca="false">MAX(0,MIN(P$11,0-SUM($G19:O19)))</f>
        <v>0</v>
      </c>
      <c r="Q19" s="5" t="n">
        <f aca="false">MAX(0,MIN(Q$11,0-SUM($G19:P19)))</f>
        <v>0</v>
      </c>
      <c r="R19" s="5" t="n">
        <f aca="false">MAX(0,MIN(R$11,0-SUM($G19:Q19)))</f>
        <v>0</v>
      </c>
      <c r="S19" s="5" t="n">
        <f aca="false">MAX(0,MIN(S$11,0-SUM($G19:R19)))</f>
        <v>0</v>
      </c>
      <c r="T19" s="5" t="n">
        <f aca="false">MAX(0,MIN(T$11,0-SUM($G19:S19)))</f>
        <v>0</v>
      </c>
      <c r="U19" s="5" t="n">
        <f aca="false">MAX(0,MIN(U$11,0-SUM($G19:T19)))</f>
        <v>0</v>
      </c>
      <c r="V19" s="5" t="n">
        <f aca="false">MAX(0,MIN(V$11,0-SUM($G19:U19)))</f>
        <v>0</v>
      </c>
      <c r="W19" s="5" t="n">
        <f aca="false">MAX(0,MIN(W$11,0-SUM($G19:V19)))</f>
        <v>0</v>
      </c>
      <c r="X19" s="5" t="n">
        <f aca="false">MAX(0,MIN(X$11,0-SUM($G19:W19)))</f>
        <v>0</v>
      </c>
      <c r="Y19" s="5" t="n">
        <f aca="false">MAX(0,MIN(Y$11,0-SUM($G19:X19)))</f>
        <v>0</v>
      </c>
      <c r="Z19" s="5" t="n">
        <f aca="false">MAX(0,MIN(Z$11,0-SUM($G19:Y19)))</f>
        <v>0</v>
      </c>
      <c r="AA19" s="5" t="n">
        <f aca="false">MAX(0,MIN(AA$11,0-SUM($G19:Z19)))</f>
        <v>0</v>
      </c>
      <c r="AB19" s="5" t="n">
        <f aca="false">MAX(0,MIN(AB$11,0-SUM($G19:AA19)))</f>
        <v>0</v>
      </c>
      <c r="AC19" s="5" t="n">
        <f aca="false">MAX(0,MIN(AC$11,0-SUM($G19:AB19)))</f>
        <v>0</v>
      </c>
      <c r="AD19" s="5" t="n">
        <f aca="false">MAX(0,MIN(AD$11,0-SUM($G19:AC19)))</f>
        <v>0</v>
      </c>
      <c r="AE19" s="5" t="n">
        <f aca="false">MAX(0,MIN(AE$11,0-SUM($G19:AD19)))</f>
        <v>0</v>
      </c>
      <c r="AF19" s="5" t="n">
        <f aca="false">MAX(0,MIN(AF$11,0-SUM($G19:AE19)))</f>
        <v>0</v>
      </c>
      <c r="AG19" s="5" t="n">
        <f aca="false">MAX(0,MIN(AG$11,0-SUM($G19:AF19)))</f>
        <v>0</v>
      </c>
      <c r="AH19" s="5" t="n">
        <f aca="false">MAX(0,MIN(AH$11,0-SUM($G19:AG19)))</f>
        <v>0</v>
      </c>
      <c r="AI19" s="5" t="n">
        <f aca="false">MAX(0,MIN(AI$11,0-SUM($G19:AH19)))</f>
        <v>0</v>
      </c>
    </row>
    <row r="20" customFormat="false" ht="15" hidden="false" customHeight="false" outlineLevel="0" collapsed="false">
      <c r="A20" s="4" t="s">
        <v>133</v>
      </c>
      <c r="G20" s="8" t="n">
        <f aca="false">SUM(Cohorts!G4:G32)</f>
        <v>0</v>
      </c>
      <c r="H20" s="8" t="n">
        <f aca="false">SUM(Cohorts!H4:H32)</f>
        <v>0</v>
      </c>
      <c r="I20" s="8" t="n">
        <f aca="false">SUM(Cohorts!I4:I32)</f>
        <v>0</v>
      </c>
      <c r="J20" s="8" t="n">
        <f aca="false">SUM(Cohorts!J4:J32)</f>
        <v>0</v>
      </c>
      <c r="K20" s="8" t="n">
        <f aca="false">SUM(Cohorts!K4:K32)</f>
        <v>0</v>
      </c>
      <c r="L20" s="8" t="n">
        <f aca="false">SUM(Cohorts!L4:L32)</f>
        <v>0</v>
      </c>
      <c r="M20" s="8" t="n">
        <f aca="false">SUM(Cohorts!M4:M32)</f>
        <v>0</v>
      </c>
      <c r="N20" s="8" t="n">
        <f aca="false">SUM(Cohorts!N4:N32)</f>
        <v>0</v>
      </c>
      <c r="O20" s="8" t="n">
        <f aca="false">SUM(Cohorts!O4:O32)</f>
        <v>0</v>
      </c>
      <c r="P20" s="8" t="n">
        <f aca="false">SUM(Cohorts!P4:P32)</f>
        <v>0</v>
      </c>
      <c r="Q20" s="8" t="n">
        <f aca="false">SUM(Cohorts!Q4:Q32)</f>
        <v>0</v>
      </c>
      <c r="R20" s="8" t="n">
        <f aca="false">SUM(Cohorts!R4:R32)</f>
        <v>0</v>
      </c>
      <c r="S20" s="8" t="n">
        <f aca="false">SUM(Cohorts!S4:S32)</f>
        <v>0</v>
      </c>
      <c r="T20" s="8" t="n">
        <f aca="false">SUM(Cohorts!T4:T32)</f>
        <v>0</v>
      </c>
      <c r="U20" s="8" t="n">
        <f aca="false">SUM(Cohorts!U4:U32)</f>
        <v>0</v>
      </c>
      <c r="V20" s="8" t="n">
        <f aca="false">SUM(Cohorts!V4:V32)</f>
        <v>0</v>
      </c>
      <c r="W20" s="8" t="n">
        <f aca="false">SUM(Cohorts!W4:W32)</f>
        <v>0</v>
      </c>
      <c r="X20" s="8" t="n">
        <f aca="false">SUM(Cohorts!X4:X32)</f>
        <v>0</v>
      </c>
      <c r="Y20" s="8" t="n">
        <f aca="false">SUM(Cohorts!Y4:Y32)</f>
        <v>0</v>
      </c>
      <c r="Z20" s="8" t="n">
        <f aca="false">SUM(Cohorts!Z4:Z32)</f>
        <v>0</v>
      </c>
      <c r="AA20" s="8" t="n">
        <f aca="false">SUM(Cohorts!AA4:AA32)</f>
        <v>0</v>
      </c>
      <c r="AB20" s="8" t="n">
        <f aca="false">SUM(Cohorts!AB4:AB32)</f>
        <v>0</v>
      </c>
      <c r="AC20" s="8" t="n">
        <f aca="false">SUM(Cohorts!AC4:AC32)</f>
        <v>0</v>
      </c>
      <c r="AD20" s="8" t="n">
        <f aca="false">SUM(Cohorts!AD4:AD32)</f>
        <v>0</v>
      </c>
      <c r="AE20" s="8" t="n">
        <f aca="false">SUM(Cohorts!AE4:AE32)</f>
        <v>0</v>
      </c>
      <c r="AF20" s="8" t="n">
        <f aca="false">SUM(Cohorts!AF4:AF32)</f>
        <v>0</v>
      </c>
      <c r="AG20" s="8" t="n">
        <f aca="false">SUM(Cohorts!AG4:AG32)</f>
        <v>0</v>
      </c>
      <c r="AH20" s="8" t="n">
        <f aca="false">SUM(Cohorts!AH4:AH32)</f>
        <v>0</v>
      </c>
      <c r="AI20" s="8" t="n">
        <f aca="false">SUM(Cohorts!AI4:AI32)</f>
        <v>0</v>
      </c>
    </row>
    <row r="21" customFormat="false" ht="15" hidden="false" customHeight="false" outlineLevel="0" collapsed="false">
      <c r="A21" s="4" t="s">
        <v>134</v>
      </c>
      <c r="G21" s="8" t="n">
        <f aca="false">G$14+G20</f>
        <v>49.685625</v>
      </c>
      <c r="H21" s="8" t="n">
        <f aca="false">H$14+H20</f>
        <v>34.4487</v>
      </c>
      <c r="I21" s="8" t="n">
        <f aca="false">I$14+I20</f>
        <v>27.0735465</v>
      </c>
      <c r="J21" s="8" t="n">
        <f aca="false">J$14+J20</f>
        <v>22.68822699</v>
      </c>
      <c r="K21" s="8" t="n">
        <f aca="false">K$14+K20</f>
        <v>19.7216803212</v>
      </c>
      <c r="L21" s="8" t="n">
        <f aca="false">L$14+L20</f>
        <v>17.632021427592</v>
      </c>
      <c r="M21" s="8" t="n">
        <f aca="false">M$14+M20</f>
        <v>16.0451394991087</v>
      </c>
      <c r="N21" s="8" t="n">
        <f aca="false">N$14+N20</f>
        <v>14.6010769441889</v>
      </c>
      <c r="O21" s="8" t="n">
        <f aca="false">O$14+O20</f>
        <v>13.2869800192119</v>
      </c>
      <c r="P21" s="8" t="n">
        <f aca="false">P$14+P20</f>
        <v>12.0911518174829</v>
      </c>
      <c r="Q21" s="8" t="n">
        <f aca="false">Q$14+Q20</f>
        <v>11.0029481539094</v>
      </c>
      <c r="R21" s="8" t="n">
        <f aca="false">R$14+R20</f>
        <v>10.0126828200576</v>
      </c>
      <c r="S21" s="8" t="n">
        <f aca="false">S$14+S20</f>
        <v>9.11154136625238</v>
      </c>
      <c r="T21" s="8" t="n">
        <f aca="false">T$14+T20</f>
        <v>8.29150264328967</v>
      </c>
      <c r="U21" s="8" t="n">
        <f aca="false">U$14+U20</f>
        <v>7.5452674053936</v>
      </c>
      <c r="V21" s="8" t="n">
        <f aca="false">V$14+V20</f>
        <v>6.86619333890817</v>
      </c>
      <c r="W21" s="8" t="n">
        <f aca="false">W$14+W20</f>
        <v>6.24823593840644</v>
      </c>
      <c r="X21" s="8" t="n">
        <f aca="false">X$14+X20</f>
        <v>5.68589470394986</v>
      </c>
      <c r="Y21" s="8" t="n">
        <f aca="false">Y$14+Y20</f>
        <v>5.17416418059437</v>
      </c>
      <c r="Z21" s="8" t="n">
        <f aca="false">Z$14+Z20</f>
        <v>4.70848940434088</v>
      </c>
      <c r="AA21" s="8" t="n">
        <f aca="false">AA$14+AA20</f>
        <v>4.2847253579502</v>
      </c>
      <c r="AB21" s="8" t="n">
        <f aca="false">AB$14+AB20</f>
        <v>3.89910007573468</v>
      </c>
      <c r="AC21" s="8" t="n">
        <f aca="false">AC$14+AC20</f>
        <v>3.54818106891856</v>
      </c>
      <c r="AD21" s="8" t="n">
        <f aca="false">AD$14+AD20</f>
        <v>3.22884477271589</v>
      </c>
      <c r="AE21" s="8" t="n">
        <f aca="false">AE$14+AE20</f>
        <v>2.93824874317146</v>
      </c>
      <c r="AF21" s="8" t="n">
        <f aca="false">AF$14+AF20</f>
        <v>2.67380635628603</v>
      </c>
      <c r="AG21" s="8" t="n">
        <f aca="false">AG$14+AG20</f>
        <v>2.43316378422029</v>
      </c>
      <c r="AH21" s="8" t="n">
        <f aca="false">AH$14+AH20</f>
        <v>2.21417904364046</v>
      </c>
      <c r="AI21" s="8" t="n">
        <f aca="false">AI$14+AI20</f>
        <v>2.01490292971282</v>
      </c>
    </row>
    <row r="22" customFormat="false" ht="15" hidden="false" customHeight="false" outlineLevel="0" collapsed="false">
      <c r="A22" s="2" t="s">
        <v>27</v>
      </c>
      <c r="G22" s="26" t="n">
        <f aca="false">G21/0.365</f>
        <v>136.125</v>
      </c>
      <c r="H22" s="26" t="n">
        <f aca="false">H21/0.365</f>
        <v>94.38</v>
      </c>
      <c r="I22" s="26" t="n">
        <f aca="false">I21/0.365</f>
        <v>74.1741</v>
      </c>
      <c r="J22" s="26" t="n">
        <f aca="false">J21/0.365</f>
        <v>62.159526</v>
      </c>
      <c r="K22" s="26" t="n">
        <f aca="false">K21/0.365</f>
        <v>54.03200088</v>
      </c>
      <c r="L22" s="26" t="n">
        <f aca="false">L21/0.365</f>
        <v>48.3069080208</v>
      </c>
      <c r="M22" s="26" t="n">
        <f aca="false">M21/0.365</f>
        <v>43.959286298928</v>
      </c>
      <c r="N22" s="26" t="n">
        <f aca="false">N21/0.365</f>
        <v>40.0029505320245</v>
      </c>
      <c r="O22" s="26" t="n">
        <f aca="false">O21/0.365</f>
        <v>36.4026849841423</v>
      </c>
      <c r="P22" s="26" t="n">
        <f aca="false">P21/0.365</f>
        <v>33.1264433355695</v>
      </c>
      <c r="Q22" s="26" t="n">
        <f aca="false">Q21/0.365</f>
        <v>30.1450634353682</v>
      </c>
      <c r="R22" s="26" t="n">
        <f aca="false">R21/0.365</f>
        <v>27.4320077261851</v>
      </c>
      <c r="S22" s="26" t="n">
        <f aca="false">S21/0.365</f>
        <v>24.9631270308284</v>
      </c>
      <c r="T22" s="26" t="n">
        <f aca="false">T21/0.365</f>
        <v>22.7164455980539</v>
      </c>
      <c r="U22" s="26" t="n">
        <f aca="false">U21/0.365</f>
        <v>20.671965494229</v>
      </c>
      <c r="V22" s="26" t="n">
        <f aca="false">V21/0.365</f>
        <v>18.8114885997484</v>
      </c>
      <c r="W22" s="26" t="n">
        <f aca="false">W21/0.365</f>
        <v>17.1184546257711</v>
      </c>
      <c r="X22" s="26" t="n">
        <f aca="false">X21/0.365</f>
        <v>15.5777937094517</v>
      </c>
      <c r="Y22" s="26" t="n">
        <f aca="false">Y21/0.365</f>
        <v>14.175792275601</v>
      </c>
      <c r="Z22" s="26" t="n">
        <f aca="false">Z21/0.365</f>
        <v>12.8999709707969</v>
      </c>
      <c r="AA22" s="26" t="n">
        <f aca="false">AA21/0.365</f>
        <v>11.7389735834252</v>
      </c>
      <c r="AB22" s="26" t="n">
        <f aca="false">AB21/0.365</f>
        <v>10.6824659609169</v>
      </c>
      <c r="AC22" s="26" t="n">
        <f aca="false">AC21/0.365</f>
        <v>9.72104402443441</v>
      </c>
      <c r="AD22" s="26" t="n">
        <f aca="false">AD21/0.365</f>
        <v>8.84615006223531</v>
      </c>
      <c r="AE22" s="26" t="n">
        <f aca="false">AE21/0.365</f>
        <v>8.04999655663413</v>
      </c>
      <c r="AF22" s="26" t="n">
        <f aca="false">AF21/0.365</f>
        <v>7.32549686653706</v>
      </c>
      <c r="AG22" s="26" t="n">
        <f aca="false">AG21/0.365</f>
        <v>6.66620214854873</v>
      </c>
      <c r="AH22" s="26" t="n">
        <f aca="false">AH21/0.365</f>
        <v>6.06624395517934</v>
      </c>
      <c r="AI22" s="26" t="n">
        <f aca="false">AI21/0.365</f>
        <v>5.5202819992132</v>
      </c>
    </row>
    <row r="23" customFormat="false" ht="15" hidden="false" customHeight="false" outlineLevel="0" collapsed="false">
      <c r="A23" s="4" t="s">
        <v>28</v>
      </c>
      <c r="G23" s="5" t="n">
        <f aca="false">G21*G$8</f>
        <v>3811.2434274595</v>
      </c>
      <c r="H23" s="5" t="n">
        <f aca="false">H21*H$8</f>
        <v>2254.74692759936</v>
      </c>
      <c r="I23" s="5" t="n">
        <f aca="false">I21*I$8</f>
        <v>1738.21791302397</v>
      </c>
      <c r="J23" s="5" t="n">
        <f aca="false">J21*J$8</f>
        <v>1490.87616478268</v>
      </c>
      <c r="K23" s="5" t="n">
        <f aca="false">K21*K$8</f>
        <v>1323.57468666378</v>
      </c>
      <c r="L23" s="5" t="n">
        <f aca="false">L21*L$8</f>
        <v>1208.5327199128</v>
      </c>
      <c r="M23" s="5" t="n">
        <f aca="false">M21*M$8</f>
        <v>1123.15599775949</v>
      </c>
      <c r="N23" s="5" t="n">
        <f aca="false">N21*N$8</f>
        <v>1043.7836908145</v>
      </c>
      <c r="O23" s="5" t="n">
        <f aca="false">O21*O$8</f>
        <v>969.995989075689</v>
      </c>
      <c r="P23" s="5" t="n">
        <f aca="false">P21*P$8</f>
        <v>901.402207268176</v>
      </c>
      <c r="Q23" s="5" t="n">
        <f aca="false">Q21*Q$8</f>
        <v>837.638785275711</v>
      </c>
      <c r="R23" s="5" t="n">
        <f aca="false">R21*R$8</f>
        <v>778.36742389826</v>
      </c>
      <c r="S23" s="5" t="n">
        <f aca="false">S21*S$8</f>
        <v>723.273346961229</v>
      </c>
      <c r="T23" s="5" t="n">
        <f aca="false">T21*T$8</f>
        <v>672.063681379379</v>
      </c>
      <c r="U23" s="5" t="n">
        <f aca="false">U21*U$8</f>
        <v>624.465947320609</v>
      </c>
      <c r="V23" s="5" t="n">
        <f aca="false">V21*V$8</f>
        <v>580.226651123474</v>
      </c>
      <c r="W23" s="5" t="n">
        <f aca="false">W21*W$8</f>
        <v>539.10997409945</v>
      </c>
      <c r="X23" s="5" t="n">
        <f aca="false">X21*X$8</f>
        <v>500.896550798353</v>
      </c>
      <c r="Y23" s="5" t="n">
        <f aca="false">Y21*Y$8</f>
        <v>465.382330734743</v>
      </c>
      <c r="Z23" s="5" t="n">
        <f aca="false">Z21*Z$8</f>
        <v>432.377517966166</v>
      </c>
      <c r="AA23" s="5" t="n">
        <f aca="false">AA21*AA$8</f>
        <v>401.705583282337</v>
      </c>
      <c r="AB23" s="5" t="n">
        <f aca="false">AB21*AB$8</f>
        <v>373.202344109254</v>
      </c>
      <c r="AC23" s="5" t="n">
        <f aca="false">AC21*AC$8</f>
        <v>346.715107555206</v>
      </c>
      <c r="AD23" s="5" t="n">
        <f aca="false">AD21*AD$8</f>
        <v>322.101872327968</v>
      </c>
      <c r="AE23" s="5" t="n">
        <f aca="false">AE21*AE$8</f>
        <v>299.230585535476</v>
      </c>
      <c r="AF23" s="5" t="n">
        <f aca="false">AF21*AF$8</f>
        <v>277.978450647026</v>
      </c>
      <c r="AG23" s="5" t="n">
        <f aca="false">AG21*AG$8</f>
        <v>258.231283139797</v>
      </c>
      <c r="AH23" s="5" t="n">
        <f aca="false">AH21*AH$8</f>
        <v>239.882910587156</v>
      </c>
      <c r="AI23" s="5" t="n">
        <f aca="false">AI21*AI$8</f>
        <v>222.834614161883</v>
      </c>
    </row>
    <row r="24" customFormat="false" ht="15" hidden="false" customHeight="false" outlineLevel="0" collapsed="false">
      <c r="A24" s="2" t="s">
        <v>29</v>
      </c>
      <c r="G24" s="6" t="n">
        <f aca="false">G21*G$9</f>
        <v>2623.41939546368</v>
      </c>
      <c r="H24" s="6" t="n">
        <f aca="false">H21*H$9</f>
        <v>1494.01936854592</v>
      </c>
      <c r="I24" s="6" t="n">
        <f aca="false">I21*I$9</f>
        <v>1140.86272367427</v>
      </c>
      <c r="J24" s="6" t="n">
        <f aca="false">J21*J$9</f>
        <v>979.353402010405</v>
      </c>
      <c r="K24" s="6" t="n">
        <f aca="false">K21*K$9</f>
        <v>869.733262941766</v>
      </c>
      <c r="L24" s="6" t="n">
        <f aca="false">L21*L$9</f>
        <v>794.387986344586</v>
      </c>
      <c r="M24" s="6" t="n">
        <f aca="false">M21*M$9</f>
        <v>738.495589176912</v>
      </c>
      <c r="N24" s="6" t="n">
        <f aca="false">N21*N$9</f>
        <v>686.513246703208</v>
      </c>
      <c r="O24" s="6" t="n">
        <f aca="false">O21*O$9</f>
        <v>638.169488744488</v>
      </c>
      <c r="P24" s="6" t="n">
        <f aca="false">P21*P$9</f>
        <v>593.211502223293</v>
      </c>
      <c r="Q24" s="6" t="n">
        <f aca="false">Q21*Q$9</f>
        <v>551.403866684961</v>
      </c>
      <c r="R24" s="6" t="n">
        <f aca="false">R21*R$9</f>
        <v>512.527373849364</v>
      </c>
      <c r="S24" s="6" t="n">
        <f aca="false">S21*S$9</f>
        <v>476.377925768048</v>
      </c>
      <c r="T24" s="6" t="n">
        <f aca="false">T21*T$9</f>
        <v>442.765506496474</v>
      </c>
      <c r="U24" s="6" t="n">
        <f aca="false">U21*U$9</f>
        <v>411.513222506728</v>
      </c>
      <c r="V24" s="6" t="n">
        <f aca="false">V21*V$9</f>
        <v>382.456407363543</v>
      </c>
      <c r="W24" s="6" t="n">
        <f aca="false">W21*W$9</f>
        <v>355.441786466686</v>
      </c>
      <c r="X24" s="6" t="n">
        <f aca="false">X21*X$9</f>
        <v>330.326697926558</v>
      </c>
      <c r="Y24" s="6" t="n">
        <f aca="false">Y21*Y$9</f>
        <v>306.978365888075</v>
      </c>
      <c r="Z24" s="6" t="n">
        <f aca="false">Z21*Z$9</f>
        <v>285.273222851417</v>
      </c>
      <c r="AA24" s="6" t="n">
        <f aca="false">AA21*AA$9</f>
        <v>265.096277757721</v>
      </c>
      <c r="AB24" s="6" t="n">
        <f aca="false">AB21*AB$9</f>
        <v>246.34052681412</v>
      </c>
      <c r="AC24" s="6" t="n">
        <f aca="false">AC21*AC$9</f>
        <v>228.906404226323</v>
      </c>
      <c r="AD24" s="6" t="n">
        <f aca="false">AD21*AD$9</f>
        <v>212.701270188958</v>
      </c>
      <c r="AE24" s="6" t="n">
        <f aca="false">AE21*AE$9</f>
        <v>197.638933654729</v>
      </c>
      <c r="AF24" s="6" t="n">
        <f aca="false">AF21*AF$9</f>
        <v>183.639207563777</v>
      </c>
      <c r="AG24" s="6" t="n">
        <f aca="false">AG21*AG$9</f>
        <v>170.627494365064</v>
      </c>
      <c r="AH24" s="6" t="n">
        <f aca="false">AH21*AH$9</f>
        <v>158.534399802626</v>
      </c>
      <c r="AI24" s="6" t="n">
        <f aca="false">AI21*AI$9</f>
        <v>147.295373071803</v>
      </c>
    </row>
    <row r="25" customFormat="false" ht="15" hidden="false" customHeight="false" outlineLevel="0" collapsed="false">
      <c r="A25" s="4" t="s">
        <v>135</v>
      </c>
      <c r="G25" s="5" t="n">
        <f aca="false">G19*G$10+G21*Facilities*G$6</f>
        <v>150.540064515932</v>
      </c>
      <c r="H25" s="5" t="n">
        <f aca="false">H19*H$10+H21*Facilities*H$6</f>
        <v>106.461933625667</v>
      </c>
      <c r="I25" s="5" t="n">
        <f aca="false">I19*I$10+I21*Facilities*I$6</f>
        <v>85.3427895016154</v>
      </c>
      <c r="J25" s="5" t="n">
        <f aca="false">J19*J$10+J21*Facilities*J$6</f>
        <v>72.9495159334182</v>
      </c>
      <c r="K25" s="5" t="n">
        <f aca="false">K19*K$10+K21*Facilities*K$6</f>
        <v>64.67939403676</v>
      </c>
      <c r="L25" s="5" t="n">
        <f aca="false">L19*L$10+L21*Facilities*L$6</f>
        <v>58.9826531951733</v>
      </c>
      <c r="M25" s="5" t="n">
        <f aca="false">M19*M$10+M21*Facilities*M$6</f>
        <v>54.7476986957599</v>
      </c>
      <c r="N25" s="5" t="n">
        <f aca="false">N19*N$10+N21*Facilities*N$6</f>
        <v>50.8168139294043</v>
      </c>
      <c r="O25" s="5" t="n">
        <f aca="false">O19*O$10+O21*Facilities*O$6</f>
        <v>47.1681666892731</v>
      </c>
      <c r="P25" s="5" t="n">
        <f aca="false">P19*P$10+P21*Facilities*P$6</f>
        <v>43.7814923209833</v>
      </c>
      <c r="Q25" s="5" t="n">
        <f aca="false">Q19*Q$10+Q21*Facilities*Q$6</f>
        <v>40.6379811723367</v>
      </c>
      <c r="R25" s="5" t="n">
        <f aca="false">R19*R$10+R21*Facilities*R$6</f>
        <v>37.7201741241629</v>
      </c>
      <c r="S25" s="5" t="n">
        <f aca="false">S19*S$10+S21*Facilities*S$6</f>
        <v>35.011865622048</v>
      </c>
      <c r="T25" s="5" t="n">
        <f aca="false">T19*T$10+T21*Facilities*T$6</f>
        <v>32.498013670385</v>
      </c>
      <c r="U25" s="5" t="n">
        <f aca="false">U19*U$10+U21*Facilities*U$6</f>
        <v>30.1646562888513</v>
      </c>
      <c r="V25" s="5" t="n">
        <f aca="false">V19*V$10+V21*Facilities*V$6</f>
        <v>27.9988339673118</v>
      </c>
      <c r="W25" s="5" t="n">
        <f aca="false">W19*W$10+W21*Facilities*W$6</f>
        <v>25.9885176884588</v>
      </c>
      <c r="X25" s="5" t="n">
        <f aca="false">X19*X$10+X21*Facilities*X$6</f>
        <v>24.1225421184275</v>
      </c>
      <c r="Y25" s="5" t="n">
        <f aca="false">Y19*Y$10+Y21*Facilities*Y$6</f>
        <v>22.3905435943244</v>
      </c>
      <c r="Z25" s="5" t="n">
        <f aca="false">Z19*Z$10+Z21*Facilities*Z$6</f>
        <v>20.7829025642519</v>
      </c>
      <c r="AA25" s="5" t="n">
        <f aca="false">AA19*AA$10+AA21*Facilities*AA$6</f>
        <v>19.2906901601386</v>
      </c>
      <c r="AB25" s="5" t="n">
        <f aca="false">AB19*AB$10+AB21*Facilities*AB$6</f>
        <v>17.9056186066407</v>
      </c>
      <c r="AC25" s="5" t="n">
        <f aca="false">AC19*AC$10+AC21*Facilities*AC$6</f>
        <v>16.6199951906839</v>
      </c>
      <c r="AD25" s="5" t="n">
        <f aca="false">AD19*AD$10+AD21*Facilities*AD$6</f>
        <v>15.4266795359928</v>
      </c>
      <c r="AE25" s="5" t="n">
        <f aca="false">AE19*AE$10+AE21*Facilities*AE$6</f>
        <v>14.3190439453085</v>
      </c>
      <c r="AF25" s="5" t="n">
        <f aca="false">AF19*AF$10+AF21*Facilities*AF$6</f>
        <v>13.2909365900353</v>
      </c>
      <c r="AG25" s="5" t="n">
        <f aca="false">AG19*AG$10+AG21*Facilities*AG$6</f>
        <v>12.3366473428708</v>
      </c>
      <c r="AH25" s="5" t="n">
        <f aca="false">AH19*AH$10+AH21*Facilities*AH$6</f>
        <v>11.4508760636527</v>
      </c>
      <c r="AI25" s="5" t="n">
        <f aca="false">AI19*AI$10+AI21*Facilities*AI$6</f>
        <v>10.6287031622824</v>
      </c>
    </row>
    <row r="26" customFormat="false" ht="15" hidden="false" customHeight="false" outlineLevel="0" collapsed="false">
      <c r="A26" s="4" t="s">
        <v>136</v>
      </c>
      <c r="G26" s="5" t="n">
        <f aca="false">IF(G$3&lt;=7,TaxBasis*1000/7,0)+SUM(G25:G25)/TaxLife</f>
        <v>1030.10801290319</v>
      </c>
      <c r="H26" s="5" t="n">
        <f aca="false">IF(H$3&lt;=7,TaxBasis*1000/7,0)+SUM(G25:H25)/TaxLife</f>
        <v>1051.40039962832</v>
      </c>
      <c r="I26" s="5" t="n">
        <f aca="false">IF(I$3&lt;=7,TaxBasis*1000/7,0)+SUM(G25:I25)/TaxLife</f>
        <v>1068.46895752864</v>
      </c>
      <c r="J26" s="5" t="n">
        <f aca="false">IF(J$3&lt;=7,TaxBasis*1000/7,0)+SUM(G25:J25)/TaxLife</f>
        <v>1083.05886071533</v>
      </c>
      <c r="K26" s="5" t="n">
        <f aca="false">IF(K$3&lt;=7,TaxBasis*1000/7,0)+SUM(G25:K25)/TaxLife</f>
        <v>1095.99473952268</v>
      </c>
      <c r="L26" s="5" t="n">
        <f aca="false">IF(L$3&lt;=7,TaxBasis*1000/7,0)+SUM(H25:L25)/TaxLife</f>
        <v>1077.68325725853</v>
      </c>
      <c r="M26" s="5" t="n">
        <f aca="false">IF(M$3&lt;=7,TaxBasis*1000/7,0)+SUM(I25:M25)/TaxLife</f>
        <v>1067.34041027255</v>
      </c>
      <c r="N26" s="5" t="n">
        <f aca="false">IF(N$3&lt;=7,TaxBasis*1000/7,0)+SUM(J25:N25)/TaxLife</f>
        <v>60.4352151581032</v>
      </c>
      <c r="O26" s="5" t="n">
        <f aca="false">IF(O$3&lt;=7,TaxBasis*1000/7,0)+SUM(K25:O25)/TaxLife</f>
        <v>55.2789453092741</v>
      </c>
      <c r="P26" s="5" t="n">
        <f aca="false">IF(P$3&lt;=7,TaxBasis*1000/7,0)+SUM(L25:P25)/TaxLife</f>
        <v>51.0993649661188</v>
      </c>
      <c r="Q26" s="5" t="n">
        <f aca="false">IF(Q$3&lt;=7,TaxBasis*1000/7,0)+SUM(M25:Q25)/TaxLife</f>
        <v>47.4304305615515</v>
      </c>
      <c r="R26" s="5" t="n">
        <f aca="false">IF(R$3&lt;=7,TaxBasis*1000/7,0)+SUM(N25:R25)/TaxLife</f>
        <v>44.0249256472321</v>
      </c>
      <c r="S26" s="5" t="n">
        <f aca="false">IF(S$3&lt;=7,TaxBasis*1000/7,0)+SUM(O25:S25)/TaxLife</f>
        <v>40.8639359857608</v>
      </c>
      <c r="T26" s="5" t="n">
        <f aca="false">IF(T$3&lt;=7,TaxBasis*1000/7,0)+SUM(P25:T25)/TaxLife</f>
        <v>37.9299053819832</v>
      </c>
      <c r="U26" s="5" t="n">
        <f aca="false">IF(U$3&lt;=7,TaxBasis*1000/7,0)+SUM(Q25:U25)/TaxLife</f>
        <v>35.2065381755568</v>
      </c>
      <c r="V26" s="5" t="n">
        <f aca="false">IF(V$3&lt;=7,TaxBasis*1000/7,0)+SUM(R25:V25)/TaxLife</f>
        <v>32.6787087345518</v>
      </c>
      <c r="W26" s="5" t="n">
        <f aca="false">IF(W$3&lt;=7,TaxBasis*1000/7,0)+SUM(S25:W25)/TaxLife</f>
        <v>30.332377447411</v>
      </c>
      <c r="X26" s="5" t="n">
        <f aca="false">IF(X$3&lt;=7,TaxBasis*1000/7,0)+SUM(T25:X25)/TaxLife</f>
        <v>28.1545127466869</v>
      </c>
      <c r="Y26" s="5" t="n">
        <f aca="false">IF(Y$3&lt;=7,TaxBasis*1000/7,0)+SUM(U25:Y25)/TaxLife</f>
        <v>26.1330187314748</v>
      </c>
      <c r="Z26" s="5" t="n">
        <f aca="false">IF(Z$3&lt;=7,TaxBasis*1000/7,0)+SUM(V25:Z25)/TaxLife</f>
        <v>24.2566679865549</v>
      </c>
      <c r="AA26" s="5" t="n">
        <f aca="false">IF(AA$3&lt;=7,TaxBasis*1000/7,0)+SUM(W25:AA25)/TaxLife</f>
        <v>22.5150392251203</v>
      </c>
      <c r="AB26" s="5" t="n">
        <f aca="false">IF(AB$3&lt;=7,TaxBasis*1000/7,0)+SUM(X25:AB25)/TaxLife</f>
        <v>20.8984594087566</v>
      </c>
      <c r="AC26" s="5" t="n">
        <f aca="false">IF(AC$3&lt;=7,TaxBasis*1000/7,0)+SUM(Y25:AC25)/TaxLife</f>
        <v>19.3979500232079</v>
      </c>
      <c r="AD26" s="5" t="n">
        <f aca="false">IF(AD$3&lt;=7,TaxBasis*1000/7,0)+SUM(Z25:AD25)/TaxLife</f>
        <v>18.0051772115416</v>
      </c>
      <c r="AE26" s="5" t="n">
        <f aca="false">IF(AE$3&lt;=7,TaxBasis*1000/7,0)+SUM(AA25:AE25)/TaxLife</f>
        <v>16.7124054877529</v>
      </c>
      <c r="AF26" s="5" t="n">
        <f aca="false">IF(AF$3&lt;=7,TaxBasis*1000/7,0)+SUM(AB25:AF25)/TaxLife</f>
        <v>15.5124547737322</v>
      </c>
      <c r="AG26" s="5" t="n">
        <f aca="false">IF(AG$3&lt;=7,TaxBasis*1000/7,0)+SUM(AC25:AG25)/TaxLife</f>
        <v>14.3986605209783</v>
      </c>
      <c r="AH26" s="5" t="n">
        <f aca="false">IF(AH$3&lt;=7,TaxBasis*1000/7,0)+SUM(AD25:AH25)/TaxLife</f>
        <v>13.364836695572</v>
      </c>
      <c r="AI26" s="5" t="n">
        <f aca="false">IF(AI$3&lt;=7,TaxBasis*1000/7,0)+SUM(AE25:AI25)/TaxLife</f>
        <v>12.4052414208299</v>
      </c>
    </row>
    <row r="27" customFormat="false" ht="15" hidden="false" customHeight="false" outlineLevel="0" collapsed="false">
      <c r="A27" s="4" t="s">
        <v>137</v>
      </c>
      <c r="G27" s="5" t="n">
        <f aca="false">TaxRate*MAX(0,G24-G26)</f>
        <v>557.658983896174</v>
      </c>
      <c r="H27" s="5" t="n">
        <f aca="false">TaxRate*MAX(0,H24-H26)</f>
        <v>154.916639121159</v>
      </c>
      <c r="I27" s="5" t="n">
        <f aca="false">TaxRate*MAX(0,I24-I26)</f>
        <v>25.3378181509697</v>
      </c>
      <c r="J27" s="5" t="n">
        <f aca="false">TaxRate*MAX(0,J24-J26)</f>
        <v>0</v>
      </c>
      <c r="K27" s="5" t="n">
        <f aca="false">TaxRate*MAX(0,K24-K26)</f>
        <v>0</v>
      </c>
      <c r="L27" s="5" t="n">
        <f aca="false">TaxRate*MAX(0,L24-L26)</f>
        <v>0</v>
      </c>
      <c r="M27" s="5" t="n">
        <f aca="false">TaxRate*MAX(0,M24-M26)</f>
        <v>0</v>
      </c>
      <c r="N27" s="5" t="n">
        <f aca="false">TaxRate*MAX(0,N24-N26)</f>
        <v>219.127311040787</v>
      </c>
      <c r="O27" s="5" t="n">
        <f aca="false">TaxRate*MAX(0,O24-O26)</f>
        <v>204.011690202325</v>
      </c>
      <c r="P27" s="5" t="n">
        <f aca="false">TaxRate*MAX(0,P24-P26)</f>
        <v>189.739248040011</v>
      </c>
      <c r="Q27" s="5" t="n">
        <f aca="false">TaxRate*MAX(0,Q24-Q26)</f>
        <v>176.390702643193</v>
      </c>
      <c r="R27" s="5" t="n">
        <f aca="false">TaxRate*MAX(0,R24-R26)</f>
        <v>163.975856870746</v>
      </c>
      <c r="S27" s="5" t="n">
        <f aca="false">TaxRate*MAX(0,S24-S26)</f>
        <v>152.4298964238</v>
      </c>
      <c r="T27" s="5" t="n">
        <f aca="false">TaxRate*MAX(0,T24-T26)</f>
        <v>141.692460390072</v>
      </c>
      <c r="U27" s="5" t="n">
        <f aca="false">TaxRate*MAX(0,U24-U26)</f>
        <v>131.70733951591</v>
      </c>
      <c r="V27" s="5" t="n">
        <f aca="false">TaxRate*MAX(0,V24-V26)</f>
        <v>122.422194520147</v>
      </c>
      <c r="W27" s="5" t="n">
        <f aca="false">TaxRate*MAX(0,W24-W26)</f>
        <v>113.788293156746</v>
      </c>
      <c r="X27" s="5" t="n">
        <f aca="false">TaxRate*MAX(0,X24-X26)</f>
        <v>105.760264812955</v>
      </c>
      <c r="Y27" s="5" t="n">
        <f aca="false">TaxRate*MAX(0,Y24-Y26)</f>
        <v>98.2958715048099</v>
      </c>
      <c r="Z27" s="5" t="n">
        <f aca="false">TaxRate*MAX(0,Z24-Z26)</f>
        <v>91.3557942027016</v>
      </c>
      <c r="AA27" s="5" t="n">
        <f aca="false">TaxRate*MAX(0,AA24-AA26)</f>
        <v>84.9034334864103</v>
      </c>
      <c r="AB27" s="5" t="n">
        <f aca="false">TaxRate*MAX(0,AB24-AB26)</f>
        <v>78.904723591877</v>
      </c>
      <c r="AC27" s="5" t="n">
        <f aca="false">TaxRate*MAX(0,AC24-AC26)</f>
        <v>73.3279589710901</v>
      </c>
      <c r="AD27" s="5" t="n">
        <f aca="false">TaxRate*MAX(0,AD24-AD26)</f>
        <v>68.1436325420958</v>
      </c>
      <c r="AE27" s="5" t="n">
        <f aca="false">TaxRate*MAX(0,AE24-AE26)</f>
        <v>63.3242848584415</v>
      </c>
      <c r="AF27" s="5" t="n">
        <f aca="false">TaxRate*MAX(0,AF24-AF26)</f>
        <v>58.8443634765156</v>
      </c>
      <c r="AG27" s="5" t="n">
        <f aca="false">TaxRate*MAX(0,AG24-AG26)</f>
        <v>54.6800918454299</v>
      </c>
      <c r="AH27" s="5" t="n">
        <f aca="false">TaxRate*MAX(0,AH24-AH26)</f>
        <v>50.8093470874687</v>
      </c>
      <c r="AI27" s="5" t="n">
        <f aca="false">TaxRate*MAX(0,AI24-AI26)</f>
        <v>47.2115460778405</v>
      </c>
    </row>
    <row r="28" customFormat="false" ht="15" hidden="false" customHeight="false" outlineLevel="0" collapsed="false">
      <c r="A28" s="2" t="s">
        <v>138</v>
      </c>
      <c r="G28" s="6" t="n">
        <f aca="false">G24-G25-G27</f>
        <v>1915.22034705158</v>
      </c>
      <c r="H28" s="6" t="n">
        <f aca="false">H24-H25-H27</f>
        <v>1232.64079579909</v>
      </c>
      <c r="I28" s="6" t="n">
        <f aca="false">I24-I25-I27</f>
        <v>1030.18211602169</v>
      </c>
      <c r="J28" s="6" t="n">
        <f aca="false">J24-J25-J27</f>
        <v>906.403886076987</v>
      </c>
      <c r="K28" s="6" t="n">
        <f aca="false">K24-K25-K27</f>
        <v>805.053868905006</v>
      </c>
      <c r="L28" s="6" t="n">
        <f aca="false">L24-L25-L27</f>
        <v>735.405333149413</v>
      </c>
      <c r="M28" s="6" t="n">
        <f aca="false">M24-M25-M27</f>
        <v>683.747890481152</v>
      </c>
      <c r="N28" s="6" t="n">
        <f aca="false">N24-N25-N27</f>
        <v>416.569121733017</v>
      </c>
      <c r="O28" s="6" t="n">
        <f aca="false">O24-O25-O27</f>
        <v>386.98963185289</v>
      </c>
      <c r="P28" s="6" t="n">
        <f aca="false">P24-P25-P27</f>
        <v>359.690761862299</v>
      </c>
      <c r="Q28" s="6" t="n">
        <f aca="false">Q24-Q25-Q27</f>
        <v>334.375182869431</v>
      </c>
      <c r="R28" s="6" t="n">
        <f aca="false">R24-R25-R27</f>
        <v>310.831342854455</v>
      </c>
      <c r="S28" s="6" t="n">
        <f aca="false">S24-S25-S27</f>
        <v>288.936163722199</v>
      </c>
      <c r="T28" s="6" t="n">
        <f aca="false">T24-T25-T27</f>
        <v>268.575032436017</v>
      </c>
      <c r="U28" s="6" t="n">
        <f aca="false">U24-U25-U27</f>
        <v>249.641226701967</v>
      </c>
      <c r="V28" s="6" t="n">
        <f aca="false">V24-V25-V27</f>
        <v>232.035378876084</v>
      </c>
      <c r="W28" s="6" t="n">
        <f aca="false">W24-W25-W27</f>
        <v>215.664975621481</v>
      </c>
      <c r="X28" s="6" t="n">
        <f aca="false">X24-X25-X27</f>
        <v>200.443890995176</v>
      </c>
      <c r="Y28" s="6" t="n">
        <f aca="false">Y24-Y25-Y27</f>
        <v>186.29195078894</v>
      </c>
      <c r="Z28" s="6" t="n">
        <f aca="false">Z24-Z25-Z27</f>
        <v>173.134526084463</v>
      </c>
      <c r="AA28" s="6" t="n">
        <f aca="false">AA24-AA25-AA27</f>
        <v>160.902154111172</v>
      </c>
      <c r="AB28" s="6" t="n">
        <f aca="false">AB24-AB25-AB27</f>
        <v>149.530184615602</v>
      </c>
      <c r="AC28" s="6" t="n">
        <f aca="false">AC24-AC25-AC27</f>
        <v>138.958450064549</v>
      </c>
      <c r="AD28" s="6" t="n">
        <f aca="false">AD24-AD25-AD27</f>
        <v>129.13095811087</v>
      </c>
      <c r="AE28" s="6" t="n">
        <f aca="false">AE24-AE25-AE27</f>
        <v>119.995604850979</v>
      </c>
      <c r="AF28" s="6" t="n">
        <f aca="false">AF24-AF25-AF27</f>
        <v>111.503907497226</v>
      </c>
      <c r="AG28" s="6" t="n">
        <f aca="false">AG24-AG25-AG27</f>
        <v>103.610755176763</v>
      </c>
      <c r="AH28" s="6" t="n">
        <f aca="false">AH24-AH25-AH27</f>
        <v>96.2741766515041</v>
      </c>
      <c r="AI28" s="6" t="n">
        <f aca="false">AI24-AI25-AI27</f>
        <v>89.4551238316799</v>
      </c>
    </row>
    <row r="29" customFormat="false" ht="15" hidden="false" customHeight="false" outlineLevel="0" collapsed="false">
      <c r="A29" s="4" t="s">
        <v>139</v>
      </c>
      <c r="B29" s="6" t="n">
        <f aca="false">SUM(G29:AI29)</f>
        <v>6469.40538428145</v>
      </c>
      <c r="G29" s="5" t="n">
        <f aca="false">G28*(1+Disc)^-(G$3-0.5)</f>
        <v>1809.71312292475</v>
      </c>
      <c r="H29" s="5" t="n">
        <f aca="false">H28*(1+Disc)^-(H$3-0.5)</f>
        <v>1039.94292141491</v>
      </c>
      <c r="I29" s="5" t="n">
        <f aca="false">I28*(1+Disc)^-(I$3-0.5)</f>
        <v>776.012915708041</v>
      </c>
      <c r="J29" s="5" t="n">
        <f aca="false">J28*(1+Disc)^-(J$3-0.5)</f>
        <v>609.619260087713</v>
      </c>
      <c r="K29" s="5" t="n">
        <f aca="false">K28*(1+Disc)^-(K$3-0.5)</f>
        <v>483.441400595033</v>
      </c>
      <c r="L29" s="5" t="n">
        <f aca="false">L28*(1+Disc)^-(L$3-0.5)</f>
        <v>394.300792862267</v>
      </c>
      <c r="M29" s="5" t="n">
        <f aca="false">M28*(1+Disc)^-(M$3-0.5)</f>
        <v>327.324755456425</v>
      </c>
      <c r="N29" s="5" t="n">
        <f aca="false">N28*(1+Disc)^-(N$3-0.5)</f>
        <v>178.054069709302</v>
      </c>
      <c r="O29" s="5" t="n">
        <f aca="false">O28*(1+Disc)^-(O$3-0.5)</f>
        <v>147.688315464164</v>
      </c>
      <c r="P29" s="5" t="n">
        <f aca="false">P28*(1+Disc)^-(P$3-0.5)</f>
        <v>122.562629070961</v>
      </c>
      <c r="Q29" s="5" t="n">
        <f aca="false">Q28*(1+Disc)^-(Q$3-0.5)</f>
        <v>101.729005494432</v>
      </c>
      <c r="R29" s="5" t="n">
        <f aca="false">R28*(1+Disc)^-(R$3-0.5)</f>
        <v>84.434034958158</v>
      </c>
      <c r="S29" s="5" t="n">
        <f aca="false">S28*(1+Disc)^-(S$3-0.5)</f>
        <v>70.0771803159744</v>
      </c>
      <c r="T29" s="5" t="n">
        <f aca="false">T28*(1+Disc)^-(T$3-0.5)</f>
        <v>58.1597231854395</v>
      </c>
      <c r="U29" s="5" t="n">
        <f aca="false">U28*(1+Disc)^-(U$3-0.5)</f>
        <v>48.2675193387758</v>
      </c>
      <c r="V29" s="5" t="n">
        <f aca="false">V28*(1+Disc)^-(V$3-0.5)</f>
        <v>40.0566712604452</v>
      </c>
      <c r="W29" s="5" t="n">
        <f aca="false">W28*(1+Disc)^-(W$3-0.5)</f>
        <v>33.2416250514472</v>
      </c>
      <c r="X29" s="5" t="n">
        <f aca="false">X28*(1+Disc)^-(X$3-0.5)</f>
        <v>27.5852819911739</v>
      </c>
      <c r="Y29" s="5" t="n">
        <f aca="false">Y28*(1+Disc)^-(Y$3-0.5)</f>
        <v>22.8907841993873</v>
      </c>
      <c r="Z29" s="5" t="n">
        <f aca="false">Z28*(1+Disc)^-(Z$3-0.5)</f>
        <v>18.9946913264688</v>
      </c>
      <c r="AA29" s="5" t="n">
        <f aca="false">AA28*(1+Disc)^-(AA$3-0.5)</f>
        <v>15.7613129978076</v>
      </c>
      <c r="AB29" s="5" t="n">
        <f aca="false">AB28*(1+Disc)^-(AB$3-0.5)</f>
        <v>13.0780014777428</v>
      </c>
      <c r="AC29" s="5" t="n">
        <f aca="false">AC28*(1+Disc)^-(AC$3-0.5)</f>
        <v>10.8512420559623</v>
      </c>
      <c r="AD29" s="5" t="n">
        <f aca="false">AD28*(1+Disc)^-(AD$3-0.5)</f>
        <v>9.0034061230461</v>
      </c>
      <c r="AE29" s="5" t="n">
        <f aca="false">AE28*(1+Disc)^-(AE$3-0.5)</f>
        <v>7.47005473067294</v>
      </c>
      <c r="AF29" s="5" t="n">
        <f aca="false">AF28*(1+Disc)^-(AF$3-0.5)</f>
        <v>6.19769940683147</v>
      </c>
      <c r="AG29" s="5" t="n">
        <f aca="false">AG28*(1+Disc)^-(AG$3-0.5)</f>
        <v>5.14194276680043</v>
      </c>
      <c r="AH29" s="5" t="n">
        <f aca="false">AH28*(1+Disc)^-(AH$3-0.5)</f>
        <v>4.26593456698929</v>
      </c>
      <c r="AI29" s="5" t="n">
        <f aca="false">AI28*(1+Disc)^-(AI$3-0.5)</f>
        <v>3.53908974033266</v>
      </c>
    </row>
    <row r="31" customFormat="false" ht="15" hidden="false" customHeight="false" outlineLevel="0" collapsed="false">
      <c r="A31" s="15" t="s">
        <v>140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 customFormat="false" ht="15" hidden="false" customHeight="false" outlineLevel="0" collapsed="false">
      <c r="A32" s="4" t="s">
        <v>132</v>
      </c>
      <c r="G32" s="5" t="n">
        <f aca="false">MAX(0,MIN(G$11,MIN(PUDWells,Inventory)))</f>
        <v>110</v>
      </c>
      <c r="H32" s="5" t="n">
        <f aca="false">MAX(0,MIN(H$11,MIN(PUDWells,Inventory)-SUM($G32:G32)))</f>
        <v>125</v>
      </c>
      <c r="I32" s="5" t="n">
        <f aca="false">MAX(0,MIN(I$11,MIN(PUDWells,Inventory)-SUM($G32:H32)))</f>
        <v>135</v>
      </c>
      <c r="J32" s="5" t="n">
        <f aca="false">MAX(0,MIN(J$11,MIN(PUDWells,Inventory)-SUM($G32:I32)))</f>
        <v>80</v>
      </c>
      <c r="K32" s="5" t="n">
        <f aca="false">MAX(0,MIN(K$11,MIN(PUDWells,Inventory)-SUM($G32:J32)))</f>
        <v>0</v>
      </c>
      <c r="L32" s="5" t="n">
        <f aca="false">MAX(0,MIN(L$11,MIN(PUDWells,Inventory)-SUM($G32:K32)))</f>
        <v>0</v>
      </c>
      <c r="M32" s="5" t="n">
        <f aca="false">MAX(0,MIN(M$11,MIN(PUDWells,Inventory)-SUM($G32:L32)))</f>
        <v>0</v>
      </c>
      <c r="N32" s="5" t="n">
        <f aca="false">MAX(0,MIN(N$11,MIN(PUDWells,Inventory)-SUM($G32:M32)))</f>
        <v>0</v>
      </c>
      <c r="O32" s="5" t="n">
        <f aca="false">MAX(0,MIN(O$11,MIN(PUDWells,Inventory)-SUM($G32:N32)))</f>
        <v>0</v>
      </c>
      <c r="P32" s="5" t="n">
        <f aca="false">MAX(0,MIN(P$11,MIN(PUDWells,Inventory)-SUM($G32:O32)))</f>
        <v>0</v>
      </c>
      <c r="Q32" s="5" t="n">
        <f aca="false">MAX(0,MIN(Q$11,MIN(PUDWells,Inventory)-SUM($G32:P32)))</f>
        <v>0</v>
      </c>
      <c r="R32" s="5" t="n">
        <f aca="false">MAX(0,MIN(R$11,MIN(PUDWells,Inventory)-SUM($G32:Q32)))</f>
        <v>0</v>
      </c>
      <c r="S32" s="5" t="n">
        <f aca="false">MAX(0,MIN(S$11,MIN(PUDWells,Inventory)-SUM($G32:R32)))</f>
        <v>0</v>
      </c>
      <c r="T32" s="5" t="n">
        <f aca="false">MAX(0,MIN(T$11,MIN(PUDWells,Inventory)-SUM($G32:S32)))</f>
        <v>0</v>
      </c>
      <c r="U32" s="5" t="n">
        <f aca="false">MAX(0,MIN(U$11,MIN(PUDWells,Inventory)-SUM($G32:T32)))</f>
        <v>0</v>
      </c>
      <c r="V32" s="5" t="n">
        <f aca="false">MAX(0,MIN(V$11,MIN(PUDWells,Inventory)-SUM($G32:U32)))</f>
        <v>0</v>
      </c>
      <c r="W32" s="5" t="n">
        <f aca="false">MAX(0,MIN(W$11,MIN(PUDWells,Inventory)-SUM($G32:V32)))</f>
        <v>0</v>
      </c>
      <c r="X32" s="5" t="n">
        <f aca="false">MAX(0,MIN(X$11,MIN(PUDWells,Inventory)-SUM($G32:W32)))</f>
        <v>0</v>
      </c>
      <c r="Y32" s="5" t="n">
        <f aca="false">MAX(0,MIN(Y$11,MIN(PUDWells,Inventory)-SUM($G32:X32)))</f>
        <v>0</v>
      </c>
      <c r="Z32" s="5" t="n">
        <f aca="false">MAX(0,MIN(Z$11,MIN(PUDWells,Inventory)-SUM($G32:Y32)))</f>
        <v>0</v>
      </c>
      <c r="AA32" s="5" t="n">
        <f aca="false">MAX(0,MIN(AA$11,MIN(PUDWells,Inventory)-SUM($G32:Z32)))</f>
        <v>0</v>
      </c>
      <c r="AB32" s="5" t="n">
        <f aca="false">MAX(0,MIN(AB$11,MIN(PUDWells,Inventory)-SUM($G32:AA32)))</f>
        <v>0</v>
      </c>
      <c r="AC32" s="5" t="n">
        <f aca="false">MAX(0,MIN(AC$11,MIN(PUDWells,Inventory)-SUM($G32:AB32)))</f>
        <v>0</v>
      </c>
      <c r="AD32" s="5" t="n">
        <f aca="false">MAX(0,MIN(AD$11,MIN(PUDWells,Inventory)-SUM($G32:AC32)))</f>
        <v>0</v>
      </c>
      <c r="AE32" s="5" t="n">
        <f aca="false">MAX(0,MIN(AE$11,MIN(PUDWells,Inventory)-SUM($G32:AD32)))</f>
        <v>0</v>
      </c>
      <c r="AF32" s="5" t="n">
        <f aca="false">MAX(0,MIN(AF$11,MIN(PUDWells,Inventory)-SUM($G32:AE32)))</f>
        <v>0</v>
      </c>
      <c r="AG32" s="5" t="n">
        <f aca="false">MAX(0,MIN(AG$11,MIN(PUDWells,Inventory)-SUM($G32:AF32)))</f>
        <v>0</v>
      </c>
      <c r="AH32" s="5" t="n">
        <f aca="false">MAX(0,MIN(AH$11,MIN(PUDWells,Inventory)-SUM($G32:AG32)))</f>
        <v>0</v>
      </c>
      <c r="AI32" s="5" t="n">
        <f aca="false">MAX(0,MIN(AI$11,MIN(PUDWells,Inventory)-SUM($G32:AH32)))</f>
        <v>0</v>
      </c>
    </row>
    <row r="33" customFormat="false" ht="15" hidden="false" customHeight="false" outlineLevel="0" collapsed="false">
      <c r="A33" s="4" t="s">
        <v>133</v>
      </c>
      <c r="G33" s="8" t="n">
        <f aca="false">SUM(Cohorts!G35:G63)</f>
        <v>14.85</v>
      </c>
      <c r="H33" s="8" t="n">
        <f aca="false">SUM(Cohorts!H35:H63)</f>
        <v>35.685</v>
      </c>
      <c r="I33" s="8" t="n">
        <f aca="false">SUM(Cohorts!I35:I63)</f>
        <v>51.48</v>
      </c>
      <c r="J33" s="8" t="n">
        <f aca="false">SUM(Cohorts!J35:J63)</f>
        <v>56.295</v>
      </c>
      <c r="K33" s="8" t="n">
        <f aca="false">SUM(Cohorts!K35:K63)</f>
        <v>45.315</v>
      </c>
      <c r="L33" s="8" t="n">
        <f aca="false">SUM(Cohorts!L35:L63)</f>
        <v>33.39</v>
      </c>
      <c r="M33" s="8" t="n">
        <f aca="false">SUM(Cohorts!M35:M63)</f>
        <v>26.685</v>
      </c>
      <c r="N33" s="8" t="n">
        <f aca="false">SUM(Cohorts!N35:N63)</f>
        <v>22.41</v>
      </c>
      <c r="O33" s="8" t="n">
        <f aca="false">SUM(Cohorts!O35:O63)</f>
        <v>19.4175</v>
      </c>
      <c r="P33" s="8" t="n">
        <f aca="false">SUM(Cohorts!P35:P63)</f>
        <v>17.0325</v>
      </c>
      <c r="Q33" s="8" t="n">
        <f aca="false">SUM(Cohorts!Q35:Q63)</f>
        <v>15.156</v>
      </c>
      <c r="R33" s="8" t="n">
        <f aca="false">SUM(Cohorts!R35:R63)</f>
        <v>13.4829</v>
      </c>
      <c r="S33" s="8" t="n">
        <f aca="false">SUM(Cohorts!S35:S63)</f>
        <v>12.06261</v>
      </c>
      <c r="T33" s="8" t="n">
        <f aca="false">SUM(Cohorts!T35:T63)</f>
        <v>10.856349</v>
      </c>
      <c r="U33" s="8" t="n">
        <f aca="false">SUM(Cohorts!U35:U63)</f>
        <v>9.7707141</v>
      </c>
      <c r="V33" s="8" t="n">
        <f aca="false">SUM(Cohorts!V35:V63)</f>
        <v>8.79364269</v>
      </c>
      <c r="W33" s="8" t="n">
        <f aca="false">SUM(Cohorts!W35:W63)</f>
        <v>7.914278421</v>
      </c>
      <c r="X33" s="8" t="n">
        <f aca="false">SUM(Cohorts!X35:X63)</f>
        <v>7.1228505789</v>
      </c>
      <c r="Y33" s="8" t="n">
        <f aca="false">SUM(Cohorts!Y35:Y63)</f>
        <v>6.41056552101</v>
      </c>
      <c r="Z33" s="8" t="n">
        <f aca="false">SUM(Cohorts!Z35:Z63)</f>
        <v>5.769508968909</v>
      </c>
      <c r="AA33" s="8" t="n">
        <f aca="false">SUM(Cohorts!AA35:AA63)</f>
        <v>5.1925580720181</v>
      </c>
      <c r="AB33" s="8" t="n">
        <f aca="false">SUM(Cohorts!AB35:AB63)</f>
        <v>4.67330226481629</v>
      </c>
      <c r="AC33" s="8" t="n">
        <f aca="false">SUM(Cohorts!AC35:AC63)</f>
        <v>4.20597203833466</v>
      </c>
      <c r="AD33" s="8" t="n">
        <f aca="false">SUM(Cohorts!AD35:AD63)</f>
        <v>3.7853748345012</v>
      </c>
      <c r="AE33" s="8" t="n">
        <f aca="false">SUM(Cohorts!AE35:AE63)</f>
        <v>3.40683735105108</v>
      </c>
      <c r="AF33" s="8" t="n">
        <f aca="false">SUM(Cohorts!AF35:AF63)</f>
        <v>3.06615361594597</v>
      </c>
      <c r="AG33" s="8" t="n">
        <f aca="false">SUM(Cohorts!AG35:AG63)</f>
        <v>2.75953825435137</v>
      </c>
      <c r="AH33" s="8" t="n">
        <f aca="false">SUM(Cohorts!AH35:AH63)</f>
        <v>2.48358442891624</v>
      </c>
      <c r="AI33" s="8" t="n">
        <f aca="false">SUM(Cohorts!AI35:AI63)</f>
        <v>2.23522598602461</v>
      </c>
    </row>
    <row r="34" customFormat="false" ht="15" hidden="false" customHeight="false" outlineLevel="0" collapsed="false">
      <c r="A34" s="4" t="s">
        <v>134</v>
      </c>
      <c r="G34" s="8" t="n">
        <f aca="false">G$14+G33</f>
        <v>64.535625</v>
      </c>
      <c r="H34" s="8" t="n">
        <f aca="false">H$14+H33</f>
        <v>70.1337</v>
      </c>
      <c r="I34" s="8" t="n">
        <f aca="false">I$14+I33</f>
        <v>78.5535465</v>
      </c>
      <c r="J34" s="8" t="n">
        <f aca="false">J$14+J33</f>
        <v>78.98322699</v>
      </c>
      <c r="K34" s="8" t="n">
        <f aca="false">K$14+K33</f>
        <v>65.0366803212</v>
      </c>
      <c r="L34" s="8" t="n">
        <f aca="false">L$14+L33</f>
        <v>51.022021427592</v>
      </c>
      <c r="M34" s="8" t="n">
        <f aca="false">M$14+M33</f>
        <v>42.7301394991087</v>
      </c>
      <c r="N34" s="8" t="n">
        <f aca="false">N$14+N33</f>
        <v>37.0110769441889</v>
      </c>
      <c r="O34" s="8" t="n">
        <f aca="false">O$14+O33</f>
        <v>32.7044800192119</v>
      </c>
      <c r="P34" s="8" t="n">
        <f aca="false">P$14+P33</f>
        <v>29.1236518174829</v>
      </c>
      <c r="Q34" s="8" t="n">
        <f aca="false">Q$14+Q33</f>
        <v>26.1589481539094</v>
      </c>
      <c r="R34" s="8" t="n">
        <f aca="false">R$14+R33</f>
        <v>23.4955828200576</v>
      </c>
      <c r="S34" s="8" t="n">
        <f aca="false">S$14+S33</f>
        <v>21.1741513662524</v>
      </c>
      <c r="T34" s="8" t="n">
        <f aca="false">T$14+T33</f>
        <v>19.1478516432897</v>
      </c>
      <c r="U34" s="8" t="n">
        <f aca="false">U$14+U33</f>
        <v>17.3159815053936</v>
      </c>
      <c r="V34" s="8" t="n">
        <f aca="false">V$14+V33</f>
        <v>15.6598360289082</v>
      </c>
      <c r="W34" s="8" t="n">
        <f aca="false">W$14+W33</f>
        <v>14.1625143594064</v>
      </c>
      <c r="X34" s="8" t="n">
        <f aca="false">X$14+X33</f>
        <v>12.8087452828499</v>
      </c>
      <c r="Y34" s="8" t="n">
        <f aca="false">Y$14+Y33</f>
        <v>11.5847297016044</v>
      </c>
      <c r="Z34" s="8" t="n">
        <f aca="false">Z$14+Z33</f>
        <v>10.4779983732499</v>
      </c>
      <c r="AA34" s="8" t="n">
        <f aca="false">AA$14+AA33</f>
        <v>9.4772834299683</v>
      </c>
      <c r="AB34" s="8" t="n">
        <f aca="false">AB$14+AB33</f>
        <v>8.57240234055097</v>
      </c>
      <c r="AC34" s="8" t="n">
        <f aca="false">AC$14+AC33</f>
        <v>7.75415310725322</v>
      </c>
      <c r="AD34" s="8" t="n">
        <f aca="false">AD$14+AD33</f>
        <v>7.01421960721709</v>
      </c>
      <c r="AE34" s="8" t="n">
        <f aca="false">AE$14+AE33</f>
        <v>6.34508609422254</v>
      </c>
      <c r="AF34" s="8" t="n">
        <f aca="false">AF$14+AF33</f>
        <v>5.739959972232</v>
      </c>
      <c r="AG34" s="8" t="n">
        <f aca="false">AG$14+AG33</f>
        <v>5.19270203857166</v>
      </c>
      <c r="AH34" s="8" t="n">
        <f aca="false">AH$14+AH33</f>
        <v>4.6977634725567</v>
      </c>
      <c r="AI34" s="8" t="n">
        <f aca="false">AI$14+AI33</f>
        <v>4.25012891573743</v>
      </c>
    </row>
    <row r="35" customFormat="false" ht="15" hidden="false" customHeight="false" outlineLevel="0" collapsed="false">
      <c r="A35" s="2" t="s">
        <v>27</v>
      </c>
      <c r="G35" s="26" t="n">
        <f aca="false">G34/0.365</f>
        <v>176.809931506849</v>
      </c>
      <c r="H35" s="26" t="n">
        <f aca="false">H34/0.365</f>
        <v>192.147123287671</v>
      </c>
      <c r="I35" s="26" t="n">
        <f aca="false">I34/0.365</f>
        <v>215.215195890411</v>
      </c>
      <c r="J35" s="26" t="n">
        <f aca="false">J34/0.365</f>
        <v>216.392402712329</v>
      </c>
      <c r="K35" s="26" t="n">
        <f aca="false">K34/0.365</f>
        <v>178.182685811507</v>
      </c>
      <c r="L35" s="26" t="n">
        <f aca="false">L34/0.365</f>
        <v>139.786360075595</v>
      </c>
      <c r="M35" s="26" t="n">
        <f aca="false">M34/0.365</f>
        <v>117.068875340024</v>
      </c>
      <c r="N35" s="26" t="n">
        <f aca="false">N34/0.365</f>
        <v>101.400210805997</v>
      </c>
      <c r="O35" s="26" t="n">
        <f aca="false">O34/0.365</f>
        <v>89.6013151211286</v>
      </c>
      <c r="P35" s="26" t="n">
        <f aca="false">P34/0.365</f>
        <v>79.7908268972133</v>
      </c>
      <c r="Q35" s="26" t="n">
        <f aca="false">Q34/0.365</f>
        <v>71.6683511066011</v>
      </c>
      <c r="R35" s="26" t="n">
        <f aca="false">R34/0.365</f>
        <v>64.3714597809796</v>
      </c>
      <c r="S35" s="26" t="n">
        <f aca="false">S34/0.365</f>
        <v>58.0113736061709</v>
      </c>
      <c r="T35" s="26" t="n">
        <f aca="false">T34/0.365</f>
        <v>52.4598675158621</v>
      </c>
      <c r="U35" s="26" t="n">
        <f aca="false">U34/0.365</f>
        <v>47.4410452202564</v>
      </c>
      <c r="V35" s="26" t="n">
        <f aca="false">V34/0.365</f>
        <v>42.9036603531731</v>
      </c>
      <c r="W35" s="26" t="n">
        <f aca="false">W34/0.365</f>
        <v>38.8014092038533</v>
      </c>
      <c r="X35" s="26" t="n">
        <f aca="false">X34/0.365</f>
        <v>35.0924528297256</v>
      </c>
      <c r="Y35" s="26" t="n">
        <f aca="false">Y34/0.365</f>
        <v>31.7389854838476</v>
      </c>
      <c r="Z35" s="26" t="n">
        <f aca="false">Z34/0.365</f>
        <v>28.7068448582188</v>
      </c>
      <c r="AA35" s="26" t="n">
        <f aca="false">AA34/0.365</f>
        <v>25.9651600821049</v>
      </c>
      <c r="AB35" s="26" t="n">
        <f aca="false">AB34/0.365</f>
        <v>23.4860338097287</v>
      </c>
      <c r="AC35" s="26" t="n">
        <f aca="false">AC34/0.365</f>
        <v>21.244255088365</v>
      </c>
      <c r="AD35" s="26" t="n">
        <f aca="false">AD34/0.365</f>
        <v>19.2170400197728</v>
      </c>
      <c r="AE35" s="26" t="n">
        <f aca="false">AE34/0.365</f>
        <v>17.3837975184179</v>
      </c>
      <c r="AF35" s="26" t="n">
        <f aca="false">AF34/0.365</f>
        <v>15.7259177321425</v>
      </c>
      <c r="AG35" s="26" t="n">
        <f aca="false">AG34/0.365</f>
        <v>14.2265809275936</v>
      </c>
      <c r="AH35" s="26" t="n">
        <f aca="false">AH34/0.365</f>
        <v>12.8705848563197</v>
      </c>
      <c r="AI35" s="26" t="n">
        <f aca="false">AI34/0.365</f>
        <v>11.6441888102395</v>
      </c>
    </row>
    <row r="36" customFormat="false" ht="15" hidden="false" customHeight="false" outlineLevel="0" collapsed="false">
      <c r="A36" s="4" t="s">
        <v>28</v>
      </c>
      <c r="G36" s="5" t="n">
        <f aca="false">G34*G$8</f>
        <v>4950.34482545487</v>
      </c>
      <c r="H36" s="5" t="n">
        <f aca="false">H34*H$8</f>
        <v>4590.41254375855</v>
      </c>
      <c r="I36" s="5" t="n">
        <f aca="false">I34*I$8</f>
        <v>5043.41688880182</v>
      </c>
      <c r="J36" s="5" t="n">
        <f aca="false">J34*J$8</f>
        <v>5190.10192329759</v>
      </c>
      <c r="K36" s="5" t="n">
        <f aca="false">K34*K$8</f>
        <v>4364.78547343916</v>
      </c>
      <c r="L36" s="5" t="n">
        <f aca="false">L34*L$8</f>
        <v>3497.14765176293</v>
      </c>
      <c r="M36" s="5" t="n">
        <f aca="false">M34*M$8</f>
        <v>2991.09973248842</v>
      </c>
      <c r="N36" s="5" t="n">
        <f aca="false">N34*N$8</f>
        <v>2645.80199402345</v>
      </c>
      <c r="O36" s="5" t="n">
        <f aca="false">O34*O$8</f>
        <v>2387.54136738163</v>
      </c>
      <c r="P36" s="5" t="n">
        <f aca="false">P34*P$8</f>
        <v>2171.18471658179</v>
      </c>
      <c r="Q36" s="5" t="n">
        <f aca="false">Q34*Q$8</f>
        <v>1991.44349761801</v>
      </c>
      <c r="R36" s="5" t="n">
        <f aca="false">R34*R$8</f>
        <v>1826.50310624054</v>
      </c>
      <c r="S36" s="5" t="n">
        <f aca="false">S34*S$8</f>
        <v>1680.80226079597</v>
      </c>
      <c r="T36" s="5" t="n">
        <f aca="false">T34*T$8</f>
        <v>1552.01972664268</v>
      </c>
      <c r="U36" s="5" t="n">
        <f aca="false">U34*U$8</f>
        <v>1433.11564899901</v>
      </c>
      <c r="V36" s="5" t="n">
        <f aca="false">V34*V$8</f>
        <v>1323.33212417828</v>
      </c>
      <c r="W36" s="5" t="n">
        <f aca="false">W34*W$8</f>
        <v>1221.96934058639</v>
      </c>
      <c r="X36" s="5" t="n">
        <f aca="false">X34*X$8</f>
        <v>1128.38113723373</v>
      </c>
      <c r="Y36" s="5" t="n">
        <f aca="false">Y34*Y$8</f>
        <v>1041.97090028275</v>
      </c>
      <c r="Z36" s="5" t="n">
        <f aca="false">Z34*Z$8</f>
        <v>962.187772091527</v>
      </c>
      <c r="AA36" s="5" t="n">
        <f aca="false">AA34*AA$8</f>
        <v>888.523149121684</v>
      </c>
      <c r="AB36" s="5" t="n">
        <f aca="false">AB34*AB$8</f>
        <v>820.507446846814</v>
      </c>
      <c r="AC36" s="5" t="n">
        <f aca="false">AC34*AC$8</f>
        <v>757.707111435621</v>
      </c>
      <c r="AD36" s="5" t="n">
        <f aca="false">AD34*AD$8</f>
        <v>699.721859500791</v>
      </c>
      <c r="AE36" s="5" t="n">
        <f aca="false">AE34*AE$8</f>
        <v>646.182128609668</v>
      </c>
      <c r="AF36" s="5" t="n">
        <f aca="false">AF34*AF$8</f>
        <v>596.746722553722</v>
      </c>
      <c r="AG36" s="5" t="n">
        <f aca="false">AG34*AG$8</f>
        <v>551.100636578272</v>
      </c>
      <c r="AH36" s="5" t="n">
        <f aca="false">AH34*AH$8</f>
        <v>508.953048888992</v>
      </c>
      <c r="AI36" s="5" t="n">
        <f aca="false">AI34*AI$8</f>
        <v>470.035465783753</v>
      </c>
    </row>
    <row r="37" customFormat="false" ht="15" hidden="false" customHeight="false" outlineLevel="0" collapsed="false">
      <c r="A37" s="2" t="s">
        <v>29</v>
      </c>
      <c r="G37" s="6" t="n">
        <f aca="false">G34*G$9</f>
        <v>3407.50489348521</v>
      </c>
      <c r="H37" s="6" t="n">
        <f aca="false">H34*H$9</f>
        <v>3041.65632339649</v>
      </c>
      <c r="I37" s="6" t="n">
        <f aca="false">I34*I$9</f>
        <v>3310.19850001046</v>
      </c>
      <c r="J37" s="6" t="n">
        <f aca="false">J34*J$9</f>
        <v>3409.36698528758</v>
      </c>
      <c r="K37" s="6" t="n">
        <f aca="false">K34*K$9</f>
        <v>2868.1412164385</v>
      </c>
      <c r="L37" s="6" t="n">
        <f aca="false">L34*L$9</f>
        <v>2298.73137504634</v>
      </c>
      <c r="M37" s="6" t="n">
        <f aca="false">M34*M$9</f>
        <v>1966.70272307441</v>
      </c>
      <c r="N37" s="6" t="n">
        <f aca="false">N34*N$9</f>
        <v>1740.18633653251</v>
      </c>
      <c r="O37" s="6" t="n">
        <f aca="false">O34*O$9</f>
        <v>1570.78593204302</v>
      </c>
      <c r="P37" s="6" t="n">
        <f aca="false">P34*P$9</f>
        <v>1428.85355387703</v>
      </c>
      <c r="Q37" s="6" t="n">
        <f aca="false">Q34*Q$9</f>
        <v>1310.93457487138</v>
      </c>
      <c r="R37" s="6" t="n">
        <f aca="false">R34*R$9</f>
        <v>1202.68758895481</v>
      </c>
      <c r="S37" s="6" t="n">
        <f aca="false">S34*S$9</f>
        <v>1107.04631656661</v>
      </c>
      <c r="T37" s="6" t="n">
        <f aca="false">T34*T$9</f>
        <v>1022.49358118721</v>
      </c>
      <c r="U37" s="6" t="n">
        <f aca="false">U34*U$9</f>
        <v>944.40063781672</v>
      </c>
      <c r="V37" s="6" t="n">
        <f aca="false">V34*V$9</f>
        <v>872.27439308762</v>
      </c>
      <c r="W37" s="6" t="n">
        <f aca="false">W34*W$9</f>
        <v>805.659301983944</v>
      </c>
      <c r="X37" s="6" t="n">
        <f aca="false">X34*X$9</f>
        <v>744.134521331699</v>
      </c>
      <c r="Y37" s="6" t="n">
        <f aca="false">Y34*Y$9</f>
        <v>687.311277518263</v>
      </c>
      <c r="Z37" s="6" t="n">
        <f aca="false">Z34*Z$9</f>
        <v>634.830432497771</v>
      </c>
      <c r="AA37" s="6" t="n">
        <f aca="false">AA34*AA$9</f>
        <v>586.360233305933</v>
      </c>
      <c r="AB37" s="6" t="n">
        <f aca="false">AB34*AB$9</f>
        <v>541.59423139095</v>
      </c>
      <c r="AC37" s="6" t="n">
        <f aca="false">AC34*AC$9</f>
        <v>500.249359073068</v>
      </c>
      <c r="AD37" s="6" t="n">
        <f aca="false">AD34*AD$9</f>
        <v>462.064151378963</v>
      </c>
      <c r="AE37" s="6" t="n">
        <f aca="false">AE34*AE$9</f>
        <v>426.797102363777</v>
      </c>
      <c r="AF37" s="6" t="n">
        <f aca="false">AF34*AF$9</f>
        <v>394.225145837645</v>
      </c>
      <c r="AG37" s="6" t="n">
        <f aca="false">AG34*AG$9</f>
        <v>364.142251159541</v>
      </c>
      <c r="AH37" s="6" t="n">
        <f aca="false">AH34*AH$9</f>
        <v>336.358125453114</v>
      </c>
      <c r="AI37" s="6" t="n">
        <f aca="false">AI34*AI$9</f>
        <v>310.697014240794</v>
      </c>
    </row>
    <row r="38" customFormat="false" ht="15" hidden="false" customHeight="false" outlineLevel="0" collapsed="false">
      <c r="A38" s="4" t="s">
        <v>135</v>
      </c>
      <c r="G38" s="5" t="n">
        <f aca="false">G32*G$10+G34*Facilities*G$6</f>
        <v>1735.53335901634</v>
      </c>
      <c r="H38" s="5" t="n">
        <f aca="false">H32*H$10+H34*Facilities*H$6</f>
        <v>1779.24458874566</v>
      </c>
      <c r="I38" s="5" t="n">
        <f aca="false">I32*I$10+I34*Facilities*I$6</f>
        <v>1732.62100464211</v>
      </c>
      <c r="J38" s="5" t="n">
        <f aca="false">J32*J$10+J34*Facilities*J$6</f>
        <v>1151.55497754493</v>
      </c>
      <c r="K38" s="5" t="n">
        <f aca="false">K32*K$10+K34*Facilities*K$6</f>
        <v>213.294861534483</v>
      </c>
      <c r="L38" s="5" t="n">
        <f aca="false">L32*L$10+L34*Facilities*L$6</f>
        <v>170.678909819778</v>
      </c>
      <c r="M38" s="5" t="n">
        <f aca="false">M32*M$10+M34*Facilities*M$6</f>
        <v>145.799717269828</v>
      </c>
      <c r="N38" s="5" t="n">
        <f aca="false">N32*N$10+N34*Facilities*N$6</f>
        <v>128.811389570017</v>
      </c>
      <c r="O38" s="5" t="n">
        <f aca="false">O32*O$10+O34*Facilities*O$6</f>
        <v>116.099396762974</v>
      </c>
      <c r="P38" s="5" t="n">
        <f aca="false">P32*P$10+P34*Facilities*P$6</f>
        <v>105.455374116009</v>
      </c>
      <c r="Q38" s="5" t="n">
        <f aca="false">Q32*Q$10+Q34*Facilities*Q$6</f>
        <v>96.6147279526167</v>
      </c>
      <c r="R38" s="5" t="n">
        <f aca="false">R32*R$10+R34*Facilities*R$6</f>
        <v>88.5134874487283</v>
      </c>
      <c r="S38" s="5" t="n">
        <f aca="false">S32*S$10+S34*Facilities*S$6</f>
        <v>81.3634611858271</v>
      </c>
      <c r="T38" s="5" t="n">
        <f aca="false">T32*T$10+T34*Facilities*T$6</f>
        <v>75.0487783979342</v>
      </c>
      <c r="U38" s="5" t="n">
        <f aca="false">U32*U$10+U34*Facilities*U$6</f>
        <v>69.2262583087415</v>
      </c>
      <c r="V38" s="5" t="n">
        <f aca="false">V32*V$10+V34*Facilities*V$6</f>
        <v>63.857384621571</v>
      </c>
      <c r="W38" s="5" t="n">
        <f aca="false">W32*W$10+W34*Facilities*W$6</f>
        <v>58.9066671890687</v>
      </c>
      <c r="X38" s="5" t="n">
        <f aca="false">X32*X$10+X34*Facilities*X$6</f>
        <v>54.3414033599874</v>
      </c>
      <c r="Y38" s="5" t="n">
        <f aca="false">Y32*Y$10+Y34*Facilities*Y$6</f>
        <v>50.1314582140764</v>
      </c>
      <c r="Z38" s="5" t="n">
        <f aca="false">Z32*Z$10+Z34*Facilities*Z$6</f>
        <v>46.2490621851842</v>
      </c>
      <c r="AA38" s="5" t="n">
        <f aca="false">AA32*AA$10+AA34*Facilities*AA$6</f>
        <v>42.6686246921545</v>
      </c>
      <c r="AB38" s="5" t="n">
        <f aca="false">AB32*AB$10+AB34*Facilities*AB$6</f>
        <v>39.3665625070312</v>
      </c>
      <c r="AC38" s="5" t="n">
        <f aca="false">AC32*AC$10+AC34*Facilities*AC$6</f>
        <v>36.3211416912424</v>
      </c>
      <c r="AD38" s="5" t="n">
        <f aca="false">AD32*AD$10+AD34*Facilities*AD$6</f>
        <v>33.5123320235055</v>
      </c>
      <c r="AE38" s="5" t="n">
        <f aca="false">AE32*AE$10+AE34*Facilities*AE$6</f>
        <v>30.9216729288452</v>
      </c>
      <c r="AF38" s="5" t="n">
        <f aca="false">AF32*AF$10+AF34*Facilities*AF$6</f>
        <v>28.532149996922</v>
      </c>
      <c r="AG38" s="5" t="n">
        <f aca="false">AG32*AG$10+AG34*Facilities*AG$6</f>
        <v>26.3280812503928</v>
      </c>
      <c r="AH38" s="5" t="n">
        <f aca="false">AH32*AH$10+AH34*Facilities*AH$6</f>
        <v>24.2950123907579</v>
      </c>
      <c r="AI38" s="5" t="n">
        <f aca="false">AI32*AI$10+AI34*Facilities*AI$6</f>
        <v>22.419620310565</v>
      </c>
    </row>
    <row r="39" customFormat="false" ht="15" hidden="false" customHeight="false" outlineLevel="0" collapsed="false">
      <c r="A39" s="4" t="s">
        <v>136</v>
      </c>
      <c r="G39" s="5" t="n">
        <f aca="false">IF(G$3&lt;=7,TaxBasis*1000/7,0)+SUM(G38:G38)/TaxLife</f>
        <v>1347.10667180327</v>
      </c>
      <c r="H39" s="5" t="n">
        <f aca="false">IF(H$3&lt;=7,TaxBasis*1000/7,0)+SUM(G38:H38)/TaxLife</f>
        <v>1702.9555895524</v>
      </c>
      <c r="I39" s="5" t="n">
        <f aca="false">IF(I$3&lt;=7,TaxBasis*1000/7,0)+SUM(G38:I38)/TaxLife</f>
        <v>2049.47979048082</v>
      </c>
      <c r="J39" s="5" t="n">
        <f aca="false">IF(J$3&lt;=7,TaxBasis*1000/7,0)+SUM(G38:J38)/TaxLife</f>
        <v>2279.79078598981</v>
      </c>
      <c r="K39" s="5" t="n">
        <f aca="false">IF(K$3&lt;=7,TaxBasis*1000/7,0)+SUM(G38:K38)/TaxLife</f>
        <v>2322.4497582967</v>
      </c>
      <c r="L39" s="5" t="n">
        <f aca="false">IF(L$3&lt;=7,TaxBasis*1000/7,0)+SUM(H38:L38)/TaxLife</f>
        <v>2009.47886845739</v>
      </c>
      <c r="M39" s="5" t="n">
        <f aca="false">IF(M$3&lt;=7,TaxBasis*1000/7,0)+SUM(I38:M38)/TaxLife</f>
        <v>1682.78989416223</v>
      </c>
      <c r="N39" s="5" t="n">
        <f aca="false">IF(N$3&lt;=7,TaxBasis*1000/7,0)+SUM(J38:N38)/TaxLife</f>
        <v>362.027971147808</v>
      </c>
      <c r="O39" s="5" t="n">
        <f aca="false">IF(O$3&lt;=7,TaxBasis*1000/7,0)+SUM(K38:O38)/TaxLife</f>
        <v>154.936854991416</v>
      </c>
      <c r="P39" s="5" t="n">
        <f aca="false">IF(P$3&lt;=7,TaxBasis*1000/7,0)+SUM(L38:P38)/TaxLife</f>
        <v>133.368957507721</v>
      </c>
      <c r="Q39" s="5" t="n">
        <f aca="false">IF(Q$3&lt;=7,TaxBasis*1000/7,0)+SUM(M38:Q38)/TaxLife</f>
        <v>118.556121134289</v>
      </c>
      <c r="R39" s="5" t="n">
        <f aca="false">IF(R$3&lt;=7,TaxBasis*1000/7,0)+SUM(N38:R38)/TaxLife</f>
        <v>107.098875170069</v>
      </c>
      <c r="S39" s="5" t="n">
        <f aca="false">IF(S$3&lt;=7,TaxBasis*1000/7,0)+SUM(O38:S38)/TaxLife</f>
        <v>97.609289493231</v>
      </c>
      <c r="T39" s="5" t="n">
        <f aca="false">IF(T$3&lt;=7,TaxBasis*1000/7,0)+SUM(P38:T38)/TaxLife</f>
        <v>89.399165820223</v>
      </c>
      <c r="U39" s="5" t="n">
        <f aca="false">IF(U$3&lt;=7,TaxBasis*1000/7,0)+SUM(Q38:U38)/TaxLife</f>
        <v>82.1533426587695</v>
      </c>
      <c r="V39" s="5" t="n">
        <f aca="false">IF(V$3&lt;=7,TaxBasis*1000/7,0)+SUM(R38:V38)/TaxLife</f>
        <v>75.6018739925604</v>
      </c>
      <c r="W39" s="5" t="n">
        <f aca="false">IF(W$3&lt;=7,TaxBasis*1000/7,0)+SUM(S38:W38)/TaxLife</f>
        <v>69.6805099406285</v>
      </c>
      <c r="X39" s="5" t="n">
        <f aca="false">IF(X$3&lt;=7,TaxBasis*1000/7,0)+SUM(T38:X38)/TaxLife</f>
        <v>64.2760983754606</v>
      </c>
      <c r="Y39" s="5" t="n">
        <f aca="false">IF(Y$3&lt;=7,TaxBasis*1000/7,0)+SUM(U38:Y38)/TaxLife</f>
        <v>59.292634338689</v>
      </c>
      <c r="Z39" s="5" t="n">
        <f aca="false">IF(Z$3&lt;=7,TaxBasis*1000/7,0)+SUM(V38:Z38)/TaxLife</f>
        <v>54.6971951139775</v>
      </c>
      <c r="AA39" s="5" t="n">
        <f aca="false">IF(AA$3&lt;=7,TaxBasis*1000/7,0)+SUM(W38:AA38)/TaxLife</f>
        <v>50.4594431280942</v>
      </c>
      <c r="AB39" s="5" t="n">
        <f aca="false">IF(AB$3&lt;=7,TaxBasis*1000/7,0)+SUM(X38:AB38)/TaxLife</f>
        <v>46.5514221916867</v>
      </c>
      <c r="AC39" s="5" t="n">
        <f aca="false">IF(AC$3&lt;=7,TaxBasis*1000/7,0)+SUM(Y38:AC38)/TaxLife</f>
        <v>42.9473698579377</v>
      </c>
      <c r="AD39" s="5" t="n">
        <f aca="false">IF(AD$3&lt;=7,TaxBasis*1000/7,0)+SUM(Z38:AD38)/TaxLife</f>
        <v>39.6235446198236</v>
      </c>
      <c r="AE39" s="5" t="n">
        <f aca="false">IF(AE$3&lt;=7,TaxBasis*1000/7,0)+SUM(AA38:AE38)/TaxLife</f>
        <v>36.5580667685558</v>
      </c>
      <c r="AF39" s="5" t="n">
        <f aca="false">IF(AF$3&lt;=7,TaxBasis*1000/7,0)+SUM(AB38:AF38)/TaxLife</f>
        <v>33.7307718295093</v>
      </c>
      <c r="AG39" s="5" t="n">
        <f aca="false">IF(AG$3&lt;=7,TaxBasis*1000/7,0)+SUM(AC38:AG38)/TaxLife</f>
        <v>31.1230755781816</v>
      </c>
      <c r="AH39" s="5" t="n">
        <f aca="false">IF(AH$3&lt;=7,TaxBasis*1000/7,0)+SUM(AD38:AH38)/TaxLife</f>
        <v>28.7178497180847</v>
      </c>
      <c r="AI39" s="5" t="n">
        <f aca="false">IF(AI$3&lt;=7,TaxBasis*1000/7,0)+SUM(AE38:AI38)/TaxLife</f>
        <v>26.4993073754966</v>
      </c>
    </row>
    <row r="40" customFormat="false" ht="15" hidden="false" customHeight="false" outlineLevel="0" collapsed="false">
      <c r="A40" s="4" t="s">
        <v>137</v>
      </c>
      <c r="G40" s="5" t="n">
        <f aca="false">TaxRate*MAX(0,G37-G39)</f>
        <v>721.139377588679</v>
      </c>
      <c r="H40" s="5" t="n">
        <f aca="false">TaxRate*MAX(0,H37-H39)</f>
        <v>468.545256845432</v>
      </c>
      <c r="I40" s="5" t="n">
        <f aca="false">TaxRate*MAX(0,I37-I39)</f>
        <v>441.251548335374</v>
      </c>
      <c r="J40" s="5" t="n">
        <f aca="false">TaxRate*MAX(0,J37-J39)</f>
        <v>395.35166975422</v>
      </c>
      <c r="K40" s="5" t="n">
        <f aca="false">TaxRate*MAX(0,K37-K39)</f>
        <v>190.992010349629</v>
      </c>
      <c r="L40" s="5" t="n">
        <f aca="false">TaxRate*MAX(0,L37-L39)</f>
        <v>101.238377306133</v>
      </c>
      <c r="M40" s="5" t="n">
        <f aca="false">TaxRate*MAX(0,M37-M39)</f>
        <v>99.3694901192649</v>
      </c>
      <c r="N40" s="5" t="n">
        <f aca="false">TaxRate*MAX(0,N37-N39)</f>
        <v>482.355427884644</v>
      </c>
      <c r="O40" s="5" t="n">
        <f aca="false">TaxRate*MAX(0,O37-O39)</f>
        <v>495.547176968062</v>
      </c>
      <c r="P40" s="5" t="n">
        <f aca="false">TaxRate*MAX(0,P37-P39)</f>
        <v>453.419608729259</v>
      </c>
      <c r="Q40" s="5" t="n">
        <f aca="false">TaxRate*MAX(0,Q37-Q39)</f>
        <v>417.332458807982</v>
      </c>
      <c r="R40" s="5" t="n">
        <f aca="false">TaxRate*MAX(0,R37-R39)</f>
        <v>383.456049824661</v>
      </c>
      <c r="S40" s="5" t="n">
        <f aca="false">TaxRate*MAX(0,S37-S39)</f>
        <v>353.302959475682</v>
      </c>
      <c r="T40" s="5" t="n">
        <f aca="false">TaxRate*MAX(0,T37-T39)</f>
        <v>326.583045378446</v>
      </c>
      <c r="U40" s="5" t="n">
        <f aca="false">TaxRate*MAX(0,U37-U39)</f>
        <v>301.786553305283</v>
      </c>
      <c r="V40" s="5" t="n">
        <f aca="false">TaxRate*MAX(0,V37-V39)</f>
        <v>278.835381683271</v>
      </c>
      <c r="W40" s="5" t="n">
        <f aca="false">TaxRate*MAX(0,W37-W39)</f>
        <v>257.59257721516</v>
      </c>
      <c r="X40" s="5" t="n">
        <f aca="false">TaxRate*MAX(0,X37-X39)</f>
        <v>237.950448034683</v>
      </c>
      <c r="Y40" s="5" t="n">
        <f aca="false">TaxRate*MAX(0,Y37-Y39)</f>
        <v>219.806525112851</v>
      </c>
      <c r="Z40" s="5" t="n">
        <f aca="false">TaxRate*MAX(0,Z37-Z39)</f>
        <v>203.046633084328</v>
      </c>
      <c r="AA40" s="5" t="n">
        <f aca="false">TaxRate*MAX(0,AA37-AA39)</f>
        <v>187.565276562243</v>
      </c>
      <c r="AB40" s="5" t="n">
        <f aca="false">TaxRate*MAX(0,AB37-AB39)</f>
        <v>173.264983219742</v>
      </c>
      <c r="AC40" s="5" t="n">
        <f aca="false">TaxRate*MAX(0,AC37-AC39)</f>
        <v>160.055696225295</v>
      </c>
      <c r="AD40" s="5" t="n">
        <f aca="false">TaxRate*MAX(0,AD37-AD39)</f>
        <v>147.854212365699</v>
      </c>
      <c r="AE40" s="5" t="n">
        <f aca="false">TaxRate*MAX(0,AE37-AE39)</f>
        <v>136.583662458328</v>
      </c>
      <c r="AF40" s="5" t="n">
        <f aca="false">TaxRate*MAX(0,AF37-AF39)</f>
        <v>126.173030902848</v>
      </c>
      <c r="AG40" s="5" t="n">
        <f aca="false">TaxRate*MAX(0,AG37-AG39)</f>
        <v>116.556711453476</v>
      </c>
      <c r="AH40" s="5" t="n">
        <f aca="false">TaxRate*MAX(0,AH37-AH39)</f>
        <v>107.67409650726</v>
      </c>
      <c r="AI40" s="5" t="n">
        <f aca="false">TaxRate*MAX(0,AI37-AI39)</f>
        <v>99.4691974028541</v>
      </c>
    </row>
    <row r="41" customFormat="false" ht="15" hidden="false" customHeight="false" outlineLevel="0" collapsed="false">
      <c r="A41" s="2" t="s">
        <v>138</v>
      </c>
      <c r="G41" s="6" t="n">
        <f aca="false">G37-G38-G40</f>
        <v>950.832156880193</v>
      </c>
      <c r="H41" s="6" t="n">
        <f aca="false">H37-H38-H40</f>
        <v>793.866477805403</v>
      </c>
      <c r="I41" s="6" t="n">
        <f aca="false">I37-I38-I40</f>
        <v>1136.32594703298</v>
      </c>
      <c r="J41" s="6" t="n">
        <f aca="false">J37-J38-J40</f>
        <v>1862.46033798843</v>
      </c>
      <c r="K41" s="6" t="n">
        <f aca="false">K37-K38-K40</f>
        <v>2463.85434455439</v>
      </c>
      <c r="L41" s="6" t="n">
        <f aca="false">L37-L38-L40</f>
        <v>2026.81408792043</v>
      </c>
      <c r="M41" s="6" t="n">
        <f aca="false">M37-M38-M40</f>
        <v>1721.53351568532</v>
      </c>
      <c r="N41" s="6" t="n">
        <f aca="false">N37-N38-N40</f>
        <v>1129.01951907784</v>
      </c>
      <c r="O41" s="6" t="n">
        <f aca="false">O37-O38-O40</f>
        <v>959.139358311985</v>
      </c>
      <c r="P41" s="6" t="n">
        <f aca="false">P37-P38-P40</f>
        <v>869.978571031766</v>
      </c>
      <c r="Q41" s="6" t="n">
        <f aca="false">Q37-Q38-Q40</f>
        <v>796.987388110781</v>
      </c>
      <c r="R41" s="6" t="n">
        <f aca="false">R37-R38-R40</f>
        <v>730.718051681426</v>
      </c>
      <c r="S41" s="6" t="n">
        <f aca="false">S37-S38-S40</f>
        <v>672.379895905099</v>
      </c>
      <c r="T41" s="6" t="n">
        <f aca="false">T37-T38-T40</f>
        <v>620.861757410832</v>
      </c>
      <c r="U41" s="6" t="n">
        <f aca="false">U37-U38-U40</f>
        <v>573.387826202696</v>
      </c>
      <c r="V41" s="6" t="n">
        <f aca="false">V37-V38-V40</f>
        <v>529.581626782778</v>
      </c>
      <c r="W41" s="6" t="n">
        <f aca="false">W37-W38-W40</f>
        <v>489.160057579715</v>
      </c>
      <c r="X41" s="6" t="n">
        <f aca="false">X37-X38-X40</f>
        <v>451.842669937028</v>
      </c>
      <c r="Y41" s="6" t="n">
        <f aca="false">Y37-Y38-Y40</f>
        <v>417.373294191336</v>
      </c>
      <c r="Z41" s="6" t="n">
        <f aca="false">Z37-Z38-Z40</f>
        <v>385.534737228259</v>
      </c>
      <c r="AA41" s="6" t="n">
        <f aca="false">AA37-AA38-AA40</f>
        <v>356.126332051535</v>
      </c>
      <c r="AB41" s="6" t="n">
        <f aca="false">AB37-AB38-AB40</f>
        <v>328.962685664177</v>
      </c>
      <c r="AC41" s="6" t="n">
        <f aca="false">AC37-AC38-AC40</f>
        <v>303.87252115653</v>
      </c>
      <c r="AD41" s="6" t="n">
        <f aca="false">AD37-AD38-AD40</f>
        <v>280.697606989759</v>
      </c>
      <c r="AE41" s="6" t="n">
        <f aca="false">AE37-AE38-AE40</f>
        <v>259.291766976605</v>
      </c>
      <c r="AF41" s="6" t="n">
        <f aca="false">AF37-AF38-AF40</f>
        <v>239.519964937876</v>
      </c>
      <c r="AG41" s="6" t="n">
        <f aca="false">AG37-AG38-AG40</f>
        <v>221.257458455672</v>
      </c>
      <c r="AH41" s="6" t="n">
        <f aca="false">AH37-AH38-AH40</f>
        <v>204.389016555096</v>
      </c>
      <c r="AI41" s="6" t="n">
        <f aca="false">AI37-AI38-AI40</f>
        <v>188.808196527375</v>
      </c>
    </row>
    <row r="42" customFormat="false" ht="15" hidden="false" customHeight="false" outlineLevel="0" collapsed="false">
      <c r="A42" s="4" t="s">
        <v>139</v>
      </c>
      <c r="B42" s="6" t="n">
        <f aca="false">SUM(G42:AI42)</f>
        <v>9548.13817636497</v>
      </c>
      <c r="G42" s="5" t="n">
        <f aca="false">G41*(1+Disc)^-(G$3-0.5)</f>
        <v>898.451937738622</v>
      </c>
      <c r="H42" s="5" t="n">
        <f aca="false">H41*(1+Disc)^-(H$3-0.5)</f>
        <v>669.761885989756</v>
      </c>
      <c r="I42" s="5" t="n">
        <f aca="false">I41*(1+Disc)^-(I$3-0.5)</f>
        <v>855.968665770549</v>
      </c>
      <c r="J42" s="5" t="n">
        <f aca="false">J41*(1+Disc)^-(J$3-0.5)</f>
        <v>1252.63330246885</v>
      </c>
      <c r="K42" s="5" t="n">
        <f aca="false">K41*(1+Disc)^-(K$3-0.5)</f>
        <v>1479.56458716687</v>
      </c>
      <c r="L42" s="5" t="n">
        <f aca="false">L41*(1+Disc)^-(L$3-0.5)</f>
        <v>1086.7128178537</v>
      </c>
      <c r="M42" s="5" t="n">
        <f aca="false">M41*(1+Disc)^-(M$3-0.5)</f>
        <v>824.134955115113</v>
      </c>
      <c r="N42" s="5" t="n">
        <f aca="false">N41*(1+Disc)^-(N$3-0.5)</f>
        <v>482.576623338609</v>
      </c>
      <c r="O42" s="5" t="n">
        <f aca="false">O41*(1+Disc)^-(O$3-0.5)</f>
        <v>366.039977469795</v>
      </c>
      <c r="P42" s="5" t="n">
        <f aca="false">P41*(1+Disc)^-(P$3-0.5)</f>
        <v>296.440365465574</v>
      </c>
      <c r="Q42" s="5" t="n">
        <f aca="false">Q41*(1+Disc)^-(Q$3-0.5)</f>
        <v>242.472344054835</v>
      </c>
      <c r="R42" s="5" t="n">
        <f aca="false">R41*(1+Disc)^-(R$3-0.5)</f>
        <v>198.491802511422</v>
      </c>
      <c r="S42" s="5" t="n">
        <f aca="false">S41*(1+Disc)^-(S$3-0.5)</f>
        <v>163.075769398947</v>
      </c>
      <c r="T42" s="5" t="n">
        <f aca="false">T41*(1+Disc)^-(T$3-0.5)</f>
        <v>134.447151024888</v>
      </c>
      <c r="U42" s="5" t="n">
        <f aca="false">U41*(1+Disc)^-(U$3-0.5)</f>
        <v>110.863130883819</v>
      </c>
      <c r="V42" s="5" t="n">
        <f aca="false">V41*(1+Disc)^-(V$3-0.5)</f>
        <v>91.422597848487</v>
      </c>
      <c r="W42" s="5" t="n">
        <f aca="false">W41*(1+Disc)^-(W$3-0.5)</f>
        <v>75.3969214396146</v>
      </c>
      <c r="X42" s="5" t="n">
        <f aca="false">X41*(1+Disc)^-(X$3-0.5)</f>
        <v>62.1830249052481</v>
      </c>
      <c r="Y42" s="5" t="n">
        <f aca="false">Y41*(1+Disc)^-(Y$3-0.5)</f>
        <v>51.2851036636869</v>
      </c>
      <c r="Z42" s="5" t="n">
        <f aca="false">Z41*(1+Disc)^-(Z$3-0.5)</f>
        <v>42.2972442002094</v>
      </c>
      <c r="AA42" s="5" t="n">
        <f aca="false">AA41*(1+Disc)^-(AA$3-0.5)</f>
        <v>34.8846702347267</v>
      </c>
      <c r="AB42" s="5" t="n">
        <f aca="false">AB41*(1+Disc)^-(AB$3-0.5)</f>
        <v>28.7712778546885</v>
      </c>
      <c r="AC42" s="5" t="n">
        <f aca="false">AC41*(1+Disc)^-(AC$3-0.5)</f>
        <v>23.7293542040324</v>
      </c>
      <c r="AD42" s="5" t="n">
        <f aca="false">AD41*(1+Disc)^-(AD$3-0.5)</f>
        <v>19.5710973609144</v>
      </c>
      <c r="AE42" s="5" t="n">
        <f aca="false">AE41*(1+Disc)^-(AE$3-0.5)</f>
        <v>16.1416219613508</v>
      </c>
      <c r="AF42" s="5" t="n">
        <f aca="false">AF41*(1+Disc)^-(AF$3-0.5)</f>
        <v>13.3131903440846</v>
      </c>
      <c r="AG42" s="5" t="n">
        <f aca="false">AG41*(1+Disc)^-(AG$3-0.5)</f>
        <v>10.9804545499726</v>
      </c>
      <c r="AH42" s="5" t="n">
        <f aca="false">AH41*(1+Disc)^-(AH$3-0.5)</f>
        <v>9.05653209574041</v>
      </c>
      <c r="AI42" s="5" t="n">
        <f aca="false">AI41*(1+Disc)^-(AI$3-0.5)</f>
        <v>7.46976945085962</v>
      </c>
    </row>
    <row r="44" customFormat="false" ht="15" hidden="false" customHeight="false" outlineLevel="0" collapsed="false">
      <c r="A44" s="15" t="s">
        <v>141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customFormat="false" ht="15" hidden="false" customHeight="false" outlineLevel="0" collapsed="false">
      <c r="A45" s="4" t="s">
        <v>132</v>
      </c>
      <c r="G45" s="5" t="n">
        <f aca="false">MAX(0,MIN(G$11,Inventory))</f>
        <v>110</v>
      </c>
      <c r="H45" s="5" t="n">
        <f aca="false">MAX(0,MIN(H$11,Inventory-SUM($G45:G45)))</f>
        <v>125</v>
      </c>
      <c r="I45" s="5" t="n">
        <f aca="false">MAX(0,MIN(I$11,Inventory-SUM($G45:H45)))</f>
        <v>135</v>
      </c>
      <c r="J45" s="5" t="n">
        <f aca="false">MAX(0,MIN(J$11,Inventory-SUM($G45:I45)))</f>
        <v>135</v>
      </c>
      <c r="K45" s="5" t="n">
        <f aca="false">MAX(0,MIN(K$11,Inventory-SUM($G45:J45)))</f>
        <v>135</v>
      </c>
      <c r="L45" s="5" t="n">
        <f aca="false">MAX(0,MIN(L$11,Inventory-SUM($G45:K45)))</f>
        <v>135</v>
      </c>
      <c r="M45" s="5" t="n">
        <f aca="false">MAX(0,MIN(M$11,Inventory-SUM($G45:L45)))</f>
        <v>135</v>
      </c>
      <c r="N45" s="5" t="n">
        <f aca="false">MAX(0,MIN(N$11,Inventory-SUM($G45:M45)))</f>
        <v>135</v>
      </c>
      <c r="O45" s="5" t="n">
        <f aca="false">MAX(0,MIN(O$11,Inventory-SUM($G45:N45)))</f>
        <v>135</v>
      </c>
      <c r="P45" s="5" t="n">
        <f aca="false">MAX(0,MIN(P$11,Inventory-SUM($G45:O45)))</f>
        <v>135</v>
      </c>
      <c r="Q45" s="5" t="n">
        <f aca="false">MAX(0,MIN(Q$11,Inventory-SUM($G45:P45)))</f>
        <v>135</v>
      </c>
      <c r="R45" s="5" t="n">
        <f aca="false">MAX(0,MIN(R$11,Inventory-SUM($G45:Q45)))</f>
        <v>20</v>
      </c>
      <c r="S45" s="5" t="n">
        <f aca="false">MAX(0,MIN(S$11,Inventory-SUM($G45:R45)))</f>
        <v>0</v>
      </c>
      <c r="T45" s="5" t="n">
        <f aca="false">MAX(0,MIN(T$11,Inventory-SUM($G45:S45)))</f>
        <v>0</v>
      </c>
      <c r="U45" s="5" t="n">
        <f aca="false">MAX(0,MIN(U$11,Inventory-SUM($G45:T45)))</f>
        <v>0</v>
      </c>
      <c r="V45" s="5" t="n">
        <f aca="false">MAX(0,MIN(V$11,Inventory-SUM($G45:U45)))</f>
        <v>0</v>
      </c>
      <c r="W45" s="5" t="n">
        <f aca="false">MAX(0,MIN(W$11,Inventory-SUM($G45:V45)))</f>
        <v>0</v>
      </c>
      <c r="X45" s="5" t="n">
        <f aca="false">MAX(0,MIN(X$11,Inventory-SUM($G45:W45)))</f>
        <v>0</v>
      </c>
      <c r="Y45" s="5" t="n">
        <f aca="false">MAX(0,MIN(Y$11,Inventory-SUM($G45:X45)))</f>
        <v>0</v>
      </c>
      <c r="Z45" s="5" t="n">
        <f aca="false">MAX(0,MIN(Z$11,Inventory-SUM($G45:Y45)))</f>
        <v>0</v>
      </c>
      <c r="AA45" s="5" t="n">
        <f aca="false">MAX(0,MIN(AA$11,Inventory-SUM($G45:Z45)))</f>
        <v>0</v>
      </c>
      <c r="AB45" s="5" t="n">
        <f aca="false">MAX(0,MIN(AB$11,Inventory-SUM($G45:AA45)))</f>
        <v>0</v>
      </c>
      <c r="AC45" s="5" t="n">
        <f aca="false">MAX(0,MIN(AC$11,Inventory-SUM($G45:AB45)))</f>
        <v>0</v>
      </c>
      <c r="AD45" s="5" t="n">
        <f aca="false">MAX(0,MIN(AD$11,Inventory-SUM($G45:AC45)))</f>
        <v>0</v>
      </c>
      <c r="AE45" s="5" t="n">
        <f aca="false">MAX(0,MIN(AE$11,Inventory-SUM($G45:AD45)))</f>
        <v>0</v>
      </c>
      <c r="AF45" s="5" t="n">
        <f aca="false">MAX(0,MIN(AF$11,Inventory-SUM($G45:AE45)))</f>
        <v>0</v>
      </c>
      <c r="AG45" s="5" t="n">
        <f aca="false">MAX(0,MIN(AG$11,Inventory-SUM($G45:AF45)))</f>
        <v>0</v>
      </c>
      <c r="AH45" s="5" t="n">
        <f aca="false">MAX(0,MIN(AH$11,Inventory-SUM($G45:AG45)))</f>
        <v>0</v>
      </c>
      <c r="AI45" s="5" t="n">
        <f aca="false">MAX(0,MIN(AI$11,Inventory-SUM($G45:AH45)))</f>
        <v>0</v>
      </c>
    </row>
    <row r="46" customFormat="false" ht="15" hidden="false" customHeight="false" outlineLevel="0" collapsed="false">
      <c r="A46" s="4" t="s">
        <v>133</v>
      </c>
      <c r="G46" s="8" t="n">
        <f aca="false">SUM(Cohorts!G66:G94)</f>
        <v>14.85</v>
      </c>
      <c r="H46" s="8" t="n">
        <f aca="false">SUM(Cohorts!H66:H94)</f>
        <v>35.685</v>
      </c>
      <c r="I46" s="8" t="n">
        <f aca="false">SUM(Cohorts!I66:I94)</f>
        <v>51.48</v>
      </c>
      <c r="J46" s="8" t="n">
        <f aca="false">SUM(Cohorts!J66:J94)</f>
        <v>63.72</v>
      </c>
      <c r="K46" s="8" t="n">
        <f aca="false">SUM(Cohorts!K66:K94)</f>
        <v>72.945</v>
      </c>
      <c r="L46" s="8" t="n">
        <f aca="false">SUM(Cohorts!L66:L94)</f>
        <v>80.64</v>
      </c>
      <c r="M46" s="8" t="n">
        <f aca="false">SUM(Cohorts!M66:M94)</f>
        <v>87.03</v>
      </c>
      <c r="N46" s="8" t="n">
        <f aca="false">SUM(Cohorts!N66:N94)</f>
        <v>92.7</v>
      </c>
      <c r="O46" s="8" t="n">
        <f aca="false">SUM(Cohorts!O66:O94)</f>
        <v>97.7175</v>
      </c>
      <c r="P46" s="8" t="n">
        <f aca="false">SUM(Cohorts!P66:P94)</f>
        <v>102.1275</v>
      </c>
      <c r="Q46" s="8" t="n">
        <f aca="false">SUM(Cohorts!Q66:Q94)</f>
        <v>106.0785</v>
      </c>
      <c r="R46" s="8" t="n">
        <f aca="false">SUM(Cohorts!R66:R94)</f>
        <v>94.1004</v>
      </c>
      <c r="S46" s="8" t="n">
        <f aca="false">SUM(Cohorts!S66:S94)</f>
        <v>74.92761</v>
      </c>
      <c r="T46" s="8" t="n">
        <f aca="false">SUM(Cohorts!T66:T94)</f>
        <v>61.960599</v>
      </c>
      <c r="U46" s="8" t="n">
        <f aca="false">SUM(Cohorts!U66:U94)</f>
        <v>53.0712891</v>
      </c>
      <c r="V46" s="8" t="n">
        <f aca="false">SUM(Cohorts!V66:V94)</f>
        <v>46.53341019</v>
      </c>
      <c r="W46" s="8" t="n">
        <f aca="false">SUM(Cohorts!W66:W94)</f>
        <v>41.157819171</v>
      </c>
      <c r="X46" s="8" t="n">
        <f aca="false">SUM(Cohorts!X66:X94)</f>
        <v>36.7877872539</v>
      </c>
      <c r="Y46" s="8" t="n">
        <f aca="false">SUM(Cohorts!Y66:Y94)</f>
        <v>32.92675852851</v>
      </c>
      <c r="Z46" s="8" t="n">
        <f aca="false">SUM(Cohorts!Z66:Z94)</f>
        <v>29.503582675659</v>
      </c>
      <c r="AA46" s="8" t="n">
        <f aca="false">SUM(Cohorts!AA66:AA94)</f>
        <v>26.5352244080931</v>
      </c>
      <c r="AB46" s="8" t="n">
        <f aca="false">SUM(Cohorts!AB66:AB94)</f>
        <v>23.8817019672838</v>
      </c>
      <c r="AC46" s="8" t="n">
        <f aca="false">SUM(Cohorts!AC66:AC94)</f>
        <v>21.4935317705554</v>
      </c>
      <c r="AD46" s="8" t="n">
        <f aca="false">SUM(Cohorts!AD66:AD94)</f>
        <v>19.3441785934999</v>
      </c>
      <c r="AE46" s="8" t="n">
        <f aca="false">SUM(Cohorts!AE66:AE94)</f>
        <v>17.4097607341499</v>
      </c>
      <c r="AF46" s="8" t="n">
        <f aca="false">SUM(Cohorts!AF66:AF94)</f>
        <v>15.6687846607349</v>
      </c>
      <c r="AG46" s="8" t="n">
        <f aca="false">SUM(Cohorts!AG66:AG94)</f>
        <v>14.1019061946614</v>
      </c>
      <c r="AH46" s="8" t="n">
        <f aca="false">SUM(Cohorts!AH66:AH94)</f>
        <v>12.6917155751953</v>
      </c>
      <c r="AI46" s="8" t="n">
        <f aca="false">SUM(Cohorts!AI66:AI94)</f>
        <v>11.4225440176757</v>
      </c>
    </row>
    <row r="47" customFormat="false" ht="15" hidden="false" customHeight="false" outlineLevel="0" collapsed="false">
      <c r="A47" s="4" t="s">
        <v>134</v>
      </c>
      <c r="G47" s="8" t="n">
        <f aca="false">G$14+G46</f>
        <v>64.535625</v>
      </c>
      <c r="H47" s="8" t="n">
        <f aca="false">H$14+H46</f>
        <v>70.1337</v>
      </c>
      <c r="I47" s="8" t="n">
        <f aca="false">I$14+I46</f>
        <v>78.5535465</v>
      </c>
      <c r="J47" s="8" t="n">
        <f aca="false">J$14+J46</f>
        <v>86.40822699</v>
      </c>
      <c r="K47" s="8" t="n">
        <f aca="false">K$14+K46</f>
        <v>92.6666803212</v>
      </c>
      <c r="L47" s="8" t="n">
        <f aca="false">L$14+L46</f>
        <v>98.272021427592</v>
      </c>
      <c r="M47" s="8" t="n">
        <f aca="false">M$14+M46</f>
        <v>103.075139499109</v>
      </c>
      <c r="N47" s="8" t="n">
        <f aca="false">N$14+N46</f>
        <v>107.301076944189</v>
      </c>
      <c r="O47" s="8" t="n">
        <f aca="false">O$14+O46</f>
        <v>111.004480019212</v>
      </c>
      <c r="P47" s="8" t="n">
        <f aca="false">P$14+P46</f>
        <v>114.218651817483</v>
      </c>
      <c r="Q47" s="8" t="n">
        <f aca="false">Q$14+Q46</f>
        <v>117.081448153909</v>
      </c>
      <c r="R47" s="8" t="n">
        <f aca="false">R$14+R46</f>
        <v>104.113082820058</v>
      </c>
      <c r="S47" s="8" t="n">
        <f aca="false">S$14+S46</f>
        <v>84.0391513662524</v>
      </c>
      <c r="T47" s="8" t="n">
        <f aca="false">T$14+T46</f>
        <v>70.2521016432897</v>
      </c>
      <c r="U47" s="8" t="n">
        <f aca="false">U$14+U46</f>
        <v>60.6165565053936</v>
      </c>
      <c r="V47" s="8" t="n">
        <f aca="false">V$14+V46</f>
        <v>53.3996035289082</v>
      </c>
      <c r="W47" s="8" t="n">
        <f aca="false">W$14+W46</f>
        <v>47.4060551094064</v>
      </c>
      <c r="X47" s="8" t="n">
        <f aca="false">X$14+X46</f>
        <v>42.4736819578499</v>
      </c>
      <c r="Y47" s="8" t="n">
        <f aca="false">Y$14+Y46</f>
        <v>38.1009227091044</v>
      </c>
      <c r="Z47" s="8" t="n">
        <f aca="false">Z$14+Z46</f>
        <v>34.2120720799999</v>
      </c>
      <c r="AA47" s="8" t="n">
        <f aca="false">AA$14+AA46</f>
        <v>30.8199497660433</v>
      </c>
      <c r="AB47" s="8" t="n">
        <f aca="false">AB$14+AB46</f>
        <v>27.7808020430185</v>
      </c>
      <c r="AC47" s="8" t="n">
        <f aca="false">AC$14+AC46</f>
        <v>25.041712839474</v>
      </c>
      <c r="AD47" s="8" t="n">
        <f aca="false">AD$14+AD46</f>
        <v>22.5730233662158</v>
      </c>
      <c r="AE47" s="8" t="n">
        <f aca="false">AE$14+AE46</f>
        <v>20.3480094773214</v>
      </c>
      <c r="AF47" s="8" t="n">
        <f aca="false">AF$14+AF46</f>
        <v>18.3425910170209</v>
      </c>
      <c r="AG47" s="8" t="n">
        <f aca="false">AG$14+AG46</f>
        <v>16.5350699788817</v>
      </c>
      <c r="AH47" s="8" t="n">
        <f aca="false">AH$14+AH46</f>
        <v>14.9058946188357</v>
      </c>
      <c r="AI47" s="8" t="n">
        <f aca="false">AI$14+AI46</f>
        <v>13.4374469473886</v>
      </c>
    </row>
    <row r="48" customFormat="false" ht="15" hidden="false" customHeight="false" outlineLevel="0" collapsed="false">
      <c r="A48" s="2" t="s">
        <v>27</v>
      </c>
      <c r="G48" s="26" t="n">
        <f aca="false">G47/0.365</f>
        <v>176.809931506849</v>
      </c>
      <c r="H48" s="26" t="n">
        <f aca="false">H47/0.365</f>
        <v>192.147123287671</v>
      </c>
      <c r="I48" s="26" t="n">
        <f aca="false">I47/0.365</f>
        <v>215.215195890411</v>
      </c>
      <c r="J48" s="26" t="n">
        <f aca="false">J47/0.365</f>
        <v>236.734868465753</v>
      </c>
      <c r="K48" s="26" t="n">
        <f aca="false">K47/0.365</f>
        <v>253.881315948493</v>
      </c>
      <c r="L48" s="26" t="n">
        <f aca="false">L47/0.365</f>
        <v>269.238414870115</v>
      </c>
      <c r="M48" s="26" t="n">
        <f aca="false">M47/0.365</f>
        <v>282.397642463312</v>
      </c>
      <c r="N48" s="26" t="n">
        <f aca="false">N47/0.365</f>
        <v>293.975553271751</v>
      </c>
      <c r="O48" s="26" t="n">
        <f aca="false">O47/0.365</f>
        <v>304.121863066334</v>
      </c>
      <c r="P48" s="26" t="n">
        <f aca="false">P47/0.365</f>
        <v>312.927813198583</v>
      </c>
      <c r="Q48" s="26" t="n">
        <f aca="false">Q47/0.365</f>
        <v>320.771090832629</v>
      </c>
      <c r="R48" s="26" t="n">
        <f aca="false">R47/0.365</f>
        <v>285.241322794678</v>
      </c>
      <c r="S48" s="26" t="n">
        <f aca="false">S47/0.365</f>
        <v>230.2442503185</v>
      </c>
      <c r="T48" s="26" t="n">
        <f aca="false">T47/0.365</f>
        <v>192.471511351479</v>
      </c>
      <c r="U48" s="26" t="n">
        <f aca="false">U47/0.365</f>
        <v>166.072757549024</v>
      </c>
      <c r="V48" s="26" t="n">
        <f aca="false">V47/0.365</f>
        <v>146.300283640844</v>
      </c>
      <c r="W48" s="26" t="n">
        <f aca="false">W47/0.365</f>
        <v>129.87960303947</v>
      </c>
      <c r="X48" s="26" t="n">
        <f aca="false">X47/0.365</f>
        <v>116.366251939315</v>
      </c>
      <c r="Y48" s="26" t="n">
        <f aca="false">Y47/0.365</f>
        <v>104.386089613985</v>
      </c>
      <c r="Z48" s="26" t="n">
        <f aca="false">Z47/0.365</f>
        <v>93.7317043287668</v>
      </c>
      <c r="AA48" s="26" t="n">
        <f aca="false">AA47/0.365</f>
        <v>84.4382185371049</v>
      </c>
      <c r="AB48" s="26" t="n">
        <f aca="false">AB47/0.365</f>
        <v>76.1117864192287</v>
      </c>
      <c r="AC48" s="26" t="n">
        <f aca="false">AC47/0.365</f>
        <v>68.607432436915</v>
      </c>
      <c r="AD48" s="26" t="n">
        <f aca="false">AD47/0.365</f>
        <v>61.8438996334679</v>
      </c>
      <c r="AE48" s="26" t="n">
        <f aca="false">AE47/0.365</f>
        <v>55.7479711707434</v>
      </c>
      <c r="AF48" s="26" t="n">
        <f aca="false">AF47/0.365</f>
        <v>50.2536740192354</v>
      </c>
      <c r="AG48" s="26" t="n">
        <f aca="false">AG47/0.365</f>
        <v>45.3015615859773</v>
      </c>
      <c r="AH48" s="26" t="n">
        <f aca="false">AH47/0.365</f>
        <v>40.838067448865</v>
      </c>
      <c r="AI48" s="26" t="n">
        <f aca="false">AI47/0.365</f>
        <v>36.8149231435303</v>
      </c>
    </row>
    <row r="49" customFormat="false" ht="15" hidden="false" customHeight="false" outlineLevel="0" collapsed="false">
      <c r="A49" s="4" t="s">
        <v>28</v>
      </c>
      <c r="G49" s="5" t="n">
        <f aca="false">G47*G$8</f>
        <v>4950.34482545487</v>
      </c>
      <c r="H49" s="5" t="n">
        <f aca="false">H47*H$8</f>
        <v>4590.41254375855</v>
      </c>
      <c r="I49" s="5" t="n">
        <f aca="false">I47*I$8</f>
        <v>5043.41688880182</v>
      </c>
      <c r="J49" s="5" t="n">
        <f aca="false">J47*J$8</f>
        <v>5678.00939744224</v>
      </c>
      <c r="K49" s="5" t="n">
        <f aca="false">K47*K$8</f>
        <v>6219.10863439257</v>
      </c>
      <c r="L49" s="5" t="n">
        <f aca="false">L47*L$8</f>
        <v>6735.7536873999</v>
      </c>
      <c r="M49" s="5" t="n">
        <f aca="false">M47*M$8</f>
        <v>7215.23556431219</v>
      </c>
      <c r="N49" s="5" t="n">
        <f aca="false">N47*N$8</f>
        <v>7670.60639083546</v>
      </c>
      <c r="O49" s="5" t="n">
        <f aca="false">O47*O$8</f>
        <v>8103.71508291425</v>
      </c>
      <c r="P49" s="5" t="n">
        <f aca="false">P47*P$8</f>
        <v>8515.06509996894</v>
      </c>
      <c r="Q49" s="5" t="n">
        <f aca="false">Q47*Q$8</f>
        <v>8913.2440358829</v>
      </c>
      <c r="R49" s="5" t="n">
        <f aca="false">R47*R$8</f>
        <v>8093.55829253049</v>
      </c>
      <c r="S49" s="5" t="n">
        <f aca="false">S47*S$8</f>
        <v>6671.02039503237</v>
      </c>
      <c r="T49" s="5" t="n">
        <f aca="false">T47*T$8</f>
        <v>5694.24965367862</v>
      </c>
      <c r="U49" s="5" t="n">
        <f aca="false">U47*U$8</f>
        <v>5016.78381264464</v>
      </c>
      <c r="V49" s="5" t="n">
        <f aca="false">V47*V$8</f>
        <v>4512.52558696906</v>
      </c>
      <c r="W49" s="5" t="n">
        <f aca="false">W47*W$8</f>
        <v>4090.28682561359</v>
      </c>
      <c r="X49" s="5" t="n">
        <f aca="false">X47*X$8</f>
        <v>3741.70150875535</v>
      </c>
      <c r="Y49" s="5" t="n">
        <f aca="false">Y47*Y$8</f>
        <v>3426.92956671321</v>
      </c>
      <c r="Z49" s="5" t="n">
        <f aca="false">Z47*Z$8</f>
        <v>3141.67231570964</v>
      </c>
      <c r="AA49" s="5" t="n">
        <f aca="false">AA47*AA$8</f>
        <v>2889.46078528207</v>
      </c>
      <c r="AB49" s="5" t="n">
        <f aca="false">AB47*AB$8</f>
        <v>2659.03932761616</v>
      </c>
      <c r="AC49" s="5" t="n">
        <f aca="false">AC47*AC$8</f>
        <v>2446.98339567858</v>
      </c>
      <c r="AD49" s="5" t="n">
        <f aca="false">AD47*AD$8</f>
        <v>2251.83110436286</v>
      </c>
      <c r="AE49" s="5" t="n">
        <f aca="false">AE47*AE$8</f>
        <v>2072.23666972738</v>
      </c>
      <c r="AF49" s="5" t="n">
        <f aca="false">AF47*AF$8</f>
        <v>1906.96122020068</v>
      </c>
      <c r="AG49" s="5" t="n">
        <f aca="false">AG47*AG$8</f>
        <v>1754.86433142899</v>
      </c>
      <c r="AH49" s="5" t="n">
        <f aca="false">AH47*AH$8</f>
        <v>1614.89622817167</v>
      </c>
      <c r="AI49" s="5" t="n">
        <f aca="false">AI47*AI$8</f>
        <v>1486.09060103401</v>
      </c>
    </row>
    <row r="50" customFormat="false" ht="15" hidden="false" customHeight="false" outlineLevel="0" collapsed="false">
      <c r="A50" s="2" t="s">
        <v>29</v>
      </c>
      <c r="G50" s="6" t="n">
        <f aca="false">G47*G$9</f>
        <v>3407.50489348521</v>
      </c>
      <c r="H50" s="6" t="n">
        <f aca="false">H47*H$9</f>
        <v>3041.65632339649</v>
      </c>
      <c r="I50" s="6" t="n">
        <f aca="false">I47*I$9</f>
        <v>3310.19850001046</v>
      </c>
      <c r="J50" s="6" t="n">
        <f aca="false">J47*J$9</f>
        <v>3729.87237396922</v>
      </c>
      <c r="K50" s="6" t="n">
        <f aca="false">K47*K$9</f>
        <v>4086.63424865995</v>
      </c>
      <c r="L50" s="6" t="n">
        <f aca="false">L47*L$9</f>
        <v>4427.51918924694</v>
      </c>
      <c r="M50" s="6" t="n">
        <f aca="false">M47*M$9</f>
        <v>4744.14920967904</v>
      </c>
      <c r="N50" s="6" t="n">
        <f aca="false">N47*N$9</f>
        <v>5045.0806463987</v>
      </c>
      <c r="O50" s="6" t="n">
        <f aca="false">O47*O$9</f>
        <v>5331.51040791659</v>
      </c>
      <c r="P50" s="6" t="n">
        <f aca="false">P47*P$9</f>
        <v>5603.75215276006</v>
      </c>
      <c r="Q50" s="6" t="n">
        <f aca="false">Q47*Q$9</f>
        <v>5867.44228238522</v>
      </c>
      <c r="R50" s="6" t="n">
        <f aca="false">R47*R$9</f>
        <v>5329.32140966577</v>
      </c>
      <c r="S50" s="6" t="n">
        <f aca="false">S47*S$9</f>
        <v>4393.81165073156</v>
      </c>
      <c r="T50" s="6" t="n">
        <f aca="false">T47*T$9</f>
        <v>3751.45600317772</v>
      </c>
      <c r="U50" s="6" t="n">
        <f aca="false">U47*U$9</f>
        <v>3305.98150662819</v>
      </c>
      <c r="V50" s="6" t="n">
        <f aca="false">V47*V$9</f>
        <v>2974.43132056508</v>
      </c>
      <c r="W50" s="6" t="n">
        <f aca="false">W47*W$9</f>
        <v>2696.77603143186</v>
      </c>
      <c r="X50" s="6" t="n">
        <f aca="false">X47*X$9</f>
        <v>2467.54325228234</v>
      </c>
      <c r="Y50" s="6" t="n">
        <f aca="false">Y47*Y$9</f>
        <v>2260.49243584789</v>
      </c>
      <c r="Z50" s="6" t="n">
        <f aca="false">Z47*Z$9</f>
        <v>2072.8066317169</v>
      </c>
      <c r="AA50" s="6" t="n">
        <f aca="false">AA47*AA$9</f>
        <v>1906.83259278178</v>
      </c>
      <c r="AB50" s="6" t="n">
        <f aca="false">AB47*AB$9</f>
        <v>1755.15818462455</v>
      </c>
      <c r="AC50" s="6" t="n">
        <f aca="false">AC47*AC$9</f>
        <v>1615.53436265281</v>
      </c>
      <c r="AD50" s="6" t="n">
        <f aca="false">AD47*AD$9</f>
        <v>1487.00574972534</v>
      </c>
      <c r="AE50" s="6" t="n">
        <f aca="false">AE47*AE$9</f>
        <v>1368.6924581999</v>
      </c>
      <c r="AF50" s="6" t="n">
        <f aca="false">AF47*AF$9</f>
        <v>1259.78415419394</v>
      </c>
      <c r="AG50" s="6" t="n">
        <f aca="false">AG47*AG$9</f>
        <v>1159.53458535948</v>
      </c>
      <c r="AH50" s="6" t="n">
        <f aca="false">AH47*AH$9</f>
        <v>1067.25653632463</v>
      </c>
      <c r="AI50" s="6" t="n">
        <f aca="false">AI47*AI$9</f>
        <v>982.317178689228</v>
      </c>
    </row>
    <row r="51" customFormat="false" ht="15" hidden="false" customHeight="false" outlineLevel="0" collapsed="false">
      <c r="A51" s="4" t="s">
        <v>135</v>
      </c>
      <c r="G51" s="5" t="n">
        <f aca="false">G45*G$10+G47*Facilities*G$6</f>
        <v>1735.53335901634</v>
      </c>
      <c r="H51" s="5" t="n">
        <f aca="false">H45*H$10+H47*Facilities*H$6</f>
        <v>1779.24458874566</v>
      </c>
      <c r="I51" s="5" t="n">
        <f aca="false">I45*I$10+I47*Facilities*I$6</f>
        <v>1732.62100464211</v>
      </c>
      <c r="J51" s="5" t="n">
        <f aca="false">J45*J$10+J47*Facilities*J$6</f>
        <v>1792.52859958002</v>
      </c>
      <c r="K51" s="5" t="n">
        <f aca="false">K45*K$10+K47*Facilities*K$6</f>
        <v>1848.90444946259</v>
      </c>
      <c r="L51" s="5" t="n">
        <f aca="false">L45*L$10+L47*Facilities*L$6</f>
        <v>1904.63353032629</v>
      </c>
      <c r="M51" s="5" t="n">
        <f aca="false">M45*M$10+M47*Facilities*M$6</f>
        <v>1959.11494351709</v>
      </c>
      <c r="N51" s="5" t="n">
        <f aca="false">N45*N$10+N47*Facilities*N$6</f>
        <v>2013.00497097792</v>
      </c>
      <c r="O51" s="5" t="n">
        <f aca="false">O45*O$10+O47*Facilities*O$6</f>
        <v>2066.41198062897</v>
      </c>
      <c r="P51" s="5" t="n">
        <f aca="false">P45*P$10+P47*Facilities*P$6</f>
        <v>2119.37858522352</v>
      </c>
      <c r="Q51" s="5" t="n">
        <f aca="false">Q45*Q$10+Q47*Facilities*Q$6</f>
        <v>2172.33952889999</v>
      </c>
      <c r="R51" s="5" t="n">
        <f aca="false">R45*R$10+R47*Facilities*R$6</f>
        <v>655.139282159678</v>
      </c>
      <c r="S51" s="5" t="n">
        <f aca="false">S45*S$10+S47*Facilities*S$6</f>
        <v>322.927521958493</v>
      </c>
      <c r="T51" s="5" t="n">
        <f aca="false">T45*T$10+T47*Facilities*T$6</f>
        <v>275.348613851626</v>
      </c>
      <c r="U51" s="5" t="n">
        <f aca="false">U45*U$10+U47*Facilities*U$6</f>
        <v>242.334365922125</v>
      </c>
      <c r="V51" s="5" t="n">
        <f aca="false">V45*V$10+V47*Facilities*V$6</f>
        <v>217.751898224865</v>
      </c>
      <c r="W51" s="5" t="n">
        <f aca="false">W45*W$10+W47*Facilities*W$6</f>
        <v>197.177749671386</v>
      </c>
      <c r="X51" s="5" t="n">
        <f aca="false">X45*X$10+X47*Facilities*X$6</f>
        <v>180.195595469114</v>
      </c>
      <c r="Y51" s="5" t="n">
        <f aca="false">Y45*Y$10+Y47*Facilities*Y$6</f>
        <v>164.876942657082</v>
      </c>
      <c r="Z51" s="5" t="n">
        <f aca="false">Z45*Z$10+Z47*Facilities*Z$6</f>
        <v>151.009400149502</v>
      </c>
      <c r="AA51" s="5" t="n">
        <f aca="false">AA45*AA$10+AA47*Facilities*AA$6</f>
        <v>138.757575344853</v>
      </c>
      <c r="AB51" s="5" t="n">
        <f aca="false">AB45*AB$10+AB47*Facilities*AB$6</f>
        <v>127.576219206209</v>
      </c>
      <c r="AC51" s="5" t="n">
        <f aca="false">AC45*AC$10+AC47*Facilities*AC$6</f>
        <v>117.297606541087</v>
      </c>
      <c r="AD51" s="5" t="n">
        <f aca="false">AD45*AD$10+AD47*Facilities*AD$6</f>
        <v>107.848726755663</v>
      </c>
      <c r="AE51" s="5" t="n">
        <f aca="false">AE45*AE$10+AE47*Facilities*AE$6</f>
        <v>99.1624832929659</v>
      </c>
      <c r="AF51" s="5" t="n">
        <f aca="false">AF45*AF$10+AF47*Facilities*AF$6</f>
        <v>91.1772139111849</v>
      </c>
      <c r="AG51" s="5" t="n">
        <f aca="false">AG45*AG$10+AG47*Facilities*AG$6</f>
        <v>83.8362499236861</v>
      </c>
      <c r="AH51" s="5" t="n">
        <f aca="false">AH45*AH$10+AH47*Facilities*AH$6</f>
        <v>77.0875112328411</v>
      </c>
      <c r="AI51" s="5" t="n">
        <f aca="false">AI45*AI$10+AI47*Facilities*AI$6</f>
        <v>70.8831342475974</v>
      </c>
    </row>
    <row r="52" customFormat="false" ht="15" hidden="false" customHeight="false" outlineLevel="0" collapsed="false">
      <c r="A52" s="4" t="s">
        <v>136</v>
      </c>
      <c r="G52" s="5" t="n">
        <f aca="false">IF(G$3&lt;=7,TaxBasis*1000/7,0)+SUM(G51:G51)/TaxLife</f>
        <v>1347.10667180327</v>
      </c>
      <c r="H52" s="5" t="n">
        <f aca="false">IF(H$3&lt;=7,TaxBasis*1000/7,0)+SUM(G51:H51)/TaxLife</f>
        <v>1702.9555895524</v>
      </c>
      <c r="I52" s="5" t="n">
        <f aca="false">IF(I$3&lt;=7,TaxBasis*1000/7,0)+SUM(G51:I51)/TaxLife</f>
        <v>2049.47979048082</v>
      </c>
      <c r="J52" s="5" t="n">
        <f aca="false">IF(J$3&lt;=7,TaxBasis*1000/7,0)+SUM(G51:J51)/TaxLife</f>
        <v>2407.98551039683</v>
      </c>
      <c r="K52" s="5" t="n">
        <f aca="false">IF(K$3&lt;=7,TaxBasis*1000/7,0)+SUM(G51:K51)/TaxLife</f>
        <v>2777.76640028934</v>
      </c>
      <c r="L52" s="5" t="n">
        <f aca="false">IF(L$3&lt;=7,TaxBasis*1000/7,0)+SUM(H51:L51)/TaxLife</f>
        <v>2811.58643455133</v>
      </c>
      <c r="M52" s="5" t="n">
        <f aca="false">IF(M$3&lt;=7,TaxBasis*1000/7,0)+SUM(I51:M51)/TaxLife</f>
        <v>2847.56050550562</v>
      </c>
      <c r="N52" s="5" t="n">
        <f aca="false">IF(N$3&lt;=7,TaxBasis*1000/7,0)+SUM(J51:N51)/TaxLife</f>
        <v>1903.63729877278</v>
      </c>
      <c r="O52" s="5" t="n">
        <f aca="false">IF(O$3&lt;=7,TaxBasis*1000/7,0)+SUM(K51:O51)/TaxLife</f>
        <v>1958.41397498257</v>
      </c>
      <c r="P52" s="5" t="n">
        <f aca="false">IF(P$3&lt;=7,TaxBasis*1000/7,0)+SUM(L51:P51)/TaxLife</f>
        <v>2012.50880213476</v>
      </c>
      <c r="Q52" s="5" t="n">
        <f aca="false">IF(Q$3&lt;=7,TaxBasis*1000/7,0)+SUM(M51:Q51)/TaxLife</f>
        <v>2066.0500018495</v>
      </c>
      <c r="R52" s="5" t="n">
        <f aca="false">IF(R$3&lt;=7,TaxBasis*1000/7,0)+SUM(N51:R51)/TaxLife</f>
        <v>1805.25486957802</v>
      </c>
      <c r="S52" s="5" t="n">
        <f aca="false">IF(S$3&lt;=7,TaxBasis*1000/7,0)+SUM(O51:S51)/TaxLife</f>
        <v>1467.23937977413</v>
      </c>
      <c r="T52" s="5" t="n">
        <f aca="false">IF(T$3&lt;=7,TaxBasis*1000/7,0)+SUM(P51:T51)/TaxLife</f>
        <v>1109.02670641866</v>
      </c>
      <c r="U52" s="5" t="n">
        <f aca="false">IF(U$3&lt;=7,TaxBasis*1000/7,0)+SUM(Q51:U51)/TaxLife</f>
        <v>733.617862558383</v>
      </c>
      <c r="V52" s="5" t="n">
        <f aca="false">IF(V$3&lt;=7,TaxBasis*1000/7,0)+SUM(R51:V51)/TaxLife</f>
        <v>342.700336423357</v>
      </c>
      <c r="W52" s="5" t="n">
        <f aca="false">IF(W$3&lt;=7,TaxBasis*1000/7,0)+SUM(S51:W51)/TaxLife</f>
        <v>251.108029925699</v>
      </c>
      <c r="X52" s="5" t="n">
        <f aca="false">IF(X$3&lt;=7,TaxBasis*1000/7,0)+SUM(T51:X51)/TaxLife</f>
        <v>222.561644627823</v>
      </c>
      <c r="Y52" s="5" t="n">
        <f aca="false">IF(Y$3&lt;=7,TaxBasis*1000/7,0)+SUM(U51:Y51)/TaxLife</f>
        <v>200.467310388915</v>
      </c>
      <c r="Z52" s="5" t="n">
        <f aca="false">IF(Z$3&lt;=7,TaxBasis*1000/7,0)+SUM(V51:Z51)/TaxLife</f>
        <v>182.20231723439</v>
      </c>
      <c r="AA52" s="5" t="n">
        <f aca="false">IF(AA$3&lt;=7,TaxBasis*1000/7,0)+SUM(W51:AA51)/TaxLife</f>
        <v>166.403452658388</v>
      </c>
      <c r="AB52" s="5" t="n">
        <f aca="false">IF(AB$3&lt;=7,TaxBasis*1000/7,0)+SUM(X51:AB51)/TaxLife</f>
        <v>152.483146565352</v>
      </c>
      <c r="AC52" s="5" t="n">
        <f aca="false">IF(AC$3&lt;=7,TaxBasis*1000/7,0)+SUM(Y51:AC51)/TaxLife</f>
        <v>139.903548779747</v>
      </c>
      <c r="AD52" s="5" t="n">
        <f aca="false">IF(AD$3&lt;=7,TaxBasis*1000/7,0)+SUM(Z51:AD51)/TaxLife</f>
        <v>128.497905599463</v>
      </c>
      <c r="AE52" s="5" t="n">
        <f aca="false">IF(AE$3&lt;=7,TaxBasis*1000/7,0)+SUM(AA51:AE51)/TaxLife</f>
        <v>118.128522228156</v>
      </c>
      <c r="AF52" s="5" t="n">
        <f aca="false">IF(AF$3&lt;=7,TaxBasis*1000/7,0)+SUM(AB51:AF51)/TaxLife</f>
        <v>108.612449941422</v>
      </c>
      <c r="AG52" s="5" t="n">
        <f aca="false">IF(AG$3&lt;=7,TaxBasis*1000/7,0)+SUM(AC51:AG51)/TaxLife</f>
        <v>99.8644560849175</v>
      </c>
      <c r="AH52" s="5" t="n">
        <f aca="false">IF(AH$3&lt;=7,TaxBasis*1000/7,0)+SUM(AD51:AH51)/TaxLife</f>
        <v>91.8224370232683</v>
      </c>
      <c r="AI52" s="5" t="n">
        <f aca="false">IF(AI$3&lt;=7,TaxBasis*1000/7,0)+SUM(AE51:AI51)/TaxLife</f>
        <v>84.4293185216551</v>
      </c>
    </row>
    <row r="53" customFormat="false" ht="15" hidden="false" customHeight="false" outlineLevel="0" collapsed="false">
      <c r="A53" s="4" t="s">
        <v>137</v>
      </c>
      <c r="G53" s="5" t="n">
        <f aca="false">TaxRate*MAX(0,G50-G52)</f>
        <v>721.139377588679</v>
      </c>
      <c r="H53" s="5" t="n">
        <f aca="false">TaxRate*MAX(0,H50-H52)</f>
        <v>468.545256845432</v>
      </c>
      <c r="I53" s="5" t="n">
        <f aca="false">TaxRate*MAX(0,I50-I52)</f>
        <v>441.251548335374</v>
      </c>
      <c r="J53" s="5" t="n">
        <f aca="false">TaxRate*MAX(0,J50-J52)</f>
        <v>462.660402250338</v>
      </c>
      <c r="K53" s="5" t="n">
        <f aca="false">TaxRate*MAX(0,K50-K52)</f>
        <v>458.103746929711</v>
      </c>
      <c r="L53" s="5" t="n">
        <f aca="false">TaxRate*MAX(0,L50-L52)</f>
        <v>565.576464143463</v>
      </c>
      <c r="M53" s="5" t="n">
        <f aca="false">TaxRate*MAX(0,M50-M52)</f>
        <v>663.806046460698</v>
      </c>
      <c r="N53" s="5" t="n">
        <f aca="false">TaxRate*MAX(0,N50-N52)</f>
        <v>1099.50517166907</v>
      </c>
      <c r="O53" s="5" t="n">
        <f aca="false">TaxRate*MAX(0,O50-O52)</f>
        <v>1180.58375152691</v>
      </c>
      <c r="P53" s="5" t="n">
        <f aca="false">TaxRate*MAX(0,P50-P52)</f>
        <v>1256.93517271886</v>
      </c>
      <c r="Q53" s="5" t="n">
        <f aca="false">TaxRate*MAX(0,Q50-Q52)</f>
        <v>1330.4872981875</v>
      </c>
      <c r="R53" s="5" t="n">
        <f aca="false">TaxRate*MAX(0,R50-R52)</f>
        <v>1233.42328903071</v>
      </c>
      <c r="S53" s="5" t="n">
        <f aca="false">TaxRate*MAX(0,S50-S52)</f>
        <v>1024.3002948351</v>
      </c>
      <c r="T53" s="5" t="n">
        <f aca="false">TaxRate*MAX(0,T50-T52)</f>
        <v>924.850253865669</v>
      </c>
      <c r="U53" s="5" t="n">
        <f aca="false">TaxRate*MAX(0,U50-U52)</f>
        <v>900.327275424432</v>
      </c>
      <c r="V53" s="5" t="n">
        <f aca="false">TaxRate*MAX(0,V50-V52)</f>
        <v>921.105844449602</v>
      </c>
      <c r="W53" s="5" t="n">
        <f aca="false">TaxRate*MAX(0,W50-W52)</f>
        <v>855.983800527155</v>
      </c>
      <c r="X53" s="5" t="n">
        <f aca="false">TaxRate*MAX(0,X50-X52)</f>
        <v>785.743562679081</v>
      </c>
      <c r="Y53" s="5" t="n">
        <f aca="false">TaxRate*MAX(0,Y50-Y52)</f>
        <v>721.008793910643</v>
      </c>
      <c r="Z53" s="5" t="n">
        <f aca="false">TaxRate*MAX(0,Z50-Z52)</f>
        <v>661.711510068879</v>
      </c>
      <c r="AA53" s="5" t="n">
        <f aca="false">TaxRate*MAX(0,AA50-AA52)</f>
        <v>609.150199043188</v>
      </c>
      <c r="AB53" s="5" t="n">
        <f aca="false">TaxRate*MAX(0,AB50-AB52)</f>
        <v>560.936263320721</v>
      </c>
      <c r="AC53" s="5" t="n">
        <f aca="false">TaxRate*MAX(0,AC50-AC52)</f>
        <v>516.470784855573</v>
      </c>
      <c r="AD53" s="5" t="n">
        <f aca="false">TaxRate*MAX(0,AD50-AD52)</f>
        <v>475.477745444056</v>
      </c>
      <c r="AE53" s="5" t="n">
        <f aca="false">TaxRate*MAX(0,AE50-AE52)</f>
        <v>437.69737759011</v>
      </c>
      <c r="AF53" s="5" t="n">
        <f aca="false">TaxRate*MAX(0,AF50-AF52)</f>
        <v>402.910096488381</v>
      </c>
      <c r="AG53" s="5" t="n">
        <f aca="false">TaxRate*MAX(0,AG50-AG52)</f>
        <v>370.884545246097</v>
      </c>
      <c r="AH53" s="5" t="n">
        <f aca="false">TaxRate*MAX(0,AH50-AH52)</f>
        <v>341.401934755478</v>
      </c>
      <c r="AI53" s="5" t="n">
        <f aca="false">TaxRate*MAX(0,AI50-AI52)</f>
        <v>314.26075105865</v>
      </c>
    </row>
    <row r="54" customFormat="false" ht="15" hidden="false" customHeight="false" outlineLevel="0" collapsed="false">
      <c r="A54" s="2" t="s">
        <v>138</v>
      </c>
      <c r="G54" s="6" t="n">
        <f aca="false">G50-G51-G53</f>
        <v>950.832156880193</v>
      </c>
      <c r="H54" s="6" t="n">
        <f aca="false">H50-H51-H53</f>
        <v>793.866477805403</v>
      </c>
      <c r="I54" s="6" t="n">
        <f aca="false">I50-I51-I53</f>
        <v>1136.32594703298</v>
      </c>
      <c r="J54" s="6" t="n">
        <f aca="false">J50-J51-J53</f>
        <v>1474.68337213886</v>
      </c>
      <c r="K54" s="6" t="n">
        <f aca="false">K50-K51-K53</f>
        <v>1779.62605226765</v>
      </c>
      <c r="L54" s="6" t="n">
        <f aca="false">L50-L51-L53</f>
        <v>1957.30919477719</v>
      </c>
      <c r="M54" s="6" t="n">
        <f aca="false">M50-M51-M53</f>
        <v>2121.22821970126</v>
      </c>
      <c r="N54" s="6" t="n">
        <f aca="false">N50-N51-N53</f>
        <v>1932.57050375171</v>
      </c>
      <c r="O54" s="6" t="n">
        <f aca="false">O50-O51-O53</f>
        <v>2084.51467576072</v>
      </c>
      <c r="P54" s="6" t="n">
        <f aca="false">P50-P51-P53</f>
        <v>2227.43839481768</v>
      </c>
      <c r="Q54" s="6" t="n">
        <f aca="false">Q50-Q51-Q53</f>
        <v>2364.61545529772</v>
      </c>
      <c r="R54" s="6" t="n">
        <f aca="false">R50-R51-R53</f>
        <v>3440.75883847538</v>
      </c>
      <c r="S54" s="6" t="n">
        <f aca="false">S50-S51-S53</f>
        <v>3046.58383393797</v>
      </c>
      <c r="T54" s="6" t="n">
        <f aca="false">T50-T51-T53</f>
        <v>2551.25713546042</v>
      </c>
      <c r="U54" s="6" t="n">
        <f aca="false">U50-U51-U53</f>
        <v>2163.31986528163</v>
      </c>
      <c r="V54" s="6" t="n">
        <f aca="false">V50-V51-V53</f>
        <v>1835.57357789061</v>
      </c>
      <c r="W54" s="6" t="n">
        <f aca="false">W50-W51-W53</f>
        <v>1643.61448123331</v>
      </c>
      <c r="X54" s="6" t="n">
        <f aca="false">X50-X51-X53</f>
        <v>1501.60409413415</v>
      </c>
      <c r="Y54" s="6" t="n">
        <f aca="false">Y50-Y51-Y53</f>
        <v>1374.60669928017</v>
      </c>
      <c r="Z54" s="6" t="n">
        <f aca="false">Z50-Z51-Z53</f>
        <v>1260.08572149852</v>
      </c>
      <c r="AA54" s="6" t="n">
        <f aca="false">AA50-AA51-AA53</f>
        <v>1158.92481839374</v>
      </c>
      <c r="AB54" s="6" t="n">
        <f aca="false">AB50-AB51-AB53</f>
        <v>1066.64570209762</v>
      </c>
      <c r="AC54" s="6" t="n">
        <f aca="false">AC50-AC51-AC53</f>
        <v>981.765971256153</v>
      </c>
      <c r="AD54" s="6" t="n">
        <f aca="false">AD50-AD51-AD53</f>
        <v>903.679277525618</v>
      </c>
      <c r="AE54" s="6" t="n">
        <f aca="false">AE50-AE51-AE53</f>
        <v>831.832597316823</v>
      </c>
      <c r="AF54" s="6" t="n">
        <f aca="false">AF50-AF51-AF53</f>
        <v>765.696843794373</v>
      </c>
      <c r="AG54" s="6" t="n">
        <f aca="false">AG50-AG51-AG53</f>
        <v>704.813790189697</v>
      </c>
      <c r="AH54" s="6" t="n">
        <f aca="false">AH50-AH51-AH53</f>
        <v>648.767090336315</v>
      </c>
      <c r="AI54" s="6" t="n">
        <f aca="false">AI50-AI51-AI53</f>
        <v>597.17329338298</v>
      </c>
    </row>
    <row r="55" customFormat="false" ht="15" hidden="false" customHeight="false" outlineLevel="0" collapsed="false">
      <c r="A55" s="4" t="s">
        <v>139</v>
      </c>
      <c r="B55" s="6" t="n">
        <f aca="false">SUM(G55:AI55)</f>
        <v>13906.0568900882</v>
      </c>
      <c r="G55" s="5" t="n">
        <f aca="false">G54*(1+Disc)^-(G$3-0.5)</f>
        <v>898.451937738622</v>
      </c>
      <c r="H55" s="5" t="n">
        <f aca="false">H54*(1+Disc)^-(H$3-0.5)</f>
        <v>669.761885989756</v>
      </c>
      <c r="I55" s="5" t="n">
        <f aca="false">I54*(1+Disc)^-(I$3-0.5)</f>
        <v>855.968665770549</v>
      </c>
      <c r="J55" s="5" t="n">
        <f aca="false">J54*(1+Disc)^-(J$3-0.5)</f>
        <v>991.826491474889</v>
      </c>
      <c r="K55" s="5" t="n">
        <f aca="false">K54*(1+Disc)^-(K$3-0.5)</f>
        <v>1068.6799287281</v>
      </c>
      <c r="L55" s="5" t="n">
        <f aca="false">L54*(1+Disc)^-(L$3-0.5)</f>
        <v>1049.44651961131</v>
      </c>
      <c r="M55" s="5" t="n">
        <f aca="false">M54*(1+Disc)^-(M$3-0.5)</f>
        <v>1015.47736811646</v>
      </c>
      <c r="N55" s="5" t="n">
        <f aca="false">N54*(1+Disc)^-(N$3-0.5)</f>
        <v>826.038285703008</v>
      </c>
      <c r="O55" s="5" t="n">
        <f aca="false">O54*(1+Disc)^-(O$3-0.5)</f>
        <v>795.521212156032</v>
      </c>
      <c r="P55" s="5" t="n">
        <f aca="false">P54*(1+Disc)^-(P$3-0.5)</f>
        <v>758.987259914584</v>
      </c>
      <c r="Q55" s="5" t="n">
        <f aca="false">Q54*(1+Disc)^-(Q$3-0.5)</f>
        <v>719.401411850989</v>
      </c>
      <c r="R55" s="5" t="n">
        <f aca="false">R54*(1+Disc)^-(R$3-0.5)</f>
        <v>934.645616437898</v>
      </c>
      <c r="S55" s="5" t="n">
        <f aca="false">S54*(1+Disc)^-(S$3-0.5)</f>
        <v>738.90371467613</v>
      </c>
      <c r="T55" s="5" t="n">
        <f aca="false">T54*(1+Disc)^-(T$3-0.5)</f>
        <v>552.472831995671</v>
      </c>
      <c r="U55" s="5" t="n">
        <f aca="false">U54*(1+Disc)^-(U$3-0.5)</f>
        <v>418.272593885697</v>
      </c>
      <c r="V55" s="5" t="n">
        <f aca="false">V54*(1+Disc)^-(V$3-0.5)</f>
        <v>316.878261151674</v>
      </c>
      <c r="W55" s="5" t="n">
        <f aca="false">W54*(1+Disc)^-(W$3-0.5)</f>
        <v>253.339310923534</v>
      </c>
      <c r="X55" s="5" t="n">
        <f aca="false">X54*(1+Disc)^-(X$3-0.5)</f>
        <v>206.65220661072</v>
      </c>
      <c r="Y55" s="5" t="n">
        <f aca="false">Y54*(1+Disc)^-(Y$3-0.5)</f>
        <v>168.905984284333</v>
      </c>
      <c r="Z55" s="5" t="n">
        <f aca="false">Z54*(1+Disc)^-(Z$3-0.5)</f>
        <v>138.244750287869</v>
      </c>
      <c r="AA55" s="5" t="n">
        <f aca="false">AA54*(1+Disc)^-(AA$3-0.5)</f>
        <v>113.52350690725</v>
      </c>
      <c r="AB55" s="5" t="n">
        <f aca="false">AB54*(1+Disc)^-(AB$3-0.5)</f>
        <v>93.2894860266579</v>
      </c>
      <c r="AC55" s="5" t="n">
        <f aca="false">AC54*(1+Disc)^-(AC$3-0.5)</f>
        <v>76.6659400091088</v>
      </c>
      <c r="AD55" s="5" t="n">
        <f aca="false">AD54*(1+Disc)^-(AD$3-0.5)</f>
        <v>63.0072885663749</v>
      </c>
      <c r="AE55" s="5" t="n">
        <f aca="false">AE54*(1+Disc)^-(AE$3-0.5)</f>
        <v>51.7838552206257</v>
      </c>
      <c r="AF55" s="5" t="n">
        <f aca="false">AF54*(1+Disc)^-(AF$3-0.5)</f>
        <v>42.5595746473296</v>
      </c>
      <c r="AG55" s="5" t="n">
        <f aca="false">AG54*(1+Disc)^-(AG$3-0.5)</f>
        <v>34.9781464696813</v>
      </c>
      <c r="AH55" s="5" t="n">
        <f aca="false">AH54*(1+Disc)^-(AH$3-0.5)</f>
        <v>28.7470436294561</v>
      </c>
      <c r="AI55" s="5" t="n">
        <f aca="false">AI54*(1+Disc)^-(AI$3-0.5)</f>
        <v>23.6258113038787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5" min="7" style="1" width="8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131</v>
      </c>
    </row>
    <row r="4" customFormat="false" ht="15" hidden="false" customHeight="false" outlineLevel="0" collapsed="false">
      <c r="A4" s="4" t="s">
        <v>143</v>
      </c>
      <c r="G4" s="8" t="n">
        <f aca="false">Model!$G$19*EUR*Model!G$15</f>
        <v>0</v>
      </c>
      <c r="H4" s="8" t="n">
        <f aca="false">Model!$G$19*EUR*Model!H$15</f>
        <v>0</v>
      </c>
      <c r="I4" s="8" t="n">
        <f aca="false">Model!$G$19*EUR*Model!I$15</f>
        <v>0</v>
      </c>
      <c r="J4" s="8" t="n">
        <f aca="false">Model!$G$19*EUR*Model!J$15</f>
        <v>0</v>
      </c>
      <c r="K4" s="8" t="n">
        <f aca="false">Model!$G$19*EUR*Model!K$15</f>
        <v>0</v>
      </c>
      <c r="L4" s="8" t="n">
        <f aca="false">Model!$G$19*EUR*Model!L$15</f>
        <v>0</v>
      </c>
      <c r="M4" s="8" t="n">
        <f aca="false">Model!$G$19*EUR*Model!M$15</f>
        <v>0</v>
      </c>
      <c r="N4" s="8" t="n">
        <f aca="false">Model!$G$19*EUR*Model!N$15</f>
        <v>0</v>
      </c>
      <c r="O4" s="8" t="n">
        <f aca="false">Model!$G$19*EUR*Model!O$15</f>
        <v>0</v>
      </c>
      <c r="P4" s="8" t="n">
        <f aca="false">Model!$G$19*EUR*Model!P$15</f>
        <v>0</v>
      </c>
      <c r="Q4" s="8" t="n">
        <f aca="false">Model!$G$19*EUR*Model!Q$15</f>
        <v>0</v>
      </c>
      <c r="R4" s="8" t="n">
        <f aca="false">Model!$G$19*EUR*Model!R$15</f>
        <v>0</v>
      </c>
      <c r="S4" s="8" t="n">
        <f aca="false">Model!$G$19*EUR*Model!S$15</f>
        <v>0</v>
      </c>
      <c r="T4" s="8" t="n">
        <f aca="false">Model!$G$19*EUR*Model!T$15</f>
        <v>0</v>
      </c>
      <c r="U4" s="8" t="n">
        <f aca="false">Model!$G$19*EUR*Model!U$15</f>
        <v>0</v>
      </c>
      <c r="V4" s="8" t="n">
        <f aca="false">Model!$G$19*EUR*Model!V$15</f>
        <v>0</v>
      </c>
      <c r="W4" s="8" t="n">
        <f aca="false">Model!$G$19*EUR*Model!W$15</f>
        <v>0</v>
      </c>
      <c r="X4" s="8" t="n">
        <f aca="false">Model!$G$19*EUR*Model!X$15</f>
        <v>0</v>
      </c>
      <c r="Y4" s="8" t="n">
        <f aca="false">Model!$G$19*EUR*Model!Y$15</f>
        <v>0</v>
      </c>
      <c r="Z4" s="8" t="n">
        <f aca="false">Model!$G$19*EUR*Model!Z$15</f>
        <v>0</v>
      </c>
      <c r="AA4" s="8" t="n">
        <f aca="false">Model!$G$19*EUR*Model!AA$15</f>
        <v>0</v>
      </c>
      <c r="AB4" s="8" t="n">
        <f aca="false">Model!$G$19*EUR*Model!AB$15</f>
        <v>0</v>
      </c>
      <c r="AC4" s="8" t="n">
        <f aca="false">Model!$G$19*EUR*Model!AC$15</f>
        <v>0</v>
      </c>
      <c r="AD4" s="8" t="n">
        <f aca="false">Model!$G$19*EUR*Model!AD$15</f>
        <v>0</v>
      </c>
      <c r="AE4" s="8" t="n">
        <f aca="false">Model!$G$19*EUR*Model!AE$15</f>
        <v>0</v>
      </c>
      <c r="AF4" s="8" t="n">
        <f aca="false">Model!$G$19*EUR*Model!AF$15</f>
        <v>0</v>
      </c>
      <c r="AG4" s="8" t="n">
        <f aca="false">Model!$G$19*EUR*Model!AG$15</f>
        <v>0</v>
      </c>
      <c r="AH4" s="8" t="n">
        <f aca="false">Model!$G$19*EUR*Model!AH$15</f>
        <v>0</v>
      </c>
      <c r="AI4" s="8" t="n">
        <f aca="false">Model!$G$19*EUR*Model!AI$15</f>
        <v>0</v>
      </c>
    </row>
    <row r="5" customFormat="false" ht="15" hidden="false" customHeight="false" outlineLevel="0" collapsed="false">
      <c r="A5" s="4" t="s">
        <v>144</v>
      </c>
      <c r="G5" s="8" t="n">
        <v>0</v>
      </c>
      <c r="H5" s="8" t="n">
        <f aca="false">Model!$H$19*EUR*Model!G$15</f>
        <v>0</v>
      </c>
      <c r="I5" s="8" t="n">
        <f aca="false">Model!$H$19*EUR*Model!H$15</f>
        <v>0</v>
      </c>
      <c r="J5" s="8" t="n">
        <f aca="false">Model!$H$19*EUR*Model!I$15</f>
        <v>0</v>
      </c>
      <c r="K5" s="8" t="n">
        <f aca="false">Model!$H$19*EUR*Model!J$15</f>
        <v>0</v>
      </c>
      <c r="L5" s="8" t="n">
        <f aca="false">Model!$H$19*EUR*Model!K$15</f>
        <v>0</v>
      </c>
      <c r="M5" s="8" t="n">
        <f aca="false">Model!$H$19*EUR*Model!L$15</f>
        <v>0</v>
      </c>
      <c r="N5" s="8" t="n">
        <f aca="false">Model!$H$19*EUR*Model!M$15</f>
        <v>0</v>
      </c>
      <c r="O5" s="8" t="n">
        <f aca="false">Model!$H$19*EUR*Model!N$15</f>
        <v>0</v>
      </c>
      <c r="P5" s="8" t="n">
        <f aca="false">Model!$H$19*EUR*Model!O$15</f>
        <v>0</v>
      </c>
      <c r="Q5" s="8" t="n">
        <f aca="false">Model!$H$19*EUR*Model!P$15</f>
        <v>0</v>
      </c>
      <c r="R5" s="8" t="n">
        <f aca="false">Model!$H$19*EUR*Model!Q$15</f>
        <v>0</v>
      </c>
      <c r="S5" s="8" t="n">
        <f aca="false">Model!$H$19*EUR*Model!R$15</f>
        <v>0</v>
      </c>
      <c r="T5" s="8" t="n">
        <f aca="false">Model!$H$19*EUR*Model!S$15</f>
        <v>0</v>
      </c>
      <c r="U5" s="8" t="n">
        <f aca="false">Model!$H$19*EUR*Model!T$15</f>
        <v>0</v>
      </c>
      <c r="V5" s="8" t="n">
        <f aca="false">Model!$H$19*EUR*Model!U$15</f>
        <v>0</v>
      </c>
      <c r="W5" s="8" t="n">
        <f aca="false">Model!$H$19*EUR*Model!V$15</f>
        <v>0</v>
      </c>
      <c r="X5" s="8" t="n">
        <f aca="false">Model!$H$19*EUR*Model!W$15</f>
        <v>0</v>
      </c>
      <c r="Y5" s="8" t="n">
        <f aca="false">Model!$H$19*EUR*Model!X$15</f>
        <v>0</v>
      </c>
      <c r="Z5" s="8" t="n">
        <f aca="false">Model!$H$19*EUR*Model!Y$15</f>
        <v>0</v>
      </c>
      <c r="AA5" s="8" t="n">
        <f aca="false">Model!$H$19*EUR*Model!Z$15</f>
        <v>0</v>
      </c>
      <c r="AB5" s="8" t="n">
        <f aca="false">Model!$H$19*EUR*Model!AA$15</f>
        <v>0</v>
      </c>
      <c r="AC5" s="8" t="n">
        <f aca="false">Model!$H$19*EUR*Model!AB$15</f>
        <v>0</v>
      </c>
      <c r="AD5" s="8" t="n">
        <f aca="false">Model!$H$19*EUR*Model!AC$15</f>
        <v>0</v>
      </c>
      <c r="AE5" s="8" t="n">
        <f aca="false">Model!$H$19*EUR*Model!AD$15</f>
        <v>0</v>
      </c>
      <c r="AF5" s="8" t="n">
        <f aca="false">Model!$H$19*EUR*Model!AE$15</f>
        <v>0</v>
      </c>
      <c r="AG5" s="8" t="n">
        <f aca="false">Model!$H$19*EUR*Model!AF$15</f>
        <v>0</v>
      </c>
      <c r="AH5" s="8" t="n">
        <f aca="false">Model!$H$19*EUR*Model!AG$15</f>
        <v>0</v>
      </c>
      <c r="AI5" s="8" t="n">
        <f aca="false">Model!$H$19*EUR*Model!AH$15</f>
        <v>0</v>
      </c>
    </row>
    <row r="6" customFormat="false" ht="15" hidden="false" customHeight="false" outlineLevel="0" collapsed="false">
      <c r="A6" s="4" t="s">
        <v>145</v>
      </c>
      <c r="G6" s="8" t="n">
        <v>0</v>
      </c>
      <c r="H6" s="8" t="n">
        <v>0</v>
      </c>
      <c r="I6" s="8" t="n">
        <f aca="false">Model!$I$19*EUR*Model!G$15</f>
        <v>0</v>
      </c>
      <c r="J6" s="8" t="n">
        <f aca="false">Model!$I$19*EUR*Model!H$15</f>
        <v>0</v>
      </c>
      <c r="K6" s="8" t="n">
        <f aca="false">Model!$I$19*EUR*Model!I$15</f>
        <v>0</v>
      </c>
      <c r="L6" s="8" t="n">
        <f aca="false">Model!$I$19*EUR*Model!J$15</f>
        <v>0</v>
      </c>
      <c r="M6" s="8" t="n">
        <f aca="false">Model!$I$19*EUR*Model!K$15</f>
        <v>0</v>
      </c>
      <c r="N6" s="8" t="n">
        <f aca="false">Model!$I$19*EUR*Model!L$15</f>
        <v>0</v>
      </c>
      <c r="O6" s="8" t="n">
        <f aca="false">Model!$I$19*EUR*Model!M$15</f>
        <v>0</v>
      </c>
      <c r="P6" s="8" t="n">
        <f aca="false">Model!$I$19*EUR*Model!N$15</f>
        <v>0</v>
      </c>
      <c r="Q6" s="8" t="n">
        <f aca="false">Model!$I$19*EUR*Model!O$15</f>
        <v>0</v>
      </c>
      <c r="R6" s="8" t="n">
        <f aca="false">Model!$I$19*EUR*Model!P$15</f>
        <v>0</v>
      </c>
      <c r="S6" s="8" t="n">
        <f aca="false">Model!$I$19*EUR*Model!Q$15</f>
        <v>0</v>
      </c>
      <c r="T6" s="8" t="n">
        <f aca="false">Model!$I$19*EUR*Model!R$15</f>
        <v>0</v>
      </c>
      <c r="U6" s="8" t="n">
        <f aca="false">Model!$I$19*EUR*Model!S$15</f>
        <v>0</v>
      </c>
      <c r="V6" s="8" t="n">
        <f aca="false">Model!$I$19*EUR*Model!T$15</f>
        <v>0</v>
      </c>
      <c r="W6" s="8" t="n">
        <f aca="false">Model!$I$19*EUR*Model!U$15</f>
        <v>0</v>
      </c>
      <c r="X6" s="8" t="n">
        <f aca="false">Model!$I$19*EUR*Model!V$15</f>
        <v>0</v>
      </c>
      <c r="Y6" s="8" t="n">
        <f aca="false">Model!$I$19*EUR*Model!W$15</f>
        <v>0</v>
      </c>
      <c r="Z6" s="8" t="n">
        <f aca="false">Model!$I$19*EUR*Model!X$15</f>
        <v>0</v>
      </c>
      <c r="AA6" s="8" t="n">
        <f aca="false">Model!$I$19*EUR*Model!Y$15</f>
        <v>0</v>
      </c>
      <c r="AB6" s="8" t="n">
        <f aca="false">Model!$I$19*EUR*Model!Z$15</f>
        <v>0</v>
      </c>
      <c r="AC6" s="8" t="n">
        <f aca="false">Model!$I$19*EUR*Model!AA$15</f>
        <v>0</v>
      </c>
      <c r="AD6" s="8" t="n">
        <f aca="false">Model!$I$19*EUR*Model!AB$15</f>
        <v>0</v>
      </c>
      <c r="AE6" s="8" t="n">
        <f aca="false">Model!$I$19*EUR*Model!AC$15</f>
        <v>0</v>
      </c>
      <c r="AF6" s="8" t="n">
        <f aca="false">Model!$I$19*EUR*Model!AD$15</f>
        <v>0</v>
      </c>
      <c r="AG6" s="8" t="n">
        <f aca="false">Model!$I$19*EUR*Model!AE$15</f>
        <v>0</v>
      </c>
      <c r="AH6" s="8" t="n">
        <f aca="false">Model!$I$19*EUR*Model!AF$15</f>
        <v>0</v>
      </c>
      <c r="AI6" s="8" t="n">
        <f aca="false">Model!$I$19*EUR*Model!AG$15</f>
        <v>0</v>
      </c>
    </row>
    <row r="7" customFormat="false" ht="15" hidden="false" customHeight="false" outlineLevel="0" collapsed="false">
      <c r="A7" s="4" t="s">
        <v>146</v>
      </c>
      <c r="G7" s="8" t="n">
        <v>0</v>
      </c>
      <c r="H7" s="8" t="n">
        <v>0</v>
      </c>
      <c r="I7" s="8" t="n">
        <v>0</v>
      </c>
      <c r="J7" s="8" t="n">
        <f aca="false">Model!$J$19*EUR*Model!G$15</f>
        <v>0</v>
      </c>
      <c r="K7" s="8" t="n">
        <f aca="false">Model!$J$19*EUR*Model!H$15</f>
        <v>0</v>
      </c>
      <c r="L7" s="8" t="n">
        <f aca="false">Model!$J$19*EUR*Model!I$15</f>
        <v>0</v>
      </c>
      <c r="M7" s="8" t="n">
        <f aca="false">Model!$J$19*EUR*Model!J$15</f>
        <v>0</v>
      </c>
      <c r="N7" s="8" t="n">
        <f aca="false">Model!$J$19*EUR*Model!K$15</f>
        <v>0</v>
      </c>
      <c r="O7" s="8" t="n">
        <f aca="false">Model!$J$19*EUR*Model!L$15</f>
        <v>0</v>
      </c>
      <c r="P7" s="8" t="n">
        <f aca="false">Model!$J$19*EUR*Model!M$15</f>
        <v>0</v>
      </c>
      <c r="Q7" s="8" t="n">
        <f aca="false">Model!$J$19*EUR*Model!N$15</f>
        <v>0</v>
      </c>
      <c r="R7" s="8" t="n">
        <f aca="false">Model!$J$19*EUR*Model!O$15</f>
        <v>0</v>
      </c>
      <c r="S7" s="8" t="n">
        <f aca="false">Model!$J$19*EUR*Model!P$15</f>
        <v>0</v>
      </c>
      <c r="T7" s="8" t="n">
        <f aca="false">Model!$J$19*EUR*Model!Q$15</f>
        <v>0</v>
      </c>
      <c r="U7" s="8" t="n">
        <f aca="false">Model!$J$19*EUR*Model!R$15</f>
        <v>0</v>
      </c>
      <c r="V7" s="8" t="n">
        <f aca="false">Model!$J$19*EUR*Model!S$15</f>
        <v>0</v>
      </c>
      <c r="W7" s="8" t="n">
        <f aca="false">Model!$J$19*EUR*Model!T$15</f>
        <v>0</v>
      </c>
      <c r="X7" s="8" t="n">
        <f aca="false">Model!$J$19*EUR*Model!U$15</f>
        <v>0</v>
      </c>
      <c r="Y7" s="8" t="n">
        <f aca="false">Model!$J$19*EUR*Model!V$15</f>
        <v>0</v>
      </c>
      <c r="Z7" s="8" t="n">
        <f aca="false">Model!$J$19*EUR*Model!W$15</f>
        <v>0</v>
      </c>
      <c r="AA7" s="8" t="n">
        <f aca="false">Model!$J$19*EUR*Model!X$15</f>
        <v>0</v>
      </c>
      <c r="AB7" s="8" t="n">
        <f aca="false">Model!$J$19*EUR*Model!Y$15</f>
        <v>0</v>
      </c>
      <c r="AC7" s="8" t="n">
        <f aca="false">Model!$J$19*EUR*Model!Z$15</f>
        <v>0</v>
      </c>
      <c r="AD7" s="8" t="n">
        <f aca="false">Model!$J$19*EUR*Model!AA$15</f>
        <v>0</v>
      </c>
      <c r="AE7" s="8" t="n">
        <f aca="false">Model!$J$19*EUR*Model!AB$15</f>
        <v>0</v>
      </c>
      <c r="AF7" s="8" t="n">
        <f aca="false">Model!$J$19*EUR*Model!AC$15</f>
        <v>0</v>
      </c>
      <c r="AG7" s="8" t="n">
        <f aca="false">Model!$J$19*EUR*Model!AD$15</f>
        <v>0</v>
      </c>
      <c r="AH7" s="8" t="n">
        <f aca="false">Model!$J$19*EUR*Model!AE$15</f>
        <v>0</v>
      </c>
      <c r="AI7" s="8" t="n">
        <f aca="false">Model!$J$19*EUR*Model!AF$15</f>
        <v>0</v>
      </c>
    </row>
    <row r="8" customFormat="false" ht="15" hidden="false" customHeight="false" outlineLevel="0" collapsed="false">
      <c r="A8" s="4" t="s">
        <v>147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f aca="false">Model!$K$19*EUR*Model!G$15</f>
        <v>0</v>
      </c>
      <c r="L8" s="8" t="n">
        <f aca="false">Model!$K$19*EUR*Model!H$15</f>
        <v>0</v>
      </c>
      <c r="M8" s="8" t="n">
        <f aca="false">Model!$K$19*EUR*Model!I$15</f>
        <v>0</v>
      </c>
      <c r="N8" s="8" t="n">
        <f aca="false">Model!$K$19*EUR*Model!J$15</f>
        <v>0</v>
      </c>
      <c r="O8" s="8" t="n">
        <f aca="false">Model!$K$19*EUR*Model!K$15</f>
        <v>0</v>
      </c>
      <c r="P8" s="8" t="n">
        <f aca="false">Model!$K$19*EUR*Model!L$15</f>
        <v>0</v>
      </c>
      <c r="Q8" s="8" t="n">
        <f aca="false">Model!$K$19*EUR*Model!M$15</f>
        <v>0</v>
      </c>
      <c r="R8" s="8" t="n">
        <f aca="false">Model!$K$19*EUR*Model!N$15</f>
        <v>0</v>
      </c>
      <c r="S8" s="8" t="n">
        <f aca="false">Model!$K$19*EUR*Model!O$15</f>
        <v>0</v>
      </c>
      <c r="T8" s="8" t="n">
        <f aca="false">Model!$K$19*EUR*Model!P$15</f>
        <v>0</v>
      </c>
      <c r="U8" s="8" t="n">
        <f aca="false">Model!$K$19*EUR*Model!Q$15</f>
        <v>0</v>
      </c>
      <c r="V8" s="8" t="n">
        <f aca="false">Model!$K$19*EUR*Model!R$15</f>
        <v>0</v>
      </c>
      <c r="W8" s="8" t="n">
        <f aca="false">Model!$K$19*EUR*Model!S$15</f>
        <v>0</v>
      </c>
      <c r="X8" s="8" t="n">
        <f aca="false">Model!$K$19*EUR*Model!T$15</f>
        <v>0</v>
      </c>
      <c r="Y8" s="8" t="n">
        <f aca="false">Model!$K$19*EUR*Model!U$15</f>
        <v>0</v>
      </c>
      <c r="Z8" s="8" t="n">
        <f aca="false">Model!$K$19*EUR*Model!V$15</f>
        <v>0</v>
      </c>
      <c r="AA8" s="8" t="n">
        <f aca="false">Model!$K$19*EUR*Model!W$15</f>
        <v>0</v>
      </c>
      <c r="AB8" s="8" t="n">
        <f aca="false">Model!$K$19*EUR*Model!X$15</f>
        <v>0</v>
      </c>
      <c r="AC8" s="8" t="n">
        <f aca="false">Model!$K$19*EUR*Model!Y$15</f>
        <v>0</v>
      </c>
      <c r="AD8" s="8" t="n">
        <f aca="false">Model!$K$19*EUR*Model!Z$15</f>
        <v>0</v>
      </c>
      <c r="AE8" s="8" t="n">
        <f aca="false">Model!$K$19*EUR*Model!AA$15</f>
        <v>0</v>
      </c>
      <c r="AF8" s="8" t="n">
        <f aca="false">Model!$K$19*EUR*Model!AB$15</f>
        <v>0</v>
      </c>
      <c r="AG8" s="8" t="n">
        <f aca="false">Model!$K$19*EUR*Model!AC$15</f>
        <v>0</v>
      </c>
      <c r="AH8" s="8" t="n">
        <f aca="false">Model!$K$19*EUR*Model!AD$15</f>
        <v>0</v>
      </c>
      <c r="AI8" s="8" t="n">
        <f aca="false">Model!$K$19*EUR*Model!AE$15</f>
        <v>0</v>
      </c>
    </row>
    <row r="9" customFormat="false" ht="15" hidden="false" customHeight="false" outlineLevel="0" collapsed="false">
      <c r="A9" s="4" t="s">
        <v>148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f aca="false">Model!$L$19*EUR*Model!G$15</f>
        <v>0</v>
      </c>
      <c r="M9" s="8" t="n">
        <f aca="false">Model!$L$19*EUR*Model!H$15</f>
        <v>0</v>
      </c>
      <c r="N9" s="8" t="n">
        <f aca="false">Model!$L$19*EUR*Model!I$15</f>
        <v>0</v>
      </c>
      <c r="O9" s="8" t="n">
        <f aca="false">Model!$L$19*EUR*Model!J$15</f>
        <v>0</v>
      </c>
      <c r="P9" s="8" t="n">
        <f aca="false">Model!$L$19*EUR*Model!K$15</f>
        <v>0</v>
      </c>
      <c r="Q9" s="8" t="n">
        <f aca="false">Model!$L$19*EUR*Model!L$15</f>
        <v>0</v>
      </c>
      <c r="R9" s="8" t="n">
        <f aca="false">Model!$L$19*EUR*Model!M$15</f>
        <v>0</v>
      </c>
      <c r="S9" s="8" t="n">
        <f aca="false">Model!$L$19*EUR*Model!N$15</f>
        <v>0</v>
      </c>
      <c r="T9" s="8" t="n">
        <f aca="false">Model!$L$19*EUR*Model!O$15</f>
        <v>0</v>
      </c>
      <c r="U9" s="8" t="n">
        <f aca="false">Model!$L$19*EUR*Model!P$15</f>
        <v>0</v>
      </c>
      <c r="V9" s="8" t="n">
        <f aca="false">Model!$L$19*EUR*Model!Q$15</f>
        <v>0</v>
      </c>
      <c r="W9" s="8" t="n">
        <f aca="false">Model!$L$19*EUR*Model!R$15</f>
        <v>0</v>
      </c>
      <c r="X9" s="8" t="n">
        <f aca="false">Model!$L$19*EUR*Model!S$15</f>
        <v>0</v>
      </c>
      <c r="Y9" s="8" t="n">
        <f aca="false">Model!$L$19*EUR*Model!T$15</f>
        <v>0</v>
      </c>
      <c r="Z9" s="8" t="n">
        <f aca="false">Model!$L$19*EUR*Model!U$15</f>
        <v>0</v>
      </c>
      <c r="AA9" s="8" t="n">
        <f aca="false">Model!$L$19*EUR*Model!V$15</f>
        <v>0</v>
      </c>
      <c r="AB9" s="8" t="n">
        <f aca="false">Model!$L$19*EUR*Model!W$15</f>
        <v>0</v>
      </c>
      <c r="AC9" s="8" t="n">
        <f aca="false">Model!$L$19*EUR*Model!X$15</f>
        <v>0</v>
      </c>
      <c r="AD9" s="8" t="n">
        <f aca="false">Model!$L$19*EUR*Model!Y$15</f>
        <v>0</v>
      </c>
      <c r="AE9" s="8" t="n">
        <f aca="false">Model!$L$19*EUR*Model!Z$15</f>
        <v>0</v>
      </c>
      <c r="AF9" s="8" t="n">
        <f aca="false">Model!$L$19*EUR*Model!AA$15</f>
        <v>0</v>
      </c>
      <c r="AG9" s="8" t="n">
        <f aca="false">Model!$L$19*EUR*Model!AB$15</f>
        <v>0</v>
      </c>
      <c r="AH9" s="8" t="n">
        <f aca="false">Model!$L$19*EUR*Model!AC$15</f>
        <v>0</v>
      </c>
      <c r="AI9" s="8" t="n">
        <f aca="false">Model!$L$19*EUR*Model!AD$15</f>
        <v>0</v>
      </c>
    </row>
    <row r="10" customFormat="false" ht="15" hidden="false" customHeight="false" outlineLevel="0" collapsed="false">
      <c r="A10" s="4" t="s">
        <v>149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f aca="false">Model!$M$19*EUR*Model!G$15</f>
        <v>0</v>
      </c>
      <c r="N10" s="8" t="n">
        <f aca="false">Model!$M$19*EUR*Model!H$15</f>
        <v>0</v>
      </c>
      <c r="O10" s="8" t="n">
        <f aca="false">Model!$M$19*EUR*Model!I$15</f>
        <v>0</v>
      </c>
      <c r="P10" s="8" t="n">
        <f aca="false">Model!$M$19*EUR*Model!J$15</f>
        <v>0</v>
      </c>
      <c r="Q10" s="8" t="n">
        <f aca="false">Model!$M$19*EUR*Model!K$15</f>
        <v>0</v>
      </c>
      <c r="R10" s="8" t="n">
        <f aca="false">Model!$M$19*EUR*Model!L$15</f>
        <v>0</v>
      </c>
      <c r="S10" s="8" t="n">
        <f aca="false">Model!$M$19*EUR*Model!M$15</f>
        <v>0</v>
      </c>
      <c r="T10" s="8" t="n">
        <f aca="false">Model!$M$19*EUR*Model!N$15</f>
        <v>0</v>
      </c>
      <c r="U10" s="8" t="n">
        <f aca="false">Model!$M$19*EUR*Model!O$15</f>
        <v>0</v>
      </c>
      <c r="V10" s="8" t="n">
        <f aca="false">Model!$M$19*EUR*Model!P$15</f>
        <v>0</v>
      </c>
      <c r="W10" s="8" t="n">
        <f aca="false">Model!$M$19*EUR*Model!Q$15</f>
        <v>0</v>
      </c>
      <c r="X10" s="8" t="n">
        <f aca="false">Model!$M$19*EUR*Model!R$15</f>
        <v>0</v>
      </c>
      <c r="Y10" s="8" t="n">
        <f aca="false">Model!$M$19*EUR*Model!S$15</f>
        <v>0</v>
      </c>
      <c r="Z10" s="8" t="n">
        <f aca="false">Model!$M$19*EUR*Model!T$15</f>
        <v>0</v>
      </c>
      <c r="AA10" s="8" t="n">
        <f aca="false">Model!$M$19*EUR*Model!U$15</f>
        <v>0</v>
      </c>
      <c r="AB10" s="8" t="n">
        <f aca="false">Model!$M$19*EUR*Model!V$15</f>
        <v>0</v>
      </c>
      <c r="AC10" s="8" t="n">
        <f aca="false">Model!$M$19*EUR*Model!W$15</f>
        <v>0</v>
      </c>
      <c r="AD10" s="8" t="n">
        <f aca="false">Model!$M$19*EUR*Model!X$15</f>
        <v>0</v>
      </c>
      <c r="AE10" s="8" t="n">
        <f aca="false">Model!$M$19*EUR*Model!Y$15</f>
        <v>0</v>
      </c>
      <c r="AF10" s="8" t="n">
        <f aca="false">Model!$M$19*EUR*Model!Z$15</f>
        <v>0</v>
      </c>
      <c r="AG10" s="8" t="n">
        <f aca="false">Model!$M$19*EUR*Model!AA$15</f>
        <v>0</v>
      </c>
      <c r="AH10" s="8" t="n">
        <f aca="false">Model!$M$19*EUR*Model!AB$15</f>
        <v>0</v>
      </c>
      <c r="AI10" s="8" t="n">
        <f aca="false">Model!$M$19*EUR*Model!AC$15</f>
        <v>0</v>
      </c>
    </row>
    <row r="11" customFormat="false" ht="15" hidden="false" customHeight="false" outlineLevel="0" collapsed="false">
      <c r="A11" s="4" t="s">
        <v>150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f aca="false">Model!$N$19*EUR*Model!G$15</f>
        <v>0</v>
      </c>
      <c r="O11" s="8" t="n">
        <f aca="false">Model!$N$19*EUR*Model!H$15</f>
        <v>0</v>
      </c>
      <c r="P11" s="8" t="n">
        <f aca="false">Model!$N$19*EUR*Model!I$15</f>
        <v>0</v>
      </c>
      <c r="Q11" s="8" t="n">
        <f aca="false">Model!$N$19*EUR*Model!J$15</f>
        <v>0</v>
      </c>
      <c r="R11" s="8" t="n">
        <f aca="false">Model!$N$19*EUR*Model!K$15</f>
        <v>0</v>
      </c>
      <c r="S11" s="8" t="n">
        <f aca="false">Model!$N$19*EUR*Model!L$15</f>
        <v>0</v>
      </c>
      <c r="T11" s="8" t="n">
        <f aca="false">Model!$N$19*EUR*Model!M$15</f>
        <v>0</v>
      </c>
      <c r="U11" s="8" t="n">
        <f aca="false">Model!$N$19*EUR*Model!N$15</f>
        <v>0</v>
      </c>
      <c r="V11" s="8" t="n">
        <f aca="false">Model!$N$19*EUR*Model!O$15</f>
        <v>0</v>
      </c>
      <c r="W11" s="8" t="n">
        <f aca="false">Model!$N$19*EUR*Model!P$15</f>
        <v>0</v>
      </c>
      <c r="X11" s="8" t="n">
        <f aca="false">Model!$N$19*EUR*Model!Q$15</f>
        <v>0</v>
      </c>
      <c r="Y11" s="8" t="n">
        <f aca="false">Model!$N$19*EUR*Model!R$15</f>
        <v>0</v>
      </c>
      <c r="Z11" s="8" t="n">
        <f aca="false">Model!$N$19*EUR*Model!S$15</f>
        <v>0</v>
      </c>
      <c r="AA11" s="8" t="n">
        <f aca="false">Model!$N$19*EUR*Model!T$15</f>
        <v>0</v>
      </c>
      <c r="AB11" s="8" t="n">
        <f aca="false">Model!$N$19*EUR*Model!U$15</f>
        <v>0</v>
      </c>
      <c r="AC11" s="8" t="n">
        <f aca="false">Model!$N$19*EUR*Model!V$15</f>
        <v>0</v>
      </c>
      <c r="AD11" s="8" t="n">
        <f aca="false">Model!$N$19*EUR*Model!W$15</f>
        <v>0</v>
      </c>
      <c r="AE11" s="8" t="n">
        <f aca="false">Model!$N$19*EUR*Model!X$15</f>
        <v>0</v>
      </c>
      <c r="AF11" s="8" t="n">
        <f aca="false">Model!$N$19*EUR*Model!Y$15</f>
        <v>0</v>
      </c>
      <c r="AG11" s="8" t="n">
        <f aca="false">Model!$N$19*EUR*Model!Z$15</f>
        <v>0</v>
      </c>
      <c r="AH11" s="8" t="n">
        <f aca="false">Model!$N$19*EUR*Model!AA$15</f>
        <v>0</v>
      </c>
      <c r="AI11" s="8" t="n">
        <f aca="false">Model!$N$19*EUR*Model!AB$15</f>
        <v>0</v>
      </c>
    </row>
    <row r="12" customFormat="false" ht="15" hidden="false" customHeight="false" outlineLevel="0" collapsed="false">
      <c r="A12" s="4" t="s">
        <v>151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f aca="false">Model!$O$19*EUR*Model!G$15</f>
        <v>0</v>
      </c>
      <c r="P12" s="8" t="n">
        <f aca="false">Model!$O$19*EUR*Model!H$15</f>
        <v>0</v>
      </c>
      <c r="Q12" s="8" t="n">
        <f aca="false">Model!$O$19*EUR*Model!I$15</f>
        <v>0</v>
      </c>
      <c r="R12" s="8" t="n">
        <f aca="false">Model!$O$19*EUR*Model!J$15</f>
        <v>0</v>
      </c>
      <c r="S12" s="8" t="n">
        <f aca="false">Model!$O$19*EUR*Model!K$15</f>
        <v>0</v>
      </c>
      <c r="T12" s="8" t="n">
        <f aca="false">Model!$O$19*EUR*Model!L$15</f>
        <v>0</v>
      </c>
      <c r="U12" s="8" t="n">
        <f aca="false">Model!$O$19*EUR*Model!M$15</f>
        <v>0</v>
      </c>
      <c r="V12" s="8" t="n">
        <f aca="false">Model!$O$19*EUR*Model!N$15</f>
        <v>0</v>
      </c>
      <c r="W12" s="8" t="n">
        <f aca="false">Model!$O$19*EUR*Model!O$15</f>
        <v>0</v>
      </c>
      <c r="X12" s="8" t="n">
        <f aca="false">Model!$O$19*EUR*Model!P$15</f>
        <v>0</v>
      </c>
      <c r="Y12" s="8" t="n">
        <f aca="false">Model!$O$19*EUR*Model!Q$15</f>
        <v>0</v>
      </c>
      <c r="Z12" s="8" t="n">
        <f aca="false">Model!$O$19*EUR*Model!R$15</f>
        <v>0</v>
      </c>
      <c r="AA12" s="8" t="n">
        <f aca="false">Model!$O$19*EUR*Model!S$15</f>
        <v>0</v>
      </c>
      <c r="AB12" s="8" t="n">
        <f aca="false">Model!$O$19*EUR*Model!T$15</f>
        <v>0</v>
      </c>
      <c r="AC12" s="8" t="n">
        <f aca="false">Model!$O$19*EUR*Model!U$15</f>
        <v>0</v>
      </c>
      <c r="AD12" s="8" t="n">
        <f aca="false">Model!$O$19*EUR*Model!V$15</f>
        <v>0</v>
      </c>
      <c r="AE12" s="8" t="n">
        <f aca="false">Model!$O$19*EUR*Model!W$15</f>
        <v>0</v>
      </c>
      <c r="AF12" s="8" t="n">
        <f aca="false">Model!$O$19*EUR*Model!X$15</f>
        <v>0</v>
      </c>
      <c r="AG12" s="8" t="n">
        <f aca="false">Model!$O$19*EUR*Model!Y$15</f>
        <v>0</v>
      </c>
      <c r="AH12" s="8" t="n">
        <f aca="false">Model!$O$19*EUR*Model!Z$15</f>
        <v>0</v>
      </c>
      <c r="AI12" s="8" t="n">
        <f aca="false">Model!$O$19*EUR*Model!AA$15</f>
        <v>0</v>
      </c>
    </row>
    <row r="13" customFormat="false" ht="15" hidden="false" customHeight="false" outlineLevel="0" collapsed="false">
      <c r="A13" s="4" t="s">
        <v>152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f aca="false">Model!$P$19*EUR*Model!G$15</f>
        <v>0</v>
      </c>
      <c r="Q13" s="8" t="n">
        <f aca="false">Model!$P$19*EUR*Model!H$15</f>
        <v>0</v>
      </c>
      <c r="R13" s="8" t="n">
        <f aca="false">Model!$P$19*EUR*Model!I$15</f>
        <v>0</v>
      </c>
      <c r="S13" s="8" t="n">
        <f aca="false">Model!$P$19*EUR*Model!J$15</f>
        <v>0</v>
      </c>
      <c r="T13" s="8" t="n">
        <f aca="false">Model!$P$19*EUR*Model!K$15</f>
        <v>0</v>
      </c>
      <c r="U13" s="8" t="n">
        <f aca="false">Model!$P$19*EUR*Model!L$15</f>
        <v>0</v>
      </c>
      <c r="V13" s="8" t="n">
        <f aca="false">Model!$P$19*EUR*Model!M$15</f>
        <v>0</v>
      </c>
      <c r="W13" s="8" t="n">
        <f aca="false">Model!$P$19*EUR*Model!N$15</f>
        <v>0</v>
      </c>
      <c r="X13" s="8" t="n">
        <f aca="false">Model!$P$19*EUR*Model!O$15</f>
        <v>0</v>
      </c>
      <c r="Y13" s="8" t="n">
        <f aca="false">Model!$P$19*EUR*Model!P$15</f>
        <v>0</v>
      </c>
      <c r="Z13" s="8" t="n">
        <f aca="false">Model!$P$19*EUR*Model!Q$15</f>
        <v>0</v>
      </c>
      <c r="AA13" s="8" t="n">
        <f aca="false">Model!$P$19*EUR*Model!R$15</f>
        <v>0</v>
      </c>
      <c r="AB13" s="8" t="n">
        <f aca="false">Model!$P$19*EUR*Model!S$15</f>
        <v>0</v>
      </c>
      <c r="AC13" s="8" t="n">
        <f aca="false">Model!$P$19*EUR*Model!T$15</f>
        <v>0</v>
      </c>
      <c r="AD13" s="8" t="n">
        <f aca="false">Model!$P$19*EUR*Model!U$15</f>
        <v>0</v>
      </c>
      <c r="AE13" s="8" t="n">
        <f aca="false">Model!$P$19*EUR*Model!V$15</f>
        <v>0</v>
      </c>
      <c r="AF13" s="8" t="n">
        <f aca="false">Model!$P$19*EUR*Model!W$15</f>
        <v>0</v>
      </c>
      <c r="AG13" s="8" t="n">
        <f aca="false">Model!$P$19*EUR*Model!X$15</f>
        <v>0</v>
      </c>
      <c r="AH13" s="8" t="n">
        <f aca="false">Model!$P$19*EUR*Model!Y$15</f>
        <v>0</v>
      </c>
      <c r="AI13" s="8" t="n">
        <f aca="false">Model!$P$19*EUR*Model!Z$15</f>
        <v>0</v>
      </c>
    </row>
    <row r="14" customFormat="false" ht="15" hidden="false" customHeight="false" outlineLevel="0" collapsed="false">
      <c r="A14" s="4" t="s">
        <v>153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f aca="false">Model!$Q$19*EUR*Model!G$15</f>
        <v>0</v>
      </c>
      <c r="R14" s="8" t="n">
        <f aca="false">Model!$Q$19*EUR*Model!H$15</f>
        <v>0</v>
      </c>
      <c r="S14" s="8" t="n">
        <f aca="false">Model!$Q$19*EUR*Model!I$15</f>
        <v>0</v>
      </c>
      <c r="T14" s="8" t="n">
        <f aca="false">Model!$Q$19*EUR*Model!J$15</f>
        <v>0</v>
      </c>
      <c r="U14" s="8" t="n">
        <f aca="false">Model!$Q$19*EUR*Model!K$15</f>
        <v>0</v>
      </c>
      <c r="V14" s="8" t="n">
        <f aca="false">Model!$Q$19*EUR*Model!L$15</f>
        <v>0</v>
      </c>
      <c r="W14" s="8" t="n">
        <f aca="false">Model!$Q$19*EUR*Model!M$15</f>
        <v>0</v>
      </c>
      <c r="X14" s="8" t="n">
        <f aca="false">Model!$Q$19*EUR*Model!N$15</f>
        <v>0</v>
      </c>
      <c r="Y14" s="8" t="n">
        <f aca="false">Model!$Q$19*EUR*Model!O$15</f>
        <v>0</v>
      </c>
      <c r="Z14" s="8" t="n">
        <f aca="false">Model!$Q$19*EUR*Model!P$15</f>
        <v>0</v>
      </c>
      <c r="AA14" s="8" t="n">
        <f aca="false">Model!$Q$19*EUR*Model!Q$15</f>
        <v>0</v>
      </c>
      <c r="AB14" s="8" t="n">
        <f aca="false">Model!$Q$19*EUR*Model!R$15</f>
        <v>0</v>
      </c>
      <c r="AC14" s="8" t="n">
        <f aca="false">Model!$Q$19*EUR*Model!S$15</f>
        <v>0</v>
      </c>
      <c r="AD14" s="8" t="n">
        <f aca="false">Model!$Q$19*EUR*Model!T$15</f>
        <v>0</v>
      </c>
      <c r="AE14" s="8" t="n">
        <f aca="false">Model!$Q$19*EUR*Model!U$15</f>
        <v>0</v>
      </c>
      <c r="AF14" s="8" t="n">
        <f aca="false">Model!$Q$19*EUR*Model!V$15</f>
        <v>0</v>
      </c>
      <c r="AG14" s="8" t="n">
        <f aca="false">Model!$Q$19*EUR*Model!W$15</f>
        <v>0</v>
      </c>
      <c r="AH14" s="8" t="n">
        <f aca="false">Model!$Q$19*EUR*Model!X$15</f>
        <v>0</v>
      </c>
      <c r="AI14" s="8" t="n">
        <f aca="false">Model!$Q$19*EUR*Model!Y$15</f>
        <v>0</v>
      </c>
    </row>
    <row r="15" customFormat="false" ht="15" hidden="false" customHeight="false" outlineLevel="0" collapsed="false">
      <c r="A15" s="4" t="s">
        <v>154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f aca="false">Model!$R$19*EUR*Model!G$15</f>
        <v>0</v>
      </c>
      <c r="S15" s="8" t="n">
        <f aca="false">Model!$R$19*EUR*Model!H$15</f>
        <v>0</v>
      </c>
      <c r="T15" s="8" t="n">
        <f aca="false">Model!$R$19*EUR*Model!I$15</f>
        <v>0</v>
      </c>
      <c r="U15" s="8" t="n">
        <f aca="false">Model!$R$19*EUR*Model!J$15</f>
        <v>0</v>
      </c>
      <c r="V15" s="8" t="n">
        <f aca="false">Model!$R$19*EUR*Model!K$15</f>
        <v>0</v>
      </c>
      <c r="W15" s="8" t="n">
        <f aca="false">Model!$R$19*EUR*Model!L$15</f>
        <v>0</v>
      </c>
      <c r="X15" s="8" t="n">
        <f aca="false">Model!$R$19*EUR*Model!M$15</f>
        <v>0</v>
      </c>
      <c r="Y15" s="8" t="n">
        <f aca="false">Model!$R$19*EUR*Model!N$15</f>
        <v>0</v>
      </c>
      <c r="Z15" s="8" t="n">
        <f aca="false">Model!$R$19*EUR*Model!O$15</f>
        <v>0</v>
      </c>
      <c r="AA15" s="8" t="n">
        <f aca="false">Model!$R$19*EUR*Model!P$15</f>
        <v>0</v>
      </c>
      <c r="AB15" s="8" t="n">
        <f aca="false">Model!$R$19*EUR*Model!Q$15</f>
        <v>0</v>
      </c>
      <c r="AC15" s="8" t="n">
        <f aca="false">Model!$R$19*EUR*Model!R$15</f>
        <v>0</v>
      </c>
      <c r="AD15" s="8" t="n">
        <f aca="false">Model!$R$19*EUR*Model!S$15</f>
        <v>0</v>
      </c>
      <c r="AE15" s="8" t="n">
        <f aca="false">Model!$R$19*EUR*Model!T$15</f>
        <v>0</v>
      </c>
      <c r="AF15" s="8" t="n">
        <f aca="false">Model!$R$19*EUR*Model!U$15</f>
        <v>0</v>
      </c>
      <c r="AG15" s="8" t="n">
        <f aca="false">Model!$R$19*EUR*Model!V$15</f>
        <v>0</v>
      </c>
      <c r="AH15" s="8" t="n">
        <f aca="false">Model!$R$19*EUR*Model!W$15</f>
        <v>0</v>
      </c>
      <c r="AI15" s="8" t="n">
        <f aca="false">Model!$R$19*EUR*Model!X$15</f>
        <v>0</v>
      </c>
    </row>
    <row r="16" customFormat="false" ht="15" hidden="false" customHeight="false" outlineLevel="0" collapsed="false">
      <c r="A16" s="4" t="s">
        <v>155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f aca="false">Model!$S$19*EUR*Model!G$15</f>
        <v>0</v>
      </c>
      <c r="T16" s="8" t="n">
        <f aca="false">Model!$S$19*EUR*Model!H$15</f>
        <v>0</v>
      </c>
      <c r="U16" s="8" t="n">
        <f aca="false">Model!$S$19*EUR*Model!I$15</f>
        <v>0</v>
      </c>
      <c r="V16" s="8" t="n">
        <f aca="false">Model!$S$19*EUR*Model!J$15</f>
        <v>0</v>
      </c>
      <c r="W16" s="8" t="n">
        <f aca="false">Model!$S$19*EUR*Model!K$15</f>
        <v>0</v>
      </c>
      <c r="X16" s="8" t="n">
        <f aca="false">Model!$S$19*EUR*Model!L$15</f>
        <v>0</v>
      </c>
      <c r="Y16" s="8" t="n">
        <f aca="false">Model!$S$19*EUR*Model!M$15</f>
        <v>0</v>
      </c>
      <c r="Z16" s="8" t="n">
        <f aca="false">Model!$S$19*EUR*Model!N$15</f>
        <v>0</v>
      </c>
      <c r="AA16" s="8" t="n">
        <f aca="false">Model!$S$19*EUR*Model!O$15</f>
        <v>0</v>
      </c>
      <c r="AB16" s="8" t="n">
        <f aca="false">Model!$S$19*EUR*Model!P$15</f>
        <v>0</v>
      </c>
      <c r="AC16" s="8" t="n">
        <f aca="false">Model!$S$19*EUR*Model!Q$15</f>
        <v>0</v>
      </c>
      <c r="AD16" s="8" t="n">
        <f aca="false">Model!$S$19*EUR*Model!R$15</f>
        <v>0</v>
      </c>
      <c r="AE16" s="8" t="n">
        <f aca="false">Model!$S$19*EUR*Model!S$15</f>
        <v>0</v>
      </c>
      <c r="AF16" s="8" t="n">
        <f aca="false">Model!$S$19*EUR*Model!T$15</f>
        <v>0</v>
      </c>
      <c r="AG16" s="8" t="n">
        <f aca="false">Model!$S$19*EUR*Model!U$15</f>
        <v>0</v>
      </c>
      <c r="AH16" s="8" t="n">
        <f aca="false">Model!$S$19*EUR*Model!V$15</f>
        <v>0</v>
      </c>
      <c r="AI16" s="8" t="n">
        <f aca="false">Model!$S$19*EUR*Model!W$15</f>
        <v>0</v>
      </c>
    </row>
    <row r="17" customFormat="false" ht="15" hidden="false" customHeight="false" outlineLevel="0" collapsed="false">
      <c r="A17" s="4" t="s">
        <v>156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f aca="false">Model!$T$19*EUR*Model!G$15</f>
        <v>0</v>
      </c>
      <c r="U17" s="8" t="n">
        <f aca="false">Model!$T$19*EUR*Model!H$15</f>
        <v>0</v>
      </c>
      <c r="V17" s="8" t="n">
        <f aca="false">Model!$T$19*EUR*Model!I$15</f>
        <v>0</v>
      </c>
      <c r="W17" s="8" t="n">
        <f aca="false">Model!$T$19*EUR*Model!J$15</f>
        <v>0</v>
      </c>
      <c r="X17" s="8" t="n">
        <f aca="false">Model!$T$19*EUR*Model!K$15</f>
        <v>0</v>
      </c>
      <c r="Y17" s="8" t="n">
        <f aca="false">Model!$T$19*EUR*Model!L$15</f>
        <v>0</v>
      </c>
      <c r="Z17" s="8" t="n">
        <f aca="false">Model!$T$19*EUR*Model!M$15</f>
        <v>0</v>
      </c>
      <c r="AA17" s="8" t="n">
        <f aca="false">Model!$T$19*EUR*Model!N$15</f>
        <v>0</v>
      </c>
      <c r="AB17" s="8" t="n">
        <f aca="false">Model!$T$19*EUR*Model!O$15</f>
        <v>0</v>
      </c>
      <c r="AC17" s="8" t="n">
        <f aca="false">Model!$T$19*EUR*Model!P$15</f>
        <v>0</v>
      </c>
      <c r="AD17" s="8" t="n">
        <f aca="false">Model!$T$19*EUR*Model!Q$15</f>
        <v>0</v>
      </c>
      <c r="AE17" s="8" t="n">
        <f aca="false">Model!$T$19*EUR*Model!R$15</f>
        <v>0</v>
      </c>
      <c r="AF17" s="8" t="n">
        <f aca="false">Model!$T$19*EUR*Model!S$15</f>
        <v>0</v>
      </c>
      <c r="AG17" s="8" t="n">
        <f aca="false">Model!$T$19*EUR*Model!T$15</f>
        <v>0</v>
      </c>
      <c r="AH17" s="8" t="n">
        <f aca="false">Model!$T$19*EUR*Model!U$15</f>
        <v>0</v>
      </c>
      <c r="AI17" s="8" t="n">
        <f aca="false">Model!$T$19*EUR*Model!V$15</f>
        <v>0</v>
      </c>
    </row>
    <row r="18" customFormat="false" ht="15" hidden="false" customHeight="false" outlineLevel="0" collapsed="false">
      <c r="A18" s="4" t="s">
        <v>157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f aca="false">Model!$U$19*EUR*Model!G$15</f>
        <v>0</v>
      </c>
      <c r="V18" s="8" t="n">
        <f aca="false">Model!$U$19*EUR*Model!H$15</f>
        <v>0</v>
      </c>
      <c r="W18" s="8" t="n">
        <f aca="false">Model!$U$19*EUR*Model!I$15</f>
        <v>0</v>
      </c>
      <c r="X18" s="8" t="n">
        <f aca="false">Model!$U$19*EUR*Model!J$15</f>
        <v>0</v>
      </c>
      <c r="Y18" s="8" t="n">
        <f aca="false">Model!$U$19*EUR*Model!K$15</f>
        <v>0</v>
      </c>
      <c r="Z18" s="8" t="n">
        <f aca="false">Model!$U$19*EUR*Model!L$15</f>
        <v>0</v>
      </c>
      <c r="AA18" s="8" t="n">
        <f aca="false">Model!$U$19*EUR*Model!M$15</f>
        <v>0</v>
      </c>
      <c r="AB18" s="8" t="n">
        <f aca="false">Model!$U$19*EUR*Model!N$15</f>
        <v>0</v>
      </c>
      <c r="AC18" s="8" t="n">
        <f aca="false">Model!$U$19*EUR*Model!O$15</f>
        <v>0</v>
      </c>
      <c r="AD18" s="8" t="n">
        <f aca="false">Model!$U$19*EUR*Model!P$15</f>
        <v>0</v>
      </c>
      <c r="AE18" s="8" t="n">
        <f aca="false">Model!$U$19*EUR*Model!Q$15</f>
        <v>0</v>
      </c>
      <c r="AF18" s="8" t="n">
        <f aca="false">Model!$U$19*EUR*Model!R$15</f>
        <v>0</v>
      </c>
      <c r="AG18" s="8" t="n">
        <f aca="false">Model!$U$19*EUR*Model!S$15</f>
        <v>0</v>
      </c>
      <c r="AH18" s="8" t="n">
        <f aca="false">Model!$U$19*EUR*Model!T$15</f>
        <v>0</v>
      </c>
      <c r="AI18" s="8" t="n">
        <f aca="false">Model!$U$19*EUR*Model!U$15</f>
        <v>0</v>
      </c>
    </row>
    <row r="19" customFormat="false" ht="15" hidden="false" customHeight="false" outlineLevel="0" collapsed="false">
      <c r="A19" s="4" t="s">
        <v>158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f aca="false">Model!$V$19*EUR*Model!G$15</f>
        <v>0</v>
      </c>
      <c r="W19" s="8" t="n">
        <f aca="false">Model!$V$19*EUR*Model!H$15</f>
        <v>0</v>
      </c>
      <c r="X19" s="8" t="n">
        <f aca="false">Model!$V$19*EUR*Model!I$15</f>
        <v>0</v>
      </c>
      <c r="Y19" s="8" t="n">
        <f aca="false">Model!$V$19*EUR*Model!J$15</f>
        <v>0</v>
      </c>
      <c r="Z19" s="8" t="n">
        <f aca="false">Model!$V$19*EUR*Model!K$15</f>
        <v>0</v>
      </c>
      <c r="AA19" s="8" t="n">
        <f aca="false">Model!$V$19*EUR*Model!L$15</f>
        <v>0</v>
      </c>
      <c r="AB19" s="8" t="n">
        <f aca="false">Model!$V$19*EUR*Model!M$15</f>
        <v>0</v>
      </c>
      <c r="AC19" s="8" t="n">
        <f aca="false">Model!$V$19*EUR*Model!N$15</f>
        <v>0</v>
      </c>
      <c r="AD19" s="8" t="n">
        <f aca="false">Model!$V$19*EUR*Model!O$15</f>
        <v>0</v>
      </c>
      <c r="AE19" s="8" t="n">
        <f aca="false">Model!$V$19*EUR*Model!P$15</f>
        <v>0</v>
      </c>
      <c r="AF19" s="8" t="n">
        <f aca="false">Model!$V$19*EUR*Model!Q$15</f>
        <v>0</v>
      </c>
      <c r="AG19" s="8" t="n">
        <f aca="false">Model!$V$19*EUR*Model!R$15</f>
        <v>0</v>
      </c>
      <c r="AH19" s="8" t="n">
        <f aca="false">Model!$V$19*EUR*Model!S$15</f>
        <v>0</v>
      </c>
      <c r="AI19" s="8" t="n">
        <f aca="false">Model!$V$19*EUR*Model!T$15</f>
        <v>0</v>
      </c>
    </row>
    <row r="20" customFormat="false" ht="15" hidden="false" customHeight="false" outlineLevel="0" collapsed="false">
      <c r="A20" s="4" t="s">
        <v>159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f aca="false">Model!$W$19*EUR*Model!G$15</f>
        <v>0</v>
      </c>
      <c r="X20" s="8" t="n">
        <f aca="false">Model!$W$19*EUR*Model!H$15</f>
        <v>0</v>
      </c>
      <c r="Y20" s="8" t="n">
        <f aca="false">Model!$W$19*EUR*Model!I$15</f>
        <v>0</v>
      </c>
      <c r="Z20" s="8" t="n">
        <f aca="false">Model!$W$19*EUR*Model!J$15</f>
        <v>0</v>
      </c>
      <c r="AA20" s="8" t="n">
        <f aca="false">Model!$W$19*EUR*Model!K$15</f>
        <v>0</v>
      </c>
      <c r="AB20" s="8" t="n">
        <f aca="false">Model!$W$19*EUR*Model!L$15</f>
        <v>0</v>
      </c>
      <c r="AC20" s="8" t="n">
        <f aca="false">Model!$W$19*EUR*Model!M$15</f>
        <v>0</v>
      </c>
      <c r="AD20" s="8" t="n">
        <f aca="false">Model!$W$19*EUR*Model!N$15</f>
        <v>0</v>
      </c>
      <c r="AE20" s="8" t="n">
        <f aca="false">Model!$W$19*EUR*Model!O$15</f>
        <v>0</v>
      </c>
      <c r="AF20" s="8" t="n">
        <f aca="false">Model!$W$19*EUR*Model!P$15</f>
        <v>0</v>
      </c>
      <c r="AG20" s="8" t="n">
        <f aca="false">Model!$W$19*EUR*Model!Q$15</f>
        <v>0</v>
      </c>
      <c r="AH20" s="8" t="n">
        <f aca="false">Model!$W$19*EUR*Model!R$15</f>
        <v>0</v>
      </c>
      <c r="AI20" s="8" t="n">
        <f aca="false">Model!$W$19*EUR*Model!S$15</f>
        <v>0</v>
      </c>
    </row>
    <row r="21" customFormat="false" ht="15" hidden="false" customHeight="false" outlineLevel="0" collapsed="false">
      <c r="A21" s="4" t="s">
        <v>160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f aca="false">Model!$X$19*EUR*Model!G$15</f>
        <v>0</v>
      </c>
      <c r="Y21" s="8" t="n">
        <f aca="false">Model!$X$19*EUR*Model!H$15</f>
        <v>0</v>
      </c>
      <c r="Z21" s="8" t="n">
        <f aca="false">Model!$X$19*EUR*Model!I$15</f>
        <v>0</v>
      </c>
      <c r="AA21" s="8" t="n">
        <f aca="false">Model!$X$19*EUR*Model!J$15</f>
        <v>0</v>
      </c>
      <c r="AB21" s="8" t="n">
        <f aca="false">Model!$X$19*EUR*Model!K$15</f>
        <v>0</v>
      </c>
      <c r="AC21" s="8" t="n">
        <f aca="false">Model!$X$19*EUR*Model!L$15</f>
        <v>0</v>
      </c>
      <c r="AD21" s="8" t="n">
        <f aca="false">Model!$X$19*EUR*Model!M$15</f>
        <v>0</v>
      </c>
      <c r="AE21" s="8" t="n">
        <f aca="false">Model!$X$19*EUR*Model!N$15</f>
        <v>0</v>
      </c>
      <c r="AF21" s="8" t="n">
        <f aca="false">Model!$X$19*EUR*Model!O$15</f>
        <v>0</v>
      </c>
      <c r="AG21" s="8" t="n">
        <f aca="false">Model!$X$19*EUR*Model!P$15</f>
        <v>0</v>
      </c>
      <c r="AH21" s="8" t="n">
        <f aca="false">Model!$X$19*EUR*Model!Q$15</f>
        <v>0</v>
      </c>
      <c r="AI21" s="8" t="n">
        <f aca="false">Model!$X$19*EUR*Model!R$15</f>
        <v>0</v>
      </c>
    </row>
    <row r="22" customFormat="false" ht="15" hidden="false" customHeight="false" outlineLevel="0" collapsed="false">
      <c r="A22" s="4" t="s">
        <v>161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f aca="false">Model!$Y$19*EUR*Model!G$15</f>
        <v>0</v>
      </c>
      <c r="Z22" s="8" t="n">
        <f aca="false">Model!$Y$19*EUR*Model!H$15</f>
        <v>0</v>
      </c>
      <c r="AA22" s="8" t="n">
        <f aca="false">Model!$Y$19*EUR*Model!I$15</f>
        <v>0</v>
      </c>
      <c r="AB22" s="8" t="n">
        <f aca="false">Model!$Y$19*EUR*Model!J$15</f>
        <v>0</v>
      </c>
      <c r="AC22" s="8" t="n">
        <f aca="false">Model!$Y$19*EUR*Model!K$15</f>
        <v>0</v>
      </c>
      <c r="AD22" s="8" t="n">
        <f aca="false">Model!$Y$19*EUR*Model!L$15</f>
        <v>0</v>
      </c>
      <c r="AE22" s="8" t="n">
        <f aca="false">Model!$Y$19*EUR*Model!M$15</f>
        <v>0</v>
      </c>
      <c r="AF22" s="8" t="n">
        <f aca="false">Model!$Y$19*EUR*Model!N$15</f>
        <v>0</v>
      </c>
      <c r="AG22" s="8" t="n">
        <f aca="false">Model!$Y$19*EUR*Model!O$15</f>
        <v>0</v>
      </c>
      <c r="AH22" s="8" t="n">
        <f aca="false">Model!$Y$19*EUR*Model!P$15</f>
        <v>0</v>
      </c>
      <c r="AI22" s="8" t="n">
        <f aca="false">Model!$Y$19*EUR*Model!Q$15</f>
        <v>0</v>
      </c>
    </row>
    <row r="23" customFormat="false" ht="15" hidden="false" customHeight="false" outlineLevel="0" collapsed="false">
      <c r="A23" s="4" t="s">
        <v>162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f aca="false">Model!$Z$19*EUR*Model!G$15</f>
        <v>0</v>
      </c>
      <c r="AA23" s="8" t="n">
        <f aca="false">Model!$Z$19*EUR*Model!H$15</f>
        <v>0</v>
      </c>
      <c r="AB23" s="8" t="n">
        <f aca="false">Model!$Z$19*EUR*Model!I$15</f>
        <v>0</v>
      </c>
      <c r="AC23" s="8" t="n">
        <f aca="false">Model!$Z$19*EUR*Model!J$15</f>
        <v>0</v>
      </c>
      <c r="AD23" s="8" t="n">
        <f aca="false">Model!$Z$19*EUR*Model!K$15</f>
        <v>0</v>
      </c>
      <c r="AE23" s="8" t="n">
        <f aca="false">Model!$Z$19*EUR*Model!L$15</f>
        <v>0</v>
      </c>
      <c r="AF23" s="8" t="n">
        <f aca="false">Model!$Z$19*EUR*Model!M$15</f>
        <v>0</v>
      </c>
      <c r="AG23" s="8" t="n">
        <f aca="false">Model!$Z$19*EUR*Model!N$15</f>
        <v>0</v>
      </c>
      <c r="AH23" s="8" t="n">
        <f aca="false">Model!$Z$19*EUR*Model!O$15</f>
        <v>0</v>
      </c>
      <c r="AI23" s="8" t="n">
        <f aca="false">Model!$Z$19*EUR*Model!P$15</f>
        <v>0</v>
      </c>
    </row>
    <row r="24" customFormat="false" ht="15" hidden="false" customHeight="false" outlineLevel="0" collapsed="false">
      <c r="A24" s="4" t="s">
        <v>163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f aca="false">Model!$AA$19*EUR*Model!G$15</f>
        <v>0</v>
      </c>
      <c r="AB24" s="8" t="n">
        <f aca="false">Model!$AA$19*EUR*Model!H$15</f>
        <v>0</v>
      </c>
      <c r="AC24" s="8" t="n">
        <f aca="false">Model!$AA$19*EUR*Model!I$15</f>
        <v>0</v>
      </c>
      <c r="AD24" s="8" t="n">
        <f aca="false">Model!$AA$19*EUR*Model!J$15</f>
        <v>0</v>
      </c>
      <c r="AE24" s="8" t="n">
        <f aca="false">Model!$AA$19*EUR*Model!K$15</f>
        <v>0</v>
      </c>
      <c r="AF24" s="8" t="n">
        <f aca="false">Model!$AA$19*EUR*Model!L$15</f>
        <v>0</v>
      </c>
      <c r="AG24" s="8" t="n">
        <f aca="false">Model!$AA$19*EUR*Model!M$15</f>
        <v>0</v>
      </c>
      <c r="AH24" s="8" t="n">
        <f aca="false">Model!$AA$19*EUR*Model!N$15</f>
        <v>0</v>
      </c>
      <c r="AI24" s="8" t="n">
        <f aca="false">Model!$AA$19*EUR*Model!O$15</f>
        <v>0</v>
      </c>
    </row>
    <row r="25" customFormat="false" ht="15" hidden="false" customHeight="false" outlineLevel="0" collapsed="false">
      <c r="A25" s="4" t="s">
        <v>164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f aca="false">Model!$AB$19*EUR*Model!G$15</f>
        <v>0</v>
      </c>
      <c r="AC25" s="8" t="n">
        <f aca="false">Model!$AB$19*EUR*Model!H$15</f>
        <v>0</v>
      </c>
      <c r="AD25" s="8" t="n">
        <f aca="false">Model!$AB$19*EUR*Model!I$15</f>
        <v>0</v>
      </c>
      <c r="AE25" s="8" t="n">
        <f aca="false">Model!$AB$19*EUR*Model!J$15</f>
        <v>0</v>
      </c>
      <c r="AF25" s="8" t="n">
        <f aca="false">Model!$AB$19*EUR*Model!K$15</f>
        <v>0</v>
      </c>
      <c r="AG25" s="8" t="n">
        <f aca="false">Model!$AB$19*EUR*Model!L$15</f>
        <v>0</v>
      </c>
      <c r="AH25" s="8" t="n">
        <f aca="false">Model!$AB$19*EUR*Model!M$15</f>
        <v>0</v>
      </c>
      <c r="AI25" s="8" t="n">
        <f aca="false">Model!$AB$19*EUR*Model!N$15</f>
        <v>0</v>
      </c>
    </row>
    <row r="26" customFormat="false" ht="15" hidden="false" customHeight="false" outlineLevel="0" collapsed="false">
      <c r="A26" s="4" t="s">
        <v>165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f aca="false">Model!$AC$19*EUR*Model!G$15</f>
        <v>0</v>
      </c>
      <c r="AD26" s="8" t="n">
        <f aca="false">Model!$AC$19*EUR*Model!H$15</f>
        <v>0</v>
      </c>
      <c r="AE26" s="8" t="n">
        <f aca="false">Model!$AC$19*EUR*Model!I$15</f>
        <v>0</v>
      </c>
      <c r="AF26" s="8" t="n">
        <f aca="false">Model!$AC$19*EUR*Model!J$15</f>
        <v>0</v>
      </c>
      <c r="AG26" s="8" t="n">
        <f aca="false">Model!$AC$19*EUR*Model!K$15</f>
        <v>0</v>
      </c>
      <c r="AH26" s="8" t="n">
        <f aca="false">Model!$AC$19*EUR*Model!L$15</f>
        <v>0</v>
      </c>
      <c r="AI26" s="8" t="n">
        <f aca="false">Model!$AC$19*EUR*Model!M$15</f>
        <v>0</v>
      </c>
    </row>
    <row r="27" customFormat="false" ht="15" hidden="false" customHeight="false" outlineLevel="0" collapsed="false">
      <c r="A27" s="4" t="s">
        <v>166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f aca="false">Model!$AD$19*EUR*Model!G$15</f>
        <v>0</v>
      </c>
      <c r="AE27" s="8" t="n">
        <f aca="false">Model!$AD$19*EUR*Model!H$15</f>
        <v>0</v>
      </c>
      <c r="AF27" s="8" t="n">
        <f aca="false">Model!$AD$19*EUR*Model!I$15</f>
        <v>0</v>
      </c>
      <c r="AG27" s="8" t="n">
        <f aca="false">Model!$AD$19*EUR*Model!J$15</f>
        <v>0</v>
      </c>
      <c r="AH27" s="8" t="n">
        <f aca="false">Model!$AD$19*EUR*Model!K$15</f>
        <v>0</v>
      </c>
      <c r="AI27" s="8" t="n">
        <f aca="false">Model!$AD$19*EUR*Model!L$15</f>
        <v>0</v>
      </c>
    </row>
    <row r="28" customFormat="false" ht="15" hidden="false" customHeight="false" outlineLevel="0" collapsed="false">
      <c r="A28" s="4" t="s">
        <v>167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f aca="false">Model!$AE$19*EUR*Model!G$15</f>
        <v>0</v>
      </c>
      <c r="AF28" s="8" t="n">
        <f aca="false">Model!$AE$19*EUR*Model!H$15</f>
        <v>0</v>
      </c>
      <c r="AG28" s="8" t="n">
        <f aca="false">Model!$AE$19*EUR*Model!I$15</f>
        <v>0</v>
      </c>
      <c r="AH28" s="8" t="n">
        <f aca="false">Model!$AE$19*EUR*Model!J$15</f>
        <v>0</v>
      </c>
      <c r="AI28" s="8" t="n">
        <f aca="false">Model!$AE$19*EUR*Model!K$15</f>
        <v>0</v>
      </c>
    </row>
    <row r="29" customFormat="false" ht="15" hidden="false" customHeight="false" outlineLevel="0" collapsed="false">
      <c r="A29" s="4" t="s">
        <v>168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f aca="false">Model!$AF$19*EUR*Model!G$15</f>
        <v>0</v>
      </c>
      <c r="AG29" s="8" t="n">
        <f aca="false">Model!$AF$19*EUR*Model!H$15</f>
        <v>0</v>
      </c>
      <c r="AH29" s="8" t="n">
        <f aca="false">Model!$AF$19*EUR*Model!I$15</f>
        <v>0</v>
      </c>
      <c r="AI29" s="8" t="n">
        <f aca="false">Model!$AF$19*EUR*Model!J$15</f>
        <v>0</v>
      </c>
    </row>
    <row r="30" customFormat="false" ht="15" hidden="false" customHeight="false" outlineLevel="0" collapsed="false">
      <c r="A30" s="4" t="s">
        <v>169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f aca="false">Model!$AG$19*EUR*Model!G$15</f>
        <v>0</v>
      </c>
      <c r="AH30" s="8" t="n">
        <f aca="false">Model!$AG$19*EUR*Model!H$15</f>
        <v>0</v>
      </c>
      <c r="AI30" s="8" t="n">
        <f aca="false">Model!$AG$19*EUR*Model!I$15</f>
        <v>0</v>
      </c>
    </row>
    <row r="31" customFormat="false" ht="15" hidden="false" customHeight="false" outlineLevel="0" collapsed="false">
      <c r="A31" s="4" t="s">
        <v>170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f aca="false">Model!$AH$19*EUR*Model!G$15</f>
        <v>0</v>
      </c>
      <c r="AI31" s="8" t="n">
        <f aca="false">Model!$AH$19*EUR*Model!H$15</f>
        <v>0</v>
      </c>
    </row>
    <row r="32" customFormat="false" ht="15" hidden="false" customHeight="false" outlineLevel="0" collapsed="false">
      <c r="A32" s="4" t="s">
        <v>171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f aca="false">Model!$AI$19*EUR*Model!G$15</f>
        <v>0</v>
      </c>
    </row>
    <row r="34" customFormat="false" ht="15" hidden="false" customHeight="false" outlineLevel="0" collapsed="false">
      <c r="A34" s="2" t="s">
        <v>140</v>
      </c>
    </row>
    <row r="35" customFormat="false" ht="15" hidden="false" customHeight="false" outlineLevel="0" collapsed="false">
      <c r="A35" s="4" t="s">
        <v>143</v>
      </c>
      <c r="G35" s="8" t="n">
        <f aca="false">Model!$G$32*EUR*Model!G$15</f>
        <v>14.85</v>
      </c>
      <c r="H35" s="8" t="n">
        <f aca="false">Model!$G$32*EUR*Model!H$15</f>
        <v>18.81</v>
      </c>
      <c r="I35" s="8" t="n">
        <f aca="false">Model!$G$32*EUR*Model!I$15</f>
        <v>11.88</v>
      </c>
      <c r="J35" s="8" t="n">
        <f aca="false">Model!$G$32*EUR*Model!J$15</f>
        <v>8.91</v>
      </c>
      <c r="K35" s="8" t="n">
        <f aca="false">Model!$G$32*EUR*Model!K$15</f>
        <v>6.93</v>
      </c>
      <c r="L35" s="8" t="n">
        <f aca="false">Model!$G$32*EUR*Model!L$15</f>
        <v>5.94</v>
      </c>
      <c r="M35" s="8" t="n">
        <f aca="false">Model!$G$32*EUR*Model!M$15</f>
        <v>4.95</v>
      </c>
      <c r="N35" s="8" t="n">
        <f aca="false">Model!$G$32*EUR*Model!N$15</f>
        <v>4.455</v>
      </c>
      <c r="O35" s="8" t="n">
        <f aca="false">Model!$G$32*EUR*Model!O$15</f>
        <v>3.96</v>
      </c>
      <c r="P35" s="8" t="n">
        <f aca="false">Model!$G$32*EUR*Model!P$15</f>
        <v>3.465</v>
      </c>
      <c r="Q35" s="8" t="n">
        <f aca="false">Model!$G$32*EUR*Model!Q$15</f>
        <v>3.1185</v>
      </c>
      <c r="R35" s="8" t="n">
        <f aca="false">Model!$G$32*EUR*Model!R$15</f>
        <v>2.80665</v>
      </c>
      <c r="S35" s="8" t="n">
        <f aca="false">Model!$G$32*EUR*Model!S$15</f>
        <v>2.525985</v>
      </c>
      <c r="T35" s="8" t="n">
        <f aca="false">Model!$G$32*EUR*Model!T$15</f>
        <v>2.2733865</v>
      </c>
      <c r="U35" s="8" t="n">
        <f aca="false">Model!$G$32*EUR*Model!U$15</f>
        <v>2.04604785</v>
      </c>
      <c r="V35" s="8" t="n">
        <f aca="false">Model!$G$32*EUR*Model!V$15</f>
        <v>1.841443065</v>
      </c>
      <c r="W35" s="8" t="n">
        <f aca="false">Model!$G$32*EUR*Model!W$15</f>
        <v>1.6572987585</v>
      </c>
      <c r="X35" s="8" t="n">
        <f aca="false">Model!$G$32*EUR*Model!X$15</f>
        <v>1.49156888265</v>
      </c>
      <c r="Y35" s="8" t="n">
        <f aca="false">Model!$G$32*EUR*Model!Y$15</f>
        <v>1.342411994385</v>
      </c>
      <c r="Z35" s="8" t="n">
        <f aca="false">Model!$G$32*EUR*Model!Z$15</f>
        <v>1.2081707949465</v>
      </c>
      <c r="AA35" s="8" t="n">
        <f aca="false">Model!$G$32*EUR*Model!AA$15</f>
        <v>1.08735371545185</v>
      </c>
      <c r="AB35" s="8" t="n">
        <f aca="false">Model!$G$32*EUR*Model!AB$15</f>
        <v>0.978618343906666</v>
      </c>
      <c r="AC35" s="8" t="n">
        <f aca="false">Model!$G$32*EUR*Model!AC$15</f>
        <v>0.880756509515999</v>
      </c>
      <c r="AD35" s="8" t="n">
        <f aca="false">Model!$G$32*EUR*Model!AD$15</f>
        <v>0.792680858564399</v>
      </c>
      <c r="AE35" s="8" t="n">
        <f aca="false">Model!$G$32*EUR*Model!AE$15</f>
        <v>0.713412772707959</v>
      </c>
      <c r="AF35" s="8" t="n">
        <f aca="false">Model!$G$32*EUR*Model!AF$15</f>
        <v>0.642071495437163</v>
      </c>
      <c r="AG35" s="8" t="n">
        <f aca="false">Model!$G$32*EUR*Model!AG$15</f>
        <v>0.577864345893447</v>
      </c>
      <c r="AH35" s="8" t="n">
        <f aca="false">Model!$G$32*EUR*Model!AH$15</f>
        <v>0.520077911304102</v>
      </c>
      <c r="AI35" s="8" t="n">
        <f aca="false">Model!$G$32*EUR*Model!AI$15</f>
        <v>0.468070120173692</v>
      </c>
    </row>
    <row r="36" customFormat="false" ht="15" hidden="false" customHeight="false" outlineLevel="0" collapsed="false">
      <c r="A36" s="4" t="s">
        <v>144</v>
      </c>
      <c r="G36" s="8" t="n">
        <v>0</v>
      </c>
      <c r="H36" s="8" t="n">
        <f aca="false">Model!$H$32*EUR*Model!G$15</f>
        <v>16.875</v>
      </c>
      <c r="I36" s="8" t="n">
        <f aca="false">Model!$H$32*EUR*Model!H$15</f>
        <v>21.375</v>
      </c>
      <c r="J36" s="8" t="n">
        <f aca="false">Model!$H$32*EUR*Model!I$15</f>
        <v>13.5</v>
      </c>
      <c r="K36" s="8" t="n">
        <f aca="false">Model!$H$32*EUR*Model!J$15</f>
        <v>10.125</v>
      </c>
      <c r="L36" s="8" t="n">
        <f aca="false">Model!$H$32*EUR*Model!K$15</f>
        <v>7.875</v>
      </c>
      <c r="M36" s="8" t="n">
        <f aca="false">Model!$H$32*EUR*Model!L$15</f>
        <v>6.75</v>
      </c>
      <c r="N36" s="8" t="n">
        <f aca="false">Model!$H$32*EUR*Model!M$15</f>
        <v>5.625</v>
      </c>
      <c r="O36" s="8" t="n">
        <f aca="false">Model!$H$32*EUR*Model!N$15</f>
        <v>5.0625</v>
      </c>
      <c r="P36" s="8" t="n">
        <f aca="false">Model!$H$32*EUR*Model!O$15</f>
        <v>4.5</v>
      </c>
      <c r="Q36" s="8" t="n">
        <f aca="false">Model!$H$32*EUR*Model!P$15</f>
        <v>3.9375</v>
      </c>
      <c r="R36" s="8" t="n">
        <f aca="false">Model!$H$32*EUR*Model!Q$15</f>
        <v>3.54375</v>
      </c>
      <c r="S36" s="8" t="n">
        <f aca="false">Model!$H$32*EUR*Model!R$15</f>
        <v>3.189375</v>
      </c>
      <c r="T36" s="8" t="n">
        <f aca="false">Model!$H$32*EUR*Model!S$15</f>
        <v>2.8704375</v>
      </c>
      <c r="U36" s="8" t="n">
        <f aca="false">Model!$H$32*EUR*Model!T$15</f>
        <v>2.58339375</v>
      </c>
      <c r="V36" s="8" t="n">
        <f aca="false">Model!$H$32*EUR*Model!U$15</f>
        <v>2.325054375</v>
      </c>
      <c r="W36" s="8" t="n">
        <f aca="false">Model!$H$32*EUR*Model!V$15</f>
        <v>2.0925489375</v>
      </c>
      <c r="X36" s="8" t="n">
        <f aca="false">Model!$H$32*EUR*Model!W$15</f>
        <v>1.88329404375</v>
      </c>
      <c r="Y36" s="8" t="n">
        <f aca="false">Model!$H$32*EUR*Model!X$15</f>
        <v>1.694964639375</v>
      </c>
      <c r="Z36" s="8" t="n">
        <f aca="false">Model!$H$32*EUR*Model!Y$15</f>
        <v>1.5254681754375</v>
      </c>
      <c r="AA36" s="8" t="n">
        <f aca="false">Model!$H$32*EUR*Model!Z$15</f>
        <v>1.37292135789375</v>
      </c>
      <c r="AB36" s="8" t="n">
        <f aca="false">Model!$H$32*EUR*Model!AA$15</f>
        <v>1.23562922210438</v>
      </c>
      <c r="AC36" s="8" t="n">
        <f aca="false">Model!$H$32*EUR*Model!AB$15</f>
        <v>1.11206629989394</v>
      </c>
      <c r="AD36" s="8" t="n">
        <f aca="false">Model!$H$32*EUR*Model!AC$15</f>
        <v>1.00085966990454</v>
      </c>
      <c r="AE36" s="8" t="n">
        <f aca="false">Model!$H$32*EUR*Model!AD$15</f>
        <v>0.90077370291409</v>
      </c>
      <c r="AF36" s="8" t="n">
        <f aca="false">Model!$H$32*EUR*Model!AE$15</f>
        <v>0.810696332622681</v>
      </c>
      <c r="AG36" s="8" t="n">
        <f aca="false">Model!$H$32*EUR*Model!AF$15</f>
        <v>0.729626699360413</v>
      </c>
      <c r="AH36" s="8" t="n">
        <f aca="false">Model!$H$32*EUR*Model!AG$15</f>
        <v>0.656664029424372</v>
      </c>
      <c r="AI36" s="8" t="n">
        <f aca="false">Model!$H$32*EUR*Model!AH$15</f>
        <v>0.590997626481934</v>
      </c>
    </row>
    <row r="37" customFormat="false" ht="15" hidden="false" customHeight="false" outlineLevel="0" collapsed="false">
      <c r="A37" s="4" t="s">
        <v>145</v>
      </c>
      <c r="G37" s="8" t="n">
        <v>0</v>
      </c>
      <c r="H37" s="8" t="n">
        <v>0</v>
      </c>
      <c r="I37" s="8" t="n">
        <f aca="false">Model!$I$32*EUR*Model!G$15</f>
        <v>18.225</v>
      </c>
      <c r="J37" s="8" t="n">
        <f aca="false">Model!$I$32*EUR*Model!H$15</f>
        <v>23.085</v>
      </c>
      <c r="K37" s="8" t="n">
        <f aca="false">Model!$I$32*EUR*Model!I$15</f>
        <v>14.58</v>
      </c>
      <c r="L37" s="8" t="n">
        <f aca="false">Model!$I$32*EUR*Model!J$15</f>
        <v>10.935</v>
      </c>
      <c r="M37" s="8" t="n">
        <f aca="false">Model!$I$32*EUR*Model!K$15</f>
        <v>8.505</v>
      </c>
      <c r="N37" s="8" t="n">
        <f aca="false">Model!$I$32*EUR*Model!L$15</f>
        <v>7.29</v>
      </c>
      <c r="O37" s="8" t="n">
        <f aca="false">Model!$I$32*EUR*Model!M$15</f>
        <v>6.075</v>
      </c>
      <c r="P37" s="8" t="n">
        <f aca="false">Model!$I$32*EUR*Model!N$15</f>
        <v>5.4675</v>
      </c>
      <c r="Q37" s="8" t="n">
        <f aca="false">Model!$I$32*EUR*Model!O$15</f>
        <v>4.86</v>
      </c>
      <c r="R37" s="8" t="n">
        <f aca="false">Model!$I$32*EUR*Model!P$15</f>
        <v>4.2525</v>
      </c>
      <c r="S37" s="8" t="n">
        <f aca="false">Model!$I$32*EUR*Model!Q$15</f>
        <v>3.82725</v>
      </c>
      <c r="T37" s="8" t="n">
        <f aca="false">Model!$I$32*EUR*Model!R$15</f>
        <v>3.444525</v>
      </c>
      <c r="U37" s="8" t="n">
        <f aca="false">Model!$I$32*EUR*Model!S$15</f>
        <v>3.1000725</v>
      </c>
      <c r="V37" s="8" t="n">
        <f aca="false">Model!$I$32*EUR*Model!T$15</f>
        <v>2.79006525</v>
      </c>
      <c r="W37" s="8" t="n">
        <f aca="false">Model!$I$32*EUR*Model!U$15</f>
        <v>2.511058725</v>
      </c>
      <c r="X37" s="8" t="n">
        <f aca="false">Model!$I$32*EUR*Model!V$15</f>
        <v>2.2599528525</v>
      </c>
      <c r="Y37" s="8" t="n">
        <f aca="false">Model!$I$32*EUR*Model!W$15</f>
        <v>2.03395756725</v>
      </c>
      <c r="Z37" s="8" t="n">
        <f aca="false">Model!$I$32*EUR*Model!X$15</f>
        <v>1.830561810525</v>
      </c>
      <c r="AA37" s="8" t="n">
        <f aca="false">Model!$I$32*EUR*Model!Y$15</f>
        <v>1.6475056294725</v>
      </c>
      <c r="AB37" s="8" t="n">
        <f aca="false">Model!$I$32*EUR*Model!Z$15</f>
        <v>1.48275506652525</v>
      </c>
      <c r="AC37" s="8" t="n">
        <f aca="false">Model!$I$32*EUR*Model!AA$15</f>
        <v>1.33447955987273</v>
      </c>
      <c r="AD37" s="8" t="n">
        <f aca="false">Model!$I$32*EUR*Model!AB$15</f>
        <v>1.20103160388545</v>
      </c>
      <c r="AE37" s="8" t="n">
        <f aca="false">Model!$I$32*EUR*Model!AC$15</f>
        <v>1.08092844349691</v>
      </c>
      <c r="AF37" s="8" t="n">
        <f aca="false">Model!$I$32*EUR*Model!AD$15</f>
        <v>0.972835599147217</v>
      </c>
      <c r="AG37" s="8" t="n">
        <f aca="false">Model!$I$32*EUR*Model!AE$15</f>
        <v>0.875552039232496</v>
      </c>
      <c r="AH37" s="8" t="n">
        <f aca="false">Model!$I$32*EUR*Model!AF$15</f>
        <v>0.787996835309246</v>
      </c>
      <c r="AI37" s="8" t="n">
        <f aca="false">Model!$I$32*EUR*Model!AG$15</f>
        <v>0.709197151778321</v>
      </c>
    </row>
    <row r="38" customFormat="false" ht="15" hidden="false" customHeight="false" outlineLevel="0" collapsed="false">
      <c r="A38" s="4" t="s">
        <v>146</v>
      </c>
      <c r="G38" s="8" t="n">
        <v>0</v>
      </c>
      <c r="H38" s="8" t="n">
        <v>0</v>
      </c>
      <c r="I38" s="8" t="n">
        <v>0</v>
      </c>
      <c r="J38" s="8" t="n">
        <f aca="false">Model!$J$32*EUR*Model!G$15</f>
        <v>10.8</v>
      </c>
      <c r="K38" s="8" t="n">
        <f aca="false">Model!$J$32*EUR*Model!H$15</f>
        <v>13.68</v>
      </c>
      <c r="L38" s="8" t="n">
        <f aca="false">Model!$J$32*EUR*Model!I$15</f>
        <v>8.64</v>
      </c>
      <c r="M38" s="8" t="n">
        <f aca="false">Model!$J$32*EUR*Model!J$15</f>
        <v>6.48</v>
      </c>
      <c r="N38" s="8" t="n">
        <f aca="false">Model!$J$32*EUR*Model!K$15</f>
        <v>5.04</v>
      </c>
      <c r="O38" s="8" t="n">
        <f aca="false">Model!$J$32*EUR*Model!L$15</f>
        <v>4.32</v>
      </c>
      <c r="P38" s="8" t="n">
        <f aca="false">Model!$J$32*EUR*Model!M$15</f>
        <v>3.6</v>
      </c>
      <c r="Q38" s="8" t="n">
        <f aca="false">Model!$J$32*EUR*Model!N$15</f>
        <v>3.24</v>
      </c>
      <c r="R38" s="8" t="n">
        <f aca="false">Model!$J$32*EUR*Model!O$15</f>
        <v>2.88</v>
      </c>
      <c r="S38" s="8" t="n">
        <f aca="false">Model!$J$32*EUR*Model!P$15</f>
        <v>2.52</v>
      </c>
      <c r="T38" s="8" t="n">
        <f aca="false">Model!$J$32*EUR*Model!Q$15</f>
        <v>2.268</v>
      </c>
      <c r="U38" s="8" t="n">
        <f aca="false">Model!$J$32*EUR*Model!R$15</f>
        <v>2.0412</v>
      </c>
      <c r="V38" s="8" t="n">
        <f aca="false">Model!$J$32*EUR*Model!S$15</f>
        <v>1.83708</v>
      </c>
      <c r="W38" s="8" t="n">
        <f aca="false">Model!$J$32*EUR*Model!T$15</f>
        <v>1.653372</v>
      </c>
      <c r="X38" s="8" t="n">
        <f aca="false">Model!$J$32*EUR*Model!U$15</f>
        <v>1.4880348</v>
      </c>
      <c r="Y38" s="8" t="n">
        <f aca="false">Model!$J$32*EUR*Model!V$15</f>
        <v>1.33923132</v>
      </c>
      <c r="Z38" s="8" t="n">
        <f aca="false">Model!$J$32*EUR*Model!W$15</f>
        <v>1.205308188</v>
      </c>
      <c r="AA38" s="8" t="n">
        <f aca="false">Model!$J$32*EUR*Model!X$15</f>
        <v>1.0847773692</v>
      </c>
      <c r="AB38" s="8" t="n">
        <f aca="false">Model!$J$32*EUR*Model!Y$15</f>
        <v>0.976299632280001</v>
      </c>
      <c r="AC38" s="8" t="n">
        <f aca="false">Model!$J$32*EUR*Model!Z$15</f>
        <v>0.878669669052</v>
      </c>
      <c r="AD38" s="8" t="n">
        <f aca="false">Model!$J$32*EUR*Model!AA$15</f>
        <v>0.7908027021468</v>
      </c>
      <c r="AE38" s="8" t="n">
        <f aca="false">Model!$J$32*EUR*Model!AB$15</f>
        <v>0.71172243193212</v>
      </c>
      <c r="AF38" s="8" t="n">
        <f aca="false">Model!$J$32*EUR*Model!AC$15</f>
        <v>0.640550188738908</v>
      </c>
      <c r="AG38" s="8" t="n">
        <f aca="false">Model!$J$32*EUR*Model!AD$15</f>
        <v>0.576495169865018</v>
      </c>
      <c r="AH38" s="8" t="n">
        <f aca="false">Model!$J$32*EUR*Model!AE$15</f>
        <v>0.518845652878516</v>
      </c>
      <c r="AI38" s="8" t="n">
        <f aca="false">Model!$J$32*EUR*Model!AF$15</f>
        <v>0.466961087590664</v>
      </c>
    </row>
    <row r="39" customFormat="false" ht="15" hidden="false" customHeight="false" outlineLevel="0" collapsed="false">
      <c r="A39" s="4" t="s">
        <v>147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f aca="false">Model!$K$32*EUR*Model!G$15</f>
        <v>0</v>
      </c>
      <c r="L39" s="8" t="n">
        <f aca="false">Model!$K$32*EUR*Model!H$15</f>
        <v>0</v>
      </c>
      <c r="M39" s="8" t="n">
        <f aca="false">Model!$K$32*EUR*Model!I$15</f>
        <v>0</v>
      </c>
      <c r="N39" s="8" t="n">
        <f aca="false">Model!$K$32*EUR*Model!J$15</f>
        <v>0</v>
      </c>
      <c r="O39" s="8" t="n">
        <f aca="false">Model!$K$32*EUR*Model!K$15</f>
        <v>0</v>
      </c>
      <c r="P39" s="8" t="n">
        <f aca="false">Model!$K$32*EUR*Model!L$15</f>
        <v>0</v>
      </c>
      <c r="Q39" s="8" t="n">
        <f aca="false">Model!$K$32*EUR*Model!M$15</f>
        <v>0</v>
      </c>
      <c r="R39" s="8" t="n">
        <f aca="false">Model!$K$32*EUR*Model!N$15</f>
        <v>0</v>
      </c>
      <c r="S39" s="8" t="n">
        <f aca="false">Model!$K$32*EUR*Model!O$15</f>
        <v>0</v>
      </c>
      <c r="T39" s="8" t="n">
        <f aca="false">Model!$K$32*EUR*Model!P$15</f>
        <v>0</v>
      </c>
      <c r="U39" s="8" t="n">
        <f aca="false">Model!$K$32*EUR*Model!Q$15</f>
        <v>0</v>
      </c>
      <c r="V39" s="8" t="n">
        <f aca="false">Model!$K$32*EUR*Model!R$15</f>
        <v>0</v>
      </c>
      <c r="W39" s="8" t="n">
        <f aca="false">Model!$K$32*EUR*Model!S$15</f>
        <v>0</v>
      </c>
      <c r="X39" s="8" t="n">
        <f aca="false">Model!$K$32*EUR*Model!T$15</f>
        <v>0</v>
      </c>
      <c r="Y39" s="8" t="n">
        <f aca="false">Model!$K$32*EUR*Model!U$15</f>
        <v>0</v>
      </c>
      <c r="Z39" s="8" t="n">
        <f aca="false">Model!$K$32*EUR*Model!V$15</f>
        <v>0</v>
      </c>
      <c r="AA39" s="8" t="n">
        <f aca="false">Model!$K$32*EUR*Model!W$15</f>
        <v>0</v>
      </c>
      <c r="AB39" s="8" t="n">
        <f aca="false">Model!$K$32*EUR*Model!X$15</f>
        <v>0</v>
      </c>
      <c r="AC39" s="8" t="n">
        <f aca="false">Model!$K$32*EUR*Model!Y$15</f>
        <v>0</v>
      </c>
      <c r="AD39" s="8" t="n">
        <f aca="false">Model!$K$32*EUR*Model!Z$15</f>
        <v>0</v>
      </c>
      <c r="AE39" s="8" t="n">
        <f aca="false">Model!$K$32*EUR*Model!AA$15</f>
        <v>0</v>
      </c>
      <c r="AF39" s="8" t="n">
        <f aca="false">Model!$K$32*EUR*Model!AB$15</f>
        <v>0</v>
      </c>
      <c r="AG39" s="8" t="n">
        <f aca="false">Model!$K$32*EUR*Model!AC$15</f>
        <v>0</v>
      </c>
      <c r="AH39" s="8" t="n">
        <f aca="false">Model!$K$32*EUR*Model!AD$15</f>
        <v>0</v>
      </c>
      <c r="AI39" s="8" t="n">
        <f aca="false">Model!$K$32*EUR*Model!AE$15</f>
        <v>0</v>
      </c>
    </row>
    <row r="40" customFormat="false" ht="15" hidden="false" customHeight="false" outlineLevel="0" collapsed="false">
      <c r="A40" s="4" t="s">
        <v>148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f aca="false">Model!$L$32*EUR*Model!G$15</f>
        <v>0</v>
      </c>
      <c r="M40" s="8" t="n">
        <f aca="false">Model!$L$32*EUR*Model!H$15</f>
        <v>0</v>
      </c>
      <c r="N40" s="8" t="n">
        <f aca="false">Model!$L$32*EUR*Model!I$15</f>
        <v>0</v>
      </c>
      <c r="O40" s="8" t="n">
        <f aca="false">Model!$L$32*EUR*Model!J$15</f>
        <v>0</v>
      </c>
      <c r="P40" s="8" t="n">
        <f aca="false">Model!$L$32*EUR*Model!K$15</f>
        <v>0</v>
      </c>
      <c r="Q40" s="8" t="n">
        <f aca="false">Model!$L$32*EUR*Model!L$15</f>
        <v>0</v>
      </c>
      <c r="R40" s="8" t="n">
        <f aca="false">Model!$L$32*EUR*Model!M$15</f>
        <v>0</v>
      </c>
      <c r="S40" s="8" t="n">
        <f aca="false">Model!$L$32*EUR*Model!N$15</f>
        <v>0</v>
      </c>
      <c r="T40" s="8" t="n">
        <f aca="false">Model!$L$32*EUR*Model!O$15</f>
        <v>0</v>
      </c>
      <c r="U40" s="8" t="n">
        <f aca="false">Model!$L$32*EUR*Model!P$15</f>
        <v>0</v>
      </c>
      <c r="V40" s="8" t="n">
        <f aca="false">Model!$L$32*EUR*Model!Q$15</f>
        <v>0</v>
      </c>
      <c r="W40" s="8" t="n">
        <f aca="false">Model!$L$32*EUR*Model!R$15</f>
        <v>0</v>
      </c>
      <c r="X40" s="8" t="n">
        <f aca="false">Model!$L$32*EUR*Model!S$15</f>
        <v>0</v>
      </c>
      <c r="Y40" s="8" t="n">
        <f aca="false">Model!$L$32*EUR*Model!T$15</f>
        <v>0</v>
      </c>
      <c r="Z40" s="8" t="n">
        <f aca="false">Model!$L$32*EUR*Model!U$15</f>
        <v>0</v>
      </c>
      <c r="AA40" s="8" t="n">
        <f aca="false">Model!$L$32*EUR*Model!V$15</f>
        <v>0</v>
      </c>
      <c r="AB40" s="8" t="n">
        <f aca="false">Model!$L$32*EUR*Model!W$15</f>
        <v>0</v>
      </c>
      <c r="AC40" s="8" t="n">
        <f aca="false">Model!$L$32*EUR*Model!X$15</f>
        <v>0</v>
      </c>
      <c r="AD40" s="8" t="n">
        <f aca="false">Model!$L$32*EUR*Model!Y$15</f>
        <v>0</v>
      </c>
      <c r="AE40" s="8" t="n">
        <f aca="false">Model!$L$32*EUR*Model!Z$15</f>
        <v>0</v>
      </c>
      <c r="AF40" s="8" t="n">
        <f aca="false">Model!$L$32*EUR*Model!AA$15</f>
        <v>0</v>
      </c>
      <c r="AG40" s="8" t="n">
        <f aca="false">Model!$L$32*EUR*Model!AB$15</f>
        <v>0</v>
      </c>
      <c r="AH40" s="8" t="n">
        <f aca="false">Model!$L$32*EUR*Model!AC$15</f>
        <v>0</v>
      </c>
      <c r="AI40" s="8" t="n">
        <f aca="false">Model!$L$32*EUR*Model!AD$15</f>
        <v>0</v>
      </c>
    </row>
    <row r="41" customFormat="false" ht="15" hidden="false" customHeight="false" outlineLevel="0" collapsed="false">
      <c r="A41" s="4" t="s">
        <v>149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f aca="false">Model!$M$32*EUR*Model!G$15</f>
        <v>0</v>
      </c>
      <c r="N41" s="8" t="n">
        <f aca="false">Model!$M$32*EUR*Model!H$15</f>
        <v>0</v>
      </c>
      <c r="O41" s="8" t="n">
        <f aca="false">Model!$M$32*EUR*Model!I$15</f>
        <v>0</v>
      </c>
      <c r="P41" s="8" t="n">
        <f aca="false">Model!$M$32*EUR*Model!J$15</f>
        <v>0</v>
      </c>
      <c r="Q41" s="8" t="n">
        <f aca="false">Model!$M$32*EUR*Model!K$15</f>
        <v>0</v>
      </c>
      <c r="R41" s="8" t="n">
        <f aca="false">Model!$M$32*EUR*Model!L$15</f>
        <v>0</v>
      </c>
      <c r="S41" s="8" t="n">
        <f aca="false">Model!$M$32*EUR*Model!M$15</f>
        <v>0</v>
      </c>
      <c r="T41" s="8" t="n">
        <f aca="false">Model!$M$32*EUR*Model!N$15</f>
        <v>0</v>
      </c>
      <c r="U41" s="8" t="n">
        <f aca="false">Model!$M$32*EUR*Model!O$15</f>
        <v>0</v>
      </c>
      <c r="V41" s="8" t="n">
        <f aca="false">Model!$M$32*EUR*Model!P$15</f>
        <v>0</v>
      </c>
      <c r="W41" s="8" t="n">
        <f aca="false">Model!$M$32*EUR*Model!Q$15</f>
        <v>0</v>
      </c>
      <c r="X41" s="8" t="n">
        <f aca="false">Model!$M$32*EUR*Model!R$15</f>
        <v>0</v>
      </c>
      <c r="Y41" s="8" t="n">
        <f aca="false">Model!$M$32*EUR*Model!S$15</f>
        <v>0</v>
      </c>
      <c r="Z41" s="8" t="n">
        <f aca="false">Model!$M$32*EUR*Model!T$15</f>
        <v>0</v>
      </c>
      <c r="AA41" s="8" t="n">
        <f aca="false">Model!$M$32*EUR*Model!U$15</f>
        <v>0</v>
      </c>
      <c r="AB41" s="8" t="n">
        <f aca="false">Model!$M$32*EUR*Model!V$15</f>
        <v>0</v>
      </c>
      <c r="AC41" s="8" t="n">
        <f aca="false">Model!$M$32*EUR*Model!W$15</f>
        <v>0</v>
      </c>
      <c r="AD41" s="8" t="n">
        <f aca="false">Model!$M$32*EUR*Model!X$15</f>
        <v>0</v>
      </c>
      <c r="AE41" s="8" t="n">
        <f aca="false">Model!$M$32*EUR*Model!Y$15</f>
        <v>0</v>
      </c>
      <c r="AF41" s="8" t="n">
        <f aca="false">Model!$M$32*EUR*Model!Z$15</f>
        <v>0</v>
      </c>
      <c r="AG41" s="8" t="n">
        <f aca="false">Model!$M$32*EUR*Model!AA$15</f>
        <v>0</v>
      </c>
      <c r="AH41" s="8" t="n">
        <f aca="false">Model!$M$32*EUR*Model!AB$15</f>
        <v>0</v>
      </c>
      <c r="AI41" s="8" t="n">
        <f aca="false">Model!$M$32*EUR*Model!AC$15</f>
        <v>0</v>
      </c>
    </row>
    <row r="42" customFormat="false" ht="15" hidden="false" customHeight="false" outlineLevel="0" collapsed="false">
      <c r="A42" s="4" t="s">
        <v>150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f aca="false">Model!$N$32*EUR*Model!G$15</f>
        <v>0</v>
      </c>
      <c r="O42" s="8" t="n">
        <f aca="false">Model!$N$32*EUR*Model!H$15</f>
        <v>0</v>
      </c>
      <c r="P42" s="8" t="n">
        <f aca="false">Model!$N$32*EUR*Model!I$15</f>
        <v>0</v>
      </c>
      <c r="Q42" s="8" t="n">
        <f aca="false">Model!$N$32*EUR*Model!J$15</f>
        <v>0</v>
      </c>
      <c r="R42" s="8" t="n">
        <f aca="false">Model!$N$32*EUR*Model!K$15</f>
        <v>0</v>
      </c>
      <c r="S42" s="8" t="n">
        <f aca="false">Model!$N$32*EUR*Model!L$15</f>
        <v>0</v>
      </c>
      <c r="T42" s="8" t="n">
        <f aca="false">Model!$N$32*EUR*Model!M$15</f>
        <v>0</v>
      </c>
      <c r="U42" s="8" t="n">
        <f aca="false">Model!$N$32*EUR*Model!N$15</f>
        <v>0</v>
      </c>
      <c r="V42" s="8" t="n">
        <f aca="false">Model!$N$32*EUR*Model!O$15</f>
        <v>0</v>
      </c>
      <c r="W42" s="8" t="n">
        <f aca="false">Model!$N$32*EUR*Model!P$15</f>
        <v>0</v>
      </c>
      <c r="X42" s="8" t="n">
        <f aca="false">Model!$N$32*EUR*Model!Q$15</f>
        <v>0</v>
      </c>
      <c r="Y42" s="8" t="n">
        <f aca="false">Model!$N$32*EUR*Model!R$15</f>
        <v>0</v>
      </c>
      <c r="Z42" s="8" t="n">
        <f aca="false">Model!$N$32*EUR*Model!S$15</f>
        <v>0</v>
      </c>
      <c r="AA42" s="8" t="n">
        <f aca="false">Model!$N$32*EUR*Model!T$15</f>
        <v>0</v>
      </c>
      <c r="AB42" s="8" t="n">
        <f aca="false">Model!$N$32*EUR*Model!U$15</f>
        <v>0</v>
      </c>
      <c r="AC42" s="8" t="n">
        <f aca="false">Model!$N$32*EUR*Model!V$15</f>
        <v>0</v>
      </c>
      <c r="AD42" s="8" t="n">
        <f aca="false">Model!$N$32*EUR*Model!W$15</f>
        <v>0</v>
      </c>
      <c r="AE42" s="8" t="n">
        <f aca="false">Model!$N$32*EUR*Model!X$15</f>
        <v>0</v>
      </c>
      <c r="AF42" s="8" t="n">
        <f aca="false">Model!$N$32*EUR*Model!Y$15</f>
        <v>0</v>
      </c>
      <c r="AG42" s="8" t="n">
        <f aca="false">Model!$N$32*EUR*Model!Z$15</f>
        <v>0</v>
      </c>
      <c r="AH42" s="8" t="n">
        <f aca="false">Model!$N$32*EUR*Model!AA$15</f>
        <v>0</v>
      </c>
      <c r="AI42" s="8" t="n">
        <f aca="false">Model!$N$32*EUR*Model!AB$15</f>
        <v>0</v>
      </c>
    </row>
    <row r="43" customFormat="false" ht="15" hidden="false" customHeight="false" outlineLevel="0" collapsed="false">
      <c r="A43" s="4" t="s">
        <v>151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f aca="false">Model!$O$32*EUR*Model!G$15</f>
        <v>0</v>
      </c>
      <c r="P43" s="8" t="n">
        <f aca="false">Model!$O$32*EUR*Model!H$15</f>
        <v>0</v>
      </c>
      <c r="Q43" s="8" t="n">
        <f aca="false">Model!$O$32*EUR*Model!I$15</f>
        <v>0</v>
      </c>
      <c r="R43" s="8" t="n">
        <f aca="false">Model!$O$32*EUR*Model!J$15</f>
        <v>0</v>
      </c>
      <c r="S43" s="8" t="n">
        <f aca="false">Model!$O$32*EUR*Model!K$15</f>
        <v>0</v>
      </c>
      <c r="T43" s="8" t="n">
        <f aca="false">Model!$O$32*EUR*Model!L$15</f>
        <v>0</v>
      </c>
      <c r="U43" s="8" t="n">
        <f aca="false">Model!$O$32*EUR*Model!M$15</f>
        <v>0</v>
      </c>
      <c r="V43" s="8" t="n">
        <f aca="false">Model!$O$32*EUR*Model!N$15</f>
        <v>0</v>
      </c>
      <c r="W43" s="8" t="n">
        <f aca="false">Model!$O$32*EUR*Model!O$15</f>
        <v>0</v>
      </c>
      <c r="X43" s="8" t="n">
        <f aca="false">Model!$O$32*EUR*Model!P$15</f>
        <v>0</v>
      </c>
      <c r="Y43" s="8" t="n">
        <f aca="false">Model!$O$32*EUR*Model!Q$15</f>
        <v>0</v>
      </c>
      <c r="Z43" s="8" t="n">
        <f aca="false">Model!$O$32*EUR*Model!R$15</f>
        <v>0</v>
      </c>
      <c r="AA43" s="8" t="n">
        <f aca="false">Model!$O$32*EUR*Model!S$15</f>
        <v>0</v>
      </c>
      <c r="AB43" s="8" t="n">
        <f aca="false">Model!$O$32*EUR*Model!T$15</f>
        <v>0</v>
      </c>
      <c r="AC43" s="8" t="n">
        <f aca="false">Model!$O$32*EUR*Model!U$15</f>
        <v>0</v>
      </c>
      <c r="AD43" s="8" t="n">
        <f aca="false">Model!$O$32*EUR*Model!V$15</f>
        <v>0</v>
      </c>
      <c r="AE43" s="8" t="n">
        <f aca="false">Model!$O$32*EUR*Model!W$15</f>
        <v>0</v>
      </c>
      <c r="AF43" s="8" t="n">
        <f aca="false">Model!$O$32*EUR*Model!X$15</f>
        <v>0</v>
      </c>
      <c r="AG43" s="8" t="n">
        <f aca="false">Model!$O$32*EUR*Model!Y$15</f>
        <v>0</v>
      </c>
      <c r="AH43" s="8" t="n">
        <f aca="false">Model!$O$32*EUR*Model!Z$15</f>
        <v>0</v>
      </c>
      <c r="AI43" s="8" t="n">
        <f aca="false">Model!$O$32*EUR*Model!AA$15</f>
        <v>0</v>
      </c>
    </row>
    <row r="44" customFormat="false" ht="15" hidden="false" customHeight="false" outlineLevel="0" collapsed="false">
      <c r="A44" s="4" t="s">
        <v>152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f aca="false">Model!$P$32*EUR*Model!G$15</f>
        <v>0</v>
      </c>
      <c r="Q44" s="8" t="n">
        <f aca="false">Model!$P$32*EUR*Model!H$15</f>
        <v>0</v>
      </c>
      <c r="R44" s="8" t="n">
        <f aca="false">Model!$P$32*EUR*Model!I$15</f>
        <v>0</v>
      </c>
      <c r="S44" s="8" t="n">
        <f aca="false">Model!$P$32*EUR*Model!J$15</f>
        <v>0</v>
      </c>
      <c r="T44" s="8" t="n">
        <f aca="false">Model!$P$32*EUR*Model!K$15</f>
        <v>0</v>
      </c>
      <c r="U44" s="8" t="n">
        <f aca="false">Model!$P$32*EUR*Model!L$15</f>
        <v>0</v>
      </c>
      <c r="V44" s="8" t="n">
        <f aca="false">Model!$P$32*EUR*Model!M$15</f>
        <v>0</v>
      </c>
      <c r="W44" s="8" t="n">
        <f aca="false">Model!$P$32*EUR*Model!N$15</f>
        <v>0</v>
      </c>
      <c r="X44" s="8" t="n">
        <f aca="false">Model!$P$32*EUR*Model!O$15</f>
        <v>0</v>
      </c>
      <c r="Y44" s="8" t="n">
        <f aca="false">Model!$P$32*EUR*Model!P$15</f>
        <v>0</v>
      </c>
      <c r="Z44" s="8" t="n">
        <f aca="false">Model!$P$32*EUR*Model!Q$15</f>
        <v>0</v>
      </c>
      <c r="AA44" s="8" t="n">
        <f aca="false">Model!$P$32*EUR*Model!R$15</f>
        <v>0</v>
      </c>
      <c r="AB44" s="8" t="n">
        <f aca="false">Model!$P$32*EUR*Model!S$15</f>
        <v>0</v>
      </c>
      <c r="AC44" s="8" t="n">
        <f aca="false">Model!$P$32*EUR*Model!T$15</f>
        <v>0</v>
      </c>
      <c r="AD44" s="8" t="n">
        <f aca="false">Model!$P$32*EUR*Model!U$15</f>
        <v>0</v>
      </c>
      <c r="AE44" s="8" t="n">
        <f aca="false">Model!$P$32*EUR*Model!V$15</f>
        <v>0</v>
      </c>
      <c r="AF44" s="8" t="n">
        <f aca="false">Model!$P$32*EUR*Model!W$15</f>
        <v>0</v>
      </c>
      <c r="AG44" s="8" t="n">
        <f aca="false">Model!$P$32*EUR*Model!X$15</f>
        <v>0</v>
      </c>
      <c r="AH44" s="8" t="n">
        <f aca="false">Model!$P$32*EUR*Model!Y$15</f>
        <v>0</v>
      </c>
      <c r="AI44" s="8" t="n">
        <f aca="false">Model!$P$32*EUR*Model!Z$15</f>
        <v>0</v>
      </c>
    </row>
    <row r="45" customFormat="false" ht="15" hidden="false" customHeight="false" outlineLevel="0" collapsed="false">
      <c r="A45" s="4" t="s">
        <v>153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f aca="false">Model!$Q$32*EUR*Model!G$15</f>
        <v>0</v>
      </c>
      <c r="R45" s="8" t="n">
        <f aca="false">Model!$Q$32*EUR*Model!H$15</f>
        <v>0</v>
      </c>
      <c r="S45" s="8" t="n">
        <f aca="false">Model!$Q$32*EUR*Model!I$15</f>
        <v>0</v>
      </c>
      <c r="T45" s="8" t="n">
        <f aca="false">Model!$Q$32*EUR*Model!J$15</f>
        <v>0</v>
      </c>
      <c r="U45" s="8" t="n">
        <f aca="false">Model!$Q$32*EUR*Model!K$15</f>
        <v>0</v>
      </c>
      <c r="V45" s="8" t="n">
        <f aca="false">Model!$Q$32*EUR*Model!L$15</f>
        <v>0</v>
      </c>
      <c r="W45" s="8" t="n">
        <f aca="false">Model!$Q$32*EUR*Model!M$15</f>
        <v>0</v>
      </c>
      <c r="X45" s="8" t="n">
        <f aca="false">Model!$Q$32*EUR*Model!N$15</f>
        <v>0</v>
      </c>
      <c r="Y45" s="8" t="n">
        <f aca="false">Model!$Q$32*EUR*Model!O$15</f>
        <v>0</v>
      </c>
      <c r="Z45" s="8" t="n">
        <f aca="false">Model!$Q$32*EUR*Model!P$15</f>
        <v>0</v>
      </c>
      <c r="AA45" s="8" t="n">
        <f aca="false">Model!$Q$32*EUR*Model!Q$15</f>
        <v>0</v>
      </c>
      <c r="AB45" s="8" t="n">
        <f aca="false">Model!$Q$32*EUR*Model!R$15</f>
        <v>0</v>
      </c>
      <c r="AC45" s="8" t="n">
        <f aca="false">Model!$Q$32*EUR*Model!S$15</f>
        <v>0</v>
      </c>
      <c r="AD45" s="8" t="n">
        <f aca="false">Model!$Q$32*EUR*Model!T$15</f>
        <v>0</v>
      </c>
      <c r="AE45" s="8" t="n">
        <f aca="false">Model!$Q$32*EUR*Model!U$15</f>
        <v>0</v>
      </c>
      <c r="AF45" s="8" t="n">
        <f aca="false">Model!$Q$32*EUR*Model!V$15</f>
        <v>0</v>
      </c>
      <c r="AG45" s="8" t="n">
        <f aca="false">Model!$Q$32*EUR*Model!W$15</f>
        <v>0</v>
      </c>
      <c r="AH45" s="8" t="n">
        <f aca="false">Model!$Q$32*EUR*Model!X$15</f>
        <v>0</v>
      </c>
      <c r="AI45" s="8" t="n">
        <f aca="false">Model!$Q$32*EUR*Model!Y$15</f>
        <v>0</v>
      </c>
    </row>
    <row r="46" customFormat="false" ht="15" hidden="false" customHeight="false" outlineLevel="0" collapsed="false">
      <c r="A46" s="4" t="s">
        <v>154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f aca="false">Model!$R$32*EUR*Model!G$15</f>
        <v>0</v>
      </c>
      <c r="S46" s="8" t="n">
        <f aca="false">Model!$R$32*EUR*Model!H$15</f>
        <v>0</v>
      </c>
      <c r="T46" s="8" t="n">
        <f aca="false">Model!$R$32*EUR*Model!I$15</f>
        <v>0</v>
      </c>
      <c r="U46" s="8" t="n">
        <f aca="false">Model!$R$32*EUR*Model!J$15</f>
        <v>0</v>
      </c>
      <c r="V46" s="8" t="n">
        <f aca="false">Model!$R$32*EUR*Model!K$15</f>
        <v>0</v>
      </c>
      <c r="W46" s="8" t="n">
        <f aca="false">Model!$R$32*EUR*Model!L$15</f>
        <v>0</v>
      </c>
      <c r="X46" s="8" t="n">
        <f aca="false">Model!$R$32*EUR*Model!M$15</f>
        <v>0</v>
      </c>
      <c r="Y46" s="8" t="n">
        <f aca="false">Model!$R$32*EUR*Model!N$15</f>
        <v>0</v>
      </c>
      <c r="Z46" s="8" t="n">
        <f aca="false">Model!$R$32*EUR*Model!O$15</f>
        <v>0</v>
      </c>
      <c r="AA46" s="8" t="n">
        <f aca="false">Model!$R$32*EUR*Model!P$15</f>
        <v>0</v>
      </c>
      <c r="AB46" s="8" t="n">
        <f aca="false">Model!$R$32*EUR*Model!Q$15</f>
        <v>0</v>
      </c>
      <c r="AC46" s="8" t="n">
        <f aca="false">Model!$R$32*EUR*Model!R$15</f>
        <v>0</v>
      </c>
      <c r="AD46" s="8" t="n">
        <f aca="false">Model!$R$32*EUR*Model!S$15</f>
        <v>0</v>
      </c>
      <c r="AE46" s="8" t="n">
        <f aca="false">Model!$R$32*EUR*Model!T$15</f>
        <v>0</v>
      </c>
      <c r="AF46" s="8" t="n">
        <f aca="false">Model!$R$32*EUR*Model!U$15</f>
        <v>0</v>
      </c>
      <c r="AG46" s="8" t="n">
        <f aca="false">Model!$R$32*EUR*Model!V$15</f>
        <v>0</v>
      </c>
      <c r="AH46" s="8" t="n">
        <f aca="false">Model!$R$32*EUR*Model!W$15</f>
        <v>0</v>
      </c>
      <c r="AI46" s="8" t="n">
        <f aca="false">Model!$R$32*EUR*Model!X$15</f>
        <v>0</v>
      </c>
    </row>
    <row r="47" customFormat="false" ht="15" hidden="false" customHeight="false" outlineLevel="0" collapsed="false">
      <c r="A47" s="4" t="s">
        <v>155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f aca="false">Model!$S$32*EUR*Model!G$15</f>
        <v>0</v>
      </c>
      <c r="T47" s="8" t="n">
        <f aca="false">Model!$S$32*EUR*Model!H$15</f>
        <v>0</v>
      </c>
      <c r="U47" s="8" t="n">
        <f aca="false">Model!$S$32*EUR*Model!I$15</f>
        <v>0</v>
      </c>
      <c r="V47" s="8" t="n">
        <f aca="false">Model!$S$32*EUR*Model!J$15</f>
        <v>0</v>
      </c>
      <c r="W47" s="8" t="n">
        <f aca="false">Model!$S$32*EUR*Model!K$15</f>
        <v>0</v>
      </c>
      <c r="X47" s="8" t="n">
        <f aca="false">Model!$S$32*EUR*Model!L$15</f>
        <v>0</v>
      </c>
      <c r="Y47" s="8" t="n">
        <f aca="false">Model!$S$32*EUR*Model!M$15</f>
        <v>0</v>
      </c>
      <c r="Z47" s="8" t="n">
        <f aca="false">Model!$S$32*EUR*Model!N$15</f>
        <v>0</v>
      </c>
      <c r="AA47" s="8" t="n">
        <f aca="false">Model!$S$32*EUR*Model!O$15</f>
        <v>0</v>
      </c>
      <c r="AB47" s="8" t="n">
        <f aca="false">Model!$S$32*EUR*Model!P$15</f>
        <v>0</v>
      </c>
      <c r="AC47" s="8" t="n">
        <f aca="false">Model!$S$32*EUR*Model!Q$15</f>
        <v>0</v>
      </c>
      <c r="AD47" s="8" t="n">
        <f aca="false">Model!$S$32*EUR*Model!R$15</f>
        <v>0</v>
      </c>
      <c r="AE47" s="8" t="n">
        <f aca="false">Model!$S$32*EUR*Model!S$15</f>
        <v>0</v>
      </c>
      <c r="AF47" s="8" t="n">
        <f aca="false">Model!$S$32*EUR*Model!T$15</f>
        <v>0</v>
      </c>
      <c r="AG47" s="8" t="n">
        <f aca="false">Model!$S$32*EUR*Model!U$15</f>
        <v>0</v>
      </c>
      <c r="AH47" s="8" t="n">
        <f aca="false">Model!$S$32*EUR*Model!V$15</f>
        <v>0</v>
      </c>
      <c r="AI47" s="8" t="n">
        <f aca="false">Model!$S$32*EUR*Model!W$15</f>
        <v>0</v>
      </c>
    </row>
    <row r="48" customFormat="false" ht="15" hidden="false" customHeight="false" outlineLevel="0" collapsed="false">
      <c r="A48" s="4" t="s">
        <v>156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f aca="false">Model!$T$32*EUR*Model!G$15</f>
        <v>0</v>
      </c>
      <c r="U48" s="8" t="n">
        <f aca="false">Model!$T$32*EUR*Model!H$15</f>
        <v>0</v>
      </c>
      <c r="V48" s="8" t="n">
        <f aca="false">Model!$T$32*EUR*Model!I$15</f>
        <v>0</v>
      </c>
      <c r="W48" s="8" t="n">
        <f aca="false">Model!$T$32*EUR*Model!J$15</f>
        <v>0</v>
      </c>
      <c r="X48" s="8" t="n">
        <f aca="false">Model!$T$32*EUR*Model!K$15</f>
        <v>0</v>
      </c>
      <c r="Y48" s="8" t="n">
        <f aca="false">Model!$T$32*EUR*Model!L$15</f>
        <v>0</v>
      </c>
      <c r="Z48" s="8" t="n">
        <f aca="false">Model!$T$32*EUR*Model!M$15</f>
        <v>0</v>
      </c>
      <c r="AA48" s="8" t="n">
        <f aca="false">Model!$T$32*EUR*Model!N$15</f>
        <v>0</v>
      </c>
      <c r="AB48" s="8" t="n">
        <f aca="false">Model!$T$32*EUR*Model!O$15</f>
        <v>0</v>
      </c>
      <c r="AC48" s="8" t="n">
        <f aca="false">Model!$T$32*EUR*Model!P$15</f>
        <v>0</v>
      </c>
      <c r="AD48" s="8" t="n">
        <f aca="false">Model!$T$32*EUR*Model!Q$15</f>
        <v>0</v>
      </c>
      <c r="AE48" s="8" t="n">
        <f aca="false">Model!$T$32*EUR*Model!R$15</f>
        <v>0</v>
      </c>
      <c r="AF48" s="8" t="n">
        <f aca="false">Model!$T$32*EUR*Model!S$15</f>
        <v>0</v>
      </c>
      <c r="AG48" s="8" t="n">
        <f aca="false">Model!$T$32*EUR*Model!T$15</f>
        <v>0</v>
      </c>
      <c r="AH48" s="8" t="n">
        <f aca="false">Model!$T$32*EUR*Model!U$15</f>
        <v>0</v>
      </c>
      <c r="AI48" s="8" t="n">
        <f aca="false">Model!$T$32*EUR*Model!V$15</f>
        <v>0</v>
      </c>
    </row>
    <row r="49" customFormat="false" ht="15" hidden="false" customHeight="false" outlineLevel="0" collapsed="false">
      <c r="A49" s="4" t="s">
        <v>157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f aca="false">Model!$U$32*EUR*Model!G$15</f>
        <v>0</v>
      </c>
      <c r="V49" s="8" t="n">
        <f aca="false">Model!$U$32*EUR*Model!H$15</f>
        <v>0</v>
      </c>
      <c r="W49" s="8" t="n">
        <f aca="false">Model!$U$32*EUR*Model!I$15</f>
        <v>0</v>
      </c>
      <c r="X49" s="8" t="n">
        <f aca="false">Model!$U$32*EUR*Model!J$15</f>
        <v>0</v>
      </c>
      <c r="Y49" s="8" t="n">
        <f aca="false">Model!$U$32*EUR*Model!K$15</f>
        <v>0</v>
      </c>
      <c r="Z49" s="8" t="n">
        <f aca="false">Model!$U$32*EUR*Model!L$15</f>
        <v>0</v>
      </c>
      <c r="AA49" s="8" t="n">
        <f aca="false">Model!$U$32*EUR*Model!M$15</f>
        <v>0</v>
      </c>
      <c r="AB49" s="8" t="n">
        <f aca="false">Model!$U$32*EUR*Model!N$15</f>
        <v>0</v>
      </c>
      <c r="AC49" s="8" t="n">
        <f aca="false">Model!$U$32*EUR*Model!O$15</f>
        <v>0</v>
      </c>
      <c r="AD49" s="8" t="n">
        <f aca="false">Model!$U$32*EUR*Model!P$15</f>
        <v>0</v>
      </c>
      <c r="AE49" s="8" t="n">
        <f aca="false">Model!$U$32*EUR*Model!Q$15</f>
        <v>0</v>
      </c>
      <c r="AF49" s="8" t="n">
        <f aca="false">Model!$U$32*EUR*Model!R$15</f>
        <v>0</v>
      </c>
      <c r="AG49" s="8" t="n">
        <f aca="false">Model!$U$32*EUR*Model!S$15</f>
        <v>0</v>
      </c>
      <c r="AH49" s="8" t="n">
        <f aca="false">Model!$U$32*EUR*Model!T$15</f>
        <v>0</v>
      </c>
      <c r="AI49" s="8" t="n">
        <f aca="false">Model!$U$32*EUR*Model!U$15</f>
        <v>0</v>
      </c>
    </row>
    <row r="50" customFormat="false" ht="15" hidden="false" customHeight="false" outlineLevel="0" collapsed="false">
      <c r="A50" s="4" t="s">
        <v>158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f aca="false">Model!$V$32*EUR*Model!G$15</f>
        <v>0</v>
      </c>
      <c r="W50" s="8" t="n">
        <f aca="false">Model!$V$32*EUR*Model!H$15</f>
        <v>0</v>
      </c>
      <c r="X50" s="8" t="n">
        <f aca="false">Model!$V$32*EUR*Model!I$15</f>
        <v>0</v>
      </c>
      <c r="Y50" s="8" t="n">
        <f aca="false">Model!$V$32*EUR*Model!J$15</f>
        <v>0</v>
      </c>
      <c r="Z50" s="8" t="n">
        <f aca="false">Model!$V$32*EUR*Model!K$15</f>
        <v>0</v>
      </c>
      <c r="AA50" s="8" t="n">
        <f aca="false">Model!$V$32*EUR*Model!L$15</f>
        <v>0</v>
      </c>
      <c r="AB50" s="8" t="n">
        <f aca="false">Model!$V$32*EUR*Model!M$15</f>
        <v>0</v>
      </c>
      <c r="AC50" s="8" t="n">
        <f aca="false">Model!$V$32*EUR*Model!N$15</f>
        <v>0</v>
      </c>
      <c r="AD50" s="8" t="n">
        <f aca="false">Model!$V$32*EUR*Model!O$15</f>
        <v>0</v>
      </c>
      <c r="AE50" s="8" t="n">
        <f aca="false">Model!$V$32*EUR*Model!P$15</f>
        <v>0</v>
      </c>
      <c r="AF50" s="8" t="n">
        <f aca="false">Model!$V$32*EUR*Model!Q$15</f>
        <v>0</v>
      </c>
      <c r="AG50" s="8" t="n">
        <f aca="false">Model!$V$32*EUR*Model!R$15</f>
        <v>0</v>
      </c>
      <c r="AH50" s="8" t="n">
        <f aca="false">Model!$V$32*EUR*Model!S$15</f>
        <v>0</v>
      </c>
      <c r="AI50" s="8" t="n">
        <f aca="false">Model!$V$32*EUR*Model!T$15</f>
        <v>0</v>
      </c>
    </row>
    <row r="51" customFormat="false" ht="15" hidden="false" customHeight="false" outlineLevel="0" collapsed="false">
      <c r="A51" s="4" t="s">
        <v>159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f aca="false">Model!$W$32*EUR*Model!G$15</f>
        <v>0</v>
      </c>
      <c r="X51" s="8" t="n">
        <f aca="false">Model!$W$32*EUR*Model!H$15</f>
        <v>0</v>
      </c>
      <c r="Y51" s="8" t="n">
        <f aca="false">Model!$W$32*EUR*Model!I$15</f>
        <v>0</v>
      </c>
      <c r="Z51" s="8" t="n">
        <f aca="false">Model!$W$32*EUR*Model!J$15</f>
        <v>0</v>
      </c>
      <c r="AA51" s="8" t="n">
        <f aca="false">Model!$W$32*EUR*Model!K$15</f>
        <v>0</v>
      </c>
      <c r="AB51" s="8" t="n">
        <f aca="false">Model!$W$32*EUR*Model!L$15</f>
        <v>0</v>
      </c>
      <c r="AC51" s="8" t="n">
        <f aca="false">Model!$W$32*EUR*Model!M$15</f>
        <v>0</v>
      </c>
      <c r="AD51" s="8" t="n">
        <f aca="false">Model!$W$32*EUR*Model!N$15</f>
        <v>0</v>
      </c>
      <c r="AE51" s="8" t="n">
        <f aca="false">Model!$W$32*EUR*Model!O$15</f>
        <v>0</v>
      </c>
      <c r="AF51" s="8" t="n">
        <f aca="false">Model!$W$32*EUR*Model!P$15</f>
        <v>0</v>
      </c>
      <c r="AG51" s="8" t="n">
        <f aca="false">Model!$W$32*EUR*Model!Q$15</f>
        <v>0</v>
      </c>
      <c r="AH51" s="8" t="n">
        <f aca="false">Model!$W$32*EUR*Model!R$15</f>
        <v>0</v>
      </c>
      <c r="AI51" s="8" t="n">
        <f aca="false">Model!$W$32*EUR*Model!S$15</f>
        <v>0</v>
      </c>
    </row>
    <row r="52" customFormat="false" ht="15" hidden="false" customHeight="false" outlineLevel="0" collapsed="false">
      <c r="A52" s="4" t="s">
        <v>160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f aca="false">Model!$X$32*EUR*Model!G$15</f>
        <v>0</v>
      </c>
      <c r="Y52" s="8" t="n">
        <f aca="false">Model!$X$32*EUR*Model!H$15</f>
        <v>0</v>
      </c>
      <c r="Z52" s="8" t="n">
        <f aca="false">Model!$X$32*EUR*Model!I$15</f>
        <v>0</v>
      </c>
      <c r="AA52" s="8" t="n">
        <f aca="false">Model!$X$32*EUR*Model!J$15</f>
        <v>0</v>
      </c>
      <c r="AB52" s="8" t="n">
        <f aca="false">Model!$X$32*EUR*Model!K$15</f>
        <v>0</v>
      </c>
      <c r="AC52" s="8" t="n">
        <f aca="false">Model!$X$32*EUR*Model!L$15</f>
        <v>0</v>
      </c>
      <c r="AD52" s="8" t="n">
        <f aca="false">Model!$X$32*EUR*Model!M$15</f>
        <v>0</v>
      </c>
      <c r="AE52" s="8" t="n">
        <f aca="false">Model!$X$32*EUR*Model!N$15</f>
        <v>0</v>
      </c>
      <c r="AF52" s="8" t="n">
        <f aca="false">Model!$X$32*EUR*Model!O$15</f>
        <v>0</v>
      </c>
      <c r="AG52" s="8" t="n">
        <f aca="false">Model!$X$32*EUR*Model!P$15</f>
        <v>0</v>
      </c>
      <c r="AH52" s="8" t="n">
        <f aca="false">Model!$X$32*EUR*Model!Q$15</f>
        <v>0</v>
      </c>
      <c r="AI52" s="8" t="n">
        <f aca="false">Model!$X$32*EUR*Model!R$15</f>
        <v>0</v>
      </c>
    </row>
    <row r="53" customFormat="false" ht="15" hidden="false" customHeight="false" outlineLevel="0" collapsed="false">
      <c r="A53" s="4" t="s">
        <v>161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f aca="false">Model!$Y$32*EUR*Model!G$15</f>
        <v>0</v>
      </c>
      <c r="Z53" s="8" t="n">
        <f aca="false">Model!$Y$32*EUR*Model!H$15</f>
        <v>0</v>
      </c>
      <c r="AA53" s="8" t="n">
        <f aca="false">Model!$Y$32*EUR*Model!I$15</f>
        <v>0</v>
      </c>
      <c r="AB53" s="8" t="n">
        <f aca="false">Model!$Y$32*EUR*Model!J$15</f>
        <v>0</v>
      </c>
      <c r="AC53" s="8" t="n">
        <f aca="false">Model!$Y$32*EUR*Model!K$15</f>
        <v>0</v>
      </c>
      <c r="AD53" s="8" t="n">
        <f aca="false">Model!$Y$32*EUR*Model!L$15</f>
        <v>0</v>
      </c>
      <c r="AE53" s="8" t="n">
        <f aca="false">Model!$Y$32*EUR*Model!M$15</f>
        <v>0</v>
      </c>
      <c r="AF53" s="8" t="n">
        <f aca="false">Model!$Y$32*EUR*Model!N$15</f>
        <v>0</v>
      </c>
      <c r="AG53" s="8" t="n">
        <f aca="false">Model!$Y$32*EUR*Model!O$15</f>
        <v>0</v>
      </c>
      <c r="AH53" s="8" t="n">
        <f aca="false">Model!$Y$32*EUR*Model!P$15</f>
        <v>0</v>
      </c>
      <c r="AI53" s="8" t="n">
        <f aca="false">Model!$Y$32*EUR*Model!Q$15</f>
        <v>0</v>
      </c>
    </row>
    <row r="54" customFormat="false" ht="15" hidden="false" customHeight="false" outlineLevel="0" collapsed="false">
      <c r="A54" s="4" t="s">
        <v>162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f aca="false">Model!$Z$32*EUR*Model!G$15</f>
        <v>0</v>
      </c>
      <c r="AA54" s="8" t="n">
        <f aca="false">Model!$Z$32*EUR*Model!H$15</f>
        <v>0</v>
      </c>
      <c r="AB54" s="8" t="n">
        <f aca="false">Model!$Z$32*EUR*Model!I$15</f>
        <v>0</v>
      </c>
      <c r="AC54" s="8" t="n">
        <f aca="false">Model!$Z$32*EUR*Model!J$15</f>
        <v>0</v>
      </c>
      <c r="AD54" s="8" t="n">
        <f aca="false">Model!$Z$32*EUR*Model!K$15</f>
        <v>0</v>
      </c>
      <c r="AE54" s="8" t="n">
        <f aca="false">Model!$Z$32*EUR*Model!L$15</f>
        <v>0</v>
      </c>
      <c r="AF54" s="8" t="n">
        <f aca="false">Model!$Z$32*EUR*Model!M$15</f>
        <v>0</v>
      </c>
      <c r="AG54" s="8" t="n">
        <f aca="false">Model!$Z$32*EUR*Model!N$15</f>
        <v>0</v>
      </c>
      <c r="AH54" s="8" t="n">
        <f aca="false">Model!$Z$32*EUR*Model!O$15</f>
        <v>0</v>
      </c>
      <c r="AI54" s="8" t="n">
        <f aca="false">Model!$Z$32*EUR*Model!P$15</f>
        <v>0</v>
      </c>
    </row>
    <row r="55" customFormat="false" ht="15" hidden="false" customHeight="false" outlineLevel="0" collapsed="false">
      <c r="A55" s="4" t="s">
        <v>163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f aca="false">Model!$AA$32*EUR*Model!G$15</f>
        <v>0</v>
      </c>
      <c r="AB55" s="8" t="n">
        <f aca="false">Model!$AA$32*EUR*Model!H$15</f>
        <v>0</v>
      </c>
      <c r="AC55" s="8" t="n">
        <f aca="false">Model!$AA$32*EUR*Model!I$15</f>
        <v>0</v>
      </c>
      <c r="AD55" s="8" t="n">
        <f aca="false">Model!$AA$32*EUR*Model!J$15</f>
        <v>0</v>
      </c>
      <c r="AE55" s="8" t="n">
        <f aca="false">Model!$AA$32*EUR*Model!K$15</f>
        <v>0</v>
      </c>
      <c r="AF55" s="8" t="n">
        <f aca="false">Model!$AA$32*EUR*Model!L$15</f>
        <v>0</v>
      </c>
      <c r="AG55" s="8" t="n">
        <f aca="false">Model!$AA$32*EUR*Model!M$15</f>
        <v>0</v>
      </c>
      <c r="AH55" s="8" t="n">
        <f aca="false">Model!$AA$32*EUR*Model!N$15</f>
        <v>0</v>
      </c>
      <c r="AI55" s="8" t="n">
        <f aca="false">Model!$AA$32*EUR*Model!O$15</f>
        <v>0</v>
      </c>
    </row>
    <row r="56" customFormat="false" ht="15" hidden="false" customHeight="false" outlineLevel="0" collapsed="false">
      <c r="A56" s="4" t="s">
        <v>164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f aca="false">Model!$AB$32*EUR*Model!G$15</f>
        <v>0</v>
      </c>
      <c r="AC56" s="8" t="n">
        <f aca="false">Model!$AB$32*EUR*Model!H$15</f>
        <v>0</v>
      </c>
      <c r="AD56" s="8" t="n">
        <f aca="false">Model!$AB$32*EUR*Model!I$15</f>
        <v>0</v>
      </c>
      <c r="AE56" s="8" t="n">
        <f aca="false">Model!$AB$32*EUR*Model!J$15</f>
        <v>0</v>
      </c>
      <c r="AF56" s="8" t="n">
        <f aca="false">Model!$AB$32*EUR*Model!K$15</f>
        <v>0</v>
      </c>
      <c r="AG56" s="8" t="n">
        <f aca="false">Model!$AB$32*EUR*Model!L$15</f>
        <v>0</v>
      </c>
      <c r="AH56" s="8" t="n">
        <f aca="false">Model!$AB$32*EUR*Model!M$15</f>
        <v>0</v>
      </c>
      <c r="AI56" s="8" t="n">
        <f aca="false">Model!$AB$32*EUR*Model!N$15</f>
        <v>0</v>
      </c>
    </row>
    <row r="57" customFormat="false" ht="15" hidden="false" customHeight="false" outlineLevel="0" collapsed="false">
      <c r="A57" s="4" t="s">
        <v>165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f aca="false">Model!$AC$32*EUR*Model!G$15</f>
        <v>0</v>
      </c>
      <c r="AD57" s="8" t="n">
        <f aca="false">Model!$AC$32*EUR*Model!H$15</f>
        <v>0</v>
      </c>
      <c r="AE57" s="8" t="n">
        <f aca="false">Model!$AC$32*EUR*Model!I$15</f>
        <v>0</v>
      </c>
      <c r="AF57" s="8" t="n">
        <f aca="false">Model!$AC$32*EUR*Model!J$15</f>
        <v>0</v>
      </c>
      <c r="AG57" s="8" t="n">
        <f aca="false">Model!$AC$32*EUR*Model!K$15</f>
        <v>0</v>
      </c>
      <c r="AH57" s="8" t="n">
        <f aca="false">Model!$AC$32*EUR*Model!L$15</f>
        <v>0</v>
      </c>
      <c r="AI57" s="8" t="n">
        <f aca="false">Model!$AC$32*EUR*Model!M$15</f>
        <v>0</v>
      </c>
    </row>
    <row r="58" customFormat="false" ht="15" hidden="false" customHeight="false" outlineLevel="0" collapsed="false">
      <c r="A58" s="4" t="s">
        <v>166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f aca="false">Model!$AD$32*EUR*Model!G$15</f>
        <v>0</v>
      </c>
      <c r="AE58" s="8" t="n">
        <f aca="false">Model!$AD$32*EUR*Model!H$15</f>
        <v>0</v>
      </c>
      <c r="AF58" s="8" t="n">
        <f aca="false">Model!$AD$32*EUR*Model!I$15</f>
        <v>0</v>
      </c>
      <c r="AG58" s="8" t="n">
        <f aca="false">Model!$AD$32*EUR*Model!J$15</f>
        <v>0</v>
      </c>
      <c r="AH58" s="8" t="n">
        <f aca="false">Model!$AD$32*EUR*Model!K$15</f>
        <v>0</v>
      </c>
      <c r="AI58" s="8" t="n">
        <f aca="false">Model!$AD$32*EUR*Model!L$15</f>
        <v>0</v>
      </c>
    </row>
    <row r="59" customFormat="false" ht="15" hidden="false" customHeight="false" outlineLevel="0" collapsed="false">
      <c r="A59" s="4" t="s">
        <v>167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f aca="false">Model!$AE$32*EUR*Model!G$15</f>
        <v>0</v>
      </c>
      <c r="AF59" s="8" t="n">
        <f aca="false">Model!$AE$32*EUR*Model!H$15</f>
        <v>0</v>
      </c>
      <c r="AG59" s="8" t="n">
        <f aca="false">Model!$AE$32*EUR*Model!I$15</f>
        <v>0</v>
      </c>
      <c r="AH59" s="8" t="n">
        <f aca="false">Model!$AE$32*EUR*Model!J$15</f>
        <v>0</v>
      </c>
      <c r="AI59" s="8" t="n">
        <f aca="false">Model!$AE$32*EUR*Model!K$15</f>
        <v>0</v>
      </c>
    </row>
    <row r="60" customFormat="false" ht="15" hidden="false" customHeight="false" outlineLevel="0" collapsed="false">
      <c r="A60" s="4" t="s">
        <v>168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f aca="false">Model!$AF$32*EUR*Model!G$15</f>
        <v>0</v>
      </c>
      <c r="AG60" s="8" t="n">
        <f aca="false">Model!$AF$32*EUR*Model!H$15</f>
        <v>0</v>
      </c>
      <c r="AH60" s="8" t="n">
        <f aca="false">Model!$AF$32*EUR*Model!I$15</f>
        <v>0</v>
      </c>
      <c r="AI60" s="8" t="n">
        <f aca="false">Model!$AF$32*EUR*Model!J$15</f>
        <v>0</v>
      </c>
    </row>
    <row r="61" customFormat="false" ht="15" hidden="false" customHeight="false" outlineLevel="0" collapsed="false">
      <c r="A61" s="4" t="s">
        <v>169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f aca="false">Model!$AG$32*EUR*Model!G$15</f>
        <v>0</v>
      </c>
      <c r="AH61" s="8" t="n">
        <f aca="false">Model!$AG$32*EUR*Model!H$15</f>
        <v>0</v>
      </c>
      <c r="AI61" s="8" t="n">
        <f aca="false">Model!$AG$32*EUR*Model!I$15</f>
        <v>0</v>
      </c>
    </row>
    <row r="62" customFormat="false" ht="15" hidden="false" customHeight="false" outlineLevel="0" collapsed="false">
      <c r="A62" s="4" t="s">
        <v>170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f aca="false">Model!$AH$32*EUR*Model!G$15</f>
        <v>0</v>
      </c>
      <c r="AI62" s="8" t="n">
        <f aca="false">Model!$AH$32*EUR*Model!H$15</f>
        <v>0</v>
      </c>
    </row>
    <row r="63" customFormat="false" ht="15" hidden="false" customHeight="false" outlineLevel="0" collapsed="false">
      <c r="A63" s="4" t="s">
        <v>171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f aca="false">Model!$AI$32*EUR*Model!G$15</f>
        <v>0</v>
      </c>
    </row>
    <row r="65" customFormat="false" ht="15" hidden="false" customHeight="false" outlineLevel="0" collapsed="false">
      <c r="A65" s="2" t="s">
        <v>141</v>
      </c>
    </row>
    <row r="66" customFormat="false" ht="15" hidden="false" customHeight="false" outlineLevel="0" collapsed="false">
      <c r="A66" s="4" t="s">
        <v>143</v>
      </c>
      <c r="G66" s="8" t="n">
        <f aca="false">Model!$G$45*EUR*Model!G$15</f>
        <v>14.85</v>
      </c>
      <c r="H66" s="8" t="n">
        <f aca="false">Model!$G$45*EUR*Model!H$15</f>
        <v>18.81</v>
      </c>
      <c r="I66" s="8" t="n">
        <f aca="false">Model!$G$45*EUR*Model!I$15</f>
        <v>11.88</v>
      </c>
      <c r="J66" s="8" t="n">
        <f aca="false">Model!$G$45*EUR*Model!J$15</f>
        <v>8.91</v>
      </c>
      <c r="K66" s="8" t="n">
        <f aca="false">Model!$G$45*EUR*Model!K$15</f>
        <v>6.93</v>
      </c>
      <c r="L66" s="8" t="n">
        <f aca="false">Model!$G$45*EUR*Model!L$15</f>
        <v>5.94</v>
      </c>
      <c r="M66" s="8" t="n">
        <f aca="false">Model!$G$45*EUR*Model!M$15</f>
        <v>4.95</v>
      </c>
      <c r="N66" s="8" t="n">
        <f aca="false">Model!$G$45*EUR*Model!N$15</f>
        <v>4.455</v>
      </c>
      <c r="O66" s="8" t="n">
        <f aca="false">Model!$G$45*EUR*Model!O$15</f>
        <v>3.96</v>
      </c>
      <c r="P66" s="8" t="n">
        <f aca="false">Model!$G$45*EUR*Model!P$15</f>
        <v>3.465</v>
      </c>
      <c r="Q66" s="8" t="n">
        <f aca="false">Model!$G$45*EUR*Model!Q$15</f>
        <v>3.1185</v>
      </c>
      <c r="R66" s="8" t="n">
        <f aca="false">Model!$G$45*EUR*Model!R$15</f>
        <v>2.80665</v>
      </c>
      <c r="S66" s="8" t="n">
        <f aca="false">Model!$G$45*EUR*Model!S$15</f>
        <v>2.525985</v>
      </c>
      <c r="T66" s="8" t="n">
        <f aca="false">Model!$G$45*EUR*Model!T$15</f>
        <v>2.2733865</v>
      </c>
      <c r="U66" s="8" t="n">
        <f aca="false">Model!$G$45*EUR*Model!U$15</f>
        <v>2.04604785</v>
      </c>
      <c r="V66" s="8" t="n">
        <f aca="false">Model!$G$45*EUR*Model!V$15</f>
        <v>1.841443065</v>
      </c>
      <c r="W66" s="8" t="n">
        <f aca="false">Model!$G$45*EUR*Model!W$15</f>
        <v>1.6572987585</v>
      </c>
      <c r="X66" s="8" t="n">
        <f aca="false">Model!$G$45*EUR*Model!X$15</f>
        <v>1.49156888265</v>
      </c>
      <c r="Y66" s="8" t="n">
        <f aca="false">Model!$G$45*EUR*Model!Y$15</f>
        <v>1.342411994385</v>
      </c>
      <c r="Z66" s="8" t="n">
        <f aca="false">Model!$G$45*EUR*Model!Z$15</f>
        <v>1.2081707949465</v>
      </c>
      <c r="AA66" s="8" t="n">
        <f aca="false">Model!$G$45*EUR*Model!AA$15</f>
        <v>1.08735371545185</v>
      </c>
      <c r="AB66" s="8" t="n">
        <f aca="false">Model!$G$45*EUR*Model!AB$15</f>
        <v>0.978618343906666</v>
      </c>
      <c r="AC66" s="8" t="n">
        <f aca="false">Model!$G$45*EUR*Model!AC$15</f>
        <v>0.880756509515999</v>
      </c>
      <c r="AD66" s="8" t="n">
        <f aca="false">Model!$G$45*EUR*Model!AD$15</f>
        <v>0.792680858564399</v>
      </c>
      <c r="AE66" s="8" t="n">
        <f aca="false">Model!$G$45*EUR*Model!AE$15</f>
        <v>0.713412772707959</v>
      </c>
      <c r="AF66" s="8" t="n">
        <f aca="false">Model!$G$45*EUR*Model!AF$15</f>
        <v>0.642071495437163</v>
      </c>
      <c r="AG66" s="8" t="n">
        <f aca="false">Model!$G$45*EUR*Model!AG$15</f>
        <v>0.577864345893447</v>
      </c>
      <c r="AH66" s="8" t="n">
        <f aca="false">Model!$G$45*EUR*Model!AH$15</f>
        <v>0.520077911304102</v>
      </c>
      <c r="AI66" s="8" t="n">
        <f aca="false">Model!$G$45*EUR*Model!AI$15</f>
        <v>0.468070120173692</v>
      </c>
    </row>
    <row r="67" customFormat="false" ht="15" hidden="false" customHeight="false" outlineLevel="0" collapsed="false">
      <c r="A67" s="4" t="s">
        <v>144</v>
      </c>
      <c r="G67" s="8" t="n">
        <v>0</v>
      </c>
      <c r="H67" s="8" t="n">
        <f aca="false">Model!$H$45*EUR*Model!G$15</f>
        <v>16.875</v>
      </c>
      <c r="I67" s="8" t="n">
        <f aca="false">Model!$H$45*EUR*Model!H$15</f>
        <v>21.375</v>
      </c>
      <c r="J67" s="8" t="n">
        <f aca="false">Model!$H$45*EUR*Model!I$15</f>
        <v>13.5</v>
      </c>
      <c r="K67" s="8" t="n">
        <f aca="false">Model!$H$45*EUR*Model!J$15</f>
        <v>10.125</v>
      </c>
      <c r="L67" s="8" t="n">
        <f aca="false">Model!$H$45*EUR*Model!K$15</f>
        <v>7.875</v>
      </c>
      <c r="M67" s="8" t="n">
        <f aca="false">Model!$H$45*EUR*Model!L$15</f>
        <v>6.75</v>
      </c>
      <c r="N67" s="8" t="n">
        <f aca="false">Model!$H$45*EUR*Model!M$15</f>
        <v>5.625</v>
      </c>
      <c r="O67" s="8" t="n">
        <f aca="false">Model!$H$45*EUR*Model!N$15</f>
        <v>5.0625</v>
      </c>
      <c r="P67" s="8" t="n">
        <f aca="false">Model!$H$45*EUR*Model!O$15</f>
        <v>4.5</v>
      </c>
      <c r="Q67" s="8" t="n">
        <f aca="false">Model!$H$45*EUR*Model!P$15</f>
        <v>3.9375</v>
      </c>
      <c r="R67" s="8" t="n">
        <f aca="false">Model!$H$45*EUR*Model!Q$15</f>
        <v>3.54375</v>
      </c>
      <c r="S67" s="8" t="n">
        <f aca="false">Model!$H$45*EUR*Model!R$15</f>
        <v>3.189375</v>
      </c>
      <c r="T67" s="8" t="n">
        <f aca="false">Model!$H$45*EUR*Model!S$15</f>
        <v>2.8704375</v>
      </c>
      <c r="U67" s="8" t="n">
        <f aca="false">Model!$H$45*EUR*Model!T$15</f>
        <v>2.58339375</v>
      </c>
      <c r="V67" s="8" t="n">
        <f aca="false">Model!$H$45*EUR*Model!U$15</f>
        <v>2.325054375</v>
      </c>
      <c r="W67" s="8" t="n">
        <f aca="false">Model!$H$45*EUR*Model!V$15</f>
        <v>2.0925489375</v>
      </c>
      <c r="X67" s="8" t="n">
        <f aca="false">Model!$H$45*EUR*Model!W$15</f>
        <v>1.88329404375</v>
      </c>
      <c r="Y67" s="8" t="n">
        <f aca="false">Model!$H$45*EUR*Model!X$15</f>
        <v>1.694964639375</v>
      </c>
      <c r="Z67" s="8" t="n">
        <f aca="false">Model!$H$45*EUR*Model!Y$15</f>
        <v>1.5254681754375</v>
      </c>
      <c r="AA67" s="8" t="n">
        <f aca="false">Model!$H$45*EUR*Model!Z$15</f>
        <v>1.37292135789375</v>
      </c>
      <c r="AB67" s="8" t="n">
        <f aca="false">Model!$H$45*EUR*Model!AA$15</f>
        <v>1.23562922210438</v>
      </c>
      <c r="AC67" s="8" t="n">
        <f aca="false">Model!$H$45*EUR*Model!AB$15</f>
        <v>1.11206629989394</v>
      </c>
      <c r="AD67" s="8" t="n">
        <f aca="false">Model!$H$45*EUR*Model!AC$15</f>
        <v>1.00085966990454</v>
      </c>
      <c r="AE67" s="8" t="n">
        <f aca="false">Model!$H$45*EUR*Model!AD$15</f>
        <v>0.90077370291409</v>
      </c>
      <c r="AF67" s="8" t="n">
        <f aca="false">Model!$H$45*EUR*Model!AE$15</f>
        <v>0.810696332622681</v>
      </c>
      <c r="AG67" s="8" t="n">
        <f aca="false">Model!$H$45*EUR*Model!AF$15</f>
        <v>0.729626699360413</v>
      </c>
      <c r="AH67" s="8" t="n">
        <f aca="false">Model!$H$45*EUR*Model!AG$15</f>
        <v>0.656664029424372</v>
      </c>
      <c r="AI67" s="8" t="n">
        <f aca="false">Model!$H$45*EUR*Model!AH$15</f>
        <v>0.590997626481934</v>
      </c>
    </row>
    <row r="68" customFormat="false" ht="15" hidden="false" customHeight="false" outlineLevel="0" collapsed="false">
      <c r="A68" s="4" t="s">
        <v>145</v>
      </c>
      <c r="G68" s="8" t="n">
        <v>0</v>
      </c>
      <c r="H68" s="8" t="n">
        <v>0</v>
      </c>
      <c r="I68" s="8" t="n">
        <f aca="false">Model!$I$45*EUR*Model!G$15</f>
        <v>18.225</v>
      </c>
      <c r="J68" s="8" t="n">
        <f aca="false">Model!$I$45*EUR*Model!H$15</f>
        <v>23.085</v>
      </c>
      <c r="K68" s="8" t="n">
        <f aca="false">Model!$I$45*EUR*Model!I$15</f>
        <v>14.58</v>
      </c>
      <c r="L68" s="8" t="n">
        <f aca="false">Model!$I$45*EUR*Model!J$15</f>
        <v>10.935</v>
      </c>
      <c r="M68" s="8" t="n">
        <f aca="false">Model!$I$45*EUR*Model!K$15</f>
        <v>8.505</v>
      </c>
      <c r="N68" s="8" t="n">
        <f aca="false">Model!$I$45*EUR*Model!L$15</f>
        <v>7.29</v>
      </c>
      <c r="O68" s="8" t="n">
        <f aca="false">Model!$I$45*EUR*Model!M$15</f>
        <v>6.075</v>
      </c>
      <c r="P68" s="8" t="n">
        <f aca="false">Model!$I$45*EUR*Model!N$15</f>
        <v>5.4675</v>
      </c>
      <c r="Q68" s="8" t="n">
        <f aca="false">Model!$I$45*EUR*Model!O$15</f>
        <v>4.86</v>
      </c>
      <c r="R68" s="8" t="n">
        <f aca="false">Model!$I$45*EUR*Model!P$15</f>
        <v>4.2525</v>
      </c>
      <c r="S68" s="8" t="n">
        <f aca="false">Model!$I$45*EUR*Model!Q$15</f>
        <v>3.82725</v>
      </c>
      <c r="T68" s="8" t="n">
        <f aca="false">Model!$I$45*EUR*Model!R$15</f>
        <v>3.444525</v>
      </c>
      <c r="U68" s="8" t="n">
        <f aca="false">Model!$I$45*EUR*Model!S$15</f>
        <v>3.1000725</v>
      </c>
      <c r="V68" s="8" t="n">
        <f aca="false">Model!$I$45*EUR*Model!T$15</f>
        <v>2.79006525</v>
      </c>
      <c r="W68" s="8" t="n">
        <f aca="false">Model!$I$45*EUR*Model!U$15</f>
        <v>2.511058725</v>
      </c>
      <c r="X68" s="8" t="n">
        <f aca="false">Model!$I$45*EUR*Model!V$15</f>
        <v>2.2599528525</v>
      </c>
      <c r="Y68" s="8" t="n">
        <f aca="false">Model!$I$45*EUR*Model!W$15</f>
        <v>2.03395756725</v>
      </c>
      <c r="Z68" s="8" t="n">
        <f aca="false">Model!$I$45*EUR*Model!X$15</f>
        <v>1.830561810525</v>
      </c>
      <c r="AA68" s="8" t="n">
        <f aca="false">Model!$I$45*EUR*Model!Y$15</f>
        <v>1.6475056294725</v>
      </c>
      <c r="AB68" s="8" t="n">
        <f aca="false">Model!$I$45*EUR*Model!Z$15</f>
        <v>1.48275506652525</v>
      </c>
      <c r="AC68" s="8" t="n">
        <f aca="false">Model!$I$45*EUR*Model!AA$15</f>
        <v>1.33447955987273</v>
      </c>
      <c r="AD68" s="8" t="n">
        <f aca="false">Model!$I$45*EUR*Model!AB$15</f>
        <v>1.20103160388545</v>
      </c>
      <c r="AE68" s="8" t="n">
        <f aca="false">Model!$I$45*EUR*Model!AC$15</f>
        <v>1.08092844349691</v>
      </c>
      <c r="AF68" s="8" t="n">
        <f aca="false">Model!$I$45*EUR*Model!AD$15</f>
        <v>0.972835599147217</v>
      </c>
      <c r="AG68" s="8" t="n">
        <f aca="false">Model!$I$45*EUR*Model!AE$15</f>
        <v>0.875552039232496</v>
      </c>
      <c r="AH68" s="8" t="n">
        <f aca="false">Model!$I$45*EUR*Model!AF$15</f>
        <v>0.787996835309246</v>
      </c>
      <c r="AI68" s="8" t="n">
        <f aca="false">Model!$I$45*EUR*Model!AG$15</f>
        <v>0.709197151778321</v>
      </c>
    </row>
    <row r="69" customFormat="false" ht="15" hidden="false" customHeight="false" outlineLevel="0" collapsed="false">
      <c r="A69" s="4" t="s">
        <v>146</v>
      </c>
      <c r="G69" s="8" t="n">
        <v>0</v>
      </c>
      <c r="H69" s="8" t="n">
        <v>0</v>
      </c>
      <c r="I69" s="8" t="n">
        <v>0</v>
      </c>
      <c r="J69" s="8" t="n">
        <f aca="false">Model!$J$45*EUR*Model!G$15</f>
        <v>18.225</v>
      </c>
      <c r="K69" s="8" t="n">
        <f aca="false">Model!$J$45*EUR*Model!H$15</f>
        <v>23.085</v>
      </c>
      <c r="L69" s="8" t="n">
        <f aca="false">Model!$J$45*EUR*Model!I$15</f>
        <v>14.58</v>
      </c>
      <c r="M69" s="8" t="n">
        <f aca="false">Model!$J$45*EUR*Model!J$15</f>
        <v>10.935</v>
      </c>
      <c r="N69" s="8" t="n">
        <f aca="false">Model!$J$45*EUR*Model!K$15</f>
        <v>8.505</v>
      </c>
      <c r="O69" s="8" t="n">
        <f aca="false">Model!$J$45*EUR*Model!L$15</f>
        <v>7.29</v>
      </c>
      <c r="P69" s="8" t="n">
        <f aca="false">Model!$J$45*EUR*Model!M$15</f>
        <v>6.075</v>
      </c>
      <c r="Q69" s="8" t="n">
        <f aca="false">Model!$J$45*EUR*Model!N$15</f>
        <v>5.4675</v>
      </c>
      <c r="R69" s="8" t="n">
        <f aca="false">Model!$J$45*EUR*Model!O$15</f>
        <v>4.86</v>
      </c>
      <c r="S69" s="8" t="n">
        <f aca="false">Model!$J$45*EUR*Model!P$15</f>
        <v>4.2525</v>
      </c>
      <c r="T69" s="8" t="n">
        <f aca="false">Model!$J$45*EUR*Model!Q$15</f>
        <v>3.82725</v>
      </c>
      <c r="U69" s="8" t="n">
        <f aca="false">Model!$J$45*EUR*Model!R$15</f>
        <v>3.444525</v>
      </c>
      <c r="V69" s="8" t="n">
        <f aca="false">Model!$J$45*EUR*Model!S$15</f>
        <v>3.1000725</v>
      </c>
      <c r="W69" s="8" t="n">
        <f aca="false">Model!$J$45*EUR*Model!T$15</f>
        <v>2.79006525</v>
      </c>
      <c r="X69" s="8" t="n">
        <f aca="false">Model!$J$45*EUR*Model!U$15</f>
        <v>2.511058725</v>
      </c>
      <c r="Y69" s="8" t="n">
        <f aca="false">Model!$J$45*EUR*Model!V$15</f>
        <v>2.2599528525</v>
      </c>
      <c r="Z69" s="8" t="n">
        <f aca="false">Model!$J$45*EUR*Model!W$15</f>
        <v>2.03395756725</v>
      </c>
      <c r="AA69" s="8" t="n">
        <f aca="false">Model!$J$45*EUR*Model!X$15</f>
        <v>1.830561810525</v>
      </c>
      <c r="AB69" s="8" t="n">
        <f aca="false">Model!$J$45*EUR*Model!Y$15</f>
        <v>1.6475056294725</v>
      </c>
      <c r="AC69" s="8" t="n">
        <f aca="false">Model!$J$45*EUR*Model!Z$15</f>
        <v>1.48275506652525</v>
      </c>
      <c r="AD69" s="8" t="n">
        <f aca="false">Model!$J$45*EUR*Model!AA$15</f>
        <v>1.33447955987273</v>
      </c>
      <c r="AE69" s="8" t="n">
        <f aca="false">Model!$J$45*EUR*Model!AB$15</f>
        <v>1.20103160388545</v>
      </c>
      <c r="AF69" s="8" t="n">
        <f aca="false">Model!$J$45*EUR*Model!AC$15</f>
        <v>1.08092844349691</v>
      </c>
      <c r="AG69" s="8" t="n">
        <f aca="false">Model!$J$45*EUR*Model!AD$15</f>
        <v>0.972835599147217</v>
      </c>
      <c r="AH69" s="8" t="n">
        <f aca="false">Model!$J$45*EUR*Model!AE$15</f>
        <v>0.875552039232496</v>
      </c>
      <c r="AI69" s="8" t="n">
        <f aca="false">Model!$J$45*EUR*Model!AF$15</f>
        <v>0.787996835309246</v>
      </c>
    </row>
    <row r="70" customFormat="false" ht="15" hidden="false" customHeight="false" outlineLevel="0" collapsed="false">
      <c r="A70" s="4" t="s">
        <v>147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f aca="false">Model!$K$45*EUR*Model!G$15</f>
        <v>18.225</v>
      </c>
      <c r="L70" s="8" t="n">
        <f aca="false">Model!$K$45*EUR*Model!H$15</f>
        <v>23.085</v>
      </c>
      <c r="M70" s="8" t="n">
        <f aca="false">Model!$K$45*EUR*Model!I$15</f>
        <v>14.58</v>
      </c>
      <c r="N70" s="8" t="n">
        <f aca="false">Model!$K$45*EUR*Model!J$15</f>
        <v>10.935</v>
      </c>
      <c r="O70" s="8" t="n">
        <f aca="false">Model!$K$45*EUR*Model!K$15</f>
        <v>8.505</v>
      </c>
      <c r="P70" s="8" t="n">
        <f aca="false">Model!$K$45*EUR*Model!L$15</f>
        <v>7.29</v>
      </c>
      <c r="Q70" s="8" t="n">
        <f aca="false">Model!$K$45*EUR*Model!M$15</f>
        <v>6.075</v>
      </c>
      <c r="R70" s="8" t="n">
        <f aca="false">Model!$K$45*EUR*Model!N$15</f>
        <v>5.4675</v>
      </c>
      <c r="S70" s="8" t="n">
        <f aca="false">Model!$K$45*EUR*Model!O$15</f>
        <v>4.86</v>
      </c>
      <c r="T70" s="8" t="n">
        <f aca="false">Model!$K$45*EUR*Model!P$15</f>
        <v>4.2525</v>
      </c>
      <c r="U70" s="8" t="n">
        <f aca="false">Model!$K$45*EUR*Model!Q$15</f>
        <v>3.82725</v>
      </c>
      <c r="V70" s="8" t="n">
        <f aca="false">Model!$K$45*EUR*Model!R$15</f>
        <v>3.444525</v>
      </c>
      <c r="W70" s="8" t="n">
        <f aca="false">Model!$K$45*EUR*Model!S$15</f>
        <v>3.1000725</v>
      </c>
      <c r="X70" s="8" t="n">
        <f aca="false">Model!$K$45*EUR*Model!T$15</f>
        <v>2.79006525</v>
      </c>
      <c r="Y70" s="8" t="n">
        <f aca="false">Model!$K$45*EUR*Model!U$15</f>
        <v>2.511058725</v>
      </c>
      <c r="Z70" s="8" t="n">
        <f aca="false">Model!$K$45*EUR*Model!V$15</f>
        <v>2.2599528525</v>
      </c>
      <c r="AA70" s="8" t="n">
        <f aca="false">Model!$K$45*EUR*Model!W$15</f>
        <v>2.03395756725</v>
      </c>
      <c r="AB70" s="8" t="n">
        <f aca="false">Model!$K$45*EUR*Model!X$15</f>
        <v>1.830561810525</v>
      </c>
      <c r="AC70" s="8" t="n">
        <f aca="false">Model!$K$45*EUR*Model!Y$15</f>
        <v>1.6475056294725</v>
      </c>
      <c r="AD70" s="8" t="n">
        <f aca="false">Model!$K$45*EUR*Model!Z$15</f>
        <v>1.48275506652525</v>
      </c>
      <c r="AE70" s="8" t="n">
        <f aca="false">Model!$K$45*EUR*Model!AA$15</f>
        <v>1.33447955987273</v>
      </c>
      <c r="AF70" s="8" t="n">
        <f aca="false">Model!$K$45*EUR*Model!AB$15</f>
        <v>1.20103160388545</v>
      </c>
      <c r="AG70" s="8" t="n">
        <f aca="false">Model!$K$45*EUR*Model!AC$15</f>
        <v>1.08092844349691</v>
      </c>
      <c r="AH70" s="8" t="n">
        <f aca="false">Model!$K$45*EUR*Model!AD$15</f>
        <v>0.972835599147217</v>
      </c>
      <c r="AI70" s="8" t="n">
        <f aca="false">Model!$K$45*EUR*Model!AE$15</f>
        <v>0.875552039232496</v>
      </c>
    </row>
    <row r="71" customFormat="false" ht="15" hidden="false" customHeight="false" outlineLevel="0" collapsed="false">
      <c r="A71" s="4" t="s">
        <v>148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f aca="false">Model!$L$45*EUR*Model!G$15</f>
        <v>18.225</v>
      </c>
      <c r="M71" s="8" t="n">
        <f aca="false">Model!$L$45*EUR*Model!H$15</f>
        <v>23.085</v>
      </c>
      <c r="N71" s="8" t="n">
        <f aca="false">Model!$L$45*EUR*Model!I$15</f>
        <v>14.58</v>
      </c>
      <c r="O71" s="8" t="n">
        <f aca="false">Model!$L$45*EUR*Model!J$15</f>
        <v>10.935</v>
      </c>
      <c r="P71" s="8" t="n">
        <f aca="false">Model!$L$45*EUR*Model!K$15</f>
        <v>8.505</v>
      </c>
      <c r="Q71" s="8" t="n">
        <f aca="false">Model!$L$45*EUR*Model!L$15</f>
        <v>7.29</v>
      </c>
      <c r="R71" s="8" t="n">
        <f aca="false">Model!$L$45*EUR*Model!M$15</f>
        <v>6.075</v>
      </c>
      <c r="S71" s="8" t="n">
        <f aca="false">Model!$L$45*EUR*Model!N$15</f>
        <v>5.4675</v>
      </c>
      <c r="T71" s="8" t="n">
        <f aca="false">Model!$L$45*EUR*Model!O$15</f>
        <v>4.86</v>
      </c>
      <c r="U71" s="8" t="n">
        <f aca="false">Model!$L$45*EUR*Model!P$15</f>
        <v>4.2525</v>
      </c>
      <c r="V71" s="8" t="n">
        <f aca="false">Model!$L$45*EUR*Model!Q$15</f>
        <v>3.82725</v>
      </c>
      <c r="W71" s="8" t="n">
        <f aca="false">Model!$L$45*EUR*Model!R$15</f>
        <v>3.444525</v>
      </c>
      <c r="X71" s="8" t="n">
        <f aca="false">Model!$L$45*EUR*Model!S$15</f>
        <v>3.1000725</v>
      </c>
      <c r="Y71" s="8" t="n">
        <f aca="false">Model!$L$45*EUR*Model!T$15</f>
        <v>2.79006525</v>
      </c>
      <c r="Z71" s="8" t="n">
        <f aca="false">Model!$L$45*EUR*Model!U$15</f>
        <v>2.511058725</v>
      </c>
      <c r="AA71" s="8" t="n">
        <f aca="false">Model!$L$45*EUR*Model!V$15</f>
        <v>2.2599528525</v>
      </c>
      <c r="AB71" s="8" t="n">
        <f aca="false">Model!$L$45*EUR*Model!W$15</f>
        <v>2.03395756725</v>
      </c>
      <c r="AC71" s="8" t="n">
        <f aca="false">Model!$L$45*EUR*Model!X$15</f>
        <v>1.830561810525</v>
      </c>
      <c r="AD71" s="8" t="n">
        <f aca="false">Model!$L$45*EUR*Model!Y$15</f>
        <v>1.6475056294725</v>
      </c>
      <c r="AE71" s="8" t="n">
        <f aca="false">Model!$L$45*EUR*Model!Z$15</f>
        <v>1.48275506652525</v>
      </c>
      <c r="AF71" s="8" t="n">
        <f aca="false">Model!$L$45*EUR*Model!AA$15</f>
        <v>1.33447955987273</v>
      </c>
      <c r="AG71" s="8" t="n">
        <f aca="false">Model!$L$45*EUR*Model!AB$15</f>
        <v>1.20103160388545</v>
      </c>
      <c r="AH71" s="8" t="n">
        <f aca="false">Model!$L$45*EUR*Model!AC$15</f>
        <v>1.08092844349691</v>
      </c>
      <c r="AI71" s="8" t="n">
        <f aca="false">Model!$L$45*EUR*Model!AD$15</f>
        <v>0.972835599147217</v>
      </c>
    </row>
    <row r="72" customFormat="false" ht="15" hidden="false" customHeight="false" outlineLevel="0" collapsed="false">
      <c r="A72" s="4" t="s">
        <v>149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f aca="false">Model!$M$45*EUR*Model!G$15</f>
        <v>18.225</v>
      </c>
      <c r="N72" s="8" t="n">
        <f aca="false">Model!$M$45*EUR*Model!H$15</f>
        <v>23.085</v>
      </c>
      <c r="O72" s="8" t="n">
        <f aca="false">Model!$M$45*EUR*Model!I$15</f>
        <v>14.58</v>
      </c>
      <c r="P72" s="8" t="n">
        <f aca="false">Model!$M$45*EUR*Model!J$15</f>
        <v>10.935</v>
      </c>
      <c r="Q72" s="8" t="n">
        <f aca="false">Model!$M$45*EUR*Model!K$15</f>
        <v>8.505</v>
      </c>
      <c r="R72" s="8" t="n">
        <f aca="false">Model!$M$45*EUR*Model!L$15</f>
        <v>7.29</v>
      </c>
      <c r="S72" s="8" t="n">
        <f aca="false">Model!$M$45*EUR*Model!M$15</f>
        <v>6.075</v>
      </c>
      <c r="T72" s="8" t="n">
        <f aca="false">Model!$M$45*EUR*Model!N$15</f>
        <v>5.4675</v>
      </c>
      <c r="U72" s="8" t="n">
        <f aca="false">Model!$M$45*EUR*Model!O$15</f>
        <v>4.86</v>
      </c>
      <c r="V72" s="8" t="n">
        <f aca="false">Model!$M$45*EUR*Model!P$15</f>
        <v>4.2525</v>
      </c>
      <c r="W72" s="8" t="n">
        <f aca="false">Model!$M$45*EUR*Model!Q$15</f>
        <v>3.82725</v>
      </c>
      <c r="X72" s="8" t="n">
        <f aca="false">Model!$M$45*EUR*Model!R$15</f>
        <v>3.444525</v>
      </c>
      <c r="Y72" s="8" t="n">
        <f aca="false">Model!$M$45*EUR*Model!S$15</f>
        <v>3.1000725</v>
      </c>
      <c r="Z72" s="8" t="n">
        <f aca="false">Model!$M$45*EUR*Model!T$15</f>
        <v>2.79006525</v>
      </c>
      <c r="AA72" s="8" t="n">
        <f aca="false">Model!$M$45*EUR*Model!U$15</f>
        <v>2.511058725</v>
      </c>
      <c r="AB72" s="8" t="n">
        <f aca="false">Model!$M$45*EUR*Model!V$15</f>
        <v>2.2599528525</v>
      </c>
      <c r="AC72" s="8" t="n">
        <f aca="false">Model!$M$45*EUR*Model!W$15</f>
        <v>2.03395756725</v>
      </c>
      <c r="AD72" s="8" t="n">
        <f aca="false">Model!$M$45*EUR*Model!X$15</f>
        <v>1.830561810525</v>
      </c>
      <c r="AE72" s="8" t="n">
        <f aca="false">Model!$M$45*EUR*Model!Y$15</f>
        <v>1.6475056294725</v>
      </c>
      <c r="AF72" s="8" t="n">
        <f aca="false">Model!$M$45*EUR*Model!Z$15</f>
        <v>1.48275506652525</v>
      </c>
      <c r="AG72" s="8" t="n">
        <f aca="false">Model!$M$45*EUR*Model!AA$15</f>
        <v>1.33447955987273</v>
      </c>
      <c r="AH72" s="8" t="n">
        <f aca="false">Model!$M$45*EUR*Model!AB$15</f>
        <v>1.20103160388545</v>
      </c>
      <c r="AI72" s="8" t="n">
        <f aca="false">Model!$M$45*EUR*Model!AC$15</f>
        <v>1.08092844349691</v>
      </c>
    </row>
    <row r="73" customFormat="false" ht="15" hidden="false" customHeight="false" outlineLevel="0" collapsed="false">
      <c r="A73" s="4" t="s">
        <v>150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f aca="false">Model!$N$45*EUR*Model!G$15</f>
        <v>18.225</v>
      </c>
      <c r="O73" s="8" t="n">
        <f aca="false">Model!$N$45*EUR*Model!H$15</f>
        <v>23.085</v>
      </c>
      <c r="P73" s="8" t="n">
        <f aca="false">Model!$N$45*EUR*Model!I$15</f>
        <v>14.58</v>
      </c>
      <c r="Q73" s="8" t="n">
        <f aca="false">Model!$N$45*EUR*Model!J$15</f>
        <v>10.935</v>
      </c>
      <c r="R73" s="8" t="n">
        <f aca="false">Model!$N$45*EUR*Model!K$15</f>
        <v>8.505</v>
      </c>
      <c r="S73" s="8" t="n">
        <f aca="false">Model!$N$45*EUR*Model!L$15</f>
        <v>7.29</v>
      </c>
      <c r="T73" s="8" t="n">
        <f aca="false">Model!$N$45*EUR*Model!M$15</f>
        <v>6.075</v>
      </c>
      <c r="U73" s="8" t="n">
        <f aca="false">Model!$N$45*EUR*Model!N$15</f>
        <v>5.4675</v>
      </c>
      <c r="V73" s="8" t="n">
        <f aca="false">Model!$N$45*EUR*Model!O$15</f>
        <v>4.86</v>
      </c>
      <c r="W73" s="8" t="n">
        <f aca="false">Model!$N$45*EUR*Model!P$15</f>
        <v>4.2525</v>
      </c>
      <c r="X73" s="8" t="n">
        <f aca="false">Model!$N$45*EUR*Model!Q$15</f>
        <v>3.82725</v>
      </c>
      <c r="Y73" s="8" t="n">
        <f aca="false">Model!$N$45*EUR*Model!R$15</f>
        <v>3.444525</v>
      </c>
      <c r="Z73" s="8" t="n">
        <f aca="false">Model!$N$45*EUR*Model!S$15</f>
        <v>3.1000725</v>
      </c>
      <c r="AA73" s="8" t="n">
        <f aca="false">Model!$N$45*EUR*Model!T$15</f>
        <v>2.79006525</v>
      </c>
      <c r="AB73" s="8" t="n">
        <f aca="false">Model!$N$45*EUR*Model!U$15</f>
        <v>2.511058725</v>
      </c>
      <c r="AC73" s="8" t="n">
        <f aca="false">Model!$N$45*EUR*Model!V$15</f>
        <v>2.2599528525</v>
      </c>
      <c r="AD73" s="8" t="n">
        <f aca="false">Model!$N$45*EUR*Model!W$15</f>
        <v>2.03395756725</v>
      </c>
      <c r="AE73" s="8" t="n">
        <f aca="false">Model!$N$45*EUR*Model!X$15</f>
        <v>1.830561810525</v>
      </c>
      <c r="AF73" s="8" t="n">
        <f aca="false">Model!$N$45*EUR*Model!Y$15</f>
        <v>1.6475056294725</v>
      </c>
      <c r="AG73" s="8" t="n">
        <f aca="false">Model!$N$45*EUR*Model!Z$15</f>
        <v>1.48275506652525</v>
      </c>
      <c r="AH73" s="8" t="n">
        <f aca="false">Model!$N$45*EUR*Model!AA$15</f>
        <v>1.33447955987273</v>
      </c>
      <c r="AI73" s="8" t="n">
        <f aca="false">Model!$N$45*EUR*Model!AB$15</f>
        <v>1.20103160388545</v>
      </c>
    </row>
    <row r="74" customFormat="false" ht="15" hidden="false" customHeight="false" outlineLevel="0" collapsed="false">
      <c r="A74" s="4" t="s">
        <v>151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f aca="false">Model!$O$45*EUR*Model!G$15</f>
        <v>18.225</v>
      </c>
      <c r="P74" s="8" t="n">
        <f aca="false">Model!$O$45*EUR*Model!H$15</f>
        <v>23.085</v>
      </c>
      <c r="Q74" s="8" t="n">
        <f aca="false">Model!$O$45*EUR*Model!I$15</f>
        <v>14.58</v>
      </c>
      <c r="R74" s="8" t="n">
        <f aca="false">Model!$O$45*EUR*Model!J$15</f>
        <v>10.935</v>
      </c>
      <c r="S74" s="8" t="n">
        <f aca="false">Model!$O$45*EUR*Model!K$15</f>
        <v>8.505</v>
      </c>
      <c r="T74" s="8" t="n">
        <f aca="false">Model!$O$45*EUR*Model!L$15</f>
        <v>7.29</v>
      </c>
      <c r="U74" s="8" t="n">
        <f aca="false">Model!$O$45*EUR*Model!M$15</f>
        <v>6.075</v>
      </c>
      <c r="V74" s="8" t="n">
        <f aca="false">Model!$O$45*EUR*Model!N$15</f>
        <v>5.4675</v>
      </c>
      <c r="W74" s="8" t="n">
        <f aca="false">Model!$O$45*EUR*Model!O$15</f>
        <v>4.86</v>
      </c>
      <c r="X74" s="8" t="n">
        <f aca="false">Model!$O$45*EUR*Model!P$15</f>
        <v>4.2525</v>
      </c>
      <c r="Y74" s="8" t="n">
        <f aca="false">Model!$O$45*EUR*Model!Q$15</f>
        <v>3.82725</v>
      </c>
      <c r="Z74" s="8" t="n">
        <f aca="false">Model!$O$45*EUR*Model!R$15</f>
        <v>3.444525</v>
      </c>
      <c r="AA74" s="8" t="n">
        <f aca="false">Model!$O$45*EUR*Model!S$15</f>
        <v>3.1000725</v>
      </c>
      <c r="AB74" s="8" t="n">
        <f aca="false">Model!$O$45*EUR*Model!T$15</f>
        <v>2.79006525</v>
      </c>
      <c r="AC74" s="8" t="n">
        <f aca="false">Model!$O$45*EUR*Model!U$15</f>
        <v>2.511058725</v>
      </c>
      <c r="AD74" s="8" t="n">
        <f aca="false">Model!$O$45*EUR*Model!V$15</f>
        <v>2.2599528525</v>
      </c>
      <c r="AE74" s="8" t="n">
        <f aca="false">Model!$O$45*EUR*Model!W$15</f>
        <v>2.03395756725</v>
      </c>
      <c r="AF74" s="8" t="n">
        <f aca="false">Model!$O$45*EUR*Model!X$15</f>
        <v>1.830561810525</v>
      </c>
      <c r="AG74" s="8" t="n">
        <f aca="false">Model!$O$45*EUR*Model!Y$15</f>
        <v>1.6475056294725</v>
      </c>
      <c r="AH74" s="8" t="n">
        <f aca="false">Model!$O$45*EUR*Model!Z$15</f>
        <v>1.48275506652525</v>
      </c>
      <c r="AI74" s="8" t="n">
        <f aca="false">Model!$O$45*EUR*Model!AA$15</f>
        <v>1.33447955987273</v>
      </c>
    </row>
    <row r="75" customFormat="false" ht="15" hidden="false" customHeight="false" outlineLevel="0" collapsed="false">
      <c r="A75" s="4" t="s">
        <v>152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f aca="false">Model!$P$45*EUR*Model!G$15</f>
        <v>18.225</v>
      </c>
      <c r="Q75" s="8" t="n">
        <f aca="false">Model!$P$45*EUR*Model!H$15</f>
        <v>23.085</v>
      </c>
      <c r="R75" s="8" t="n">
        <f aca="false">Model!$P$45*EUR*Model!I$15</f>
        <v>14.58</v>
      </c>
      <c r="S75" s="8" t="n">
        <f aca="false">Model!$P$45*EUR*Model!J$15</f>
        <v>10.935</v>
      </c>
      <c r="T75" s="8" t="n">
        <f aca="false">Model!$P$45*EUR*Model!K$15</f>
        <v>8.505</v>
      </c>
      <c r="U75" s="8" t="n">
        <f aca="false">Model!$P$45*EUR*Model!L$15</f>
        <v>7.29</v>
      </c>
      <c r="V75" s="8" t="n">
        <f aca="false">Model!$P$45*EUR*Model!M$15</f>
        <v>6.075</v>
      </c>
      <c r="W75" s="8" t="n">
        <f aca="false">Model!$P$45*EUR*Model!N$15</f>
        <v>5.4675</v>
      </c>
      <c r="X75" s="8" t="n">
        <f aca="false">Model!$P$45*EUR*Model!O$15</f>
        <v>4.86</v>
      </c>
      <c r="Y75" s="8" t="n">
        <f aca="false">Model!$P$45*EUR*Model!P$15</f>
        <v>4.2525</v>
      </c>
      <c r="Z75" s="8" t="n">
        <f aca="false">Model!$P$45*EUR*Model!Q$15</f>
        <v>3.82725</v>
      </c>
      <c r="AA75" s="8" t="n">
        <f aca="false">Model!$P$45*EUR*Model!R$15</f>
        <v>3.444525</v>
      </c>
      <c r="AB75" s="8" t="n">
        <f aca="false">Model!$P$45*EUR*Model!S$15</f>
        <v>3.1000725</v>
      </c>
      <c r="AC75" s="8" t="n">
        <f aca="false">Model!$P$45*EUR*Model!T$15</f>
        <v>2.79006525</v>
      </c>
      <c r="AD75" s="8" t="n">
        <f aca="false">Model!$P$45*EUR*Model!U$15</f>
        <v>2.511058725</v>
      </c>
      <c r="AE75" s="8" t="n">
        <f aca="false">Model!$P$45*EUR*Model!V$15</f>
        <v>2.2599528525</v>
      </c>
      <c r="AF75" s="8" t="n">
        <f aca="false">Model!$P$45*EUR*Model!W$15</f>
        <v>2.03395756725</v>
      </c>
      <c r="AG75" s="8" t="n">
        <f aca="false">Model!$P$45*EUR*Model!X$15</f>
        <v>1.830561810525</v>
      </c>
      <c r="AH75" s="8" t="n">
        <f aca="false">Model!$P$45*EUR*Model!Y$15</f>
        <v>1.6475056294725</v>
      </c>
      <c r="AI75" s="8" t="n">
        <f aca="false">Model!$P$45*EUR*Model!Z$15</f>
        <v>1.48275506652525</v>
      </c>
    </row>
    <row r="76" customFormat="false" ht="15" hidden="false" customHeight="false" outlineLevel="0" collapsed="false">
      <c r="A76" s="4" t="s">
        <v>153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f aca="false">Model!$Q$45*EUR*Model!G$15</f>
        <v>18.225</v>
      </c>
      <c r="R76" s="8" t="n">
        <f aca="false">Model!$Q$45*EUR*Model!H$15</f>
        <v>23.085</v>
      </c>
      <c r="S76" s="8" t="n">
        <f aca="false">Model!$Q$45*EUR*Model!I$15</f>
        <v>14.58</v>
      </c>
      <c r="T76" s="8" t="n">
        <f aca="false">Model!$Q$45*EUR*Model!J$15</f>
        <v>10.935</v>
      </c>
      <c r="U76" s="8" t="n">
        <f aca="false">Model!$Q$45*EUR*Model!K$15</f>
        <v>8.505</v>
      </c>
      <c r="V76" s="8" t="n">
        <f aca="false">Model!$Q$45*EUR*Model!L$15</f>
        <v>7.29</v>
      </c>
      <c r="W76" s="8" t="n">
        <f aca="false">Model!$Q$45*EUR*Model!M$15</f>
        <v>6.075</v>
      </c>
      <c r="X76" s="8" t="n">
        <f aca="false">Model!$Q$45*EUR*Model!N$15</f>
        <v>5.4675</v>
      </c>
      <c r="Y76" s="8" t="n">
        <f aca="false">Model!$Q$45*EUR*Model!O$15</f>
        <v>4.86</v>
      </c>
      <c r="Z76" s="8" t="n">
        <f aca="false">Model!$Q$45*EUR*Model!P$15</f>
        <v>4.2525</v>
      </c>
      <c r="AA76" s="8" t="n">
        <f aca="false">Model!$Q$45*EUR*Model!Q$15</f>
        <v>3.82725</v>
      </c>
      <c r="AB76" s="8" t="n">
        <f aca="false">Model!$Q$45*EUR*Model!R$15</f>
        <v>3.444525</v>
      </c>
      <c r="AC76" s="8" t="n">
        <f aca="false">Model!$Q$45*EUR*Model!S$15</f>
        <v>3.1000725</v>
      </c>
      <c r="AD76" s="8" t="n">
        <f aca="false">Model!$Q$45*EUR*Model!T$15</f>
        <v>2.79006525</v>
      </c>
      <c r="AE76" s="8" t="n">
        <f aca="false">Model!$Q$45*EUR*Model!U$15</f>
        <v>2.511058725</v>
      </c>
      <c r="AF76" s="8" t="n">
        <f aca="false">Model!$Q$45*EUR*Model!V$15</f>
        <v>2.2599528525</v>
      </c>
      <c r="AG76" s="8" t="n">
        <f aca="false">Model!$Q$45*EUR*Model!W$15</f>
        <v>2.03395756725</v>
      </c>
      <c r="AH76" s="8" t="n">
        <f aca="false">Model!$Q$45*EUR*Model!X$15</f>
        <v>1.830561810525</v>
      </c>
      <c r="AI76" s="8" t="n">
        <f aca="false">Model!$Q$45*EUR*Model!Y$15</f>
        <v>1.6475056294725</v>
      </c>
    </row>
    <row r="77" customFormat="false" ht="15" hidden="false" customHeight="false" outlineLevel="0" collapsed="false">
      <c r="A77" s="4" t="s">
        <v>154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f aca="false">Model!$R$45*EUR*Model!G$15</f>
        <v>2.7</v>
      </c>
      <c r="S77" s="8" t="n">
        <f aca="false">Model!$R$45*EUR*Model!H$15</f>
        <v>3.42</v>
      </c>
      <c r="T77" s="8" t="n">
        <f aca="false">Model!$R$45*EUR*Model!I$15</f>
        <v>2.16</v>
      </c>
      <c r="U77" s="8" t="n">
        <f aca="false">Model!$R$45*EUR*Model!J$15</f>
        <v>1.62</v>
      </c>
      <c r="V77" s="8" t="n">
        <f aca="false">Model!$R$45*EUR*Model!K$15</f>
        <v>1.26</v>
      </c>
      <c r="W77" s="8" t="n">
        <f aca="false">Model!$R$45*EUR*Model!L$15</f>
        <v>1.08</v>
      </c>
      <c r="X77" s="8" t="n">
        <f aca="false">Model!$R$45*EUR*Model!M$15</f>
        <v>0.9</v>
      </c>
      <c r="Y77" s="8" t="n">
        <f aca="false">Model!$R$45*EUR*Model!N$15</f>
        <v>0.81</v>
      </c>
      <c r="Z77" s="8" t="n">
        <f aca="false">Model!$R$45*EUR*Model!O$15</f>
        <v>0.72</v>
      </c>
      <c r="AA77" s="8" t="n">
        <f aca="false">Model!$R$45*EUR*Model!P$15</f>
        <v>0.63</v>
      </c>
      <c r="AB77" s="8" t="n">
        <f aca="false">Model!$R$45*EUR*Model!Q$15</f>
        <v>0.567</v>
      </c>
      <c r="AC77" s="8" t="n">
        <f aca="false">Model!$R$45*EUR*Model!R$15</f>
        <v>0.5103</v>
      </c>
      <c r="AD77" s="8" t="n">
        <f aca="false">Model!$R$45*EUR*Model!S$15</f>
        <v>0.45927</v>
      </c>
      <c r="AE77" s="8" t="n">
        <f aca="false">Model!$R$45*EUR*Model!T$15</f>
        <v>0.413343</v>
      </c>
      <c r="AF77" s="8" t="n">
        <f aca="false">Model!$R$45*EUR*Model!U$15</f>
        <v>0.3720087</v>
      </c>
      <c r="AG77" s="8" t="n">
        <f aca="false">Model!$R$45*EUR*Model!V$15</f>
        <v>0.33480783</v>
      </c>
      <c r="AH77" s="8" t="n">
        <f aca="false">Model!$R$45*EUR*Model!W$15</f>
        <v>0.301327047</v>
      </c>
      <c r="AI77" s="8" t="n">
        <f aca="false">Model!$R$45*EUR*Model!X$15</f>
        <v>0.2711943423</v>
      </c>
    </row>
    <row r="78" customFormat="false" ht="15" hidden="false" customHeight="false" outlineLevel="0" collapsed="false">
      <c r="A78" s="4" t="s">
        <v>155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f aca="false">Model!$S$45*EUR*Model!G$15</f>
        <v>0</v>
      </c>
      <c r="T78" s="8" t="n">
        <f aca="false">Model!$S$45*EUR*Model!H$15</f>
        <v>0</v>
      </c>
      <c r="U78" s="8" t="n">
        <f aca="false">Model!$S$45*EUR*Model!I$15</f>
        <v>0</v>
      </c>
      <c r="V78" s="8" t="n">
        <f aca="false">Model!$S$45*EUR*Model!J$15</f>
        <v>0</v>
      </c>
      <c r="W78" s="8" t="n">
        <f aca="false">Model!$S$45*EUR*Model!K$15</f>
        <v>0</v>
      </c>
      <c r="X78" s="8" t="n">
        <f aca="false">Model!$S$45*EUR*Model!L$15</f>
        <v>0</v>
      </c>
      <c r="Y78" s="8" t="n">
        <f aca="false">Model!$S$45*EUR*Model!M$15</f>
        <v>0</v>
      </c>
      <c r="Z78" s="8" t="n">
        <f aca="false">Model!$S$45*EUR*Model!N$15</f>
        <v>0</v>
      </c>
      <c r="AA78" s="8" t="n">
        <f aca="false">Model!$S$45*EUR*Model!O$15</f>
        <v>0</v>
      </c>
      <c r="AB78" s="8" t="n">
        <f aca="false">Model!$S$45*EUR*Model!P$15</f>
        <v>0</v>
      </c>
      <c r="AC78" s="8" t="n">
        <f aca="false">Model!$S$45*EUR*Model!Q$15</f>
        <v>0</v>
      </c>
      <c r="AD78" s="8" t="n">
        <f aca="false">Model!$S$45*EUR*Model!R$15</f>
        <v>0</v>
      </c>
      <c r="AE78" s="8" t="n">
        <f aca="false">Model!$S$45*EUR*Model!S$15</f>
        <v>0</v>
      </c>
      <c r="AF78" s="8" t="n">
        <f aca="false">Model!$S$45*EUR*Model!T$15</f>
        <v>0</v>
      </c>
      <c r="AG78" s="8" t="n">
        <f aca="false">Model!$S$45*EUR*Model!U$15</f>
        <v>0</v>
      </c>
      <c r="AH78" s="8" t="n">
        <f aca="false">Model!$S$45*EUR*Model!V$15</f>
        <v>0</v>
      </c>
      <c r="AI78" s="8" t="n">
        <f aca="false">Model!$S$45*EUR*Model!W$15</f>
        <v>0</v>
      </c>
    </row>
    <row r="79" customFormat="false" ht="15" hidden="false" customHeight="false" outlineLevel="0" collapsed="false">
      <c r="A79" s="4" t="s">
        <v>156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f aca="false">Model!$T$45*EUR*Model!G$15</f>
        <v>0</v>
      </c>
      <c r="U79" s="8" t="n">
        <f aca="false">Model!$T$45*EUR*Model!H$15</f>
        <v>0</v>
      </c>
      <c r="V79" s="8" t="n">
        <f aca="false">Model!$T$45*EUR*Model!I$15</f>
        <v>0</v>
      </c>
      <c r="W79" s="8" t="n">
        <f aca="false">Model!$T$45*EUR*Model!J$15</f>
        <v>0</v>
      </c>
      <c r="X79" s="8" t="n">
        <f aca="false">Model!$T$45*EUR*Model!K$15</f>
        <v>0</v>
      </c>
      <c r="Y79" s="8" t="n">
        <f aca="false">Model!$T$45*EUR*Model!L$15</f>
        <v>0</v>
      </c>
      <c r="Z79" s="8" t="n">
        <f aca="false">Model!$T$45*EUR*Model!M$15</f>
        <v>0</v>
      </c>
      <c r="AA79" s="8" t="n">
        <f aca="false">Model!$T$45*EUR*Model!N$15</f>
        <v>0</v>
      </c>
      <c r="AB79" s="8" t="n">
        <f aca="false">Model!$T$45*EUR*Model!O$15</f>
        <v>0</v>
      </c>
      <c r="AC79" s="8" t="n">
        <f aca="false">Model!$T$45*EUR*Model!P$15</f>
        <v>0</v>
      </c>
      <c r="AD79" s="8" t="n">
        <f aca="false">Model!$T$45*EUR*Model!Q$15</f>
        <v>0</v>
      </c>
      <c r="AE79" s="8" t="n">
        <f aca="false">Model!$T$45*EUR*Model!R$15</f>
        <v>0</v>
      </c>
      <c r="AF79" s="8" t="n">
        <f aca="false">Model!$T$45*EUR*Model!S$15</f>
        <v>0</v>
      </c>
      <c r="AG79" s="8" t="n">
        <f aca="false">Model!$T$45*EUR*Model!T$15</f>
        <v>0</v>
      </c>
      <c r="AH79" s="8" t="n">
        <f aca="false">Model!$T$45*EUR*Model!U$15</f>
        <v>0</v>
      </c>
      <c r="AI79" s="8" t="n">
        <f aca="false">Model!$T$45*EUR*Model!V$15</f>
        <v>0</v>
      </c>
    </row>
    <row r="80" customFormat="false" ht="15" hidden="false" customHeight="false" outlineLevel="0" collapsed="false">
      <c r="A80" s="4" t="s">
        <v>157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f aca="false">Model!$U$45*EUR*Model!G$15</f>
        <v>0</v>
      </c>
      <c r="V80" s="8" t="n">
        <f aca="false">Model!$U$45*EUR*Model!H$15</f>
        <v>0</v>
      </c>
      <c r="W80" s="8" t="n">
        <f aca="false">Model!$U$45*EUR*Model!I$15</f>
        <v>0</v>
      </c>
      <c r="X80" s="8" t="n">
        <f aca="false">Model!$U$45*EUR*Model!J$15</f>
        <v>0</v>
      </c>
      <c r="Y80" s="8" t="n">
        <f aca="false">Model!$U$45*EUR*Model!K$15</f>
        <v>0</v>
      </c>
      <c r="Z80" s="8" t="n">
        <f aca="false">Model!$U$45*EUR*Model!L$15</f>
        <v>0</v>
      </c>
      <c r="AA80" s="8" t="n">
        <f aca="false">Model!$U$45*EUR*Model!M$15</f>
        <v>0</v>
      </c>
      <c r="AB80" s="8" t="n">
        <f aca="false">Model!$U$45*EUR*Model!N$15</f>
        <v>0</v>
      </c>
      <c r="AC80" s="8" t="n">
        <f aca="false">Model!$U$45*EUR*Model!O$15</f>
        <v>0</v>
      </c>
      <c r="AD80" s="8" t="n">
        <f aca="false">Model!$U$45*EUR*Model!P$15</f>
        <v>0</v>
      </c>
      <c r="AE80" s="8" t="n">
        <f aca="false">Model!$U$45*EUR*Model!Q$15</f>
        <v>0</v>
      </c>
      <c r="AF80" s="8" t="n">
        <f aca="false">Model!$U$45*EUR*Model!R$15</f>
        <v>0</v>
      </c>
      <c r="AG80" s="8" t="n">
        <f aca="false">Model!$U$45*EUR*Model!S$15</f>
        <v>0</v>
      </c>
      <c r="AH80" s="8" t="n">
        <f aca="false">Model!$U$45*EUR*Model!T$15</f>
        <v>0</v>
      </c>
      <c r="AI80" s="8" t="n">
        <f aca="false">Model!$U$45*EUR*Model!U$15</f>
        <v>0</v>
      </c>
    </row>
    <row r="81" customFormat="false" ht="15" hidden="false" customHeight="false" outlineLevel="0" collapsed="false">
      <c r="A81" s="4" t="s">
        <v>158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f aca="false">Model!$V$45*EUR*Model!G$15</f>
        <v>0</v>
      </c>
      <c r="W81" s="8" t="n">
        <f aca="false">Model!$V$45*EUR*Model!H$15</f>
        <v>0</v>
      </c>
      <c r="X81" s="8" t="n">
        <f aca="false">Model!$V$45*EUR*Model!I$15</f>
        <v>0</v>
      </c>
      <c r="Y81" s="8" t="n">
        <f aca="false">Model!$V$45*EUR*Model!J$15</f>
        <v>0</v>
      </c>
      <c r="Z81" s="8" t="n">
        <f aca="false">Model!$V$45*EUR*Model!K$15</f>
        <v>0</v>
      </c>
      <c r="AA81" s="8" t="n">
        <f aca="false">Model!$V$45*EUR*Model!L$15</f>
        <v>0</v>
      </c>
      <c r="AB81" s="8" t="n">
        <f aca="false">Model!$V$45*EUR*Model!M$15</f>
        <v>0</v>
      </c>
      <c r="AC81" s="8" t="n">
        <f aca="false">Model!$V$45*EUR*Model!N$15</f>
        <v>0</v>
      </c>
      <c r="AD81" s="8" t="n">
        <f aca="false">Model!$V$45*EUR*Model!O$15</f>
        <v>0</v>
      </c>
      <c r="AE81" s="8" t="n">
        <f aca="false">Model!$V$45*EUR*Model!P$15</f>
        <v>0</v>
      </c>
      <c r="AF81" s="8" t="n">
        <f aca="false">Model!$V$45*EUR*Model!Q$15</f>
        <v>0</v>
      </c>
      <c r="AG81" s="8" t="n">
        <f aca="false">Model!$V$45*EUR*Model!R$15</f>
        <v>0</v>
      </c>
      <c r="AH81" s="8" t="n">
        <f aca="false">Model!$V$45*EUR*Model!S$15</f>
        <v>0</v>
      </c>
      <c r="AI81" s="8" t="n">
        <f aca="false">Model!$V$45*EUR*Model!T$15</f>
        <v>0</v>
      </c>
    </row>
    <row r="82" customFormat="false" ht="15" hidden="false" customHeight="false" outlineLevel="0" collapsed="false">
      <c r="A82" s="4" t="s">
        <v>159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f aca="false">Model!$W$45*EUR*Model!G$15</f>
        <v>0</v>
      </c>
      <c r="X82" s="8" t="n">
        <f aca="false">Model!$W$45*EUR*Model!H$15</f>
        <v>0</v>
      </c>
      <c r="Y82" s="8" t="n">
        <f aca="false">Model!$W$45*EUR*Model!I$15</f>
        <v>0</v>
      </c>
      <c r="Z82" s="8" t="n">
        <f aca="false">Model!$W$45*EUR*Model!J$15</f>
        <v>0</v>
      </c>
      <c r="AA82" s="8" t="n">
        <f aca="false">Model!$W$45*EUR*Model!K$15</f>
        <v>0</v>
      </c>
      <c r="AB82" s="8" t="n">
        <f aca="false">Model!$W$45*EUR*Model!L$15</f>
        <v>0</v>
      </c>
      <c r="AC82" s="8" t="n">
        <f aca="false">Model!$W$45*EUR*Model!M$15</f>
        <v>0</v>
      </c>
      <c r="AD82" s="8" t="n">
        <f aca="false">Model!$W$45*EUR*Model!N$15</f>
        <v>0</v>
      </c>
      <c r="AE82" s="8" t="n">
        <f aca="false">Model!$W$45*EUR*Model!O$15</f>
        <v>0</v>
      </c>
      <c r="AF82" s="8" t="n">
        <f aca="false">Model!$W$45*EUR*Model!P$15</f>
        <v>0</v>
      </c>
      <c r="AG82" s="8" t="n">
        <f aca="false">Model!$W$45*EUR*Model!Q$15</f>
        <v>0</v>
      </c>
      <c r="AH82" s="8" t="n">
        <f aca="false">Model!$W$45*EUR*Model!R$15</f>
        <v>0</v>
      </c>
      <c r="AI82" s="8" t="n">
        <f aca="false">Model!$W$45*EUR*Model!S$15</f>
        <v>0</v>
      </c>
    </row>
    <row r="83" customFormat="false" ht="15" hidden="false" customHeight="false" outlineLevel="0" collapsed="false">
      <c r="A83" s="4" t="s">
        <v>160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f aca="false">Model!$X$45*EUR*Model!G$15</f>
        <v>0</v>
      </c>
      <c r="Y83" s="8" t="n">
        <f aca="false">Model!$X$45*EUR*Model!H$15</f>
        <v>0</v>
      </c>
      <c r="Z83" s="8" t="n">
        <f aca="false">Model!$X$45*EUR*Model!I$15</f>
        <v>0</v>
      </c>
      <c r="AA83" s="8" t="n">
        <f aca="false">Model!$X$45*EUR*Model!J$15</f>
        <v>0</v>
      </c>
      <c r="AB83" s="8" t="n">
        <f aca="false">Model!$X$45*EUR*Model!K$15</f>
        <v>0</v>
      </c>
      <c r="AC83" s="8" t="n">
        <f aca="false">Model!$X$45*EUR*Model!L$15</f>
        <v>0</v>
      </c>
      <c r="AD83" s="8" t="n">
        <f aca="false">Model!$X$45*EUR*Model!M$15</f>
        <v>0</v>
      </c>
      <c r="AE83" s="8" t="n">
        <f aca="false">Model!$X$45*EUR*Model!N$15</f>
        <v>0</v>
      </c>
      <c r="AF83" s="8" t="n">
        <f aca="false">Model!$X$45*EUR*Model!O$15</f>
        <v>0</v>
      </c>
      <c r="AG83" s="8" t="n">
        <f aca="false">Model!$X$45*EUR*Model!P$15</f>
        <v>0</v>
      </c>
      <c r="AH83" s="8" t="n">
        <f aca="false">Model!$X$45*EUR*Model!Q$15</f>
        <v>0</v>
      </c>
      <c r="AI83" s="8" t="n">
        <f aca="false">Model!$X$45*EUR*Model!R$15</f>
        <v>0</v>
      </c>
    </row>
    <row r="84" customFormat="false" ht="15" hidden="false" customHeight="false" outlineLevel="0" collapsed="false">
      <c r="A84" s="4" t="s">
        <v>161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f aca="false">Model!$Y$45*EUR*Model!G$15</f>
        <v>0</v>
      </c>
      <c r="Z84" s="8" t="n">
        <f aca="false">Model!$Y$45*EUR*Model!H$15</f>
        <v>0</v>
      </c>
      <c r="AA84" s="8" t="n">
        <f aca="false">Model!$Y$45*EUR*Model!I$15</f>
        <v>0</v>
      </c>
      <c r="AB84" s="8" t="n">
        <f aca="false">Model!$Y$45*EUR*Model!J$15</f>
        <v>0</v>
      </c>
      <c r="AC84" s="8" t="n">
        <f aca="false">Model!$Y$45*EUR*Model!K$15</f>
        <v>0</v>
      </c>
      <c r="AD84" s="8" t="n">
        <f aca="false">Model!$Y$45*EUR*Model!L$15</f>
        <v>0</v>
      </c>
      <c r="AE84" s="8" t="n">
        <f aca="false">Model!$Y$45*EUR*Model!M$15</f>
        <v>0</v>
      </c>
      <c r="AF84" s="8" t="n">
        <f aca="false">Model!$Y$45*EUR*Model!N$15</f>
        <v>0</v>
      </c>
      <c r="AG84" s="8" t="n">
        <f aca="false">Model!$Y$45*EUR*Model!O$15</f>
        <v>0</v>
      </c>
      <c r="AH84" s="8" t="n">
        <f aca="false">Model!$Y$45*EUR*Model!P$15</f>
        <v>0</v>
      </c>
      <c r="AI84" s="8" t="n">
        <f aca="false">Model!$Y$45*EUR*Model!Q$15</f>
        <v>0</v>
      </c>
    </row>
    <row r="85" customFormat="false" ht="15" hidden="false" customHeight="false" outlineLevel="0" collapsed="false">
      <c r="A85" s="4" t="s">
        <v>162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f aca="false">Model!$Z$45*EUR*Model!G$15</f>
        <v>0</v>
      </c>
      <c r="AA85" s="8" t="n">
        <f aca="false">Model!$Z$45*EUR*Model!H$15</f>
        <v>0</v>
      </c>
      <c r="AB85" s="8" t="n">
        <f aca="false">Model!$Z$45*EUR*Model!I$15</f>
        <v>0</v>
      </c>
      <c r="AC85" s="8" t="n">
        <f aca="false">Model!$Z$45*EUR*Model!J$15</f>
        <v>0</v>
      </c>
      <c r="AD85" s="8" t="n">
        <f aca="false">Model!$Z$45*EUR*Model!K$15</f>
        <v>0</v>
      </c>
      <c r="AE85" s="8" t="n">
        <f aca="false">Model!$Z$45*EUR*Model!L$15</f>
        <v>0</v>
      </c>
      <c r="AF85" s="8" t="n">
        <f aca="false">Model!$Z$45*EUR*Model!M$15</f>
        <v>0</v>
      </c>
      <c r="AG85" s="8" t="n">
        <f aca="false">Model!$Z$45*EUR*Model!N$15</f>
        <v>0</v>
      </c>
      <c r="AH85" s="8" t="n">
        <f aca="false">Model!$Z$45*EUR*Model!O$15</f>
        <v>0</v>
      </c>
      <c r="AI85" s="8" t="n">
        <f aca="false">Model!$Z$45*EUR*Model!P$15</f>
        <v>0</v>
      </c>
    </row>
    <row r="86" customFormat="false" ht="15" hidden="false" customHeight="false" outlineLevel="0" collapsed="false">
      <c r="A86" s="4" t="s">
        <v>163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f aca="false">Model!$AA$45*EUR*Model!G$15</f>
        <v>0</v>
      </c>
      <c r="AB86" s="8" t="n">
        <f aca="false">Model!$AA$45*EUR*Model!H$15</f>
        <v>0</v>
      </c>
      <c r="AC86" s="8" t="n">
        <f aca="false">Model!$AA$45*EUR*Model!I$15</f>
        <v>0</v>
      </c>
      <c r="AD86" s="8" t="n">
        <f aca="false">Model!$AA$45*EUR*Model!J$15</f>
        <v>0</v>
      </c>
      <c r="AE86" s="8" t="n">
        <f aca="false">Model!$AA$45*EUR*Model!K$15</f>
        <v>0</v>
      </c>
      <c r="AF86" s="8" t="n">
        <f aca="false">Model!$AA$45*EUR*Model!L$15</f>
        <v>0</v>
      </c>
      <c r="AG86" s="8" t="n">
        <f aca="false">Model!$AA$45*EUR*Model!M$15</f>
        <v>0</v>
      </c>
      <c r="AH86" s="8" t="n">
        <f aca="false">Model!$AA$45*EUR*Model!N$15</f>
        <v>0</v>
      </c>
      <c r="AI86" s="8" t="n">
        <f aca="false">Model!$AA$45*EUR*Model!O$15</f>
        <v>0</v>
      </c>
    </row>
    <row r="87" customFormat="false" ht="15" hidden="false" customHeight="false" outlineLevel="0" collapsed="false">
      <c r="A87" s="4" t="s">
        <v>164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f aca="false">Model!$AB$45*EUR*Model!G$15</f>
        <v>0</v>
      </c>
      <c r="AC87" s="8" t="n">
        <f aca="false">Model!$AB$45*EUR*Model!H$15</f>
        <v>0</v>
      </c>
      <c r="AD87" s="8" t="n">
        <f aca="false">Model!$AB$45*EUR*Model!I$15</f>
        <v>0</v>
      </c>
      <c r="AE87" s="8" t="n">
        <f aca="false">Model!$AB$45*EUR*Model!J$15</f>
        <v>0</v>
      </c>
      <c r="AF87" s="8" t="n">
        <f aca="false">Model!$AB$45*EUR*Model!K$15</f>
        <v>0</v>
      </c>
      <c r="AG87" s="8" t="n">
        <f aca="false">Model!$AB$45*EUR*Model!L$15</f>
        <v>0</v>
      </c>
      <c r="AH87" s="8" t="n">
        <f aca="false">Model!$AB$45*EUR*Model!M$15</f>
        <v>0</v>
      </c>
      <c r="AI87" s="8" t="n">
        <f aca="false">Model!$AB$45*EUR*Model!N$15</f>
        <v>0</v>
      </c>
    </row>
    <row r="88" customFormat="false" ht="15" hidden="false" customHeight="false" outlineLevel="0" collapsed="false">
      <c r="A88" s="4" t="s">
        <v>165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0</v>
      </c>
      <c r="AB88" s="8" t="n">
        <v>0</v>
      </c>
      <c r="AC88" s="8" t="n">
        <f aca="false">Model!$AC$45*EUR*Model!G$15</f>
        <v>0</v>
      </c>
      <c r="AD88" s="8" t="n">
        <f aca="false">Model!$AC$45*EUR*Model!H$15</f>
        <v>0</v>
      </c>
      <c r="AE88" s="8" t="n">
        <f aca="false">Model!$AC$45*EUR*Model!I$15</f>
        <v>0</v>
      </c>
      <c r="AF88" s="8" t="n">
        <f aca="false">Model!$AC$45*EUR*Model!J$15</f>
        <v>0</v>
      </c>
      <c r="AG88" s="8" t="n">
        <f aca="false">Model!$AC$45*EUR*Model!K$15</f>
        <v>0</v>
      </c>
      <c r="AH88" s="8" t="n">
        <f aca="false">Model!$AC$45*EUR*Model!L$15</f>
        <v>0</v>
      </c>
      <c r="AI88" s="8" t="n">
        <f aca="false">Model!$AC$45*EUR*Model!M$15</f>
        <v>0</v>
      </c>
    </row>
    <row r="89" customFormat="false" ht="15" hidden="false" customHeight="false" outlineLevel="0" collapsed="false">
      <c r="A89" s="4" t="s">
        <v>166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f aca="false">Model!$AD$45*EUR*Model!G$15</f>
        <v>0</v>
      </c>
      <c r="AE89" s="8" t="n">
        <f aca="false">Model!$AD$45*EUR*Model!H$15</f>
        <v>0</v>
      </c>
      <c r="AF89" s="8" t="n">
        <f aca="false">Model!$AD$45*EUR*Model!I$15</f>
        <v>0</v>
      </c>
      <c r="AG89" s="8" t="n">
        <f aca="false">Model!$AD$45*EUR*Model!J$15</f>
        <v>0</v>
      </c>
      <c r="AH89" s="8" t="n">
        <f aca="false">Model!$AD$45*EUR*Model!K$15</f>
        <v>0</v>
      </c>
      <c r="AI89" s="8" t="n">
        <f aca="false">Model!$AD$45*EUR*Model!L$15</f>
        <v>0</v>
      </c>
    </row>
    <row r="90" customFormat="false" ht="15" hidden="false" customHeight="false" outlineLevel="0" collapsed="false">
      <c r="A90" s="4" t="s">
        <v>167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f aca="false">Model!$AE$45*EUR*Model!G$15</f>
        <v>0</v>
      </c>
      <c r="AF90" s="8" t="n">
        <f aca="false">Model!$AE$45*EUR*Model!H$15</f>
        <v>0</v>
      </c>
      <c r="AG90" s="8" t="n">
        <f aca="false">Model!$AE$45*EUR*Model!I$15</f>
        <v>0</v>
      </c>
      <c r="AH90" s="8" t="n">
        <f aca="false">Model!$AE$45*EUR*Model!J$15</f>
        <v>0</v>
      </c>
      <c r="AI90" s="8" t="n">
        <f aca="false">Model!$AE$45*EUR*Model!K$15</f>
        <v>0</v>
      </c>
    </row>
    <row r="91" customFormat="false" ht="15" hidden="false" customHeight="false" outlineLevel="0" collapsed="false">
      <c r="A91" s="4" t="s">
        <v>168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f aca="false">Model!$AF$45*EUR*Model!G$15</f>
        <v>0</v>
      </c>
      <c r="AG91" s="8" t="n">
        <f aca="false">Model!$AF$45*EUR*Model!H$15</f>
        <v>0</v>
      </c>
      <c r="AH91" s="8" t="n">
        <f aca="false">Model!$AF$45*EUR*Model!I$15</f>
        <v>0</v>
      </c>
      <c r="AI91" s="8" t="n">
        <f aca="false">Model!$AF$45*EUR*Model!J$15</f>
        <v>0</v>
      </c>
    </row>
    <row r="92" customFormat="false" ht="15" hidden="false" customHeight="false" outlineLevel="0" collapsed="false">
      <c r="A92" s="4" t="s">
        <v>169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0</v>
      </c>
      <c r="AC92" s="8" t="n">
        <v>0</v>
      </c>
      <c r="AD92" s="8" t="n">
        <v>0</v>
      </c>
      <c r="AE92" s="8" t="n">
        <v>0</v>
      </c>
      <c r="AF92" s="8" t="n">
        <v>0</v>
      </c>
      <c r="AG92" s="8" t="n">
        <f aca="false">Model!$AG$45*EUR*Model!G$15</f>
        <v>0</v>
      </c>
      <c r="AH92" s="8" t="n">
        <f aca="false">Model!$AG$45*EUR*Model!H$15</f>
        <v>0</v>
      </c>
      <c r="AI92" s="8" t="n">
        <f aca="false">Model!$AG$45*EUR*Model!I$15</f>
        <v>0</v>
      </c>
    </row>
    <row r="93" customFormat="false" ht="15" hidden="false" customHeight="false" outlineLevel="0" collapsed="false">
      <c r="A93" s="4" t="s">
        <v>170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f aca="false">Model!$AH$45*EUR*Model!G$15</f>
        <v>0</v>
      </c>
      <c r="AI93" s="8" t="n">
        <f aca="false">Model!$AH$45*EUR*Model!H$15</f>
        <v>0</v>
      </c>
    </row>
    <row r="94" customFormat="false" ht="15" hidden="false" customHeight="false" outlineLevel="0" collapsed="false">
      <c r="A94" s="4" t="s">
        <v>171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0</v>
      </c>
      <c r="AB94" s="8" t="n">
        <v>0</v>
      </c>
      <c r="AC94" s="8" t="n">
        <v>0</v>
      </c>
      <c r="AD94" s="8" t="n">
        <v>0</v>
      </c>
      <c r="AE94" s="8" t="n">
        <v>0</v>
      </c>
      <c r="AF94" s="8" t="n">
        <v>0</v>
      </c>
      <c r="AG94" s="8" t="n">
        <v>0</v>
      </c>
      <c r="AH94" s="8" t="n">
        <v>0</v>
      </c>
      <c r="AI94" s="8" t="n">
        <f aca="false">Model!$AI$45*EUR*Model!G$15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2026-09-29T09:44:21Z</dcterms:created>
  <dc:creator>openpyxl</dc:creator>
  <dc:description/>
  <dc:language>en-US</dc:language>
  <cp:lastModifiedBy/>
  <dcterms:modified xsi:type="dcterms:W3CDTF">2026-09-29T09:45:21Z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
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nputs" sheetId="2" state="visible" r:id="rId4"/>
    <sheet name="Prices" sheetId="3" state="visible" r:id="rId5"/>
    <sheet name="CEG_Assets" sheetId="4" state="visible" r:id="rId6"/>
    <sheet name="CEG_Model" sheetId="5" state="visible" r:id="rId7"/>
    <sheet name="VST_Assets" sheetId="6" state="visible" r:id="rId8"/>
    <sheet name="README" sheetId="7" state="visible" r:id="rId9"/>
    <sheet name="VST_Model" sheetId="8" state="visible" r:id="rId10"/>
  </sheets>
  <definedNames>
    <definedName function="false" hidden="false" name="CapCY27" vbProcedure="false">Inputs!$B$34</definedName>
    <definedName function="false" hidden="false" name="CapCY28" vbProcedure="false">Inputs!$C$34</definedName>
    <definedName function="false" hidden="false" name="CapDY2829" vbProcedure="false">Inputs!$D$34</definedName>
    <definedName function="false" hidden="false" name="CEG_CapexAdj" vbProcedure="false">Inputs!$B$94</definedName>
    <definedName function="false" hidden="false" name="CEG_Claims" vbProcedure="false">Inputs!$B$113</definedName>
    <definedName function="false" hidden="false" name="CEG_CoD" vbProcedure="false">Inputs!$B$87</definedName>
    <definedName function="false" hidden="false" name="CEG_ExtraShares" vbProcedure="false">Inputs!$B$82</definedName>
    <definedName function="false" hidden="false" name="CEG_FuelAdj" vbProcedure="false">Inputs!$B$92</definedName>
    <definedName function="false" hidden="false" name="CEG_Haircut" vbProcedure="false">Inputs!$B$96</definedName>
    <definedName function="false" hidden="false" name="CEG_NetDebt" vbProcedure="false">Inputs!$B$86</definedName>
    <definedName function="false" hidden="false" name="CEG_OH" vbProcedure="false">Inputs!$B$83</definedName>
    <definedName function="false" hidden="false" name="CEG_OMAdj" vbProcedure="false">Inputs!$B$93</definedName>
    <definedName function="false" hidden="false" name="CEG_OtherVal" vbProcedure="false">Inputs!$B$97</definedName>
    <definedName function="false" hidden="false" name="CEG_PlatEBITDA" vbProcedure="false">Inputs!$B$84</definedName>
    <definedName function="false" hidden="false" name="CEG_PlatMult" vbProcedure="false">Inputs!$B$85</definedName>
    <definedName function="false" hidden="false" name="CEG_PPAAdj" vbProcedure="false">Inputs!$B$95</definedName>
    <definedName function="false" hidden="false" name="CEG_Pref" vbProcedure="false">Inputs!$B$88</definedName>
    <definedName function="false" hidden="false" name="CEG_PrefRate" vbProcedure="false">Inputs!$B$89</definedName>
    <definedName function="false" hidden="false" name="CEG_Price" vbProcedure="false">Inputs!$B$80</definedName>
    <definedName function="false" hidden="false" name="CEG_RenYield" vbProcedure="false">Inputs!$B$90</definedName>
    <definedName function="false" hidden="false" name="CEG_RevAdj" vbProcedure="false">Inputs!$B$91</definedName>
    <definedName function="false" hidden="false" name="CEG_Shares" vbProcedure="false">Inputs!$B$81</definedName>
    <definedName function="false" hidden="false" name="CEG_W1" vbProcedure="false">Inputs!$B$98</definedName>
    <definedName function="false" hidden="false" name="CEG_W2" vbProcedure="false">Inputs!$B$99</definedName>
    <definedName function="false" hidden="false" name="CEG_W3" vbProcedure="false">Inputs!$B$100</definedName>
    <definedName function="false" hidden="false" name="DCTWh30" vbProcedure="false">Inputs!$F$44</definedName>
    <definedName function="false" hidden="false" name="DCTWh35" vbProcedure="false">Inputs!$F$45</definedName>
    <definedName function="false" hidden="false" name="EquityDisc" vbProcedure="false">Inputs!$B$13</definedName>
    <definedName function="false" hidden="false" name="ERCOTScen" vbProcedure="false">Inputs!$B$5</definedName>
    <definedName function="false" hidden="false" name="FuelAdder" vbProcedure="false">Inputs!$B$22</definedName>
    <definedName function="false" hidden="false" name="FwdERC27" vbProcedure="false">Inputs!$B$33</definedName>
    <definedName function="false" hidden="false" name="FwdERC28" vbProcedure="false">Inputs!$C$33</definedName>
    <definedName function="false" hidden="false" name="FwdERC29" vbProcedure="false">Inputs!$D$33</definedName>
    <definedName function="false" hidden="false" name="FwdPJM27" vbProcedure="false">Inputs!$B$32</definedName>
    <definedName function="false" hidden="false" name="FwdPJM28" vbProcedure="false">Inputs!$C$32</definedName>
    <definedName function="false" hidden="false" name="FwdPJM29" vbProcedure="false">Inputs!$D$32</definedName>
    <definedName function="false" hidden="false" name="GasShift" vbProcedure="false">Inputs!$B$7</definedName>
    <definedName function="false" hidden="false" name="HH27" vbProcedure="false">Inputs!$B$19</definedName>
    <definedName function="false" hidden="false" name="HH28" vbProcedure="false">Inputs!$B$20</definedName>
    <definedName function="false" hidden="false" name="HHLR" vbProcedure="false">Inputs!$B$21</definedName>
    <definedName function="false" hidden="false" name="Horizon" vbProcedure="false">Inputs!$B$10</definedName>
    <definedName function="false" hidden="false" name="IHRERC" vbProcedure="false">Inputs!$G$39</definedName>
    <definedName function="false" hidden="false" name="IHRPJM" vbProcedure="false">Inputs!$F$38</definedName>
    <definedName function="false" hidden="false" name="IHRPJMBase" vbProcedure="false">Inputs!$C$38</definedName>
    <definedName function="false" hidden="false" name="Infl" vbProcedure="false">Inputs!$B$17</definedName>
    <definedName function="false" hidden="false" name="NucBasis" vbProcedure="false">Inputs!$B$9</definedName>
    <definedName function="false" hidden="false" name="NucRC" vbProcedure="false">Inputs!$C$76</definedName>
    <definedName function="false" hidden="false" name="OHDisc" vbProcedure="false">Inputs!$B$27</definedName>
    <definedName function="false" hidden="false" name="OHYears" vbProcedure="false">Inputs!$B$28</definedName>
    <definedName function="false" hidden="false" name="OtherCap" vbProcedure="false">Inputs!$F$41</definedName>
    <definedName function="false" hidden="false" name="OtherCapBase" vbProcedure="false">Inputs!$C$41</definedName>
    <definedName function="false" hidden="false" name="PJMCap" vbProcedure="false">Inputs!$F$46</definedName>
    <definedName function="false" hidden="false" name="PJMCapOverride" vbProcedure="false">Inputs!$B$8</definedName>
    <definedName function="false" hidden="false" name="PJMCapScen" vbProcedure="false">Inputs!$F$40</definedName>
    <definedName function="false" hidden="false" name="PJMWLR" vbProcedure="false">Prices!$C$8</definedName>
    <definedName function="false" hidden="false" name="PJMWLRBase" vbProcedure="false">Prices!$C$16</definedName>
    <definedName function="false" hidden="false" name="PriceShift" vbProcedure="false">Inputs!$B$6</definedName>
    <definedName function="false" hidden="false" name="PTCBase" vbProcedure="false">Inputs!$B$25</definedName>
    <definedName function="false" hidden="false" name="PTCCredit" vbProcedure="false">Inputs!$B$23</definedName>
    <definedName function="false" hidden="false" name="PTCLast" vbProcedure="false">Inputs!$B$26</definedName>
    <definedName function="false" hidden="false" name="PTCThresh" vbProcedure="false">Inputs!$B$24</definedName>
    <definedName function="false" hidden="false" name="RCYears" vbProcedure="false">Inputs!$B$11</definedName>
    <definedName function="false" hidden="false" name="Scarcity" vbProcedure="false">Inputs!$F$43</definedName>
    <definedName function="false" hidden="false" name="ScarcityERC" vbProcedure="false">Inputs!$G$43</definedName>
    <definedName function="false" hidden="false" name="Scenario" vbProcedure="false">Inputs!$B$4</definedName>
    <definedName function="false" hidden="false" name="TargetReturn" vbProcedure="false">Inputs!$B$12</definedName>
    <definedName function="false" hidden="false" name="TaxRate" vbProcedure="false">Inputs!$B$18</definedName>
    <definedName function="false" hidden="false" name="ValDate" vbProcedure="false">Inputs!$B$16</definedName>
    <definedName function="false" hidden="false" name="VST_CapexAdj" vbProcedure="false">Inputs!$C$94</definedName>
    <definedName function="false" hidden="false" name="VST_Claims" vbProcedure="false">Inputs!$B$125</definedName>
    <definedName function="false" hidden="false" name="VST_CoD" vbProcedure="false">Inputs!$C$87</definedName>
    <definedName function="false" hidden="false" name="VST_ExtraShares" vbProcedure="false">Inputs!$C$82</definedName>
    <definedName function="false" hidden="false" name="VST_FuelAdj" vbProcedure="false">Inputs!$C$92</definedName>
    <definedName function="false" hidden="false" name="VST_Haircut" vbProcedure="false">Inputs!$C$96</definedName>
    <definedName function="false" hidden="false" name="VST_NetDebt" vbProcedure="false">Inputs!$C$86</definedName>
    <definedName function="false" hidden="false" name="VST_OH" vbProcedure="false">Inputs!$C$83</definedName>
    <definedName function="false" hidden="false" name="VST_OMAdj" vbProcedure="false">Inputs!$C$93</definedName>
    <definedName function="false" hidden="false" name="VST_OtherVal" vbProcedure="false">Inputs!$C$97</definedName>
    <definedName function="false" hidden="false" name="VST_PlatEBITDA" vbProcedure="false">Inputs!$C$84</definedName>
    <definedName function="false" hidden="false" name="VST_PlatMult" vbProcedure="false">Inputs!$C$85</definedName>
    <definedName function="false" hidden="false" name="VST_PPAAdj" vbProcedure="false">Inputs!$C$95</definedName>
    <definedName function="false" hidden="false" name="VST_Pref" vbProcedure="false">Inputs!$C$88</definedName>
    <definedName function="false" hidden="false" name="VST_PrefRate" vbProcedure="false">Inputs!$C$89</definedName>
    <definedName function="false" hidden="false" name="VST_Price" vbProcedure="false">Inputs!$C$80</definedName>
    <definedName function="false" hidden="false" name="VST_RenYield" vbProcedure="false">Inputs!$C$90</definedName>
    <definedName function="false" hidden="false" name="VST_RevAdj" vbProcedure="false">Inputs!$C$91</definedName>
    <definedName function="false" hidden="false" name="VST_Shares" vbProcedure="false">Inputs!$C$81</definedName>
    <definedName function="false" hidden="false" name="VST_W1" vbProcedure="false">Inputs!$C$98</definedName>
    <definedName function="false" hidden="false" name="VST_W2" vbProcedure="false">Inputs!$C$99</definedName>
    <definedName function="false" hidden="false" name="VST_W3" vbProcedure="false">Inputs!$C$100</definedName>
    <definedName function="false" hidden="false" name="WestCap" vbProcedure="false">Inputs!$F$42</definedName>
    <definedName function="false" hidden="false" name="WestCapBase" vbProcedure="false">Inputs!$C$42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34" authorId="0">
      <text>
        <r>
          <rPr>
            <sz val="10"/>
            <rFont val="Arial"/>
            <family val="2"/>
          </rPr>
          <t xml:space="preserve">2029 column = 2028/29 delivery-year price; CY2029 blends 5/12 of it with 7/12 of long-run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D3" authorId="0">
      <text>
        <r>
          <rPr>
            <sz val="10"/>
            <rFont val="Arial"/>
            <family val="2"/>
          </rPr>
          <t xml:space="preserve">Undisclosed - analyst estimate</t>
        </r>
      </text>
    </comment>
    <comment ref="AD4" authorId="0">
      <text>
        <r>
          <rPr>
            <sz val="10"/>
            <rFont val="Arial"/>
            <family val="2"/>
          </rPr>
          <t xml:space="preserve">Undisclosed - analyst estimate</t>
        </r>
      </text>
    </comment>
    <comment ref="AD7" authorId="0">
      <text>
        <r>
          <rPr>
            <sz val="10"/>
            <rFont val="Arial"/>
            <family val="2"/>
          </rPr>
          <t xml:space="preserve">Undisclosed - analyst estimate</t>
        </r>
      </text>
    </comment>
    <comment ref="AD17" authorId="0">
      <text>
        <r>
          <rPr>
            <sz val="10"/>
            <rFont val="Arial"/>
            <family val="2"/>
          </rPr>
          <t xml:space="preserve">Undisclosed - analyst estimate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D2" authorId="0">
      <text>
        <r>
          <rPr>
            <sz val="10"/>
            <rFont val="Arial"/>
            <family val="2"/>
          </rPr>
          <t xml:space="preserve">Undisclosed - analyst estimate</t>
        </r>
      </text>
    </comment>
    <comment ref="AD3" authorId="0">
      <text>
        <r>
          <rPr>
            <sz val="10"/>
            <rFont val="Arial"/>
            <family val="2"/>
          </rPr>
          <t xml:space="preserve">Undisclosed - analyst estimate</t>
        </r>
      </text>
    </comment>
  </commentList>
</comments>
</file>

<file path=xl/sharedStrings.xml><?xml version="1.0" encoding="utf-8"?>
<sst xmlns="http://schemas.openxmlformats.org/spreadsheetml/2006/main" count="2520" uniqueCount="520">
  <si>
    <t xml:space="preserve">SUMMARY - price target, NAV, FCF and replacement cost (recalculates from Inputs)</t>
  </si>
  <si>
    <t xml:space="preserve">Item</t>
  </si>
  <si>
    <t xml:space="preserve">CEG</t>
  </si>
  <si>
    <t xml:space="preserve">VST</t>
  </si>
  <si>
    <t xml:space="preserve">Notes</t>
  </si>
  <si>
    <t xml:space="preserve">Market</t>
  </si>
  <si>
    <t xml:space="preserve">Share price ($)</t>
  </si>
  <si>
    <t xml:space="preserve">Shares incl. pending issuance (mm)</t>
  </si>
  <si>
    <t xml:space="preserve">Market cap ($mm)</t>
  </si>
  <si>
    <t xml:space="preserve">Net debt, preferred &amp; other claims ($mm)</t>
  </si>
  <si>
    <t xml:space="preserve">Enterprise value ($mm)</t>
  </si>
  <si>
    <t xml:space="preserve">Owned MW (pro forma)</t>
  </si>
  <si>
    <t xml:space="preserve">EV per kW ($)</t>
  </si>
  <si>
    <t xml:space="preserve">1. Asset NAV (sum of asset cash-flow values)</t>
  </si>
  <si>
    <t xml:space="preserve">Gross asset value ($mm)</t>
  </si>
  <si>
    <t xml:space="preserve">  GAV per kW ($)</t>
  </si>
  <si>
    <t xml:space="preserve">Less: capitalised corporate overhead ($mm)</t>
  </si>
  <si>
    <t xml:space="preserve">Equity NAV - generation only ($mm)</t>
  </si>
  <si>
    <t xml:space="preserve">NAV per share - generation only ($)</t>
  </si>
  <si>
    <t xml:space="preserve">Add: retail/platform value ($mm)</t>
  </si>
  <si>
    <t xml:space="preserve">Earnings-based; shown separately</t>
  </si>
  <si>
    <t xml:space="preserve">Add: other value - growth / site options ($mm)</t>
  </si>
  <si>
    <t xml:space="preserve">Input on Inputs; 0 by default</t>
  </si>
  <si>
    <t xml:space="preserve">NAV per share incl. platform &amp; other ($)</t>
  </si>
  <si>
    <t xml:space="preserve">2. Forward value: FCF generated to horizon + NAV at horizon</t>
  </si>
  <si>
    <t xml:space="preserve">Cumulative equity FCF to horizon ($mm, after haircut)</t>
  </si>
  <si>
    <t xml:space="preserve">Gross asset value at horizon ($mm)</t>
  </si>
  <si>
    <t xml:space="preserve">Less: overhead at horizon ($mm)</t>
  </si>
  <si>
    <t xml:space="preserve">Add: platform value at horizon ($mm)</t>
  </si>
  <si>
    <t xml:space="preserve">Equity NAV at horizon incl. other value ($mm)</t>
  </si>
  <si>
    <t xml:space="preserve">Value per share at horizon = FCF + NAV ($)</t>
  </si>
  <si>
    <t xml:space="preserve">Years to horizon</t>
  </si>
  <si>
    <t xml:space="preserve">Implied annual return from current price</t>
  </si>
  <si>
    <t xml:space="preserve">LEVERED EQUITY VALUE today: PV of FCF to horizon + PV of NAV at horizon ($/share)</t>
  </si>
  <si>
    <t xml:space="preserve">Discounted at the equity rate; credits cheap debt and the interest tax shield</t>
  </si>
  <si>
    <t xml:space="preserve">  of which cheap debt &amp; interest tax shield vs asset NAV ($/share)</t>
  </si>
  <si>
    <t xml:space="preserve">Entry price for target return (fat pitch, $)</t>
  </si>
  <si>
    <t xml:space="preserve">3. Replacement cost + FCF</t>
  </si>
  <si>
    <t xml:space="preserve">Depreciated replacement cost of fleet ($mm)</t>
  </si>
  <si>
    <t xml:space="preserve">Less claims, plus other value = equity replacement value ($mm)</t>
  </si>
  <si>
    <t xml:space="preserve">PV of equity FCF over replacement lead time ($mm)</t>
  </si>
  <si>
    <t xml:space="preserve">Replacement cost + FCF per share ($)</t>
  </si>
  <si>
    <t xml:space="preserve">Tobin's q (GAV / replacement cost)</t>
  </si>
  <si>
    <t xml:space="preserve">Market EV / replacement cost</t>
  </si>
  <si>
    <t xml:space="preserve">4. PRICE TARGET (weighted blend - weights on Inputs)</t>
  </si>
  <si>
    <t xml:space="preserve">PRICE TARGET ($)</t>
  </si>
  <si>
    <t xml:space="preserve">Upside / (downside) vs current price</t>
  </si>
  <si>
    <t xml:space="preserve">5. Revenue, margins and FCF by year ($mm)</t>
  </si>
  <si>
    <t xml:space="preserve">Line</t>
  </si>
  <si>
    <t xml:space="preserve">  Revenue</t>
  </si>
  <si>
    <t xml:space="preserve">  Gross margin</t>
  </si>
  <si>
    <t xml:space="preserve">  Gross margin %</t>
  </si>
  <si>
    <t xml:space="preserve">  Asset EBITDA</t>
  </si>
  <si>
    <t xml:space="preserve">  EBITDA margin %</t>
  </si>
  <si>
    <t xml:space="preserve">  Asset cash margin</t>
  </si>
  <si>
    <t xml:space="preserve">  Equity FCF</t>
  </si>
  <si>
    <t xml:space="preserve">  FCF yield on market cap</t>
  </si>
  <si>
    <t xml:space="preserve">6. Scenario snapshot at default inputs (STATIC values - rerun excel_snapshot.py or switch the Scenario cell to update)</t>
  </si>
  <si>
    <t xml:space="preserve">NAV/sh gen-only</t>
  </si>
  <si>
    <t xml:space="preserve">NAV/sh incl. platform</t>
  </si>
  <si>
    <t xml:space="preserve">Levered equity value</t>
  </si>
  <si>
    <t xml:space="preserve">FCF + NAV at horizon</t>
  </si>
  <si>
    <t xml:space="preserve">Implied return/yr</t>
  </si>
  <si>
    <t xml:space="preserve">Fat-pitch entry</t>
  </si>
  <si>
    <t xml:space="preserve">Replacement + FCF</t>
  </si>
  <si>
    <t xml:space="preserve">Price target</t>
  </si>
  <si>
    <t xml:space="preserve">Up/(down)side</t>
  </si>
  <si>
    <t xml:space="preserve">Low</t>
  </si>
  <si>
    <t xml:space="preserve">Base</t>
  </si>
  <si>
    <t xml:space="preserve">High</t>
  </si>
  <si>
    <t xml:space="preserve">Extreme</t>
  </si>
  <si>
    <t xml:space="preserve">Base, ERCOT at High</t>
  </si>
  <si>
    <t xml:space="preserve">Bull bridge: Base, ERCOT High, retail 10x</t>
  </si>
  <si>
    <t xml:space="preserve">INPUTS - blue = input, yellow = key lever</t>
  </si>
  <si>
    <t xml:space="preserve">Control panel</t>
  </si>
  <si>
    <t xml:space="preserve">Scenario (Low / Base / High / Extreme)</t>
  </si>
  <si>
    <t xml:space="preserve">Selects heat rates, capacity prices, peaker scarcity from the scenario table</t>
  </si>
  <si>
    <t xml:space="preserve">ERCOT (Texas) scenario - 'Same' follows the main scenario</t>
  </si>
  <si>
    <t xml:space="preserve">Same</t>
  </si>
  <si>
    <t xml:space="preserve">Lets ERCOT tighten (or loosen) independently of PJM: sets ERCOT heat rate and ERCOT peaker scarcity</t>
  </si>
  <si>
    <t xml:space="preserve">Long-run power price shift ($/MWh, 2026$, all hubs)</t>
  </si>
  <si>
    <t xml:space="preserve">Added to every hub's long-run ATC from 2030 (half in 2029)</t>
  </si>
  <si>
    <t xml:space="preserve">Henry Hub shift ($/MMBtu, all years)</t>
  </si>
  <si>
    <t xml:space="preserve">Moves gas costs AND power prices (price = heat rate x gas)</t>
  </si>
  <si>
    <t xml:space="preserve">PJM capacity price override ($/MW-day, 2026$; blank = scenario)</t>
  </si>
  <si>
    <t xml:space="preserve">Nuclear replacement-cost basis (1-4, see table below)</t>
  </si>
  <si>
    <t xml:space="preserve">1 gas-equivalent / 2 gas + clean premium / 3 NOAK AP1000 / 4 EPRI next AP1000</t>
  </si>
  <si>
    <t xml:space="preserve">FCF / forward-value horizon (last year of FCF)</t>
  </si>
  <si>
    <t xml:space="preserve">Replacement-cost FCF years added (build lead time)</t>
  </si>
  <si>
    <t xml:space="preserve">Years of FCF added on top of depreciated replacement cost</t>
  </si>
  <si>
    <t xml:space="preserve">Target return for entry price (fat pitch)</t>
  </si>
  <si>
    <t xml:space="preserve">Equity discount rate (price-target forward leg, replacement FCF)</t>
  </si>
  <si>
    <t xml:space="preserve">Global economics</t>
  </si>
  <si>
    <t xml:space="preserve">Valuation date (fractional year)</t>
  </si>
  <si>
    <t xml:space="preserve">30-Sep-2026</t>
  </si>
  <si>
    <t xml:space="preserve">Inflation / escalator</t>
  </si>
  <si>
    <t xml:space="preserve">Cash tax rate on asset cash flow</t>
  </si>
  <si>
    <t xml:space="preserve">21% federal + state less depreciation shield (assumption)</t>
  </si>
  <si>
    <t xml:space="preserve">Henry Hub 2027 (2026$/MMBtu)</t>
  </si>
  <si>
    <t xml:space="preserve">Between Sep-26 prompt $2.79 and EIA STEO ~$4.60 for 2027</t>
  </si>
  <si>
    <t xml:space="preserve">Henry Hub 2028 (2026$/MMBtu)</t>
  </si>
  <si>
    <t xml:space="preserve">Henry Hub long run (2026$/MMBtu)</t>
  </si>
  <si>
    <t xml:space="preserve">Delivered-fuel adder for gas plants ($/MMBtu)</t>
  </si>
  <si>
    <t xml:space="preserve">Transport + winter fuel/power mismatch (estimate)</t>
  </si>
  <si>
    <t xml:space="preserve">45U max credit ($/MWh, 2024$)</t>
  </si>
  <si>
    <t xml:space="preserve">CRS IN12557</t>
  </si>
  <si>
    <t xml:space="preserve">45U gross-receipts threshold ($/MWh, 2024$)</t>
  </si>
  <si>
    <t xml:space="preserve">45U base year</t>
  </si>
  <si>
    <t xml:space="preserve">45U last year</t>
  </si>
  <si>
    <t xml:space="preserve">Corporate overhead discount rate</t>
  </si>
  <si>
    <t xml:space="preserve">Corporate overhead years capitalised</t>
  </si>
  <si>
    <t xml:space="preserve">Forward market (nominal $/MWh ATC; PJM capacity $/MW-day)</t>
  </si>
  <si>
    <t xml:space="preserve">2027</t>
  </si>
  <si>
    <t xml:space="preserve">2028</t>
  </si>
  <si>
    <t xml:space="preserve">2029</t>
  </si>
  <si>
    <t xml:space="preserve">PJM West ATC forward</t>
  </si>
  <si>
    <t xml:space="preserve">Derived from on-peak Cal-27 $83.90 / Cal-28 $85.35 / Cal-29 $81.50 (8-Sep-26) x ~0.86</t>
  </si>
  <si>
    <t xml:space="preserve">ERCOT North ATC forward</t>
  </si>
  <si>
    <t xml:space="preserve">Estimate: EIA STEO 2027 $47.39; forwards reported &gt;$50</t>
  </si>
  <si>
    <t xml:space="preserve">PJM capacity, calendar year (blend of delivery years)</t>
  </si>
  <si>
    <t xml:space="preserve">PJM BRA: 26/27 $329.17, 27/28 $333.44, 28/29 $325 (cap)</t>
  </si>
  <si>
    <t xml:space="preserve">Scenario table (long-run, 2026$)</t>
  </si>
  <si>
    <t xml:space="preserve">Parameter</t>
  </si>
  <si>
    <t xml:space="preserve">ACTIVE</t>
  </si>
  <si>
    <t xml:space="preserve">ACTIVE ERCOT</t>
  </si>
  <si>
    <t xml:space="preserve">Implied heat rate PJM (MMBtu/MWh)</t>
  </si>
  <si>
    <t xml:space="preserve">Implied heat rate ERCOT</t>
  </si>
  <si>
    <t xml:space="preserve">PJM capacity ($/MW-day)</t>
  </si>
  <si>
    <t xml:space="preserve">NY/NE/MISO capacity ($/MW-day)</t>
  </si>
  <si>
    <t xml:space="preserve">CAISO RA capacity ($/MW-day)</t>
  </si>
  <si>
    <t xml:space="preserve">Peaker scarcity capture (x ATC)</t>
  </si>
  <si>
    <t xml:space="preserve">US data-center TWh 2030 (memo)</t>
  </si>
  <si>
    <t xml:space="preserve">US data-center TWh 2035 (memo)</t>
  </si>
  <si>
    <t xml:space="preserve">PJM capacity - active (override if set)</t>
  </si>
  <si>
    <t xml:space="preserve">Hubs</t>
  </si>
  <si>
    <t xml:space="preserve">Hub</t>
  </si>
  <si>
    <t xml:space="preserve">Price ratio to PJM West</t>
  </si>
  <si>
    <t xml:space="preserve">Gas basis to HH ($/MMBtu)</t>
  </si>
  <si>
    <t xml:space="preserve">CCGT capacity factor</t>
  </si>
  <si>
    <t xml:space="preserve">CCGT capture (x ATC)</t>
  </si>
  <si>
    <t xml:space="preserve">Nuclear capture (x ATC)</t>
  </si>
  <si>
    <t xml:space="preserve">PJMW</t>
  </si>
  <si>
    <t xml:space="preserve">PJMA</t>
  </si>
  <si>
    <t xml:space="preserve">NIHUB</t>
  </si>
  <si>
    <t xml:space="preserve">MISO</t>
  </si>
  <si>
    <t xml:space="preserve">NY</t>
  </si>
  <si>
    <t xml:space="preserve">NE</t>
  </si>
  <si>
    <t xml:space="preserve">WEST</t>
  </si>
  <si>
    <t xml:space="preserve">ERCOT</t>
  </si>
  <si>
    <t xml:space="preserve">ERCOT prices use their own heat rate (no ratio)</t>
  </si>
  <si>
    <t xml:space="preserve">Technology defaults (asset sheets link here; overwrite per asset if you like)</t>
  </si>
  <si>
    <t xml:space="preserve">Tech</t>
  </si>
  <si>
    <t xml:space="preserve">Capacity factor</t>
  </si>
  <si>
    <t xml:space="preserve">Capture (x ATC)</t>
  </si>
  <si>
    <t xml:space="preserve">Heat rate</t>
  </si>
  <si>
    <t xml:space="preserve">Fuel price override (2026$/MMBtu)</t>
  </si>
  <si>
    <t xml:space="preserve">Variable O&amp;M ($/MWh)</t>
  </si>
  <si>
    <t xml:space="preserve">Fuel ($/MWh)</t>
  </si>
  <si>
    <t xml:space="preserve">O&amp;M ($/MWh)</t>
  </si>
  <si>
    <t xml:space="preserve">Capex ($/MWh)</t>
  </si>
  <si>
    <t xml:space="preserve">Per-MWh cost escalator</t>
  </si>
  <si>
    <t xml:space="preserve">Fixed O&amp;M ($/kW-yr)</t>
  </si>
  <si>
    <t xml:space="preserve">Sust. capex ($/kW-yr)</t>
  </si>
  <si>
    <t xml:space="preserve">Capacity accreditation</t>
  </si>
  <si>
    <t xml:space="preserve">Merchant discount rate</t>
  </si>
  <si>
    <t xml:space="preserve">Contract discount rate</t>
  </si>
  <si>
    <t xml:space="preserve">Dispatch check (1/0)</t>
  </si>
  <si>
    <t xml:space="preserve">Mothball floor (1/0)</t>
  </si>
  <si>
    <t xml:space="preserve">45U eligible (1/0)</t>
  </si>
  <si>
    <t xml:space="preserve">Replacement cost ($/kW)</t>
  </si>
  <si>
    <t xml:space="preserve">nuclear</t>
  </si>
  <si>
    <t xml:space="preserve">ccgt</t>
  </si>
  <si>
    <t xml:space="preserve">peaker</t>
  </si>
  <si>
    <t xml:space="preserve">coal</t>
  </si>
  <si>
    <t xml:space="preserve">hydro</t>
  </si>
  <si>
    <t xml:space="preserve">geothermal</t>
  </si>
  <si>
    <t xml:space="preserve">renewable</t>
  </si>
  <si>
    <t xml:space="preserve">Notes: nuclear per-MWh cost $35.5 = fuel 5.5 + O&amp;M 22.3 + capex 7.7 (split estimated from NEI 'Nuclear Costs in Context', 2025 avg $36.46/MWh). CCGT CF/capture come from the hub table; peaker capture = scenario scarcity multiple; coal uses a fixed fuel price.</t>
  </si>
  <si>
    <t xml:space="preserve">Nuclear replacement-cost basis ($/kW new build)</t>
  </si>
  <si>
    <t xml:space="preserve">#</t>
  </si>
  <si>
    <t xml:space="preserve">Basis</t>
  </si>
  <si>
    <t xml:space="preserve">$/kW</t>
  </si>
  <si>
    <t xml:space="preserve">Gas-equivalent: new CCGT per accredited MW</t>
  </si>
  <si>
    <t xml:space="preserve">$2,350 x 0.95/0.78</t>
  </si>
  <si>
    <t xml:space="preserve">Gas + clean premium (estimate)</t>
  </si>
  <si>
    <t xml:space="preserve">Gas-equivalent + PV of ~$15/MWh clean premium</t>
  </si>
  <si>
    <t xml:space="preserve">Nth-of-a-kind AP1000 (MIT, 4th plant)</t>
  </si>
  <si>
    <t xml:space="preserve">MIT CANES 2024</t>
  </si>
  <si>
    <t xml:space="preserve">EPRI next AP1000 (base)</t>
  </si>
  <si>
    <t xml:space="preserve">EPRI $9,700-15,100; Vogtle actual ~$17,500-21,700</t>
  </si>
  <si>
    <t xml:space="preserve">Selected</t>
  </si>
  <si>
    <t xml:space="preserve">Company inputs</t>
  </si>
  <si>
    <t xml:space="preserve">Source / note</t>
  </si>
  <si>
    <t xml:space="preserve">CEG 22-Sep-26; VST 25-Sep-26</t>
  </si>
  <si>
    <t xml:space="preserve">Shares outstanding (mm)</t>
  </si>
  <si>
    <t xml:space="preserve">CEG 10-Q cover 31-Jul-26; VST ~336mm Aug-26</t>
  </si>
  <si>
    <t xml:space="preserve">Additional shares from pending deals (mm)</t>
  </si>
  <si>
    <t xml:space="preserve">5mm VST shares to Cogentrix sellers</t>
  </si>
  <si>
    <t xml:space="preserve">Corporate overhead ($mm/yr, 2026$)</t>
  </si>
  <si>
    <t xml:space="preserve">Estimate</t>
  </si>
  <si>
    <t xml:space="preserve">Retail/platform EBITDA ($mm/yr, 2026$)</t>
  </si>
  <si>
    <t xml:space="preserve">VST Retail FY25 $1,463mm reported; CEG estimate</t>
  </si>
  <si>
    <t xml:space="preserve">Platform value multiple (x EBITDA)</t>
  </si>
  <si>
    <t xml:space="preserve">Net debt bearing interest ($bn)</t>
  </si>
  <si>
    <t xml:space="preserve">After pending-deal cash</t>
  </si>
  <si>
    <t xml:space="preserve">Cost of debt</t>
  </si>
  <si>
    <t xml:space="preserve">Preferred stock ($bn)</t>
  </si>
  <si>
    <t xml:space="preserve">Preferred dividend rate</t>
  </si>
  <si>
    <t xml:space="preserve">Renewables cash yield (% of $/kW value)</t>
  </si>
  <si>
    <t xml:space="preserve">Revenue adjustment (all assets)</t>
  </si>
  <si>
    <t xml:space="preserve">+10% = every revenue line x1.10</t>
  </si>
  <si>
    <t xml:space="preserve">Fuel &amp; variable cost adjustment</t>
  </si>
  <si>
    <t xml:space="preserve">Moves gross margin</t>
  </si>
  <si>
    <t xml:space="preserve">Fixed O&amp;M adjustment</t>
  </si>
  <si>
    <t xml:space="preserve">Capex adjustment (sustaining + one-off)</t>
  </si>
  <si>
    <t xml:space="preserve">PPA price adjustment ($/MWh)</t>
  </si>
  <si>
    <t xml:space="preserve">Undisclosed contract prices - analyst estimates</t>
  </si>
  <si>
    <t xml:space="preserve">FCF haircut (years up to horizon)</t>
  </si>
  <si>
    <t xml:space="preserve">Model's 2027 FCF looks ~15-25% above guidance run-rate</t>
  </si>
  <si>
    <t xml:space="preserve">Other value ($mm): growth projects, site / data-center (Helix) options</t>
  </si>
  <si>
    <t xml:space="preserve">Not modelled by default. E.g. Talen sold its Cumulus data-center campus to Amazon for $650mm (2024)</t>
  </si>
  <si>
    <t xml:space="preserve">Price-target weight: NAV incl. platform</t>
  </si>
  <si>
    <t xml:space="preserve">Price-target weight: levered equity value (FCF to horizon + NAV at horizon, PV at equity rate)</t>
  </si>
  <si>
    <t xml:space="preserve">Price-target weight: replacement cost + FCF</t>
  </si>
  <si>
    <t xml:space="preserve">Claims on the assets ($bn) - positive = liability, negative = asset</t>
  </si>
  <si>
    <t xml:space="preserve">$bn</t>
  </si>
  <si>
    <t xml:space="preserve">Long-term debt incl. current (30-Jun-26; $14.6bn CEG Gen + $5.0bn Calpine)</t>
  </si>
  <si>
    <t xml:space="preserve">Cash (30-Jun-26)</t>
  </si>
  <si>
    <t xml:space="preserve">Proceeds: 4.4 GW PJM sale to LS Power (pending)</t>
  </si>
  <si>
    <t xml:space="preserve">Proceeds: Brazos Valley (606 MW ERCOT CCGT) sale to LS Power (pending; final DOJ divestiture)</t>
  </si>
  <si>
    <t xml:space="preserve">Purchase: RISEC from Shell (pending)</t>
  </si>
  <si>
    <t xml:space="preserve">Pension/OPEB net underfunding - EST</t>
  </si>
  <si>
    <t xml:space="preserve">Noncontrolling interests - EST</t>
  </si>
  <si>
    <t xml:space="preserve">Nuclear decommissioning: NDT assumed to cover ARO (net zero) - ASSUMPTION</t>
  </si>
  <si>
    <t xml:space="preserve">CEG net claims</t>
  </si>
  <si>
    <t xml:space="preserve">Long-term debt incl. current (30-Jun-26)</t>
  </si>
  <si>
    <t xml:space="preserve">Cogentrix: cash consideration (pending)</t>
  </si>
  <si>
    <t xml:space="preserve">Cogentrix: assumed debt (pending)</t>
  </si>
  <si>
    <t xml:space="preserve">Preferred stock (Series A $1.0bn, B $1.0bn, C $0.476bn liquidation pref.)</t>
  </si>
  <si>
    <t xml:space="preserve">Tax receivable agreement - EST</t>
  </si>
  <si>
    <t xml:space="preserve">Vistra Vision buyout deferred payments remaining - EST</t>
  </si>
  <si>
    <t xml:space="preserve">Pension/OPEB net - EST</t>
  </si>
  <si>
    <t xml:space="preserve">VST net claims</t>
  </si>
  <si>
    <t xml:space="preserve">PRICE DECK - formulas only (edit on Inputs)</t>
  </si>
  <si>
    <t xml:space="preserve">Key</t>
  </si>
  <si>
    <t xml:space="preserve">Year</t>
  </si>
  <si>
    <t xml:space="preserve">INFL</t>
  </si>
  <si>
    <t xml:space="preserve">Inflation index (2026 = 1)</t>
  </si>
  <si>
    <t xml:space="preserve">HH</t>
  </si>
  <si>
    <t xml:space="preserve">Henry Hub, real 2026$/MMBtu</t>
  </si>
  <si>
    <t xml:space="preserve">Long-run ATC (2026$/MWh) by hub</t>
  </si>
  <si>
    <t xml:space="preserve">LR|PJMW</t>
  </si>
  <si>
    <t xml:space="preserve">PJMW long-run ATC, 2026$</t>
  </si>
  <si>
    <t xml:space="preserve">LR|PJMA</t>
  </si>
  <si>
    <t xml:space="preserve">PJMA long-run ATC, 2026$</t>
  </si>
  <si>
    <t xml:space="preserve">LR|NIHUB</t>
  </si>
  <si>
    <t xml:space="preserve">NIHUB long-run ATC, 2026$</t>
  </si>
  <si>
    <t xml:space="preserve">LR|MISO</t>
  </si>
  <si>
    <t xml:space="preserve">MISO long-run ATC, 2026$</t>
  </si>
  <si>
    <t xml:space="preserve">LR|NY</t>
  </si>
  <si>
    <t xml:space="preserve">NY long-run ATC, 2026$</t>
  </si>
  <si>
    <t xml:space="preserve">LR|NE</t>
  </si>
  <si>
    <t xml:space="preserve">NE long-run ATC, 2026$</t>
  </si>
  <si>
    <t xml:space="preserve">LR|WEST</t>
  </si>
  <si>
    <t xml:space="preserve">WEST long-run ATC, 2026$</t>
  </si>
  <si>
    <t xml:space="preserve">LR|ERCOT</t>
  </si>
  <si>
    <t xml:space="preserve">ERCOT long-run ATC, 2026$</t>
  </si>
  <si>
    <t xml:space="preserve">LR|PJMW_BASE</t>
  </si>
  <si>
    <t xml:space="preserve">PJM West long-run ATC in Base scenario, no shifts (for $/kW-valued renewables)</t>
  </si>
  <si>
    <t xml:space="preserve">Annual deck (nominal)</t>
  </si>
  <si>
    <t xml:space="preserve">GAS|PJMW</t>
  </si>
  <si>
    <t xml:space="preserve">PJMW gas, nominal $/MMBtu</t>
  </si>
  <si>
    <t xml:space="preserve">ATC|PJMW</t>
  </si>
  <si>
    <t xml:space="preserve">PJMW ATC power, nominal $/MWh</t>
  </si>
  <si>
    <t xml:space="preserve">CAP|PJMW</t>
  </si>
  <si>
    <t xml:space="preserve">PJMW capacity, nominal $/MW-day</t>
  </si>
  <si>
    <t xml:space="preserve">GAS|PJMA</t>
  </si>
  <si>
    <t xml:space="preserve">PJMA gas, nominal $/MMBtu</t>
  </si>
  <si>
    <t xml:space="preserve">ATC|PJMA</t>
  </si>
  <si>
    <t xml:space="preserve">PJMA ATC power, nominal $/MWh</t>
  </si>
  <si>
    <t xml:space="preserve">CAP|PJMA</t>
  </si>
  <si>
    <t xml:space="preserve">PJMA capacity, nominal $/MW-day</t>
  </si>
  <si>
    <t xml:space="preserve">GAS|NIHUB</t>
  </si>
  <si>
    <t xml:space="preserve">NIHUB gas, nominal $/MMBtu</t>
  </si>
  <si>
    <t xml:space="preserve">ATC|NIHUB</t>
  </si>
  <si>
    <t xml:space="preserve">NIHUB ATC power, nominal $/MWh</t>
  </si>
  <si>
    <t xml:space="preserve">CAP|NIHUB</t>
  </si>
  <si>
    <t xml:space="preserve">NIHUB capacity, nominal $/MW-day</t>
  </si>
  <si>
    <t xml:space="preserve">GAS|MISO</t>
  </si>
  <si>
    <t xml:space="preserve">MISO gas, nominal $/MMBtu</t>
  </si>
  <si>
    <t xml:space="preserve">ATC|MISO</t>
  </si>
  <si>
    <t xml:space="preserve">MISO ATC power, nominal $/MWh</t>
  </si>
  <si>
    <t xml:space="preserve">CAP|MISO</t>
  </si>
  <si>
    <t xml:space="preserve">MISO capacity, nominal $/MW-day</t>
  </si>
  <si>
    <t xml:space="preserve">GAS|NY</t>
  </si>
  <si>
    <t xml:space="preserve">NY gas, nominal $/MMBtu</t>
  </si>
  <si>
    <t xml:space="preserve">ATC|NY</t>
  </si>
  <si>
    <t xml:space="preserve">NY ATC power, nominal $/MWh</t>
  </si>
  <si>
    <t xml:space="preserve">CAP|NY</t>
  </si>
  <si>
    <t xml:space="preserve">NY capacity, nominal $/MW-day</t>
  </si>
  <si>
    <t xml:space="preserve">GAS|NE</t>
  </si>
  <si>
    <t xml:space="preserve">NE gas, nominal $/MMBtu</t>
  </si>
  <si>
    <t xml:space="preserve">ATC|NE</t>
  </si>
  <si>
    <t xml:space="preserve">NE ATC power, nominal $/MWh</t>
  </si>
  <si>
    <t xml:space="preserve">CAP|NE</t>
  </si>
  <si>
    <t xml:space="preserve">NE capacity, nominal $/MW-day</t>
  </si>
  <si>
    <t xml:space="preserve">GAS|WEST</t>
  </si>
  <si>
    <t xml:space="preserve">WEST gas, nominal $/MMBtu</t>
  </si>
  <si>
    <t xml:space="preserve">ATC|WEST</t>
  </si>
  <si>
    <t xml:space="preserve">WEST ATC power, nominal $/MWh</t>
  </si>
  <si>
    <t xml:space="preserve">CAP|WEST</t>
  </si>
  <si>
    <t xml:space="preserve">WEST capacity, nominal $/MW-day</t>
  </si>
  <si>
    <t xml:space="preserve">GAS|ERCOT</t>
  </si>
  <si>
    <t xml:space="preserve">ERCOT gas, nominal $/MMBtu</t>
  </si>
  <si>
    <t xml:space="preserve">ATC|ERCOT</t>
  </si>
  <si>
    <t xml:space="preserve">ERCOT ATC power, nominal $/MWh</t>
  </si>
  <si>
    <t xml:space="preserve">CAP|ERCOT</t>
  </si>
  <si>
    <t xml:space="preserve">ERCOT capacity, nominal $/MW-day</t>
  </si>
  <si>
    <t xml:space="preserve">Asset</t>
  </si>
  <si>
    <t xml:space="preserve">MW</t>
  </si>
  <si>
    <t xml:space="preserve">Start year</t>
  </si>
  <si>
    <t xml:space="preserve">End year</t>
  </si>
  <si>
    <t xml:space="preserve">Avg in-service year (COD)</t>
  </si>
  <si>
    <t xml:space="preserve">Method (Cashflow / $/kW)</t>
  </si>
  <si>
    <t xml:space="preserve">ZEC ($/MWh)</t>
  </si>
  <si>
    <t xml:space="preserve">ZEC last year</t>
  </si>
  <si>
    <t xml:space="preserve">45U eligible</t>
  </si>
  <si>
    <t xml:space="preserve">Dispatch check</t>
  </si>
  <si>
    <t xml:space="preserve">Mothball floor</t>
  </si>
  <si>
    <t xml:space="preserve">Contract MW</t>
  </si>
  <si>
    <t xml:space="preserve">Contract start</t>
  </si>
  <si>
    <t xml:space="preserve">Contract end</t>
  </si>
  <si>
    <t xml:space="preserve">Contract ramp (yrs)</t>
  </si>
  <si>
    <t xml:space="preserve">PPA price ($/MWh, nominal flat)</t>
  </si>
  <si>
    <t xml:space="preserve">One-off capex ($mm)</t>
  </si>
  <si>
    <t xml:space="preserve">One-off capex year</t>
  </si>
  <si>
    <t xml:space="preserve">$/kW value (if $/kW method)</t>
  </si>
  <si>
    <t xml:space="preserve">Remaining-life override</t>
  </si>
  <si>
    <t xml:space="preserve">Remaining-life fraction</t>
  </si>
  <si>
    <t xml:space="preserve">Depreciated replacement cost ($mm)</t>
  </si>
  <si>
    <t xml:space="preserve">ATC row</t>
  </si>
  <si>
    <t xml:space="preserve">Gas row</t>
  </si>
  <si>
    <t xml:space="preserve">Cap row</t>
  </si>
  <si>
    <t xml:space="preserve">Asset NAV ($mm)</t>
  </si>
  <si>
    <t xml:space="preserve">NAV $/kW</t>
  </si>
  <si>
    <t xml:space="preserve">Nuclear - PJM East (Limerick, Peach Bottom 50%, Calvert Cliffs, Salem 42.6%)</t>
  </si>
  <si>
    <t xml:space="preserve">Cashflow</t>
  </si>
  <si>
    <t xml:space="preserve">Nuclear - PJM ComEd (Byron, Braidwood, LaSalle, Dresden, Quad Cities 75%)</t>
  </si>
  <si>
    <t xml:space="preserve">Nuclear - Clinton (MISO) - Meta 20-yr PPA</t>
  </si>
  <si>
    <t xml:space="preserve">Nuclear - New York (Nine Mile Pt, Ginna, FitzPatrick)</t>
  </si>
  <si>
    <t xml:space="preserve">Nuclear - South Texas Project 44% (ERCOT)</t>
  </si>
  <si>
    <t xml:space="preserve">Nuclear - Crane restart (TMI-1) - Microsoft 20-yr PPA</t>
  </si>
  <si>
    <t xml:space="preserve">Hydro - Conowingo + Muddy Run pumped storage (PJM)</t>
  </si>
  <si>
    <t xml:space="preserve">Wind &amp; solar (legacy CEG, ~1.9 GW)</t>
  </si>
  <si>
    <t xml:space="preserve">Gas - ERCOT CCGT (Colorado Bend II, Wolf Hollow II, etc.)</t>
  </si>
  <si>
    <t xml:space="preserve">Gas/oil - ERCOT peakers &amp; steam (legacy CEG)</t>
  </si>
  <si>
    <t xml:space="preserve">Gas/oil - PJM/NE/other peakers &amp; oil (legacy CEG)</t>
  </si>
  <si>
    <t xml:space="preserve">Calpine - ERCOT CCGT (Deer Park, Freestone, Channel, Baytown, etc.)</t>
  </si>
  <si>
    <t xml:space="preserve">Calpine - ERCOT peakers/cogen</t>
  </si>
  <si>
    <t xml:space="preserve">Calpine - West CCGT (CAISO)</t>
  </si>
  <si>
    <t xml:space="preserve">Calpine - West peakers</t>
  </si>
  <si>
    <t xml:space="preserve">Calpine - The Geysers geothermal</t>
  </si>
  <si>
    <t xml:space="preserve">Calpine - East CCGT (NE/NY/PJM residual/SE)</t>
  </si>
  <si>
    <t xml:space="preserve">RISEC (609 MW CCGT, ISO-NE) - pending, $715mm</t>
  </si>
  <si>
    <t xml:space="preserve">Total</t>
  </si>
  <si>
    <t xml:space="preserve">CEG - annual asset cash flows and consolidated FCF ($mm, nominal). Formulas only.</t>
  </si>
  <si>
    <t xml:space="preserve">PV / total</t>
  </si>
  <si>
    <t xml:space="preserve">PV to horizon</t>
  </si>
  <si>
    <t xml:space="preserve">Value at horizon</t>
  </si>
  <si>
    <t xml:space="preserve">Inflation index</t>
  </si>
  <si>
    <t xml:space="preserve">CONSOLIDATED</t>
  </si>
  <si>
    <t xml:space="preserve">Merchant energy revenue</t>
  </si>
  <si>
    <t xml:space="preserve">c_energy</t>
  </si>
  <si>
    <t xml:space="preserve">Capacity revenue</t>
  </si>
  <si>
    <t xml:space="preserve">c_capacity</t>
  </si>
  <si>
    <t xml:space="preserve">Long-term PPA revenue</t>
  </si>
  <si>
    <t xml:space="preserve">c_ppa</t>
  </si>
  <si>
    <t xml:space="preserve">ZEC revenue</t>
  </si>
  <si>
    <t xml:space="preserve">c_zec</t>
  </si>
  <si>
    <t xml:space="preserve">TOTAL REVENUE</t>
  </si>
  <si>
    <t xml:space="preserve">c_rev</t>
  </si>
  <si>
    <t xml:space="preserve">Fuel &amp; variable cost</t>
  </si>
  <si>
    <t xml:space="preserve">c_fuel</t>
  </si>
  <si>
    <t xml:space="preserve">GROSS MARGIN</t>
  </si>
  <si>
    <t xml:space="preserve">c_gm</t>
  </si>
  <si>
    <t xml:space="preserve">Gross margin %</t>
  </si>
  <si>
    <t xml:space="preserve">c_gmpct</t>
  </si>
  <si>
    <t xml:space="preserve">Fixed O&amp;M</t>
  </si>
  <si>
    <t xml:space="preserve">c_fom</t>
  </si>
  <si>
    <t xml:space="preserve">ASSET EBITDA</t>
  </si>
  <si>
    <t xml:space="preserve">c_ebitda</t>
  </si>
  <si>
    <t xml:space="preserve">EBITDA margin %</t>
  </si>
  <si>
    <t xml:space="preserve">c_ebitdapct</t>
  </si>
  <si>
    <t xml:space="preserve">Capex (sustaining + one-off)</t>
  </si>
  <si>
    <t xml:space="preserve">c_capex</t>
  </si>
  <si>
    <t xml:space="preserve">Asset pre-tax cash flow (after mothball floor)</t>
  </si>
  <si>
    <t xml:space="preserve">c_pretax</t>
  </si>
  <si>
    <t xml:space="preserve">45U credit</t>
  </si>
  <si>
    <t xml:space="preserve">c_ptc</t>
  </si>
  <si>
    <t xml:space="preserve">Renewables cash (value x yield)</t>
  </si>
  <si>
    <t xml:space="preserve">c_ren</t>
  </si>
  <si>
    <t xml:space="preserve">ASSET CASH MARGIN</t>
  </si>
  <si>
    <t xml:space="preserve">c_assetcash</t>
  </si>
  <si>
    <t xml:space="preserve">+ Retail/platform EBITDA</t>
  </si>
  <si>
    <t xml:space="preserve">c_plat</t>
  </si>
  <si>
    <t xml:space="preserve">- Corporate overhead</t>
  </si>
  <si>
    <t xml:space="preserve">c_oh</t>
  </si>
  <si>
    <t xml:space="preserve">- Interest</t>
  </si>
  <si>
    <t xml:space="preserve">c_int</t>
  </si>
  <si>
    <t xml:space="preserve">Taxable income</t>
  </si>
  <si>
    <t xml:space="preserve">c_taxable</t>
  </si>
  <si>
    <t xml:space="preserve">- Cash tax</t>
  </si>
  <si>
    <t xml:space="preserve">c_tax</t>
  </si>
  <si>
    <t xml:space="preserve">- Preferred dividends</t>
  </si>
  <si>
    <t xml:space="preserve">c_pref</t>
  </si>
  <si>
    <t xml:space="preserve">EQUITY FCF (before haircut)</t>
  </si>
  <si>
    <t xml:space="preserve">c_fcf</t>
  </si>
  <si>
    <t xml:space="preserve">EQUITY FCF (after haircut)</t>
  </si>
  <si>
    <t xml:space="preserve">c_fcfadj</t>
  </si>
  <si>
    <t xml:space="preserve">Overhead PV (NAV, after tax)</t>
  </si>
  <si>
    <t xml:space="preserve">c_ohpv</t>
  </si>
  <si>
    <t xml:space="preserve">Overhead PV at horizon (after tax)</t>
  </si>
  <si>
    <t xml:space="preserve">c_ohfwd</t>
  </si>
  <si>
    <t xml:space="preserve">Equity discount factor</t>
  </si>
  <si>
    <t xml:space="preserve">c_dfeq</t>
  </si>
  <si>
    <t xml:space="preserve">Operating (1/0)</t>
  </si>
  <si>
    <t xml:space="preserve">op</t>
  </si>
  <si>
    <t xml:space="preserve">Contracted MW</t>
  </si>
  <si>
    <t xml:space="preserve">cmw</t>
  </si>
  <si>
    <t xml:space="preserve">Merchant generation (MWh)</t>
  </si>
  <si>
    <t xml:space="preserve">gen_m</t>
  </si>
  <si>
    <t xml:space="preserve">Contracted generation (MWh)</t>
  </si>
  <si>
    <t xml:space="preserve">gen_c</t>
  </si>
  <si>
    <t xml:space="preserve">Fuel price, delivered ($/MMBtu)</t>
  </si>
  <si>
    <t xml:space="preserve">fuelp</t>
  </si>
  <si>
    <t xml:space="preserve">Spread vs fuel ($/MWh)</t>
  </si>
  <si>
    <t xml:space="preserve">spark</t>
  </si>
  <si>
    <t xml:space="preserve">Runs (1/0)</t>
  </si>
  <si>
    <t xml:space="preserve">run</t>
  </si>
  <si>
    <t xml:space="preserve">Merchant energy revenue ($mm)</t>
  </si>
  <si>
    <t xml:space="preserve">energy</t>
  </si>
  <si>
    <t xml:space="preserve">Capacity revenue ($mm)</t>
  </si>
  <si>
    <t xml:space="preserve">capacity</t>
  </si>
  <si>
    <t xml:space="preserve">Long-term PPA revenue ($mm)</t>
  </si>
  <si>
    <t xml:space="preserve">ppa</t>
  </si>
  <si>
    <t xml:space="preserve">ZEC revenue ($mm)</t>
  </si>
  <si>
    <t xml:space="preserve">zec</t>
  </si>
  <si>
    <t xml:space="preserve">Total revenue ($mm)</t>
  </si>
  <si>
    <t xml:space="preserve">revenue</t>
  </si>
  <si>
    <t xml:space="preserve">Fuel &amp; variable cost ($mm)</t>
  </si>
  <si>
    <t xml:space="preserve">fuelvar</t>
  </si>
  <si>
    <t xml:space="preserve">Gross margin ($mm)</t>
  </si>
  <si>
    <t xml:space="preserve">gm</t>
  </si>
  <si>
    <t xml:space="preserve">Fixed O&amp;M ($mm)</t>
  </si>
  <si>
    <t xml:space="preserve">fom</t>
  </si>
  <si>
    <t xml:space="preserve">Asset EBITDA ($mm)</t>
  </si>
  <si>
    <t xml:space="preserve">ebitda</t>
  </si>
  <si>
    <t xml:space="preserve">Capex - sustaining + one-off ($mm)</t>
  </si>
  <si>
    <t xml:space="preserve">capex</t>
  </si>
  <si>
    <t xml:space="preserve">Pre-tax cash flow ($mm)</t>
  </si>
  <si>
    <t xml:space="preserve">pretax</t>
  </si>
  <si>
    <t xml:space="preserve">45U credit - untaxed ($mm)</t>
  </si>
  <si>
    <t xml:space="preserve">ptc</t>
  </si>
  <si>
    <t xml:space="preserve">  of which contracted pre-tax ($mm)</t>
  </si>
  <si>
    <t xml:space="preserve">con_cf</t>
  </si>
  <si>
    <t xml:space="preserve">  of which merchant pre-tax ($mm)</t>
  </si>
  <si>
    <t xml:space="preserve">merch_cf</t>
  </si>
  <si>
    <t xml:space="preserve">After-tax merchant CF incl. 45U ($mm)</t>
  </si>
  <si>
    <t xml:space="preserve">at_m</t>
  </si>
  <si>
    <t xml:space="preserve">After-tax contracted CF ($mm)</t>
  </si>
  <si>
    <t xml:space="preserve">at_c</t>
  </si>
  <si>
    <t xml:space="preserve">Discount factor - merchant</t>
  </si>
  <si>
    <t xml:space="preserve">df_m</t>
  </si>
  <si>
    <t xml:space="preserve">Discount factor - contracted</t>
  </si>
  <si>
    <t xml:space="preserve">df_c</t>
  </si>
  <si>
    <t xml:space="preserve">PV merchant ($mm)</t>
  </si>
  <si>
    <t xml:space="preserve">pv_m</t>
  </si>
  <si>
    <t xml:space="preserve">PV contracted ($mm)</t>
  </si>
  <si>
    <t xml:space="preserve">pv_c</t>
  </si>
  <si>
    <t xml:space="preserve">$/kW-method value ($mm)</t>
  </si>
  <si>
    <t xml:space="preserve">fixedval</t>
  </si>
  <si>
    <t xml:space="preserve">Nuclear - Comanche Peak (ERCOT) - 1,200 MW 20-yr PPA</t>
  </si>
  <si>
    <t xml:space="preserve">Nuclear - Perry + Davis-Besse (PJM ATSI) - Meta 20-yr PPAs</t>
  </si>
  <si>
    <t xml:space="preserve">Nuclear - Beaver Valley (PJM)</t>
  </si>
  <si>
    <t xml:space="preserve">Gas - ERCOT CCGT</t>
  </si>
  <si>
    <t xml:space="preserve">Gas - ERCOT peakers</t>
  </si>
  <si>
    <t xml:space="preserve">Gas - PJM CCGT (incl. Lotus)</t>
  </si>
  <si>
    <t xml:space="preserve">Gas - NY/NE CCGT</t>
  </si>
  <si>
    <t xml:space="preserve">Gas - West CCGT (CAISO)</t>
  </si>
  <si>
    <t xml:space="preserve">Gas/oil - East peakers</t>
  </si>
  <si>
    <t xml:space="preserve">Coal - ERCOT (Martin Lake, Oak Grove, Coleto Creek)</t>
  </si>
  <si>
    <t xml:space="preserve">Coal - IL/OH (Baldwin, Kincaid, Newton, Miami Fort) - retiring ~2027</t>
  </si>
  <si>
    <t xml:space="preserve">Solar &amp; batteries (Vistra Zero)</t>
  </si>
  <si>
    <t xml:space="preserve">Cogentrix (pending) - modern CCGT, PJM</t>
  </si>
  <si>
    <t xml:space="preserve">Cogentrix (pending) - modern CCGT, NE</t>
  </si>
  <si>
    <t xml:space="preserve">CEG / VST asset-based NAV model - editable</t>
  </si>
  <si>
    <t xml:space="preserve">How to use</t>
  </si>
  <si>
    <t xml:space="preserve">1. Change inputs on the 'Inputs' sheet (control panel at the top) and asset-level inputs on 'CEG_Assets' / 'VST_Assets'.</t>
  </si>
  <si>
    <t xml:space="preserve">2. Everything else is formulas: price deck ('Prices'), annual asset cash flows ('CEG_Model' / 'VST_Model') and valuation ('Summary').</t>
  </si>
  <si>
    <t xml:space="preserve">3. Read the new price target, NAV, FCF and replacement-cost value on 'Summary'.</t>
  </si>
  <si>
    <t xml:space="preserve">Colour legend</t>
  </si>
  <si>
    <t xml:space="preserve">Blue text = hard-coded input you can change</t>
  </si>
  <si>
    <t xml:space="preserve">Yellow fill = key lever (scenario, price/gas shifts, revenue/cost/margin adjustments, FCF haircut, price-target weights)</t>
  </si>
  <si>
    <t xml:space="preserve">Green text = link to another sheet (a default you can overwrite with your own number)</t>
  </si>
  <si>
    <t xml:space="preserve">Black text = formula - do not overwrite</t>
  </si>
  <si>
    <t xml:space="preserve">Main levers (Inputs sheet)</t>
  </si>
  <si>
    <t xml:space="preserve">Scenario (Low/Base/High/Extreme) - sets long-run heat rates, capacity prices and peaker scarcity.</t>
  </si>
  <si>
    <t xml:space="preserve">Long-run power price shift ($/MWh, 2026$) and Henry Hub shift ($/MMBtu) - move every hub.</t>
  </si>
  <si>
    <t xml:space="preserve">Revenue / fuel &amp; variable cost / fixed O&amp;M / capex adjustments (%) per company - flex revenue, gross margin and costs across all assets.</t>
  </si>
  <si>
    <t xml:space="preserve">FCF haircut (%) for years up to the horizon - stress near-term cash flow.</t>
  </si>
  <si>
    <t xml:space="preserve">Nuclear replacement-cost basis - gas-equivalent, gas + clean premium, NOAK AP1000 or next AP1000.</t>
  </si>
  <si>
    <t xml:space="preserve">Price-target weights - blend of NAV, forward value (FCF + NAV at horizon) and replacement cost + FCF.</t>
  </si>
  <si>
    <t xml:space="preserve">Units</t>
  </si>
  <si>
    <t xml:space="preserve">$mm unless stated; per-share values in $; power prices $/MWh nominal (long-run inputs in 2026$); capacity $/MW-day.</t>
  </si>
  <si>
    <t xml:space="preserve">Method notes</t>
  </si>
  <si>
    <t xml:space="preserve">Each asset: revenue (merchant energy, capacity, long-term PPA, ZEC) - fuel &amp; variable cost = gross margin; - fixed O&amp;M = EBITDA; - capex = pre-tax cash flow;</t>
  </si>
  <si>
    <t xml:space="preserve">after 20% cash tax (+ untaxed 45U credit), discounted at the asset's rate to 30-Sep-2026. Sum of assets = gross asset value; less overhead and claims = equity NAV.</t>
  </si>
  <si>
    <t xml:space="preserve">Forward value = equity FCF to the horizon + equity NAV of remaining life at the horizon. Replacement = depreciated new-build cost - claims + PV of N years FCF.</t>
  </si>
  <si>
    <t xml:space="preserve">Sources and caveats: see REPORT.md in the same folder. Plant-group MW splits, PPA prices and several liabilities are estimates.</t>
  </si>
  <si>
    <t xml:space="preserve">VST - annual asset cash flows and consolidated FCF ($mm, nominal). Formulas only.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</si>
</sst>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;\(#,##0.00\);\-"/>
    <numFmt numFmtId="166" formatCode="#,##0.0;\(#,##0.0\);\-"/>
    <numFmt numFmtId="167" formatCode="#,##0;\(#,##0\);\-"/>
    <numFmt numFmtId="168" formatCode="0.00"/>
    <numFmt numFmtId="169" formatCode="0.0%;\(0.0%\);\-"/>
    <numFmt numFmtId="170" formatCode="0.00\x"/>
    <numFmt numFmtId="171" formatCode="0"/>
    <numFmt numFmtId="172" formatCode="0.0\x"/>
    <numFmt numFmtId="173" formatCode="0.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0"/>
      <color rgb="FF008000"/>
      <name val="Arial"/>
      <family val="0"/>
      <charset val="1"/>
    </font>
    <font>
      <b val="true"/>
      <sz val="12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6F0"/>
        <bgColor rgb="FFF2F2F2"/>
      </patternFill>
    </fill>
    <fill>
      <patternFill patternType="solid">
        <fgColor rgb="FFF2F2F2"/>
        <bgColor rgb="FFDDE6F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6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10" min="2" style="0" width="15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tr">
        <f aca="false">"Active scenario: "&amp;Scenario&amp;"   |   price shift $"&amp;TEXT(PriceShift,"0.0")&amp;"/MWh   |   gas shift $"&amp;TEXT(GasShift,"0.00")&amp;"/MMBtu   |   nuclear replacement $"&amp;TEXT(NucRC,"#,##0")&amp;"/kW"</f>
        <v>Active scenario: Base   |   price shift $0.0/MWh   |   gas shift $0.00/MMBtu   |   nuclear replacement $4,500/kW</v>
      </c>
    </row>
    <row r="4" customFormat="false" ht="15" hidden="false" customHeight="false" outlineLevel="0" collapsed="false">
      <c r="A4" s="3" t="s">
        <v>1</v>
      </c>
      <c r="B4" s="3" t="s">
        <v>2</v>
      </c>
      <c r="C4" s="3" t="s">
        <v>3</v>
      </c>
      <c r="D4" s="3"/>
      <c r="E4" s="3" t="s">
        <v>4</v>
      </c>
    </row>
    <row r="6" customFormat="false" ht="15" hidden="false" customHeight="false" outlineLevel="0" collapsed="false">
      <c r="A6" s="4" t="s">
        <v>5</v>
      </c>
      <c r="B6" s="5"/>
      <c r="C6" s="5"/>
      <c r="D6" s="5"/>
      <c r="E6" s="5"/>
    </row>
    <row r="7" customFormat="false" ht="15" hidden="false" customHeight="false" outlineLevel="0" collapsed="false">
      <c r="A7" s="6" t="s">
        <v>6</v>
      </c>
      <c r="B7" s="7" t="n">
        <f aca="false">CEG_Price</f>
        <v>263.93</v>
      </c>
      <c r="C7" s="7" t="n">
        <f aca="false">VST_Price</f>
        <v>138.76</v>
      </c>
    </row>
    <row r="8" customFormat="false" ht="15" hidden="false" customHeight="false" outlineLevel="0" collapsed="false">
      <c r="A8" s="6" t="s">
        <v>7</v>
      </c>
      <c r="B8" s="8" t="n">
        <f aca="false">CEG_Shares+CEG_ExtraShares</f>
        <v>354.307</v>
      </c>
      <c r="C8" s="8" t="n">
        <f aca="false">VST_Shares+VST_ExtraShares</f>
        <v>341</v>
      </c>
    </row>
    <row r="9" customFormat="false" ht="15" hidden="false" customHeight="false" outlineLevel="0" collapsed="false">
      <c r="A9" s="6" t="s">
        <v>8</v>
      </c>
      <c r="B9" s="9" t="n">
        <f aca="false">B7*B8</f>
        <v>93512.24651</v>
      </c>
      <c r="C9" s="9" t="n">
        <f aca="false">C7*C8</f>
        <v>47317.16</v>
      </c>
    </row>
    <row r="10" customFormat="false" ht="15" hidden="false" customHeight="false" outlineLevel="0" collapsed="false">
      <c r="A10" s="6" t="s">
        <v>9</v>
      </c>
      <c r="B10" s="9" t="n">
        <f aca="false">CEG_Claims*1000</f>
        <v>14958</v>
      </c>
      <c r="C10" s="9" t="n">
        <f aca="false">VST_Claims*1000</f>
        <v>26586</v>
      </c>
    </row>
    <row r="11" customFormat="false" ht="15" hidden="false" customHeight="false" outlineLevel="0" collapsed="false">
      <c r="A11" s="6" t="s">
        <v>10</v>
      </c>
      <c r="B11" s="9" t="n">
        <f aca="false">B9+B10</f>
        <v>108470.24651</v>
      </c>
      <c r="C11" s="9" t="n">
        <f aca="false">C9+C10</f>
        <v>73903.16</v>
      </c>
    </row>
    <row r="12" customFormat="false" ht="15" hidden="false" customHeight="false" outlineLevel="0" collapsed="false">
      <c r="A12" s="6" t="s">
        <v>11</v>
      </c>
      <c r="B12" s="9" t="n">
        <f aca="false">CEG_Assets!D20</f>
        <v>49970</v>
      </c>
      <c r="C12" s="9" t="n">
        <f aca="false">VST_Assets!D16</f>
        <v>49141</v>
      </c>
    </row>
    <row r="13" customFormat="false" ht="15" hidden="false" customHeight="false" outlineLevel="0" collapsed="false">
      <c r="A13" s="6" t="s">
        <v>12</v>
      </c>
      <c r="B13" s="9" t="n">
        <f aca="false">B11/B12*1000</f>
        <v>2170.70735461277</v>
      </c>
      <c r="C13" s="9" t="n">
        <f aca="false">C11/C12*1000</f>
        <v>1503.90020553102</v>
      </c>
    </row>
    <row r="15" customFormat="false" ht="15" hidden="false" customHeight="false" outlineLevel="0" collapsed="false">
      <c r="A15" s="4" t="s">
        <v>13</v>
      </c>
      <c r="B15" s="5"/>
      <c r="C15" s="5"/>
      <c r="D15" s="5"/>
      <c r="E15" s="5"/>
    </row>
    <row r="16" customFormat="false" ht="15" hidden="false" customHeight="false" outlineLevel="0" collapsed="false">
      <c r="A16" s="1" t="s">
        <v>14</v>
      </c>
      <c r="B16" s="10" t="n">
        <f aca="false">SUMIF(CEG_Model!$B$35:$B$574,"pv_m",CEG_Model!$C$35:$C$574)+SUMIF(CEG_Model!$B$35:$B$574,"pv_c",CEG_Model!$C$35:$C$574)+SUMIF(CEG_Model!$B$35:$B$574,"fixedval",CEG_Model!$C$35:$C$574)</f>
        <v>81018.9461790552</v>
      </c>
      <c r="C16" s="10" t="n">
        <f aca="false">SUMIF(VST_Model!$B$35:$B$454,"pv_m",VST_Model!$C$35:$C$454)+SUMIF(VST_Model!$B$35:$B$454,"pv_c",VST_Model!$C$35:$C$454)+SUMIF(VST_Model!$B$35:$B$454,"fixedval",VST_Model!$C$35:$C$454)</f>
        <v>49570.6588736065</v>
      </c>
    </row>
    <row r="17" customFormat="false" ht="15" hidden="false" customHeight="false" outlineLevel="0" collapsed="false">
      <c r="A17" s="6" t="s">
        <v>15</v>
      </c>
      <c r="B17" s="9" t="n">
        <f aca="false">B16/B12*1000</f>
        <v>1621.35173462188</v>
      </c>
      <c r="C17" s="9" t="n">
        <f aca="false">C16/C12*1000</f>
        <v>1008.74338889332</v>
      </c>
    </row>
    <row r="18" customFormat="false" ht="15" hidden="false" customHeight="false" outlineLevel="0" collapsed="false">
      <c r="A18" s="6" t="s">
        <v>16</v>
      </c>
      <c r="B18" s="9" t="n">
        <f aca="false">CEG_Model!$C$30</f>
        <v>4862.0640118096</v>
      </c>
      <c r="C18" s="9" t="n">
        <f aca="false">VST_Model!$C$30</f>
        <v>3781.60534251858</v>
      </c>
    </row>
    <row r="19" customFormat="false" ht="15" hidden="false" customHeight="false" outlineLevel="0" collapsed="false">
      <c r="A19" s="1" t="s">
        <v>17</v>
      </c>
      <c r="B19" s="10" t="n">
        <f aca="false">B16-B18-B10</f>
        <v>61198.8821672456</v>
      </c>
      <c r="C19" s="10" t="n">
        <f aca="false">C16-C18-C10</f>
        <v>19203.0535310879</v>
      </c>
    </row>
    <row r="20" customFormat="false" ht="15" hidden="false" customHeight="false" outlineLevel="0" collapsed="false">
      <c r="A20" s="1" t="s">
        <v>18</v>
      </c>
      <c r="B20" s="11" t="n">
        <f aca="false">B19/B8</f>
        <v>172.728402676903</v>
      </c>
      <c r="C20" s="11" t="n">
        <f aca="false">C19/C8</f>
        <v>56.3139399738649</v>
      </c>
    </row>
    <row r="21" customFormat="false" ht="15" hidden="false" customHeight="false" outlineLevel="0" collapsed="false">
      <c r="A21" s="6" t="s">
        <v>19</v>
      </c>
      <c r="B21" s="9" t="n">
        <f aca="false">CEG_PlatEBITDA*CEG_PlatMult</f>
        <v>6000</v>
      </c>
      <c r="C21" s="9" t="n">
        <f aca="false">VST_PlatEBITDA*VST_PlatMult</f>
        <v>8778</v>
      </c>
      <c r="E21" s="2" t="s">
        <v>20</v>
      </c>
    </row>
    <row r="22" customFormat="false" ht="15" hidden="false" customHeight="false" outlineLevel="0" collapsed="false">
      <c r="A22" s="6" t="s">
        <v>21</v>
      </c>
      <c r="B22" s="9" t="n">
        <f aca="false">CEG_OtherVal</f>
        <v>0</v>
      </c>
      <c r="C22" s="9" t="n">
        <f aca="false">VST_OtherVal</f>
        <v>0</v>
      </c>
      <c r="E22" s="2" t="s">
        <v>22</v>
      </c>
    </row>
    <row r="23" customFormat="false" ht="15" hidden="false" customHeight="false" outlineLevel="0" collapsed="false">
      <c r="A23" s="1" t="s">
        <v>23</v>
      </c>
      <c r="B23" s="11" t="n">
        <f aca="false">(B19+B21+B22)/B8</f>
        <v>189.662869114202</v>
      </c>
      <c r="C23" s="11" t="n">
        <f aca="false">(C19+C21+C22)/C8</f>
        <v>82.0558754577359</v>
      </c>
    </row>
    <row r="25" customFormat="false" ht="15" hidden="false" customHeight="false" outlineLevel="0" collapsed="false">
      <c r="A25" s="4" t="s">
        <v>24</v>
      </c>
      <c r="B25" s="5"/>
      <c r="C25" s="5"/>
      <c r="D25" s="5"/>
      <c r="E25" s="5"/>
    </row>
    <row r="26" customFormat="false" ht="15" hidden="false" customHeight="false" outlineLevel="0" collapsed="false">
      <c r="A26" s="6" t="s">
        <v>25</v>
      </c>
      <c r="B26" s="9" t="n">
        <f aca="false">SUMIF(CEG_Model!$G$3:$AS$3,"&lt;="&amp;Horizon,CEG_Model!$G$29:$AS$29)</f>
        <v>31012.2815118114</v>
      </c>
      <c r="C26" s="9" t="n">
        <f aca="false">SUMIF(VST_Model!$G$3:$AS$3,"&lt;="&amp;Horizon,VST_Model!$G$29:$AS$29)</f>
        <v>20146.2424484979</v>
      </c>
    </row>
    <row r="27" customFormat="false" ht="15" hidden="false" customHeight="false" outlineLevel="0" collapsed="false">
      <c r="A27" s="6" t="s">
        <v>26</v>
      </c>
      <c r="B27" s="9" t="n">
        <f aca="false">SUMIF(CEG_Model!$B$35:$B$574,"pv_m",CEG_Model!$E$35:$E$574)+SUMIF(CEG_Model!$B$35:$B$574,"pv_c",CEG_Model!$E$35:$E$574)+SUMIF(CEG_Model!$B$35:$B$574,"fixedval",CEG_Model!$E$35:$E$574)</f>
        <v>75825.0549938687</v>
      </c>
      <c r="C27" s="9" t="n">
        <f aca="false">SUMIF(VST_Model!$B$35:$B$454,"pv_m",VST_Model!$E$35:$E$454)+SUMIF(VST_Model!$B$35:$B$454,"pv_c",VST_Model!$E$35:$E$454)+SUMIF(VST_Model!$B$35:$B$454,"fixedval",VST_Model!$E$35:$E$454)</f>
        <v>45300.1514024031</v>
      </c>
    </row>
    <row r="28" customFormat="false" ht="15" hidden="false" customHeight="false" outlineLevel="0" collapsed="false">
      <c r="A28" s="6" t="s">
        <v>27</v>
      </c>
      <c r="B28" s="9" t="n">
        <f aca="false">CEG_Model!$C$31</f>
        <v>5371.29238668439</v>
      </c>
      <c r="C28" s="9" t="n">
        <f aca="false">VST_Model!$C$31</f>
        <v>4177.67185631008</v>
      </c>
    </row>
    <row r="29" customFormat="false" ht="15" hidden="false" customHeight="false" outlineLevel="0" collapsed="false">
      <c r="A29" s="6" t="s">
        <v>28</v>
      </c>
      <c r="B29" s="9" t="n">
        <f aca="false">B21*(1+Infl)^(Horizon-2026)</f>
        <v>6494.59296</v>
      </c>
      <c r="C29" s="9" t="n">
        <f aca="false">C21*(1+Infl)^(Horizon-2026)</f>
        <v>9501.58950048</v>
      </c>
    </row>
    <row r="30" customFormat="false" ht="15" hidden="false" customHeight="false" outlineLevel="0" collapsed="false">
      <c r="A30" s="6" t="s">
        <v>29</v>
      </c>
      <c r="B30" s="9" t="n">
        <f aca="false">B27-B28-B10+B29+B22</f>
        <v>61990.3555671843</v>
      </c>
      <c r="C30" s="9" t="n">
        <f aca="false">C27-C28-C10+C29+C22</f>
        <v>24038.069046573</v>
      </c>
    </row>
    <row r="31" customFormat="false" ht="15" hidden="false" customHeight="false" outlineLevel="0" collapsed="false">
      <c r="A31" s="1" t="s">
        <v>30</v>
      </c>
      <c r="B31" s="11" t="n">
        <f aca="false">(B26+B30)/B8</f>
        <v>262.491672699088</v>
      </c>
      <c r="C31" s="11" t="n">
        <f aca="false">(C26+C30)/C8</f>
        <v>129.572760982613</v>
      </c>
    </row>
    <row r="32" customFormat="false" ht="15" hidden="false" customHeight="false" outlineLevel="0" collapsed="false">
      <c r="A32" s="6" t="s">
        <v>31</v>
      </c>
      <c r="B32" s="12" t="n">
        <f aca="false">Horizon+1-ValDate</f>
        <v>4.25</v>
      </c>
      <c r="C32" s="12" t="n">
        <f aca="false">Horizon+1-ValDate</f>
        <v>4.25</v>
      </c>
    </row>
    <row r="33" customFormat="false" ht="15" hidden="false" customHeight="false" outlineLevel="0" collapsed="false">
      <c r="A33" s="1" t="s">
        <v>32</v>
      </c>
      <c r="B33" s="13" t="n">
        <f aca="false">IF(B31&gt;0,(B31/B7)^(1/B32)-1,-1)</f>
        <v>-0.00128495209292012</v>
      </c>
      <c r="C33" s="13" t="n">
        <f aca="false">IF(C31&gt;0,(C31/C7)^(1/C32)-1,-1)</f>
        <v>-0.015989202491412</v>
      </c>
    </row>
    <row r="34" customFormat="false" ht="15" hidden="false" customHeight="false" outlineLevel="0" collapsed="false">
      <c r="A34" s="1" t="s">
        <v>33</v>
      </c>
      <c r="B34" s="11" t="n">
        <f aca="false">(SUMPRODUCT((CEG_Model!$G$3:$AS$3&lt;=Horizon)*CEG_Model!$G$29:$AS$29*CEG_Model!$G$32:$AS$32)+B30*(1+EquityDisc)^-B32)/B8</f>
        <v>194.276579869577</v>
      </c>
      <c r="C34" s="11" t="n">
        <f aca="false">(SUMPRODUCT((VST_Model!$G$3:$AS$3&lt;=Horizon)*VST_Model!$G$29:$AS$29*VST_Model!$G$32:$AS$32)+C30*(1+EquityDisc)^-C32)/C8</f>
        <v>98.3265487315086</v>
      </c>
      <c r="E34" s="2" t="s">
        <v>34</v>
      </c>
    </row>
    <row r="35" customFormat="false" ht="15" hidden="false" customHeight="false" outlineLevel="0" collapsed="false">
      <c r="A35" s="6" t="s">
        <v>35</v>
      </c>
      <c r="B35" s="7" t="n">
        <f aca="false">B34-B23</f>
        <v>4.61371075537542</v>
      </c>
      <c r="C35" s="7" t="n">
        <f aca="false">C34-C23</f>
        <v>16.2706732737728</v>
      </c>
    </row>
    <row r="36" customFormat="false" ht="15" hidden="false" customHeight="false" outlineLevel="0" collapsed="false">
      <c r="A36" s="1" t="s">
        <v>36</v>
      </c>
      <c r="B36" s="11" t="n">
        <f aca="false">MAX(0,B31)/(1+TargetReturn)^B32</f>
        <v>144.927135653315</v>
      </c>
      <c r="C36" s="11" t="n">
        <f aca="false">MAX(0,C31)/(1+TargetReturn)^C32</f>
        <v>71.5398279679097</v>
      </c>
    </row>
    <row r="38" customFormat="false" ht="15" hidden="false" customHeight="false" outlineLevel="0" collapsed="false">
      <c r="A38" s="4" t="s">
        <v>37</v>
      </c>
      <c r="B38" s="5"/>
      <c r="C38" s="5"/>
      <c r="D38" s="5"/>
      <c r="E38" s="5"/>
    </row>
    <row r="39" customFormat="false" ht="15" hidden="false" customHeight="false" outlineLevel="0" collapsed="false">
      <c r="A39" s="6" t="s">
        <v>38</v>
      </c>
      <c r="B39" s="9" t="n">
        <f aca="false">CEG_Assets!AM20</f>
        <v>67874.4218054705</v>
      </c>
      <c r="C39" s="9" t="n">
        <f aca="false">VST_Assets!AM16</f>
        <v>49453.6188281412</v>
      </c>
    </row>
    <row r="40" customFormat="false" ht="15" hidden="false" customHeight="false" outlineLevel="0" collapsed="false">
      <c r="A40" s="6" t="s">
        <v>39</v>
      </c>
      <c r="B40" s="9" t="n">
        <f aca="false">B39-B10+B22</f>
        <v>52916.4218054705</v>
      </c>
      <c r="C40" s="9" t="n">
        <f aca="false">C39-C10+C22</f>
        <v>22867.6188281412</v>
      </c>
    </row>
    <row r="41" customFormat="false" ht="15" hidden="false" customHeight="false" outlineLevel="0" collapsed="false">
      <c r="A41" s="6" t="s">
        <v>40</v>
      </c>
      <c r="B41" s="9" t="n">
        <f aca="false">SUMPRODUCT((CEG_Model!$G$3:$AS$3&lt;=2026+RCYears)*CEG_Model!$G$29:$AS$29*CEG_Model!$G$32:$AS$32)</f>
        <v>30313.9646718291</v>
      </c>
      <c r="C41" s="9" t="n">
        <f aca="false">SUMPRODUCT((VST_Model!$G$3:$AS$3&lt;=2026+RCYears)*VST_Model!$G$29:$AS$29*VST_Model!$G$32:$AS$32)</f>
        <v>19838.7660109521</v>
      </c>
    </row>
    <row r="42" customFormat="false" ht="15" hidden="false" customHeight="false" outlineLevel="0" collapsed="false">
      <c r="A42" s="1" t="s">
        <v>41</v>
      </c>
      <c r="B42" s="11" t="n">
        <f aca="false">(B40+B41)/B8</f>
        <v>234.910364393872</v>
      </c>
      <c r="C42" s="11" t="n">
        <f aca="false">(C40+C41)/C8</f>
        <v>125.238665217282</v>
      </c>
    </row>
    <row r="43" customFormat="false" ht="15" hidden="false" customHeight="false" outlineLevel="0" collapsed="false">
      <c r="A43" s="6" t="s">
        <v>42</v>
      </c>
      <c r="B43" s="14" t="n">
        <f aca="false">B16/B39</f>
        <v>1.19365946735071</v>
      </c>
      <c r="C43" s="14" t="n">
        <f aca="false">C16/C39</f>
        <v>1.00236666291039</v>
      </c>
    </row>
    <row r="44" customFormat="false" ht="15" hidden="false" customHeight="false" outlineLevel="0" collapsed="false">
      <c r="A44" s="6" t="s">
        <v>43</v>
      </c>
      <c r="B44" s="14" t="n">
        <f aca="false">B11/B39</f>
        <v>1.59810195983515</v>
      </c>
      <c r="C44" s="14" t="n">
        <f aca="false">C11/C39</f>
        <v>1.49439336799244</v>
      </c>
    </row>
    <row r="46" customFormat="false" ht="15" hidden="false" customHeight="false" outlineLevel="0" collapsed="false">
      <c r="A46" s="4" t="s">
        <v>44</v>
      </c>
      <c r="B46" s="5"/>
      <c r="C46" s="5"/>
      <c r="D46" s="5"/>
      <c r="E46" s="5"/>
    </row>
    <row r="47" customFormat="false" ht="15" hidden="false" customHeight="false" outlineLevel="0" collapsed="false">
      <c r="A47" s="1" t="s">
        <v>45</v>
      </c>
      <c r="B47" s="15" t="n">
        <f aca="false">(CEG_W1*B23+CEG_W2*B34+CEG_W3*B42)/MAX(0.0001,CEG_W1+CEG_W2+CEG_W3)</f>
        <v>206.283271125884</v>
      </c>
      <c r="C47" s="15" t="n">
        <f aca="false">(VST_W1*C23+VST_W2*C34+VST_W3*C42)/MAX(0.0001,VST_W1+VST_W2+VST_W3)</f>
        <v>101.873696468842</v>
      </c>
    </row>
    <row r="48" customFormat="false" ht="15" hidden="false" customHeight="false" outlineLevel="0" collapsed="false">
      <c r="A48" s="1" t="s">
        <v>46</v>
      </c>
      <c r="B48" s="16" t="n">
        <f aca="false">B47/B7-1</f>
        <v>-0.21841673502109</v>
      </c>
      <c r="C48" s="16" t="n">
        <f aca="false">C47/C7-1</f>
        <v>-0.265828073876894</v>
      </c>
    </row>
    <row r="50" customFormat="false" ht="15" hidden="false" customHeight="false" outlineLevel="0" collapsed="false">
      <c r="A50" s="4" t="s">
        <v>47</v>
      </c>
      <c r="B50" s="5"/>
      <c r="C50" s="5"/>
      <c r="D50" s="5"/>
      <c r="E50" s="5"/>
    </row>
    <row r="51" customFormat="false" ht="15" hidden="false" customHeight="false" outlineLevel="0" collapsed="false">
      <c r="A51" s="1" t="s">
        <v>48</v>
      </c>
      <c r="B51" s="17" t="n">
        <v>2027</v>
      </c>
      <c r="C51" s="17" t="n">
        <v>2028</v>
      </c>
      <c r="D51" s="17" t="n">
        <v>2029</v>
      </c>
      <c r="E51" s="17" t="n">
        <v>2030</v>
      </c>
      <c r="F51" s="17" t="n">
        <v>2035</v>
      </c>
      <c r="G51" s="17" t="n">
        <v>2040</v>
      </c>
    </row>
    <row r="52" customFormat="false" ht="15" hidden="false" customHeight="false" outlineLevel="0" collapsed="false">
      <c r="A52" s="1" t="s">
        <v>2</v>
      </c>
    </row>
    <row r="53" customFormat="false" ht="15" hidden="false" customHeight="false" outlineLevel="0" collapsed="false">
      <c r="A53" s="6" t="s">
        <v>49</v>
      </c>
      <c r="B53" s="18" t="n">
        <f aca="false">CEG_Model!G10</f>
        <v>21383.589515648</v>
      </c>
      <c r="C53" s="18" t="n">
        <f aca="false">CEG_Model!H10</f>
        <v>22372.3456552732</v>
      </c>
      <c r="D53" s="18" t="n">
        <f aca="false">CEG_Model!I10</f>
        <v>21049.4700998095</v>
      </c>
      <c r="E53" s="18" t="n">
        <f aca="false">CEG_Model!J10</f>
        <v>20214.4397283962</v>
      </c>
      <c r="F53" s="18" t="n">
        <f aca="false">CEG_Model!O10</f>
        <v>22057.4681790589</v>
      </c>
      <c r="G53" s="18" t="n">
        <f aca="false">CEG_Model!T10</f>
        <v>23586.2324947394</v>
      </c>
    </row>
    <row r="54" customFormat="false" ht="15" hidden="false" customHeight="false" outlineLevel="0" collapsed="false">
      <c r="A54" s="6" t="s">
        <v>50</v>
      </c>
      <c r="B54" s="18" t="n">
        <f aca="false">CEG_Model!G12</f>
        <v>17363.4315562175</v>
      </c>
      <c r="C54" s="18" t="n">
        <f aca="false">CEG_Model!H12</f>
        <v>18227.191506036</v>
      </c>
      <c r="D54" s="18" t="n">
        <f aca="false">CEG_Model!I12</f>
        <v>16753.1873861992</v>
      </c>
      <c r="E54" s="18" t="n">
        <f aca="false">CEG_Model!J12</f>
        <v>15826.6985564277</v>
      </c>
      <c r="F54" s="18" t="n">
        <f aca="false">CEG_Model!O12</f>
        <v>17182.0519548589</v>
      </c>
      <c r="G54" s="18" t="n">
        <f aca="false">CEG_Model!T12</f>
        <v>18294.5507577222</v>
      </c>
    </row>
    <row r="55" customFormat="false" ht="15" hidden="false" customHeight="false" outlineLevel="0" collapsed="false">
      <c r="A55" s="6" t="s">
        <v>51</v>
      </c>
      <c r="B55" s="19" t="n">
        <f aca="false">CEG_Model!G13</f>
        <v>0.811997983009885</v>
      </c>
      <c r="C55" s="19" t="n">
        <f aca="false">CEG_Model!H13</f>
        <v>0.814719734215254</v>
      </c>
      <c r="D55" s="19" t="n">
        <f aca="false">CEG_Model!I13</f>
        <v>0.795895920741054</v>
      </c>
      <c r="E55" s="19" t="n">
        <f aca="false">CEG_Model!J13</f>
        <v>0.782940253060544</v>
      </c>
      <c r="F55" s="19" t="n">
        <f aca="false">CEG_Model!O13</f>
        <v>0.778967550372411</v>
      </c>
      <c r="G55" s="19" t="n">
        <f aca="false">CEG_Model!T13</f>
        <v>0.775645316046241</v>
      </c>
    </row>
    <row r="56" customFormat="false" ht="15" hidden="false" customHeight="false" outlineLevel="0" collapsed="false">
      <c r="A56" s="6" t="s">
        <v>52</v>
      </c>
      <c r="B56" s="18" t="n">
        <f aca="false">CEG_Model!G15</f>
        <v>12290.667028205</v>
      </c>
      <c r="C56" s="18" t="n">
        <f aca="false">CEG_Model!H15</f>
        <v>12871.0796364911</v>
      </c>
      <c r="D56" s="18" t="n">
        <f aca="false">CEG_Model!I15</f>
        <v>11266.9526491757</v>
      </c>
      <c r="E56" s="18" t="n">
        <f aca="false">CEG_Model!J15</f>
        <v>10207.1634788238</v>
      </c>
      <c r="F56" s="18" t="n">
        <f aca="false">CEG_Model!O15</f>
        <v>10845.5575795868</v>
      </c>
      <c r="G56" s="18" t="n">
        <f aca="false">CEG_Model!T15</f>
        <v>11240.773466837</v>
      </c>
    </row>
    <row r="57" customFormat="false" ht="15" hidden="false" customHeight="false" outlineLevel="0" collapsed="false">
      <c r="A57" s="6" t="s">
        <v>53</v>
      </c>
      <c r="B57" s="19" t="n">
        <f aca="false">CEG_Model!G16</f>
        <v>0.574770995263026</v>
      </c>
      <c r="C57" s="19" t="n">
        <f aca="false">CEG_Model!H16</f>
        <v>0.575312031863648</v>
      </c>
      <c r="D57" s="19" t="n">
        <f aca="false">CEG_Model!I16</f>
        <v>0.53526063106347</v>
      </c>
      <c r="E57" s="19" t="n">
        <f aca="false">CEG_Model!J16</f>
        <v>0.504944169413969</v>
      </c>
      <c r="F57" s="19" t="n">
        <f aca="false">CEG_Model!O16</f>
        <v>0.491695487965544</v>
      </c>
      <c r="G57" s="19" t="n">
        <f aca="false">CEG_Model!T16</f>
        <v>0.47658198355096</v>
      </c>
    </row>
    <row r="58" customFormat="false" ht="15" hidden="false" customHeight="false" outlineLevel="0" collapsed="false">
      <c r="A58" s="6" t="s">
        <v>54</v>
      </c>
      <c r="B58" s="18" t="n">
        <f aca="false">CEG_Model!G21</f>
        <v>10203.2752449675</v>
      </c>
      <c r="C58" s="18" t="n">
        <f aca="false">CEG_Model!H21</f>
        <v>11187.9707747235</v>
      </c>
      <c r="D58" s="18" t="n">
        <f aca="false">CEG_Model!I21</f>
        <v>9541.08560946988</v>
      </c>
      <c r="E58" s="18" t="n">
        <f aca="false">CEG_Model!J21</f>
        <v>8437.49417260343</v>
      </c>
      <c r="F58" s="18" t="n">
        <f aca="false">CEG_Model!O21</f>
        <v>8840.29705522352</v>
      </c>
      <c r="G58" s="18" t="n">
        <f aca="false">CEG_Model!T21</f>
        <v>8995.1582687483</v>
      </c>
    </row>
    <row r="59" customFormat="false" ht="15" hidden="false" customHeight="false" outlineLevel="0" collapsed="false">
      <c r="A59" s="6" t="s">
        <v>55</v>
      </c>
      <c r="B59" s="18" t="n">
        <f aca="false">CEG_Model!G29</f>
        <v>8028.080995974</v>
      </c>
      <c r="C59" s="18" t="n">
        <f aca="false">CEG_Model!H29</f>
        <v>8824.81341977877</v>
      </c>
      <c r="D59" s="18" t="n">
        <f aca="false">CEG_Model!I29</f>
        <v>7516.46080757591</v>
      </c>
      <c r="E59" s="18" t="n">
        <f aca="false">CEG_Model!J29</f>
        <v>6642.92628848274</v>
      </c>
      <c r="F59" s="18" t="n">
        <f aca="false">CEG_Model!O29</f>
        <v>7014.73917437263</v>
      </c>
      <c r="G59" s="18" t="n">
        <f aca="false">CEG_Model!T29</f>
        <v>7193.35807074631</v>
      </c>
    </row>
    <row r="60" customFormat="false" ht="15" hidden="false" customHeight="false" outlineLevel="0" collapsed="false">
      <c r="A60" s="6" t="s">
        <v>56</v>
      </c>
      <c r="B60" s="20" t="n">
        <f aca="false">B59/$B$9</f>
        <v>0.0858505842346061</v>
      </c>
      <c r="C60" s="20" t="n">
        <f aca="false">C59/$B$9</f>
        <v>0.0943706706782524</v>
      </c>
      <c r="D60" s="20" t="n">
        <f aca="false">D59/$B$9</f>
        <v>0.0803794271670301</v>
      </c>
      <c r="E60" s="20" t="n">
        <f aca="false">E59/$B$9</f>
        <v>0.071038035513053</v>
      </c>
      <c r="F60" s="20" t="n">
        <f aca="false">F59/$B$9</f>
        <v>0.0750141231354386</v>
      </c>
      <c r="G60" s="20" t="n">
        <f aca="false">G59/$B$9</f>
        <v>0.076924235479436</v>
      </c>
    </row>
    <row r="61" customFormat="false" ht="15" hidden="false" customHeight="false" outlineLevel="0" collapsed="false">
      <c r="A61" s="1" t="s">
        <v>3</v>
      </c>
    </row>
    <row r="62" customFormat="false" ht="15" hidden="false" customHeight="false" outlineLevel="0" collapsed="false">
      <c r="A62" s="6" t="s">
        <v>49</v>
      </c>
      <c r="B62" s="18" t="n">
        <f aca="false">VST_Model!G10</f>
        <v>16997.8868117675</v>
      </c>
      <c r="C62" s="18" t="n">
        <f aca="false">VST_Model!H10</f>
        <v>15567.4311890076</v>
      </c>
      <c r="D62" s="18" t="n">
        <f aca="false">VST_Model!I10</f>
        <v>14935.1588784391</v>
      </c>
      <c r="E62" s="18" t="n">
        <f aca="false">VST_Model!J10</f>
        <v>14833.1775788404</v>
      </c>
      <c r="F62" s="18" t="n">
        <f aca="false">VST_Model!O10</f>
        <v>16261.3655284638</v>
      </c>
      <c r="G62" s="18" t="n">
        <f aca="false">VST_Model!T10</f>
        <v>15923.7541470511</v>
      </c>
    </row>
    <row r="63" customFormat="false" ht="15" hidden="false" customHeight="false" outlineLevel="0" collapsed="false">
      <c r="A63" s="6" t="s">
        <v>50</v>
      </c>
      <c r="B63" s="18" t="n">
        <f aca="false">VST_Model!G12</f>
        <v>11247.4075119935</v>
      </c>
      <c r="C63" s="18" t="n">
        <f aca="false">VST_Model!H12</f>
        <v>10249.9585244054</v>
      </c>
      <c r="D63" s="18" t="n">
        <f aca="false">VST_Model!I12</f>
        <v>9413.79758520229</v>
      </c>
      <c r="E63" s="18" t="n">
        <f aca="false">VST_Model!J12</f>
        <v>9199.82502989468</v>
      </c>
      <c r="F63" s="18" t="n">
        <f aca="false">VST_Model!O12</f>
        <v>10032.9272402291</v>
      </c>
      <c r="G63" s="18" t="n">
        <f aca="false">VST_Model!T12</f>
        <v>9863.57304194747</v>
      </c>
    </row>
    <row r="64" customFormat="false" ht="15" hidden="false" customHeight="false" outlineLevel="0" collapsed="false">
      <c r="A64" s="6" t="s">
        <v>51</v>
      </c>
      <c r="B64" s="19" t="n">
        <f aca="false">VST_Model!G13</f>
        <v>0.661694458643354</v>
      </c>
      <c r="C64" s="19" t="n">
        <f aca="false">VST_Model!H13</f>
        <v>0.658423242727618</v>
      </c>
      <c r="D64" s="19" t="n">
        <f aca="false">VST_Model!I13</f>
        <v>0.630311177927432</v>
      </c>
      <c r="E64" s="19" t="n">
        <f aca="false">VST_Model!J13</f>
        <v>0.620219435855622</v>
      </c>
      <c r="F64" s="19" t="n">
        <f aca="false">VST_Model!O13</f>
        <v>0.616979381139151</v>
      </c>
      <c r="G64" s="19" t="n">
        <f aca="false">VST_Model!T13</f>
        <v>0.619425102325766</v>
      </c>
    </row>
    <row r="65" customFormat="false" ht="15" hidden="false" customHeight="false" outlineLevel="0" collapsed="false">
      <c r="A65" s="6" t="s">
        <v>52</v>
      </c>
      <c r="B65" s="18" t="n">
        <f aca="false">VST_Model!G15</f>
        <v>8599.32550049748</v>
      </c>
      <c r="C65" s="18" t="n">
        <f aca="false">VST_Model!H15</f>
        <v>7763.59986822204</v>
      </c>
      <c r="D65" s="18" t="n">
        <f aca="false">VST_Model!I15</f>
        <v>6871.5249948263</v>
      </c>
      <c r="E65" s="18" t="n">
        <f aca="false">VST_Model!J15</f>
        <v>6600.36555761553</v>
      </c>
      <c r="F65" s="18" t="n">
        <f aca="false">VST_Model!O15</f>
        <v>7127.38849224845</v>
      </c>
      <c r="G65" s="18" t="n">
        <f aca="false">VST_Model!T15</f>
        <v>6976.65285117782</v>
      </c>
    </row>
    <row r="66" customFormat="false" ht="15" hidden="false" customHeight="false" outlineLevel="0" collapsed="false">
      <c r="A66" s="6" t="s">
        <v>53</v>
      </c>
      <c r="B66" s="19" t="n">
        <f aca="false">VST_Model!G16</f>
        <v>0.505905563187081</v>
      </c>
      <c r="C66" s="19" t="n">
        <f aca="false">VST_Model!H16</f>
        <v>0.498707832651545</v>
      </c>
      <c r="D66" s="19" t="n">
        <f aca="false">VST_Model!I16</f>
        <v>0.460090518671768</v>
      </c>
      <c r="E66" s="19" t="n">
        <f aca="false">VST_Model!J16</f>
        <v>0.444973136911067</v>
      </c>
      <c r="F66" s="19" t="n">
        <f aca="false">VST_Model!O16</f>
        <v>0.438301966693555</v>
      </c>
      <c r="G66" s="19" t="n">
        <f aca="false">VST_Model!T16</f>
        <v>0.438128646470582</v>
      </c>
    </row>
    <row r="67" customFormat="false" ht="15" hidden="false" customHeight="false" outlineLevel="0" collapsed="false">
      <c r="A67" s="6" t="s">
        <v>54</v>
      </c>
      <c r="B67" s="18" t="n">
        <f aca="false">VST_Model!G21</f>
        <v>7764.80310639348</v>
      </c>
      <c r="C67" s="18" t="n">
        <f aca="false">VST_Model!H21</f>
        <v>6974.91391166544</v>
      </c>
      <c r="D67" s="18" t="n">
        <f aca="false">VST_Model!I21</f>
        <v>6063.32384325379</v>
      </c>
      <c r="E67" s="18" t="n">
        <f aca="false">VST_Model!J21</f>
        <v>5772.20550122966</v>
      </c>
      <c r="F67" s="18" t="n">
        <f aca="false">VST_Model!O21</f>
        <v>6192.41250478915</v>
      </c>
      <c r="G67" s="18" t="n">
        <f aca="false">VST_Model!T21</f>
        <v>6029.06866467096</v>
      </c>
    </row>
    <row r="68" customFormat="false" ht="15" hidden="false" customHeight="false" outlineLevel="0" collapsed="false">
      <c r="A68" s="6" t="s">
        <v>55</v>
      </c>
      <c r="B68" s="18" t="n">
        <f aca="false">VST_Model!G29</f>
        <v>5905.74248511479</v>
      </c>
      <c r="C68" s="18" t="n">
        <f aca="false">VST_Model!H29</f>
        <v>5291.99528933235</v>
      </c>
      <c r="D68" s="18" t="n">
        <f aca="false">VST_Model!I29</f>
        <v>4581.25067780303</v>
      </c>
      <c r="E68" s="18" t="n">
        <f aca="false">VST_Model!J29</f>
        <v>4367.25399624773</v>
      </c>
      <c r="F68" s="18" t="n">
        <f aca="false">VST_Model!O29</f>
        <v>4803.73242693263</v>
      </c>
      <c r="G68" s="18" t="n">
        <f aca="false">VST_Model!T29</f>
        <v>4783.81082236795</v>
      </c>
    </row>
    <row r="69" customFormat="false" ht="15" hidden="false" customHeight="false" outlineLevel="0" collapsed="false">
      <c r="A69" s="6" t="s">
        <v>56</v>
      </c>
      <c r="B69" s="20" t="n">
        <f aca="false">B68/$C$9</f>
        <v>0.124811854412116</v>
      </c>
      <c r="C69" s="20" t="n">
        <f aca="false">C68/$C$9</f>
        <v>0.111840932324179</v>
      </c>
      <c r="D69" s="20" t="n">
        <f aca="false">D68/$C$9</f>
        <v>0.0968200686136495</v>
      </c>
      <c r="E69" s="20" t="n">
        <f aca="false">E68/$C$9</f>
        <v>0.0922974666325648</v>
      </c>
      <c r="F69" s="20" t="n">
        <f aca="false">F68/$C$9</f>
        <v>0.101521993858732</v>
      </c>
      <c r="G69" s="20" t="n">
        <f aca="false">G68/$C$9</f>
        <v>0.101100971029706</v>
      </c>
    </row>
    <row r="71" customFormat="false" ht="15" hidden="false" customHeight="false" outlineLevel="0" collapsed="false">
      <c r="A71" s="21" t="s">
        <v>57</v>
      </c>
      <c r="B71" s="5"/>
      <c r="C71" s="5"/>
      <c r="D71" s="5"/>
      <c r="E71" s="5"/>
      <c r="F71" s="5"/>
      <c r="G71" s="5"/>
      <c r="H71" s="5"/>
      <c r="I71" s="5"/>
      <c r="J71" s="5"/>
      <c r="K71" s="5"/>
    </row>
    <row r="72" customFormat="false" ht="15" hidden="false" customHeight="false" outlineLevel="0" collapsed="false">
      <c r="A72" s="22" t="s">
        <v>2</v>
      </c>
      <c r="B72" s="22" t="s">
        <v>58</v>
      </c>
      <c r="C72" s="22" t="s">
        <v>59</v>
      </c>
      <c r="D72" s="22" t="s">
        <v>60</v>
      </c>
      <c r="E72" s="22" t="s">
        <v>61</v>
      </c>
      <c r="F72" s="22" t="s">
        <v>62</v>
      </c>
      <c r="G72" s="22" t="s">
        <v>63</v>
      </c>
      <c r="H72" s="22" t="s">
        <v>64</v>
      </c>
      <c r="I72" s="22" t="s">
        <v>65</v>
      </c>
      <c r="J72" s="22" t="s">
        <v>66</v>
      </c>
    </row>
    <row r="73" customFormat="false" ht="15" hidden="false" customHeight="false" outlineLevel="0" collapsed="false">
      <c r="A73" s="23" t="s">
        <v>67</v>
      </c>
      <c r="B73" s="24" t="n">
        <v>76.7048</v>
      </c>
      <c r="C73" s="24" t="n">
        <v>93.6393</v>
      </c>
      <c r="D73" s="24" t="n">
        <v>100.4862</v>
      </c>
      <c r="E73" s="24" t="n">
        <v>128.4628</v>
      </c>
      <c r="F73" s="25" t="n">
        <v>-0.1558</v>
      </c>
      <c r="G73" s="24" t="n">
        <v>70.927</v>
      </c>
      <c r="H73" s="24" t="n">
        <v>217.3647</v>
      </c>
      <c r="I73" s="24" t="n">
        <v>137.1634</v>
      </c>
      <c r="J73" s="25" t="n">
        <v>-0.4803</v>
      </c>
    </row>
    <row r="74" customFormat="false" ht="15" hidden="false" customHeight="false" outlineLevel="0" collapsed="false">
      <c r="A74" s="23" t="s">
        <v>68</v>
      </c>
      <c r="B74" s="24" t="n">
        <v>172.7284</v>
      </c>
      <c r="C74" s="24" t="n">
        <v>189.6629</v>
      </c>
      <c r="D74" s="24" t="n">
        <v>194.2766</v>
      </c>
      <c r="E74" s="24" t="n">
        <v>262.4917</v>
      </c>
      <c r="F74" s="25" t="n">
        <v>-0.0013</v>
      </c>
      <c r="G74" s="24" t="n">
        <v>144.9271</v>
      </c>
      <c r="H74" s="24" t="n">
        <v>234.9104</v>
      </c>
      <c r="I74" s="24" t="n">
        <v>206.2833</v>
      </c>
      <c r="J74" s="25" t="n">
        <v>-0.2184</v>
      </c>
    </row>
    <row r="75" customFormat="false" ht="15" hidden="false" customHeight="false" outlineLevel="0" collapsed="false">
      <c r="A75" s="23" t="s">
        <v>69</v>
      </c>
      <c r="B75" s="24" t="n">
        <v>270.0979</v>
      </c>
      <c r="C75" s="24" t="n">
        <v>287.0323</v>
      </c>
      <c r="D75" s="24" t="n">
        <v>289.5044</v>
      </c>
      <c r="E75" s="24" t="n">
        <v>398.5534</v>
      </c>
      <c r="F75" s="25" t="n">
        <v>0.1018</v>
      </c>
      <c r="G75" s="24" t="n">
        <v>220.0496</v>
      </c>
      <c r="H75" s="24" t="n">
        <v>253.2449</v>
      </c>
      <c r="I75" s="24" t="n">
        <v>276.5939</v>
      </c>
      <c r="J75" s="25" t="n">
        <v>0.048</v>
      </c>
    </row>
    <row r="76" customFormat="false" ht="15" hidden="false" customHeight="false" outlineLevel="0" collapsed="false">
      <c r="A76" s="23" t="s">
        <v>70</v>
      </c>
      <c r="B76" s="24" t="n">
        <v>414.606</v>
      </c>
      <c r="C76" s="24" t="n">
        <v>431.5405</v>
      </c>
      <c r="D76" s="24" t="n">
        <v>430.9156</v>
      </c>
      <c r="E76" s="24" t="n">
        <v>600.6342</v>
      </c>
      <c r="F76" s="25" t="n">
        <v>0.2135</v>
      </c>
      <c r="G76" s="24" t="n">
        <v>331.6227</v>
      </c>
      <c r="H76" s="24" t="n">
        <v>280.4891</v>
      </c>
      <c r="I76" s="24" t="n">
        <v>380.9818</v>
      </c>
      <c r="J76" s="25" t="n">
        <v>0.4435</v>
      </c>
    </row>
    <row r="77" customFormat="false" ht="15" hidden="false" customHeight="false" outlineLevel="0" collapsed="false">
      <c r="A77" s="23" t="s">
        <v>71</v>
      </c>
      <c r="B77" s="24" t="n">
        <v>187.9427</v>
      </c>
      <c r="C77" s="24" t="n">
        <v>204.8772</v>
      </c>
      <c r="D77" s="24" t="n">
        <v>209.6363</v>
      </c>
      <c r="E77" s="24" t="n">
        <v>284.3999</v>
      </c>
      <c r="F77" s="25" t="n">
        <v>0.0177</v>
      </c>
      <c r="G77" s="24" t="n">
        <v>157.0232</v>
      </c>
      <c r="H77" s="24" t="n">
        <v>238.4214</v>
      </c>
      <c r="I77" s="24" t="n">
        <v>217.645</v>
      </c>
      <c r="J77" s="25" t="n">
        <v>-0.1754</v>
      </c>
    </row>
    <row r="78" customFormat="false" ht="15" hidden="false" customHeight="false" outlineLevel="0" collapsed="false">
      <c r="A78" s="23" t="s">
        <v>72</v>
      </c>
      <c r="B78" s="24" t="n">
        <v>187.9427</v>
      </c>
      <c r="C78" s="24" t="n">
        <v>216.1668</v>
      </c>
      <c r="D78" s="24" t="n">
        <v>218.1089</v>
      </c>
      <c r="E78" s="24" t="n">
        <v>296.6202</v>
      </c>
      <c r="F78" s="25" t="n">
        <v>0.0279</v>
      </c>
      <c r="G78" s="24" t="n">
        <v>163.7702</v>
      </c>
      <c r="H78" s="24" t="n">
        <v>238.4214</v>
      </c>
      <c r="I78" s="24" t="n">
        <v>224.2324</v>
      </c>
      <c r="J78" s="25" t="n">
        <v>-0.1504</v>
      </c>
    </row>
    <row r="80" customFormat="false" ht="15" hidden="false" customHeight="false" outlineLevel="0" collapsed="false">
      <c r="A80" s="22" t="s">
        <v>3</v>
      </c>
      <c r="B80" s="22" t="s">
        <v>58</v>
      </c>
      <c r="C80" s="22" t="s">
        <v>59</v>
      </c>
      <c r="D80" s="22" t="s">
        <v>60</v>
      </c>
      <c r="E80" s="22" t="s">
        <v>61</v>
      </c>
      <c r="F80" s="22" t="s">
        <v>62</v>
      </c>
      <c r="G80" s="22" t="s">
        <v>63</v>
      </c>
      <c r="H80" s="22" t="s">
        <v>64</v>
      </c>
      <c r="I80" s="22" t="s">
        <v>65</v>
      </c>
      <c r="J80" s="22" t="s">
        <v>66</v>
      </c>
    </row>
    <row r="81" customFormat="false" ht="15" hidden="false" customHeight="false" outlineLevel="0" collapsed="false">
      <c r="A81" s="23" t="s">
        <v>67</v>
      </c>
      <c r="B81" s="24" t="n">
        <v>1.3276</v>
      </c>
      <c r="C81" s="24" t="n">
        <v>27.0695</v>
      </c>
      <c r="D81" s="24" t="n">
        <v>42.7584</v>
      </c>
      <c r="E81" s="24" t="n">
        <v>50.363</v>
      </c>
      <c r="F81" s="25" t="n">
        <v>-0.2122</v>
      </c>
      <c r="G81" s="24" t="n">
        <v>27.8064</v>
      </c>
      <c r="H81" s="24" t="n">
        <v>112.409</v>
      </c>
      <c r="I81" s="24" t="n">
        <v>60.7457</v>
      </c>
      <c r="J81" s="25" t="n">
        <v>-0.5622</v>
      </c>
    </row>
    <row r="82" customFormat="false" ht="15" hidden="false" customHeight="false" outlineLevel="0" collapsed="false">
      <c r="A82" s="23" t="s">
        <v>68</v>
      </c>
      <c r="B82" s="24" t="n">
        <v>56.3139</v>
      </c>
      <c r="C82" s="24" t="n">
        <v>82.0559</v>
      </c>
      <c r="D82" s="24" t="n">
        <v>98.3265</v>
      </c>
      <c r="E82" s="24" t="n">
        <v>129.5728</v>
      </c>
      <c r="F82" s="25" t="n">
        <v>-0.016</v>
      </c>
      <c r="G82" s="24" t="n">
        <v>71.5398</v>
      </c>
      <c r="H82" s="24" t="n">
        <v>125.2387</v>
      </c>
      <c r="I82" s="24" t="n">
        <v>101.8737</v>
      </c>
      <c r="J82" s="25" t="n">
        <v>-0.2658</v>
      </c>
    </row>
    <row r="83" customFormat="false" ht="15" hidden="false" customHeight="false" outlineLevel="0" collapsed="false">
      <c r="A83" s="23" t="s">
        <v>69</v>
      </c>
      <c r="B83" s="24" t="n">
        <v>114.5474</v>
      </c>
      <c r="C83" s="24" t="n">
        <v>140.2893</v>
      </c>
      <c r="D83" s="24" t="n">
        <v>157.2361</v>
      </c>
      <c r="E83" s="24" t="n">
        <v>213.5256</v>
      </c>
      <c r="F83" s="25" t="n">
        <v>0.1067</v>
      </c>
      <c r="G83" s="24" t="n">
        <v>117.8919</v>
      </c>
      <c r="H83" s="24" t="n">
        <v>139.3437</v>
      </c>
      <c r="I83" s="24" t="n">
        <v>145.623</v>
      </c>
      <c r="J83" s="25" t="n">
        <v>0.0495</v>
      </c>
    </row>
    <row r="84" customFormat="false" ht="15" hidden="false" customHeight="false" outlineLevel="0" collapsed="false">
      <c r="A84" s="23" t="s">
        <v>70</v>
      </c>
      <c r="B84" s="24" t="n">
        <v>203.5726</v>
      </c>
      <c r="C84" s="24" t="n">
        <v>229.3146</v>
      </c>
      <c r="D84" s="24" t="n">
        <v>247.336</v>
      </c>
      <c r="E84" s="24" t="n">
        <v>341.9623</v>
      </c>
      <c r="F84" s="25" t="n">
        <v>0.2364</v>
      </c>
      <c r="G84" s="24" t="n">
        <v>188.8045</v>
      </c>
      <c r="H84" s="24" t="n">
        <v>160.9369</v>
      </c>
      <c r="I84" s="24" t="n">
        <v>212.5292</v>
      </c>
      <c r="J84" s="25" t="n">
        <v>0.5316</v>
      </c>
    </row>
    <row r="85" customFormat="false" ht="15" hidden="false" customHeight="false" outlineLevel="0" collapsed="false">
      <c r="A85" s="23" t="s">
        <v>71</v>
      </c>
      <c r="B85" s="24" t="n">
        <v>75.005</v>
      </c>
      <c r="C85" s="24" t="n">
        <v>100.7469</v>
      </c>
      <c r="D85" s="24" t="n">
        <v>117.3975</v>
      </c>
      <c r="E85" s="24" t="n">
        <v>156.7196</v>
      </c>
      <c r="F85" s="25" t="n">
        <v>0.0291</v>
      </c>
      <c r="G85" s="24" t="n">
        <v>86.5281</v>
      </c>
      <c r="H85" s="24" t="n">
        <v>130.327</v>
      </c>
      <c r="I85" s="24" t="n">
        <v>116.1571</v>
      </c>
      <c r="J85" s="25" t="n">
        <v>-0.1629</v>
      </c>
    </row>
    <row r="86" customFormat="false" ht="15" hidden="false" customHeight="false" outlineLevel="0" collapsed="false">
      <c r="A86" s="23" t="s">
        <v>72</v>
      </c>
      <c r="B86" s="24" t="n">
        <v>75.005</v>
      </c>
      <c r="C86" s="24" t="n">
        <v>117.9082</v>
      </c>
      <c r="D86" s="24" t="n">
        <v>130.2767</v>
      </c>
      <c r="E86" s="24" t="n">
        <v>175.2955</v>
      </c>
      <c r="F86" s="25" t="n">
        <v>0.0565</v>
      </c>
      <c r="G86" s="24" t="n">
        <v>96.7843</v>
      </c>
      <c r="H86" s="24" t="n">
        <v>130.327</v>
      </c>
      <c r="I86" s="24" t="n">
        <v>126.1706</v>
      </c>
      <c r="J86" s="25" t="n">
        <v>-0.0907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3"/>
    <col collapsed="false" customWidth="true" hidden="false" outlineLevel="0" max="7" min="7" style="0" width="60"/>
    <col collapsed="false" customWidth="true" hidden="false" outlineLevel="0" max="21" min="8" style="0" width="13"/>
  </cols>
  <sheetData>
    <row r="1" customFormat="false" ht="15" hidden="false" customHeight="false" outlineLevel="0" collapsed="false">
      <c r="A1" s="1" t="s">
        <v>73</v>
      </c>
    </row>
    <row r="3" customFormat="false" ht="15" hidden="false" customHeight="false" outlineLevel="0" collapsed="false">
      <c r="A3" s="26" t="s">
        <v>74</v>
      </c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6" t="s">
        <v>75</v>
      </c>
      <c r="B4" s="27" t="s">
        <v>68</v>
      </c>
      <c r="G4" s="2" t="s">
        <v>76</v>
      </c>
    </row>
    <row r="5" customFormat="false" ht="15" hidden="false" customHeight="false" outlineLevel="0" collapsed="false">
      <c r="A5" s="6" t="s">
        <v>77</v>
      </c>
      <c r="B5" s="27" t="s">
        <v>78</v>
      </c>
      <c r="G5" s="2" t="s">
        <v>79</v>
      </c>
    </row>
    <row r="6" customFormat="false" ht="15" hidden="false" customHeight="false" outlineLevel="0" collapsed="false">
      <c r="A6" s="6" t="s">
        <v>80</v>
      </c>
      <c r="B6" s="28" t="n">
        <v>0</v>
      </c>
      <c r="G6" s="2" t="s">
        <v>81</v>
      </c>
    </row>
    <row r="7" customFormat="false" ht="15" hidden="false" customHeight="false" outlineLevel="0" collapsed="false">
      <c r="A7" s="6" t="s">
        <v>82</v>
      </c>
      <c r="B7" s="29" t="n">
        <v>0</v>
      </c>
      <c r="G7" s="2" t="s">
        <v>83</v>
      </c>
    </row>
    <row r="8" customFormat="false" ht="15" hidden="false" customHeight="false" outlineLevel="0" collapsed="false">
      <c r="A8" s="6" t="s">
        <v>84</v>
      </c>
      <c r="B8" s="30"/>
    </row>
    <row r="9" customFormat="false" ht="15" hidden="false" customHeight="false" outlineLevel="0" collapsed="false">
      <c r="A9" s="6" t="s">
        <v>85</v>
      </c>
      <c r="B9" s="27" t="n">
        <v>2</v>
      </c>
      <c r="G9" s="2" t="s">
        <v>86</v>
      </c>
    </row>
    <row r="10" customFormat="false" ht="15" hidden="false" customHeight="false" outlineLevel="0" collapsed="false">
      <c r="A10" s="6" t="s">
        <v>87</v>
      </c>
      <c r="B10" s="31" t="n">
        <v>2030</v>
      </c>
    </row>
    <row r="11" customFormat="false" ht="15" hidden="false" customHeight="false" outlineLevel="0" collapsed="false">
      <c r="A11" s="6" t="s">
        <v>88</v>
      </c>
      <c r="B11" s="31" t="n">
        <v>5</v>
      </c>
      <c r="G11" s="2" t="s">
        <v>89</v>
      </c>
    </row>
    <row r="12" customFormat="false" ht="15" hidden="false" customHeight="false" outlineLevel="0" collapsed="false">
      <c r="A12" s="6" t="s">
        <v>90</v>
      </c>
      <c r="B12" s="32" t="n">
        <v>0.15</v>
      </c>
    </row>
    <row r="13" customFormat="false" ht="15" hidden="false" customHeight="false" outlineLevel="0" collapsed="false">
      <c r="A13" s="6" t="s">
        <v>91</v>
      </c>
      <c r="B13" s="33" t="n">
        <v>0.09</v>
      </c>
    </row>
    <row r="15" customFormat="false" ht="15" hidden="false" customHeight="false" outlineLevel="0" collapsed="false">
      <c r="A15" s="26" t="s">
        <v>92</v>
      </c>
      <c r="B15" s="5"/>
      <c r="C15" s="5"/>
      <c r="D15" s="5"/>
      <c r="E15" s="5"/>
      <c r="F15" s="5"/>
      <c r="G15" s="5"/>
    </row>
    <row r="16" customFormat="false" ht="15" hidden="false" customHeight="false" outlineLevel="0" collapsed="false">
      <c r="A16" s="6" t="s">
        <v>93</v>
      </c>
      <c r="B16" s="34" t="n">
        <v>2026.75</v>
      </c>
      <c r="G16" s="2" t="s">
        <v>94</v>
      </c>
    </row>
    <row r="17" customFormat="false" ht="15" hidden="false" customHeight="false" outlineLevel="0" collapsed="false">
      <c r="A17" s="6" t="s">
        <v>95</v>
      </c>
      <c r="B17" s="33" t="n">
        <v>0.02</v>
      </c>
    </row>
    <row r="18" customFormat="false" ht="15" hidden="false" customHeight="false" outlineLevel="0" collapsed="false">
      <c r="A18" s="6" t="s">
        <v>96</v>
      </c>
      <c r="B18" s="33" t="n">
        <v>0.2</v>
      </c>
      <c r="G18" s="2" t="s">
        <v>97</v>
      </c>
    </row>
    <row r="19" customFormat="false" ht="15" hidden="false" customHeight="false" outlineLevel="0" collapsed="false">
      <c r="A19" s="6" t="s">
        <v>98</v>
      </c>
      <c r="B19" s="35" t="n">
        <v>3.9</v>
      </c>
      <c r="G19" s="2" t="s">
        <v>99</v>
      </c>
    </row>
    <row r="20" customFormat="false" ht="15" hidden="false" customHeight="false" outlineLevel="0" collapsed="false">
      <c r="A20" s="6" t="s">
        <v>100</v>
      </c>
      <c r="B20" s="35" t="n">
        <v>3.9</v>
      </c>
    </row>
    <row r="21" customFormat="false" ht="15" hidden="false" customHeight="false" outlineLevel="0" collapsed="false">
      <c r="A21" s="6" t="s">
        <v>101</v>
      </c>
      <c r="B21" s="35" t="n">
        <v>4</v>
      </c>
    </row>
    <row r="22" customFormat="false" ht="15" hidden="false" customHeight="false" outlineLevel="0" collapsed="false">
      <c r="A22" s="6" t="s">
        <v>102</v>
      </c>
      <c r="B22" s="35" t="n">
        <v>0.3</v>
      </c>
      <c r="G22" s="2" t="s">
        <v>103</v>
      </c>
    </row>
    <row r="23" customFormat="false" ht="15" hidden="false" customHeight="false" outlineLevel="0" collapsed="false">
      <c r="A23" s="6" t="s">
        <v>104</v>
      </c>
      <c r="B23" s="35" t="n">
        <v>15</v>
      </c>
      <c r="G23" s="2" t="s">
        <v>105</v>
      </c>
    </row>
    <row r="24" customFormat="false" ht="15" hidden="false" customHeight="false" outlineLevel="0" collapsed="false">
      <c r="A24" s="6" t="s">
        <v>106</v>
      </c>
      <c r="B24" s="35" t="n">
        <v>25</v>
      </c>
    </row>
    <row r="25" customFormat="false" ht="15" hidden="false" customHeight="false" outlineLevel="0" collapsed="false">
      <c r="A25" s="6" t="s">
        <v>107</v>
      </c>
      <c r="B25" s="36" t="n">
        <v>2024</v>
      </c>
    </row>
    <row r="26" customFormat="false" ht="15" hidden="false" customHeight="false" outlineLevel="0" collapsed="false">
      <c r="A26" s="6" t="s">
        <v>108</v>
      </c>
      <c r="B26" s="36" t="n">
        <v>2032</v>
      </c>
    </row>
    <row r="27" customFormat="false" ht="15" hidden="false" customHeight="false" outlineLevel="0" collapsed="false">
      <c r="A27" s="6" t="s">
        <v>109</v>
      </c>
      <c r="B27" s="33" t="n">
        <v>0.085</v>
      </c>
    </row>
    <row r="28" customFormat="false" ht="15" hidden="false" customHeight="false" outlineLevel="0" collapsed="false">
      <c r="A28" s="6" t="s">
        <v>110</v>
      </c>
      <c r="B28" s="36" t="n">
        <v>30</v>
      </c>
    </row>
    <row r="30" customFormat="false" ht="15" hidden="false" customHeight="false" outlineLevel="0" collapsed="false">
      <c r="A30" s="26" t="s">
        <v>111</v>
      </c>
      <c r="B30" s="5"/>
      <c r="C30" s="5"/>
      <c r="D30" s="5"/>
      <c r="E30" s="5"/>
      <c r="F30" s="5"/>
      <c r="G30" s="5"/>
    </row>
    <row r="31" customFormat="false" ht="15" hidden="false" customHeight="false" outlineLevel="0" collapsed="false">
      <c r="A31" s="3" t="s">
        <v>1</v>
      </c>
      <c r="B31" s="3" t="s">
        <v>112</v>
      </c>
      <c r="C31" s="3" t="s">
        <v>113</v>
      </c>
      <c r="D31" s="3" t="s">
        <v>114</v>
      </c>
    </row>
    <row r="32" customFormat="false" ht="15" hidden="false" customHeight="false" outlineLevel="0" collapsed="false">
      <c r="A32" s="6" t="s">
        <v>115</v>
      </c>
      <c r="B32" s="37" t="n">
        <v>72</v>
      </c>
      <c r="C32" s="37" t="n">
        <v>73</v>
      </c>
      <c r="D32" s="37" t="n">
        <v>70</v>
      </c>
      <c r="G32" s="2" t="s">
        <v>116</v>
      </c>
    </row>
    <row r="33" customFormat="false" ht="15" hidden="false" customHeight="false" outlineLevel="0" collapsed="false">
      <c r="A33" s="6" t="s">
        <v>117</v>
      </c>
      <c r="B33" s="37" t="n">
        <v>49</v>
      </c>
      <c r="C33" s="37" t="n">
        <v>51</v>
      </c>
      <c r="D33" s="37" t="n">
        <v>52</v>
      </c>
      <c r="G33" s="2" t="s">
        <v>118</v>
      </c>
    </row>
    <row r="34" customFormat="false" ht="15" hidden="false" customHeight="false" outlineLevel="0" collapsed="false">
      <c r="A34" s="6" t="s">
        <v>119</v>
      </c>
      <c r="B34" s="35" t="n">
        <v>331.66</v>
      </c>
      <c r="C34" s="35" t="n">
        <v>328.52</v>
      </c>
      <c r="D34" s="35" t="n">
        <v>325</v>
      </c>
      <c r="G34" s="2" t="s">
        <v>120</v>
      </c>
    </row>
    <row r="36" customFormat="false" ht="15" hidden="false" customHeight="false" outlineLevel="0" collapsed="false">
      <c r="A36" s="26" t="s">
        <v>121</v>
      </c>
      <c r="B36" s="5"/>
      <c r="C36" s="5"/>
      <c r="D36" s="5"/>
      <c r="E36" s="5"/>
      <c r="F36" s="5"/>
      <c r="G36" s="5"/>
    </row>
    <row r="37" customFormat="false" ht="15" hidden="false" customHeight="false" outlineLevel="0" collapsed="false">
      <c r="A37" s="3" t="s">
        <v>122</v>
      </c>
      <c r="B37" s="3" t="s">
        <v>67</v>
      </c>
      <c r="C37" s="3" t="s">
        <v>68</v>
      </c>
      <c r="D37" s="3" t="s">
        <v>69</v>
      </c>
      <c r="E37" s="3" t="s">
        <v>70</v>
      </c>
      <c r="F37" s="3" t="s">
        <v>123</v>
      </c>
      <c r="G37" s="3" t="s">
        <v>124</v>
      </c>
    </row>
    <row r="38" customFormat="false" ht="15" hidden="false" customHeight="false" outlineLevel="0" collapsed="false">
      <c r="A38" s="6" t="s">
        <v>125</v>
      </c>
      <c r="B38" s="35" t="n">
        <v>13</v>
      </c>
      <c r="C38" s="35" t="n">
        <v>16.5</v>
      </c>
      <c r="D38" s="35" t="n">
        <v>20</v>
      </c>
      <c r="E38" s="35" t="n">
        <v>25</v>
      </c>
      <c r="F38" s="11" t="n">
        <f aca="false">INDEX(B38:E38,MATCH(Scenario,$B$37:$E$37,0))</f>
        <v>16.5</v>
      </c>
    </row>
    <row r="39" customFormat="false" ht="15" hidden="false" customHeight="false" outlineLevel="0" collapsed="false">
      <c r="A39" s="6" t="s">
        <v>126</v>
      </c>
      <c r="B39" s="35" t="n">
        <v>10.5</v>
      </c>
      <c r="C39" s="35" t="n">
        <v>13</v>
      </c>
      <c r="D39" s="35" t="n">
        <v>16</v>
      </c>
      <c r="E39" s="35" t="n">
        <v>21</v>
      </c>
      <c r="F39" s="11" t="n">
        <f aca="false">INDEX(B39:E39,MATCH(Scenario,$B$37:$E$37,0))</f>
        <v>13</v>
      </c>
      <c r="G39" s="11" t="n">
        <f aca="false">INDEX(B39:E39,MATCH(IF(ERCOTScen="Same",Scenario,ERCOTScen),$B$37:$E$37,0))</f>
        <v>13</v>
      </c>
    </row>
    <row r="40" customFormat="false" ht="15" hidden="false" customHeight="false" outlineLevel="0" collapsed="false">
      <c r="A40" s="6" t="s">
        <v>127</v>
      </c>
      <c r="B40" s="38" t="n">
        <v>120</v>
      </c>
      <c r="C40" s="38" t="n">
        <v>230</v>
      </c>
      <c r="D40" s="38" t="n">
        <v>325</v>
      </c>
      <c r="E40" s="38" t="n">
        <v>475</v>
      </c>
      <c r="F40" s="10" t="n">
        <f aca="false">INDEX(B40:E40,MATCH(Scenario,$B$37:$E$37,0))</f>
        <v>230</v>
      </c>
    </row>
    <row r="41" customFormat="false" ht="15" hidden="false" customHeight="false" outlineLevel="0" collapsed="false">
      <c r="A41" s="6" t="s">
        <v>128</v>
      </c>
      <c r="B41" s="38" t="n">
        <v>60</v>
      </c>
      <c r="C41" s="38" t="n">
        <v>110</v>
      </c>
      <c r="D41" s="38" t="n">
        <v>170</v>
      </c>
      <c r="E41" s="38" t="n">
        <v>250</v>
      </c>
      <c r="F41" s="10" t="n">
        <f aca="false">INDEX(B41:E41,MATCH(Scenario,$B$37:$E$37,0))</f>
        <v>110</v>
      </c>
    </row>
    <row r="42" customFormat="false" ht="15" hidden="false" customHeight="false" outlineLevel="0" collapsed="false">
      <c r="A42" s="6" t="s">
        <v>129</v>
      </c>
      <c r="B42" s="38" t="n">
        <v>150</v>
      </c>
      <c r="C42" s="38" t="n">
        <v>220</v>
      </c>
      <c r="D42" s="38" t="n">
        <v>280</v>
      </c>
      <c r="E42" s="38" t="n">
        <v>350</v>
      </c>
      <c r="F42" s="10" t="n">
        <f aca="false">INDEX(B42:E42,MATCH(Scenario,$B$37:$E$37,0))</f>
        <v>220</v>
      </c>
    </row>
    <row r="43" customFormat="false" ht="15" hidden="false" customHeight="false" outlineLevel="0" collapsed="false">
      <c r="A43" s="6" t="s">
        <v>130</v>
      </c>
      <c r="B43" s="35" t="n">
        <v>2</v>
      </c>
      <c r="C43" s="35" t="n">
        <v>2.5</v>
      </c>
      <c r="D43" s="35" t="n">
        <v>3</v>
      </c>
      <c r="E43" s="35" t="n">
        <v>3.6</v>
      </c>
      <c r="F43" s="11" t="n">
        <f aca="false">INDEX(B43:E43,MATCH(Scenario,$B$37:$E$37,0))</f>
        <v>2.5</v>
      </c>
      <c r="G43" s="11" t="n">
        <f aca="false">INDEX(B43:E43,MATCH(IF(ERCOTScen="Same",Scenario,ERCOTScen),$B$37:$E$37,0))</f>
        <v>2.5</v>
      </c>
    </row>
    <row r="44" customFormat="false" ht="15" hidden="false" customHeight="false" outlineLevel="0" collapsed="false">
      <c r="A44" s="6" t="s">
        <v>131</v>
      </c>
      <c r="B44" s="38" t="n">
        <v>300</v>
      </c>
      <c r="C44" s="38" t="n">
        <v>450</v>
      </c>
      <c r="D44" s="38" t="n">
        <v>650</v>
      </c>
      <c r="E44" s="38" t="n">
        <v>850</v>
      </c>
      <c r="F44" s="10" t="n">
        <f aca="false">INDEX(B44:E44,MATCH(Scenario,$B$37:$E$37,0))</f>
        <v>450</v>
      </c>
    </row>
    <row r="45" customFormat="false" ht="15" hidden="false" customHeight="false" outlineLevel="0" collapsed="false">
      <c r="A45" s="6" t="s">
        <v>132</v>
      </c>
      <c r="B45" s="38" t="n">
        <v>380</v>
      </c>
      <c r="C45" s="38" t="n">
        <v>700</v>
      </c>
      <c r="D45" s="38" t="n">
        <v>1000</v>
      </c>
      <c r="E45" s="38" t="n">
        <v>1400</v>
      </c>
      <c r="F45" s="10" t="n">
        <f aca="false">INDEX(B45:E45,MATCH(Scenario,$B$37:$E$37,0))</f>
        <v>700</v>
      </c>
    </row>
    <row r="46" customFormat="false" ht="15" hidden="false" customHeight="false" outlineLevel="0" collapsed="false">
      <c r="A46" s="6" t="s">
        <v>133</v>
      </c>
      <c r="F46" s="10" t="n">
        <f aca="false">IF(ISNUMBER(PJMCapOverride),PJMCapOverride,PJMCapScen)</f>
        <v>230</v>
      </c>
    </row>
    <row r="48" customFormat="false" ht="15" hidden="false" customHeight="false" outlineLevel="0" collapsed="false">
      <c r="A48" s="26" t="s">
        <v>134</v>
      </c>
      <c r="B48" s="5"/>
      <c r="C48" s="5"/>
      <c r="D48" s="5"/>
      <c r="E48" s="5"/>
      <c r="F48" s="5"/>
      <c r="G48" s="5"/>
    </row>
    <row r="49" customFormat="false" ht="23.85" hidden="false" customHeight="false" outlineLevel="0" collapsed="false">
      <c r="A49" s="3" t="s">
        <v>135</v>
      </c>
      <c r="B49" s="3" t="s">
        <v>136</v>
      </c>
      <c r="C49" s="3" t="s">
        <v>137</v>
      </c>
      <c r="D49" s="3" t="s">
        <v>138</v>
      </c>
      <c r="E49" s="3" t="s">
        <v>139</v>
      </c>
      <c r="F49" s="3" t="s">
        <v>140</v>
      </c>
    </row>
    <row r="50" customFormat="false" ht="15" hidden="false" customHeight="false" outlineLevel="0" collapsed="false">
      <c r="A50" s="6" t="s">
        <v>141</v>
      </c>
      <c r="B50" s="35" t="n">
        <v>1</v>
      </c>
      <c r="C50" s="35" t="n">
        <v>-0.35</v>
      </c>
      <c r="D50" s="33" t="n">
        <v>0.5</v>
      </c>
      <c r="E50" s="35" t="n">
        <v>1.02</v>
      </c>
      <c r="F50" s="35" t="n">
        <v>0.99</v>
      </c>
    </row>
    <row r="51" customFormat="false" ht="15" hidden="false" customHeight="false" outlineLevel="0" collapsed="false">
      <c r="A51" s="6" t="s">
        <v>142</v>
      </c>
      <c r="B51" s="35" t="n">
        <v>0.97</v>
      </c>
      <c r="C51" s="35" t="n">
        <v>-0.35</v>
      </c>
      <c r="D51" s="33" t="n">
        <v>0.5</v>
      </c>
      <c r="E51" s="35" t="n">
        <v>1.02</v>
      </c>
      <c r="F51" s="35" t="n">
        <v>0.99</v>
      </c>
    </row>
    <row r="52" customFormat="false" ht="15" hidden="false" customHeight="false" outlineLevel="0" collapsed="false">
      <c r="A52" s="6" t="s">
        <v>143</v>
      </c>
      <c r="B52" s="35" t="n">
        <v>0.85</v>
      </c>
      <c r="C52" s="35" t="n">
        <v>-0.25</v>
      </c>
      <c r="D52" s="33" t="n">
        <v>0.5</v>
      </c>
      <c r="E52" s="35" t="n">
        <v>1.02</v>
      </c>
      <c r="F52" s="35" t="n">
        <v>0.99</v>
      </c>
    </row>
    <row r="53" customFormat="false" ht="15" hidden="false" customHeight="false" outlineLevel="0" collapsed="false">
      <c r="A53" s="6" t="s">
        <v>144</v>
      </c>
      <c r="B53" s="35" t="n">
        <v>0.83</v>
      </c>
      <c r="C53" s="35" t="n">
        <v>-0.2</v>
      </c>
      <c r="D53" s="33" t="n">
        <v>0.45</v>
      </c>
      <c r="E53" s="35" t="n">
        <v>1.02</v>
      </c>
      <c r="F53" s="35" t="n">
        <v>0.99</v>
      </c>
    </row>
    <row r="54" customFormat="false" ht="15" hidden="false" customHeight="false" outlineLevel="0" collapsed="false">
      <c r="A54" s="6" t="s">
        <v>145</v>
      </c>
      <c r="B54" s="35" t="n">
        <v>0.9</v>
      </c>
      <c r="C54" s="35" t="n">
        <v>0</v>
      </c>
      <c r="D54" s="33" t="n">
        <v>0.45</v>
      </c>
      <c r="E54" s="35" t="n">
        <v>1.05</v>
      </c>
      <c r="F54" s="35" t="n">
        <v>0.99</v>
      </c>
    </row>
    <row r="55" customFormat="false" ht="15" hidden="false" customHeight="false" outlineLevel="0" collapsed="false">
      <c r="A55" s="6" t="s">
        <v>146</v>
      </c>
      <c r="B55" s="35" t="n">
        <v>1.08</v>
      </c>
      <c r="C55" s="35" t="n">
        <v>1.4</v>
      </c>
      <c r="D55" s="33" t="n">
        <v>0.45</v>
      </c>
      <c r="E55" s="35" t="n">
        <v>1.05</v>
      </c>
      <c r="F55" s="35" t="n">
        <v>0.99</v>
      </c>
    </row>
    <row r="56" customFormat="false" ht="15" hidden="false" customHeight="false" outlineLevel="0" collapsed="false">
      <c r="A56" s="6" t="s">
        <v>147</v>
      </c>
      <c r="B56" s="35" t="n">
        <v>0.92</v>
      </c>
      <c r="C56" s="35" t="n">
        <v>0.6</v>
      </c>
      <c r="D56" s="33" t="n">
        <v>0.45</v>
      </c>
      <c r="E56" s="35" t="n">
        <v>1.15</v>
      </c>
      <c r="F56" s="35" t="n">
        <v>0.99</v>
      </c>
    </row>
    <row r="57" customFormat="false" ht="15" hidden="false" customHeight="false" outlineLevel="0" collapsed="false">
      <c r="A57" s="6" t="s">
        <v>148</v>
      </c>
      <c r="B57" s="35"/>
      <c r="C57" s="35" t="n">
        <v>-0.15</v>
      </c>
      <c r="D57" s="33" t="n">
        <v>0.55</v>
      </c>
      <c r="E57" s="35" t="n">
        <v>1.2</v>
      </c>
      <c r="F57" s="35" t="n">
        <v>0.95</v>
      </c>
      <c r="G57" s="2" t="s">
        <v>149</v>
      </c>
    </row>
    <row r="59" customFormat="false" ht="15" hidden="false" customHeight="false" outlineLevel="0" collapsed="false">
      <c r="A59" s="26" t="s">
        <v>150</v>
      </c>
      <c r="B59" s="5"/>
      <c r="C59" s="5"/>
      <c r="D59" s="5"/>
      <c r="E59" s="5"/>
      <c r="F59" s="5"/>
      <c r="G59" s="5"/>
    </row>
    <row r="60" customFormat="false" ht="45" hidden="false" customHeight="true" outlineLevel="0" collapsed="false">
      <c r="A60" s="3" t="s">
        <v>151</v>
      </c>
      <c r="B60" s="3" t="s">
        <v>152</v>
      </c>
      <c r="C60" s="3" t="s">
        <v>153</v>
      </c>
      <c r="D60" s="3" t="s">
        <v>154</v>
      </c>
      <c r="E60" s="3" t="s">
        <v>155</v>
      </c>
      <c r="F60" s="3" t="s">
        <v>156</v>
      </c>
      <c r="G60" s="3" t="s">
        <v>157</v>
      </c>
      <c r="H60" s="3" t="s">
        <v>158</v>
      </c>
      <c r="I60" s="3" t="s">
        <v>159</v>
      </c>
      <c r="J60" s="3" t="s">
        <v>160</v>
      </c>
      <c r="K60" s="3" t="s">
        <v>161</v>
      </c>
      <c r="L60" s="3" t="s">
        <v>162</v>
      </c>
      <c r="M60" s="3" t="s">
        <v>163</v>
      </c>
      <c r="N60" s="3" t="s">
        <v>164</v>
      </c>
      <c r="O60" s="3" t="s">
        <v>165</v>
      </c>
      <c r="P60" s="3" t="s">
        <v>166</v>
      </c>
      <c r="Q60" s="3" t="s">
        <v>167</v>
      </c>
      <c r="R60" s="3" t="s">
        <v>168</v>
      </c>
      <c r="S60" s="3" t="s">
        <v>169</v>
      </c>
    </row>
    <row r="61" customFormat="false" ht="15" hidden="false" customHeight="false" outlineLevel="0" collapsed="false">
      <c r="A61" s="6" t="s">
        <v>170</v>
      </c>
      <c r="B61" s="33" t="n">
        <v>0.935</v>
      </c>
      <c r="C61" s="35" t="n">
        <v>0.99</v>
      </c>
      <c r="D61" s="35" t="n">
        <v>0</v>
      </c>
      <c r="F61" s="35" t="n">
        <v>0</v>
      </c>
      <c r="G61" s="35" t="n">
        <v>5.5</v>
      </c>
      <c r="H61" s="35" t="n">
        <v>22.3</v>
      </c>
      <c r="I61" s="35" t="n">
        <v>7.7</v>
      </c>
      <c r="J61" s="33" t="n">
        <v>0.025</v>
      </c>
      <c r="K61" s="37" t="n">
        <v>0</v>
      </c>
      <c r="L61" s="37" t="n">
        <v>0</v>
      </c>
      <c r="M61" s="33" t="n">
        <v>0.95</v>
      </c>
      <c r="N61" s="33" t="n">
        <v>0.08</v>
      </c>
      <c r="O61" s="33" t="n">
        <v>0.0675</v>
      </c>
      <c r="P61" s="36" t="n">
        <v>0</v>
      </c>
      <c r="Q61" s="36" t="n">
        <v>0</v>
      </c>
      <c r="R61" s="36" t="n">
        <v>1</v>
      </c>
    </row>
    <row r="62" customFormat="false" ht="15" hidden="false" customHeight="false" outlineLevel="0" collapsed="false">
      <c r="A62" s="6" t="s">
        <v>171</v>
      </c>
      <c r="D62" s="35" t="n">
        <v>7.2</v>
      </c>
      <c r="F62" s="35" t="n">
        <v>3.5</v>
      </c>
      <c r="G62" s="35" t="n">
        <v>0</v>
      </c>
      <c r="H62" s="35" t="n">
        <v>0</v>
      </c>
      <c r="I62" s="35" t="n">
        <v>0</v>
      </c>
      <c r="J62" s="33" t="n">
        <v>0</v>
      </c>
      <c r="K62" s="37" t="n">
        <v>32</v>
      </c>
      <c r="L62" s="37" t="n">
        <v>12</v>
      </c>
      <c r="M62" s="33" t="n">
        <v>0.78</v>
      </c>
      <c r="N62" s="33" t="n">
        <v>0.095</v>
      </c>
      <c r="O62" s="33" t="n">
        <v>0.095</v>
      </c>
      <c r="P62" s="36" t="n">
        <v>1</v>
      </c>
      <c r="Q62" s="36" t="n">
        <v>1</v>
      </c>
      <c r="R62" s="36" t="n">
        <v>0</v>
      </c>
      <c r="S62" s="38" t="n">
        <v>2350</v>
      </c>
    </row>
    <row r="63" customFormat="false" ht="15" hidden="false" customHeight="false" outlineLevel="0" collapsed="false">
      <c r="A63" s="6" t="s">
        <v>172</v>
      </c>
      <c r="B63" s="33" t="n">
        <v>0.06</v>
      </c>
      <c r="D63" s="35" t="n">
        <v>10.5</v>
      </c>
      <c r="F63" s="35" t="n">
        <v>5</v>
      </c>
      <c r="G63" s="35" t="n">
        <v>0</v>
      </c>
      <c r="H63" s="35" t="n">
        <v>0</v>
      </c>
      <c r="I63" s="35" t="n">
        <v>0</v>
      </c>
      <c r="J63" s="33" t="n">
        <v>0</v>
      </c>
      <c r="K63" s="37" t="n">
        <v>18</v>
      </c>
      <c r="L63" s="37" t="n">
        <v>5</v>
      </c>
      <c r="M63" s="33" t="n">
        <v>0.6</v>
      </c>
      <c r="N63" s="33" t="n">
        <v>0.1</v>
      </c>
      <c r="O63" s="33" t="n">
        <v>0.1</v>
      </c>
      <c r="P63" s="36" t="n">
        <v>1</v>
      </c>
      <c r="Q63" s="36" t="n">
        <v>1</v>
      </c>
      <c r="R63" s="36" t="n">
        <v>0</v>
      </c>
      <c r="S63" s="38" t="n">
        <v>1970</v>
      </c>
    </row>
    <row r="64" customFormat="false" ht="15" hidden="false" customHeight="false" outlineLevel="0" collapsed="false">
      <c r="A64" s="6" t="s">
        <v>173</v>
      </c>
      <c r="B64" s="33" t="n">
        <v>0.5</v>
      </c>
      <c r="C64" s="35" t="n">
        <v>1.02</v>
      </c>
      <c r="D64" s="35" t="n">
        <v>10.4</v>
      </c>
      <c r="E64" s="35" t="n">
        <v>2.3</v>
      </c>
      <c r="F64" s="35" t="n">
        <v>4.5</v>
      </c>
      <c r="G64" s="35" t="n">
        <v>0</v>
      </c>
      <c r="H64" s="35" t="n">
        <v>0</v>
      </c>
      <c r="I64" s="35" t="n">
        <v>0</v>
      </c>
      <c r="J64" s="33" t="n">
        <v>0</v>
      </c>
      <c r="K64" s="37" t="n">
        <v>50</v>
      </c>
      <c r="L64" s="37" t="n">
        <v>15</v>
      </c>
      <c r="M64" s="33" t="n">
        <v>0.83</v>
      </c>
      <c r="N64" s="33" t="n">
        <v>0.12</v>
      </c>
      <c r="O64" s="33" t="n">
        <v>0.12</v>
      </c>
      <c r="P64" s="36" t="n">
        <v>1</v>
      </c>
      <c r="Q64" s="36" t="n">
        <v>1</v>
      </c>
      <c r="R64" s="36" t="n">
        <v>0</v>
      </c>
      <c r="S64" s="38" t="n">
        <v>2350</v>
      </c>
    </row>
    <row r="65" customFormat="false" ht="15" hidden="false" customHeight="false" outlineLevel="0" collapsed="false">
      <c r="A65" s="6" t="s">
        <v>174</v>
      </c>
      <c r="B65" s="33" t="n">
        <v>0.2</v>
      </c>
      <c r="C65" s="35" t="n">
        <v>1.3</v>
      </c>
      <c r="D65" s="35" t="n">
        <v>0</v>
      </c>
      <c r="F65" s="35" t="n">
        <v>0</v>
      </c>
      <c r="G65" s="35" t="n">
        <v>0</v>
      </c>
      <c r="H65" s="35" t="n">
        <v>0</v>
      </c>
      <c r="I65" s="35" t="n">
        <v>0</v>
      </c>
      <c r="J65" s="33" t="n">
        <v>0</v>
      </c>
      <c r="K65" s="37" t="n">
        <v>40</v>
      </c>
      <c r="L65" s="37" t="n">
        <v>0</v>
      </c>
      <c r="M65" s="33" t="n">
        <v>0.7</v>
      </c>
      <c r="N65" s="33" t="n">
        <v>0.08</v>
      </c>
      <c r="O65" s="33" t="n">
        <v>0.08</v>
      </c>
      <c r="P65" s="36" t="n">
        <v>0</v>
      </c>
      <c r="Q65" s="36" t="n">
        <v>0</v>
      </c>
      <c r="R65" s="36" t="n">
        <v>0</v>
      </c>
      <c r="S65" s="38" t="n">
        <v>3500</v>
      </c>
    </row>
    <row r="66" customFormat="false" ht="15" hidden="false" customHeight="false" outlineLevel="0" collapsed="false">
      <c r="A66" s="6" t="s">
        <v>175</v>
      </c>
      <c r="B66" s="33" t="n">
        <v>0.85</v>
      </c>
      <c r="C66" s="35" t="n">
        <v>1.1</v>
      </c>
      <c r="D66" s="35" t="n">
        <v>0</v>
      </c>
      <c r="F66" s="35" t="n">
        <v>0</v>
      </c>
      <c r="G66" s="35" t="n">
        <v>0</v>
      </c>
      <c r="H66" s="35" t="n">
        <v>38</v>
      </c>
      <c r="I66" s="35" t="n">
        <v>0</v>
      </c>
      <c r="J66" s="33" t="n">
        <v>0.025</v>
      </c>
      <c r="K66" s="37" t="n">
        <v>0</v>
      </c>
      <c r="L66" s="37" t="n">
        <v>0</v>
      </c>
      <c r="M66" s="33" t="n">
        <v>0.9</v>
      </c>
      <c r="N66" s="33" t="n">
        <v>0.075</v>
      </c>
      <c r="O66" s="33" t="n">
        <v>0.075</v>
      </c>
      <c r="P66" s="36" t="n">
        <v>0</v>
      </c>
      <c r="Q66" s="36" t="n">
        <v>0</v>
      </c>
      <c r="R66" s="36" t="n">
        <v>0</v>
      </c>
      <c r="S66" s="38" t="n">
        <v>5500</v>
      </c>
    </row>
    <row r="67" customFormat="false" ht="15" hidden="false" customHeight="false" outlineLevel="0" collapsed="false">
      <c r="A67" s="6" t="s">
        <v>176</v>
      </c>
      <c r="S67" s="38" t="n">
        <v>1600</v>
      </c>
    </row>
    <row r="68" customFormat="false" ht="15" hidden="false" customHeight="false" outlineLevel="0" collapsed="false">
      <c r="A68" s="2" t="s">
        <v>177</v>
      </c>
    </row>
    <row r="70" customFormat="false" ht="15" hidden="false" customHeight="false" outlineLevel="0" collapsed="false">
      <c r="A70" s="26" t="s">
        <v>178</v>
      </c>
      <c r="B70" s="5"/>
      <c r="C70" s="5"/>
      <c r="D70" s="5"/>
      <c r="E70" s="5"/>
      <c r="F70" s="5"/>
      <c r="G70" s="5"/>
    </row>
    <row r="71" customFormat="false" ht="15" hidden="false" customHeight="false" outlineLevel="0" collapsed="false">
      <c r="A71" s="3" t="s">
        <v>179</v>
      </c>
      <c r="B71" s="3" t="s">
        <v>180</v>
      </c>
      <c r="C71" s="3" t="s">
        <v>181</v>
      </c>
    </row>
    <row r="72" customFormat="false" ht="15" hidden="false" customHeight="false" outlineLevel="0" collapsed="false">
      <c r="A72" s="39" t="n">
        <v>1</v>
      </c>
      <c r="B72" s="6" t="s">
        <v>182</v>
      </c>
      <c r="C72" s="38" t="n">
        <v>2862</v>
      </c>
      <c r="G72" s="2" t="s">
        <v>183</v>
      </c>
    </row>
    <row r="73" customFormat="false" ht="15" hidden="false" customHeight="false" outlineLevel="0" collapsed="false">
      <c r="A73" s="39" t="n">
        <v>2</v>
      </c>
      <c r="B73" s="6" t="s">
        <v>184</v>
      </c>
      <c r="C73" s="38" t="n">
        <v>4500</v>
      </c>
      <c r="G73" s="2" t="s">
        <v>185</v>
      </c>
    </row>
    <row r="74" customFormat="false" ht="15" hidden="false" customHeight="false" outlineLevel="0" collapsed="false">
      <c r="A74" s="39" t="n">
        <v>3</v>
      </c>
      <c r="B74" s="6" t="s">
        <v>186</v>
      </c>
      <c r="C74" s="38" t="n">
        <v>6200</v>
      </c>
      <c r="G74" s="2" t="s">
        <v>187</v>
      </c>
    </row>
    <row r="75" customFormat="false" ht="15" hidden="false" customHeight="false" outlineLevel="0" collapsed="false">
      <c r="A75" s="39" t="n">
        <v>4</v>
      </c>
      <c r="B75" s="6" t="s">
        <v>188</v>
      </c>
      <c r="C75" s="38" t="n">
        <v>12100</v>
      </c>
      <c r="G75" s="2" t="s">
        <v>189</v>
      </c>
    </row>
    <row r="76" customFormat="false" ht="15" hidden="false" customHeight="false" outlineLevel="0" collapsed="false">
      <c r="B76" s="1" t="s">
        <v>190</v>
      </c>
      <c r="C76" s="10" t="n">
        <f aca="false">INDEX(C72:C75,NucBasis)</f>
        <v>4500</v>
      </c>
    </row>
    <row r="78" customFormat="false" ht="15" hidden="false" customHeight="false" outlineLevel="0" collapsed="false">
      <c r="A78" s="26" t="s">
        <v>191</v>
      </c>
      <c r="B78" s="5"/>
      <c r="C78" s="5"/>
      <c r="D78" s="5"/>
      <c r="E78" s="5"/>
      <c r="F78" s="5"/>
      <c r="G78" s="5"/>
    </row>
    <row r="79" customFormat="false" ht="15" hidden="false" customHeight="false" outlineLevel="0" collapsed="false">
      <c r="A79" s="3" t="s">
        <v>1</v>
      </c>
      <c r="B79" s="3" t="s">
        <v>2</v>
      </c>
      <c r="C79" s="3" t="s">
        <v>3</v>
      </c>
      <c r="D79" s="3"/>
      <c r="E79" s="3"/>
      <c r="F79" s="3"/>
      <c r="G79" s="3" t="s">
        <v>192</v>
      </c>
    </row>
    <row r="80" customFormat="false" ht="15" hidden="false" customHeight="false" outlineLevel="0" collapsed="false">
      <c r="A80" s="6" t="s">
        <v>6</v>
      </c>
      <c r="B80" s="35" t="n">
        <v>263.93</v>
      </c>
      <c r="C80" s="35" t="n">
        <v>138.76</v>
      </c>
      <c r="G80" s="2" t="s">
        <v>193</v>
      </c>
    </row>
    <row r="81" customFormat="false" ht="15" hidden="false" customHeight="false" outlineLevel="0" collapsed="false">
      <c r="A81" s="6" t="s">
        <v>194</v>
      </c>
      <c r="B81" s="37" t="n">
        <v>354.307</v>
      </c>
      <c r="C81" s="37" t="n">
        <v>336</v>
      </c>
      <c r="G81" s="2" t="s">
        <v>195</v>
      </c>
    </row>
    <row r="82" customFormat="false" ht="15" hidden="false" customHeight="false" outlineLevel="0" collapsed="false">
      <c r="A82" s="6" t="s">
        <v>196</v>
      </c>
      <c r="B82" s="37" t="n">
        <v>0</v>
      </c>
      <c r="C82" s="37" t="n">
        <v>5</v>
      </c>
      <c r="G82" s="2" t="s">
        <v>197</v>
      </c>
    </row>
    <row r="83" customFormat="false" ht="15" hidden="false" customHeight="false" outlineLevel="0" collapsed="false">
      <c r="A83" s="6" t="s">
        <v>198</v>
      </c>
      <c r="B83" s="38" t="n">
        <v>450</v>
      </c>
      <c r="C83" s="38" t="n">
        <v>350</v>
      </c>
      <c r="G83" s="2" t="s">
        <v>199</v>
      </c>
    </row>
    <row r="84" customFormat="false" ht="15" hidden="false" customHeight="false" outlineLevel="0" collapsed="false">
      <c r="A84" s="6" t="s">
        <v>200</v>
      </c>
      <c r="B84" s="38" t="n">
        <v>1000</v>
      </c>
      <c r="C84" s="38" t="n">
        <v>1463</v>
      </c>
      <c r="G84" s="2" t="s">
        <v>201</v>
      </c>
    </row>
    <row r="85" customFormat="false" ht="15" hidden="false" customHeight="false" outlineLevel="0" collapsed="false">
      <c r="A85" s="6" t="s">
        <v>202</v>
      </c>
      <c r="B85" s="40" t="n">
        <v>6</v>
      </c>
      <c r="C85" s="40" t="n">
        <v>6</v>
      </c>
    </row>
    <row r="86" customFormat="false" ht="15" hidden="false" customHeight="false" outlineLevel="0" collapsed="false">
      <c r="A86" s="6" t="s">
        <v>203</v>
      </c>
      <c r="B86" s="35" t="n">
        <v>13.758</v>
      </c>
      <c r="C86" s="35" t="n">
        <v>22.96</v>
      </c>
      <c r="G86" s="2" t="s">
        <v>204</v>
      </c>
    </row>
    <row r="87" customFormat="false" ht="15" hidden="false" customHeight="false" outlineLevel="0" collapsed="false">
      <c r="A87" s="6" t="s">
        <v>205</v>
      </c>
      <c r="B87" s="33" t="n">
        <v>0.053</v>
      </c>
      <c r="C87" s="33" t="n">
        <v>0.056</v>
      </c>
      <c r="G87" s="2" t="s">
        <v>199</v>
      </c>
    </row>
    <row r="88" customFormat="false" ht="15" hidden="false" customHeight="false" outlineLevel="0" collapsed="false">
      <c r="A88" s="6" t="s">
        <v>206</v>
      </c>
      <c r="B88" s="35" t="n">
        <v>0</v>
      </c>
      <c r="C88" s="35" t="n">
        <v>2.476</v>
      </c>
    </row>
    <row r="89" customFormat="false" ht="15" hidden="false" customHeight="false" outlineLevel="0" collapsed="false">
      <c r="A89" s="6" t="s">
        <v>207</v>
      </c>
      <c r="B89" s="33" t="n">
        <v>0</v>
      </c>
      <c r="C89" s="33" t="n">
        <v>0.075</v>
      </c>
    </row>
    <row r="90" customFormat="false" ht="15" hidden="false" customHeight="false" outlineLevel="0" collapsed="false">
      <c r="A90" s="6" t="s">
        <v>208</v>
      </c>
      <c r="B90" s="33" t="n">
        <v>0.09</v>
      </c>
      <c r="C90" s="33" t="n">
        <v>0.09</v>
      </c>
    </row>
    <row r="91" customFormat="false" ht="15" hidden="false" customHeight="false" outlineLevel="0" collapsed="false">
      <c r="A91" s="6" t="s">
        <v>209</v>
      </c>
      <c r="B91" s="32" t="n">
        <v>0</v>
      </c>
      <c r="C91" s="32" t="n">
        <v>0</v>
      </c>
      <c r="G91" s="2" t="s">
        <v>210</v>
      </c>
    </row>
    <row r="92" customFormat="false" ht="15" hidden="false" customHeight="false" outlineLevel="0" collapsed="false">
      <c r="A92" s="6" t="s">
        <v>211</v>
      </c>
      <c r="B92" s="32" t="n">
        <v>0</v>
      </c>
      <c r="C92" s="32" t="n">
        <v>0</v>
      </c>
      <c r="G92" s="2" t="s">
        <v>212</v>
      </c>
    </row>
    <row r="93" customFormat="false" ht="15" hidden="false" customHeight="false" outlineLevel="0" collapsed="false">
      <c r="A93" s="6" t="s">
        <v>213</v>
      </c>
      <c r="B93" s="32" t="n">
        <v>0</v>
      </c>
      <c r="C93" s="32" t="n">
        <v>0</v>
      </c>
    </row>
    <row r="94" customFormat="false" ht="15" hidden="false" customHeight="false" outlineLevel="0" collapsed="false">
      <c r="A94" s="6" t="s">
        <v>214</v>
      </c>
      <c r="B94" s="32" t="n">
        <v>0</v>
      </c>
      <c r="C94" s="32" t="n">
        <v>0</v>
      </c>
    </row>
    <row r="95" customFormat="false" ht="15" hidden="false" customHeight="false" outlineLevel="0" collapsed="false">
      <c r="A95" s="6" t="s">
        <v>215</v>
      </c>
      <c r="B95" s="29" t="n">
        <v>0</v>
      </c>
      <c r="C95" s="29" t="n">
        <v>0</v>
      </c>
      <c r="G95" s="2" t="s">
        <v>216</v>
      </c>
    </row>
    <row r="96" customFormat="false" ht="15" hidden="false" customHeight="false" outlineLevel="0" collapsed="false">
      <c r="A96" s="6" t="s">
        <v>217</v>
      </c>
      <c r="B96" s="32" t="n">
        <v>0</v>
      </c>
      <c r="C96" s="32" t="n">
        <v>0</v>
      </c>
      <c r="G96" s="2" t="s">
        <v>218</v>
      </c>
    </row>
    <row r="97" customFormat="false" ht="15" hidden="false" customHeight="false" outlineLevel="0" collapsed="false">
      <c r="A97" s="6" t="s">
        <v>219</v>
      </c>
      <c r="B97" s="30" t="n">
        <v>0</v>
      </c>
      <c r="C97" s="30" t="n">
        <v>0</v>
      </c>
      <c r="G97" s="2" t="s">
        <v>220</v>
      </c>
    </row>
    <row r="98" customFormat="false" ht="15" hidden="false" customHeight="false" outlineLevel="0" collapsed="false">
      <c r="A98" s="6" t="s">
        <v>221</v>
      </c>
      <c r="B98" s="41" t="n">
        <v>1</v>
      </c>
      <c r="C98" s="41" t="n">
        <v>1</v>
      </c>
    </row>
    <row r="99" customFormat="false" ht="15" hidden="false" customHeight="false" outlineLevel="0" collapsed="false">
      <c r="A99" s="6" t="s">
        <v>222</v>
      </c>
      <c r="B99" s="41" t="n">
        <v>1</v>
      </c>
      <c r="C99" s="41" t="n">
        <v>1</v>
      </c>
    </row>
    <row r="100" customFormat="false" ht="15" hidden="false" customHeight="false" outlineLevel="0" collapsed="false">
      <c r="A100" s="6" t="s">
        <v>223</v>
      </c>
      <c r="B100" s="41" t="n">
        <v>1</v>
      </c>
      <c r="C100" s="41" t="n">
        <v>1</v>
      </c>
    </row>
    <row r="102" customFormat="false" ht="15" hidden="false" customHeight="false" outlineLevel="0" collapsed="false">
      <c r="A102" s="26" t="s">
        <v>224</v>
      </c>
      <c r="B102" s="5"/>
      <c r="C102" s="5"/>
      <c r="D102" s="5"/>
      <c r="E102" s="5"/>
      <c r="F102" s="5"/>
      <c r="G102" s="5"/>
    </row>
    <row r="103" customFormat="false" ht="15" hidden="false" customHeight="false" outlineLevel="0" collapsed="false">
      <c r="A103" s="3" t="s">
        <v>1</v>
      </c>
      <c r="B103" s="3" t="s">
        <v>225</v>
      </c>
      <c r="C103" s="3"/>
      <c r="D103" s="3"/>
      <c r="E103" s="3"/>
      <c r="F103" s="3"/>
      <c r="G103" s="3" t="s">
        <v>192</v>
      </c>
    </row>
    <row r="104" customFormat="false" ht="15" hidden="false" customHeight="false" outlineLevel="0" collapsed="false">
      <c r="A104" s="1" t="s">
        <v>2</v>
      </c>
    </row>
    <row r="105" customFormat="false" ht="15" hidden="false" customHeight="false" outlineLevel="0" collapsed="false">
      <c r="A105" s="6" t="s">
        <v>226</v>
      </c>
      <c r="B105" s="35" t="n">
        <v>19.6</v>
      </c>
    </row>
    <row r="106" customFormat="false" ht="15" hidden="false" customHeight="false" outlineLevel="0" collapsed="false">
      <c r="A106" s="6" t="s">
        <v>227</v>
      </c>
      <c r="B106" s="35" t="n">
        <v>-0.697</v>
      </c>
    </row>
    <row r="107" customFormat="false" ht="15" hidden="false" customHeight="false" outlineLevel="0" collapsed="false">
      <c r="A107" s="6" t="s">
        <v>228</v>
      </c>
      <c r="B107" s="35" t="n">
        <v>-5</v>
      </c>
    </row>
    <row r="108" customFormat="false" ht="15" hidden="false" customHeight="false" outlineLevel="0" collapsed="false">
      <c r="A108" s="6" t="s">
        <v>229</v>
      </c>
      <c r="B108" s="35" t="n">
        <v>-0.86</v>
      </c>
    </row>
    <row r="109" customFormat="false" ht="15" hidden="false" customHeight="false" outlineLevel="0" collapsed="false">
      <c r="A109" s="6" t="s">
        <v>230</v>
      </c>
      <c r="B109" s="35" t="n">
        <v>0.715</v>
      </c>
    </row>
    <row r="110" customFormat="false" ht="15" hidden="false" customHeight="false" outlineLevel="0" collapsed="false">
      <c r="A110" s="6" t="s">
        <v>231</v>
      </c>
      <c r="B110" s="35" t="n">
        <v>0.9</v>
      </c>
    </row>
    <row r="111" customFormat="false" ht="15" hidden="false" customHeight="false" outlineLevel="0" collapsed="false">
      <c r="A111" s="6" t="s">
        <v>232</v>
      </c>
      <c r="B111" s="35" t="n">
        <v>0.3</v>
      </c>
    </row>
    <row r="112" customFormat="false" ht="15" hidden="false" customHeight="false" outlineLevel="0" collapsed="false">
      <c r="A112" s="6" t="s">
        <v>233</v>
      </c>
      <c r="B112" s="35" t="n">
        <v>0</v>
      </c>
    </row>
    <row r="113" customFormat="false" ht="15" hidden="false" customHeight="false" outlineLevel="0" collapsed="false">
      <c r="A113" s="1" t="s">
        <v>234</v>
      </c>
      <c r="B113" s="11" t="n">
        <f aca="false">SUM(B105:B112)</f>
        <v>14.958</v>
      </c>
    </row>
    <row r="115" customFormat="false" ht="15" hidden="false" customHeight="false" outlineLevel="0" collapsed="false">
      <c r="A115" s="1" t="s">
        <v>3</v>
      </c>
    </row>
    <row r="116" customFormat="false" ht="15" hidden="false" customHeight="false" outlineLevel="0" collapsed="false">
      <c r="A116" s="6" t="s">
        <v>235</v>
      </c>
      <c r="B116" s="35" t="n">
        <v>19.595</v>
      </c>
    </row>
    <row r="117" customFormat="false" ht="15" hidden="false" customHeight="false" outlineLevel="0" collapsed="false">
      <c r="A117" s="6" t="s">
        <v>227</v>
      </c>
      <c r="B117" s="35" t="n">
        <v>-0.435</v>
      </c>
    </row>
    <row r="118" customFormat="false" ht="15" hidden="false" customHeight="false" outlineLevel="0" collapsed="false">
      <c r="A118" s="6" t="s">
        <v>236</v>
      </c>
      <c r="B118" s="35" t="n">
        <v>2.3</v>
      </c>
    </row>
    <row r="119" customFormat="false" ht="15" hidden="false" customHeight="false" outlineLevel="0" collapsed="false">
      <c r="A119" s="6" t="s">
        <v>237</v>
      </c>
      <c r="B119" s="35" t="n">
        <v>1.5</v>
      </c>
    </row>
    <row r="120" customFormat="false" ht="15" hidden="false" customHeight="false" outlineLevel="0" collapsed="false">
      <c r="A120" s="6" t="s">
        <v>238</v>
      </c>
      <c r="B120" s="35" t="n">
        <v>2.476</v>
      </c>
    </row>
    <row r="121" customFormat="false" ht="15" hidden="false" customHeight="false" outlineLevel="0" collapsed="false">
      <c r="A121" s="6" t="s">
        <v>239</v>
      </c>
      <c r="B121" s="35" t="n">
        <v>0.45</v>
      </c>
    </row>
    <row r="122" customFormat="false" ht="15" hidden="false" customHeight="false" outlineLevel="0" collapsed="false">
      <c r="A122" s="6" t="s">
        <v>240</v>
      </c>
      <c r="B122" s="35" t="n">
        <v>0.4</v>
      </c>
    </row>
    <row r="123" customFormat="false" ht="15" hidden="false" customHeight="false" outlineLevel="0" collapsed="false">
      <c r="A123" s="6" t="s">
        <v>241</v>
      </c>
      <c r="B123" s="35" t="n">
        <v>0.3</v>
      </c>
    </row>
    <row r="124" customFormat="false" ht="15" hidden="false" customHeight="false" outlineLevel="0" collapsed="false">
      <c r="A124" s="6" t="s">
        <v>233</v>
      </c>
      <c r="B124" s="35" t="n">
        <v>0</v>
      </c>
    </row>
    <row r="125" customFormat="false" ht="15" hidden="false" customHeight="false" outlineLevel="0" collapsed="false">
      <c r="A125" s="1" t="s">
        <v>242</v>
      </c>
      <c r="B125" s="11" t="n">
        <f aca="false">SUM(B116:B124)</f>
        <v>26.586</v>
      </c>
    </row>
  </sheetData>
  <dataValidations count="3">
    <dataValidation allowBlank="false" errorStyle="stop" operator="between" showDropDown="false" showErrorMessage="false" showInputMessage="false" sqref="B4" type="list">
      <formula1>"Low,Base,High,Extreme"</formula1>
      <formula2>0</formula2>
    </dataValidation>
    <dataValidation allowBlank="false" errorStyle="stop" operator="between" showDropDown="false" showErrorMessage="false" showInputMessage="false" sqref="B5" type="list">
      <formula1>"Same,Low,Base,High,Extreme"</formula1>
      <formula2>0</formula2>
    </dataValidation>
    <dataValidation allowBlank="false" errorStyle="stop" operator="between" showDropDown="false" showErrorMessage="false" showInputMessage="false" sqref="B9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5" min="7" style="0" width="9"/>
  </cols>
  <sheetData>
    <row r="1" customFormat="false" ht="15" hidden="false" customHeight="false" outlineLevel="0" collapsed="false">
      <c r="A1" s="1" t="s">
        <v>243</v>
      </c>
    </row>
    <row r="3" customFormat="false" ht="15" hidden="false" customHeight="false" outlineLevel="0" collapsed="false">
      <c r="A3" s="1" t="s">
        <v>244</v>
      </c>
      <c r="B3" s="1" t="s">
        <v>245</v>
      </c>
      <c r="G3" s="17" t="n">
        <v>2027</v>
      </c>
      <c r="H3" s="17" t="n">
        <v>2028</v>
      </c>
      <c r="I3" s="17" t="n">
        <v>2029</v>
      </c>
      <c r="J3" s="17" t="n">
        <v>2030</v>
      </c>
      <c r="K3" s="17" t="n">
        <v>2031</v>
      </c>
      <c r="L3" s="17" t="n">
        <v>2032</v>
      </c>
      <c r="M3" s="17" t="n">
        <v>2033</v>
      </c>
      <c r="N3" s="17" t="n">
        <v>2034</v>
      </c>
      <c r="O3" s="17" t="n">
        <v>2035</v>
      </c>
      <c r="P3" s="17" t="n">
        <v>2036</v>
      </c>
      <c r="Q3" s="17" t="n">
        <v>2037</v>
      </c>
      <c r="R3" s="17" t="n">
        <v>2038</v>
      </c>
      <c r="S3" s="17" t="n">
        <v>2039</v>
      </c>
      <c r="T3" s="17" t="n">
        <v>2040</v>
      </c>
      <c r="U3" s="17" t="n">
        <v>2041</v>
      </c>
      <c r="V3" s="17" t="n">
        <v>2042</v>
      </c>
      <c r="W3" s="17" t="n">
        <v>2043</v>
      </c>
      <c r="X3" s="17" t="n">
        <v>2044</v>
      </c>
      <c r="Y3" s="17" t="n">
        <v>2045</v>
      </c>
      <c r="Z3" s="17" t="n">
        <v>2046</v>
      </c>
      <c r="AA3" s="17" t="n">
        <v>2047</v>
      </c>
      <c r="AB3" s="17" t="n">
        <v>2048</v>
      </c>
      <c r="AC3" s="17" t="n">
        <v>2049</v>
      </c>
      <c r="AD3" s="17" t="n">
        <v>2050</v>
      </c>
      <c r="AE3" s="17" t="n">
        <v>2051</v>
      </c>
      <c r="AF3" s="17" t="n">
        <v>2052</v>
      </c>
      <c r="AG3" s="17" t="n">
        <v>2053</v>
      </c>
      <c r="AH3" s="17" t="n">
        <v>2054</v>
      </c>
      <c r="AI3" s="17" t="n">
        <v>2055</v>
      </c>
      <c r="AJ3" s="17" t="n">
        <v>2056</v>
      </c>
      <c r="AK3" s="17" t="n">
        <v>2057</v>
      </c>
      <c r="AL3" s="17" t="n">
        <v>2058</v>
      </c>
      <c r="AM3" s="17" t="n">
        <v>2059</v>
      </c>
      <c r="AN3" s="17" t="n">
        <v>2060</v>
      </c>
      <c r="AO3" s="17" t="n">
        <v>2061</v>
      </c>
      <c r="AP3" s="17" t="n">
        <v>2062</v>
      </c>
      <c r="AQ3" s="17" t="n">
        <v>2063</v>
      </c>
      <c r="AR3" s="17" t="n">
        <v>2064</v>
      </c>
      <c r="AS3" s="17" t="n">
        <v>2065</v>
      </c>
    </row>
    <row r="4" customFormat="false" ht="15" hidden="false" customHeight="false" outlineLevel="0" collapsed="false">
      <c r="A4" s="6" t="s">
        <v>246</v>
      </c>
      <c r="B4" s="6" t="s">
        <v>247</v>
      </c>
      <c r="G4" s="42" t="n">
        <f aca="false">(1+Infl)^(G$3-2026)</f>
        <v>1.02</v>
      </c>
      <c r="H4" s="42" t="n">
        <f aca="false">(1+Infl)^(H$3-2026)</f>
        <v>1.0404</v>
      </c>
      <c r="I4" s="42" t="n">
        <f aca="false">(1+Infl)^(I$3-2026)</f>
        <v>1.061208</v>
      </c>
      <c r="J4" s="42" t="n">
        <f aca="false">(1+Infl)^(J$3-2026)</f>
        <v>1.08243216</v>
      </c>
      <c r="K4" s="42" t="n">
        <f aca="false">(1+Infl)^(K$3-2026)</f>
        <v>1.1040808032</v>
      </c>
      <c r="L4" s="42" t="n">
        <f aca="false">(1+Infl)^(L$3-2026)</f>
        <v>1.126162419264</v>
      </c>
      <c r="M4" s="42" t="n">
        <f aca="false">(1+Infl)^(M$3-2026)</f>
        <v>1.14868566764928</v>
      </c>
      <c r="N4" s="42" t="n">
        <f aca="false">(1+Infl)^(N$3-2026)</f>
        <v>1.17165938100227</v>
      </c>
      <c r="O4" s="42" t="n">
        <f aca="false">(1+Infl)^(O$3-2026)</f>
        <v>1.19509256862231</v>
      </c>
      <c r="P4" s="42" t="n">
        <f aca="false">(1+Infl)^(P$3-2026)</f>
        <v>1.21899441999476</v>
      </c>
      <c r="Q4" s="42" t="n">
        <f aca="false">(1+Infl)^(Q$3-2026)</f>
        <v>1.24337430839465</v>
      </c>
      <c r="R4" s="42" t="n">
        <f aca="false">(1+Infl)^(R$3-2026)</f>
        <v>1.26824179456255</v>
      </c>
      <c r="S4" s="42" t="n">
        <f aca="false">(1+Infl)^(S$3-2026)</f>
        <v>1.2936066304538</v>
      </c>
      <c r="T4" s="42" t="n">
        <f aca="false">(1+Infl)^(T$3-2026)</f>
        <v>1.31947876306287</v>
      </c>
      <c r="U4" s="42" t="n">
        <f aca="false">(1+Infl)^(U$3-2026)</f>
        <v>1.34586833832413</v>
      </c>
      <c r="V4" s="42" t="n">
        <f aca="false">(1+Infl)^(V$3-2026)</f>
        <v>1.37278570509061</v>
      </c>
      <c r="W4" s="42" t="n">
        <f aca="false">(1+Infl)^(W$3-2026)</f>
        <v>1.40024141919242</v>
      </c>
      <c r="X4" s="42" t="n">
        <f aca="false">(1+Infl)^(X$3-2026)</f>
        <v>1.42824624757627</v>
      </c>
      <c r="Y4" s="42" t="n">
        <f aca="false">(1+Infl)^(Y$3-2026)</f>
        <v>1.4568111725278</v>
      </c>
      <c r="Z4" s="42" t="n">
        <f aca="false">(1+Infl)^(Z$3-2026)</f>
        <v>1.48594739597836</v>
      </c>
      <c r="AA4" s="42" t="n">
        <f aca="false">(1+Infl)^(AA$3-2026)</f>
        <v>1.51566634389792</v>
      </c>
      <c r="AB4" s="42" t="n">
        <f aca="false">(1+Infl)^(AB$3-2026)</f>
        <v>1.54597967077588</v>
      </c>
      <c r="AC4" s="42" t="n">
        <f aca="false">(1+Infl)^(AC$3-2026)</f>
        <v>1.5768992641914</v>
      </c>
      <c r="AD4" s="42" t="n">
        <f aca="false">(1+Infl)^(AD$3-2026)</f>
        <v>1.60843724947523</v>
      </c>
      <c r="AE4" s="42" t="n">
        <f aca="false">(1+Infl)^(AE$3-2026)</f>
        <v>1.64060599446473</v>
      </c>
      <c r="AF4" s="42" t="n">
        <f aca="false">(1+Infl)^(AF$3-2026)</f>
        <v>1.67341811435403</v>
      </c>
      <c r="AG4" s="42" t="n">
        <f aca="false">(1+Infl)^(AG$3-2026)</f>
        <v>1.70688647664111</v>
      </c>
      <c r="AH4" s="42" t="n">
        <f aca="false">(1+Infl)^(AH$3-2026)</f>
        <v>1.74102420617393</v>
      </c>
      <c r="AI4" s="42" t="n">
        <f aca="false">(1+Infl)^(AI$3-2026)</f>
        <v>1.77584469029741</v>
      </c>
      <c r="AJ4" s="42" t="n">
        <f aca="false">(1+Infl)^(AJ$3-2026)</f>
        <v>1.81136158410335</v>
      </c>
      <c r="AK4" s="42" t="n">
        <f aca="false">(1+Infl)^(AK$3-2026)</f>
        <v>1.84758881578542</v>
      </c>
      <c r="AL4" s="42" t="n">
        <f aca="false">(1+Infl)^(AL$3-2026)</f>
        <v>1.88454059210113</v>
      </c>
      <c r="AM4" s="42" t="n">
        <f aca="false">(1+Infl)^(AM$3-2026)</f>
        <v>1.92223140394315</v>
      </c>
      <c r="AN4" s="42" t="n">
        <f aca="false">(1+Infl)^(AN$3-2026)</f>
        <v>1.96067603202202</v>
      </c>
      <c r="AO4" s="42" t="n">
        <f aca="false">(1+Infl)^(AO$3-2026)</f>
        <v>1.99988955266246</v>
      </c>
      <c r="AP4" s="42" t="n">
        <f aca="false">(1+Infl)^(AP$3-2026)</f>
        <v>2.03988734371571</v>
      </c>
      <c r="AQ4" s="42" t="n">
        <f aca="false">(1+Infl)^(AQ$3-2026)</f>
        <v>2.08068509059002</v>
      </c>
      <c r="AR4" s="42" t="n">
        <f aca="false">(1+Infl)^(AR$3-2026)</f>
        <v>2.12229879240182</v>
      </c>
      <c r="AS4" s="42" t="n">
        <f aca="false">(1+Infl)^(AS$3-2026)</f>
        <v>2.16474476824986</v>
      </c>
    </row>
    <row r="5" customFormat="false" ht="15" hidden="false" customHeight="false" outlineLevel="0" collapsed="false">
      <c r="A5" s="6" t="s">
        <v>248</v>
      </c>
      <c r="B5" s="6" t="s">
        <v>249</v>
      </c>
      <c r="G5" s="7" t="n">
        <f aca="false">IF(G$3=2027,HH27,IF(G$3=2028,HH28,HHLR))+GasShift</f>
        <v>3.9</v>
      </c>
      <c r="H5" s="7" t="n">
        <f aca="false">IF(H$3=2027,HH27,IF(H$3=2028,HH28,HHLR))+GasShift</f>
        <v>3.9</v>
      </c>
      <c r="I5" s="7" t="n">
        <f aca="false">IF(I$3=2027,HH27,IF(I$3=2028,HH28,HHLR))+GasShift</f>
        <v>4</v>
      </c>
      <c r="J5" s="7" t="n">
        <f aca="false">IF(J$3=2027,HH27,IF(J$3=2028,HH28,HHLR))+GasShift</f>
        <v>4</v>
      </c>
      <c r="K5" s="7" t="n">
        <f aca="false">IF(K$3=2027,HH27,IF(K$3=2028,HH28,HHLR))+GasShift</f>
        <v>4</v>
      </c>
      <c r="L5" s="7" t="n">
        <f aca="false">IF(L$3=2027,HH27,IF(L$3=2028,HH28,HHLR))+GasShift</f>
        <v>4</v>
      </c>
      <c r="M5" s="7" t="n">
        <f aca="false">IF(M$3=2027,HH27,IF(M$3=2028,HH28,HHLR))+GasShift</f>
        <v>4</v>
      </c>
      <c r="N5" s="7" t="n">
        <f aca="false">IF(N$3=2027,HH27,IF(N$3=2028,HH28,HHLR))+GasShift</f>
        <v>4</v>
      </c>
      <c r="O5" s="7" t="n">
        <f aca="false">IF(O$3=2027,HH27,IF(O$3=2028,HH28,HHLR))+GasShift</f>
        <v>4</v>
      </c>
      <c r="P5" s="7" t="n">
        <f aca="false">IF(P$3=2027,HH27,IF(P$3=2028,HH28,HHLR))+GasShift</f>
        <v>4</v>
      </c>
      <c r="Q5" s="7" t="n">
        <f aca="false">IF(Q$3=2027,HH27,IF(Q$3=2028,HH28,HHLR))+GasShift</f>
        <v>4</v>
      </c>
      <c r="R5" s="7" t="n">
        <f aca="false">IF(R$3=2027,HH27,IF(R$3=2028,HH28,HHLR))+GasShift</f>
        <v>4</v>
      </c>
      <c r="S5" s="7" t="n">
        <f aca="false">IF(S$3=2027,HH27,IF(S$3=2028,HH28,HHLR))+GasShift</f>
        <v>4</v>
      </c>
      <c r="T5" s="7" t="n">
        <f aca="false">IF(T$3=2027,HH27,IF(T$3=2028,HH28,HHLR))+GasShift</f>
        <v>4</v>
      </c>
      <c r="U5" s="7" t="n">
        <f aca="false">IF(U$3=2027,HH27,IF(U$3=2028,HH28,HHLR))+GasShift</f>
        <v>4</v>
      </c>
      <c r="V5" s="7" t="n">
        <f aca="false">IF(V$3=2027,HH27,IF(V$3=2028,HH28,HHLR))+GasShift</f>
        <v>4</v>
      </c>
      <c r="W5" s="7" t="n">
        <f aca="false">IF(W$3=2027,HH27,IF(W$3=2028,HH28,HHLR))+GasShift</f>
        <v>4</v>
      </c>
      <c r="X5" s="7" t="n">
        <f aca="false">IF(X$3=2027,HH27,IF(X$3=2028,HH28,HHLR))+GasShift</f>
        <v>4</v>
      </c>
      <c r="Y5" s="7" t="n">
        <f aca="false">IF(Y$3=2027,HH27,IF(Y$3=2028,HH28,HHLR))+GasShift</f>
        <v>4</v>
      </c>
      <c r="Z5" s="7" t="n">
        <f aca="false">IF(Z$3=2027,HH27,IF(Z$3=2028,HH28,HHLR))+GasShift</f>
        <v>4</v>
      </c>
      <c r="AA5" s="7" t="n">
        <f aca="false">IF(AA$3=2027,HH27,IF(AA$3=2028,HH28,HHLR))+GasShift</f>
        <v>4</v>
      </c>
      <c r="AB5" s="7" t="n">
        <f aca="false">IF(AB$3=2027,HH27,IF(AB$3=2028,HH28,HHLR))+GasShift</f>
        <v>4</v>
      </c>
      <c r="AC5" s="7" t="n">
        <f aca="false">IF(AC$3=2027,HH27,IF(AC$3=2028,HH28,HHLR))+GasShift</f>
        <v>4</v>
      </c>
      <c r="AD5" s="7" t="n">
        <f aca="false">IF(AD$3=2027,HH27,IF(AD$3=2028,HH28,HHLR))+GasShift</f>
        <v>4</v>
      </c>
      <c r="AE5" s="7" t="n">
        <f aca="false">IF(AE$3=2027,HH27,IF(AE$3=2028,HH28,HHLR))+GasShift</f>
        <v>4</v>
      </c>
      <c r="AF5" s="7" t="n">
        <f aca="false">IF(AF$3=2027,HH27,IF(AF$3=2028,HH28,HHLR))+GasShift</f>
        <v>4</v>
      </c>
      <c r="AG5" s="7" t="n">
        <f aca="false">IF(AG$3=2027,HH27,IF(AG$3=2028,HH28,HHLR))+GasShift</f>
        <v>4</v>
      </c>
      <c r="AH5" s="7" t="n">
        <f aca="false">IF(AH$3=2027,HH27,IF(AH$3=2028,HH28,HHLR))+GasShift</f>
        <v>4</v>
      </c>
      <c r="AI5" s="7" t="n">
        <f aca="false">IF(AI$3=2027,HH27,IF(AI$3=2028,HH28,HHLR))+GasShift</f>
        <v>4</v>
      </c>
      <c r="AJ5" s="7" t="n">
        <f aca="false">IF(AJ$3=2027,HH27,IF(AJ$3=2028,HH28,HHLR))+GasShift</f>
        <v>4</v>
      </c>
      <c r="AK5" s="7" t="n">
        <f aca="false">IF(AK$3=2027,HH27,IF(AK$3=2028,HH28,HHLR))+GasShift</f>
        <v>4</v>
      </c>
      <c r="AL5" s="7" t="n">
        <f aca="false">IF(AL$3=2027,HH27,IF(AL$3=2028,HH28,HHLR))+GasShift</f>
        <v>4</v>
      </c>
      <c r="AM5" s="7" t="n">
        <f aca="false">IF(AM$3=2027,HH27,IF(AM$3=2028,HH28,HHLR))+GasShift</f>
        <v>4</v>
      </c>
      <c r="AN5" s="7" t="n">
        <f aca="false">IF(AN$3=2027,HH27,IF(AN$3=2028,HH28,HHLR))+GasShift</f>
        <v>4</v>
      </c>
      <c r="AO5" s="7" t="n">
        <f aca="false">IF(AO$3=2027,HH27,IF(AO$3=2028,HH28,HHLR))+GasShift</f>
        <v>4</v>
      </c>
      <c r="AP5" s="7" t="n">
        <f aca="false">IF(AP$3=2027,HH27,IF(AP$3=2028,HH28,HHLR))+GasShift</f>
        <v>4</v>
      </c>
      <c r="AQ5" s="7" t="n">
        <f aca="false">IF(AQ$3=2027,HH27,IF(AQ$3=2028,HH28,HHLR))+GasShift</f>
        <v>4</v>
      </c>
      <c r="AR5" s="7" t="n">
        <f aca="false">IF(AR$3=2027,HH27,IF(AR$3=2028,HH28,HHLR))+GasShift</f>
        <v>4</v>
      </c>
      <c r="AS5" s="7" t="n">
        <f aca="false">IF(AS$3=2027,HH27,IF(AS$3=2028,HH28,HHLR))+GasShift</f>
        <v>4</v>
      </c>
    </row>
    <row r="7" customFormat="false" ht="15" hidden="false" customHeight="false" outlineLevel="0" collapsed="false">
      <c r="A7" s="1" t="s">
        <v>250</v>
      </c>
    </row>
    <row r="8" customFormat="false" ht="15" hidden="false" customHeight="false" outlineLevel="0" collapsed="false">
      <c r="A8" s="6" t="s">
        <v>251</v>
      </c>
      <c r="B8" s="6" t="s">
        <v>252</v>
      </c>
      <c r="C8" s="43" t="n">
        <f aca="false">IHRPJM*(HHLR+GasShift+Inputs!$C$50)*Inputs!$B$50+PriceShift</f>
        <v>60.225</v>
      </c>
    </row>
    <row r="9" customFormat="false" ht="15" hidden="false" customHeight="false" outlineLevel="0" collapsed="false">
      <c r="A9" s="6" t="s">
        <v>253</v>
      </c>
      <c r="B9" s="6" t="s">
        <v>254</v>
      </c>
      <c r="C9" s="43" t="n">
        <f aca="false">IHRPJM*(HHLR+GasShift+Inputs!$C$50)*Inputs!$B$51+PriceShift</f>
        <v>58.41825</v>
      </c>
    </row>
    <row r="10" customFormat="false" ht="15" hidden="false" customHeight="false" outlineLevel="0" collapsed="false">
      <c r="A10" s="6" t="s">
        <v>255</v>
      </c>
      <c r="B10" s="6" t="s">
        <v>256</v>
      </c>
      <c r="C10" s="43" t="n">
        <f aca="false">IHRPJM*(HHLR+GasShift+Inputs!$C$50)*Inputs!$B$52+PriceShift</f>
        <v>51.19125</v>
      </c>
    </row>
    <row r="11" customFormat="false" ht="15" hidden="false" customHeight="false" outlineLevel="0" collapsed="false">
      <c r="A11" s="6" t="s">
        <v>257</v>
      </c>
      <c r="B11" s="6" t="s">
        <v>258</v>
      </c>
      <c r="C11" s="43" t="n">
        <f aca="false">IHRPJM*(HHLR+GasShift+Inputs!$C$50)*Inputs!$B$53+PriceShift</f>
        <v>49.98675</v>
      </c>
    </row>
    <row r="12" customFormat="false" ht="15" hidden="false" customHeight="false" outlineLevel="0" collapsed="false">
      <c r="A12" s="6" t="s">
        <v>259</v>
      </c>
      <c r="B12" s="6" t="s">
        <v>260</v>
      </c>
      <c r="C12" s="43" t="n">
        <f aca="false">IHRPJM*(HHLR+GasShift+Inputs!$C$50)*Inputs!$B$54+PriceShift</f>
        <v>54.2025</v>
      </c>
    </row>
    <row r="13" customFormat="false" ht="15" hidden="false" customHeight="false" outlineLevel="0" collapsed="false">
      <c r="A13" s="6" t="s">
        <v>261</v>
      </c>
      <c r="B13" s="6" t="s">
        <v>262</v>
      </c>
      <c r="C13" s="43" t="n">
        <f aca="false">IHRPJM*(HHLR+GasShift+Inputs!$C$50)*Inputs!$B$55+PriceShift</f>
        <v>65.043</v>
      </c>
    </row>
    <row r="14" customFormat="false" ht="15" hidden="false" customHeight="false" outlineLevel="0" collapsed="false">
      <c r="A14" s="6" t="s">
        <v>263</v>
      </c>
      <c r="B14" s="6" t="s">
        <v>264</v>
      </c>
      <c r="C14" s="43" t="n">
        <f aca="false">IHRPJM*(HHLR+GasShift+Inputs!$C$50)*Inputs!$B$56+PriceShift</f>
        <v>55.407</v>
      </c>
    </row>
    <row r="15" customFormat="false" ht="15" hidden="false" customHeight="false" outlineLevel="0" collapsed="false">
      <c r="A15" s="6" t="s">
        <v>265</v>
      </c>
      <c r="B15" s="6" t="s">
        <v>266</v>
      </c>
      <c r="C15" s="43" t="n">
        <f aca="false">IHRERC*(HHLR+GasShift+Inputs!$C$57)+PriceShift</f>
        <v>50.05</v>
      </c>
    </row>
    <row r="16" customFormat="false" ht="15" hidden="false" customHeight="false" outlineLevel="0" collapsed="false">
      <c r="A16" s="6" t="s">
        <v>267</v>
      </c>
      <c r="B16" s="6" t="s">
        <v>268</v>
      </c>
      <c r="C16" s="8" t="n">
        <f aca="false">IHRPJMBase*(HHLR+Inputs!$C$50)</f>
        <v>60.225</v>
      </c>
    </row>
    <row r="18" customFormat="false" ht="15" hidden="false" customHeight="false" outlineLevel="0" collapsed="false">
      <c r="A18" s="1" t="s">
        <v>269</v>
      </c>
    </row>
    <row r="19" customFormat="false" ht="15" hidden="false" customHeight="false" outlineLevel="0" collapsed="false">
      <c r="A19" s="6" t="s">
        <v>270</v>
      </c>
      <c r="B19" s="6" t="s">
        <v>271</v>
      </c>
      <c r="G19" s="7" t="n">
        <f aca="false">(G$5+Inputs!$C$50)*G$4</f>
        <v>3.621</v>
      </c>
      <c r="H19" s="7" t="n">
        <f aca="false">(H$5+Inputs!$C$50)*H$4</f>
        <v>3.69342</v>
      </c>
      <c r="I19" s="7" t="n">
        <f aca="false">(I$5+Inputs!$C$50)*I$4</f>
        <v>3.8734092</v>
      </c>
      <c r="J19" s="7" t="n">
        <f aca="false">(J$5+Inputs!$C$50)*J$4</f>
        <v>3.950877384</v>
      </c>
      <c r="K19" s="7" t="n">
        <f aca="false">(K$5+Inputs!$C$50)*K$4</f>
        <v>4.02989493168</v>
      </c>
      <c r="L19" s="7" t="n">
        <f aca="false">(L$5+Inputs!$C$50)*L$4</f>
        <v>4.1104928303136</v>
      </c>
      <c r="M19" s="7" t="n">
        <f aca="false">(M$5+Inputs!$C$50)*M$4</f>
        <v>4.19270268691987</v>
      </c>
      <c r="N19" s="7" t="n">
        <f aca="false">(N$5+Inputs!$C$50)*N$4</f>
        <v>4.27655674065827</v>
      </c>
      <c r="O19" s="7" t="n">
        <f aca="false">(O$5+Inputs!$C$50)*O$4</f>
        <v>4.36208787547144</v>
      </c>
      <c r="P19" s="7" t="n">
        <f aca="false">(P$5+Inputs!$C$50)*P$4</f>
        <v>4.44932963298086</v>
      </c>
      <c r="Q19" s="7" t="n">
        <f aca="false">(Q$5+Inputs!$C$50)*Q$4</f>
        <v>4.53831622564048</v>
      </c>
      <c r="R19" s="7" t="n">
        <f aca="false">(R$5+Inputs!$C$50)*R$4</f>
        <v>4.62908255015329</v>
      </c>
      <c r="S19" s="7" t="n">
        <f aca="false">(S$5+Inputs!$C$50)*S$4</f>
        <v>4.72166420115636</v>
      </c>
      <c r="T19" s="7" t="n">
        <f aca="false">(T$5+Inputs!$C$50)*T$4</f>
        <v>4.81609748517948</v>
      </c>
      <c r="U19" s="7" t="n">
        <f aca="false">(U$5+Inputs!$C$50)*U$4</f>
        <v>4.91241943488307</v>
      </c>
      <c r="V19" s="7" t="n">
        <f aca="false">(V$5+Inputs!$C$50)*V$4</f>
        <v>5.01066782358074</v>
      </c>
      <c r="W19" s="7" t="n">
        <f aca="false">(W$5+Inputs!$C$50)*W$4</f>
        <v>5.11088118005235</v>
      </c>
      <c r="X19" s="7" t="n">
        <f aca="false">(X$5+Inputs!$C$50)*X$4</f>
        <v>5.2130988036534</v>
      </c>
      <c r="Y19" s="7" t="n">
        <f aca="false">(Y$5+Inputs!$C$50)*Y$4</f>
        <v>5.31736077972647</v>
      </c>
      <c r="Z19" s="7" t="n">
        <f aca="false">(Z$5+Inputs!$C$50)*Z$4</f>
        <v>5.423707995321</v>
      </c>
      <c r="AA19" s="7" t="n">
        <f aca="false">(AA$5+Inputs!$C$50)*AA$4</f>
        <v>5.53218215522742</v>
      </c>
      <c r="AB19" s="7" t="n">
        <f aca="false">(AB$5+Inputs!$C$50)*AB$4</f>
        <v>5.64282579833196</v>
      </c>
      <c r="AC19" s="7" t="n">
        <f aca="false">(AC$5+Inputs!$C$50)*AC$4</f>
        <v>5.7556823142986</v>
      </c>
      <c r="AD19" s="7" t="n">
        <f aca="false">(AD$5+Inputs!$C$50)*AD$4</f>
        <v>5.87079596058458</v>
      </c>
      <c r="AE19" s="7" t="n">
        <f aca="false">(AE$5+Inputs!$C$50)*AE$4</f>
        <v>5.98821187979627</v>
      </c>
      <c r="AF19" s="7" t="n">
        <f aca="false">(AF$5+Inputs!$C$50)*AF$4</f>
        <v>6.10797611739219</v>
      </c>
      <c r="AG19" s="7" t="n">
        <f aca="false">(AG$5+Inputs!$C$50)*AG$4</f>
        <v>6.23013563974004</v>
      </c>
      <c r="AH19" s="7" t="n">
        <f aca="false">(AH$5+Inputs!$C$50)*AH$4</f>
        <v>6.35473835253484</v>
      </c>
      <c r="AI19" s="7" t="n">
        <f aca="false">(AI$5+Inputs!$C$50)*AI$4</f>
        <v>6.48183311958553</v>
      </c>
      <c r="AJ19" s="7" t="n">
        <f aca="false">(AJ$5+Inputs!$C$50)*AJ$4</f>
        <v>6.61146978197725</v>
      </c>
      <c r="AK19" s="7" t="n">
        <f aca="false">(AK$5+Inputs!$C$50)*AK$4</f>
        <v>6.74369917761679</v>
      </c>
      <c r="AL19" s="7" t="n">
        <f aca="false">(AL$5+Inputs!$C$50)*AL$4</f>
        <v>6.87857316116913</v>
      </c>
      <c r="AM19" s="7" t="n">
        <f aca="false">(AM$5+Inputs!$C$50)*AM$4</f>
        <v>7.01614462439251</v>
      </c>
      <c r="AN19" s="7" t="n">
        <f aca="false">(AN$5+Inputs!$C$50)*AN$4</f>
        <v>7.15646751688036</v>
      </c>
      <c r="AO19" s="7" t="n">
        <f aca="false">(AO$5+Inputs!$C$50)*AO$4</f>
        <v>7.29959686721797</v>
      </c>
      <c r="AP19" s="7" t="n">
        <f aca="false">(AP$5+Inputs!$C$50)*AP$4</f>
        <v>7.44558880456233</v>
      </c>
      <c r="AQ19" s="7" t="n">
        <f aca="false">(AQ$5+Inputs!$C$50)*AQ$4</f>
        <v>7.59450058065357</v>
      </c>
      <c r="AR19" s="7" t="n">
        <f aca="false">(AR$5+Inputs!$C$50)*AR$4</f>
        <v>7.74639059226664</v>
      </c>
      <c r="AS19" s="7" t="n">
        <f aca="false">(AS$5+Inputs!$C$50)*AS$4</f>
        <v>7.90131840411198</v>
      </c>
    </row>
    <row r="20" customFormat="false" ht="15" hidden="false" customHeight="false" outlineLevel="0" collapsed="false">
      <c r="A20" s="6" t="s">
        <v>272</v>
      </c>
      <c r="B20" s="6" t="s">
        <v>273</v>
      </c>
      <c r="G20" s="8" t="n">
        <f aca="false">IF(G$3&lt;=2028,IF(G$3=2027,FwdPJM27,FwdPJM28)*Inputs!$B$50,IF(G$3=2029,0.5*FwdPJM29*Inputs!$B$50+0.5*$C$8*G$4,$C$8*G$4))</f>
        <v>72</v>
      </c>
      <c r="H20" s="8" t="n">
        <f aca="false">IF(H$3&lt;=2028,IF(H$3=2027,FwdPJM27,FwdPJM28)*Inputs!$B$50,IF(H$3=2029,0.5*FwdPJM29*Inputs!$B$50+0.5*$C$8*H$4,$C$8*H$4))</f>
        <v>73</v>
      </c>
      <c r="I20" s="8" t="n">
        <f aca="false">IF(I$3&lt;=2028,IF(I$3=2027,FwdPJM27,FwdPJM28)*Inputs!$B$50,IF(I$3=2029,0.5*FwdPJM29*Inputs!$B$50+0.5*$C$8*I$4,$C$8*I$4))</f>
        <v>66.9556259</v>
      </c>
      <c r="J20" s="8" t="n">
        <f aca="false">IF(J$3&lt;=2028,IF(J$3=2027,FwdPJM27,FwdPJM28)*Inputs!$B$50,IF(J$3=2029,0.5*FwdPJM29*Inputs!$B$50+0.5*$C$8*J$4,$C$8*J$4))</f>
        <v>65.189476836</v>
      </c>
      <c r="K20" s="8" t="n">
        <f aca="false">IF(K$3&lt;=2028,IF(K$3=2027,FwdPJM27,FwdPJM28)*Inputs!$B$50,IF(K$3=2029,0.5*FwdPJM29*Inputs!$B$50+0.5*$C$8*K$4,$C$8*K$4))</f>
        <v>66.49326637272</v>
      </c>
      <c r="L20" s="8" t="n">
        <f aca="false">IF(L$3&lt;=2028,IF(L$3=2027,FwdPJM27,FwdPJM28)*Inputs!$B$50,IF(L$3=2029,0.5*FwdPJM29*Inputs!$B$50+0.5*$C$8*L$4,$C$8*L$4))</f>
        <v>67.8231317001744</v>
      </c>
      <c r="M20" s="8" t="n">
        <f aca="false">IF(M$3&lt;=2028,IF(M$3=2027,FwdPJM27,FwdPJM28)*Inputs!$B$50,IF(M$3=2029,0.5*FwdPJM29*Inputs!$B$50+0.5*$C$8*M$4,$C$8*M$4))</f>
        <v>69.1795943341779</v>
      </c>
      <c r="N20" s="8" t="n">
        <f aca="false">IF(N$3&lt;=2028,IF(N$3=2027,FwdPJM27,FwdPJM28)*Inputs!$B$50,IF(N$3=2029,0.5*FwdPJM29*Inputs!$B$50+0.5*$C$8*N$4,$C$8*N$4))</f>
        <v>70.5631862208615</v>
      </c>
      <c r="O20" s="8" t="n">
        <f aca="false">IF(O$3&lt;=2028,IF(O$3=2027,FwdPJM27,FwdPJM28)*Inputs!$B$50,IF(O$3=2029,0.5*FwdPJM29*Inputs!$B$50+0.5*$C$8*O$4,$C$8*O$4))</f>
        <v>71.9744499452787</v>
      </c>
      <c r="P20" s="8" t="n">
        <f aca="false">IF(P$3&lt;=2028,IF(P$3=2027,FwdPJM27,FwdPJM28)*Inputs!$B$50,IF(P$3=2029,0.5*FwdPJM29*Inputs!$B$50+0.5*$C$8*P$4,$C$8*P$4))</f>
        <v>73.4139389441843</v>
      </c>
      <c r="Q20" s="8" t="n">
        <f aca="false">IF(Q$3&lt;=2028,IF(Q$3=2027,FwdPJM27,FwdPJM28)*Inputs!$B$50,IF(Q$3=2029,0.5*FwdPJM29*Inputs!$B$50+0.5*$C$8*Q$4,$C$8*Q$4))</f>
        <v>74.882217723068</v>
      </c>
      <c r="R20" s="8" t="n">
        <f aca="false">IF(R$3&lt;=2028,IF(R$3=2027,FwdPJM27,FwdPJM28)*Inputs!$B$50,IF(R$3=2029,0.5*FwdPJM29*Inputs!$B$50+0.5*$C$8*R$4,$C$8*R$4))</f>
        <v>76.3798620775293</v>
      </c>
      <c r="S20" s="8" t="n">
        <f aca="false">IF(S$3&lt;=2028,IF(S$3=2027,FwdPJM27,FwdPJM28)*Inputs!$B$50,IF(S$3=2029,0.5*FwdPJM29*Inputs!$B$50+0.5*$C$8*S$4,$C$8*S$4))</f>
        <v>77.9074593190799</v>
      </c>
      <c r="T20" s="8" t="n">
        <f aca="false">IF(T$3&lt;=2028,IF(T$3=2027,FwdPJM27,FwdPJM28)*Inputs!$B$50,IF(T$3=2029,0.5*FwdPJM29*Inputs!$B$50+0.5*$C$8*T$4,$C$8*T$4))</f>
        <v>79.4656085054615</v>
      </c>
      <c r="U20" s="8" t="n">
        <f aca="false">IF(U$3&lt;=2028,IF(U$3=2027,FwdPJM27,FwdPJM28)*Inputs!$B$50,IF(U$3=2029,0.5*FwdPJM29*Inputs!$B$50+0.5*$C$8*U$4,$C$8*U$4))</f>
        <v>81.0549206755707</v>
      </c>
      <c r="V20" s="8" t="n">
        <f aca="false">IF(V$3&lt;=2028,IF(V$3=2027,FwdPJM27,FwdPJM28)*Inputs!$B$50,IF(V$3=2029,0.5*FwdPJM29*Inputs!$B$50+0.5*$C$8*V$4,$C$8*V$4))</f>
        <v>82.6760190890821</v>
      </c>
      <c r="W20" s="8" t="n">
        <f aca="false">IF(W$3&lt;=2028,IF(W$3=2027,FwdPJM27,FwdPJM28)*Inputs!$B$50,IF(W$3=2029,0.5*FwdPJM29*Inputs!$B$50+0.5*$C$8*W$4,$C$8*W$4))</f>
        <v>84.3295394708638</v>
      </c>
      <c r="X20" s="8" t="n">
        <f aca="false">IF(X$3&lt;=2028,IF(X$3=2027,FwdPJM27,FwdPJM28)*Inputs!$B$50,IF(X$3=2029,0.5*FwdPJM29*Inputs!$B$50+0.5*$C$8*X$4,$C$8*X$4))</f>
        <v>86.0161302602811</v>
      </c>
      <c r="Y20" s="8" t="n">
        <f aca="false">IF(Y$3&lt;=2028,IF(Y$3=2027,FwdPJM27,FwdPJM28)*Inputs!$B$50,IF(Y$3=2029,0.5*FwdPJM29*Inputs!$B$50+0.5*$C$8*Y$4,$C$8*Y$4))</f>
        <v>87.7364528654867</v>
      </c>
      <c r="Z20" s="8" t="n">
        <f aca="false">IF(Z$3&lt;=2028,IF(Z$3=2027,FwdPJM27,FwdPJM28)*Inputs!$B$50,IF(Z$3=2029,0.5*FwdPJM29*Inputs!$B$50+0.5*$C$8*Z$4,$C$8*Z$4))</f>
        <v>89.4911819227964</v>
      </c>
      <c r="AA20" s="8" t="n">
        <f aca="false">IF(AA$3&lt;=2028,IF(AA$3=2027,FwdPJM27,FwdPJM28)*Inputs!$B$50,IF(AA$3=2029,0.5*FwdPJM29*Inputs!$B$50+0.5*$C$8*AA$4,$C$8*AA$4))</f>
        <v>91.2810055612523</v>
      </c>
      <c r="AB20" s="8" t="n">
        <f aca="false">IF(AB$3&lt;=2028,IF(AB$3=2027,FwdPJM27,FwdPJM28)*Inputs!$B$50,IF(AB$3=2029,0.5*FwdPJM29*Inputs!$B$50+0.5*$C$8*AB$4,$C$8*AB$4))</f>
        <v>93.1066256724774</v>
      </c>
      <c r="AC20" s="8" t="n">
        <f aca="false">IF(AC$3&lt;=2028,IF(AC$3=2027,FwdPJM27,FwdPJM28)*Inputs!$B$50,IF(AC$3=2029,0.5*FwdPJM29*Inputs!$B$50+0.5*$C$8*AC$4,$C$8*AC$4))</f>
        <v>94.968758185927</v>
      </c>
      <c r="AD20" s="8" t="n">
        <f aca="false">IF(AD$3&lt;=2028,IF(AD$3=2027,FwdPJM27,FwdPJM28)*Inputs!$B$50,IF(AD$3=2029,0.5*FwdPJM29*Inputs!$B$50+0.5*$C$8*AD$4,$C$8*AD$4))</f>
        <v>96.8681333496455</v>
      </c>
      <c r="AE20" s="8" t="n">
        <f aca="false">IF(AE$3&lt;=2028,IF(AE$3=2027,FwdPJM27,FwdPJM28)*Inputs!$B$50,IF(AE$3=2029,0.5*FwdPJM29*Inputs!$B$50+0.5*$C$8*AE$4,$C$8*AE$4))</f>
        <v>98.8054960166384</v>
      </c>
      <c r="AF20" s="8" t="n">
        <f aca="false">IF(AF$3&lt;=2028,IF(AF$3=2027,FwdPJM27,FwdPJM28)*Inputs!$B$50,IF(AF$3=2029,0.5*FwdPJM29*Inputs!$B$50+0.5*$C$8*AF$4,$C$8*AF$4))</f>
        <v>100.781605936971</v>
      </c>
      <c r="AG20" s="8" t="n">
        <f aca="false">IF(AG$3&lt;=2028,IF(AG$3=2027,FwdPJM27,FwdPJM28)*Inputs!$B$50,IF(AG$3=2029,0.5*FwdPJM29*Inputs!$B$50+0.5*$C$8*AG$4,$C$8*AG$4))</f>
        <v>102.797238055711</v>
      </c>
      <c r="AH20" s="8" t="n">
        <f aca="false">IF(AH$3&lt;=2028,IF(AH$3=2027,FwdPJM27,FwdPJM28)*Inputs!$B$50,IF(AH$3=2029,0.5*FwdPJM29*Inputs!$B$50+0.5*$C$8*AH$4,$C$8*AH$4))</f>
        <v>104.853182816825</v>
      </c>
      <c r="AI20" s="8" t="n">
        <f aca="false">IF(AI$3&lt;=2028,IF(AI$3=2027,FwdPJM27,FwdPJM28)*Inputs!$B$50,IF(AI$3=2029,0.5*FwdPJM29*Inputs!$B$50+0.5*$C$8*AI$4,$C$8*AI$4))</f>
        <v>106.950246473161</v>
      </c>
      <c r="AJ20" s="8" t="n">
        <f aca="false">IF(AJ$3&lt;=2028,IF(AJ$3=2027,FwdPJM27,FwdPJM28)*Inputs!$B$50,IF(AJ$3=2029,0.5*FwdPJM29*Inputs!$B$50+0.5*$C$8*AJ$4,$C$8*AJ$4))</f>
        <v>109.089251402625</v>
      </c>
      <c r="AK20" s="8" t="n">
        <f aca="false">IF(AK$3&lt;=2028,IF(AK$3=2027,FwdPJM27,FwdPJM28)*Inputs!$B$50,IF(AK$3=2029,0.5*FwdPJM29*Inputs!$B$50+0.5*$C$8*AK$4,$C$8*AK$4))</f>
        <v>111.271036430677</v>
      </c>
      <c r="AL20" s="8" t="n">
        <f aca="false">IF(AL$3&lt;=2028,IF(AL$3=2027,FwdPJM27,FwdPJM28)*Inputs!$B$50,IF(AL$3=2029,0.5*FwdPJM29*Inputs!$B$50+0.5*$C$8*AL$4,$C$8*AL$4))</f>
        <v>113.496457159291</v>
      </c>
      <c r="AM20" s="8" t="n">
        <f aca="false">IF(AM$3&lt;=2028,IF(AM$3=2027,FwdPJM27,FwdPJM28)*Inputs!$B$50,IF(AM$3=2029,0.5*FwdPJM29*Inputs!$B$50+0.5*$C$8*AM$4,$C$8*AM$4))</f>
        <v>115.766386302476</v>
      </c>
      <c r="AN20" s="8" t="n">
        <f aca="false">IF(AN$3&lt;=2028,IF(AN$3=2027,FwdPJM27,FwdPJM28)*Inputs!$B$50,IF(AN$3=2029,0.5*FwdPJM29*Inputs!$B$50+0.5*$C$8*AN$4,$C$8*AN$4))</f>
        <v>118.081714028526</v>
      </c>
      <c r="AO20" s="8" t="n">
        <f aca="false">IF(AO$3&lt;=2028,IF(AO$3=2027,FwdPJM27,FwdPJM28)*Inputs!$B$50,IF(AO$3=2029,0.5*FwdPJM29*Inputs!$B$50+0.5*$C$8*AO$4,$C$8*AO$4))</f>
        <v>120.443348309096</v>
      </c>
      <c r="AP20" s="8" t="n">
        <f aca="false">IF(AP$3&lt;=2028,IF(AP$3=2027,FwdPJM27,FwdPJM28)*Inputs!$B$50,IF(AP$3=2029,0.5*FwdPJM29*Inputs!$B$50+0.5*$C$8*AP$4,$C$8*AP$4))</f>
        <v>122.852215275278</v>
      </c>
      <c r="AQ20" s="8" t="n">
        <f aca="false">IF(AQ$3&lt;=2028,IF(AQ$3=2027,FwdPJM27,FwdPJM28)*Inputs!$B$50,IF(AQ$3=2029,0.5*FwdPJM29*Inputs!$B$50+0.5*$C$8*AQ$4,$C$8*AQ$4))</f>
        <v>125.309259580784</v>
      </c>
      <c r="AR20" s="8" t="n">
        <f aca="false">IF(AR$3&lt;=2028,IF(AR$3=2027,FwdPJM27,FwdPJM28)*Inputs!$B$50,IF(AR$3=2029,0.5*FwdPJM29*Inputs!$B$50+0.5*$C$8*AR$4,$C$8*AR$4))</f>
        <v>127.8154447724</v>
      </c>
      <c r="AS20" s="8" t="n">
        <f aca="false">IF(AS$3&lt;=2028,IF(AS$3=2027,FwdPJM27,FwdPJM28)*Inputs!$B$50,IF(AS$3=2029,0.5*FwdPJM29*Inputs!$B$50+0.5*$C$8*AS$4,$C$8*AS$4))</f>
        <v>130.371753667848</v>
      </c>
    </row>
    <row r="21" customFormat="false" ht="15" hidden="false" customHeight="false" outlineLevel="0" collapsed="false">
      <c r="A21" s="6" t="s">
        <v>274</v>
      </c>
      <c r="B21" s="6" t="s">
        <v>275</v>
      </c>
      <c r="G21" s="8" t="n">
        <f aca="false">IF(G$3=2027,CapCY27,IF(G$3=2028,CapCY28,IF(G$3=2029,5/12*CapDY2829+7/12*PJMCap*G$4,PJMCap*G$4)))</f>
        <v>331.66</v>
      </c>
      <c r="H21" s="8" t="n">
        <f aca="false">IF(H$3=2027,CapCY27,IF(H$3=2028,CapCY28,IF(H$3=2029,5/12*CapDY2829+7/12*PJMCap*H$4,PJMCap*H$4)))</f>
        <v>328.52</v>
      </c>
      <c r="I21" s="8" t="n">
        <f aca="false">IF(I$3=2027,CapCY27,IF(I$3=2028,CapCY28,IF(I$3=2029,5/12*CapDY2829+7/12*PJMCap*I$4,PJMCap*I$4)))</f>
        <v>277.795406666667</v>
      </c>
      <c r="J21" s="8" t="n">
        <f aca="false">IF(J$3=2027,CapCY27,IF(J$3=2028,CapCY28,IF(J$3=2029,5/12*CapDY2829+7/12*PJMCap*J$4,PJMCap*J$4)))</f>
        <v>248.9593968</v>
      </c>
      <c r="K21" s="8" t="n">
        <f aca="false">IF(K$3=2027,CapCY27,IF(K$3=2028,CapCY28,IF(K$3=2029,5/12*CapDY2829+7/12*PJMCap*K$4,PJMCap*K$4)))</f>
        <v>253.938584736</v>
      </c>
      <c r="L21" s="8" t="n">
        <f aca="false">IF(L$3=2027,CapCY27,IF(L$3=2028,CapCY28,IF(L$3=2029,5/12*CapDY2829+7/12*PJMCap*L$4,PJMCap*L$4)))</f>
        <v>259.01735643072</v>
      </c>
      <c r="M21" s="8" t="n">
        <f aca="false">IF(M$3=2027,CapCY27,IF(M$3=2028,CapCY28,IF(M$3=2029,5/12*CapDY2829+7/12*PJMCap*M$4,PJMCap*M$4)))</f>
        <v>264.197703559334</v>
      </c>
      <c r="N21" s="8" t="n">
        <f aca="false">IF(N$3=2027,CapCY27,IF(N$3=2028,CapCY28,IF(N$3=2029,5/12*CapDY2829+7/12*PJMCap*N$4,PJMCap*N$4)))</f>
        <v>269.481657630521</v>
      </c>
      <c r="O21" s="8" t="n">
        <f aca="false">IF(O$3=2027,CapCY27,IF(O$3=2028,CapCY28,IF(O$3=2029,5/12*CapDY2829+7/12*PJMCap*O$4,PJMCap*O$4)))</f>
        <v>274.871290783132</v>
      </c>
      <c r="P21" s="8" t="n">
        <f aca="false">IF(P$3=2027,CapCY27,IF(P$3=2028,CapCY28,IF(P$3=2029,5/12*CapDY2829+7/12*PJMCap*P$4,PJMCap*P$4)))</f>
        <v>280.368716598794</v>
      </c>
      <c r="Q21" s="8" t="n">
        <f aca="false">IF(Q$3=2027,CapCY27,IF(Q$3=2028,CapCY28,IF(Q$3=2029,5/12*CapDY2829+7/12*PJMCap*Q$4,PJMCap*Q$4)))</f>
        <v>285.97609093077</v>
      </c>
      <c r="R21" s="8" t="n">
        <f aca="false">IF(R$3=2027,CapCY27,IF(R$3=2028,CapCY28,IF(R$3=2029,5/12*CapDY2829+7/12*PJMCap*R$4,PJMCap*R$4)))</f>
        <v>291.695612749386</v>
      </c>
      <c r="S21" s="8" t="n">
        <f aca="false">IF(S$3=2027,CapCY27,IF(S$3=2028,CapCY28,IF(S$3=2029,5/12*CapDY2829+7/12*PJMCap*S$4,PJMCap*S$4)))</f>
        <v>297.529525004373</v>
      </c>
      <c r="T21" s="8" t="n">
        <f aca="false">IF(T$3=2027,CapCY27,IF(T$3=2028,CapCY28,IF(T$3=2029,5/12*CapDY2829+7/12*PJMCap*T$4,PJMCap*T$4)))</f>
        <v>303.480115504461</v>
      </c>
      <c r="U21" s="8" t="n">
        <f aca="false">IF(U$3=2027,CapCY27,IF(U$3=2028,CapCY28,IF(U$3=2029,5/12*CapDY2829+7/12*PJMCap*U$4,PJMCap*U$4)))</f>
        <v>309.54971781455</v>
      </c>
      <c r="V21" s="8" t="n">
        <f aca="false">IF(V$3=2027,CapCY27,IF(V$3=2028,CapCY28,IF(V$3=2029,5/12*CapDY2829+7/12*PJMCap*V$4,PJMCap*V$4)))</f>
        <v>315.740712170841</v>
      </c>
      <c r="W21" s="8" t="n">
        <f aca="false">IF(W$3=2027,CapCY27,IF(W$3=2028,CapCY28,IF(W$3=2029,5/12*CapDY2829+7/12*PJMCap*W$4,PJMCap*W$4)))</f>
        <v>322.055526414258</v>
      </c>
      <c r="X21" s="8" t="n">
        <f aca="false">IF(X$3=2027,CapCY27,IF(X$3=2028,CapCY28,IF(X$3=2029,5/12*CapDY2829+7/12*PJMCap*X$4,PJMCap*X$4)))</f>
        <v>328.496636942543</v>
      </c>
      <c r="Y21" s="8" t="n">
        <f aca="false">IF(Y$3=2027,CapCY27,IF(Y$3=2028,CapCY28,IF(Y$3=2029,5/12*CapDY2829+7/12*PJMCap*Y$4,PJMCap*Y$4)))</f>
        <v>335.066569681394</v>
      </c>
      <c r="Z21" s="8" t="n">
        <f aca="false">IF(Z$3=2027,CapCY27,IF(Z$3=2028,CapCY28,IF(Z$3=2029,5/12*CapDY2829+7/12*PJMCap*Z$4,PJMCap*Z$4)))</f>
        <v>341.767901075022</v>
      </c>
      <c r="AA21" s="8" t="n">
        <f aca="false">IF(AA$3=2027,CapCY27,IF(AA$3=2028,CapCY28,IF(AA$3=2029,5/12*CapDY2829+7/12*PJMCap*AA$4,PJMCap*AA$4)))</f>
        <v>348.603259096522</v>
      </c>
      <c r="AB21" s="8" t="n">
        <f aca="false">IF(AB$3=2027,CapCY27,IF(AB$3=2028,CapCY28,IF(AB$3=2029,5/12*CapDY2829+7/12*PJMCap*AB$4,PJMCap*AB$4)))</f>
        <v>355.575324278453</v>
      </c>
      <c r="AC21" s="8" t="n">
        <f aca="false">IF(AC$3=2027,CapCY27,IF(AC$3=2028,CapCY28,IF(AC$3=2029,5/12*CapDY2829+7/12*PJMCap*AC$4,PJMCap*AC$4)))</f>
        <v>362.686830764022</v>
      </c>
      <c r="AD21" s="8" t="n">
        <f aca="false">IF(AD$3=2027,CapCY27,IF(AD$3=2028,CapCY28,IF(AD$3=2029,5/12*CapDY2829+7/12*PJMCap*AD$4,PJMCap*AD$4)))</f>
        <v>369.940567379302</v>
      </c>
      <c r="AE21" s="8" t="n">
        <f aca="false">IF(AE$3=2027,CapCY27,IF(AE$3=2028,CapCY28,IF(AE$3=2029,5/12*CapDY2829+7/12*PJMCap*AE$4,PJMCap*AE$4)))</f>
        <v>377.339378726888</v>
      </c>
      <c r="AF21" s="8" t="n">
        <f aca="false">IF(AF$3=2027,CapCY27,IF(AF$3=2028,CapCY28,IF(AF$3=2029,5/12*CapDY2829+7/12*PJMCap*AF$4,PJMCap*AF$4)))</f>
        <v>384.886166301426</v>
      </c>
      <c r="AG21" s="8" t="n">
        <f aca="false">IF(AG$3=2027,CapCY27,IF(AG$3=2028,CapCY28,IF(AG$3=2029,5/12*CapDY2829+7/12*PJMCap*AG$4,PJMCap*AG$4)))</f>
        <v>392.583889627454</v>
      </c>
      <c r="AH21" s="8" t="n">
        <f aca="false">IF(AH$3=2027,CapCY27,IF(AH$3=2028,CapCY28,IF(AH$3=2029,5/12*CapDY2829+7/12*PJMCap*AH$4,PJMCap*AH$4)))</f>
        <v>400.435567420003</v>
      </c>
      <c r="AI21" s="8" t="n">
        <f aca="false">IF(AI$3=2027,CapCY27,IF(AI$3=2028,CapCY28,IF(AI$3=2029,5/12*CapDY2829+7/12*PJMCap*AI$4,PJMCap*AI$4)))</f>
        <v>408.444278768404</v>
      </c>
      <c r="AJ21" s="8" t="n">
        <f aca="false">IF(AJ$3=2027,CapCY27,IF(AJ$3=2028,CapCY28,IF(AJ$3=2029,5/12*CapDY2829+7/12*PJMCap*AJ$4,PJMCap*AJ$4)))</f>
        <v>416.613164343772</v>
      </c>
      <c r="AK21" s="8" t="n">
        <f aca="false">IF(AK$3=2027,CapCY27,IF(AK$3=2028,CapCY28,IF(AK$3=2029,5/12*CapDY2829+7/12*PJMCap*AK$4,PJMCap*AK$4)))</f>
        <v>424.945427630647</v>
      </c>
      <c r="AL21" s="8" t="n">
        <f aca="false">IF(AL$3=2027,CapCY27,IF(AL$3=2028,CapCY28,IF(AL$3=2029,5/12*CapDY2829+7/12*PJMCap*AL$4,PJMCap*AL$4)))</f>
        <v>433.44433618326</v>
      </c>
      <c r="AM21" s="8" t="n">
        <f aca="false">IF(AM$3=2027,CapCY27,IF(AM$3=2028,CapCY28,IF(AM$3=2029,5/12*CapDY2829+7/12*PJMCap*AM$4,PJMCap*AM$4)))</f>
        <v>442.113222906925</v>
      </c>
      <c r="AN21" s="8" t="n">
        <f aca="false">IF(AN$3=2027,CapCY27,IF(AN$3=2028,CapCY28,IF(AN$3=2029,5/12*CapDY2829+7/12*PJMCap*AN$4,PJMCap*AN$4)))</f>
        <v>450.955487365064</v>
      </c>
      <c r="AO21" s="8" t="n">
        <f aca="false">IF(AO$3=2027,CapCY27,IF(AO$3=2028,CapCY28,IF(AO$3=2029,5/12*CapDY2829+7/12*PJMCap*AO$4,PJMCap*AO$4)))</f>
        <v>459.974597112365</v>
      </c>
      <c r="AP21" s="8" t="n">
        <f aca="false">IF(AP$3=2027,CapCY27,IF(AP$3=2028,CapCY28,IF(AP$3=2029,5/12*CapDY2829+7/12*PJMCap*AP$4,PJMCap*AP$4)))</f>
        <v>469.174089054612</v>
      </c>
      <c r="AQ21" s="8" t="n">
        <f aca="false">IF(AQ$3=2027,CapCY27,IF(AQ$3=2028,CapCY28,IF(AQ$3=2029,5/12*CapDY2829+7/12*PJMCap*AQ$4,PJMCap*AQ$4)))</f>
        <v>478.557570835705</v>
      </c>
      <c r="AR21" s="8" t="n">
        <f aca="false">IF(AR$3=2027,CapCY27,IF(AR$3=2028,CapCY28,IF(AR$3=2029,5/12*CapDY2829+7/12*PJMCap*AR$4,PJMCap*AR$4)))</f>
        <v>488.128722252419</v>
      </c>
      <c r="AS21" s="8" t="n">
        <f aca="false">IF(AS$3=2027,CapCY27,IF(AS$3=2028,CapCY28,IF(AS$3=2029,5/12*CapDY2829+7/12*PJMCap*AS$4,PJMCap*AS$4)))</f>
        <v>497.891296697467</v>
      </c>
    </row>
    <row r="22" customFormat="false" ht="15" hidden="false" customHeight="false" outlineLevel="0" collapsed="false">
      <c r="A22" s="6" t="s">
        <v>276</v>
      </c>
      <c r="B22" s="6" t="s">
        <v>277</v>
      </c>
      <c r="G22" s="7" t="n">
        <f aca="false">(G$5+Inputs!$C$51)*G$4</f>
        <v>3.621</v>
      </c>
      <c r="H22" s="7" t="n">
        <f aca="false">(H$5+Inputs!$C$51)*H$4</f>
        <v>3.69342</v>
      </c>
      <c r="I22" s="7" t="n">
        <f aca="false">(I$5+Inputs!$C$51)*I$4</f>
        <v>3.8734092</v>
      </c>
      <c r="J22" s="7" t="n">
        <f aca="false">(J$5+Inputs!$C$51)*J$4</f>
        <v>3.950877384</v>
      </c>
      <c r="K22" s="7" t="n">
        <f aca="false">(K$5+Inputs!$C$51)*K$4</f>
        <v>4.02989493168</v>
      </c>
      <c r="L22" s="7" t="n">
        <f aca="false">(L$5+Inputs!$C$51)*L$4</f>
        <v>4.1104928303136</v>
      </c>
      <c r="M22" s="7" t="n">
        <f aca="false">(M$5+Inputs!$C$51)*M$4</f>
        <v>4.19270268691987</v>
      </c>
      <c r="N22" s="7" t="n">
        <f aca="false">(N$5+Inputs!$C$51)*N$4</f>
        <v>4.27655674065827</v>
      </c>
      <c r="O22" s="7" t="n">
        <f aca="false">(O$5+Inputs!$C$51)*O$4</f>
        <v>4.36208787547144</v>
      </c>
      <c r="P22" s="7" t="n">
        <f aca="false">(P$5+Inputs!$C$51)*P$4</f>
        <v>4.44932963298086</v>
      </c>
      <c r="Q22" s="7" t="n">
        <f aca="false">(Q$5+Inputs!$C$51)*Q$4</f>
        <v>4.53831622564048</v>
      </c>
      <c r="R22" s="7" t="n">
        <f aca="false">(R$5+Inputs!$C$51)*R$4</f>
        <v>4.62908255015329</v>
      </c>
      <c r="S22" s="7" t="n">
        <f aca="false">(S$5+Inputs!$C$51)*S$4</f>
        <v>4.72166420115636</v>
      </c>
      <c r="T22" s="7" t="n">
        <f aca="false">(T$5+Inputs!$C$51)*T$4</f>
        <v>4.81609748517948</v>
      </c>
      <c r="U22" s="7" t="n">
        <f aca="false">(U$5+Inputs!$C$51)*U$4</f>
        <v>4.91241943488307</v>
      </c>
      <c r="V22" s="7" t="n">
        <f aca="false">(V$5+Inputs!$C$51)*V$4</f>
        <v>5.01066782358074</v>
      </c>
      <c r="W22" s="7" t="n">
        <f aca="false">(W$5+Inputs!$C$51)*W$4</f>
        <v>5.11088118005235</v>
      </c>
      <c r="X22" s="7" t="n">
        <f aca="false">(X$5+Inputs!$C$51)*X$4</f>
        <v>5.2130988036534</v>
      </c>
      <c r="Y22" s="7" t="n">
        <f aca="false">(Y$5+Inputs!$C$51)*Y$4</f>
        <v>5.31736077972647</v>
      </c>
      <c r="Z22" s="7" t="n">
        <f aca="false">(Z$5+Inputs!$C$51)*Z$4</f>
        <v>5.423707995321</v>
      </c>
      <c r="AA22" s="7" t="n">
        <f aca="false">(AA$5+Inputs!$C$51)*AA$4</f>
        <v>5.53218215522742</v>
      </c>
      <c r="AB22" s="7" t="n">
        <f aca="false">(AB$5+Inputs!$C$51)*AB$4</f>
        <v>5.64282579833196</v>
      </c>
      <c r="AC22" s="7" t="n">
        <f aca="false">(AC$5+Inputs!$C$51)*AC$4</f>
        <v>5.7556823142986</v>
      </c>
      <c r="AD22" s="7" t="n">
        <f aca="false">(AD$5+Inputs!$C$51)*AD$4</f>
        <v>5.87079596058458</v>
      </c>
      <c r="AE22" s="7" t="n">
        <f aca="false">(AE$5+Inputs!$C$51)*AE$4</f>
        <v>5.98821187979627</v>
      </c>
      <c r="AF22" s="7" t="n">
        <f aca="false">(AF$5+Inputs!$C$51)*AF$4</f>
        <v>6.10797611739219</v>
      </c>
      <c r="AG22" s="7" t="n">
        <f aca="false">(AG$5+Inputs!$C$51)*AG$4</f>
        <v>6.23013563974004</v>
      </c>
      <c r="AH22" s="7" t="n">
        <f aca="false">(AH$5+Inputs!$C$51)*AH$4</f>
        <v>6.35473835253484</v>
      </c>
      <c r="AI22" s="7" t="n">
        <f aca="false">(AI$5+Inputs!$C$51)*AI$4</f>
        <v>6.48183311958553</v>
      </c>
      <c r="AJ22" s="7" t="n">
        <f aca="false">(AJ$5+Inputs!$C$51)*AJ$4</f>
        <v>6.61146978197725</v>
      </c>
      <c r="AK22" s="7" t="n">
        <f aca="false">(AK$5+Inputs!$C$51)*AK$4</f>
        <v>6.74369917761679</v>
      </c>
      <c r="AL22" s="7" t="n">
        <f aca="false">(AL$5+Inputs!$C$51)*AL$4</f>
        <v>6.87857316116913</v>
      </c>
      <c r="AM22" s="7" t="n">
        <f aca="false">(AM$5+Inputs!$C$51)*AM$4</f>
        <v>7.01614462439251</v>
      </c>
      <c r="AN22" s="7" t="n">
        <f aca="false">(AN$5+Inputs!$C$51)*AN$4</f>
        <v>7.15646751688036</v>
      </c>
      <c r="AO22" s="7" t="n">
        <f aca="false">(AO$5+Inputs!$C$51)*AO$4</f>
        <v>7.29959686721797</v>
      </c>
      <c r="AP22" s="7" t="n">
        <f aca="false">(AP$5+Inputs!$C$51)*AP$4</f>
        <v>7.44558880456233</v>
      </c>
      <c r="AQ22" s="7" t="n">
        <f aca="false">(AQ$5+Inputs!$C$51)*AQ$4</f>
        <v>7.59450058065357</v>
      </c>
      <c r="AR22" s="7" t="n">
        <f aca="false">(AR$5+Inputs!$C$51)*AR$4</f>
        <v>7.74639059226664</v>
      </c>
      <c r="AS22" s="7" t="n">
        <f aca="false">(AS$5+Inputs!$C$51)*AS$4</f>
        <v>7.90131840411198</v>
      </c>
    </row>
    <row r="23" customFormat="false" ht="15" hidden="false" customHeight="false" outlineLevel="0" collapsed="false">
      <c r="A23" s="6" t="s">
        <v>278</v>
      </c>
      <c r="B23" s="6" t="s">
        <v>279</v>
      </c>
      <c r="G23" s="8" t="n">
        <f aca="false">IF(G$3&lt;=2028,IF(G$3=2027,FwdPJM27,FwdPJM28)*Inputs!$B$51,IF(G$3=2029,0.5*FwdPJM29*Inputs!$B$51+0.5*$C$9*G$4,$C$9*G$4))</f>
        <v>69.84</v>
      </c>
      <c r="H23" s="8" t="n">
        <f aca="false">IF(H$3&lt;=2028,IF(H$3=2027,FwdPJM27,FwdPJM28)*Inputs!$B$51,IF(H$3=2029,0.5*FwdPJM29*Inputs!$B$51+0.5*$C$9*H$4,$C$9*H$4))</f>
        <v>70.81</v>
      </c>
      <c r="I23" s="8" t="n">
        <f aca="false">IF(I$3&lt;=2028,IF(I$3=2027,FwdPJM27,FwdPJM28)*Inputs!$B$51,IF(I$3=2029,0.5*FwdPJM29*Inputs!$B$51+0.5*$C$9*I$4,$C$9*I$4))</f>
        <v>64.946957123</v>
      </c>
      <c r="J23" s="8" t="n">
        <f aca="false">IF(J$3&lt;=2028,IF(J$3=2027,FwdPJM27,FwdPJM28)*Inputs!$B$51,IF(J$3=2029,0.5*FwdPJM29*Inputs!$B$51+0.5*$C$9*J$4,$C$9*J$4))</f>
        <v>63.23379253092</v>
      </c>
      <c r="K23" s="8" t="n">
        <f aca="false">IF(K$3&lt;=2028,IF(K$3=2027,FwdPJM27,FwdPJM28)*Inputs!$B$51,IF(K$3=2029,0.5*FwdPJM29*Inputs!$B$51+0.5*$C$9*K$4,$C$9*K$4))</f>
        <v>64.4984683815384</v>
      </c>
      <c r="L23" s="8" t="n">
        <f aca="false">IF(L$3&lt;=2028,IF(L$3=2027,FwdPJM27,FwdPJM28)*Inputs!$B$51,IF(L$3=2029,0.5*FwdPJM29*Inputs!$B$51+0.5*$C$9*L$4,$C$9*L$4))</f>
        <v>65.7884377491692</v>
      </c>
      <c r="M23" s="8" t="n">
        <f aca="false">IF(M$3&lt;=2028,IF(M$3=2027,FwdPJM27,FwdPJM28)*Inputs!$B$51,IF(M$3=2029,0.5*FwdPJM29*Inputs!$B$51+0.5*$C$9*M$4,$C$9*M$4))</f>
        <v>67.1042065041526</v>
      </c>
      <c r="N23" s="8" t="n">
        <f aca="false">IF(N$3&lt;=2028,IF(N$3=2027,FwdPJM27,FwdPJM28)*Inputs!$B$51,IF(N$3=2029,0.5*FwdPJM29*Inputs!$B$51+0.5*$C$9*N$4,$C$9*N$4))</f>
        <v>68.4462906342356</v>
      </c>
      <c r="O23" s="8" t="n">
        <f aca="false">IF(O$3&lt;=2028,IF(O$3=2027,FwdPJM27,FwdPJM28)*Inputs!$B$51,IF(O$3=2029,0.5*FwdPJM29*Inputs!$B$51+0.5*$C$9*O$4,$C$9*O$4))</f>
        <v>69.8152164469203</v>
      </c>
      <c r="P23" s="8" t="n">
        <f aca="false">IF(P$3&lt;=2028,IF(P$3=2027,FwdPJM27,FwdPJM28)*Inputs!$B$51,IF(P$3=2029,0.5*FwdPJM29*Inputs!$B$51+0.5*$C$9*P$4,$C$9*P$4))</f>
        <v>71.2115207758587</v>
      </c>
      <c r="Q23" s="8" t="n">
        <f aca="false">IF(Q$3&lt;=2028,IF(Q$3=2027,FwdPJM27,FwdPJM28)*Inputs!$B$51,IF(Q$3=2029,0.5*FwdPJM29*Inputs!$B$51+0.5*$C$9*Q$4,$C$9*Q$4))</f>
        <v>72.6357511913759</v>
      </c>
      <c r="R23" s="8" t="n">
        <f aca="false">IF(R$3&lt;=2028,IF(R$3=2027,FwdPJM27,FwdPJM28)*Inputs!$B$51,IF(R$3=2029,0.5*FwdPJM29*Inputs!$B$51+0.5*$C$9*R$4,$C$9*R$4))</f>
        <v>74.0884662152034</v>
      </c>
      <c r="S23" s="8" t="n">
        <f aca="false">IF(S$3&lt;=2028,IF(S$3=2027,FwdPJM27,FwdPJM28)*Inputs!$B$51,IF(S$3=2029,0.5*FwdPJM29*Inputs!$B$51+0.5*$C$9*S$4,$C$9*S$4))</f>
        <v>75.5702355395075</v>
      </c>
      <c r="T23" s="8" t="n">
        <f aca="false">IF(T$3&lt;=2028,IF(T$3=2027,FwdPJM27,FwdPJM28)*Inputs!$B$51,IF(T$3=2029,0.5*FwdPJM29*Inputs!$B$51+0.5*$C$9*T$4,$C$9*T$4))</f>
        <v>77.0816402502976</v>
      </c>
      <c r="U23" s="8" t="n">
        <f aca="false">IF(U$3&lt;=2028,IF(U$3=2027,FwdPJM27,FwdPJM28)*Inputs!$B$51,IF(U$3=2029,0.5*FwdPJM29*Inputs!$B$51+0.5*$C$9*U$4,$C$9*U$4))</f>
        <v>78.6232730553036</v>
      </c>
      <c r="V23" s="8" t="n">
        <f aca="false">IF(V$3&lt;=2028,IF(V$3=2027,FwdPJM27,FwdPJM28)*Inputs!$B$51,IF(V$3=2029,0.5*FwdPJM29*Inputs!$B$51+0.5*$C$9*V$4,$C$9*V$4))</f>
        <v>80.1957385164097</v>
      </c>
      <c r="W23" s="8" t="n">
        <f aca="false">IF(W$3&lt;=2028,IF(W$3=2027,FwdPJM27,FwdPJM28)*Inputs!$B$51,IF(W$3=2029,0.5*FwdPJM29*Inputs!$B$51+0.5*$C$9*W$4,$C$9*W$4))</f>
        <v>81.7996532867379</v>
      </c>
      <c r="X23" s="8" t="n">
        <f aca="false">IF(X$3&lt;=2028,IF(X$3=2027,FwdPJM27,FwdPJM28)*Inputs!$B$51,IF(X$3=2029,0.5*FwdPJM29*Inputs!$B$51+0.5*$C$9*X$4,$C$9*X$4))</f>
        <v>83.4356463524726</v>
      </c>
      <c r="Y23" s="8" t="n">
        <f aca="false">IF(Y$3&lt;=2028,IF(Y$3=2027,FwdPJM27,FwdPJM28)*Inputs!$B$51,IF(Y$3=2029,0.5*FwdPJM29*Inputs!$B$51+0.5*$C$9*Y$4,$C$9*Y$4))</f>
        <v>85.1043592795221</v>
      </c>
      <c r="Z23" s="8" t="n">
        <f aca="false">IF(Z$3&lt;=2028,IF(Z$3=2027,FwdPJM27,FwdPJM28)*Inputs!$B$51,IF(Z$3=2029,0.5*FwdPJM29*Inputs!$B$51+0.5*$C$9*Z$4,$C$9*Z$4))</f>
        <v>86.8064464651125</v>
      </c>
      <c r="AA23" s="8" t="n">
        <f aca="false">IF(AA$3&lt;=2028,IF(AA$3=2027,FwdPJM27,FwdPJM28)*Inputs!$B$51,IF(AA$3=2029,0.5*FwdPJM29*Inputs!$B$51+0.5*$C$9*AA$4,$C$9*AA$4))</f>
        <v>88.5425753944148</v>
      </c>
      <c r="AB23" s="8" t="n">
        <f aca="false">IF(AB$3&lt;=2028,IF(AB$3=2027,FwdPJM27,FwdPJM28)*Inputs!$B$51,IF(AB$3=2029,0.5*FwdPJM29*Inputs!$B$51+0.5*$C$9*AB$4,$C$9*AB$4))</f>
        <v>90.3134269023031</v>
      </c>
      <c r="AC23" s="8" t="n">
        <f aca="false">IF(AC$3&lt;=2028,IF(AC$3=2027,FwdPJM27,FwdPJM28)*Inputs!$B$51,IF(AC$3=2029,0.5*FwdPJM29*Inputs!$B$51+0.5*$C$9*AC$4,$C$9*AC$4))</f>
        <v>92.1196954403492</v>
      </c>
      <c r="AD23" s="8" t="n">
        <f aca="false">IF(AD$3&lt;=2028,IF(AD$3=2027,FwdPJM27,FwdPJM28)*Inputs!$B$51,IF(AD$3=2029,0.5*FwdPJM29*Inputs!$B$51+0.5*$C$9*AD$4,$C$9*AD$4))</f>
        <v>93.9620893491561</v>
      </c>
      <c r="AE23" s="8" t="n">
        <f aca="false">IF(AE$3&lt;=2028,IF(AE$3=2027,FwdPJM27,FwdPJM28)*Inputs!$B$51,IF(AE$3=2029,0.5*FwdPJM29*Inputs!$B$51+0.5*$C$9*AE$4,$C$9*AE$4))</f>
        <v>95.8413311361393</v>
      </c>
      <c r="AF23" s="8" t="n">
        <f aca="false">IF(AF$3&lt;=2028,IF(AF$3=2027,FwdPJM27,FwdPJM28)*Inputs!$B$51,IF(AF$3=2029,0.5*FwdPJM29*Inputs!$B$51+0.5*$C$9*AF$4,$C$9*AF$4))</f>
        <v>97.758157758862</v>
      </c>
      <c r="AG23" s="8" t="n">
        <f aca="false">IF(AG$3&lt;=2028,IF(AG$3=2027,FwdPJM27,FwdPJM28)*Inputs!$B$51,IF(AG$3=2029,0.5*FwdPJM29*Inputs!$B$51+0.5*$C$9*AG$4,$C$9*AG$4))</f>
        <v>99.7133209140393</v>
      </c>
      <c r="AH23" s="8" t="n">
        <f aca="false">IF(AH$3&lt;=2028,IF(AH$3=2027,FwdPJM27,FwdPJM28)*Inputs!$B$51,IF(AH$3=2029,0.5*FwdPJM29*Inputs!$B$51+0.5*$C$9*AH$4,$C$9*AH$4))</f>
        <v>101.70758733232</v>
      </c>
      <c r="AI23" s="8" t="n">
        <f aca="false">IF(AI$3&lt;=2028,IF(AI$3=2027,FwdPJM27,FwdPJM28)*Inputs!$B$51,IF(AI$3=2029,0.5*FwdPJM29*Inputs!$B$51+0.5*$C$9*AI$4,$C$9*AI$4))</f>
        <v>103.741739078966</v>
      </c>
      <c r="AJ23" s="8" t="n">
        <f aca="false">IF(AJ$3&lt;=2028,IF(AJ$3=2027,FwdPJM27,FwdPJM28)*Inputs!$B$51,IF(AJ$3=2029,0.5*FwdPJM29*Inputs!$B$51+0.5*$C$9*AJ$4,$C$9*AJ$4))</f>
        <v>105.816573860546</v>
      </c>
      <c r="AK23" s="8" t="n">
        <f aca="false">IF(AK$3&lt;=2028,IF(AK$3=2027,FwdPJM27,FwdPJM28)*Inputs!$B$51,IF(AK$3=2029,0.5*FwdPJM29*Inputs!$B$51+0.5*$C$9*AK$4,$C$9*AK$4))</f>
        <v>107.932905337757</v>
      </c>
      <c r="AL23" s="8" t="n">
        <f aca="false">IF(AL$3&lt;=2028,IF(AL$3=2027,FwdPJM27,FwdPJM28)*Inputs!$B$51,IF(AL$3=2029,0.5*FwdPJM29*Inputs!$B$51+0.5*$C$9*AL$4,$C$9*AL$4))</f>
        <v>110.091563444512</v>
      </c>
      <c r="AM23" s="8" t="n">
        <f aca="false">IF(AM$3&lt;=2028,IF(AM$3=2027,FwdPJM27,FwdPJM28)*Inputs!$B$51,IF(AM$3=2029,0.5*FwdPJM29*Inputs!$B$51+0.5*$C$9*AM$4,$C$9*AM$4))</f>
        <v>112.293394713402</v>
      </c>
      <c r="AN23" s="8" t="n">
        <f aca="false">IF(AN$3&lt;=2028,IF(AN$3=2027,FwdPJM27,FwdPJM28)*Inputs!$B$51,IF(AN$3=2029,0.5*FwdPJM29*Inputs!$B$51+0.5*$C$9*AN$4,$C$9*AN$4))</f>
        <v>114.53926260767</v>
      </c>
      <c r="AO23" s="8" t="n">
        <f aca="false">IF(AO$3&lt;=2028,IF(AO$3=2027,FwdPJM27,FwdPJM28)*Inputs!$B$51,IF(AO$3=2029,0.5*FwdPJM29*Inputs!$B$51+0.5*$C$9*AO$4,$C$9*AO$4))</f>
        <v>116.830047859824</v>
      </c>
      <c r="AP23" s="8" t="n">
        <f aca="false">IF(AP$3&lt;=2028,IF(AP$3=2027,FwdPJM27,FwdPJM28)*Inputs!$B$51,IF(AP$3=2029,0.5*FwdPJM29*Inputs!$B$51+0.5*$C$9*AP$4,$C$9*AP$4))</f>
        <v>119.16664881702</v>
      </c>
      <c r="AQ23" s="8" t="n">
        <f aca="false">IF(AQ$3&lt;=2028,IF(AQ$3=2027,FwdPJM27,FwdPJM28)*Inputs!$B$51,IF(AQ$3=2029,0.5*FwdPJM29*Inputs!$B$51+0.5*$C$9*AQ$4,$C$9*AQ$4))</f>
        <v>121.54998179336</v>
      </c>
      <c r="AR23" s="8" t="n">
        <f aca="false">IF(AR$3&lt;=2028,IF(AR$3=2027,FwdPJM27,FwdPJM28)*Inputs!$B$51,IF(AR$3=2029,0.5*FwdPJM29*Inputs!$B$51+0.5*$C$9*AR$4,$C$9*AR$4))</f>
        <v>123.980981429228</v>
      </c>
      <c r="AS23" s="8" t="n">
        <f aca="false">IF(AS$3&lt;=2028,IF(AS$3=2027,FwdPJM27,FwdPJM28)*Inputs!$B$51,IF(AS$3=2029,0.5*FwdPJM29*Inputs!$B$51+0.5*$C$9*AS$4,$C$9*AS$4))</f>
        <v>126.460601057812</v>
      </c>
    </row>
    <row r="24" customFormat="false" ht="15" hidden="false" customHeight="false" outlineLevel="0" collapsed="false">
      <c r="A24" s="6" t="s">
        <v>280</v>
      </c>
      <c r="B24" s="6" t="s">
        <v>281</v>
      </c>
      <c r="G24" s="8" t="n">
        <f aca="false">IF(G$3=2027,CapCY27,IF(G$3=2028,CapCY28,IF(G$3=2029,5/12*CapDY2829+7/12*PJMCap*G$4,PJMCap*G$4)))</f>
        <v>331.66</v>
      </c>
      <c r="H24" s="8" t="n">
        <f aca="false">IF(H$3=2027,CapCY27,IF(H$3=2028,CapCY28,IF(H$3=2029,5/12*CapDY2829+7/12*PJMCap*H$4,PJMCap*H$4)))</f>
        <v>328.52</v>
      </c>
      <c r="I24" s="8" t="n">
        <f aca="false">IF(I$3=2027,CapCY27,IF(I$3=2028,CapCY28,IF(I$3=2029,5/12*CapDY2829+7/12*PJMCap*I$4,PJMCap*I$4)))</f>
        <v>277.795406666667</v>
      </c>
      <c r="J24" s="8" t="n">
        <f aca="false">IF(J$3=2027,CapCY27,IF(J$3=2028,CapCY28,IF(J$3=2029,5/12*CapDY2829+7/12*PJMCap*J$4,PJMCap*J$4)))</f>
        <v>248.9593968</v>
      </c>
      <c r="K24" s="8" t="n">
        <f aca="false">IF(K$3=2027,CapCY27,IF(K$3=2028,CapCY28,IF(K$3=2029,5/12*CapDY2829+7/12*PJMCap*K$4,PJMCap*K$4)))</f>
        <v>253.938584736</v>
      </c>
      <c r="L24" s="8" t="n">
        <f aca="false">IF(L$3=2027,CapCY27,IF(L$3=2028,CapCY28,IF(L$3=2029,5/12*CapDY2829+7/12*PJMCap*L$4,PJMCap*L$4)))</f>
        <v>259.01735643072</v>
      </c>
      <c r="M24" s="8" t="n">
        <f aca="false">IF(M$3=2027,CapCY27,IF(M$3=2028,CapCY28,IF(M$3=2029,5/12*CapDY2829+7/12*PJMCap*M$4,PJMCap*M$4)))</f>
        <v>264.197703559334</v>
      </c>
      <c r="N24" s="8" t="n">
        <f aca="false">IF(N$3=2027,CapCY27,IF(N$3=2028,CapCY28,IF(N$3=2029,5/12*CapDY2829+7/12*PJMCap*N$4,PJMCap*N$4)))</f>
        <v>269.481657630521</v>
      </c>
      <c r="O24" s="8" t="n">
        <f aca="false">IF(O$3=2027,CapCY27,IF(O$3=2028,CapCY28,IF(O$3=2029,5/12*CapDY2829+7/12*PJMCap*O$4,PJMCap*O$4)))</f>
        <v>274.871290783132</v>
      </c>
      <c r="P24" s="8" t="n">
        <f aca="false">IF(P$3=2027,CapCY27,IF(P$3=2028,CapCY28,IF(P$3=2029,5/12*CapDY2829+7/12*PJMCap*P$4,PJMCap*P$4)))</f>
        <v>280.368716598794</v>
      </c>
      <c r="Q24" s="8" t="n">
        <f aca="false">IF(Q$3=2027,CapCY27,IF(Q$3=2028,CapCY28,IF(Q$3=2029,5/12*CapDY2829+7/12*PJMCap*Q$4,PJMCap*Q$4)))</f>
        <v>285.97609093077</v>
      </c>
      <c r="R24" s="8" t="n">
        <f aca="false">IF(R$3=2027,CapCY27,IF(R$3=2028,CapCY28,IF(R$3=2029,5/12*CapDY2829+7/12*PJMCap*R$4,PJMCap*R$4)))</f>
        <v>291.695612749386</v>
      </c>
      <c r="S24" s="8" t="n">
        <f aca="false">IF(S$3=2027,CapCY27,IF(S$3=2028,CapCY28,IF(S$3=2029,5/12*CapDY2829+7/12*PJMCap*S$4,PJMCap*S$4)))</f>
        <v>297.529525004373</v>
      </c>
      <c r="T24" s="8" t="n">
        <f aca="false">IF(T$3=2027,CapCY27,IF(T$3=2028,CapCY28,IF(T$3=2029,5/12*CapDY2829+7/12*PJMCap*T$4,PJMCap*T$4)))</f>
        <v>303.480115504461</v>
      </c>
      <c r="U24" s="8" t="n">
        <f aca="false">IF(U$3=2027,CapCY27,IF(U$3=2028,CapCY28,IF(U$3=2029,5/12*CapDY2829+7/12*PJMCap*U$4,PJMCap*U$4)))</f>
        <v>309.54971781455</v>
      </c>
      <c r="V24" s="8" t="n">
        <f aca="false">IF(V$3=2027,CapCY27,IF(V$3=2028,CapCY28,IF(V$3=2029,5/12*CapDY2829+7/12*PJMCap*V$4,PJMCap*V$4)))</f>
        <v>315.740712170841</v>
      </c>
      <c r="W24" s="8" t="n">
        <f aca="false">IF(W$3=2027,CapCY27,IF(W$3=2028,CapCY28,IF(W$3=2029,5/12*CapDY2829+7/12*PJMCap*W$4,PJMCap*W$4)))</f>
        <v>322.055526414258</v>
      </c>
      <c r="X24" s="8" t="n">
        <f aca="false">IF(X$3=2027,CapCY27,IF(X$3=2028,CapCY28,IF(X$3=2029,5/12*CapDY2829+7/12*PJMCap*X$4,PJMCap*X$4)))</f>
        <v>328.496636942543</v>
      </c>
      <c r="Y24" s="8" t="n">
        <f aca="false">IF(Y$3=2027,CapCY27,IF(Y$3=2028,CapCY28,IF(Y$3=2029,5/12*CapDY2829+7/12*PJMCap*Y$4,PJMCap*Y$4)))</f>
        <v>335.066569681394</v>
      </c>
      <c r="Z24" s="8" t="n">
        <f aca="false">IF(Z$3=2027,CapCY27,IF(Z$3=2028,CapCY28,IF(Z$3=2029,5/12*CapDY2829+7/12*PJMCap*Z$4,PJMCap*Z$4)))</f>
        <v>341.767901075022</v>
      </c>
      <c r="AA24" s="8" t="n">
        <f aca="false">IF(AA$3=2027,CapCY27,IF(AA$3=2028,CapCY28,IF(AA$3=2029,5/12*CapDY2829+7/12*PJMCap*AA$4,PJMCap*AA$4)))</f>
        <v>348.603259096522</v>
      </c>
      <c r="AB24" s="8" t="n">
        <f aca="false">IF(AB$3=2027,CapCY27,IF(AB$3=2028,CapCY28,IF(AB$3=2029,5/12*CapDY2829+7/12*PJMCap*AB$4,PJMCap*AB$4)))</f>
        <v>355.575324278453</v>
      </c>
      <c r="AC24" s="8" t="n">
        <f aca="false">IF(AC$3=2027,CapCY27,IF(AC$3=2028,CapCY28,IF(AC$3=2029,5/12*CapDY2829+7/12*PJMCap*AC$4,PJMCap*AC$4)))</f>
        <v>362.686830764022</v>
      </c>
      <c r="AD24" s="8" t="n">
        <f aca="false">IF(AD$3=2027,CapCY27,IF(AD$3=2028,CapCY28,IF(AD$3=2029,5/12*CapDY2829+7/12*PJMCap*AD$4,PJMCap*AD$4)))</f>
        <v>369.940567379302</v>
      </c>
      <c r="AE24" s="8" t="n">
        <f aca="false">IF(AE$3=2027,CapCY27,IF(AE$3=2028,CapCY28,IF(AE$3=2029,5/12*CapDY2829+7/12*PJMCap*AE$4,PJMCap*AE$4)))</f>
        <v>377.339378726888</v>
      </c>
      <c r="AF24" s="8" t="n">
        <f aca="false">IF(AF$3=2027,CapCY27,IF(AF$3=2028,CapCY28,IF(AF$3=2029,5/12*CapDY2829+7/12*PJMCap*AF$4,PJMCap*AF$4)))</f>
        <v>384.886166301426</v>
      </c>
      <c r="AG24" s="8" t="n">
        <f aca="false">IF(AG$3=2027,CapCY27,IF(AG$3=2028,CapCY28,IF(AG$3=2029,5/12*CapDY2829+7/12*PJMCap*AG$4,PJMCap*AG$4)))</f>
        <v>392.583889627454</v>
      </c>
      <c r="AH24" s="8" t="n">
        <f aca="false">IF(AH$3=2027,CapCY27,IF(AH$3=2028,CapCY28,IF(AH$3=2029,5/12*CapDY2829+7/12*PJMCap*AH$4,PJMCap*AH$4)))</f>
        <v>400.435567420003</v>
      </c>
      <c r="AI24" s="8" t="n">
        <f aca="false">IF(AI$3=2027,CapCY27,IF(AI$3=2028,CapCY28,IF(AI$3=2029,5/12*CapDY2829+7/12*PJMCap*AI$4,PJMCap*AI$4)))</f>
        <v>408.444278768404</v>
      </c>
      <c r="AJ24" s="8" t="n">
        <f aca="false">IF(AJ$3=2027,CapCY27,IF(AJ$3=2028,CapCY28,IF(AJ$3=2029,5/12*CapDY2829+7/12*PJMCap*AJ$4,PJMCap*AJ$4)))</f>
        <v>416.613164343772</v>
      </c>
      <c r="AK24" s="8" t="n">
        <f aca="false">IF(AK$3=2027,CapCY27,IF(AK$3=2028,CapCY28,IF(AK$3=2029,5/12*CapDY2829+7/12*PJMCap*AK$4,PJMCap*AK$4)))</f>
        <v>424.945427630647</v>
      </c>
      <c r="AL24" s="8" t="n">
        <f aca="false">IF(AL$3=2027,CapCY27,IF(AL$3=2028,CapCY28,IF(AL$3=2029,5/12*CapDY2829+7/12*PJMCap*AL$4,PJMCap*AL$4)))</f>
        <v>433.44433618326</v>
      </c>
      <c r="AM24" s="8" t="n">
        <f aca="false">IF(AM$3=2027,CapCY27,IF(AM$3=2028,CapCY28,IF(AM$3=2029,5/12*CapDY2829+7/12*PJMCap*AM$4,PJMCap*AM$4)))</f>
        <v>442.113222906925</v>
      </c>
      <c r="AN24" s="8" t="n">
        <f aca="false">IF(AN$3=2027,CapCY27,IF(AN$3=2028,CapCY28,IF(AN$3=2029,5/12*CapDY2829+7/12*PJMCap*AN$4,PJMCap*AN$4)))</f>
        <v>450.955487365064</v>
      </c>
      <c r="AO24" s="8" t="n">
        <f aca="false">IF(AO$3=2027,CapCY27,IF(AO$3=2028,CapCY28,IF(AO$3=2029,5/12*CapDY2829+7/12*PJMCap*AO$4,PJMCap*AO$4)))</f>
        <v>459.974597112365</v>
      </c>
      <c r="AP24" s="8" t="n">
        <f aca="false">IF(AP$3=2027,CapCY27,IF(AP$3=2028,CapCY28,IF(AP$3=2029,5/12*CapDY2829+7/12*PJMCap*AP$4,PJMCap*AP$4)))</f>
        <v>469.174089054612</v>
      </c>
      <c r="AQ24" s="8" t="n">
        <f aca="false">IF(AQ$3=2027,CapCY27,IF(AQ$3=2028,CapCY28,IF(AQ$3=2029,5/12*CapDY2829+7/12*PJMCap*AQ$4,PJMCap*AQ$4)))</f>
        <v>478.557570835705</v>
      </c>
      <c r="AR24" s="8" t="n">
        <f aca="false">IF(AR$3=2027,CapCY27,IF(AR$3=2028,CapCY28,IF(AR$3=2029,5/12*CapDY2829+7/12*PJMCap*AR$4,PJMCap*AR$4)))</f>
        <v>488.128722252419</v>
      </c>
      <c r="AS24" s="8" t="n">
        <f aca="false">IF(AS$3=2027,CapCY27,IF(AS$3=2028,CapCY28,IF(AS$3=2029,5/12*CapDY2829+7/12*PJMCap*AS$4,PJMCap*AS$4)))</f>
        <v>497.891296697467</v>
      </c>
    </row>
    <row r="25" customFormat="false" ht="15" hidden="false" customHeight="false" outlineLevel="0" collapsed="false">
      <c r="A25" s="6" t="s">
        <v>282</v>
      </c>
      <c r="B25" s="6" t="s">
        <v>283</v>
      </c>
      <c r="G25" s="7" t="n">
        <f aca="false">(G$5+Inputs!$C$52)*G$4</f>
        <v>3.723</v>
      </c>
      <c r="H25" s="7" t="n">
        <f aca="false">(H$5+Inputs!$C$52)*H$4</f>
        <v>3.79746</v>
      </c>
      <c r="I25" s="7" t="n">
        <f aca="false">(I$5+Inputs!$C$52)*I$4</f>
        <v>3.97953</v>
      </c>
      <c r="J25" s="7" t="n">
        <f aca="false">(J$5+Inputs!$C$52)*J$4</f>
        <v>4.0591206</v>
      </c>
      <c r="K25" s="7" t="n">
        <f aca="false">(K$5+Inputs!$C$52)*K$4</f>
        <v>4.140303012</v>
      </c>
      <c r="L25" s="7" t="n">
        <f aca="false">(L$5+Inputs!$C$52)*L$4</f>
        <v>4.22310907224</v>
      </c>
      <c r="M25" s="7" t="n">
        <f aca="false">(M$5+Inputs!$C$52)*M$4</f>
        <v>4.3075712536848</v>
      </c>
      <c r="N25" s="7" t="n">
        <f aca="false">(N$5+Inputs!$C$52)*N$4</f>
        <v>4.3937226787585</v>
      </c>
      <c r="O25" s="7" t="n">
        <f aca="false">(O$5+Inputs!$C$52)*O$4</f>
        <v>4.48159713233367</v>
      </c>
      <c r="P25" s="7" t="n">
        <f aca="false">(P$5+Inputs!$C$52)*P$4</f>
        <v>4.57122907498034</v>
      </c>
      <c r="Q25" s="7" t="n">
        <f aca="false">(Q$5+Inputs!$C$52)*Q$4</f>
        <v>4.66265365647995</v>
      </c>
      <c r="R25" s="7" t="n">
        <f aca="false">(R$5+Inputs!$C$52)*R$4</f>
        <v>4.75590672960955</v>
      </c>
      <c r="S25" s="7" t="n">
        <f aca="false">(S$5+Inputs!$C$52)*S$4</f>
        <v>4.85102486420174</v>
      </c>
      <c r="T25" s="7" t="n">
        <f aca="false">(T$5+Inputs!$C$52)*T$4</f>
        <v>4.94804536148577</v>
      </c>
      <c r="U25" s="7" t="n">
        <f aca="false">(U$5+Inputs!$C$52)*U$4</f>
        <v>5.04700626871549</v>
      </c>
      <c r="V25" s="7" t="n">
        <f aca="false">(V$5+Inputs!$C$52)*V$4</f>
        <v>5.1479463940898</v>
      </c>
      <c r="W25" s="7" t="n">
        <f aca="false">(W$5+Inputs!$C$52)*W$4</f>
        <v>5.25090532197159</v>
      </c>
      <c r="X25" s="7" t="n">
        <f aca="false">(X$5+Inputs!$C$52)*X$4</f>
        <v>5.35592342841103</v>
      </c>
      <c r="Y25" s="7" t="n">
        <f aca="false">(Y$5+Inputs!$C$52)*Y$4</f>
        <v>5.46304189697925</v>
      </c>
      <c r="Z25" s="7" t="n">
        <f aca="false">(Z$5+Inputs!$C$52)*Z$4</f>
        <v>5.57230273491883</v>
      </c>
      <c r="AA25" s="7" t="n">
        <f aca="false">(AA$5+Inputs!$C$52)*AA$4</f>
        <v>5.68374878961721</v>
      </c>
      <c r="AB25" s="7" t="n">
        <f aca="false">(AB$5+Inputs!$C$52)*AB$4</f>
        <v>5.79742376540955</v>
      </c>
      <c r="AC25" s="7" t="n">
        <f aca="false">(AC$5+Inputs!$C$52)*AC$4</f>
        <v>5.91337224071774</v>
      </c>
      <c r="AD25" s="7" t="n">
        <f aca="false">(AD$5+Inputs!$C$52)*AD$4</f>
        <v>6.0316396855321</v>
      </c>
      <c r="AE25" s="7" t="n">
        <f aca="false">(AE$5+Inputs!$C$52)*AE$4</f>
        <v>6.15227247924274</v>
      </c>
      <c r="AF25" s="7" t="n">
        <f aca="false">(AF$5+Inputs!$C$52)*AF$4</f>
        <v>6.2753179288276</v>
      </c>
      <c r="AG25" s="7" t="n">
        <f aca="false">(AG$5+Inputs!$C$52)*AG$4</f>
        <v>6.40082428740415</v>
      </c>
      <c r="AH25" s="7" t="n">
        <f aca="false">(AH$5+Inputs!$C$52)*AH$4</f>
        <v>6.52884077315223</v>
      </c>
      <c r="AI25" s="7" t="n">
        <f aca="false">(AI$5+Inputs!$C$52)*AI$4</f>
        <v>6.65941758861527</v>
      </c>
      <c r="AJ25" s="7" t="n">
        <f aca="false">(AJ$5+Inputs!$C$52)*AJ$4</f>
        <v>6.79260594038758</v>
      </c>
      <c r="AK25" s="7" t="n">
        <f aca="false">(AK$5+Inputs!$C$52)*AK$4</f>
        <v>6.92845805919533</v>
      </c>
      <c r="AL25" s="7" t="n">
        <f aca="false">(AL$5+Inputs!$C$52)*AL$4</f>
        <v>7.06702722037924</v>
      </c>
      <c r="AM25" s="7" t="n">
        <f aca="false">(AM$5+Inputs!$C$52)*AM$4</f>
        <v>7.20836776478682</v>
      </c>
      <c r="AN25" s="7" t="n">
        <f aca="false">(AN$5+Inputs!$C$52)*AN$4</f>
        <v>7.35253512008256</v>
      </c>
      <c r="AO25" s="7" t="n">
        <f aca="false">(AO$5+Inputs!$C$52)*AO$4</f>
        <v>7.49958582248421</v>
      </c>
      <c r="AP25" s="7" t="n">
        <f aca="false">(AP$5+Inputs!$C$52)*AP$4</f>
        <v>7.6495775389339</v>
      </c>
      <c r="AQ25" s="7" t="n">
        <f aca="false">(AQ$5+Inputs!$C$52)*AQ$4</f>
        <v>7.80256908971257</v>
      </c>
      <c r="AR25" s="7" t="n">
        <f aca="false">(AR$5+Inputs!$C$52)*AR$4</f>
        <v>7.95862047150682</v>
      </c>
      <c r="AS25" s="7" t="n">
        <f aca="false">(AS$5+Inputs!$C$52)*AS$4</f>
        <v>8.11779288093696</v>
      </c>
    </row>
    <row r="26" customFormat="false" ht="15" hidden="false" customHeight="false" outlineLevel="0" collapsed="false">
      <c r="A26" s="6" t="s">
        <v>284</v>
      </c>
      <c r="B26" s="6" t="s">
        <v>285</v>
      </c>
      <c r="G26" s="8" t="n">
        <f aca="false">IF(G$3&lt;=2028,IF(G$3=2027,FwdPJM27,FwdPJM28)*Inputs!$B$52,IF(G$3=2029,0.5*FwdPJM29*Inputs!$B$52+0.5*$C$10*G$4,$C$10*G$4))</f>
        <v>61.2</v>
      </c>
      <c r="H26" s="8" t="n">
        <f aca="false">IF(H$3&lt;=2028,IF(H$3=2027,FwdPJM27,FwdPJM28)*Inputs!$B$52,IF(H$3=2029,0.5*FwdPJM29*Inputs!$B$52+0.5*$C$10*H$4,$C$10*H$4))</f>
        <v>62.05</v>
      </c>
      <c r="I26" s="8" t="n">
        <f aca="false">IF(I$3&lt;=2028,IF(I$3=2027,FwdPJM27,FwdPJM28)*Inputs!$B$52,IF(I$3=2029,0.5*FwdPJM29*Inputs!$B$52+0.5*$C$10*I$4,$C$10*I$4))</f>
        <v>56.912282015</v>
      </c>
      <c r="J26" s="8" t="n">
        <f aca="false">IF(J$3&lt;=2028,IF(J$3=2027,FwdPJM27,FwdPJM28)*Inputs!$B$52,IF(J$3=2029,0.5*FwdPJM29*Inputs!$B$52+0.5*$C$10*J$4,$C$10*J$4))</f>
        <v>55.4110553106</v>
      </c>
      <c r="K26" s="8" t="n">
        <f aca="false">IF(K$3&lt;=2028,IF(K$3=2027,FwdPJM27,FwdPJM28)*Inputs!$B$52,IF(K$3=2029,0.5*FwdPJM29*Inputs!$B$52+0.5*$C$10*K$4,$C$10*K$4))</f>
        <v>56.519276416812</v>
      </c>
      <c r="L26" s="8" t="n">
        <f aca="false">IF(L$3&lt;=2028,IF(L$3=2027,FwdPJM27,FwdPJM28)*Inputs!$B$52,IF(L$3=2029,0.5*FwdPJM29*Inputs!$B$52+0.5*$C$10*L$4,$C$10*L$4))</f>
        <v>57.6496619451482</v>
      </c>
      <c r="M26" s="8" t="n">
        <f aca="false">IF(M$3&lt;=2028,IF(M$3=2027,FwdPJM27,FwdPJM28)*Inputs!$B$52,IF(M$3=2029,0.5*FwdPJM29*Inputs!$B$52+0.5*$C$10*M$4,$C$10*M$4))</f>
        <v>58.8026551840512</v>
      </c>
      <c r="N26" s="8" t="n">
        <f aca="false">IF(N$3&lt;=2028,IF(N$3=2027,FwdPJM27,FwdPJM28)*Inputs!$B$52,IF(N$3=2029,0.5*FwdPJM29*Inputs!$B$52+0.5*$C$10*N$4,$C$10*N$4))</f>
        <v>59.9787082877322</v>
      </c>
      <c r="O26" s="8" t="n">
        <f aca="false">IF(O$3&lt;=2028,IF(O$3=2027,FwdPJM27,FwdPJM28)*Inputs!$B$52,IF(O$3=2029,0.5*FwdPJM29*Inputs!$B$52+0.5*$C$10*O$4,$C$10*O$4))</f>
        <v>61.1782824534869</v>
      </c>
      <c r="P26" s="8" t="n">
        <f aca="false">IF(P$3&lt;=2028,IF(P$3=2027,FwdPJM27,FwdPJM28)*Inputs!$B$52,IF(P$3=2029,0.5*FwdPJM29*Inputs!$B$52+0.5*$C$10*P$4,$C$10*P$4))</f>
        <v>62.4018481025566</v>
      </c>
      <c r="Q26" s="8" t="n">
        <f aca="false">IF(Q$3&lt;=2028,IF(Q$3=2027,FwdPJM27,FwdPJM28)*Inputs!$B$52,IF(Q$3=2029,0.5*FwdPJM29*Inputs!$B$52+0.5*$C$10*Q$4,$C$10*Q$4))</f>
        <v>63.6498850646078</v>
      </c>
      <c r="R26" s="8" t="n">
        <f aca="false">IF(R$3&lt;=2028,IF(R$3=2027,FwdPJM27,FwdPJM28)*Inputs!$B$52,IF(R$3=2029,0.5*FwdPJM29*Inputs!$B$52+0.5*$C$10*R$4,$C$10*R$4))</f>
        <v>64.9228827658999</v>
      </c>
      <c r="S26" s="8" t="n">
        <f aca="false">IF(S$3&lt;=2028,IF(S$3=2027,FwdPJM27,FwdPJM28)*Inputs!$B$52,IF(S$3=2029,0.5*FwdPJM29*Inputs!$B$52+0.5*$C$10*S$4,$C$10*S$4))</f>
        <v>66.2213404212179</v>
      </c>
      <c r="T26" s="8" t="n">
        <f aca="false">IF(T$3&lt;=2028,IF(T$3=2027,FwdPJM27,FwdPJM28)*Inputs!$B$52,IF(T$3=2029,0.5*FwdPJM29*Inputs!$B$52+0.5*$C$10*T$4,$C$10*T$4))</f>
        <v>67.5457672296423</v>
      </c>
      <c r="U26" s="8" t="n">
        <f aca="false">IF(U$3&lt;=2028,IF(U$3=2027,FwdPJM27,FwdPJM28)*Inputs!$B$52,IF(U$3=2029,0.5*FwdPJM29*Inputs!$B$52+0.5*$C$10*U$4,$C$10*U$4))</f>
        <v>68.8966825742351</v>
      </c>
      <c r="V26" s="8" t="n">
        <f aca="false">IF(V$3&lt;=2028,IF(V$3=2027,FwdPJM27,FwdPJM28)*Inputs!$B$52,IF(V$3=2029,0.5*FwdPJM29*Inputs!$B$52+0.5*$C$10*V$4,$C$10*V$4))</f>
        <v>70.2746162257198</v>
      </c>
      <c r="W26" s="8" t="n">
        <f aca="false">IF(W$3&lt;=2028,IF(W$3=2027,FwdPJM27,FwdPJM28)*Inputs!$B$52,IF(W$3=2029,0.5*FwdPJM29*Inputs!$B$52+0.5*$C$10*W$4,$C$10*W$4))</f>
        <v>71.6801085502342</v>
      </c>
      <c r="X26" s="8" t="n">
        <f aca="false">IF(X$3&lt;=2028,IF(X$3=2027,FwdPJM27,FwdPJM28)*Inputs!$B$52,IF(X$3=2029,0.5*FwdPJM29*Inputs!$B$52+0.5*$C$10*X$4,$C$10*X$4))</f>
        <v>73.1137107212389</v>
      </c>
      <c r="Y26" s="8" t="n">
        <f aca="false">IF(Y$3&lt;=2028,IF(Y$3=2027,FwdPJM27,FwdPJM28)*Inputs!$B$52,IF(Y$3=2029,0.5*FwdPJM29*Inputs!$B$52+0.5*$C$10*Y$4,$C$10*Y$4))</f>
        <v>74.5759849356637</v>
      </c>
      <c r="Z26" s="8" t="n">
        <f aca="false">IF(Z$3&lt;=2028,IF(Z$3=2027,FwdPJM27,FwdPJM28)*Inputs!$B$52,IF(Z$3=2029,0.5*FwdPJM29*Inputs!$B$52+0.5*$C$10*Z$4,$C$10*Z$4))</f>
        <v>76.067504634377</v>
      </c>
      <c r="AA26" s="8" t="n">
        <f aca="false">IF(AA$3&lt;=2028,IF(AA$3=2027,FwdPJM27,FwdPJM28)*Inputs!$B$52,IF(AA$3=2029,0.5*FwdPJM29*Inputs!$B$52+0.5*$C$10*AA$4,$C$10*AA$4))</f>
        <v>77.5888547270645</v>
      </c>
      <c r="AB26" s="8" t="n">
        <f aca="false">IF(AB$3&lt;=2028,IF(AB$3=2027,FwdPJM27,FwdPJM28)*Inputs!$B$52,IF(AB$3=2029,0.5*FwdPJM29*Inputs!$B$52+0.5*$C$10*AB$4,$C$10*AB$4))</f>
        <v>79.1406318216058</v>
      </c>
      <c r="AC26" s="8" t="n">
        <f aca="false">IF(AC$3&lt;=2028,IF(AC$3=2027,FwdPJM27,FwdPJM28)*Inputs!$B$52,IF(AC$3=2029,0.5*FwdPJM29*Inputs!$B$52+0.5*$C$10*AC$4,$C$10*AC$4))</f>
        <v>80.7234444580379</v>
      </c>
      <c r="AD26" s="8" t="n">
        <f aca="false">IF(AD$3&lt;=2028,IF(AD$3=2027,FwdPJM27,FwdPJM28)*Inputs!$B$52,IF(AD$3=2029,0.5*FwdPJM29*Inputs!$B$52+0.5*$C$10*AD$4,$C$10*AD$4))</f>
        <v>82.3379133471987</v>
      </c>
      <c r="AE26" s="8" t="n">
        <f aca="false">IF(AE$3&lt;=2028,IF(AE$3=2027,FwdPJM27,FwdPJM28)*Inputs!$B$52,IF(AE$3=2029,0.5*FwdPJM29*Inputs!$B$52+0.5*$C$10*AE$4,$C$10*AE$4))</f>
        <v>83.9846716141426</v>
      </c>
      <c r="AF26" s="8" t="n">
        <f aca="false">IF(AF$3&lt;=2028,IF(AF$3=2027,FwdPJM27,FwdPJM28)*Inputs!$B$52,IF(AF$3=2029,0.5*FwdPJM29*Inputs!$B$52+0.5*$C$10*AF$4,$C$10*AF$4))</f>
        <v>85.6643650464255</v>
      </c>
      <c r="AG26" s="8" t="n">
        <f aca="false">IF(AG$3&lt;=2028,IF(AG$3=2027,FwdPJM27,FwdPJM28)*Inputs!$B$52,IF(AG$3=2029,0.5*FwdPJM29*Inputs!$B$52+0.5*$C$10*AG$4,$C$10*AG$4))</f>
        <v>87.377652347354</v>
      </c>
      <c r="AH26" s="8" t="n">
        <f aca="false">IF(AH$3&lt;=2028,IF(AH$3=2027,FwdPJM27,FwdPJM28)*Inputs!$B$52,IF(AH$3=2029,0.5*FwdPJM29*Inputs!$B$52+0.5*$C$10*AH$4,$C$10*AH$4))</f>
        <v>89.1252053943011</v>
      </c>
      <c r="AI26" s="8" t="n">
        <f aca="false">IF(AI$3&lt;=2028,IF(AI$3=2027,FwdPJM27,FwdPJM28)*Inputs!$B$52,IF(AI$3=2029,0.5*FwdPJM29*Inputs!$B$52+0.5*$C$10*AI$4,$C$10*AI$4))</f>
        <v>90.9077095021871</v>
      </c>
      <c r="AJ26" s="8" t="n">
        <f aca="false">IF(AJ$3&lt;=2028,IF(AJ$3=2027,FwdPJM27,FwdPJM28)*Inputs!$B$52,IF(AJ$3=2029,0.5*FwdPJM29*Inputs!$B$52+0.5*$C$10*AJ$4,$C$10*AJ$4))</f>
        <v>92.7258636922309</v>
      </c>
      <c r="AK26" s="8" t="n">
        <f aca="false">IF(AK$3&lt;=2028,IF(AK$3=2027,FwdPJM27,FwdPJM28)*Inputs!$B$52,IF(AK$3=2029,0.5*FwdPJM29*Inputs!$B$52+0.5*$C$10*AK$4,$C$10*AK$4))</f>
        <v>94.5803809660755</v>
      </c>
      <c r="AL26" s="8" t="n">
        <f aca="false">IF(AL$3&lt;=2028,IF(AL$3=2027,FwdPJM27,FwdPJM28)*Inputs!$B$52,IF(AL$3=2029,0.5*FwdPJM29*Inputs!$B$52+0.5*$C$10*AL$4,$C$10*AL$4))</f>
        <v>96.471988585397</v>
      </c>
      <c r="AM26" s="8" t="n">
        <f aca="false">IF(AM$3&lt;=2028,IF(AM$3=2027,FwdPJM27,FwdPJM28)*Inputs!$B$52,IF(AM$3=2029,0.5*FwdPJM29*Inputs!$B$52+0.5*$C$10*AM$4,$C$10*AM$4))</f>
        <v>98.4014283571049</v>
      </c>
      <c r="AN26" s="8" t="n">
        <f aca="false">IF(AN$3&lt;=2028,IF(AN$3=2027,FwdPJM27,FwdPJM28)*Inputs!$B$52,IF(AN$3=2029,0.5*FwdPJM29*Inputs!$B$52+0.5*$C$10*AN$4,$C$10*AN$4))</f>
        <v>100.369456924247</v>
      </c>
      <c r="AO26" s="8" t="n">
        <f aca="false">IF(AO$3&lt;=2028,IF(AO$3=2027,FwdPJM27,FwdPJM28)*Inputs!$B$52,IF(AO$3=2029,0.5*FwdPJM29*Inputs!$B$52+0.5*$C$10*AO$4,$C$10*AO$4))</f>
        <v>102.376846062732</v>
      </c>
      <c r="AP26" s="8" t="n">
        <f aca="false">IF(AP$3&lt;=2028,IF(AP$3=2027,FwdPJM27,FwdPJM28)*Inputs!$B$52,IF(AP$3=2029,0.5*FwdPJM29*Inputs!$B$52+0.5*$C$10*AP$4,$C$10*AP$4))</f>
        <v>104.424382983987</v>
      </c>
      <c r="AQ26" s="8" t="n">
        <f aca="false">IF(AQ$3&lt;=2028,IF(AQ$3=2027,FwdPJM27,FwdPJM28)*Inputs!$B$52,IF(AQ$3=2029,0.5*FwdPJM29*Inputs!$B$52+0.5*$C$10*AQ$4,$C$10*AQ$4))</f>
        <v>106.512870643666</v>
      </c>
      <c r="AR26" s="8" t="n">
        <f aca="false">IF(AR$3&lt;=2028,IF(AR$3=2027,FwdPJM27,FwdPJM28)*Inputs!$B$52,IF(AR$3=2029,0.5*FwdPJM29*Inputs!$B$52+0.5*$C$10*AR$4,$C$10*AR$4))</f>
        <v>108.64312805654</v>
      </c>
      <c r="AS26" s="8" t="n">
        <f aca="false">IF(AS$3&lt;=2028,IF(AS$3=2027,FwdPJM27,FwdPJM28)*Inputs!$B$52,IF(AS$3=2029,0.5*FwdPJM29*Inputs!$B$52+0.5*$C$10*AS$4,$C$10*AS$4))</f>
        <v>110.81599061767</v>
      </c>
    </row>
    <row r="27" customFormat="false" ht="15" hidden="false" customHeight="false" outlineLevel="0" collapsed="false">
      <c r="A27" s="6" t="s">
        <v>286</v>
      </c>
      <c r="B27" s="6" t="s">
        <v>287</v>
      </c>
      <c r="G27" s="8" t="n">
        <f aca="false">IF(G$3=2027,CapCY27,IF(G$3=2028,CapCY28,IF(G$3=2029,5/12*CapDY2829+7/12*PJMCap*G$4,PJMCap*G$4)))</f>
        <v>331.66</v>
      </c>
      <c r="H27" s="8" t="n">
        <f aca="false">IF(H$3=2027,CapCY27,IF(H$3=2028,CapCY28,IF(H$3=2029,5/12*CapDY2829+7/12*PJMCap*H$4,PJMCap*H$4)))</f>
        <v>328.52</v>
      </c>
      <c r="I27" s="8" t="n">
        <f aca="false">IF(I$3=2027,CapCY27,IF(I$3=2028,CapCY28,IF(I$3=2029,5/12*CapDY2829+7/12*PJMCap*I$4,PJMCap*I$4)))</f>
        <v>277.795406666667</v>
      </c>
      <c r="J27" s="8" t="n">
        <f aca="false">IF(J$3=2027,CapCY27,IF(J$3=2028,CapCY28,IF(J$3=2029,5/12*CapDY2829+7/12*PJMCap*J$4,PJMCap*J$4)))</f>
        <v>248.9593968</v>
      </c>
      <c r="K27" s="8" t="n">
        <f aca="false">IF(K$3=2027,CapCY27,IF(K$3=2028,CapCY28,IF(K$3=2029,5/12*CapDY2829+7/12*PJMCap*K$4,PJMCap*K$4)))</f>
        <v>253.938584736</v>
      </c>
      <c r="L27" s="8" t="n">
        <f aca="false">IF(L$3=2027,CapCY27,IF(L$3=2028,CapCY28,IF(L$3=2029,5/12*CapDY2829+7/12*PJMCap*L$4,PJMCap*L$4)))</f>
        <v>259.01735643072</v>
      </c>
      <c r="M27" s="8" t="n">
        <f aca="false">IF(M$3=2027,CapCY27,IF(M$3=2028,CapCY28,IF(M$3=2029,5/12*CapDY2829+7/12*PJMCap*M$4,PJMCap*M$4)))</f>
        <v>264.197703559334</v>
      </c>
      <c r="N27" s="8" t="n">
        <f aca="false">IF(N$3=2027,CapCY27,IF(N$3=2028,CapCY28,IF(N$3=2029,5/12*CapDY2829+7/12*PJMCap*N$4,PJMCap*N$4)))</f>
        <v>269.481657630521</v>
      </c>
      <c r="O27" s="8" t="n">
        <f aca="false">IF(O$3=2027,CapCY27,IF(O$3=2028,CapCY28,IF(O$3=2029,5/12*CapDY2829+7/12*PJMCap*O$4,PJMCap*O$4)))</f>
        <v>274.871290783132</v>
      </c>
      <c r="P27" s="8" t="n">
        <f aca="false">IF(P$3=2027,CapCY27,IF(P$3=2028,CapCY28,IF(P$3=2029,5/12*CapDY2829+7/12*PJMCap*P$4,PJMCap*P$4)))</f>
        <v>280.368716598794</v>
      </c>
      <c r="Q27" s="8" t="n">
        <f aca="false">IF(Q$3=2027,CapCY27,IF(Q$3=2028,CapCY28,IF(Q$3=2029,5/12*CapDY2829+7/12*PJMCap*Q$4,PJMCap*Q$4)))</f>
        <v>285.97609093077</v>
      </c>
      <c r="R27" s="8" t="n">
        <f aca="false">IF(R$3=2027,CapCY27,IF(R$3=2028,CapCY28,IF(R$3=2029,5/12*CapDY2829+7/12*PJMCap*R$4,PJMCap*R$4)))</f>
        <v>291.695612749386</v>
      </c>
      <c r="S27" s="8" t="n">
        <f aca="false">IF(S$3=2027,CapCY27,IF(S$3=2028,CapCY28,IF(S$3=2029,5/12*CapDY2829+7/12*PJMCap*S$4,PJMCap*S$4)))</f>
        <v>297.529525004373</v>
      </c>
      <c r="T27" s="8" t="n">
        <f aca="false">IF(T$3=2027,CapCY27,IF(T$3=2028,CapCY28,IF(T$3=2029,5/12*CapDY2829+7/12*PJMCap*T$4,PJMCap*T$4)))</f>
        <v>303.480115504461</v>
      </c>
      <c r="U27" s="8" t="n">
        <f aca="false">IF(U$3=2027,CapCY27,IF(U$3=2028,CapCY28,IF(U$3=2029,5/12*CapDY2829+7/12*PJMCap*U$4,PJMCap*U$4)))</f>
        <v>309.54971781455</v>
      </c>
      <c r="V27" s="8" t="n">
        <f aca="false">IF(V$3=2027,CapCY27,IF(V$3=2028,CapCY28,IF(V$3=2029,5/12*CapDY2829+7/12*PJMCap*V$4,PJMCap*V$4)))</f>
        <v>315.740712170841</v>
      </c>
      <c r="W27" s="8" t="n">
        <f aca="false">IF(W$3=2027,CapCY27,IF(W$3=2028,CapCY28,IF(W$3=2029,5/12*CapDY2829+7/12*PJMCap*W$4,PJMCap*W$4)))</f>
        <v>322.055526414258</v>
      </c>
      <c r="X27" s="8" t="n">
        <f aca="false">IF(X$3=2027,CapCY27,IF(X$3=2028,CapCY28,IF(X$3=2029,5/12*CapDY2829+7/12*PJMCap*X$4,PJMCap*X$4)))</f>
        <v>328.496636942543</v>
      </c>
      <c r="Y27" s="8" t="n">
        <f aca="false">IF(Y$3=2027,CapCY27,IF(Y$3=2028,CapCY28,IF(Y$3=2029,5/12*CapDY2829+7/12*PJMCap*Y$4,PJMCap*Y$4)))</f>
        <v>335.066569681394</v>
      </c>
      <c r="Z27" s="8" t="n">
        <f aca="false">IF(Z$3=2027,CapCY27,IF(Z$3=2028,CapCY28,IF(Z$3=2029,5/12*CapDY2829+7/12*PJMCap*Z$4,PJMCap*Z$4)))</f>
        <v>341.767901075022</v>
      </c>
      <c r="AA27" s="8" t="n">
        <f aca="false">IF(AA$3=2027,CapCY27,IF(AA$3=2028,CapCY28,IF(AA$3=2029,5/12*CapDY2829+7/12*PJMCap*AA$4,PJMCap*AA$4)))</f>
        <v>348.603259096522</v>
      </c>
      <c r="AB27" s="8" t="n">
        <f aca="false">IF(AB$3=2027,CapCY27,IF(AB$3=2028,CapCY28,IF(AB$3=2029,5/12*CapDY2829+7/12*PJMCap*AB$4,PJMCap*AB$4)))</f>
        <v>355.575324278453</v>
      </c>
      <c r="AC27" s="8" t="n">
        <f aca="false">IF(AC$3=2027,CapCY27,IF(AC$3=2028,CapCY28,IF(AC$3=2029,5/12*CapDY2829+7/12*PJMCap*AC$4,PJMCap*AC$4)))</f>
        <v>362.686830764022</v>
      </c>
      <c r="AD27" s="8" t="n">
        <f aca="false">IF(AD$3=2027,CapCY27,IF(AD$3=2028,CapCY28,IF(AD$3=2029,5/12*CapDY2829+7/12*PJMCap*AD$4,PJMCap*AD$4)))</f>
        <v>369.940567379302</v>
      </c>
      <c r="AE27" s="8" t="n">
        <f aca="false">IF(AE$3=2027,CapCY27,IF(AE$3=2028,CapCY28,IF(AE$3=2029,5/12*CapDY2829+7/12*PJMCap*AE$4,PJMCap*AE$4)))</f>
        <v>377.339378726888</v>
      </c>
      <c r="AF27" s="8" t="n">
        <f aca="false">IF(AF$3=2027,CapCY27,IF(AF$3=2028,CapCY28,IF(AF$3=2029,5/12*CapDY2829+7/12*PJMCap*AF$4,PJMCap*AF$4)))</f>
        <v>384.886166301426</v>
      </c>
      <c r="AG27" s="8" t="n">
        <f aca="false">IF(AG$3=2027,CapCY27,IF(AG$3=2028,CapCY28,IF(AG$3=2029,5/12*CapDY2829+7/12*PJMCap*AG$4,PJMCap*AG$4)))</f>
        <v>392.583889627454</v>
      </c>
      <c r="AH27" s="8" t="n">
        <f aca="false">IF(AH$3=2027,CapCY27,IF(AH$3=2028,CapCY28,IF(AH$3=2029,5/12*CapDY2829+7/12*PJMCap*AH$4,PJMCap*AH$4)))</f>
        <v>400.435567420003</v>
      </c>
      <c r="AI27" s="8" t="n">
        <f aca="false">IF(AI$3=2027,CapCY27,IF(AI$3=2028,CapCY28,IF(AI$3=2029,5/12*CapDY2829+7/12*PJMCap*AI$4,PJMCap*AI$4)))</f>
        <v>408.444278768404</v>
      </c>
      <c r="AJ27" s="8" t="n">
        <f aca="false">IF(AJ$3=2027,CapCY27,IF(AJ$3=2028,CapCY28,IF(AJ$3=2029,5/12*CapDY2829+7/12*PJMCap*AJ$4,PJMCap*AJ$4)))</f>
        <v>416.613164343772</v>
      </c>
      <c r="AK27" s="8" t="n">
        <f aca="false">IF(AK$3=2027,CapCY27,IF(AK$3=2028,CapCY28,IF(AK$3=2029,5/12*CapDY2829+7/12*PJMCap*AK$4,PJMCap*AK$4)))</f>
        <v>424.945427630647</v>
      </c>
      <c r="AL27" s="8" t="n">
        <f aca="false">IF(AL$3=2027,CapCY27,IF(AL$3=2028,CapCY28,IF(AL$3=2029,5/12*CapDY2829+7/12*PJMCap*AL$4,PJMCap*AL$4)))</f>
        <v>433.44433618326</v>
      </c>
      <c r="AM27" s="8" t="n">
        <f aca="false">IF(AM$3=2027,CapCY27,IF(AM$3=2028,CapCY28,IF(AM$3=2029,5/12*CapDY2829+7/12*PJMCap*AM$4,PJMCap*AM$4)))</f>
        <v>442.113222906925</v>
      </c>
      <c r="AN27" s="8" t="n">
        <f aca="false">IF(AN$3=2027,CapCY27,IF(AN$3=2028,CapCY28,IF(AN$3=2029,5/12*CapDY2829+7/12*PJMCap*AN$4,PJMCap*AN$4)))</f>
        <v>450.955487365064</v>
      </c>
      <c r="AO27" s="8" t="n">
        <f aca="false">IF(AO$3=2027,CapCY27,IF(AO$3=2028,CapCY28,IF(AO$3=2029,5/12*CapDY2829+7/12*PJMCap*AO$4,PJMCap*AO$4)))</f>
        <v>459.974597112365</v>
      </c>
      <c r="AP27" s="8" t="n">
        <f aca="false">IF(AP$3=2027,CapCY27,IF(AP$3=2028,CapCY28,IF(AP$3=2029,5/12*CapDY2829+7/12*PJMCap*AP$4,PJMCap*AP$4)))</f>
        <v>469.174089054612</v>
      </c>
      <c r="AQ27" s="8" t="n">
        <f aca="false">IF(AQ$3=2027,CapCY27,IF(AQ$3=2028,CapCY28,IF(AQ$3=2029,5/12*CapDY2829+7/12*PJMCap*AQ$4,PJMCap*AQ$4)))</f>
        <v>478.557570835705</v>
      </c>
      <c r="AR27" s="8" t="n">
        <f aca="false">IF(AR$3=2027,CapCY27,IF(AR$3=2028,CapCY28,IF(AR$3=2029,5/12*CapDY2829+7/12*PJMCap*AR$4,PJMCap*AR$4)))</f>
        <v>488.128722252419</v>
      </c>
      <c r="AS27" s="8" t="n">
        <f aca="false">IF(AS$3=2027,CapCY27,IF(AS$3=2028,CapCY28,IF(AS$3=2029,5/12*CapDY2829+7/12*PJMCap*AS$4,PJMCap*AS$4)))</f>
        <v>497.891296697467</v>
      </c>
    </row>
    <row r="28" customFormat="false" ht="15" hidden="false" customHeight="false" outlineLevel="0" collapsed="false">
      <c r="A28" s="6" t="s">
        <v>288</v>
      </c>
      <c r="B28" s="6" t="s">
        <v>289</v>
      </c>
      <c r="G28" s="7" t="n">
        <f aca="false">(G$5+Inputs!$C$53)*G$4</f>
        <v>3.774</v>
      </c>
      <c r="H28" s="7" t="n">
        <f aca="false">(H$5+Inputs!$C$53)*H$4</f>
        <v>3.84948</v>
      </c>
      <c r="I28" s="7" t="n">
        <f aca="false">(I$5+Inputs!$C$53)*I$4</f>
        <v>4.0325904</v>
      </c>
      <c r="J28" s="7" t="n">
        <f aca="false">(J$5+Inputs!$C$53)*J$4</f>
        <v>4.113242208</v>
      </c>
      <c r="K28" s="7" t="n">
        <f aca="false">(K$5+Inputs!$C$53)*K$4</f>
        <v>4.19550705216</v>
      </c>
      <c r="L28" s="7" t="n">
        <f aca="false">(L$5+Inputs!$C$53)*L$4</f>
        <v>4.2794171932032</v>
      </c>
      <c r="M28" s="7" t="n">
        <f aca="false">(M$5+Inputs!$C$53)*M$4</f>
        <v>4.36500553706726</v>
      </c>
      <c r="N28" s="7" t="n">
        <f aca="false">(N$5+Inputs!$C$53)*N$4</f>
        <v>4.45230564780861</v>
      </c>
      <c r="O28" s="7" t="n">
        <f aca="false">(O$5+Inputs!$C$53)*O$4</f>
        <v>4.54135176076478</v>
      </c>
      <c r="P28" s="7" t="n">
        <f aca="false">(P$5+Inputs!$C$53)*P$4</f>
        <v>4.63217879598008</v>
      </c>
      <c r="Q28" s="7" t="n">
        <f aca="false">(Q$5+Inputs!$C$53)*Q$4</f>
        <v>4.72482237189968</v>
      </c>
      <c r="R28" s="7" t="n">
        <f aca="false">(R$5+Inputs!$C$53)*R$4</f>
        <v>4.81931881933767</v>
      </c>
      <c r="S28" s="7" t="n">
        <f aca="false">(S$5+Inputs!$C$53)*S$4</f>
        <v>4.91570519572443</v>
      </c>
      <c r="T28" s="7" t="n">
        <f aca="false">(T$5+Inputs!$C$53)*T$4</f>
        <v>5.01401929963892</v>
      </c>
      <c r="U28" s="7" t="n">
        <f aca="false">(U$5+Inputs!$C$53)*U$4</f>
        <v>5.11429968563169</v>
      </c>
      <c r="V28" s="7" t="n">
        <f aca="false">(V$5+Inputs!$C$53)*V$4</f>
        <v>5.21658567934433</v>
      </c>
      <c r="W28" s="7" t="n">
        <f aca="false">(W$5+Inputs!$C$53)*W$4</f>
        <v>5.32091739293121</v>
      </c>
      <c r="X28" s="7" t="n">
        <f aca="false">(X$5+Inputs!$C$53)*X$4</f>
        <v>5.42733574078984</v>
      </c>
      <c r="Y28" s="7" t="n">
        <f aca="false">(Y$5+Inputs!$C$53)*Y$4</f>
        <v>5.53588245560564</v>
      </c>
      <c r="Z28" s="7" t="n">
        <f aca="false">(Z$5+Inputs!$C$53)*Z$4</f>
        <v>5.64660010471775</v>
      </c>
      <c r="AA28" s="7" t="n">
        <f aca="false">(AA$5+Inputs!$C$53)*AA$4</f>
        <v>5.7595321068121</v>
      </c>
      <c r="AB28" s="7" t="n">
        <f aca="false">(AB$5+Inputs!$C$53)*AB$4</f>
        <v>5.87472274894835</v>
      </c>
      <c r="AC28" s="7" t="n">
        <f aca="false">(AC$5+Inputs!$C$53)*AC$4</f>
        <v>5.99221720392731</v>
      </c>
      <c r="AD28" s="7" t="n">
        <f aca="false">(AD$5+Inputs!$C$53)*AD$4</f>
        <v>6.11206154800586</v>
      </c>
      <c r="AE28" s="7" t="n">
        <f aca="false">(AE$5+Inputs!$C$53)*AE$4</f>
        <v>6.23430277896598</v>
      </c>
      <c r="AF28" s="7" t="n">
        <f aca="false">(AF$5+Inputs!$C$53)*AF$4</f>
        <v>6.3589888345453</v>
      </c>
      <c r="AG28" s="7" t="n">
        <f aca="false">(AG$5+Inputs!$C$53)*AG$4</f>
        <v>6.4861686112362</v>
      </c>
      <c r="AH28" s="7" t="n">
        <f aca="false">(AH$5+Inputs!$C$53)*AH$4</f>
        <v>6.61589198346093</v>
      </c>
      <c r="AI28" s="7" t="n">
        <f aca="false">(AI$5+Inputs!$C$53)*AI$4</f>
        <v>6.74820982313015</v>
      </c>
      <c r="AJ28" s="7" t="n">
        <f aca="false">(AJ$5+Inputs!$C$53)*AJ$4</f>
        <v>6.88317401959275</v>
      </c>
      <c r="AK28" s="7" t="n">
        <f aca="false">(AK$5+Inputs!$C$53)*AK$4</f>
        <v>7.0208374999846</v>
      </c>
      <c r="AL28" s="7" t="n">
        <f aca="false">(AL$5+Inputs!$C$53)*AL$4</f>
        <v>7.16125424998429</v>
      </c>
      <c r="AM28" s="7" t="n">
        <f aca="false">(AM$5+Inputs!$C$53)*AM$4</f>
        <v>7.30447933498398</v>
      </c>
      <c r="AN28" s="7" t="n">
        <f aca="false">(AN$5+Inputs!$C$53)*AN$4</f>
        <v>7.45056892168366</v>
      </c>
      <c r="AO28" s="7" t="n">
        <f aca="false">(AO$5+Inputs!$C$53)*AO$4</f>
        <v>7.59958030011733</v>
      </c>
      <c r="AP28" s="7" t="n">
        <f aca="false">(AP$5+Inputs!$C$53)*AP$4</f>
        <v>7.75157190611968</v>
      </c>
      <c r="AQ28" s="7" t="n">
        <f aca="false">(AQ$5+Inputs!$C$53)*AQ$4</f>
        <v>7.90660334424208</v>
      </c>
      <c r="AR28" s="7" t="n">
        <f aca="false">(AR$5+Inputs!$C$53)*AR$4</f>
        <v>8.06473541112692</v>
      </c>
      <c r="AS28" s="7" t="n">
        <f aca="false">(AS$5+Inputs!$C$53)*AS$4</f>
        <v>8.22603011934945</v>
      </c>
    </row>
    <row r="29" customFormat="false" ht="15" hidden="false" customHeight="false" outlineLevel="0" collapsed="false">
      <c r="A29" s="6" t="s">
        <v>290</v>
      </c>
      <c r="B29" s="6" t="s">
        <v>291</v>
      </c>
      <c r="G29" s="8" t="n">
        <f aca="false">IF(G$3&lt;=2028,IF(G$3=2027,FwdPJM27,FwdPJM28)*Inputs!$B$53,IF(G$3=2029,0.5*FwdPJM29*Inputs!$B$53+0.5*$C$11*G$4,$C$11*G$4))</f>
        <v>59.76</v>
      </c>
      <c r="H29" s="8" t="n">
        <f aca="false">IF(H$3&lt;=2028,IF(H$3=2027,FwdPJM27,FwdPJM28)*Inputs!$B$53,IF(H$3=2029,0.5*FwdPJM29*Inputs!$B$53+0.5*$C$11*H$4,$C$11*H$4))</f>
        <v>60.59</v>
      </c>
      <c r="I29" s="8" t="n">
        <f aca="false">IF(I$3&lt;=2028,IF(I$3=2027,FwdPJM27,FwdPJM28)*Inputs!$B$53,IF(I$3=2029,0.5*FwdPJM29*Inputs!$B$53+0.5*$C$11*I$4,$C$11*I$4))</f>
        <v>55.573169497</v>
      </c>
      <c r="J29" s="8" t="n">
        <f aca="false">IF(J$3&lt;=2028,IF(J$3=2027,FwdPJM27,FwdPJM28)*Inputs!$B$53,IF(J$3=2029,0.5*FwdPJM29*Inputs!$B$53+0.5*$C$11*J$4,$C$11*J$4))</f>
        <v>54.10726577388</v>
      </c>
      <c r="K29" s="8" t="n">
        <f aca="false">IF(K$3&lt;=2028,IF(K$3=2027,FwdPJM27,FwdPJM28)*Inputs!$B$53,IF(K$3=2029,0.5*FwdPJM29*Inputs!$B$53+0.5*$C$11*K$4,$C$11*K$4))</f>
        <v>55.1894110893576</v>
      </c>
      <c r="L29" s="8" t="n">
        <f aca="false">IF(L$3&lt;=2028,IF(L$3=2027,FwdPJM27,FwdPJM28)*Inputs!$B$53,IF(L$3=2029,0.5*FwdPJM29*Inputs!$B$53+0.5*$C$11*L$4,$C$11*L$4))</f>
        <v>56.2931993111448</v>
      </c>
      <c r="M29" s="8" t="n">
        <f aca="false">IF(M$3&lt;=2028,IF(M$3=2027,FwdPJM27,FwdPJM28)*Inputs!$B$53,IF(M$3=2029,0.5*FwdPJM29*Inputs!$B$53+0.5*$C$11*M$4,$C$11*M$4))</f>
        <v>57.4190632973677</v>
      </c>
      <c r="N29" s="8" t="n">
        <f aca="false">IF(N$3&lt;=2028,IF(N$3=2027,FwdPJM27,FwdPJM28)*Inputs!$B$53,IF(N$3=2029,0.5*FwdPJM29*Inputs!$B$53+0.5*$C$11*N$4,$C$11*N$4))</f>
        <v>58.567444563315</v>
      </c>
      <c r="O29" s="8" t="n">
        <f aca="false">IF(O$3&lt;=2028,IF(O$3=2027,FwdPJM27,FwdPJM28)*Inputs!$B$53,IF(O$3=2029,0.5*FwdPJM29*Inputs!$B$53+0.5*$C$11*O$4,$C$11*O$4))</f>
        <v>59.7387934545813</v>
      </c>
      <c r="P29" s="8" t="n">
        <f aca="false">IF(P$3&lt;=2028,IF(P$3=2027,FwdPJM27,FwdPJM28)*Inputs!$B$53,IF(P$3=2029,0.5*FwdPJM29*Inputs!$B$53+0.5*$C$11*P$4,$C$11*P$4))</f>
        <v>60.9335693236729</v>
      </c>
      <c r="Q29" s="8" t="n">
        <f aca="false">IF(Q$3&lt;=2028,IF(Q$3=2027,FwdPJM27,FwdPJM28)*Inputs!$B$53,IF(Q$3=2029,0.5*FwdPJM29*Inputs!$B$53+0.5*$C$11*Q$4,$C$11*Q$4))</f>
        <v>62.1522407101464</v>
      </c>
      <c r="R29" s="8" t="n">
        <f aca="false">IF(R$3&lt;=2028,IF(R$3=2027,FwdPJM27,FwdPJM28)*Inputs!$B$53,IF(R$3=2029,0.5*FwdPJM29*Inputs!$B$53+0.5*$C$11*R$4,$C$11*R$4))</f>
        <v>63.3952855243493</v>
      </c>
      <c r="S29" s="8" t="n">
        <f aca="false">IF(S$3&lt;=2028,IF(S$3=2027,FwdPJM27,FwdPJM28)*Inputs!$B$53,IF(S$3=2029,0.5*FwdPJM29*Inputs!$B$53+0.5*$C$11*S$4,$C$11*S$4))</f>
        <v>64.6631912348363</v>
      </c>
      <c r="T29" s="8" t="n">
        <f aca="false">IF(T$3&lt;=2028,IF(T$3=2027,FwdPJM27,FwdPJM28)*Inputs!$B$53,IF(T$3=2029,0.5*FwdPJM29*Inputs!$B$53+0.5*$C$11*T$4,$C$11*T$4))</f>
        <v>65.956455059533</v>
      </c>
      <c r="U29" s="8" t="n">
        <f aca="false">IF(U$3&lt;=2028,IF(U$3=2027,FwdPJM27,FwdPJM28)*Inputs!$B$53,IF(U$3=2029,0.5*FwdPJM29*Inputs!$B$53+0.5*$C$11*U$4,$C$11*U$4))</f>
        <v>67.2755841607237</v>
      </c>
      <c r="V29" s="8" t="n">
        <f aca="false">IF(V$3&lt;=2028,IF(V$3=2027,FwdPJM27,FwdPJM28)*Inputs!$B$53,IF(V$3=2029,0.5*FwdPJM29*Inputs!$B$53+0.5*$C$11*V$4,$C$11*V$4))</f>
        <v>68.6210958439382</v>
      </c>
      <c r="W29" s="8" t="n">
        <f aca="false">IF(W$3&lt;=2028,IF(W$3=2027,FwdPJM27,FwdPJM28)*Inputs!$B$53,IF(W$3=2029,0.5*FwdPJM29*Inputs!$B$53+0.5*$C$11*W$4,$C$11*W$4))</f>
        <v>69.9935177608169</v>
      </c>
      <c r="X29" s="8" t="n">
        <f aca="false">IF(X$3&lt;=2028,IF(X$3=2027,FwdPJM27,FwdPJM28)*Inputs!$B$53,IF(X$3=2029,0.5*FwdPJM29*Inputs!$B$53+0.5*$C$11*X$4,$C$11*X$4))</f>
        <v>71.3933881160333</v>
      </c>
      <c r="Y29" s="8" t="n">
        <f aca="false">IF(Y$3&lt;=2028,IF(Y$3=2027,FwdPJM27,FwdPJM28)*Inputs!$B$53,IF(Y$3=2029,0.5*FwdPJM29*Inputs!$B$53+0.5*$C$11*Y$4,$C$11*Y$4))</f>
        <v>72.821255878354</v>
      </c>
      <c r="Z29" s="8" t="n">
        <f aca="false">IF(Z$3&lt;=2028,IF(Z$3=2027,FwdPJM27,FwdPJM28)*Inputs!$B$53,IF(Z$3=2029,0.5*FwdPJM29*Inputs!$B$53+0.5*$C$11*Z$4,$C$11*Z$4))</f>
        <v>74.277680995921</v>
      </c>
      <c r="AA29" s="8" t="n">
        <f aca="false">IF(AA$3&lt;=2028,IF(AA$3=2027,FwdPJM27,FwdPJM28)*Inputs!$B$53,IF(AA$3=2029,0.5*FwdPJM29*Inputs!$B$53+0.5*$C$11*AA$4,$C$11*AA$4))</f>
        <v>75.7632346158395</v>
      </c>
      <c r="AB29" s="8" t="n">
        <f aca="false">IF(AB$3&lt;=2028,IF(AB$3=2027,FwdPJM27,FwdPJM28)*Inputs!$B$53,IF(AB$3=2029,0.5*FwdPJM29*Inputs!$B$53+0.5*$C$11*AB$4,$C$11*AB$4))</f>
        <v>77.2784993081562</v>
      </c>
      <c r="AC29" s="8" t="n">
        <f aca="false">IF(AC$3&lt;=2028,IF(AC$3=2027,FwdPJM27,FwdPJM28)*Inputs!$B$53,IF(AC$3=2029,0.5*FwdPJM29*Inputs!$B$53+0.5*$C$11*AC$4,$C$11*AC$4))</f>
        <v>78.8240692943194</v>
      </c>
      <c r="AD29" s="8" t="n">
        <f aca="false">IF(AD$3&lt;=2028,IF(AD$3=2027,FwdPJM27,FwdPJM28)*Inputs!$B$53,IF(AD$3=2029,0.5*FwdPJM29*Inputs!$B$53+0.5*$C$11*AD$4,$C$11*AD$4))</f>
        <v>80.4005506802058</v>
      </c>
      <c r="AE29" s="8" t="n">
        <f aca="false">IF(AE$3&lt;=2028,IF(AE$3=2027,FwdPJM27,FwdPJM28)*Inputs!$B$53,IF(AE$3=2029,0.5*FwdPJM29*Inputs!$B$53+0.5*$C$11*AE$4,$C$11*AE$4))</f>
        <v>82.0085616938099</v>
      </c>
      <c r="AF29" s="8" t="n">
        <f aca="false">IF(AF$3&lt;=2028,IF(AF$3=2027,FwdPJM27,FwdPJM28)*Inputs!$B$53,IF(AF$3=2029,0.5*FwdPJM29*Inputs!$B$53+0.5*$C$11*AF$4,$C$11*AF$4))</f>
        <v>83.6487329276861</v>
      </c>
      <c r="AG29" s="8" t="n">
        <f aca="false">IF(AG$3&lt;=2028,IF(AG$3=2027,FwdPJM27,FwdPJM28)*Inputs!$B$53,IF(AG$3=2029,0.5*FwdPJM29*Inputs!$B$53+0.5*$C$11*AG$4,$C$11*AG$4))</f>
        <v>85.3217075862398</v>
      </c>
      <c r="AH29" s="8" t="n">
        <f aca="false">IF(AH$3&lt;=2028,IF(AH$3=2027,FwdPJM27,FwdPJM28)*Inputs!$B$53,IF(AH$3=2029,0.5*FwdPJM29*Inputs!$B$53+0.5*$C$11*AH$4,$C$11*AH$4))</f>
        <v>87.0281417379646</v>
      </c>
      <c r="AI29" s="8" t="n">
        <f aca="false">IF(AI$3&lt;=2028,IF(AI$3=2027,FwdPJM27,FwdPJM28)*Inputs!$B$53,IF(AI$3=2029,0.5*FwdPJM29*Inputs!$B$53+0.5*$C$11*AI$4,$C$11*AI$4))</f>
        <v>88.7687045727239</v>
      </c>
      <c r="AJ29" s="8" t="n">
        <f aca="false">IF(AJ$3&lt;=2028,IF(AJ$3=2027,FwdPJM27,FwdPJM28)*Inputs!$B$53,IF(AJ$3=2029,0.5*FwdPJM29*Inputs!$B$53+0.5*$C$11*AJ$4,$C$11*AJ$4))</f>
        <v>90.5440786641784</v>
      </c>
      <c r="AK29" s="8" t="n">
        <f aca="false">IF(AK$3&lt;=2028,IF(AK$3=2027,FwdPJM27,FwdPJM28)*Inputs!$B$53,IF(AK$3=2029,0.5*FwdPJM29*Inputs!$B$53+0.5*$C$11*AK$4,$C$11*AK$4))</f>
        <v>92.3549602374619</v>
      </c>
      <c r="AL29" s="8" t="n">
        <f aca="false">IF(AL$3&lt;=2028,IF(AL$3=2027,FwdPJM27,FwdPJM28)*Inputs!$B$53,IF(AL$3=2029,0.5*FwdPJM29*Inputs!$B$53+0.5*$C$11*AL$4,$C$11*AL$4))</f>
        <v>94.2020594422112</v>
      </c>
      <c r="AM29" s="8" t="n">
        <f aca="false">IF(AM$3&lt;=2028,IF(AM$3=2027,FwdPJM27,FwdPJM28)*Inputs!$B$53,IF(AM$3=2029,0.5*FwdPJM29*Inputs!$B$53+0.5*$C$11*AM$4,$C$11*AM$4))</f>
        <v>96.0861006310554</v>
      </c>
      <c r="AN29" s="8" t="n">
        <f aca="false">IF(AN$3&lt;=2028,IF(AN$3=2027,FwdPJM27,FwdPJM28)*Inputs!$B$53,IF(AN$3=2029,0.5*FwdPJM29*Inputs!$B$53+0.5*$C$11*AN$4,$C$11*AN$4))</f>
        <v>98.0078226436765</v>
      </c>
      <c r="AO29" s="8" t="n">
        <f aca="false">IF(AO$3&lt;=2028,IF(AO$3=2027,FwdPJM27,FwdPJM28)*Inputs!$B$53,IF(AO$3=2029,0.5*FwdPJM29*Inputs!$B$53+0.5*$C$11*AO$4,$C$11*AO$4))</f>
        <v>99.9679790965501</v>
      </c>
      <c r="AP29" s="8" t="n">
        <f aca="false">IF(AP$3&lt;=2028,IF(AP$3=2027,FwdPJM27,FwdPJM28)*Inputs!$B$53,IF(AP$3=2029,0.5*FwdPJM29*Inputs!$B$53+0.5*$C$11*AP$4,$C$11*AP$4))</f>
        <v>101.967338678481</v>
      </c>
      <c r="AQ29" s="8" t="n">
        <f aca="false">IF(AQ$3&lt;=2028,IF(AQ$3=2027,FwdPJM27,FwdPJM28)*Inputs!$B$53,IF(AQ$3=2029,0.5*FwdPJM29*Inputs!$B$53+0.5*$C$11*AQ$4,$C$11*AQ$4))</f>
        <v>104.006685452051</v>
      </c>
      <c r="AR29" s="8" t="n">
        <f aca="false">IF(AR$3&lt;=2028,IF(AR$3=2027,FwdPJM27,FwdPJM28)*Inputs!$B$53,IF(AR$3=2029,0.5*FwdPJM29*Inputs!$B$53+0.5*$C$11*AR$4,$C$11*AR$4))</f>
        <v>106.086819161092</v>
      </c>
      <c r="AS29" s="8" t="n">
        <f aca="false">IF(AS$3&lt;=2028,IF(AS$3=2027,FwdPJM27,FwdPJM28)*Inputs!$B$53,IF(AS$3=2029,0.5*FwdPJM29*Inputs!$B$53+0.5*$C$11*AS$4,$C$11*AS$4))</f>
        <v>108.208555544314</v>
      </c>
    </row>
    <row r="30" customFormat="false" ht="15" hidden="false" customHeight="false" outlineLevel="0" collapsed="false">
      <c r="A30" s="6" t="s">
        <v>292</v>
      </c>
      <c r="B30" s="6" t="s">
        <v>293</v>
      </c>
      <c r="G30" s="8" t="n">
        <f aca="false">IF(G$3&lt;=2028,OtherCapBase,OtherCap)*G$4</f>
        <v>112.2</v>
      </c>
      <c r="H30" s="8" t="n">
        <f aca="false">IF(H$3&lt;=2028,OtherCapBase,OtherCap)*H$4</f>
        <v>114.444</v>
      </c>
      <c r="I30" s="8" t="n">
        <f aca="false">IF(I$3&lt;=2028,OtherCapBase,OtherCap)*I$4</f>
        <v>116.73288</v>
      </c>
      <c r="J30" s="8" t="n">
        <f aca="false">IF(J$3&lt;=2028,OtherCapBase,OtherCap)*J$4</f>
        <v>119.0675376</v>
      </c>
      <c r="K30" s="8" t="n">
        <f aca="false">IF(K$3&lt;=2028,OtherCapBase,OtherCap)*K$4</f>
        <v>121.448888352</v>
      </c>
      <c r="L30" s="8" t="n">
        <f aca="false">IF(L$3&lt;=2028,OtherCapBase,OtherCap)*L$4</f>
        <v>123.87786611904</v>
      </c>
      <c r="M30" s="8" t="n">
        <f aca="false">IF(M$3&lt;=2028,OtherCapBase,OtherCap)*M$4</f>
        <v>126.355423441421</v>
      </c>
      <c r="N30" s="8" t="n">
        <f aca="false">IF(N$3&lt;=2028,OtherCapBase,OtherCap)*N$4</f>
        <v>128.882531910249</v>
      </c>
      <c r="O30" s="8" t="n">
        <f aca="false">IF(O$3&lt;=2028,OtherCapBase,OtherCap)*O$4</f>
        <v>131.460182548454</v>
      </c>
      <c r="P30" s="8" t="n">
        <f aca="false">IF(P$3&lt;=2028,OtherCapBase,OtherCap)*P$4</f>
        <v>134.089386199423</v>
      </c>
      <c r="Q30" s="8" t="n">
        <f aca="false">IF(Q$3&lt;=2028,OtherCapBase,OtherCap)*Q$4</f>
        <v>136.771173923412</v>
      </c>
      <c r="R30" s="8" t="n">
        <f aca="false">IF(R$3&lt;=2028,OtherCapBase,OtherCap)*R$4</f>
        <v>139.50659740188</v>
      </c>
      <c r="S30" s="8" t="n">
        <f aca="false">IF(S$3&lt;=2028,OtherCapBase,OtherCap)*S$4</f>
        <v>142.296729349918</v>
      </c>
      <c r="T30" s="8" t="n">
        <f aca="false">IF(T$3&lt;=2028,OtherCapBase,OtherCap)*T$4</f>
        <v>145.142663936916</v>
      </c>
      <c r="U30" s="8" t="n">
        <f aca="false">IF(U$3&lt;=2028,OtherCapBase,OtherCap)*U$4</f>
        <v>148.045517215654</v>
      </c>
      <c r="V30" s="8" t="n">
        <f aca="false">IF(V$3&lt;=2028,OtherCapBase,OtherCap)*V$4</f>
        <v>151.006427559967</v>
      </c>
      <c r="W30" s="8" t="n">
        <f aca="false">IF(W$3&lt;=2028,OtherCapBase,OtherCap)*W$4</f>
        <v>154.026556111167</v>
      </c>
      <c r="X30" s="8" t="n">
        <f aca="false">IF(X$3&lt;=2028,OtherCapBase,OtherCap)*X$4</f>
        <v>157.10708723339</v>
      </c>
      <c r="Y30" s="8" t="n">
        <f aca="false">IF(Y$3&lt;=2028,OtherCapBase,OtherCap)*Y$4</f>
        <v>160.249228978058</v>
      </c>
      <c r="Z30" s="8" t="n">
        <f aca="false">IF(Z$3&lt;=2028,OtherCapBase,OtherCap)*Z$4</f>
        <v>163.454213557619</v>
      </c>
      <c r="AA30" s="8" t="n">
        <f aca="false">IF(AA$3&lt;=2028,OtherCapBase,OtherCap)*AA$4</f>
        <v>166.723297828771</v>
      </c>
      <c r="AB30" s="8" t="n">
        <f aca="false">IF(AB$3&lt;=2028,OtherCapBase,OtherCap)*AB$4</f>
        <v>170.057763785347</v>
      </c>
      <c r="AC30" s="8" t="n">
        <f aca="false">IF(AC$3&lt;=2028,OtherCapBase,OtherCap)*AC$4</f>
        <v>173.458919061054</v>
      </c>
      <c r="AD30" s="8" t="n">
        <f aca="false">IF(AD$3&lt;=2028,OtherCapBase,OtherCap)*AD$4</f>
        <v>176.928097442275</v>
      </c>
      <c r="AE30" s="8" t="n">
        <f aca="false">IF(AE$3&lt;=2028,OtherCapBase,OtherCap)*AE$4</f>
        <v>180.46665939112</v>
      </c>
      <c r="AF30" s="8" t="n">
        <f aca="false">IF(AF$3&lt;=2028,OtherCapBase,OtherCap)*AF$4</f>
        <v>184.075992578943</v>
      </c>
      <c r="AG30" s="8" t="n">
        <f aca="false">IF(AG$3&lt;=2028,OtherCapBase,OtherCap)*AG$4</f>
        <v>187.757512430522</v>
      </c>
      <c r="AH30" s="8" t="n">
        <f aca="false">IF(AH$3&lt;=2028,OtherCapBase,OtherCap)*AH$4</f>
        <v>191.512662679132</v>
      </c>
      <c r="AI30" s="8" t="n">
        <f aca="false">IF(AI$3&lt;=2028,OtherCapBase,OtherCap)*AI$4</f>
        <v>195.342915932715</v>
      </c>
      <c r="AJ30" s="8" t="n">
        <f aca="false">IF(AJ$3&lt;=2028,OtherCapBase,OtherCap)*AJ$4</f>
        <v>199.249774251369</v>
      </c>
      <c r="AK30" s="8" t="n">
        <f aca="false">IF(AK$3&lt;=2028,OtherCapBase,OtherCap)*AK$4</f>
        <v>203.234769736396</v>
      </c>
      <c r="AL30" s="8" t="n">
        <f aca="false">IF(AL$3&lt;=2028,OtherCapBase,OtherCap)*AL$4</f>
        <v>207.299465131124</v>
      </c>
      <c r="AM30" s="8" t="n">
        <f aca="false">IF(AM$3&lt;=2028,OtherCapBase,OtherCap)*AM$4</f>
        <v>211.445454433747</v>
      </c>
      <c r="AN30" s="8" t="n">
        <f aca="false">IF(AN$3&lt;=2028,OtherCapBase,OtherCap)*AN$4</f>
        <v>215.674363522422</v>
      </c>
      <c r="AO30" s="8" t="n">
        <f aca="false">IF(AO$3&lt;=2028,OtherCapBase,OtherCap)*AO$4</f>
        <v>219.98785079287</v>
      </c>
      <c r="AP30" s="8" t="n">
        <f aca="false">IF(AP$3&lt;=2028,OtherCapBase,OtherCap)*AP$4</f>
        <v>224.387607808728</v>
      </c>
      <c r="AQ30" s="8" t="n">
        <f aca="false">IF(AQ$3&lt;=2028,OtherCapBase,OtherCap)*AQ$4</f>
        <v>228.875359964902</v>
      </c>
      <c r="AR30" s="8" t="n">
        <f aca="false">IF(AR$3&lt;=2028,OtherCapBase,OtherCap)*AR$4</f>
        <v>233.4528671642</v>
      </c>
      <c r="AS30" s="8" t="n">
        <f aca="false">IF(AS$3&lt;=2028,OtherCapBase,OtherCap)*AS$4</f>
        <v>238.121924507484</v>
      </c>
    </row>
    <row r="31" customFormat="false" ht="15" hidden="false" customHeight="false" outlineLevel="0" collapsed="false">
      <c r="A31" s="6" t="s">
        <v>294</v>
      </c>
      <c r="B31" s="6" t="s">
        <v>295</v>
      </c>
      <c r="G31" s="7" t="n">
        <f aca="false">(G$5+Inputs!$C$54)*G$4</f>
        <v>3.978</v>
      </c>
      <c r="H31" s="7" t="n">
        <f aca="false">(H$5+Inputs!$C$54)*H$4</f>
        <v>4.05756</v>
      </c>
      <c r="I31" s="7" t="n">
        <f aca="false">(I$5+Inputs!$C$54)*I$4</f>
        <v>4.244832</v>
      </c>
      <c r="J31" s="7" t="n">
        <f aca="false">(J$5+Inputs!$C$54)*J$4</f>
        <v>4.32972864</v>
      </c>
      <c r="K31" s="7" t="n">
        <f aca="false">(K$5+Inputs!$C$54)*K$4</f>
        <v>4.4163232128</v>
      </c>
      <c r="L31" s="7" t="n">
        <f aca="false">(L$5+Inputs!$C$54)*L$4</f>
        <v>4.504649677056</v>
      </c>
      <c r="M31" s="7" t="n">
        <f aca="false">(M$5+Inputs!$C$54)*M$4</f>
        <v>4.59474267059712</v>
      </c>
      <c r="N31" s="7" t="n">
        <f aca="false">(N$5+Inputs!$C$54)*N$4</f>
        <v>4.68663752400906</v>
      </c>
      <c r="O31" s="7" t="n">
        <f aca="false">(O$5+Inputs!$C$54)*O$4</f>
        <v>4.78037027448924</v>
      </c>
      <c r="P31" s="7" t="n">
        <f aca="false">(P$5+Inputs!$C$54)*P$4</f>
        <v>4.87597767997903</v>
      </c>
      <c r="Q31" s="7" t="n">
        <f aca="false">(Q$5+Inputs!$C$54)*Q$4</f>
        <v>4.97349723357861</v>
      </c>
      <c r="R31" s="7" t="n">
        <f aca="false">(R$5+Inputs!$C$54)*R$4</f>
        <v>5.07296717825018</v>
      </c>
      <c r="S31" s="7" t="n">
        <f aca="false">(S$5+Inputs!$C$54)*S$4</f>
        <v>5.17442652181519</v>
      </c>
      <c r="T31" s="7" t="n">
        <f aca="false">(T$5+Inputs!$C$54)*T$4</f>
        <v>5.27791505225149</v>
      </c>
      <c r="U31" s="7" t="n">
        <f aca="false">(U$5+Inputs!$C$54)*U$4</f>
        <v>5.38347335329652</v>
      </c>
      <c r="V31" s="7" t="n">
        <f aca="false">(V$5+Inputs!$C$54)*V$4</f>
        <v>5.49114282036245</v>
      </c>
      <c r="W31" s="7" t="n">
        <f aca="false">(W$5+Inputs!$C$54)*W$4</f>
        <v>5.6009656767697</v>
      </c>
      <c r="X31" s="7" t="n">
        <f aca="false">(X$5+Inputs!$C$54)*X$4</f>
        <v>5.71298499030509</v>
      </c>
      <c r="Y31" s="7" t="n">
        <f aca="false">(Y$5+Inputs!$C$54)*Y$4</f>
        <v>5.8272446901112</v>
      </c>
      <c r="Z31" s="7" t="n">
        <f aca="false">(Z$5+Inputs!$C$54)*Z$4</f>
        <v>5.94378958391342</v>
      </c>
      <c r="AA31" s="7" t="n">
        <f aca="false">(AA$5+Inputs!$C$54)*AA$4</f>
        <v>6.06266537559169</v>
      </c>
      <c r="AB31" s="7" t="n">
        <f aca="false">(AB$5+Inputs!$C$54)*AB$4</f>
        <v>6.18391868310352</v>
      </c>
      <c r="AC31" s="7" t="n">
        <f aca="false">(AC$5+Inputs!$C$54)*AC$4</f>
        <v>6.30759705676559</v>
      </c>
      <c r="AD31" s="7" t="n">
        <f aca="false">(AD$5+Inputs!$C$54)*AD$4</f>
        <v>6.43374899790091</v>
      </c>
      <c r="AE31" s="7" t="n">
        <f aca="false">(AE$5+Inputs!$C$54)*AE$4</f>
        <v>6.56242397785892</v>
      </c>
      <c r="AF31" s="7" t="n">
        <f aca="false">(AF$5+Inputs!$C$54)*AF$4</f>
        <v>6.6936724574161</v>
      </c>
      <c r="AG31" s="7" t="n">
        <f aca="false">(AG$5+Inputs!$C$54)*AG$4</f>
        <v>6.82754590656442</v>
      </c>
      <c r="AH31" s="7" t="n">
        <f aca="false">(AH$5+Inputs!$C$54)*AH$4</f>
        <v>6.96409682469571</v>
      </c>
      <c r="AI31" s="7" t="n">
        <f aca="false">(AI$5+Inputs!$C$54)*AI$4</f>
        <v>7.10337876118963</v>
      </c>
      <c r="AJ31" s="7" t="n">
        <f aca="false">(AJ$5+Inputs!$C$54)*AJ$4</f>
        <v>7.24544633641342</v>
      </c>
      <c r="AK31" s="7" t="n">
        <f aca="false">(AK$5+Inputs!$C$54)*AK$4</f>
        <v>7.39035526314169</v>
      </c>
      <c r="AL31" s="7" t="n">
        <f aca="false">(AL$5+Inputs!$C$54)*AL$4</f>
        <v>7.53816236840452</v>
      </c>
      <c r="AM31" s="7" t="n">
        <f aca="false">(AM$5+Inputs!$C$54)*AM$4</f>
        <v>7.68892561577261</v>
      </c>
      <c r="AN31" s="7" t="n">
        <f aca="false">(AN$5+Inputs!$C$54)*AN$4</f>
        <v>7.84270412808806</v>
      </c>
      <c r="AO31" s="7" t="n">
        <f aca="false">(AO$5+Inputs!$C$54)*AO$4</f>
        <v>7.99955821064983</v>
      </c>
      <c r="AP31" s="7" t="n">
        <f aca="false">(AP$5+Inputs!$C$54)*AP$4</f>
        <v>8.15954937486282</v>
      </c>
      <c r="AQ31" s="7" t="n">
        <f aca="false">(AQ$5+Inputs!$C$54)*AQ$4</f>
        <v>8.32274036236008</v>
      </c>
      <c r="AR31" s="7" t="n">
        <f aca="false">(AR$5+Inputs!$C$54)*AR$4</f>
        <v>8.48919516960728</v>
      </c>
      <c r="AS31" s="7" t="n">
        <f aca="false">(AS$5+Inputs!$C$54)*AS$4</f>
        <v>8.65897907299943</v>
      </c>
    </row>
    <row r="32" customFormat="false" ht="15" hidden="false" customHeight="false" outlineLevel="0" collapsed="false">
      <c r="A32" s="6" t="s">
        <v>296</v>
      </c>
      <c r="B32" s="6" t="s">
        <v>297</v>
      </c>
      <c r="G32" s="8" t="n">
        <f aca="false">IF(G$3&lt;=2028,IF(G$3=2027,FwdPJM27,FwdPJM28)*Inputs!$B$54,IF(G$3=2029,0.5*FwdPJM29*Inputs!$B$54+0.5*$C$12*G$4,$C$12*G$4))</f>
        <v>64.8</v>
      </c>
      <c r="H32" s="8" t="n">
        <f aca="false">IF(H$3&lt;=2028,IF(H$3=2027,FwdPJM27,FwdPJM28)*Inputs!$B$54,IF(H$3=2029,0.5*FwdPJM29*Inputs!$B$54+0.5*$C$12*H$4,$C$12*H$4))</f>
        <v>65.7</v>
      </c>
      <c r="I32" s="8" t="n">
        <f aca="false">IF(I$3&lt;=2028,IF(I$3=2027,FwdPJM27,FwdPJM28)*Inputs!$B$54,IF(I$3=2029,0.5*FwdPJM29*Inputs!$B$54+0.5*$C$12*I$4,$C$12*I$4))</f>
        <v>60.26006331</v>
      </c>
      <c r="J32" s="8" t="n">
        <f aca="false">IF(J$3&lt;=2028,IF(J$3=2027,FwdPJM27,FwdPJM28)*Inputs!$B$54,IF(J$3=2029,0.5*FwdPJM29*Inputs!$B$54+0.5*$C$12*J$4,$C$12*J$4))</f>
        <v>58.6705291524</v>
      </c>
      <c r="K32" s="8" t="n">
        <f aca="false">IF(K$3&lt;=2028,IF(K$3=2027,FwdPJM27,FwdPJM28)*Inputs!$B$54,IF(K$3=2029,0.5*FwdPJM29*Inputs!$B$54+0.5*$C$12*K$4,$C$12*K$4))</f>
        <v>59.843939735448</v>
      </c>
      <c r="L32" s="8" t="n">
        <f aca="false">IF(L$3&lt;=2028,IF(L$3=2027,FwdPJM27,FwdPJM28)*Inputs!$B$54,IF(L$3=2029,0.5*FwdPJM29*Inputs!$B$54+0.5*$C$12*L$4,$C$12*L$4))</f>
        <v>61.040818530157</v>
      </c>
      <c r="M32" s="8" t="n">
        <f aca="false">IF(M$3&lt;=2028,IF(M$3=2027,FwdPJM27,FwdPJM28)*Inputs!$B$54,IF(M$3=2029,0.5*FwdPJM29*Inputs!$B$54+0.5*$C$12*M$4,$C$12*M$4))</f>
        <v>62.2616349007601</v>
      </c>
      <c r="N32" s="8" t="n">
        <f aca="false">IF(N$3&lt;=2028,IF(N$3=2027,FwdPJM27,FwdPJM28)*Inputs!$B$54,IF(N$3=2029,0.5*FwdPJM29*Inputs!$B$54+0.5*$C$12*N$4,$C$12*N$4))</f>
        <v>63.5068675987753</v>
      </c>
      <c r="O32" s="8" t="n">
        <f aca="false">IF(O$3&lt;=2028,IF(O$3=2027,FwdPJM27,FwdPJM28)*Inputs!$B$54,IF(O$3=2029,0.5*FwdPJM29*Inputs!$B$54+0.5*$C$12*O$4,$C$12*O$4))</f>
        <v>64.7770049507508</v>
      </c>
      <c r="P32" s="8" t="n">
        <f aca="false">IF(P$3&lt;=2028,IF(P$3=2027,FwdPJM27,FwdPJM28)*Inputs!$B$54,IF(P$3=2029,0.5*FwdPJM29*Inputs!$B$54+0.5*$C$12*P$4,$C$12*P$4))</f>
        <v>66.0725450497658</v>
      </c>
      <c r="Q32" s="8" t="n">
        <f aca="false">IF(Q$3&lt;=2028,IF(Q$3=2027,FwdPJM27,FwdPJM28)*Inputs!$B$54,IF(Q$3=2029,0.5*FwdPJM29*Inputs!$B$54+0.5*$C$12*Q$4,$C$12*Q$4))</f>
        <v>67.3939959507612</v>
      </c>
      <c r="R32" s="8" t="n">
        <f aca="false">IF(R$3&lt;=2028,IF(R$3=2027,FwdPJM27,FwdPJM28)*Inputs!$B$54,IF(R$3=2029,0.5*FwdPJM29*Inputs!$B$54+0.5*$C$12*R$4,$C$12*R$4))</f>
        <v>68.7418758697764</v>
      </c>
      <c r="S32" s="8" t="n">
        <f aca="false">IF(S$3&lt;=2028,IF(S$3=2027,FwdPJM27,FwdPJM28)*Inputs!$B$54,IF(S$3=2029,0.5*FwdPJM29*Inputs!$B$54+0.5*$C$12*S$4,$C$12*S$4))</f>
        <v>70.1167133871719</v>
      </c>
      <c r="T32" s="8" t="n">
        <f aca="false">IF(T$3&lt;=2028,IF(T$3=2027,FwdPJM27,FwdPJM28)*Inputs!$B$54,IF(T$3=2029,0.5*FwdPJM29*Inputs!$B$54+0.5*$C$12*T$4,$C$12*T$4))</f>
        <v>71.5190476549153</v>
      </c>
      <c r="U32" s="8" t="n">
        <f aca="false">IF(U$3&lt;=2028,IF(U$3=2027,FwdPJM27,FwdPJM28)*Inputs!$B$54,IF(U$3=2029,0.5*FwdPJM29*Inputs!$B$54+0.5*$C$12*U$4,$C$12*U$4))</f>
        <v>72.9494286080137</v>
      </c>
      <c r="V32" s="8" t="n">
        <f aca="false">IF(V$3&lt;=2028,IF(V$3=2027,FwdPJM27,FwdPJM28)*Inputs!$B$54,IF(V$3=2029,0.5*FwdPJM29*Inputs!$B$54+0.5*$C$12*V$4,$C$12*V$4))</f>
        <v>74.4084171801739</v>
      </c>
      <c r="W32" s="8" t="n">
        <f aca="false">IF(W$3&lt;=2028,IF(W$3=2027,FwdPJM27,FwdPJM28)*Inputs!$B$54,IF(W$3=2029,0.5*FwdPJM29*Inputs!$B$54+0.5*$C$12*W$4,$C$12*W$4))</f>
        <v>75.8965855237774</v>
      </c>
      <c r="X32" s="8" t="n">
        <f aca="false">IF(X$3&lt;=2028,IF(X$3=2027,FwdPJM27,FwdPJM28)*Inputs!$B$54,IF(X$3=2029,0.5*FwdPJM29*Inputs!$B$54+0.5*$C$12*X$4,$C$12*X$4))</f>
        <v>77.414517234253</v>
      </c>
      <c r="Y32" s="8" t="n">
        <f aca="false">IF(Y$3&lt;=2028,IF(Y$3=2027,FwdPJM27,FwdPJM28)*Inputs!$B$54,IF(Y$3=2029,0.5*FwdPJM29*Inputs!$B$54+0.5*$C$12*Y$4,$C$12*Y$4))</f>
        <v>78.962807578938</v>
      </c>
      <c r="Z32" s="8" t="n">
        <f aca="false">IF(Z$3&lt;=2028,IF(Z$3=2027,FwdPJM27,FwdPJM28)*Inputs!$B$54,IF(Z$3=2029,0.5*FwdPJM29*Inputs!$B$54+0.5*$C$12*Z$4,$C$12*Z$4))</f>
        <v>80.5420637305168</v>
      </c>
      <c r="AA32" s="8" t="n">
        <f aca="false">IF(AA$3&lt;=2028,IF(AA$3=2027,FwdPJM27,FwdPJM28)*Inputs!$B$54,IF(AA$3=2029,0.5*FwdPJM29*Inputs!$B$54+0.5*$C$12*AA$4,$C$12*AA$4))</f>
        <v>82.1529050051271</v>
      </c>
      <c r="AB32" s="8" t="n">
        <f aca="false">IF(AB$3&lt;=2028,IF(AB$3=2027,FwdPJM27,FwdPJM28)*Inputs!$B$54,IF(AB$3=2029,0.5*FwdPJM29*Inputs!$B$54+0.5*$C$12*AB$4,$C$12*AB$4))</f>
        <v>83.7959631052297</v>
      </c>
      <c r="AC32" s="8" t="n">
        <f aca="false">IF(AC$3&lt;=2028,IF(AC$3=2027,FwdPJM27,FwdPJM28)*Inputs!$B$54,IF(AC$3=2029,0.5*FwdPJM29*Inputs!$B$54+0.5*$C$12*AC$4,$C$12*AC$4))</f>
        <v>85.4718823673343</v>
      </c>
      <c r="AD32" s="8" t="n">
        <f aca="false">IF(AD$3&lt;=2028,IF(AD$3=2027,FwdPJM27,FwdPJM28)*Inputs!$B$54,IF(AD$3=2029,0.5*FwdPJM29*Inputs!$B$54+0.5*$C$12*AD$4,$C$12*AD$4))</f>
        <v>87.181320014681</v>
      </c>
      <c r="AE32" s="8" t="n">
        <f aca="false">IF(AE$3&lt;=2028,IF(AE$3=2027,FwdPJM27,FwdPJM28)*Inputs!$B$54,IF(AE$3=2029,0.5*FwdPJM29*Inputs!$B$54+0.5*$C$12*AE$4,$C$12*AE$4))</f>
        <v>88.9249464149746</v>
      </c>
      <c r="AF32" s="8" t="n">
        <f aca="false">IF(AF$3&lt;=2028,IF(AF$3=2027,FwdPJM27,FwdPJM28)*Inputs!$B$54,IF(AF$3=2029,0.5*FwdPJM29*Inputs!$B$54+0.5*$C$12*AF$4,$C$12*AF$4))</f>
        <v>90.7034453432741</v>
      </c>
      <c r="AG32" s="8" t="n">
        <f aca="false">IF(AG$3&lt;=2028,IF(AG$3=2027,FwdPJM27,FwdPJM28)*Inputs!$B$54,IF(AG$3=2029,0.5*FwdPJM29*Inputs!$B$54+0.5*$C$12*AG$4,$C$12*AG$4))</f>
        <v>92.5175142501395</v>
      </c>
      <c r="AH32" s="8" t="n">
        <f aca="false">IF(AH$3&lt;=2028,IF(AH$3=2027,FwdPJM27,FwdPJM28)*Inputs!$B$54,IF(AH$3=2029,0.5*FwdPJM29*Inputs!$B$54+0.5*$C$12*AH$4,$C$12*AH$4))</f>
        <v>94.3678645351423</v>
      </c>
      <c r="AI32" s="8" t="n">
        <f aca="false">IF(AI$3&lt;=2028,IF(AI$3=2027,FwdPJM27,FwdPJM28)*Inputs!$B$54,IF(AI$3=2029,0.5*FwdPJM29*Inputs!$B$54+0.5*$C$12*AI$4,$C$12*AI$4))</f>
        <v>96.2552218258452</v>
      </c>
      <c r="AJ32" s="8" t="n">
        <f aca="false">IF(AJ$3&lt;=2028,IF(AJ$3=2027,FwdPJM27,FwdPJM28)*Inputs!$B$54,IF(AJ$3=2029,0.5*FwdPJM29*Inputs!$B$54+0.5*$C$12*AJ$4,$C$12*AJ$4))</f>
        <v>98.1803262623621</v>
      </c>
      <c r="AK32" s="8" t="n">
        <f aca="false">IF(AK$3&lt;=2028,IF(AK$3=2027,FwdPJM27,FwdPJM28)*Inputs!$B$54,IF(AK$3=2029,0.5*FwdPJM29*Inputs!$B$54+0.5*$C$12*AK$4,$C$12*AK$4))</f>
        <v>100.143932787609</v>
      </c>
      <c r="AL32" s="8" t="n">
        <f aca="false">IF(AL$3&lt;=2028,IF(AL$3=2027,FwdPJM27,FwdPJM28)*Inputs!$B$54,IF(AL$3=2029,0.5*FwdPJM29*Inputs!$B$54+0.5*$C$12*AL$4,$C$12*AL$4))</f>
        <v>102.146811443362</v>
      </c>
      <c r="AM32" s="8" t="n">
        <f aca="false">IF(AM$3&lt;=2028,IF(AM$3=2027,FwdPJM27,FwdPJM28)*Inputs!$B$54,IF(AM$3=2029,0.5*FwdPJM29*Inputs!$B$54+0.5*$C$12*AM$4,$C$12*AM$4))</f>
        <v>104.189747672229</v>
      </c>
      <c r="AN32" s="8" t="n">
        <f aca="false">IF(AN$3&lt;=2028,IF(AN$3=2027,FwdPJM27,FwdPJM28)*Inputs!$B$54,IF(AN$3=2029,0.5*FwdPJM29*Inputs!$B$54+0.5*$C$12*AN$4,$C$12*AN$4))</f>
        <v>106.273542625673</v>
      </c>
      <c r="AO32" s="8" t="n">
        <f aca="false">IF(AO$3&lt;=2028,IF(AO$3=2027,FwdPJM27,FwdPJM28)*Inputs!$B$54,IF(AO$3=2029,0.5*FwdPJM29*Inputs!$B$54+0.5*$C$12*AO$4,$C$12*AO$4))</f>
        <v>108.399013478187</v>
      </c>
      <c r="AP32" s="8" t="n">
        <f aca="false">IF(AP$3&lt;=2028,IF(AP$3=2027,FwdPJM27,FwdPJM28)*Inputs!$B$54,IF(AP$3=2029,0.5*FwdPJM29*Inputs!$B$54+0.5*$C$12*AP$4,$C$12*AP$4))</f>
        <v>110.566993747751</v>
      </c>
      <c r="AQ32" s="8" t="n">
        <f aca="false">IF(AQ$3&lt;=2028,IF(AQ$3=2027,FwdPJM27,FwdPJM28)*Inputs!$B$54,IF(AQ$3=2029,0.5*FwdPJM29*Inputs!$B$54+0.5*$C$12*AQ$4,$C$12*AQ$4))</f>
        <v>112.778333622706</v>
      </c>
      <c r="AR32" s="8" t="n">
        <f aca="false">IF(AR$3&lt;=2028,IF(AR$3=2027,FwdPJM27,FwdPJM28)*Inputs!$B$54,IF(AR$3=2029,0.5*FwdPJM29*Inputs!$B$54+0.5*$C$12*AR$4,$C$12*AR$4))</f>
        <v>115.03390029516</v>
      </c>
      <c r="AS32" s="8" t="n">
        <f aca="false">IF(AS$3&lt;=2028,IF(AS$3=2027,FwdPJM27,FwdPJM28)*Inputs!$B$54,IF(AS$3=2029,0.5*FwdPJM29*Inputs!$B$54+0.5*$C$12*AS$4,$C$12*AS$4))</f>
        <v>117.334578301063</v>
      </c>
    </row>
    <row r="33" customFormat="false" ht="15" hidden="false" customHeight="false" outlineLevel="0" collapsed="false">
      <c r="A33" s="6" t="s">
        <v>298</v>
      </c>
      <c r="B33" s="6" t="s">
        <v>299</v>
      </c>
      <c r="G33" s="8" t="n">
        <f aca="false">IF(G$3&lt;=2028,OtherCapBase,OtherCap)*G$4</f>
        <v>112.2</v>
      </c>
      <c r="H33" s="8" t="n">
        <f aca="false">IF(H$3&lt;=2028,OtherCapBase,OtherCap)*H$4</f>
        <v>114.444</v>
      </c>
      <c r="I33" s="8" t="n">
        <f aca="false">IF(I$3&lt;=2028,OtherCapBase,OtherCap)*I$4</f>
        <v>116.73288</v>
      </c>
      <c r="J33" s="8" t="n">
        <f aca="false">IF(J$3&lt;=2028,OtherCapBase,OtherCap)*J$4</f>
        <v>119.0675376</v>
      </c>
      <c r="K33" s="8" t="n">
        <f aca="false">IF(K$3&lt;=2028,OtherCapBase,OtherCap)*K$4</f>
        <v>121.448888352</v>
      </c>
      <c r="L33" s="8" t="n">
        <f aca="false">IF(L$3&lt;=2028,OtherCapBase,OtherCap)*L$4</f>
        <v>123.87786611904</v>
      </c>
      <c r="M33" s="8" t="n">
        <f aca="false">IF(M$3&lt;=2028,OtherCapBase,OtherCap)*M$4</f>
        <v>126.355423441421</v>
      </c>
      <c r="N33" s="8" t="n">
        <f aca="false">IF(N$3&lt;=2028,OtherCapBase,OtherCap)*N$4</f>
        <v>128.882531910249</v>
      </c>
      <c r="O33" s="8" t="n">
        <f aca="false">IF(O$3&lt;=2028,OtherCapBase,OtherCap)*O$4</f>
        <v>131.460182548454</v>
      </c>
      <c r="P33" s="8" t="n">
        <f aca="false">IF(P$3&lt;=2028,OtherCapBase,OtherCap)*P$4</f>
        <v>134.089386199423</v>
      </c>
      <c r="Q33" s="8" t="n">
        <f aca="false">IF(Q$3&lt;=2028,OtherCapBase,OtherCap)*Q$4</f>
        <v>136.771173923412</v>
      </c>
      <c r="R33" s="8" t="n">
        <f aca="false">IF(R$3&lt;=2028,OtherCapBase,OtherCap)*R$4</f>
        <v>139.50659740188</v>
      </c>
      <c r="S33" s="8" t="n">
        <f aca="false">IF(S$3&lt;=2028,OtherCapBase,OtherCap)*S$4</f>
        <v>142.296729349918</v>
      </c>
      <c r="T33" s="8" t="n">
        <f aca="false">IF(T$3&lt;=2028,OtherCapBase,OtherCap)*T$4</f>
        <v>145.142663936916</v>
      </c>
      <c r="U33" s="8" t="n">
        <f aca="false">IF(U$3&lt;=2028,OtherCapBase,OtherCap)*U$4</f>
        <v>148.045517215654</v>
      </c>
      <c r="V33" s="8" t="n">
        <f aca="false">IF(V$3&lt;=2028,OtherCapBase,OtherCap)*V$4</f>
        <v>151.006427559967</v>
      </c>
      <c r="W33" s="8" t="n">
        <f aca="false">IF(W$3&lt;=2028,OtherCapBase,OtherCap)*W$4</f>
        <v>154.026556111167</v>
      </c>
      <c r="X33" s="8" t="n">
        <f aca="false">IF(X$3&lt;=2028,OtherCapBase,OtherCap)*X$4</f>
        <v>157.10708723339</v>
      </c>
      <c r="Y33" s="8" t="n">
        <f aca="false">IF(Y$3&lt;=2028,OtherCapBase,OtherCap)*Y$4</f>
        <v>160.249228978058</v>
      </c>
      <c r="Z33" s="8" t="n">
        <f aca="false">IF(Z$3&lt;=2028,OtherCapBase,OtherCap)*Z$4</f>
        <v>163.454213557619</v>
      </c>
      <c r="AA33" s="8" t="n">
        <f aca="false">IF(AA$3&lt;=2028,OtherCapBase,OtherCap)*AA$4</f>
        <v>166.723297828771</v>
      </c>
      <c r="AB33" s="8" t="n">
        <f aca="false">IF(AB$3&lt;=2028,OtherCapBase,OtherCap)*AB$4</f>
        <v>170.057763785347</v>
      </c>
      <c r="AC33" s="8" t="n">
        <f aca="false">IF(AC$3&lt;=2028,OtherCapBase,OtherCap)*AC$4</f>
        <v>173.458919061054</v>
      </c>
      <c r="AD33" s="8" t="n">
        <f aca="false">IF(AD$3&lt;=2028,OtherCapBase,OtherCap)*AD$4</f>
        <v>176.928097442275</v>
      </c>
      <c r="AE33" s="8" t="n">
        <f aca="false">IF(AE$3&lt;=2028,OtherCapBase,OtherCap)*AE$4</f>
        <v>180.46665939112</v>
      </c>
      <c r="AF33" s="8" t="n">
        <f aca="false">IF(AF$3&lt;=2028,OtherCapBase,OtherCap)*AF$4</f>
        <v>184.075992578943</v>
      </c>
      <c r="AG33" s="8" t="n">
        <f aca="false">IF(AG$3&lt;=2028,OtherCapBase,OtherCap)*AG$4</f>
        <v>187.757512430522</v>
      </c>
      <c r="AH33" s="8" t="n">
        <f aca="false">IF(AH$3&lt;=2028,OtherCapBase,OtherCap)*AH$4</f>
        <v>191.512662679132</v>
      </c>
      <c r="AI33" s="8" t="n">
        <f aca="false">IF(AI$3&lt;=2028,OtherCapBase,OtherCap)*AI$4</f>
        <v>195.342915932715</v>
      </c>
      <c r="AJ33" s="8" t="n">
        <f aca="false">IF(AJ$3&lt;=2028,OtherCapBase,OtherCap)*AJ$4</f>
        <v>199.249774251369</v>
      </c>
      <c r="AK33" s="8" t="n">
        <f aca="false">IF(AK$3&lt;=2028,OtherCapBase,OtherCap)*AK$4</f>
        <v>203.234769736396</v>
      </c>
      <c r="AL33" s="8" t="n">
        <f aca="false">IF(AL$3&lt;=2028,OtherCapBase,OtherCap)*AL$4</f>
        <v>207.299465131124</v>
      </c>
      <c r="AM33" s="8" t="n">
        <f aca="false">IF(AM$3&lt;=2028,OtherCapBase,OtherCap)*AM$4</f>
        <v>211.445454433747</v>
      </c>
      <c r="AN33" s="8" t="n">
        <f aca="false">IF(AN$3&lt;=2028,OtherCapBase,OtherCap)*AN$4</f>
        <v>215.674363522422</v>
      </c>
      <c r="AO33" s="8" t="n">
        <f aca="false">IF(AO$3&lt;=2028,OtherCapBase,OtherCap)*AO$4</f>
        <v>219.98785079287</v>
      </c>
      <c r="AP33" s="8" t="n">
        <f aca="false">IF(AP$3&lt;=2028,OtherCapBase,OtherCap)*AP$4</f>
        <v>224.387607808728</v>
      </c>
      <c r="AQ33" s="8" t="n">
        <f aca="false">IF(AQ$3&lt;=2028,OtherCapBase,OtherCap)*AQ$4</f>
        <v>228.875359964902</v>
      </c>
      <c r="AR33" s="8" t="n">
        <f aca="false">IF(AR$3&lt;=2028,OtherCapBase,OtherCap)*AR$4</f>
        <v>233.4528671642</v>
      </c>
      <c r="AS33" s="8" t="n">
        <f aca="false">IF(AS$3&lt;=2028,OtherCapBase,OtherCap)*AS$4</f>
        <v>238.121924507484</v>
      </c>
    </row>
    <row r="34" customFormat="false" ht="15" hidden="false" customHeight="false" outlineLevel="0" collapsed="false">
      <c r="A34" s="6" t="s">
        <v>300</v>
      </c>
      <c r="B34" s="6" t="s">
        <v>301</v>
      </c>
      <c r="G34" s="7" t="n">
        <f aca="false">(G$5+Inputs!$C$55)*G$4</f>
        <v>5.406</v>
      </c>
      <c r="H34" s="7" t="n">
        <f aca="false">(H$5+Inputs!$C$55)*H$4</f>
        <v>5.51412</v>
      </c>
      <c r="I34" s="7" t="n">
        <f aca="false">(I$5+Inputs!$C$55)*I$4</f>
        <v>5.7305232</v>
      </c>
      <c r="J34" s="7" t="n">
        <f aca="false">(J$5+Inputs!$C$55)*J$4</f>
        <v>5.845133664</v>
      </c>
      <c r="K34" s="7" t="n">
        <f aca="false">(K$5+Inputs!$C$55)*K$4</f>
        <v>5.96203633728</v>
      </c>
      <c r="L34" s="7" t="n">
        <f aca="false">(L$5+Inputs!$C$55)*L$4</f>
        <v>6.0812770640256</v>
      </c>
      <c r="M34" s="7" t="n">
        <f aca="false">(M$5+Inputs!$C$55)*M$4</f>
        <v>6.20290260530611</v>
      </c>
      <c r="N34" s="7" t="n">
        <f aca="false">(N$5+Inputs!$C$55)*N$4</f>
        <v>6.32696065741224</v>
      </c>
      <c r="O34" s="7" t="n">
        <f aca="false">(O$5+Inputs!$C$55)*O$4</f>
        <v>6.45349987056048</v>
      </c>
      <c r="P34" s="7" t="n">
        <f aca="false">(P$5+Inputs!$C$55)*P$4</f>
        <v>6.58256986797169</v>
      </c>
      <c r="Q34" s="7" t="n">
        <f aca="false">(Q$5+Inputs!$C$55)*Q$4</f>
        <v>6.71422126533112</v>
      </c>
      <c r="R34" s="7" t="n">
        <f aca="false">(R$5+Inputs!$C$55)*R$4</f>
        <v>6.84850569063775</v>
      </c>
      <c r="S34" s="7" t="n">
        <f aca="false">(S$5+Inputs!$C$55)*S$4</f>
        <v>6.9854758044505</v>
      </c>
      <c r="T34" s="7" t="n">
        <f aca="false">(T$5+Inputs!$C$55)*T$4</f>
        <v>7.12518532053951</v>
      </c>
      <c r="U34" s="7" t="n">
        <f aca="false">(U$5+Inputs!$C$55)*U$4</f>
        <v>7.2676890269503</v>
      </c>
      <c r="V34" s="7" t="n">
        <f aca="false">(V$5+Inputs!$C$55)*V$4</f>
        <v>7.41304280748931</v>
      </c>
      <c r="W34" s="7" t="n">
        <f aca="false">(W$5+Inputs!$C$55)*W$4</f>
        <v>7.56130366363909</v>
      </c>
      <c r="X34" s="7" t="n">
        <f aca="false">(X$5+Inputs!$C$55)*X$4</f>
        <v>7.71252973691188</v>
      </c>
      <c r="Y34" s="7" t="n">
        <f aca="false">(Y$5+Inputs!$C$55)*Y$4</f>
        <v>7.86678033165011</v>
      </c>
      <c r="Z34" s="7" t="n">
        <f aca="false">(Z$5+Inputs!$C$55)*Z$4</f>
        <v>8.02411593828312</v>
      </c>
      <c r="AA34" s="7" t="n">
        <f aca="false">(AA$5+Inputs!$C$55)*AA$4</f>
        <v>8.18459825704878</v>
      </c>
      <c r="AB34" s="7" t="n">
        <f aca="false">(AB$5+Inputs!$C$55)*AB$4</f>
        <v>8.34829022218976</v>
      </c>
      <c r="AC34" s="7" t="n">
        <f aca="false">(AC$5+Inputs!$C$55)*AC$4</f>
        <v>8.51525602663355</v>
      </c>
      <c r="AD34" s="7" t="n">
        <f aca="false">(AD$5+Inputs!$C$55)*AD$4</f>
        <v>8.68556114716622</v>
      </c>
      <c r="AE34" s="7" t="n">
        <f aca="false">(AE$5+Inputs!$C$55)*AE$4</f>
        <v>8.85927237010955</v>
      </c>
      <c r="AF34" s="7" t="n">
        <f aca="false">(AF$5+Inputs!$C$55)*AF$4</f>
        <v>9.03645781751174</v>
      </c>
      <c r="AG34" s="7" t="n">
        <f aca="false">(AG$5+Inputs!$C$55)*AG$4</f>
        <v>9.21718697386197</v>
      </c>
      <c r="AH34" s="7" t="n">
        <f aca="false">(AH$5+Inputs!$C$55)*AH$4</f>
        <v>9.40153071333921</v>
      </c>
      <c r="AI34" s="7" t="n">
        <f aca="false">(AI$5+Inputs!$C$55)*AI$4</f>
        <v>9.589561327606</v>
      </c>
      <c r="AJ34" s="7" t="n">
        <f aca="false">(AJ$5+Inputs!$C$55)*AJ$4</f>
        <v>9.78135255415812</v>
      </c>
      <c r="AK34" s="7" t="n">
        <f aca="false">(AK$5+Inputs!$C$55)*AK$4</f>
        <v>9.97697960524128</v>
      </c>
      <c r="AL34" s="7" t="n">
        <f aca="false">(AL$5+Inputs!$C$55)*AL$4</f>
        <v>10.1765191973461</v>
      </c>
      <c r="AM34" s="7" t="n">
        <f aca="false">(AM$5+Inputs!$C$55)*AM$4</f>
        <v>10.380049581293</v>
      </c>
      <c r="AN34" s="7" t="n">
        <f aca="false">(AN$5+Inputs!$C$55)*AN$4</f>
        <v>10.5876505729189</v>
      </c>
      <c r="AO34" s="7" t="n">
        <f aca="false">(AO$5+Inputs!$C$55)*AO$4</f>
        <v>10.7994035843773</v>
      </c>
      <c r="AP34" s="7" t="n">
        <f aca="false">(AP$5+Inputs!$C$55)*AP$4</f>
        <v>11.0153916560648</v>
      </c>
      <c r="AQ34" s="7" t="n">
        <f aca="false">(AQ$5+Inputs!$C$55)*AQ$4</f>
        <v>11.2356994891861</v>
      </c>
      <c r="AR34" s="7" t="n">
        <f aca="false">(AR$5+Inputs!$C$55)*AR$4</f>
        <v>11.4604134789698</v>
      </c>
      <c r="AS34" s="7" t="n">
        <f aca="false">(AS$5+Inputs!$C$55)*AS$4</f>
        <v>11.6896217485492</v>
      </c>
    </row>
    <row r="35" customFormat="false" ht="15" hidden="false" customHeight="false" outlineLevel="0" collapsed="false">
      <c r="A35" s="6" t="s">
        <v>302</v>
      </c>
      <c r="B35" s="6" t="s">
        <v>303</v>
      </c>
      <c r="G35" s="8" t="n">
        <f aca="false">IF(G$3&lt;=2028,IF(G$3=2027,FwdPJM27,FwdPJM28)*Inputs!$B$55,IF(G$3=2029,0.5*FwdPJM29*Inputs!$B$55+0.5*$C$13*G$4,$C$13*G$4))</f>
        <v>77.76</v>
      </c>
      <c r="H35" s="8" t="n">
        <f aca="false">IF(H$3&lt;=2028,IF(H$3=2027,FwdPJM27,FwdPJM28)*Inputs!$B$55,IF(H$3=2029,0.5*FwdPJM29*Inputs!$B$55+0.5*$C$13*H$4,$C$13*H$4))</f>
        <v>78.84</v>
      </c>
      <c r="I35" s="8" t="n">
        <f aca="false">IF(I$3&lt;=2028,IF(I$3=2027,FwdPJM27,FwdPJM28)*Inputs!$B$55,IF(I$3=2029,0.5*FwdPJM29*Inputs!$B$55+0.5*$C$13*I$4,$C$13*I$4))</f>
        <v>72.312075972</v>
      </c>
      <c r="J35" s="8" t="n">
        <f aca="false">IF(J$3&lt;=2028,IF(J$3=2027,FwdPJM27,FwdPJM28)*Inputs!$B$55,IF(J$3=2029,0.5*FwdPJM29*Inputs!$B$55+0.5*$C$13*J$4,$C$13*J$4))</f>
        <v>70.40463498288</v>
      </c>
      <c r="K35" s="8" t="n">
        <f aca="false">IF(K$3&lt;=2028,IF(K$3=2027,FwdPJM27,FwdPJM28)*Inputs!$B$55,IF(K$3=2029,0.5*FwdPJM29*Inputs!$B$55+0.5*$C$13*K$4,$C$13*K$4))</f>
        <v>71.8127276825376</v>
      </c>
      <c r="L35" s="8" t="n">
        <f aca="false">IF(L$3&lt;=2028,IF(L$3=2027,FwdPJM27,FwdPJM28)*Inputs!$B$55,IF(L$3=2029,0.5*FwdPJM29*Inputs!$B$55+0.5*$C$13*L$4,$C$13*L$4))</f>
        <v>73.2489822361884</v>
      </c>
      <c r="M35" s="8" t="n">
        <f aca="false">IF(M$3&lt;=2028,IF(M$3=2027,FwdPJM27,FwdPJM28)*Inputs!$B$55,IF(M$3=2029,0.5*FwdPJM29*Inputs!$B$55+0.5*$C$13*M$4,$C$13*M$4))</f>
        <v>74.7139618809121</v>
      </c>
      <c r="N35" s="8" t="n">
        <f aca="false">IF(N$3&lt;=2028,IF(N$3=2027,FwdPJM27,FwdPJM28)*Inputs!$B$55,IF(N$3=2029,0.5*FwdPJM29*Inputs!$B$55+0.5*$C$13*N$4,$C$13*N$4))</f>
        <v>76.2082411185304</v>
      </c>
      <c r="O35" s="8" t="n">
        <f aca="false">IF(O$3&lt;=2028,IF(O$3=2027,FwdPJM27,FwdPJM28)*Inputs!$B$55,IF(O$3=2029,0.5*FwdPJM29*Inputs!$B$55+0.5*$C$13*O$4,$C$13*O$4))</f>
        <v>77.732405940901</v>
      </c>
      <c r="P35" s="8" t="n">
        <f aca="false">IF(P$3&lt;=2028,IF(P$3=2027,FwdPJM27,FwdPJM28)*Inputs!$B$55,IF(P$3=2029,0.5*FwdPJM29*Inputs!$B$55+0.5*$C$13*P$4,$C$13*P$4))</f>
        <v>79.287054059719</v>
      </c>
      <c r="Q35" s="8" t="n">
        <f aca="false">IF(Q$3&lt;=2028,IF(Q$3=2027,FwdPJM27,FwdPJM28)*Inputs!$B$55,IF(Q$3=2029,0.5*FwdPJM29*Inputs!$B$55+0.5*$C$13*Q$4,$C$13*Q$4))</f>
        <v>80.8727951409134</v>
      </c>
      <c r="R35" s="8" t="n">
        <f aca="false">IF(R$3&lt;=2028,IF(R$3=2027,FwdPJM27,FwdPJM28)*Inputs!$B$55,IF(R$3=2029,0.5*FwdPJM29*Inputs!$B$55+0.5*$C$13*R$4,$C$13*R$4))</f>
        <v>82.4902510437317</v>
      </c>
      <c r="S35" s="8" t="n">
        <f aca="false">IF(S$3&lt;=2028,IF(S$3=2027,FwdPJM27,FwdPJM28)*Inputs!$B$55,IF(S$3=2029,0.5*FwdPJM29*Inputs!$B$55+0.5*$C$13*S$4,$C$13*S$4))</f>
        <v>84.1400560646063</v>
      </c>
      <c r="T35" s="8" t="n">
        <f aca="false">IF(T$3&lt;=2028,IF(T$3=2027,FwdPJM27,FwdPJM28)*Inputs!$B$55,IF(T$3=2029,0.5*FwdPJM29*Inputs!$B$55+0.5*$C$13*T$4,$C$13*T$4))</f>
        <v>85.8228571858984</v>
      </c>
      <c r="U35" s="8" t="n">
        <f aca="false">IF(U$3&lt;=2028,IF(U$3=2027,FwdPJM27,FwdPJM28)*Inputs!$B$55,IF(U$3=2029,0.5*FwdPJM29*Inputs!$B$55+0.5*$C$13*U$4,$C$13*U$4))</f>
        <v>87.5393143296164</v>
      </c>
      <c r="V35" s="8" t="n">
        <f aca="false">IF(V$3&lt;=2028,IF(V$3=2027,FwdPJM27,FwdPJM28)*Inputs!$B$55,IF(V$3=2029,0.5*FwdPJM29*Inputs!$B$55+0.5*$C$13*V$4,$C$13*V$4))</f>
        <v>89.2901006162087</v>
      </c>
      <c r="W35" s="8" t="n">
        <f aca="false">IF(W$3&lt;=2028,IF(W$3=2027,FwdPJM27,FwdPJM28)*Inputs!$B$55,IF(W$3=2029,0.5*FwdPJM29*Inputs!$B$55+0.5*$C$13*W$4,$C$13*W$4))</f>
        <v>91.0759026285329</v>
      </c>
      <c r="X35" s="8" t="n">
        <f aca="false">IF(X$3&lt;=2028,IF(X$3=2027,FwdPJM27,FwdPJM28)*Inputs!$B$55,IF(X$3=2029,0.5*FwdPJM29*Inputs!$B$55+0.5*$C$13*X$4,$C$13*X$4))</f>
        <v>92.8974206811036</v>
      </c>
      <c r="Y35" s="8" t="n">
        <f aca="false">IF(Y$3&lt;=2028,IF(Y$3=2027,FwdPJM27,FwdPJM28)*Inputs!$B$55,IF(Y$3=2029,0.5*FwdPJM29*Inputs!$B$55+0.5*$C$13*Y$4,$C$13*Y$4))</f>
        <v>94.7553690947256</v>
      </c>
      <c r="Z35" s="8" t="n">
        <f aca="false">IF(Z$3&lt;=2028,IF(Z$3=2027,FwdPJM27,FwdPJM28)*Inputs!$B$55,IF(Z$3=2029,0.5*FwdPJM29*Inputs!$B$55+0.5*$C$13*Z$4,$C$13*Z$4))</f>
        <v>96.6504764766201</v>
      </c>
      <c r="AA35" s="8" t="n">
        <f aca="false">IF(AA$3&lt;=2028,IF(AA$3=2027,FwdPJM27,FwdPJM28)*Inputs!$B$55,IF(AA$3=2029,0.5*FwdPJM29*Inputs!$B$55+0.5*$C$13*AA$4,$C$13*AA$4))</f>
        <v>98.5834860061525</v>
      </c>
      <c r="AB35" s="8" t="n">
        <f aca="false">IF(AB$3&lt;=2028,IF(AB$3=2027,FwdPJM27,FwdPJM28)*Inputs!$B$55,IF(AB$3=2029,0.5*FwdPJM29*Inputs!$B$55+0.5*$C$13*AB$4,$C$13*AB$4))</f>
        <v>100.555155726276</v>
      </c>
      <c r="AC35" s="8" t="n">
        <f aca="false">IF(AC$3&lt;=2028,IF(AC$3=2027,FwdPJM27,FwdPJM28)*Inputs!$B$55,IF(AC$3=2029,0.5*FwdPJM29*Inputs!$B$55+0.5*$C$13*AC$4,$C$13*AC$4))</f>
        <v>102.566258840801</v>
      </c>
      <c r="AD35" s="8" t="n">
        <f aca="false">IF(AD$3&lt;=2028,IF(AD$3=2027,FwdPJM27,FwdPJM28)*Inputs!$B$55,IF(AD$3=2029,0.5*FwdPJM29*Inputs!$B$55+0.5*$C$13*AD$4,$C$13*AD$4))</f>
        <v>104.617584017617</v>
      </c>
      <c r="AE35" s="8" t="n">
        <f aca="false">IF(AE$3&lt;=2028,IF(AE$3=2027,FwdPJM27,FwdPJM28)*Inputs!$B$55,IF(AE$3=2029,0.5*FwdPJM29*Inputs!$B$55+0.5*$C$13*AE$4,$C$13*AE$4))</f>
        <v>106.709935697969</v>
      </c>
      <c r="AF35" s="8" t="n">
        <f aca="false">IF(AF$3&lt;=2028,IF(AF$3=2027,FwdPJM27,FwdPJM28)*Inputs!$B$55,IF(AF$3=2029,0.5*FwdPJM29*Inputs!$B$55+0.5*$C$13*AF$4,$C$13*AF$4))</f>
        <v>108.844134411929</v>
      </c>
      <c r="AG35" s="8" t="n">
        <f aca="false">IF(AG$3&lt;=2028,IF(AG$3=2027,FwdPJM27,FwdPJM28)*Inputs!$B$55,IF(AG$3=2029,0.5*FwdPJM29*Inputs!$B$55+0.5*$C$13*AG$4,$C$13*AG$4))</f>
        <v>111.021017100167</v>
      </c>
      <c r="AH35" s="8" t="n">
        <f aca="false">IF(AH$3&lt;=2028,IF(AH$3=2027,FwdPJM27,FwdPJM28)*Inputs!$B$55,IF(AH$3=2029,0.5*FwdPJM29*Inputs!$B$55+0.5*$C$13*AH$4,$C$13*AH$4))</f>
        <v>113.241437442171</v>
      </c>
      <c r="AI35" s="8" t="n">
        <f aca="false">IF(AI$3&lt;=2028,IF(AI$3=2027,FwdPJM27,FwdPJM28)*Inputs!$B$55,IF(AI$3=2029,0.5*FwdPJM29*Inputs!$B$55+0.5*$C$13*AI$4,$C$13*AI$4))</f>
        <v>115.506266191014</v>
      </c>
      <c r="AJ35" s="8" t="n">
        <f aca="false">IF(AJ$3&lt;=2028,IF(AJ$3=2027,FwdPJM27,FwdPJM28)*Inputs!$B$55,IF(AJ$3=2029,0.5*FwdPJM29*Inputs!$B$55+0.5*$C$13*AJ$4,$C$13*AJ$4))</f>
        <v>117.816391514835</v>
      </c>
      <c r="AK35" s="8" t="n">
        <f aca="false">IF(AK$3&lt;=2028,IF(AK$3=2027,FwdPJM27,FwdPJM28)*Inputs!$B$55,IF(AK$3=2029,0.5*FwdPJM29*Inputs!$B$55+0.5*$C$13*AK$4,$C$13*AK$4))</f>
        <v>120.172719345131</v>
      </c>
      <c r="AL35" s="8" t="n">
        <f aca="false">IF(AL$3&lt;=2028,IF(AL$3=2027,FwdPJM27,FwdPJM28)*Inputs!$B$55,IF(AL$3=2029,0.5*FwdPJM29*Inputs!$B$55+0.5*$C$13*AL$4,$C$13*AL$4))</f>
        <v>122.576173732034</v>
      </c>
      <c r="AM35" s="8" t="n">
        <f aca="false">IF(AM$3&lt;=2028,IF(AM$3=2027,FwdPJM27,FwdPJM28)*Inputs!$B$55,IF(AM$3=2029,0.5*FwdPJM29*Inputs!$B$55+0.5*$C$13*AM$4,$C$13*AM$4))</f>
        <v>125.027697206675</v>
      </c>
      <c r="AN35" s="8" t="n">
        <f aca="false">IF(AN$3&lt;=2028,IF(AN$3=2027,FwdPJM27,FwdPJM28)*Inputs!$B$55,IF(AN$3=2029,0.5*FwdPJM29*Inputs!$B$55+0.5*$C$13*AN$4,$C$13*AN$4))</f>
        <v>127.528251150808</v>
      </c>
      <c r="AO35" s="8" t="n">
        <f aca="false">IF(AO$3&lt;=2028,IF(AO$3=2027,FwdPJM27,FwdPJM28)*Inputs!$B$55,IF(AO$3=2029,0.5*FwdPJM29*Inputs!$B$55+0.5*$C$13*AO$4,$C$13*AO$4))</f>
        <v>130.078816173824</v>
      </c>
      <c r="AP35" s="8" t="n">
        <f aca="false">IF(AP$3&lt;=2028,IF(AP$3=2027,FwdPJM27,FwdPJM28)*Inputs!$B$55,IF(AP$3=2029,0.5*FwdPJM29*Inputs!$B$55+0.5*$C$13*AP$4,$C$13*AP$4))</f>
        <v>132.680392497301</v>
      </c>
      <c r="AQ35" s="8" t="n">
        <f aca="false">IF(AQ$3&lt;=2028,IF(AQ$3=2027,FwdPJM27,FwdPJM28)*Inputs!$B$55,IF(AQ$3=2029,0.5*FwdPJM29*Inputs!$B$55+0.5*$C$13*AQ$4,$C$13*AQ$4))</f>
        <v>135.334000347247</v>
      </c>
      <c r="AR35" s="8" t="n">
        <f aca="false">IF(AR$3&lt;=2028,IF(AR$3=2027,FwdPJM27,FwdPJM28)*Inputs!$B$55,IF(AR$3=2029,0.5*FwdPJM29*Inputs!$B$55+0.5*$C$13*AR$4,$C$13*AR$4))</f>
        <v>138.040680354192</v>
      </c>
      <c r="AS35" s="8" t="n">
        <f aca="false">IF(AS$3&lt;=2028,IF(AS$3=2027,FwdPJM27,FwdPJM28)*Inputs!$B$55,IF(AS$3=2029,0.5*FwdPJM29*Inputs!$B$55+0.5*$C$13*AS$4,$C$13*AS$4))</f>
        <v>140.801493961275</v>
      </c>
    </row>
    <row r="36" customFormat="false" ht="15" hidden="false" customHeight="false" outlineLevel="0" collapsed="false">
      <c r="A36" s="6" t="s">
        <v>304</v>
      </c>
      <c r="B36" s="6" t="s">
        <v>305</v>
      </c>
      <c r="G36" s="8" t="n">
        <f aca="false">IF(G$3&lt;=2028,OtherCapBase,OtherCap)*G$4</f>
        <v>112.2</v>
      </c>
      <c r="H36" s="8" t="n">
        <f aca="false">IF(H$3&lt;=2028,OtherCapBase,OtherCap)*H$4</f>
        <v>114.444</v>
      </c>
      <c r="I36" s="8" t="n">
        <f aca="false">IF(I$3&lt;=2028,OtherCapBase,OtherCap)*I$4</f>
        <v>116.73288</v>
      </c>
      <c r="J36" s="8" t="n">
        <f aca="false">IF(J$3&lt;=2028,OtherCapBase,OtherCap)*J$4</f>
        <v>119.0675376</v>
      </c>
      <c r="K36" s="8" t="n">
        <f aca="false">IF(K$3&lt;=2028,OtherCapBase,OtherCap)*K$4</f>
        <v>121.448888352</v>
      </c>
      <c r="L36" s="8" t="n">
        <f aca="false">IF(L$3&lt;=2028,OtherCapBase,OtherCap)*L$4</f>
        <v>123.87786611904</v>
      </c>
      <c r="M36" s="8" t="n">
        <f aca="false">IF(M$3&lt;=2028,OtherCapBase,OtherCap)*M$4</f>
        <v>126.355423441421</v>
      </c>
      <c r="N36" s="8" t="n">
        <f aca="false">IF(N$3&lt;=2028,OtherCapBase,OtherCap)*N$4</f>
        <v>128.882531910249</v>
      </c>
      <c r="O36" s="8" t="n">
        <f aca="false">IF(O$3&lt;=2028,OtherCapBase,OtherCap)*O$4</f>
        <v>131.460182548454</v>
      </c>
      <c r="P36" s="8" t="n">
        <f aca="false">IF(P$3&lt;=2028,OtherCapBase,OtherCap)*P$4</f>
        <v>134.089386199423</v>
      </c>
      <c r="Q36" s="8" t="n">
        <f aca="false">IF(Q$3&lt;=2028,OtherCapBase,OtherCap)*Q$4</f>
        <v>136.771173923412</v>
      </c>
      <c r="R36" s="8" t="n">
        <f aca="false">IF(R$3&lt;=2028,OtherCapBase,OtherCap)*R$4</f>
        <v>139.50659740188</v>
      </c>
      <c r="S36" s="8" t="n">
        <f aca="false">IF(S$3&lt;=2028,OtherCapBase,OtherCap)*S$4</f>
        <v>142.296729349918</v>
      </c>
      <c r="T36" s="8" t="n">
        <f aca="false">IF(T$3&lt;=2028,OtherCapBase,OtherCap)*T$4</f>
        <v>145.142663936916</v>
      </c>
      <c r="U36" s="8" t="n">
        <f aca="false">IF(U$3&lt;=2028,OtherCapBase,OtherCap)*U$4</f>
        <v>148.045517215654</v>
      </c>
      <c r="V36" s="8" t="n">
        <f aca="false">IF(V$3&lt;=2028,OtherCapBase,OtherCap)*V$4</f>
        <v>151.006427559967</v>
      </c>
      <c r="W36" s="8" t="n">
        <f aca="false">IF(W$3&lt;=2028,OtherCapBase,OtherCap)*W$4</f>
        <v>154.026556111167</v>
      </c>
      <c r="X36" s="8" t="n">
        <f aca="false">IF(X$3&lt;=2028,OtherCapBase,OtherCap)*X$4</f>
        <v>157.10708723339</v>
      </c>
      <c r="Y36" s="8" t="n">
        <f aca="false">IF(Y$3&lt;=2028,OtherCapBase,OtherCap)*Y$4</f>
        <v>160.249228978058</v>
      </c>
      <c r="Z36" s="8" t="n">
        <f aca="false">IF(Z$3&lt;=2028,OtherCapBase,OtherCap)*Z$4</f>
        <v>163.454213557619</v>
      </c>
      <c r="AA36" s="8" t="n">
        <f aca="false">IF(AA$3&lt;=2028,OtherCapBase,OtherCap)*AA$4</f>
        <v>166.723297828771</v>
      </c>
      <c r="AB36" s="8" t="n">
        <f aca="false">IF(AB$3&lt;=2028,OtherCapBase,OtherCap)*AB$4</f>
        <v>170.057763785347</v>
      </c>
      <c r="AC36" s="8" t="n">
        <f aca="false">IF(AC$3&lt;=2028,OtherCapBase,OtherCap)*AC$4</f>
        <v>173.458919061054</v>
      </c>
      <c r="AD36" s="8" t="n">
        <f aca="false">IF(AD$3&lt;=2028,OtherCapBase,OtherCap)*AD$4</f>
        <v>176.928097442275</v>
      </c>
      <c r="AE36" s="8" t="n">
        <f aca="false">IF(AE$3&lt;=2028,OtherCapBase,OtherCap)*AE$4</f>
        <v>180.46665939112</v>
      </c>
      <c r="AF36" s="8" t="n">
        <f aca="false">IF(AF$3&lt;=2028,OtherCapBase,OtherCap)*AF$4</f>
        <v>184.075992578943</v>
      </c>
      <c r="AG36" s="8" t="n">
        <f aca="false">IF(AG$3&lt;=2028,OtherCapBase,OtherCap)*AG$4</f>
        <v>187.757512430522</v>
      </c>
      <c r="AH36" s="8" t="n">
        <f aca="false">IF(AH$3&lt;=2028,OtherCapBase,OtherCap)*AH$4</f>
        <v>191.512662679132</v>
      </c>
      <c r="AI36" s="8" t="n">
        <f aca="false">IF(AI$3&lt;=2028,OtherCapBase,OtherCap)*AI$4</f>
        <v>195.342915932715</v>
      </c>
      <c r="AJ36" s="8" t="n">
        <f aca="false">IF(AJ$3&lt;=2028,OtherCapBase,OtherCap)*AJ$4</f>
        <v>199.249774251369</v>
      </c>
      <c r="AK36" s="8" t="n">
        <f aca="false">IF(AK$3&lt;=2028,OtherCapBase,OtherCap)*AK$4</f>
        <v>203.234769736396</v>
      </c>
      <c r="AL36" s="8" t="n">
        <f aca="false">IF(AL$3&lt;=2028,OtherCapBase,OtherCap)*AL$4</f>
        <v>207.299465131124</v>
      </c>
      <c r="AM36" s="8" t="n">
        <f aca="false">IF(AM$3&lt;=2028,OtherCapBase,OtherCap)*AM$4</f>
        <v>211.445454433747</v>
      </c>
      <c r="AN36" s="8" t="n">
        <f aca="false">IF(AN$3&lt;=2028,OtherCapBase,OtherCap)*AN$4</f>
        <v>215.674363522422</v>
      </c>
      <c r="AO36" s="8" t="n">
        <f aca="false">IF(AO$3&lt;=2028,OtherCapBase,OtherCap)*AO$4</f>
        <v>219.98785079287</v>
      </c>
      <c r="AP36" s="8" t="n">
        <f aca="false">IF(AP$3&lt;=2028,OtherCapBase,OtherCap)*AP$4</f>
        <v>224.387607808728</v>
      </c>
      <c r="AQ36" s="8" t="n">
        <f aca="false">IF(AQ$3&lt;=2028,OtherCapBase,OtherCap)*AQ$4</f>
        <v>228.875359964902</v>
      </c>
      <c r="AR36" s="8" t="n">
        <f aca="false">IF(AR$3&lt;=2028,OtherCapBase,OtherCap)*AR$4</f>
        <v>233.4528671642</v>
      </c>
      <c r="AS36" s="8" t="n">
        <f aca="false">IF(AS$3&lt;=2028,OtherCapBase,OtherCap)*AS$4</f>
        <v>238.121924507484</v>
      </c>
    </row>
    <row r="37" customFormat="false" ht="15" hidden="false" customHeight="false" outlineLevel="0" collapsed="false">
      <c r="A37" s="6" t="s">
        <v>306</v>
      </c>
      <c r="B37" s="6" t="s">
        <v>307</v>
      </c>
      <c r="G37" s="7" t="n">
        <f aca="false">(G$5+Inputs!$C$56)*G$4</f>
        <v>4.59</v>
      </c>
      <c r="H37" s="7" t="n">
        <f aca="false">(H$5+Inputs!$C$56)*H$4</f>
        <v>4.6818</v>
      </c>
      <c r="I37" s="7" t="n">
        <f aca="false">(I$5+Inputs!$C$56)*I$4</f>
        <v>4.8815568</v>
      </c>
      <c r="J37" s="7" t="n">
        <f aca="false">(J$5+Inputs!$C$56)*J$4</f>
        <v>4.979187936</v>
      </c>
      <c r="K37" s="7" t="n">
        <f aca="false">(K$5+Inputs!$C$56)*K$4</f>
        <v>5.07877169472</v>
      </c>
      <c r="L37" s="7" t="n">
        <f aca="false">(L$5+Inputs!$C$56)*L$4</f>
        <v>5.1803471286144</v>
      </c>
      <c r="M37" s="7" t="n">
        <f aca="false">(M$5+Inputs!$C$56)*M$4</f>
        <v>5.28395407118669</v>
      </c>
      <c r="N37" s="7" t="n">
        <f aca="false">(N$5+Inputs!$C$56)*N$4</f>
        <v>5.38963315261042</v>
      </c>
      <c r="O37" s="7" t="n">
        <f aca="false">(O$5+Inputs!$C$56)*O$4</f>
        <v>5.49742581566263</v>
      </c>
      <c r="P37" s="7" t="n">
        <f aca="false">(P$5+Inputs!$C$56)*P$4</f>
        <v>5.60737433197588</v>
      </c>
      <c r="Q37" s="7" t="n">
        <f aca="false">(Q$5+Inputs!$C$56)*Q$4</f>
        <v>5.7195218186154</v>
      </c>
      <c r="R37" s="7" t="n">
        <f aca="false">(R$5+Inputs!$C$56)*R$4</f>
        <v>5.83391225498771</v>
      </c>
      <c r="S37" s="7" t="n">
        <f aca="false">(S$5+Inputs!$C$56)*S$4</f>
        <v>5.95059050008746</v>
      </c>
      <c r="T37" s="7" t="n">
        <f aca="false">(T$5+Inputs!$C$56)*T$4</f>
        <v>6.06960231008921</v>
      </c>
      <c r="U37" s="7" t="n">
        <f aca="false">(U$5+Inputs!$C$56)*U$4</f>
        <v>6.190994356291</v>
      </c>
      <c r="V37" s="7" t="n">
        <f aca="false">(V$5+Inputs!$C$56)*V$4</f>
        <v>6.31481424341682</v>
      </c>
      <c r="W37" s="7" t="n">
        <f aca="false">(W$5+Inputs!$C$56)*W$4</f>
        <v>6.44111052828515</v>
      </c>
      <c r="X37" s="7" t="n">
        <f aca="false">(X$5+Inputs!$C$56)*X$4</f>
        <v>6.56993273885086</v>
      </c>
      <c r="Y37" s="7" t="n">
        <f aca="false">(Y$5+Inputs!$C$56)*Y$4</f>
        <v>6.70133139362787</v>
      </c>
      <c r="Z37" s="7" t="n">
        <f aca="false">(Z$5+Inputs!$C$56)*Z$4</f>
        <v>6.83535802150043</v>
      </c>
      <c r="AA37" s="7" t="n">
        <f aca="false">(AA$5+Inputs!$C$56)*AA$4</f>
        <v>6.97206518193044</v>
      </c>
      <c r="AB37" s="7" t="n">
        <f aca="false">(AB$5+Inputs!$C$56)*AB$4</f>
        <v>7.11150648556905</v>
      </c>
      <c r="AC37" s="7" t="n">
        <f aca="false">(AC$5+Inputs!$C$56)*AC$4</f>
        <v>7.25373661528043</v>
      </c>
      <c r="AD37" s="7" t="n">
        <f aca="false">(AD$5+Inputs!$C$56)*AD$4</f>
        <v>7.39881134758604</v>
      </c>
      <c r="AE37" s="7" t="n">
        <f aca="false">(AE$5+Inputs!$C$56)*AE$4</f>
        <v>7.54678757453776</v>
      </c>
      <c r="AF37" s="7" t="n">
        <f aca="false">(AF$5+Inputs!$C$56)*AF$4</f>
        <v>7.69772332602852</v>
      </c>
      <c r="AG37" s="7" t="n">
        <f aca="false">(AG$5+Inputs!$C$56)*AG$4</f>
        <v>7.85167779254909</v>
      </c>
      <c r="AH37" s="7" t="n">
        <f aca="false">(AH$5+Inputs!$C$56)*AH$4</f>
        <v>8.00871134840007</v>
      </c>
      <c r="AI37" s="7" t="n">
        <f aca="false">(AI$5+Inputs!$C$56)*AI$4</f>
        <v>8.16888557536807</v>
      </c>
      <c r="AJ37" s="7" t="n">
        <f aca="false">(AJ$5+Inputs!$C$56)*AJ$4</f>
        <v>8.33226328687543</v>
      </c>
      <c r="AK37" s="7" t="n">
        <f aca="false">(AK$5+Inputs!$C$56)*AK$4</f>
        <v>8.49890855261294</v>
      </c>
      <c r="AL37" s="7" t="n">
        <f aca="false">(AL$5+Inputs!$C$56)*AL$4</f>
        <v>8.6688867236652</v>
      </c>
      <c r="AM37" s="7" t="n">
        <f aca="false">(AM$5+Inputs!$C$56)*AM$4</f>
        <v>8.8422644581385</v>
      </c>
      <c r="AN37" s="7" t="n">
        <f aca="false">(AN$5+Inputs!$C$56)*AN$4</f>
        <v>9.01910974730127</v>
      </c>
      <c r="AO37" s="7" t="n">
        <f aca="false">(AO$5+Inputs!$C$56)*AO$4</f>
        <v>9.1994919422473</v>
      </c>
      <c r="AP37" s="7" t="n">
        <f aca="false">(AP$5+Inputs!$C$56)*AP$4</f>
        <v>9.38348178109225</v>
      </c>
      <c r="AQ37" s="7" t="n">
        <f aca="false">(AQ$5+Inputs!$C$56)*AQ$4</f>
        <v>9.57115141671409</v>
      </c>
      <c r="AR37" s="7" t="n">
        <f aca="false">(AR$5+Inputs!$C$56)*AR$4</f>
        <v>9.76257444504837</v>
      </c>
      <c r="AS37" s="7" t="n">
        <f aca="false">(AS$5+Inputs!$C$56)*AS$4</f>
        <v>9.95782593394934</v>
      </c>
    </row>
    <row r="38" customFormat="false" ht="15" hidden="false" customHeight="false" outlineLevel="0" collapsed="false">
      <c r="A38" s="6" t="s">
        <v>308</v>
      </c>
      <c r="B38" s="6" t="s">
        <v>309</v>
      </c>
      <c r="G38" s="8" t="n">
        <f aca="false">IF(G$3&lt;=2028,IF(G$3=2027,FwdPJM27,FwdPJM28)*Inputs!$B$56,IF(G$3=2029,0.5*FwdPJM29*Inputs!$B$56+0.5*$C$14*G$4,$C$14*G$4))</f>
        <v>66.24</v>
      </c>
      <c r="H38" s="8" t="n">
        <f aca="false">IF(H$3&lt;=2028,IF(H$3=2027,FwdPJM27,FwdPJM28)*Inputs!$B$56,IF(H$3=2029,0.5*FwdPJM29*Inputs!$B$56+0.5*$C$14*H$4,$C$14*H$4))</f>
        <v>67.16</v>
      </c>
      <c r="I38" s="8" t="n">
        <f aca="false">IF(I$3&lt;=2028,IF(I$3=2027,FwdPJM27,FwdPJM28)*Inputs!$B$56,IF(I$3=2029,0.5*FwdPJM29*Inputs!$B$56+0.5*$C$14*I$4,$C$14*I$4))</f>
        <v>61.599175828</v>
      </c>
      <c r="J38" s="8" t="n">
        <f aca="false">IF(J$3&lt;=2028,IF(J$3=2027,FwdPJM27,FwdPJM28)*Inputs!$B$56,IF(J$3=2029,0.5*FwdPJM29*Inputs!$B$56+0.5*$C$14*J$4,$C$14*J$4))</f>
        <v>59.97431868912</v>
      </c>
      <c r="K38" s="8" t="n">
        <f aca="false">IF(K$3&lt;=2028,IF(K$3=2027,FwdPJM27,FwdPJM28)*Inputs!$B$56,IF(K$3=2029,0.5*FwdPJM29*Inputs!$B$56+0.5*$C$14*K$4,$C$14*K$4))</f>
        <v>61.1738050629024</v>
      </c>
      <c r="L38" s="8" t="n">
        <f aca="false">IF(L$3&lt;=2028,IF(L$3=2027,FwdPJM27,FwdPJM28)*Inputs!$B$56,IF(L$3=2029,0.5*FwdPJM29*Inputs!$B$56+0.5*$C$14*L$4,$C$14*L$4))</f>
        <v>62.3972811641605</v>
      </c>
      <c r="M38" s="8" t="n">
        <f aca="false">IF(M$3&lt;=2028,IF(M$3=2027,FwdPJM27,FwdPJM28)*Inputs!$B$56,IF(M$3=2029,0.5*FwdPJM29*Inputs!$B$56+0.5*$C$14*M$4,$C$14*M$4))</f>
        <v>63.6452267874437</v>
      </c>
      <c r="N38" s="8" t="n">
        <f aca="false">IF(N$3&lt;=2028,IF(N$3=2027,FwdPJM27,FwdPJM28)*Inputs!$B$56,IF(N$3=2029,0.5*FwdPJM29*Inputs!$B$56+0.5*$C$14*N$4,$C$14*N$4))</f>
        <v>64.9181313231925</v>
      </c>
      <c r="O38" s="8" t="n">
        <f aca="false">IF(O$3&lt;=2028,IF(O$3=2027,FwdPJM27,FwdPJM28)*Inputs!$B$56,IF(O$3=2029,0.5*FwdPJM29*Inputs!$B$56+0.5*$C$14*O$4,$C$14*O$4))</f>
        <v>66.2164939496564</v>
      </c>
      <c r="P38" s="8" t="n">
        <f aca="false">IF(P$3&lt;=2028,IF(P$3=2027,FwdPJM27,FwdPJM28)*Inputs!$B$56,IF(P$3=2029,0.5*FwdPJM29*Inputs!$B$56+0.5*$C$14*P$4,$C$14*P$4))</f>
        <v>67.5408238286495</v>
      </c>
      <c r="Q38" s="8" t="n">
        <f aca="false">IF(Q$3&lt;=2028,IF(Q$3=2027,FwdPJM27,FwdPJM28)*Inputs!$B$56,IF(Q$3=2029,0.5*FwdPJM29*Inputs!$B$56+0.5*$C$14*Q$4,$C$14*Q$4))</f>
        <v>68.8916403052225</v>
      </c>
      <c r="R38" s="8" t="n">
        <f aca="false">IF(R$3&lt;=2028,IF(R$3=2027,FwdPJM27,FwdPJM28)*Inputs!$B$56,IF(R$3=2029,0.5*FwdPJM29*Inputs!$B$56+0.5*$C$14*R$4,$C$14*R$4))</f>
        <v>70.269473111327</v>
      </c>
      <c r="S38" s="8" t="n">
        <f aca="false">IF(S$3&lt;=2028,IF(S$3=2027,FwdPJM27,FwdPJM28)*Inputs!$B$56,IF(S$3=2029,0.5*FwdPJM29*Inputs!$B$56+0.5*$C$14*S$4,$C$14*S$4))</f>
        <v>71.6748625735535</v>
      </c>
      <c r="T38" s="8" t="n">
        <f aca="false">IF(T$3&lt;=2028,IF(T$3=2027,FwdPJM27,FwdPJM28)*Inputs!$B$56,IF(T$3=2029,0.5*FwdPJM29*Inputs!$B$56+0.5*$C$14*T$4,$C$14*T$4))</f>
        <v>73.1083598250246</v>
      </c>
      <c r="U38" s="8" t="n">
        <f aca="false">IF(U$3&lt;=2028,IF(U$3=2027,FwdPJM27,FwdPJM28)*Inputs!$B$56,IF(U$3=2029,0.5*FwdPJM29*Inputs!$B$56+0.5*$C$14*U$4,$C$14*U$4))</f>
        <v>74.5705270215251</v>
      </c>
      <c r="V38" s="8" t="n">
        <f aca="false">IF(V$3&lt;=2028,IF(V$3=2027,FwdPJM27,FwdPJM28)*Inputs!$B$56,IF(V$3=2029,0.5*FwdPJM29*Inputs!$B$56+0.5*$C$14*V$4,$C$14*V$4))</f>
        <v>76.0619375619556</v>
      </c>
      <c r="W38" s="8" t="n">
        <f aca="false">IF(W$3&lt;=2028,IF(W$3=2027,FwdPJM27,FwdPJM28)*Inputs!$B$56,IF(W$3=2029,0.5*FwdPJM29*Inputs!$B$56+0.5*$C$14*W$4,$C$14*W$4))</f>
        <v>77.5831763131947</v>
      </c>
      <c r="X38" s="8" t="n">
        <f aca="false">IF(X$3&lt;=2028,IF(X$3=2027,FwdPJM27,FwdPJM28)*Inputs!$B$56,IF(X$3=2029,0.5*FwdPJM29*Inputs!$B$56+0.5*$C$14*X$4,$C$14*X$4))</f>
        <v>79.1348398394586</v>
      </c>
      <c r="Y38" s="8" t="n">
        <f aca="false">IF(Y$3&lt;=2028,IF(Y$3=2027,FwdPJM27,FwdPJM28)*Inputs!$B$56,IF(Y$3=2029,0.5*FwdPJM29*Inputs!$B$56+0.5*$C$14*Y$4,$C$14*Y$4))</f>
        <v>80.7175366362478</v>
      </c>
      <c r="Z38" s="8" t="n">
        <f aca="false">IF(Z$3&lt;=2028,IF(Z$3=2027,FwdPJM27,FwdPJM28)*Inputs!$B$56,IF(Z$3=2029,0.5*FwdPJM29*Inputs!$B$56+0.5*$C$14*Z$4,$C$14*Z$4))</f>
        <v>82.3318873689727</v>
      </c>
      <c r="AA38" s="8" t="n">
        <f aca="false">IF(AA$3&lt;=2028,IF(AA$3=2027,FwdPJM27,FwdPJM28)*Inputs!$B$56,IF(AA$3=2029,0.5*FwdPJM29*Inputs!$B$56+0.5*$C$14*AA$4,$C$14*AA$4))</f>
        <v>83.9785251163522</v>
      </c>
      <c r="AB38" s="8" t="n">
        <f aca="false">IF(AB$3&lt;=2028,IF(AB$3=2027,FwdPJM27,FwdPJM28)*Inputs!$B$56,IF(AB$3=2029,0.5*FwdPJM29*Inputs!$B$56+0.5*$C$14*AB$4,$C$14*AB$4))</f>
        <v>85.6580956186792</v>
      </c>
      <c r="AC38" s="8" t="n">
        <f aca="false">IF(AC$3&lt;=2028,IF(AC$3=2027,FwdPJM27,FwdPJM28)*Inputs!$B$56,IF(AC$3=2029,0.5*FwdPJM29*Inputs!$B$56+0.5*$C$14*AC$4,$C$14*AC$4))</f>
        <v>87.3712575310528</v>
      </c>
      <c r="AD38" s="8" t="n">
        <f aca="false">IF(AD$3&lt;=2028,IF(AD$3=2027,FwdPJM27,FwdPJM28)*Inputs!$B$56,IF(AD$3=2029,0.5*FwdPJM29*Inputs!$B$56+0.5*$C$14*AD$4,$C$14*AD$4))</f>
        <v>89.1186826816739</v>
      </c>
      <c r="AE38" s="8" t="n">
        <f aca="false">IF(AE$3&lt;=2028,IF(AE$3=2027,FwdPJM27,FwdPJM28)*Inputs!$B$56,IF(AE$3=2029,0.5*FwdPJM29*Inputs!$B$56+0.5*$C$14*AE$4,$C$14*AE$4))</f>
        <v>90.9010563353073</v>
      </c>
      <c r="AF38" s="8" t="n">
        <f aca="false">IF(AF$3&lt;=2028,IF(AF$3=2027,FwdPJM27,FwdPJM28)*Inputs!$B$56,IF(AF$3=2029,0.5*FwdPJM29*Inputs!$B$56+0.5*$C$14*AF$4,$C$14*AF$4))</f>
        <v>92.7190774620135</v>
      </c>
      <c r="AG38" s="8" t="n">
        <f aca="false">IF(AG$3&lt;=2028,IF(AG$3=2027,FwdPJM27,FwdPJM28)*Inputs!$B$56,IF(AG$3=2029,0.5*FwdPJM29*Inputs!$B$56+0.5*$C$14*AG$4,$C$14*AG$4))</f>
        <v>94.5734590112538</v>
      </c>
      <c r="AH38" s="8" t="n">
        <f aca="false">IF(AH$3&lt;=2028,IF(AH$3=2027,FwdPJM27,FwdPJM28)*Inputs!$B$56,IF(AH$3=2029,0.5*FwdPJM29*Inputs!$B$56+0.5*$C$14*AH$4,$C$14*AH$4))</f>
        <v>96.4649281914788</v>
      </c>
      <c r="AI38" s="8" t="n">
        <f aca="false">IF(AI$3&lt;=2028,IF(AI$3=2027,FwdPJM27,FwdPJM28)*Inputs!$B$56,IF(AI$3=2029,0.5*FwdPJM29*Inputs!$B$56+0.5*$C$14*AI$4,$C$14*AI$4))</f>
        <v>98.3942267553084</v>
      </c>
      <c r="AJ38" s="8" t="n">
        <f aca="false">IF(AJ$3&lt;=2028,IF(AJ$3=2027,FwdPJM27,FwdPJM28)*Inputs!$B$56,IF(AJ$3=2029,0.5*FwdPJM29*Inputs!$B$56+0.5*$C$14*AJ$4,$C$14*AJ$4))</f>
        <v>100.362111290415</v>
      </c>
      <c r="AK38" s="8" t="n">
        <f aca="false">IF(AK$3&lt;=2028,IF(AK$3=2027,FwdPJM27,FwdPJM28)*Inputs!$B$56,IF(AK$3=2029,0.5*FwdPJM29*Inputs!$B$56+0.5*$C$14*AK$4,$C$14*AK$4))</f>
        <v>102.369353516223</v>
      </c>
      <c r="AL38" s="8" t="n">
        <f aca="false">IF(AL$3&lt;=2028,IF(AL$3=2027,FwdPJM27,FwdPJM28)*Inputs!$B$56,IF(AL$3=2029,0.5*FwdPJM29*Inputs!$B$56+0.5*$C$14*AL$4,$C$14*AL$4))</f>
        <v>104.416740586547</v>
      </c>
      <c r="AM38" s="8" t="n">
        <f aca="false">IF(AM$3&lt;=2028,IF(AM$3=2027,FwdPJM27,FwdPJM28)*Inputs!$B$56,IF(AM$3=2029,0.5*FwdPJM29*Inputs!$B$56+0.5*$C$14*AM$4,$C$14*AM$4))</f>
        <v>106.505075398278</v>
      </c>
      <c r="AN38" s="8" t="n">
        <f aca="false">IF(AN$3&lt;=2028,IF(AN$3=2027,FwdPJM27,FwdPJM28)*Inputs!$B$56,IF(AN$3=2029,0.5*FwdPJM29*Inputs!$B$56+0.5*$C$14*AN$4,$C$14*AN$4))</f>
        <v>108.635176906244</v>
      </c>
      <c r="AO38" s="8" t="n">
        <f aca="false">IF(AO$3&lt;=2028,IF(AO$3=2027,FwdPJM27,FwdPJM28)*Inputs!$B$56,IF(AO$3=2029,0.5*FwdPJM29*Inputs!$B$56+0.5*$C$14*AO$4,$C$14*AO$4))</f>
        <v>110.807880444369</v>
      </c>
      <c r="AP38" s="8" t="n">
        <f aca="false">IF(AP$3&lt;=2028,IF(AP$3=2027,FwdPJM27,FwdPJM28)*Inputs!$B$56,IF(AP$3=2029,0.5*FwdPJM29*Inputs!$B$56+0.5*$C$14*AP$4,$C$14*AP$4))</f>
        <v>113.024038053256</v>
      </c>
      <c r="AQ38" s="8" t="n">
        <f aca="false">IF(AQ$3&lt;=2028,IF(AQ$3=2027,FwdPJM27,FwdPJM28)*Inputs!$B$56,IF(AQ$3=2029,0.5*FwdPJM29*Inputs!$B$56+0.5*$C$14*AQ$4,$C$14*AQ$4))</f>
        <v>115.284518814321</v>
      </c>
      <c r="AR38" s="8" t="n">
        <f aca="false">IF(AR$3&lt;=2028,IF(AR$3=2027,FwdPJM27,FwdPJM28)*Inputs!$B$56,IF(AR$3=2029,0.5*FwdPJM29*Inputs!$B$56+0.5*$C$14*AR$4,$C$14*AR$4))</f>
        <v>117.590209190608</v>
      </c>
      <c r="AS38" s="8" t="n">
        <f aca="false">IF(AS$3&lt;=2028,IF(AS$3=2027,FwdPJM27,FwdPJM28)*Inputs!$B$56,IF(AS$3=2029,0.5*FwdPJM29*Inputs!$B$56+0.5*$C$14*AS$4,$C$14*AS$4))</f>
        <v>119.94201337442</v>
      </c>
    </row>
    <row r="39" customFormat="false" ht="15" hidden="false" customHeight="false" outlineLevel="0" collapsed="false">
      <c r="A39" s="6" t="s">
        <v>310</v>
      </c>
      <c r="B39" s="6" t="s">
        <v>311</v>
      </c>
      <c r="G39" s="8" t="n">
        <f aca="false">IF(G$3&lt;=2028,WestCapBase,WestCap)*G$4</f>
        <v>224.4</v>
      </c>
      <c r="H39" s="8" t="n">
        <f aca="false">IF(H$3&lt;=2028,WestCapBase,WestCap)*H$4</f>
        <v>228.888</v>
      </c>
      <c r="I39" s="8" t="n">
        <f aca="false">IF(I$3&lt;=2028,WestCapBase,WestCap)*I$4</f>
        <v>233.46576</v>
      </c>
      <c r="J39" s="8" t="n">
        <f aca="false">IF(J$3&lt;=2028,WestCapBase,WestCap)*J$4</f>
        <v>238.1350752</v>
      </c>
      <c r="K39" s="8" t="n">
        <f aca="false">IF(K$3&lt;=2028,WestCapBase,WestCap)*K$4</f>
        <v>242.897776704</v>
      </c>
      <c r="L39" s="8" t="n">
        <f aca="false">IF(L$3&lt;=2028,WestCapBase,WestCap)*L$4</f>
        <v>247.75573223808</v>
      </c>
      <c r="M39" s="8" t="n">
        <f aca="false">IF(M$3&lt;=2028,WestCapBase,WestCap)*M$4</f>
        <v>252.710846882842</v>
      </c>
      <c r="N39" s="8" t="n">
        <f aca="false">IF(N$3&lt;=2028,WestCapBase,WestCap)*N$4</f>
        <v>257.765063820499</v>
      </c>
      <c r="O39" s="8" t="n">
        <f aca="false">IF(O$3&lt;=2028,WestCapBase,WestCap)*O$4</f>
        <v>262.920365096908</v>
      </c>
      <c r="P39" s="8" t="n">
        <f aca="false">IF(P$3&lt;=2028,WestCapBase,WestCap)*P$4</f>
        <v>268.178772398847</v>
      </c>
      <c r="Q39" s="8" t="n">
        <f aca="false">IF(Q$3&lt;=2028,WestCapBase,WestCap)*Q$4</f>
        <v>273.542347846824</v>
      </c>
      <c r="R39" s="8" t="n">
        <f aca="false">IF(R$3&lt;=2028,WestCapBase,WestCap)*R$4</f>
        <v>279.01319480376</v>
      </c>
      <c r="S39" s="8" t="n">
        <f aca="false">IF(S$3&lt;=2028,WestCapBase,WestCap)*S$4</f>
        <v>284.593458699835</v>
      </c>
      <c r="T39" s="8" t="n">
        <f aca="false">IF(T$3&lt;=2028,WestCapBase,WestCap)*T$4</f>
        <v>290.285327873832</v>
      </c>
      <c r="U39" s="8" t="n">
        <f aca="false">IF(U$3&lt;=2028,WestCapBase,WestCap)*U$4</f>
        <v>296.091034431309</v>
      </c>
      <c r="V39" s="8" t="n">
        <f aca="false">IF(V$3&lt;=2028,WestCapBase,WestCap)*V$4</f>
        <v>302.012855119935</v>
      </c>
      <c r="W39" s="8" t="n">
        <f aca="false">IF(W$3&lt;=2028,WestCapBase,WestCap)*W$4</f>
        <v>308.053112222334</v>
      </c>
      <c r="X39" s="8" t="n">
        <f aca="false">IF(X$3&lt;=2028,WestCapBase,WestCap)*X$4</f>
        <v>314.21417446678</v>
      </c>
      <c r="Y39" s="8" t="n">
        <f aca="false">IF(Y$3&lt;=2028,WestCapBase,WestCap)*Y$4</f>
        <v>320.498457956116</v>
      </c>
      <c r="Z39" s="8" t="n">
        <f aca="false">IF(Z$3&lt;=2028,WestCapBase,WestCap)*Z$4</f>
        <v>326.908427115238</v>
      </c>
      <c r="AA39" s="8" t="n">
        <f aca="false">IF(AA$3&lt;=2028,WestCapBase,WestCap)*AA$4</f>
        <v>333.446595657543</v>
      </c>
      <c r="AB39" s="8" t="n">
        <f aca="false">IF(AB$3&lt;=2028,WestCapBase,WestCap)*AB$4</f>
        <v>340.115527570694</v>
      </c>
      <c r="AC39" s="8" t="n">
        <f aca="false">IF(AC$3&lt;=2028,WestCapBase,WestCap)*AC$4</f>
        <v>346.917838122108</v>
      </c>
      <c r="AD39" s="8" t="n">
        <f aca="false">IF(AD$3&lt;=2028,WestCapBase,WestCap)*AD$4</f>
        <v>353.85619488455</v>
      </c>
      <c r="AE39" s="8" t="n">
        <f aca="false">IF(AE$3&lt;=2028,WestCapBase,WestCap)*AE$4</f>
        <v>360.933318782241</v>
      </c>
      <c r="AF39" s="8" t="n">
        <f aca="false">IF(AF$3&lt;=2028,WestCapBase,WestCap)*AF$4</f>
        <v>368.151985157886</v>
      </c>
      <c r="AG39" s="8" t="n">
        <f aca="false">IF(AG$3&lt;=2028,WestCapBase,WestCap)*AG$4</f>
        <v>375.515024861043</v>
      </c>
      <c r="AH39" s="8" t="n">
        <f aca="false">IF(AH$3&lt;=2028,WestCapBase,WestCap)*AH$4</f>
        <v>383.025325358264</v>
      </c>
      <c r="AI39" s="8" t="n">
        <f aca="false">IF(AI$3&lt;=2028,WestCapBase,WestCap)*AI$4</f>
        <v>390.685831865429</v>
      </c>
      <c r="AJ39" s="8" t="n">
        <f aca="false">IF(AJ$3&lt;=2028,WestCapBase,WestCap)*AJ$4</f>
        <v>398.499548502738</v>
      </c>
      <c r="AK39" s="8" t="n">
        <f aca="false">IF(AK$3&lt;=2028,WestCapBase,WestCap)*AK$4</f>
        <v>406.469539472793</v>
      </c>
      <c r="AL39" s="8" t="n">
        <f aca="false">IF(AL$3&lt;=2028,WestCapBase,WestCap)*AL$4</f>
        <v>414.598930262249</v>
      </c>
      <c r="AM39" s="8" t="n">
        <f aca="false">IF(AM$3&lt;=2028,WestCapBase,WestCap)*AM$4</f>
        <v>422.890908867494</v>
      </c>
      <c r="AN39" s="8" t="n">
        <f aca="false">IF(AN$3&lt;=2028,WestCapBase,WestCap)*AN$4</f>
        <v>431.348727044844</v>
      </c>
      <c r="AO39" s="8" t="n">
        <f aca="false">IF(AO$3&lt;=2028,WestCapBase,WestCap)*AO$4</f>
        <v>439.97570158574</v>
      </c>
      <c r="AP39" s="8" t="n">
        <f aca="false">IF(AP$3&lt;=2028,WestCapBase,WestCap)*AP$4</f>
        <v>448.775215617455</v>
      </c>
      <c r="AQ39" s="8" t="n">
        <f aca="false">IF(AQ$3&lt;=2028,WestCapBase,WestCap)*AQ$4</f>
        <v>457.750719929804</v>
      </c>
      <c r="AR39" s="8" t="n">
        <f aca="false">IF(AR$3&lt;=2028,WestCapBase,WestCap)*AR$4</f>
        <v>466.9057343284</v>
      </c>
      <c r="AS39" s="8" t="n">
        <f aca="false">IF(AS$3&lt;=2028,WestCapBase,WestCap)*AS$4</f>
        <v>476.243849014968</v>
      </c>
    </row>
    <row r="40" customFormat="false" ht="15" hidden="false" customHeight="false" outlineLevel="0" collapsed="false">
      <c r="A40" s="6" t="s">
        <v>312</v>
      </c>
      <c r="B40" s="6" t="s">
        <v>313</v>
      </c>
      <c r="G40" s="7" t="n">
        <f aca="false">(G$5+Inputs!$C$57)*G$4</f>
        <v>3.825</v>
      </c>
      <c r="H40" s="7" t="n">
        <f aca="false">(H$5+Inputs!$C$57)*H$4</f>
        <v>3.9015</v>
      </c>
      <c r="I40" s="7" t="n">
        <f aca="false">(I$5+Inputs!$C$57)*I$4</f>
        <v>4.0856508</v>
      </c>
      <c r="J40" s="7" t="n">
        <f aca="false">(J$5+Inputs!$C$57)*J$4</f>
        <v>4.167363816</v>
      </c>
      <c r="K40" s="7" t="n">
        <f aca="false">(K$5+Inputs!$C$57)*K$4</f>
        <v>4.25071109232</v>
      </c>
      <c r="L40" s="7" t="n">
        <f aca="false">(L$5+Inputs!$C$57)*L$4</f>
        <v>4.3357253141664</v>
      </c>
      <c r="M40" s="7" t="n">
        <f aca="false">(M$5+Inputs!$C$57)*M$4</f>
        <v>4.42243982044973</v>
      </c>
      <c r="N40" s="7" t="n">
        <f aca="false">(N$5+Inputs!$C$57)*N$4</f>
        <v>4.51088861685872</v>
      </c>
      <c r="O40" s="7" t="n">
        <f aca="false">(O$5+Inputs!$C$57)*O$4</f>
        <v>4.6011063891959</v>
      </c>
      <c r="P40" s="7" t="n">
        <f aca="false">(P$5+Inputs!$C$57)*P$4</f>
        <v>4.69312851697982</v>
      </c>
      <c r="Q40" s="7" t="n">
        <f aca="false">(Q$5+Inputs!$C$57)*Q$4</f>
        <v>4.78699108731941</v>
      </c>
      <c r="R40" s="7" t="n">
        <f aca="false">(R$5+Inputs!$C$57)*R$4</f>
        <v>4.8827309090658</v>
      </c>
      <c r="S40" s="7" t="n">
        <f aca="false">(S$5+Inputs!$C$57)*S$4</f>
        <v>4.98038552724712</v>
      </c>
      <c r="T40" s="7" t="n">
        <f aca="false">(T$5+Inputs!$C$57)*T$4</f>
        <v>5.07999323779206</v>
      </c>
      <c r="U40" s="7" t="n">
        <f aca="false">(U$5+Inputs!$C$57)*U$4</f>
        <v>5.1815931025479</v>
      </c>
      <c r="V40" s="7" t="n">
        <f aca="false">(V$5+Inputs!$C$57)*V$4</f>
        <v>5.28522496459886</v>
      </c>
      <c r="W40" s="7" t="n">
        <f aca="false">(W$5+Inputs!$C$57)*W$4</f>
        <v>5.39092946389084</v>
      </c>
      <c r="X40" s="7" t="n">
        <f aca="false">(X$5+Inputs!$C$57)*X$4</f>
        <v>5.49874805316865</v>
      </c>
      <c r="Y40" s="7" t="n">
        <f aca="false">(Y$5+Inputs!$C$57)*Y$4</f>
        <v>5.60872301423203</v>
      </c>
      <c r="Z40" s="7" t="n">
        <f aca="false">(Z$5+Inputs!$C$57)*Z$4</f>
        <v>5.72089747451667</v>
      </c>
      <c r="AA40" s="7" t="n">
        <f aca="false">(AA$5+Inputs!$C$57)*AA$4</f>
        <v>5.835315424007</v>
      </c>
      <c r="AB40" s="7" t="n">
        <f aca="false">(AB$5+Inputs!$C$57)*AB$4</f>
        <v>5.95202173248714</v>
      </c>
      <c r="AC40" s="7" t="n">
        <f aca="false">(AC$5+Inputs!$C$57)*AC$4</f>
        <v>6.07106216713688</v>
      </c>
      <c r="AD40" s="7" t="n">
        <f aca="false">(AD$5+Inputs!$C$57)*AD$4</f>
        <v>6.19248341047962</v>
      </c>
      <c r="AE40" s="7" t="n">
        <f aca="false">(AE$5+Inputs!$C$57)*AE$4</f>
        <v>6.31633307868921</v>
      </c>
      <c r="AF40" s="7" t="n">
        <f aca="false">(AF$5+Inputs!$C$57)*AF$4</f>
        <v>6.442659740263</v>
      </c>
      <c r="AG40" s="7" t="n">
        <f aca="false">(AG$5+Inputs!$C$57)*AG$4</f>
        <v>6.57151293506826</v>
      </c>
      <c r="AH40" s="7" t="n">
        <f aca="false">(AH$5+Inputs!$C$57)*AH$4</f>
        <v>6.70294319376962</v>
      </c>
      <c r="AI40" s="7" t="n">
        <f aca="false">(AI$5+Inputs!$C$57)*AI$4</f>
        <v>6.83700205764502</v>
      </c>
      <c r="AJ40" s="7" t="n">
        <f aca="false">(AJ$5+Inputs!$C$57)*AJ$4</f>
        <v>6.97374209879792</v>
      </c>
      <c r="AK40" s="7" t="n">
        <f aca="false">(AK$5+Inputs!$C$57)*AK$4</f>
        <v>7.11321694077387</v>
      </c>
      <c r="AL40" s="7" t="n">
        <f aca="false">(AL$5+Inputs!$C$57)*AL$4</f>
        <v>7.25548127958935</v>
      </c>
      <c r="AM40" s="7" t="n">
        <f aca="false">(AM$5+Inputs!$C$57)*AM$4</f>
        <v>7.40059090518114</v>
      </c>
      <c r="AN40" s="7" t="n">
        <f aca="false">(AN$5+Inputs!$C$57)*AN$4</f>
        <v>7.54860272328476</v>
      </c>
      <c r="AO40" s="7" t="n">
        <f aca="false">(AO$5+Inputs!$C$57)*AO$4</f>
        <v>7.69957477775046</v>
      </c>
      <c r="AP40" s="7" t="n">
        <f aca="false">(AP$5+Inputs!$C$57)*AP$4</f>
        <v>7.85356627330547</v>
      </c>
      <c r="AQ40" s="7" t="n">
        <f aca="false">(AQ$5+Inputs!$C$57)*AQ$4</f>
        <v>8.01063759877158</v>
      </c>
      <c r="AR40" s="7" t="n">
        <f aca="false">(AR$5+Inputs!$C$57)*AR$4</f>
        <v>8.17085035074701</v>
      </c>
      <c r="AS40" s="7" t="n">
        <f aca="false">(AS$5+Inputs!$C$57)*AS$4</f>
        <v>8.33426735776195</v>
      </c>
    </row>
    <row r="41" customFormat="false" ht="15" hidden="false" customHeight="false" outlineLevel="0" collapsed="false">
      <c r="A41" s="6" t="s">
        <v>314</v>
      </c>
      <c r="B41" s="6" t="s">
        <v>315</v>
      </c>
      <c r="G41" s="8" t="n">
        <f aca="false">IF(G$3&lt;=2028,IF(G$3=2027,FwdERC27,FwdERC28)*1,IF(G$3=2029,0.5*FwdERC29*1+0.5*$C$15*G$4,$C$15*G$4))</f>
        <v>49</v>
      </c>
      <c r="H41" s="8" t="n">
        <f aca="false">IF(H$3&lt;=2028,IF(H$3=2027,FwdERC27,FwdERC28)*1,IF(H$3=2029,0.5*FwdERC29*1+0.5*$C$15*H$4,$C$15*H$4))</f>
        <v>51</v>
      </c>
      <c r="I41" s="8" t="n">
        <f aca="false">IF(I$3&lt;=2028,IF(I$3=2027,FwdERC27,FwdERC28)*1,IF(I$3=2029,0.5*FwdERC29*1+0.5*$C$15*I$4,$C$15*I$4))</f>
        <v>52.5567302</v>
      </c>
      <c r="J41" s="8" t="n">
        <f aca="false">IF(J$3&lt;=2028,IF(J$3=2027,FwdERC27,FwdERC28)*1,IF(J$3=2029,0.5*FwdERC29*1+0.5*$C$15*J$4,$C$15*J$4))</f>
        <v>54.175729608</v>
      </c>
      <c r="K41" s="8" t="n">
        <f aca="false">IF(K$3&lt;=2028,IF(K$3=2027,FwdERC27,FwdERC28)*1,IF(K$3=2029,0.5*FwdERC29*1+0.5*$C$15*K$4,$C$15*K$4))</f>
        <v>55.25924420016</v>
      </c>
      <c r="L41" s="8" t="n">
        <f aca="false">IF(L$3&lt;=2028,IF(L$3=2027,FwdERC27,FwdERC28)*1,IF(L$3=2029,0.5*FwdERC29*1+0.5*$C$15*L$4,$C$15*L$4))</f>
        <v>56.3644290841632</v>
      </c>
      <c r="M41" s="8" t="n">
        <f aca="false">IF(M$3&lt;=2028,IF(M$3=2027,FwdERC27,FwdERC28)*1,IF(M$3=2029,0.5*FwdERC29*1+0.5*$C$15*M$4,$C$15*M$4))</f>
        <v>57.4917176658465</v>
      </c>
      <c r="N41" s="8" t="n">
        <f aca="false">IF(N$3&lt;=2028,IF(N$3=2027,FwdERC27,FwdERC28)*1,IF(N$3=2029,0.5*FwdERC29*1+0.5*$C$15*N$4,$C$15*N$4))</f>
        <v>58.6415520191634</v>
      </c>
      <c r="O41" s="8" t="n">
        <f aca="false">IF(O$3&lt;=2028,IF(O$3=2027,FwdERC27,FwdERC28)*1,IF(O$3=2029,0.5*FwdERC29*1+0.5*$C$15*O$4,$C$15*O$4))</f>
        <v>59.8143830595467</v>
      </c>
      <c r="P41" s="8" t="n">
        <f aca="false">IF(P$3&lt;=2028,IF(P$3=2027,FwdERC27,FwdERC28)*1,IF(P$3=2029,0.5*FwdERC29*1+0.5*$C$15*P$4,$C$15*P$4))</f>
        <v>61.0106707207376</v>
      </c>
      <c r="Q41" s="8" t="n">
        <f aca="false">IF(Q$3&lt;=2028,IF(Q$3=2027,FwdERC27,FwdERC28)*1,IF(Q$3=2029,0.5*FwdERC29*1+0.5*$C$15*Q$4,$C$15*Q$4))</f>
        <v>62.2308841351524</v>
      </c>
      <c r="R41" s="8" t="n">
        <f aca="false">IF(R$3&lt;=2028,IF(R$3=2027,FwdERC27,FwdERC28)*1,IF(R$3=2029,0.5*FwdERC29*1+0.5*$C$15*R$4,$C$15*R$4))</f>
        <v>63.4755018178554</v>
      </c>
      <c r="S41" s="8" t="n">
        <f aca="false">IF(S$3&lt;=2028,IF(S$3=2027,FwdERC27,FwdERC28)*1,IF(S$3=2029,0.5*FwdERC29*1+0.5*$C$15*S$4,$C$15*S$4))</f>
        <v>64.7450118542125</v>
      </c>
      <c r="T41" s="8" t="n">
        <f aca="false">IF(T$3&lt;=2028,IF(T$3=2027,FwdERC27,FwdERC28)*1,IF(T$3=2029,0.5*FwdERC29*1+0.5*$C$15*T$4,$C$15*T$4))</f>
        <v>66.0399120912968</v>
      </c>
      <c r="U41" s="8" t="n">
        <f aca="false">IF(U$3&lt;=2028,IF(U$3=2027,FwdERC27,FwdERC28)*1,IF(U$3=2029,0.5*FwdERC29*1+0.5*$C$15*U$4,$C$15*U$4))</f>
        <v>67.3607103331227</v>
      </c>
      <c r="V41" s="8" t="n">
        <f aca="false">IF(V$3&lt;=2028,IF(V$3=2027,FwdERC27,FwdERC28)*1,IF(V$3=2029,0.5*FwdERC29*1+0.5*$C$15*V$4,$C$15*V$4))</f>
        <v>68.7079245397852</v>
      </c>
      <c r="W41" s="8" t="n">
        <f aca="false">IF(W$3&lt;=2028,IF(W$3=2027,FwdERC27,FwdERC28)*1,IF(W$3=2029,0.5*FwdERC29*1+0.5*$C$15*W$4,$C$15*W$4))</f>
        <v>70.0820830305809</v>
      </c>
      <c r="X41" s="8" t="n">
        <f aca="false">IF(X$3&lt;=2028,IF(X$3=2027,FwdERC27,FwdERC28)*1,IF(X$3=2029,0.5*FwdERC29*1+0.5*$C$15*X$4,$C$15*X$4))</f>
        <v>71.4837246911925</v>
      </c>
      <c r="Y41" s="8" t="n">
        <f aca="false">IF(Y$3&lt;=2028,IF(Y$3=2027,FwdERC27,FwdERC28)*1,IF(Y$3=2029,0.5*FwdERC29*1+0.5*$C$15*Y$4,$C$15*Y$4))</f>
        <v>72.9133991850163</v>
      </c>
      <c r="Z41" s="8" t="n">
        <f aca="false">IF(Z$3&lt;=2028,IF(Z$3=2027,FwdERC27,FwdERC28)*1,IF(Z$3=2029,0.5*FwdERC29*1+0.5*$C$15*Z$4,$C$15*Z$4))</f>
        <v>74.3716671687167</v>
      </c>
      <c r="AA41" s="8" t="n">
        <f aca="false">IF(AA$3&lt;=2028,IF(AA$3=2027,FwdERC27,FwdERC28)*1,IF(AA$3=2029,0.5*FwdERC29*1+0.5*$C$15*AA$4,$C$15*AA$4))</f>
        <v>75.859100512091</v>
      </c>
      <c r="AB41" s="8" t="n">
        <f aca="false">IF(AB$3&lt;=2028,IF(AB$3=2027,FwdERC27,FwdERC28)*1,IF(AB$3=2029,0.5*FwdERC29*1+0.5*$C$15*AB$4,$C$15*AB$4))</f>
        <v>77.3762825223328</v>
      </c>
      <c r="AC41" s="8" t="n">
        <f aca="false">IF(AC$3&lt;=2028,IF(AC$3=2027,FwdERC27,FwdERC28)*1,IF(AC$3=2029,0.5*FwdERC29*1+0.5*$C$15*AC$4,$C$15*AC$4))</f>
        <v>78.9238081727795</v>
      </c>
      <c r="AD41" s="8" t="n">
        <f aca="false">IF(AD$3&lt;=2028,IF(AD$3=2027,FwdERC27,FwdERC28)*1,IF(AD$3=2029,0.5*FwdERC29*1+0.5*$C$15*AD$4,$C$15*AD$4))</f>
        <v>80.5022843362351</v>
      </c>
      <c r="AE41" s="8" t="n">
        <f aca="false">IF(AE$3&lt;=2028,IF(AE$3=2027,FwdERC27,FwdERC28)*1,IF(AE$3=2029,0.5*FwdERC29*1+0.5*$C$15*AE$4,$C$15*AE$4))</f>
        <v>82.1123300229598</v>
      </c>
      <c r="AF41" s="8" t="n">
        <f aca="false">IF(AF$3&lt;=2028,IF(AF$3=2027,FwdERC27,FwdERC28)*1,IF(AF$3=2029,0.5*FwdERC29*1+0.5*$C$15*AF$4,$C$15*AF$4))</f>
        <v>83.754576623419</v>
      </c>
      <c r="AG41" s="8" t="n">
        <f aca="false">IF(AG$3&lt;=2028,IF(AG$3=2027,FwdERC27,FwdERC28)*1,IF(AG$3=2029,0.5*FwdERC29*1+0.5*$C$15*AG$4,$C$15*AG$4))</f>
        <v>85.4296681558874</v>
      </c>
      <c r="AH41" s="8" t="n">
        <f aca="false">IF(AH$3&lt;=2028,IF(AH$3=2027,FwdERC27,FwdERC28)*1,IF(AH$3=2029,0.5*FwdERC29*1+0.5*$C$15*AH$4,$C$15*AH$4))</f>
        <v>87.1382615190051</v>
      </c>
      <c r="AI41" s="8" t="n">
        <f aca="false">IF(AI$3&lt;=2028,IF(AI$3=2027,FwdERC27,FwdERC28)*1,IF(AI$3=2029,0.5*FwdERC29*1+0.5*$C$15*AI$4,$C$15*AI$4))</f>
        <v>88.8810267493852</v>
      </c>
      <c r="AJ41" s="8" t="n">
        <f aca="false">IF(AJ$3&lt;=2028,IF(AJ$3=2027,FwdERC27,FwdERC28)*1,IF(AJ$3=2029,0.5*FwdERC29*1+0.5*$C$15*AJ$4,$C$15*AJ$4))</f>
        <v>90.6586472843729</v>
      </c>
      <c r="AK41" s="8" t="n">
        <f aca="false">IF(AK$3&lt;=2028,IF(AK$3=2027,FwdERC27,FwdERC28)*1,IF(AK$3=2029,0.5*FwdERC29*1+0.5*$C$15*AK$4,$C$15*AK$4))</f>
        <v>92.4718202300604</v>
      </c>
      <c r="AL41" s="8" t="n">
        <f aca="false">IF(AL$3&lt;=2028,IF(AL$3=2027,FwdERC27,FwdERC28)*1,IF(AL$3=2029,0.5*FwdERC29*1+0.5*$C$15*AL$4,$C$15*AL$4))</f>
        <v>94.3212566346616</v>
      </c>
      <c r="AM41" s="8" t="n">
        <f aca="false">IF(AM$3&lt;=2028,IF(AM$3=2027,FwdERC27,FwdERC28)*1,IF(AM$3=2029,0.5*FwdERC29*1+0.5*$C$15*AM$4,$C$15*AM$4))</f>
        <v>96.2076817673548</v>
      </c>
      <c r="AN41" s="8" t="n">
        <f aca="false">IF(AN$3&lt;=2028,IF(AN$3=2027,FwdERC27,FwdERC28)*1,IF(AN$3=2029,0.5*FwdERC29*1+0.5*$C$15*AN$4,$C$15*AN$4))</f>
        <v>98.1318354027019</v>
      </c>
      <c r="AO41" s="8" t="n">
        <f aca="false">IF(AO$3&lt;=2028,IF(AO$3=2027,FwdERC27,FwdERC28)*1,IF(AO$3=2029,0.5*FwdERC29*1+0.5*$C$15*AO$4,$C$15*AO$4))</f>
        <v>100.094472110756</v>
      </c>
      <c r="AP41" s="8" t="n">
        <f aca="false">IF(AP$3&lt;=2028,IF(AP$3=2027,FwdERC27,FwdERC28)*1,IF(AP$3=2029,0.5*FwdERC29*1+0.5*$C$15*AP$4,$C$15*AP$4))</f>
        <v>102.096361552971</v>
      </c>
      <c r="AQ41" s="8" t="n">
        <f aca="false">IF(AQ$3&lt;=2028,IF(AQ$3=2027,FwdERC27,FwdERC28)*1,IF(AQ$3=2029,0.5*FwdERC29*1+0.5*$C$15*AQ$4,$C$15*AQ$4))</f>
        <v>104.138288784031</v>
      </c>
      <c r="AR41" s="8" t="n">
        <f aca="false">IF(AR$3&lt;=2028,IF(AR$3=2027,FwdERC27,FwdERC28)*1,IF(AR$3=2029,0.5*FwdERC29*1+0.5*$C$15*AR$4,$C$15*AR$4))</f>
        <v>106.221054559711</v>
      </c>
      <c r="AS41" s="8" t="n">
        <f aca="false">IF(AS$3&lt;=2028,IF(AS$3=2027,FwdERC27,FwdERC28)*1,IF(AS$3=2029,0.5*FwdERC29*1+0.5*$C$15*AS$4,$C$15*AS$4))</f>
        <v>108.345475650905</v>
      </c>
    </row>
    <row r="42" customFormat="false" ht="15" hidden="false" customHeight="false" outlineLevel="0" collapsed="false">
      <c r="A42" s="6" t="s">
        <v>316</v>
      </c>
      <c r="B42" s="6" t="s">
        <v>317</v>
      </c>
      <c r="G42" s="8" t="n">
        <f aca="false">0</f>
        <v>0</v>
      </c>
      <c r="H42" s="8" t="n">
        <f aca="false">0</f>
        <v>0</v>
      </c>
      <c r="I42" s="8" t="n">
        <f aca="false">0</f>
        <v>0</v>
      </c>
      <c r="J42" s="8" t="n">
        <f aca="false">0</f>
        <v>0</v>
      </c>
      <c r="K42" s="8" t="n">
        <f aca="false">0</f>
        <v>0</v>
      </c>
      <c r="L42" s="8" t="n">
        <f aca="false">0</f>
        <v>0</v>
      </c>
      <c r="M42" s="8" t="n">
        <f aca="false">0</f>
        <v>0</v>
      </c>
      <c r="N42" s="8" t="n">
        <f aca="false">0</f>
        <v>0</v>
      </c>
      <c r="O42" s="8" t="n">
        <f aca="false">0</f>
        <v>0</v>
      </c>
      <c r="P42" s="8" t="n">
        <f aca="false">0</f>
        <v>0</v>
      </c>
      <c r="Q42" s="8" t="n">
        <f aca="false">0</f>
        <v>0</v>
      </c>
      <c r="R42" s="8" t="n">
        <f aca="false">0</f>
        <v>0</v>
      </c>
      <c r="S42" s="8" t="n">
        <f aca="false">0</f>
        <v>0</v>
      </c>
      <c r="T42" s="8" t="n">
        <f aca="false">0</f>
        <v>0</v>
      </c>
      <c r="U42" s="8" t="n">
        <f aca="false">0</f>
        <v>0</v>
      </c>
      <c r="V42" s="8" t="n">
        <f aca="false">0</f>
        <v>0</v>
      </c>
      <c r="W42" s="8" t="n">
        <f aca="false">0</f>
        <v>0</v>
      </c>
      <c r="X42" s="8" t="n">
        <f aca="false">0</f>
        <v>0</v>
      </c>
      <c r="Y42" s="8" t="n">
        <f aca="false">0</f>
        <v>0</v>
      </c>
      <c r="Z42" s="8" t="n">
        <f aca="false">0</f>
        <v>0</v>
      </c>
      <c r="AA42" s="8" t="n">
        <f aca="false">0</f>
        <v>0</v>
      </c>
      <c r="AB42" s="8" t="n">
        <f aca="false">0</f>
        <v>0</v>
      </c>
      <c r="AC42" s="8" t="n">
        <f aca="false">0</f>
        <v>0</v>
      </c>
      <c r="AD42" s="8" t="n">
        <f aca="false">0</f>
        <v>0</v>
      </c>
      <c r="AE42" s="8" t="n">
        <f aca="false">0</f>
        <v>0</v>
      </c>
      <c r="AF42" s="8" t="n">
        <f aca="false">0</f>
        <v>0</v>
      </c>
      <c r="AG42" s="8" t="n">
        <f aca="false">0</f>
        <v>0</v>
      </c>
      <c r="AH42" s="8" t="n">
        <f aca="false">0</f>
        <v>0</v>
      </c>
      <c r="AI42" s="8" t="n">
        <f aca="false">0</f>
        <v>0</v>
      </c>
      <c r="AJ42" s="8" t="n">
        <f aca="false">0</f>
        <v>0</v>
      </c>
      <c r="AK42" s="8" t="n">
        <f aca="false">0</f>
        <v>0</v>
      </c>
      <c r="AL42" s="8" t="n">
        <f aca="false">0</f>
        <v>0</v>
      </c>
      <c r="AM42" s="8" t="n">
        <f aca="false">0</f>
        <v>0</v>
      </c>
      <c r="AN42" s="8" t="n">
        <f aca="false">0</f>
        <v>0</v>
      </c>
      <c r="AO42" s="8" t="n">
        <f aca="false">0</f>
        <v>0</v>
      </c>
      <c r="AP42" s="8" t="n">
        <f aca="false">0</f>
        <v>0</v>
      </c>
      <c r="AQ42" s="8" t="n">
        <f aca="false">0</f>
        <v>0</v>
      </c>
      <c r="AR42" s="8" t="n">
        <f aca="false">0</f>
        <v>0</v>
      </c>
      <c r="AS42" s="8" t="n">
        <f aca="false">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4" min="2" style="0" width="11"/>
  </cols>
  <sheetData>
    <row r="1" customFormat="false" ht="60" hidden="false" customHeight="true" outlineLevel="0" collapsed="false">
      <c r="A1" s="3" t="s">
        <v>318</v>
      </c>
      <c r="B1" s="3" t="s">
        <v>151</v>
      </c>
      <c r="C1" s="3" t="s">
        <v>135</v>
      </c>
      <c r="D1" s="3" t="s">
        <v>319</v>
      </c>
      <c r="E1" s="3" t="s">
        <v>320</v>
      </c>
      <c r="F1" s="3" t="s">
        <v>321</v>
      </c>
      <c r="G1" s="3" t="s">
        <v>322</v>
      </c>
      <c r="H1" s="3" t="s">
        <v>323</v>
      </c>
      <c r="I1" s="3" t="s">
        <v>152</v>
      </c>
      <c r="J1" s="3" t="s">
        <v>153</v>
      </c>
      <c r="K1" s="3" t="s">
        <v>154</v>
      </c>
      <c r="L1" s="3" t="s">
        <v>155</v>
      </c>
      <c r="M1" s="3" t="s">
        <v>156</v>
      </c>
      <c r="N1" s="3" t="s">
        <v>157</v>
      </c>
      <c r="O1" s="3" t="s">
        <v>158</v>
      </c>
      <c r="P1" s="3" t="s">
        <v>159</v>
      </c>
      <c r="Q1" s="3" t="s">
        <v>160</v>
      </c>
      <c r="R1" s="3" t="s">
        <v>161</v>
      </c>
      <c r="S1" s="3" t="s">
        <v>162</v>
      </c>
      <c r="T1" s="3" t="s">
        <v>163</v>
      </c>
      <c r="U1" s="3" t="s">
        <v>324</v>
      </c>
      <c r="V1" s="3" t="s">
        <v>325</v>
      </c>
      <c r="W1" s="3" t="s">
        <v>326</v>
      </c>
      <c r="X1" s="3" t="s">
        <v>327</v>
      </c>
      <c r="Y1" s="3" t="s">
        <v>328</v>
      </c>
      <c r="Z1" s="3" t="s">
        <v>329</v>
      </c>
      <c r="AA1" s="3" t="s">
        <v>330</v>
      </c>
      <c r="AB1" s="3" t="s">
        <v>331</v>
      </c>
      <c r="AC1" s="3" t="s">
        <v>332</v>
      </c>
      <c r="AD1" s="3" t="s">
        <v>333</v>
      </c>
      <c r="AE1" s="3" t="s">
        <v>164</v>
      </c>
      <c r="AF1" s="3" t="s">
        <v>165</v>
      </c>
      <c r="AG1" s="3" t="s">
        <v>334</v>
      </c>
      <c r="AH1" s="3" t="s">
        <v>335</v>
      </c>
      <c r="AI1" s="3" t="s">
        <v>336</v>
      </c>
      <c r="AJ1" s="3" t="s">
        <v>169</v>
      </c>
      <c r="AK1" s="3" t="s">
        <v>337</v>
      </c>
      <c r="AL1" s="3" t="s">
        <v>338</v>
      </c>
      <c r="AM1" s="3" t="s">
        <v>339</v>
      </c>
      <c r="AN1" s="3" t="s">
        <v>340</v>
      </c>
      <c r="AO1" s="3" t="s">
        <v>341</v>
      </c>
      <c r="AP1" s="3" t="s">
        <v>342</v>
      </c>
      <c r="AQ1" s="3" t="s">
        <v>343</v>
      </c>
      <c r="AR1" s="3" t="s">
        <v>344</v>
      </c>
    </row>
    <row r="2" customFormat="false" ht="15" hidden="false" customHeight="false" outlineLevel="0" collapsed="false">
      <c r="A2" s="39" t="s">
        <v>345</v>
      </c>
      <c r="B2" s="39" t="s">
        <v>170</v>
      </c>
      <c r="C2" s="39" t="s">
        <v>141</v>
      </c>
      <c r="D2" s="38" t="n">
        <v>6430</v>
      </c>
      <c r="E2" s="36" t="n">
        <v>2027</v>
      </c>
      <c r="F2" s="36" t="n">
        <v>2055</v>
      </c>
      <c r="G2" s="36" t="n">
        <v>1979</v>
      </c>
      <c r="H2" s="39" t="s">
        <v>346</v>
      </c>
      <c r="I2" s="19" t="n">
        <f aca="false">Inputs!$B$61</f>
        <v>0.935</v>
      </c>
      <c r="J2" s="44" t="n">
        <f aca="false">Inputs!$F$50</f>
        <v>0.99</v>
      </c>
      <c r="K2" s="44" t="n">
        <f aca="false">Inputs!$D$61</f>
        <v>0</v>
      </c>
      <c r="M2" s="44" t="n">
        <f aca="false">Inputs!$F$61</f>
        <v>0</v>
      </c>
      <c r="N2" s="44" t="n">
        <f aca="false">Inputs!$G$61</f>
        <v>5.5</v>
      </c>
      <c r="O2" s="44" t="n">
        <f aca="false">Inputs!$H$61</f>
        <v>22.3</v>
      </c>
      <c r="P2" s="44" t="n">
        <f aca="false">Inputs!$I$61</f>
        <v>7.7</v>
      </c>
      <c r="Q2" s="19" t="n">
        <f aca="false">Inputs!$J$61</f>
        <v>0.025</v>
      </c>
      <c r="R2" s="45" t="n">
        <f aca="false">Inputs!$K$61</f>
        <v>0</v>
      </c>
      <c r="S2" s="45" t="n">
        <f aca="false">Inputs!$L$61</f>
        <v>0</v>
      </c>
      <c r="T2" s="19" t="n">
        <f aca="false">Inputs!$M$61</f>
        <v>0.95</v>
      </c>
      <c r="U2" s="35" t="n">
        <v>0</v>
      </c>
      <c r="V2" s="36" t="n">
        <v>2026</v>
      </c>
      <c r="W2" s="46" t="n">
        <f aca="false">Inputs!$R$61</f>
        <v>1</v>
      </c>
      <c r="X2" s="46" t="n">
        <f aca="false">Inputs!$P$61</f>
        <v>0</v>
      </c>
      <c r="Y2" s="46" t="n">
        <f aca="false">Inputs!$Q$61</f>
        <v>0</v>
      </c>
      <c r="Z2" s="38" t="n">
        <v>0</v>
      </c>
      <c r="AA2" s="36" t="n">
        <v>2026</v>
      </c>
      <c r="AB2" s="36" t="n">
        <v>2026</v>
      </c>
      <c r="AC2" s="36" t="n">
        <v>1</v>
      </c>
      <c r="AD2" s="35" t="n">
        <v>0</v>
      </c>
      <c r="AE2" s="19" t="n">
        <f aca="false">Inputs!$N$61</f>
        <v>0.08</v>
      </c>
      <c r="AF2" s="19" t="n">
        <f aca="false">Inputs!$O$61</f>
        <v>0.0675</v>
      </c>
      <c r="AG2" s="38" t="n">
        <v>0</v>
      </c>
      <c r="AH2" s="36" t="n">
        <v>2026</v>
      </c>
      <c r="AJ2" s="18" t="n">
        <f aca="false">NucRC</f>
        <v>4500</v>
      </c>
      <c r="AL2" s="20" t="n">
        <f aca="false">IF(ISNUMBER(AK2),AK2,MAX(0,MIN(1,(F2+1-ValDate)/(F2+1-G2))))</f>
        <v>0.37987012987013</v>
      </c>
      <c r="AM2" s="9" t="n">
        <f aca="false">D2*AJ2*AL2/1000</f>
        <v>10991.5422077922</v>
      </c>
      <c r="AN2" s="47" t="n">
        <f aca="false">MATCH("ATC|"&amp;C2,Prices!$A:$A,0)</f>
        <v>20</v>
      </c>
      <c r="AO2" s="47" t="n">
        <f aca="false">MATCH("GAS|"&amp;C2,Prices!$A:$A,0)</f>
        <v>19</v>
      </c>
      <c r="AP2" s="47" t="n">
        <f aca="false">MATCH("CAP|"&amp;C2,Prices!$A:$A,0)</f>
        <v>21</v>
      </c>
      <c r="AQ2" s="18" t="n">
        <f aca="false">CEG_Model!C61+CEG_Model!C62+CEG_Model!C63</f>
        <v>20063.9046853858</v>
      </c>
      <c r="AR2" s="9" t="n">
        <f aca="false">IF(D2=0,0,AQ2/D2*1000)</f>
        <v>3120.35842696513</v>
      </c>
    </row>
    <row r="3" customFormat="false" ht="15" hidden="false" customHeight="false" outlineLevel="0" collapsed="false">
      <c r="A3" s="39" t="s">
        <v>347</v>
      </c>
      <c r="B3" s="39" t="s">
        <v>170</v>
      </c>
      <c r="C3" s="39" t="s">
        <v>143</v>
      </c>
      <c r="D3" s="38" t="n">
        <v>10300</v>
      </c>
      <c r="E3" s="36" t="n">
        <v>2027</v>
      </c>
      <c r="F3" s="36" t="n">
        <v>2055</v>
      </c>
      <c r="G3" s="36" t="n">
        <v>1980</v>
      </c>
      <c r="H3" s="39" t="s">
        <v>346</v>
      </c>
      <c r="I3" s="19" t="n">
        <f aca="false">Inputs!$B$61</f>
        <v>0.935</v>
      </c>
      <c r="J3" s="44" t="n">
        <f aca="false">Inputs!$F$52</f>
        <v>0.99</v>
      </c>
      <c r="K3" s="44" t="n">
        <f aca="false">Inputs!$D$61</f>
        <v>0</v>
      </c>
      <c r="M3" s="44" t="n">
        <f aca="false">Inputs!$F$61</f>
        <v>0</v>
      </c>
      <c r="N3" s="44" t="n">
        <f aca="false">Inputs!$G$61</f>
        <v>5.5</v>
      </c>
      <c r="O3" s="44" t="n">
        <f aca="false">Inputs!$H$61</f>
        <v>22.3</v>
      </c>
      <c r="P3" s="44" t="n">
        <f aca="false">Inputs!$I$61</f>
        <v>7.7</v>
      </c>
      <c r="Q3" s="19" t="n">
        <f aca="false">Inputs!$J$61</f>
        <v>0.025</v>
      </c>
      <c r="R3" s="45" t="n">
        <f aca="false">Inputs!$K$61</f>
        <v>0</v>
      </c>
      <c r="S3" s="45" t="n">
        <f aca="false">Inputs!$L$61</f>
        <v>0</v>
      </c>
      <c r="T3" s="19" t="n">
        <f aca="false">Inputs!$M$61</f>
        <v>0.95</v>
      </c>
      <c r="U3" s="35" t="n">
        <v>0</v>
      </c>
      <c r="V3" s="36" t="n">
        <v>2026</v>
      </c>
      <c r="W3" s="46" t="n">
        <f aca="false">Inputs!$R$61</f>
        <v>1</v>
      </c>
      <c r="X3" s="46" t="n">
        <f aca="false">Inputs!$P$61</f>
        <v>0</v>
      </c>
      <c r="Y3" s="46" t="n">
        <f aca="false">Inputs!$Q$61</f>
        <v>0</v>
      </c>
      <c r="Z3" s="38" t="n">
        <v>920</v>
      </c>
      <c r="AA3" s="36" t="n">
        <v>2027</v>
      </c>
      <c r="AB3" s="36" t="n">
        <v>2046</v>
      </c>
      <c r="AC3" s="36" t="n">
        <v>1</v>
      </c>
      <c r="AD3" s="35" t="n">
        <v>85</v>
      </c>
      <c r="AE3" s="19" t="n">
        <f aca="false">Inputs!$N$61</f>
        <v>0.08</v>
      </c>
      <c r="AF3" s="19" t="n">
        <f aca="false">Inputs!$O$61</f>
        <v>0.0675</v>
      </c>
      <c r="AG3" s="38" t="n">
        <v>0</v>
      </c>
      <c r="AH3" s="36" t="n">
        <v>2026</v>
      </c>
      <c r="AJ3" s="18" t="n">
        <f aca="false">NucRC</f>
        <v>4500</v>
      </c>
      <c r="AL3" s="20" t="n">
        <f aca="false">IF(ISNUMBER(AK3),AK3,MAX(0,MIN(1,(F3+1-ValDate)/(F3+1-G3))))</f>
        <v>0.384868421052632</v>
      </c>
      <c r="AM3" s="9" t="n">
        <f aca="false">D3*AJ3*AL3/1000</f>
        <v>17838.6513157895</v>
      </c>
      <c r="AN3" s="47" t="n">
        <f aca="false">MATCH("ATC|"&amp;C3,Prices!$A:$A,0)</f>
        <v>26</v>
      </c>
      <c r="AO3" s="47" t="n">
        <f aca="false">MATCH("GAS|"&amp;C3,Prices!$A:$A,0)</f>
        <v>25</v>
      </c>
      <c r="AP3" s="47" t="n">
        <f aca="false">MATCH("CAP|"&amp;C3,Prices!$A:$A,0)</f>
        <v>27</v>
      </c>
      <c r="AQ3" s="18" t="n">
        <f aca="false">CEG_Model!C91+CEG_Model!C92+CEG_Model!C93</f>
        <v>24343.6111335964</v>
      </c>
      <c r="AR3" s="9" t="n">
        <f aca="false">IF(D3=0,0,AQ3/D3*1000)</f>
        <v>2363.4573916113</v>
      </c>
    </row>
    <row r="4" customFormat="false" ht="15" hidden="false" customHeight="false" outlineLevel="0" collapsed="false">
      <c r="A4" s="39" t="s">
        <v>348</v>
      </c>
      <c r="B4" s="39" t="s">
        <v>170</v>
      </c>
      <c r="C4" s="39" t="s">
        <v>144</v>
      </c>
      <c r="D4" s="38" t="n">
        <v>1080</v>
      </c>
      <c r="E4" s="36" t="n">
        <v>2027</v>
      </c>
      <c r="F4" s="36" t="n">
        <v>2055</v>
      </c>
      <c r="G4" s="36" t="n">
        <v>1987</v>
      </c>
      <c r="H4" s="39" t="s">
        <v>346</v>
      </c>
      <c r="I4" s="19" t="n">
        <f aca="false">Inputs!$B$61</f>
        <v>0.935</v>
      </c>
      <c r="J4" s="44" t="n">
        <f aca="false">Inputs!$F$53</f>
        <v>0.99</v>
      </c>
      <c r="K4" s="44" t="n">
        <f aca="false">Inputs!$D$61</f>
        <v>0</v>
      </c>
      <c r="M4" s="44" t="n">
        <f aca="false">Inputs!$F$61</f>
        <v>0</v>
      </c>
      <c r="N4" s="44" t="n">
        <f aca="false">Inputs!$G$61</f>
        <v>5.5</v>
      </c>
      <c r="O4" s="44" t="n">
        <f aca="false">Inputs!$H$61</f>
        <v>22.3</v>
      </c>
      <c r="P4" s="44" t="n">
        <f aca="false">Inputs!$I$61</f>
        <v>7.7</v>
      </c>
      <c r="Q4" s="19" t="n">
        <f aca="false">Inputs!$J$61</f>
        <v>0.025</v>
      </c>
      <c r="R4" s="45" t="n">
        <f aca="false">Inputs!$K$61</f>
        <v>0</v>
      </c>
      <c r="S4" s="45" t="n">
        <f aca="false">Inputs!$L$61</f>
        <v>0</v>
      </c>
      <c r="T4" s="19" t="n">
        <f aca="false">Inputs!$M$61</f>
        <v>0.95</v>
      </c>
      <c r="U4" s="35" t="n">
        <v>0</v>
      </c>
      <c r="V4" s="36" t="n">
        <v>2026</v>
      </c>
      <c r="W4" s="46" t="n">
        <f aca="false">Inputs!$R$61</f>
        <v>1</v>
      </c>
      <c r="X4" s="46" t="n">
        <f aca="false">Inputs!$P$61</f>
        <v>0</v>
      </c>
      <c r="Y4" s="46" t="n">
        <f aca="false">Inputs!$Q$61</f>
        <v>0</v>
      </c>
      <c r="Z4" s="38" t="n">
        <v>1080</v>
      </c>
      <c r="AA4" s="36" t="n">
        <v>2027</v>
      </c>
      <c r="AB4" s="36" t="n">
        <v>2046</v>
      </c>
      <c r="AC4" s="36" t="n">
        <v>1</v>
      </c>
      <c r="AD4" s="35" t="n">
        <v>80</v>
      </c>
      <c r="AE4" s="19" t="n">
        <f aca="false">Inputs!$N$61</f>
        <v>0.08</v>
      </c>
      <c r="AF4" s="19" t="n">
        <f aca="false">Inputs!$O$61</f>
        <v>0.0675</v>
      </c>
      <c r="AG4" s="38" t="n">
        <v>0</v>
      </c>
      <c r="AH4" s="36" t="n">
        <v>2026</v>
      </c>
      <c r="AJ4" s="18" t="n">
        <f aca="false">NucRC</f>
        <v>4500</v>
      </c>
      <c r="AL4" s="20" t="n">
        <f aca="false">IF(ISNUMBER(AK4),AK4,MAX(0,MIN(1,(F4+1-ValDate)/(F4+1-G4))))</f>
        <v>0.423913043478261</v>
      </c>
      <c r="AM4" s="9" t="n">
        <f aca="false">D4*AJ4*AL4/1000</f>
        <v>2060.21739130435</v>
      </c>
      <c r="AN4" s="47" t="n">
        <f aca="false">MATCH("ATC|"&amp;C4,Prices!$A:$A,0)</f>
        <v>29</v>
      </c>
      <c r="AO4" s="47" t="n">
        <f aca="false">MATCH("GAS|"&amp;C4,Prices!$A:$A,0)</f>
        <v>28</v>
      </c>
      <c r="AP4" s="47" t="n">
        <f aca="false">MATCH("CAP|"&amp;C4,Prices!$A:$A,0)</f>
        <v>30</v>
      </c>
      <c r="AQ4" s="18" t="n">
        <f aca="false">CEG_Model!C121+CEG_Model!C122+CEG_Model!C123</f>
        <v>3012.47729257804</v>
      </c>
      <c r="AR4" s="9" t="n">
        <f aca="false">IF(D4=0,0,AQ4/D4*1000)</f>
        <v>2789.33082646115</v>
      </c>
    </row>
    <row r="5" customFormat="false" ht="15" hidden="false" customHeight="false" outlineLevel="0" collapsed="false">
      <c r="A5" s="39" t="s">
        <v>349</v>
      </c>
      <c r="B5" s="39" t="s">
        <v>170</v>
      </c>
      <c r="C5" s="39" t="s">
        <v>145</v>
      </c>
      <c r="D5" s="38" t="n">
        <v>3000</v>
      </c>
      <c r="E5" s="36" t="n">
        <v>2027</v>
      </c>
      <c r="F5" s="36" t="n">
        <v>2055</v>
      </c>
      <c r="G5" s="36" t="n">
        <v>1974</v>
      </c>
      <c r="H5" s="39" t="s">
        <v>346</v>
      </c>
      <c r="I5" s="19" t="n">
        <f aca="false">Inputs!$B$61</f>
        <v>0.935</v>
      </c>
      <c r="J5" s="44" t="n">
        <f aca="false">Inputs!$F$54</f>
        <v>0.99</v>
      </c>
      <c r="K5" s="44" t="n">
        <f aca="false">Inputs!$D$61</f>
        <v>0</v>
      </c>
      <c r="M5" s="44" t="n">
        <f aca="false">Inputs!$F$61</f>
        <v>0</v>
      </c>
      <c r="N5" s="44" t="n">
        <f aca="false">Inputs!$G$61</f>
        <v>5.5</v>
      </c>
      <c r="O5" s="44" t="n">
        <f aca="false">Inputs!$H$61</f>
        <v>22.3</v>
      </c>
      <c r="P5" s="44" t="n">
        <f aca="false">Inputs!$I$61</f>
        <v>7.7</v>
      </c>
      <c r="Q5" s="19" t="n">
        <f aca="false">Inputs!$J$61</f>
        <v>0.025</v>
      </c>
      <c r="R5" s="45" t="n">
        <f aca="false">Inputs!$K$61</f>
        <v>0</v>
      </c>
      <c r="S5" s="45" t="n">
        <f aca="false">Inputs!$L$61</f>
        <v>0</v>
      </c>
      <c r="T5" s="19" t="n">
        <f aca="false">Inputs!$M$61</f>
        <v>0.95</v>
      </c>
      <c r="U5" s="35" t="n">
        <v>18</v>
      </c>
      <c r="V5" s="36" t="n">
        <v>2029</v>
      </c>
      <c r="W5" s="46" t="n">
        <f aca="false">Inputs!$R$61</f>
        <v>1</v>
      </c>
      <c r="X5" s="46" t="n">
        <f aca="false">Inputs!$P$61</f>
        <v>0</v>
      </c>
      <c r="Y5" s="46" t="n">
        <f aca="false">Inputs!$Q$61</f>
        <v>0</v>
      </c>
      <c r="Z5" s="38" t="n">
        <v>0</v>
      </c>
      <c r="AA5" s="36" t="n">
        <v>2026</v>
      </c>
      <c r="AB5" s="36" t="n">
        <v>2026</v>
      </c>
      <c r="AC5" s="36" t="n">
        <v>1</v>
      </c>
      <c r="AD5" s="35" t="n">
        <v>0</v>
      </c>
      <c r="AE5" s="19" t="n">
        <f aca="false">Inputs!$N$61</f>
        <v>0.08</v>
      </c>
      <c r="AF5" s="19" t="n">
        <f aca="false">Inputs!$O$61</f>
        <v>0.0675</v>
      </c>
      <c r="AG5" s="38" t="n">
        <v>0</v>
      </c>
      <c r="AH5" s="36" t="n">
        <v>2026</v>
      </c>
      <c r="AJ5" s="18" t="n">
        <f aca="false">NucRC</f>
        <v>4500</v>
      </c>
      <c r="AL5" s="20" t="n">
        <f aca="false">IF(ISNUMBER(AK5),AK5,MAX(0,MIN(1,(F5+1-ValDate)/(F5+1-G5))))</f>
        <v>0.356707317073171</v>
      </c>
      <c r="AM5" s="9" t="n">
        <f aca="false">D5*AJ5*AL5/1000</f>
        <v>4815.54878048781</v>
      </c>
      <c r="AN5" s="47" t="n">
        <f aca="false">MATCH("ATC|"&amp;C5,Prices!$A:$A,0)</f>
        <v>32</v>
      </c>
      <c r="AO5" s="47" t="n">
        <f aca="false">MATCH("GAS|"&amp;C5,Prices!$A:$A,0)</f>
        <v>31</v>
      </c>
      <c r="AP5" s="47" t="n">
        <f aca="false">MATCH("CAP|"&amp;C5,Prices!$A:$A,0)</f>
        <v>33</v>
      </c>
      <c r="AQ5" s="18" t="n">
        <f aca="false">CEG_Model!C151+CEG_Model!C152+CEG_Model!C153</f>
        <v>7040.16866764609</v>
      </c>
      <c r="AR5" s="9" t="n">
        <f aca="false">IF(D5=0,0,AQ5/D5*1000)</f>
        <v>2346.72288921536</v>
      </c>
    </row>
    <row r="6" customFormat="false" ht="15" hidden="false" customHeight="false" outlineLevel="0" collapsed="false">
      <c r="A6" s="39" t="s">
        <v>350</v>
      </c>
      <c r="B6" s="39" t="s">
        <v>170</v>
      </c>
      <c r="C6" s="39" t="s">
        <v>148</v>
      </c>
      <c r="D6" s="38" t="n">
        <v>1165</v>
      </c>
      <c r="E6" s="36" t="n">
        <v>2027</v>
      </c>
      <c r="F6" s="36" t="n">
        <v>2055</v>
      </c>
      <c r="G6" s="36" t="n">
        <v>1988</v>
      </c>
      <c r="H6" s="39" t="s">
        <v>346</v>
      </c>
      <c r="I6" s="19" t="n">
        <f aca="false">Inputs!$B$61</f>
        <v>0.935</v>
      </c>
      <c r="J6" s="44" t="n">
        <f aca="false">Inputs!$F$57</f>
        <v>0.95</v>
      </c>
      <c r="K6" s="44" t="n">
        <f aca="false">Inputs!$D$61</f>
        <v>0</v>
      </c>
      <c r="M6" s="44" t="n">
        <f aca="false">Inputs!$F$61</f>
        <v>0</v>
      </c>
      <c r="N6" s="44" t="n">
        <f aca="false">Inputs!$G$61</f>
        <v>5.5</v>
      </c>
      <c r="O6" s="44" t="n">
        <f aca="false">Inputs!$H$61</f>
        <v>22.3</v>
      </c>
      <c r="P6" s="44" t="n">
        <f aca="false">Inputs!$I$61</f>
        <v>7.7</v>
      </c>
      <c r="Q6" s="19" t="n">
        <f aca="false">Inputs!$J$61</f>
        <v>0.025</v>
      </c>
      <c r="R6" s="45" t="n">
        <f aca="false">Inputs!$K$61</f>
        <v>0</v>
      </c>
      <c r="S6" s="45" t="n">
        <f aca="false">Inputs!$L$61</f>
        <v>0</v>
      </c>
      <c r="T6" s="19" t="n">
        <f aca="false">Inputs!$M$61</f>
        <v>0.95</v>
      </c>
      <c r="U6" s="35" t="n">
        <v>0</v>
      </c>
      <c r="V6" s="36" t="n">
        <v>2026</v>
      </c>
      <c r="W6" s="46" t="n">
        <f aca="false">Inputs!$R$61</f>
        <v>1</v>
      </c>
      <c r="X6" s="46" t="n">
        <f aca="false">Inputs!$P$61</f>
        <v>0</v>
      </c>
      <c r="Y6" s="46" t="n">
        <f aca="false">Inputs!$Q$61</f>
        <v>0</v>
      </c>
      <c r="Z6" s="38" t="n">
        <v>0</v>
      </c>
      <c r="AA6" s="36" t="n">
        <v>2026</v>
      </c>
      <c r="AB6" s="36" t="n">
        <v>2026</v>
      </c>
      <c r="AC6" s="36" t="n">
        <v>1</v>
      </c>
      <c r="AD6" s="35" t="n">
        <v>0</v>
      </c>
      <c r="AE6" s="19" t="n">
        <f aca="false">Inputs!$N$61</f>
        <v>0.08</v>
      </c>
      <c r="AF6" s="19" t="n">
        <f aca="false">Inputs!$O$61</f>
        <v>0.0675</v>
      </c>
      <c r="AG6" s="38" t="n">
        <v>0</v>
      </c>
      <c r="AH6" s="36" t="n">
        <v>2026</v>
      </c>
      <c r="AJ6" s="18" t="n">
        <f aca="false">NucRC</f>
        <v>4500</v>
      </c>
      <c r="AL6" s="20" t="n">
        <f aca="false">IF(ISNUMBER(AK6),AK6,MAX(0,MIN(1,(F6+1-ValDate)/(F6+1-G6))))</f>
        <v>0.430147058823529</v>
      </c>
      <c r="AM6" s="9" t="n">
        <f aca="false">D6*AJ6*AL6/1000</f>
        <v>2255.04595588235</v>
      </c>
      <c r="AN6" s="47" t="n">
        <f aca="false">MATCH("ATC|"&amp;C6,Prices!$A:$A,0)</f>
        <v>41</v>
      </c>
      <c r="AO6" s="47" t="n">
        <f aca="false">MATCH("GAS|"&amp;C6,Prices!$A:$A,0)</f>
        <v>40</v>
      </c>
      <c r="AP6" s="47" t="n">
        <f aca="false">MATCH("CAP|"&amp;C6,Prices!$A:$A,0)</f>
        <v>42</v>
      </c>
      <c r="AQ6" s="18" t="n">
        <f aca="false">CEG_Model!C181+CEG_Model!C182+CEG_Model!C183</f>
        <v>1049.53056230452</v>
      </c>
      <c r="AR6" s="9" t="n">
        <f aca="false">IF(D6=0,0,AQ6/D6*1000)</f>
        <v>900.8846028365</v>
      </c>
    </row>
    <row r="7" customFormat="false" ht="15" hidden="false" customHeight="false" outlineLevel="0" collapsed="false">
      <c r="A7" s="39" t="s">
        <v>351</v>
      </c>
      <c r="B7" s="39" t="s">
        <v>170</v>
      </c>
      <c r="C7" s="39" t="s">
        <v>141</v>
      </c>
      <c r="D7" s="38" t="n">
        <v>835</v>
      </c>
      <c r="E7" s="36" t="n">
        <v>2028</v>
      </c>
      <c r="F7" s="36" t="n">
        <v>2054</v>
      </c>
      <c r="G7" s="36" t="n">
        <v>1974</v>
      </c>
      <c r="H7" s="39" t="s">
        <v>346</v>
      </c>
      <c r="I7" s="19" t="n">
        <f aca="false">Inputs!$B$61</f>
        <v>0.935</v>
      </c>
      <c r="J7" s="44" t="n">
        <f aca="false">Inputs!$F$50</f>
        <v>0.99</v>
      </c>
      <c r="K7" s="44" t="n">
        <f aca="false">Inputs!$D$61</f>
        <v>0</v>
      </c>
      <c r="M7" s="44" t="n">
        <f aca="false">Inputs!$F$61</f>
        <v>0</v>
      </c>
      <c r="N7" s="44" t="n">
        <f aca="false">Inputs!$G$61</f>
        <v>5.5</v>
      </c>
      <c r="O7" s="44" t="n">
        <f aca="false">Inputs!$H$61</f>
        <v>22.3</v>
      </c>
      <c r="P7" s="44" t="n">
        <f aca="false">Inputs!$I$61</f>
        <v>7.7</v>
      </c>
      <c r="Q7" s="19" t="n">
        <f aca="false">Inputs!$J$61</f>
        <v>0.025</v>
      </c>
      <c r="R7" s="45" t="n">
        <f aca="false">Inputs!$K$61</f>
        <v>0</v>
      </c>
      <c r="S7" s="45" t="n">
        <f aca="false">Inputs!$L$61</f>
        <v>0</v>
      </c>
      <c r="T7" s="19" t="n">
        <f aca="false">Inputs!$M$61</f>
        <v>0.95</v>
      </c>
      <c r="U7" s="35" t="n">
        <v>0</v>
      </c>
      <c r="V7" s="36" t="n">
        <v>2026</v>
      </c>
      <c r="W7" s="46" t="n">
        <f aca="false">Inputs!$R$61</f>
        <v>1</v>
      </c>
      <c r="X7" s="46" t="n">
        <f aca="false">Inputs!$P$61</f>
        <v>0</v>
      </c>
      <c r="Y7" s="46" t="n">
        <f aca="false">Inputs!$Q$61</f>
        <v>0</v>
      </c>
      <c r="Z7" s="38" t="n">
        <v>835</v>
      </c>
      <c r="AA7" s="36" t="n">
        <v>2028</v>
      </c>
      <c r="AB7" s="36" t="n">
        <v>2047</v>
      </c>
      <c r="AC7" s="36" t="n">
        <v>1</v>
      </c>
      <c r="AD7" s="35" t="n">
        <v>100</v>
      </c>
      <c r="AE7" s="19" t="n">
        <f aca="false">Inputs!$N$61</f>
        <v>0.08</v>
      </c>
      <c r="AF7" s="19" t="n">
        <f aca="false">Inputs!$O$61</f>
        <v>0.0675</v>
      </c>
      <c r="AG7" s="38" t="n">
        <v>500</v>
      </c>
      <c r="AH7" s="36" t="n">
        <v>2027</v>
      </c>
      <c r="AJ7" s="18" t="n">
        <f aca="false">NucRC</f>
        <v>4500</v>
      </c>
      <c r="AL7" s="20" t="n">
        <f aca="false">IF(ISNUMBER(AK7),AK7,MAX(0,MIN(1,(F7+1-ValDate)/(F7+1-G7))))</f>
        <v>0.348765432098765</v>
      </c>
      <c r="AM7" s="9" t="n">
        <f aca="false">D7*AJ7*AL7/1000</f>
        <v>1310.48611111111</v>
      </c>
      <c r="AN7" s="47" t="n">
        <f aca="false">MATCH("ATC|"&amp;C7,Prices!$A:$A,0)</f>
        <v>20</v>
      </c>
      <c r="AO7" s="47" t="n">
        <f aca="false">MATCH("GAS|"&amp;C7,Prices!$A:$A,0)</f>
        <v>19</v>
      </c>
      <c r="AP7" s="47" t="n">
        <f aca="false">MATCH("CAP|"&amp;C7,Prices!$A:$A,0)</f>
        <v>21</v>
      </c>
      <c r="AQ7" s="18" t="n">
        <f aca="false">CEG_Model!C211+CEG_Model!C212+CEG_Model!C213</f>
        <v>2982.99661564092</v>
      </c>
      <c r="AR7" s="9" t="n">
        <f aca="false">IF(D7=0,0,AQ7/D7*1000)</f>
        <v>3572.45103669571</v>
      </c>
    </row>
    <row r="8" customFormat="false" ht="15" hidden="false" customHeight="false" outlineLevel="0" collapsed="false">
      <c r="A8" s="39" t="s">
        <v>352</v>
      </c>
      <c r="B8" s="39" t="s">
        <v>174</v>
      </c>
      <c r="C8" s="39" t="s">
        <v>141</v>
      </c>
      <c r="D8" s="38" t="n">
        <v>1642</v>
      </c>
      <c r="E8" s="36" t="n">
        <v>2027</v>
      </c>
      <c r="F8" s="36" t="n">
        <v>2055</v>
      </c>
      <c r="G8" s="36"/>
      <c r="H8" s="39" t="s">
        <v>346</v>
      </c>
      <c r="I8" s="19" t="n">
        <f aca="false">Inputs!$B$65</f>
        <v>0.2</v>
      </c>
      <c r="J8" s="44" t="n">
        <f aca="false">Inputs!$C$65</f>
        <v>1.3</v>
      </c>
      <c r="K8" s="44" t="n">
        <f aca="false">Inputs!$D$65</f>
        <v>0</v>
      </c>
      <c r="M8" s="44" t="n">
        <f aca="false">Inputs!$F$65</f>
        <v>0</v>
      </c>
      <c r="N8" s="44" t="n">
        <f aca="false">Inputs!$G$65</f>
        <v>0</v>
      </c>
      <c r="O8" s="44" t="n">
        <f aca="false">Inputs!$H$65</f>
        <v>0</v>
      </c>
      <c r="P8" s="44" t="n">
        <f aca="false">Inputs!$I$65</f>
        <v>0</v>
      </c>
      <c r="Q8" s="19" t="n">
        <f aca="false">Inputs!$J$65</f>
        <v>0</v>
      </c>
      <c r="R8" s="45" t="n">
        <f aca="false">Inputs!$K$65</f>
        <v>40</v>
      </c>
      <c r="S8" s="45" t="n">
        <f aca="false">Inputs!$L$65</f>
        <v>0</v>
      </c>
      <c r="T8" s="19" t="n">
        <f aca="false">Inputs!$M$65</f>
        <v>0.7</v>
      </c>
      <c r="U8" s="35" t="n">
        <v>0</v>
      </c>
      <c r="V8" s="36" t="n">
        <v>2026</v>
      </c>
      <c r="W8" s="46" t="n">
        <f aca="false">Inputs!$R$65</f>
        <v>0</v>
      </c>
      <c r="X8" s="46" t="n">
        <f aca="false">Inputs!$P$65</f>
        <v>0</v>
      </c>
      <c r="Y8" s="46" t="n">
        <f aca="false">Inputs!$Q$65</f>
        <v>0</v>
      </c>
      <c r="Z8" s="38" t="n">
        <v>0</v>
      </c>
      <c r="AA8" s="36" t="n">
        <v>2026</v>
      </c>
      <c r="AB8" s="36" t="n">
        <v>2026</v>
      </c>
      <c r="AC8" s="36" t="n">
        <v>1</v>
      </c>
      <c r="AD8" s="35" t="n">
        <v>0</v>
      </c>
      <c r="AE8" s="19" t="n">
        <f aca="false">Inputs!$N$65</f>
        <v>0.08</v>
      </c>
      <c r="AF8" s="19" t="n">
        <f aca="false">Inputs!$O$65</f>
        <v>0.08</v>
      </c>
      <c r="AG8" s="38" t="n">
        <v>0</v>
      </c>
      <c r="AH8" s="36" t="n">
        <v>2026</v>
      </c>
      <c r="AJ8" s="18" t="n">
        <f aca="false">Inputs!$S$65</f>
        <v>3500</v>
      </c>
      <c r="AK8" s="33" t="n">
        <v>0.5</v>
      </c>
      <c r="AL8" s="20" t="n">
        <f aca="false">IF(ISNUMBER(AK8),AK8,MAX(0,MIN(1,(F8+1-ValDate)/(F8+1-G8))))</f>
        <v>0.5</v>
      </c>
      <c r="AM8" s="9" t="n">
        <f aca="false">D8*AJ8*AL8/1000</f>
        <v>2873.5</v>
      </c>
      <c r="AN8" s="47" t="n">
        <f aca="false">MATCH("ATC|"&amp;C8,Prices!$A:$A,0)</f>
        <v>20</v>
      </c>
      <c r="AO8" s="47" t="n">
        <f aca="false">MATCH("GAS|"&amp;C8,Prices!$A:$A,0)</f>
        <v>19</v>
      </c>
      <c r="AP8" s="47" t="n">
        <f aca="false">MATCH("CAP|"&amp;C8,Prices!$A:$A,0)</f>
        <v>21</v>
      </c>
      <c r="AQ8" s="18" t="n">
        <f aca="false">CEG_Model!C241+CEG_Model!C242+CEG_Model!C243</f>
        <v>3003.58689757029</v>
      </c>
      <c r="AR8" s="9" t="n">
        <f aca="false">IF(D8=0,0,AQ8/D8*1000)</f>
        <v>1829.2246635629</v>
      </c>
    </row>
    <row r="9" customFormat="false" ht="15" hidden="false" customHeight="false" outlineLevel="0" collapsed="false">
      <c r="A9" s="39" t="s">
        <v>353</v>
      </c>
      <c r="B9" s="39" t="s">
        <v>176</v>
      </c>
      <c r="C9" s="39" t="s">
        <v>141</v>
      </c>
      <c r="D9" s="38" t="n">
        <v>1900</v>
      </c>
      <c r="E9" s="36" t="n">
        <v>2027</v>
      </c>
      <c r="F9" s="36" t="n">
        <v>2026</v>
      </c>
      <c r="G9" s="36"/>
      <c r="H9" s="39" t="s">
        <v>181</v>
      </c>
      <c r="I9" s="39" t="n">
        <v>0</v>
      </c>
      <c r="J9" s="39" t="n">
        <v>0</v>
      </c>
      <c r="K9" s="39" t="n">
        <v>0</v>
      </c>
      <c r="M9" s="39" t="n">
        <v>0</v>
      </c>
      <c r="N9" s="39" t="n">
        <v>0</v>
      </c>
      <c r="O9" s="39" t="n">
        <v>0</v>
      </c>
      <c r="P9" s="39" t="n">
        <v>0</v>
      </c>
      <c r="Q9" s="39" t="n">
        <v>0</v>
      </c>
      <c r="R9" s="39" t="n">
        <v>0</v>
      </c>
      <c r="S9" s="39" t="n">
        <v>0</v>
      </c>
      <c r="T9" s="39" t="n">
        <v>0</v>
      </c>
      <c r="U9" s="39" t="n">
        <v>0</v>
      </c>
      <c r="V9" s="36" t="n">
        <v>2026</v>
      </c>
      <c r="W9" s="39" t="n">
        <v>0</v>
      </c>
      <c r="X9" s="39" t="n">
        <v>0</v>
      </c>
      <c r="Y9" s="39" t="n">
        <v>0</v>
      </c>
      <c r="Z9" s="39" t="n">
        <v>0</v>
      </c>
      <c r="AA9" s="36" t="n">
        <v>2026</v>
      </c>
      <c r="AB9" s="36" t="n">
        <v>2026</v>
      </c>
      <c r="AC9" s="39" t="n">
        <v>1</v>
      </c>
      <c r="AD9" s="39" t="n">
        <v>0</v>
      </c>
      <c r="AE9" s="33" t="n">
        <v>0.08</v>
      </c>
      <c r="AF9" s="33" t="n">
        <v>0.08</v>
      </c>
      <c r="AG9" s="39" t="n">
        <v>0</v>
      </c>
      <c r="AH9" s="36" t="n">
        <v>2026</v>
      </c>
      <c r="AI9" s="38" t="n">
        <v>450</v>
      </c>
      <c r="AJ9" s="18" t="n">
        <f aca="false">Inputs!$S$67</f>
        <v>1600</v>
      </c>
      <c r="AK9" s="33" t="n">
        <v>0.35</v>
      </c>
      <c r="AL9" s="20" t="n">
        <f aca="false">IF(ISNUMBER(AK9),AK9,MAX(0,MIN(1,(F9+1-ValDate)/(F9+1-G9))))</f>
        <v>0.35</v>
      </c>
      <c r="AM9" s="9" t="n">
        <f aca="false">D9*AJ9*AL9/1000</f>
        <v>1064</v>
      </c>
      <c r="AN9" s="47" t="n">
        <f aca="false">MATCH("ATC|"&amp;C9,Prices!$A:$A,0)</f>
        <v>20</v>
      </c>
      <c r="AO9" s="47" t="n">
        <f aca="false">MATCH("GAS|"&amp;C9,Prices!$A:$A,0)</f>
        <v>19</v>
      </c>
      <c r="AP9" s="47" t="n">
        <f aca="false">MATCH("CAP|"&amp;C9,Prices!$A:$A,0)</f>
        <v>21</v>
      </c>
      <c r="AQ9" s="18" t="n">
        <f aca="false">CEG_Model!C271+CEG_Model!C272+CEG_Model!C273</f>
        <v>855</v>
      </c>
      <c r="AR9" s="9" t="n">
        <f aca="false">IF(D9=0,0,AQ9/D9*1000)</f>
        <v>450</v>
      </c>
    </row>
    <row r="10" customFormat="false" ht="15" hidden="false" customHeight="false" outlineLevel="0" collapsed="false">
      <c r="A10" s="39" t="s">
        <v>354</v>
      </c>
      <c r="B10" s="39" t="s">
        <v>171</v>
      </c>
      <c r="C10" s="39" t="s">
        <v>148</v>
      </c>
      <c r="D10" s="38" t="n">
        <v>2300</v>
      </c>
      <c r="E10" s="36" t="n">
        <v>2027</v>
      </c>
      <c r="F10" s="36" t="n">
        <v>2050</v>
      </c>
      <c r="G10" s="36" t="n">
        <v>2017</v>
      </c>
      <c r="H10" s="39" t="s">
        <v>346</v>
      </c>
      <c r="I10" s="19" t="n">
        <f aca="false">Inputs!$D$57</f>
        <v>0.55</v>
      </c>
      <c r="J10" s="44" t="n">
        <f aca="false">Inputs!$E$57</f>
        <v>1.2</v>
      </c>
      <c r="K10" s="44" t="n">
        <f aca="false">Inputs!$D$62</f>
        <v>7.2</v>
      </c>
      <c r="M10" s="44" t="n">
        <f aca="false">Inputs!$F$62</f>
        <v>3.5</v>
      </c>
      <c r="N10" s="44" t="n">
        <f aca="false">Inputs!$G$62</f>
        <v>0</v>
      </c>
      <c r="O10" s="44" t="n">
        <f aca="false">Inputs!$H$62</f>
        <v>0</v>
      </c>
      <c r="P10" s="44" t="n">
        <f aca="false">Inputs!$I$62</f>
        <v>0</v>
      </c>
      <c r="Q10" s="19" t="n">
        <f aca="false">Inputs!$J$62</f>
        <v>0</v>
      </c>
      <c r="R10" s="45" t="n">
        <f aca="false">Inputs!$K$62</f>
        <v>32</v>
      </c>
      <c r="S10" s="45" t="n">
        <f aca="false">Inputs!$L$62</f>
        <v>12</v>
      </c>
      <c r="T10" s="19" t="n">
        <f aca="false">Inputs!$M$62</f>
        <v>0.78</v>
      </c>
      <c r="U10" s="35" t="n">
        <v>0</v>
      </c>
      <c r="V10" s="36" t="n">
        <v>2026</v>
      </c>
      <c r="W10" s="46" t="n">
        <f aca="false">Inputs!$R$62</f>
        <v>0</v>
      </c>
      <c r="X10" s="46" t="n">
        <f aca="false">Inputs!$P$62</f>
        <v>1</v>
      </c>
      <c r="Y10" s="46" t="n">
        <f aca="false">Inputs!$Q$62</f>
        <v>1</v>
      </c>
      <c r="Z10" s="38" t="n">
        <v>0</v>
      </c>
      <c r="AA10" s="36" t="n">
        <v>2026</v>
      </c>
      <c r="AB10" s="36" t="n">
        <v>2026</v>
      </c>
      <c r="AC10" s="36" t="n">
        <v>1</v>
      </c>
      <c r="AD10" s="35" t="n">
        <v>0</v>
      </c>
      <c r="AE10" s="19" t="n">
        <f aca="false">Inputs!$N$62</f>
        <v>0.095</v>
      </c>
      <c r="AF10" s="19" t="n">
        <f aca="false">Inputs!$O$62</f>
        <v>0.095</v>
      </c>
      <c r="AG10" s="38" t="n">
        <v>0</v>
      </c>
      <c r="AH10" s="36" t="n">
        <v>2026</v>
      </c>
      <c r="AJ10" s="18" t="n">
        <f aca="false">Inputs!$S$62</f>
        <v>2350</v>
      </c>
      <c r="AL10" s="20" t="n">
        <f aca="false">IF(ISNUMBER(AK10),AK10,MAX(0,MIN(1,(F10+1-ValDate)/(F10+1-G10))))</f>
        <v>0.713235294117647</v>
      </c>
      <c r="AM10" s="9" t="n">
        <f aca="false">D10*AJ10*AL10/1000</f>
        <v>3855.03676470588</v>
      </c>
      <c r="AN10" s="47" t="n">
        <f aca="false">MATCH("ATC|"&amp;C10,Prices!$A:$A,0)</f>
        <v>41</v>
      </c>
      <c r="AO10" s="47" t="n">
        <f aca="false">MATCH("GAS|"&amp;C10,Prices!$A:$A,0)</f>
        <v>40</v>
      </c>
      <c r="AP10" s="47" t="n">
        <f aca="false">MATCH("CAP|"&amp;C10,Prices!$A:$A,0)</f>
        <v>42</v>
      </c>
      <c r="AQ10" s="18" t="n">
        <f aca="false">CEG_Model!C301+CEG_Model!C302+CEG_Model!C303</f>
        <v>1746.96607127556</v>
      </c>
      <c r="AR10" s="9" t="n">
        <f aca="false">IF(D10=0,0,AQ10/D10*1000)</f>
        <v>759.550465771981</v>
      </c>
    </row>
    <row r="11" customFormat="false" ht="15" hidden="false" customHeight="false" outlineLevel="0" collapsed="false">
      <c r="A11" s="39" t="s">
        <v>355</v>
      </c>
      <c r="B11" s="39" t="s">
        <v>172</v>
      </c>
      <c r="C11" s="39" t="s">
        <v>148</v>
      </c>
      <c r="D11" s="38" t="n">
        <v>1277</v>
      </c>
      <c r="E11" s="36" t="n">
        <v>2027</v>
      </c>
      <c r="F11" s="36" t="n">
        <v>2038</v>
      </c>
      <c r="G11" s="36" t="n">
        <v>1990</v>
      </c>
      <c r="H11" s="39" t="s">
        <v>346</v>
      </c>
      <c r="I11" s="19" t="n">
        <f aca="false">Inputs!$B$63</f>
        <v>0.06</v>
      </c>
      <c r="J11" s="44" t="n">
        <f aca="false">ScarcityERC</f>
        <v>2.5</v>
      </c>
      <c r="K11" s="44" t="n">
        <f aca="false">Inputs!$D$63</f>
        <v>10.5</v>
      </c>
      <c r="M11" s="44" t="n">
        <f aca="false">Inputs!$F$63</f>
        <v>5</v>
      </c>
      <c r="N11" s="44" t="n">
        <f aca="false">Inputs!$G$63</f>
        <v>0</v>
      </c>
      <c r="O11" s="44" t="n">
        <f aca="false">Inputs!$H$63</f>
        <v>0</v>
      </c>
      <c r="P11" s="44" t="n">
        <f aca="false">Inputs!$I$63</f>
        <v>0</v>
      </c>
      <c r="Q11" s="19" t="n">
        <f aca="false">Inputs!$J$63</f>
        <v>0</v>
      </c>
      <c r="R11" s="45" t="n">
        <f aca="false">Inputs!$K$63</f>
        <v>18</v>
      </c>
      <c r="S11" s="45" t="n">
        <f aca="false">Inputs!$L$63</f>
        <v>5</v>
      </c>
      <c r="T11" s="19" t="n">
        <f aca="false">Inputs!$M$63</f>
        <v>0.6</v>
      </c>
      <c r="U11" s="35" t="n">
        <v>0</v>
      </c>
      <c r="V11" s="36" t="n">
        <v>2026</v>
      </c>
      <c r="W11" s="46" t="n">
        <f aca="false">Inputs!$R$63</f>
        <v>0</v>
      </c>
      <c r="X11" s="46" t="n">
        <f aca="false">Inputs!$P$63</f>
        <v>1</v>
      </c>
      <c r="Y11" s="46" t="n">
        <f aca="false">Inputs!$Q$63</f>
        <v>1</v>
      </c>
      <c r="Z11" s="38" t="n">
        <v>0</v>
      </c>
      <c r="AA11" s="36" t="n">
        <v>2026</v>
      </c>
      <c r="AB11" s="36" t="n">
        <v>2026</v>
      </c>
      <c r="AC11" s="36" t="n">
        <v>1</v>
      </c>
      <c r="AD11" s="35" t="n">
        <v>0</v>
      </c>
      <c r="AE11" s="19" t="n">
        <f aca="false">Inputs!$N$63</f>
        <v>0.1</v>
      </c>
      <c r="AF11" s="19" t="n">
        <f aca="false">Inputs!$O$63</f>
        <v>0.1</v>
      </c>
      <c r="AG11" s="38" t="n">
        <v>0</v>
      </c>
      <c r="AH11" s="36" t="n">
        <v>2026</v>
      </c>
      <c r="AJ11" s="18" t="n">
        <f aca="false">Inputs!$S$63</f>
        <v>1970</v>
      </c>
      <c r="AL11" s="20" t="n">
        <f aca="false">IF(ISNUMBER(AK11),AK11,MAX(0,MIN(1,(F11+1-ValDate)/(F11+1-G11))))</f>
        <v>0.25</v>
      </c>
      <c r="AM11" s="9" t="n">
        <f aca="false">D11*AJ11*AL11/1000</f>
        <v>628.9225</v>
      </c>
      <c r="AN11" s="47" t="n">
        <f aca="false">MATCH("ATC|"&amp;C11,Prices!$A:$A,0)</f>
        <v>41</v>
      </c>
      <c r="AO11" s="47" t="n">
        <f aca="false">MATCH("GAS|"&amp;C11,Prices!$A:$A,0)</f>
        <v>40</v>
      </c>
      <c r="AP11" s="47" t="n">
        <f aca="false">MATCH("CAP|"&amp;C11,Prices!$A:$A,0)</f>
        <v>42</v>
      </c>
      <c r="AQ11" s="18" t="n">
        <f aca="false">CEG_Model!C331+CEG_Model!C332+CEG_Model!C333</f>
        <v>133.673865160903</v>
      </c>
      <c r="AR11" s="9" t="n">
        <f aca="false">IF(D11=0,0,AQ11/D11*1000)</f>
        <v>104.678046328037</v>
      </c>
    </row>
    <row r="12" customFormat="false" ht="15" hidden="false" customHeight="false" outlineLevel="0" collapsed="false">
      <c r="A12" s="39" t="s">
        <v>356</v>
      </c>
      <c r="B12" s="39" t="s">
        <v>172</v>
      </c>
      <c r="C12" s="39" t="s">
        <v>141</v>
      </c>
      <c r="D12" s="38" t="n">
        <v>2582</v>
      </c>
      <c r="E12" s="36" t="n">
        <v>2027</v>
      </c>
      <c r="F12" s="36" t="n">
        <v>2038</v>
      </c>
      <c r="G12" s="36" t="n">
        <v>1995</v>
      </c>
      <c r="H12" s="39" t="s">
        <v>346</v>
      </c>
      <c r="I12" s="19" t="n">
        <f aca="false">Inputs!$B$63</f>
        <v>0.06</v>
      </c>
      <c r="J12" s="44" t="n">
        <f aca="false">Scarcity</f>
        <v>2.5</v>
      </c>
      <c r="K12" s="44" t="n">
        <f aca="false">Inputs!$D$63</f>
        <v>10.5</v>
      </c>
      <c r="M12" s="44" t="n">
        <f aca="false">Inputs!$F$63</f>
        <v>5</v>
      </c>
      <c r="N12" s="44" t="n">
        <f aca="false">Inputs!$G$63</f>
        <v>0</v>
      </c>
      <c r="O12" s="44" t="n">
        <f aca="false">Inputs!$H$63</f>
        <v>0</v>
      </c>
      <c r="P12" s="44" t="n">
        <f aca="false">Inputs!$I$63</f>
        <v>0</v>
      </c>
      <c r="Q12" s="19" t="n">
        <f aca="false">Inputs!$J$63</f>
        <v>0</v>
      </c>
      <c r="R12" s="45" t="n">
        <f aca="false">Inputs!$K$63</f>
        <v>18</v>
      </c>
      <c r="S12" s="45" t="n">
        <f aca="false">Inputs!$L$63</f>
        <v>5</v>
      </c>
      <c r="T12" s="19" t="n">
        <f aca="false">Inputs!$M$63</f>
        <v>0.6</v>
      </c>
      <c r="U12" s="35" t="n">
        <v>0</v>
      </c>
      <c r="V12" s="36" t="n">
        <v>2026</v>
      </c>
      <c r="W12" s="46" t="n">
        <f aca="false">Inputs!$R$63</f>
        <v>0</v>
      </c>
      <c r="X12" s="46" t="n">
        <f aca="false">Inputs!$P$63</f>
        <v>1</v>
      </c>
      <c r="Y12" s="46" t="n">
        <f aca="false">Inputs!$Q$63</f>
        <v>1</v>
      </c>
      <c r="Z12" s="38" t="n">
        <v>0</v>
      </c>
      <c r="AA12" s="36" t="n">
        <v>2026</v>
      </c>
      <c r="AB12" s="36" t="n">
        <v>2026</v>
      </c>
      <c r="AC12" s="36" t="n">
        <v>1</v>
      </c>
      <c r="AD12" s="35" t="n">
        <v>0</v>
      </c>
      <c r="AE12" s="19" t="n">
        <f aca="false">Inputs!$N$63</f>
        <v>0.1</v>
      </c>
      <c r="AF12" s="19" t="n">
        <f aca="false">Inputs!$O$63</f>
        <v>0.1</v>
      </c>
      <c r="AG12" s="38" t="n">
        <v>0</v>
      </c>
      <c r="AH12" s="36" t="n">
        <v>2026</v>
      </c>
      <c r="AJ12" s="18" t="n">
        <f aca="false">Inputs!$S$63</f>
        <v>1970</v>
      </c>
      <c r="AL12" s="20" t="n">
        <f aca="false">IF(ISNUMBER(AK12),AK12,MAX(0,MIN(1,(F12+1-ValDate)/(F12+1-G12))))</f>
        <v>0.278409090909091</v>
      </c>
      <c r="AM12" s="9" t="n">
        <f aca="false">D12*AJ12*AL12/1000</f>
        <v>1416.13897727273</v>
      </c>
      <c r="AN12" s="47" t="n">
        <f aca="false">MATCH("ATC|"&amp;C12,Prices!$A:$A,0)</f>
        <v>20</v>
      </c>
      <c r="AO12" s="47" t="n">
        <f aca="false">MATCH("GAS|"&amp;C12,Prices!$A:$A,0)</f>
        <v>19</v>
      </c>
      <c r="AP12" s="47" t="n">
        <f aca="false">MATCH("CAP|"&amp;C12,Prices!$A:$A,0)</f>
        <v>21</v>
      </c>
      <c r="AQ12" s="18" t="n">
        <f aca="false">CEG_Model!C361+CEG_Model!C362+CEG_Model!C363</f>
        <v>1464.87581530298</v>
      </c>
      <c r="AR12" s="9" t="n">
        <f aca="false">IF(D12=0,0,AQ12/D12*1000)</f>
        <v>567.341524129736</v>
      </c>
    </row>
    <row r="13" customFormat="false" ht="15" hidden="false" customHeight="false" outlineLevel="0" collapsed="false">
      <c r="A13" s="39" t="s">
        <v>357</v>
      </c>
      <c r="B13" s="39" t="s">
        <v>171</v>
      </c>
      <c r="C13" s="39" t="s">
        <v>148</v>
      </c>
      <c r="D13" s="38" t="n">
        <v>7000</v>
      </c>
      <c r="E13" s="36" t="n">
        <v>2027</v>
      </c>
      <c r="F13" s="36" t="n">
        <v>2045</v>
      </c>
      <c r="G13" s="36" t="n">
        <v>2002</v>
      </c>
      <c r="H13" s="39" t="s">
        <v>346</v>
      </c>
      <c r="I13" s="19" t="n">
        <f aca="false">Inputs!$D$57</f>
        <v>0.55</v>
      </c>
      <c r="J13" s="44" t="n">
        <f aca="false">Inputs!$E$57</f>
        <v>1.2</v>
      </c>
      <c r="K13" s="44" t="n">
        <f aca="false">Inputs!$D$62</f>
        <v>7.2</v>
      </c>
      <c r="M13" s="44" t="n">
        <f aca="false">Inputs!$F$62</f>
        <v>3.5</v>
      </c>
      <c r="N13" s="44" t="n">
        <f aca="false">Inputs!$G$62</f>
        <v>0</v>
      </c>
      <c r="O13" s="44" t="n">
        <f aca="false">Inputs!$H$62</f>
        <v>0</v>
      </c>
      <c r="P13" s="44" t="n">
        <f aca="false">Inputs!$I$62</f>
        <v>0</v>
      </c>
      <c r="Q13" s="19" t="n">
        <f aca="false">Inputs!$J$62</f>
        <v>0</v>
      </c>
      <c r="R13" s="45" t="n">
        <f aca="false">Inputs!$K$62</f>
        <v>32</v>
      </c>
      <c r="S13" s="45" t="n">
        <f aca="false">Inputs!$L$62</f>
        <v>12</v>
      </c>
      <c r="T13" s="19" t="n">
        <f aca="false">Inputs!$M$62</f>
        <v>0.78</v>
      </c>
      <c r="U13" s="35" t="n">
        <v>0</v>
      </c>
      <c r="V13" s="36" t="n">
        <v>2026</v>
      </c>
      <c r="W13" s="46" t="n">
        <f aca="false">Inputs!$R$62</f>
        <v>0</v>
      </c>
      <c r="X13" s="46" t="n">
        <f aca="false">Inputs!$P$62</f>
        <v>1</v>
      </c>
      <c r="Y13" s="46" t="n">
        <f aca="false">Inputs!$Q$62</f>
        <v>1</v>
      </c>
      <c r="Z13" s="38" t="n">
        <v>0</v>
      </c>
      <c r="AA13" s="36" t="n">
        <v>2026</v>
      </c>
      <c r="AB13" s="36" t="n">
        <v>2026</v>
      </c>
      <c r="AC13" s="36" t="n">
        <v>1</v>
      </c>
      <c r="AD13" s="35" t="n">
        <v>0</v>
      </c>
      <c r="AE13" s="19" t="n">
        <f aca="false">Inputs!$N$62</f>
        <v>0.095</v>
      </c>
      <c r="AF13" s="19" t="n">
        <f aca="false">Inputs!$O$62</f>
        <v>0.095</v>
      </c>
      <c r="AG13" s="38" t="n">
        <v>0</v>
      </c>
      <c r="AH13" s="36" t="n">
        <v>2026</v>
      </c>
      <c r="AJ13" s="18" t="n">
        <f aca="false">Inputs!$S$62</f>
        <v>2350</v>
      </c>
      <c r="AL13" s="20" t="n">
        <f aca="false">IF(ISNUMBER(AK13),AK13,MAX(0,MIN(1,(F13+1-ValDate)/(F13+1-G13))))</f>
        <v>0.4375</v>
      </c>
      <c r="AM13" s="9" t="n">
        <f aca="false">D13*AJ13*AL13/1000</f>
        <v>7196.875</v>
      </c>
      <c r="AN13" s="47" t="n">
        <f aca="false">MATCH("ATC|"&amp;C13,Prices!$A:$A,0)</f>
        <v>41</v>
      </c>
      <c r="AO13" s="47" t="n">
        <f aca="false">MATCH("GAS|"&amp;C13,Prices!$A:$A,0)</f>
        <v>40</v>
      </c>
      <c r="AP13" s="47" t="n">
        <f aca="false">MATCH("CAP|"&amp;C13,Prices!$A:$A,0)</f>
        <v>42</v>
      </c>
      <c r="AQ13" s="18" t="n">
        <f aca="false">CEG_Model!C391+CEG_Model!C392+CEG_Model!C393</f>
        <v>4805.91001098607</v>
      </c>
      <c r="AR13" s="9" t="n">
        <f aca="false">IF(D13=0,0,AQ13/D13*1000)</f>
        <v>686.558572998011</v>
      </c>
    </row>
    <row r="14" customFormat="false" ht="15" hidden="false" customHeight="false" outlineLevel="0" collapsed="false">
      <c r="A14" s="39" t="s">
        <v>358</v>
      </c>
      <c r="B14" s="39" t="s">
        <v>172</v>
      </c>
      <c r="C14" s="39" t="s">
        <v>148</v>
      </c>
      <c r="D14" s="38" t="n">
        <v>400</v>
      </c>
      <c r="E14" s="36" t="n">
        <v>2027</v>
      </c>
      <c r="F14" s="36" t="n">
        <v>2040</v>
      </c>
      <c r="G14" s="36" t="n">
        <v>2000</v>
      </c>
      <c r="H14" s="39" t="s">
        <v>346</v>
      </c>
      <c r="I14" s="19" t="n">
        <f aca="false">Inputs!$B$63</f>
        <v>0.06</v>
      </c>
      <c r="J14" s="44" t="n">
        <f aca="false">ScarcityERC</f>
        <v>2.5</v>
      </c>
      <c r="K14" s="44" t="n">
        <f aca="false">Inputs!$D$63</f>
        <v>10.5</v>
      </c>
      <c r="M14" s="44" t="n">
        <f aca="false">Inputs!$F$63</f>
        <v>5</v>
      </c>
      <c r="N14" s="44" t="n">
        <f aca="false">Inputs!$G$63</f>
        <v>0</v>
      </c>
      <c r="O14" s="44" t="n">
        <f aca="false">Inputs!$H$63</f>
        <v>0</v>
      </c>
      <c r="P14" s="44" t="n">
        <f aca="false">Inputs!$I$63</f>
        <v>0</v>
      </c>
      <c r="Q14" s="19" t="n">
        <f aca="false">Inputs!$J$63</f>
        <v>0</v>
      </c>
      <c r="R14" s="45" t="n">
        <f aca="false">Inputs!$K$63</f>
        <v>18</v>
      </c>
      <c r="S14" s="45" t="n">
        <f aca="false">Inputs!$L$63</f>
        <v>5</v>
      </c>
      <c r="T14" s="19" t="n">
        <f aca="false">Inputs!$M$63</f>
        <v>0.6</v>
      </c>
      <c r="U14" s="35" t="n">
        <v>0</v>
      </c>
      <c r="V14" s="36" t="n">
        <v>2026</v>
      </c>
      <c r="W14" s="46" t="n">
        <f aca="false">Inputs!$R$63</f>
        <v>0</v>
      </c>
      <c r="X14" s="46" t="n">
        <f aca="false">Inputs!$P$63</f>
        <v>1</v>
      </c>
      <c r="Y14" s="46" t="n">
        <f aca="false">Inputs!$Q$63</f>
        <v>1</v>
      </c>
      <c r="Z14" s="38" t="n">
        <v>0</v>
      </c>
      <c r="AA14" s="36" t="n">
        <v>2026</v>
      </c>
      <c r="AB14" s="36" t="n">
        <v>2026</v>
      </c>
      <c r="AC14" s="36" t="n">
        <v>1</v>
      </c>
      <c r="AD14" s="35" t="n">
        <v>0</v>
      </c>
      <c r="AE14" s="19" t="n">
        <f aca="false">Inputs!$N$63</f>
        <v>0.1</v>
      </c>
      <c r="AF14" s="19" t="n">
        <f aca="false">Inputs!$O$63</f>
        <v>0.1</v>
      </c>
      <c r="AG14" s="38" t="n">
        <v>0</v>
      </c>
      <c r="AH14" s="36" t="n">
        <v>2026</v>
      </c>
      <c r="AJ14" s="18" t="n">
        <f aca="false">Inputs!$S$63</f>
        <v>1970</v>
      </c>
      <c r="AL14" s="20" t="n">
        <f aca="false">IF(ISNUMBER(AK14),AK14,MAX(0,MIN(1,(F14+1-ValDate)/(F14+1-G14))))</f>
        <v>0.347560975609756</v>
      </c>
      <c r="AM14" s="9" t="n">
        <f aca="false">D14*AJ14*AL14/1000</f>
        <v>273.878048780488</v>
      </c>
      <c r="AN14" s="47" t="n">
        <f aca="false">MATCH("ATC|"&amp;C14,Prices!$A:$A,0)</f>
        <v>41</v>
      </c>
      <c r="AO14" s="47" t="n">
        <f aca="false">MATCH("GAS|"&amp;C14,Prices!$A:$A,0)</f>
        <v>40</v>
      </c>
      <c r="AP14" s="47" t="n">
        <f aca="false">MATCH("CAP|"&amp;C14,Prices!$A:$A,0)</f>
        <v>42</v>
      </c>
      <c r="AQ14" s="18" t="n">
        <f aca="false">CEG_Model!C421+CEG_Model!C422+CEG_Model!C423</f>
        <v>45.9501074233286</v>
      </c>
      <c r="AR14" s="9" t="n">
        <f aca="false">IF(D14=0,0,AQ14/D14*1000)</f>
        <v>114.875268558321</v>
      </c>
    </row>
    <row r="15" customFormat="false" ht="15" hidden="false" customHeight="false" outlineLevel="0" collapsed="false">
      <c r="A15" s="39" t="s">
        <v>359</v>
      </c>
      <c r="B15" s="39" t="s">
        <v>171</v>
      </c>
      <c r="C15" s="39" t="s">
        <v>147</v>
      </c>
      <c r="D15" s="38" t="n">
        <v>5000</v>
      </c>
      <c r="E15" s="36" t="n">
        <v>2027</v>
      </c>
      <c r="F15" s="36" t="n">
        <v>2045</v>
      </c>
      <c r="G15" s="36" t="n">
        <v>2003</v>
      </c>
      <c r="H15" s="39" t="s">
        <v>346</v>
      </c>
      <c r="I15" s="19" t="n">
        <f aca="false">Inputs!$D$56</f>
        <v>0.45</v>
      </c>
      <c r="J15" s="44" t="n">
        <f aca="false">Inputs!$E$56</f>
        <v>1.15</v>
      </c>
      <c r="K15" s="44" t="n">
        <f aca="false">Inputs!$D$62</f>
        <v>7.2</v>
      </c>
      <c r="M15" s="44" t="n">
        <f aca="false">Inputs!$F$62</f>
        <v>3.5</v>
      </c>
      <c r="N15" s="44" t="n">
        <f aca="false">Inputs!$G$62</f>
        <v>0</v>
      </c>
      <c r="O15" s="44" t="n">
        <f aca="false">Inputs!$H$62</f>
        <v>0</v>
      </c>
      <c r="P15" s="44" t="n">
        <f aca="false">Inputs!$I$62</f>
        <v>0</v>
      </c>
      <c r="Q15" s="19" t="n">
        <f aca="false">Inputs!$J$62</f>
        <v>0</v>
      </c>
      <c r="R15" s="45" t="n">
        <f aca="false">Inputs!$K$62</f>
        <v>32</v>
      </c>
      <c r="S15" s="45" t="n">
        <f aca="false">Inputs!$L$62</f>
        <v>12</v>
      </c>
      <c r="T15" s="19" t="n">
        <f aca="false">Inputs!$M$62</f>
        <v>0.78</v>
      </c>
      <c r="U15" s="35" t="n">
        <v>0</v>
      </c>
      <c r="V15" s="36" t="n">
        <v>2026</v>
      </c>
      <c r="W15" s="46" t="n">
        <f aca="false">Inputs!$R$62</f>
        <v>0</v>
      </c>
      <c r="X15" s="46" t="n">
        <f aca="false">Inputs!$P$62</f>
        <v>1</v>
      </c>
      <c r="Y15" s="46" t="n">
        <f aca="false">Inputs!$Q$62</f>
        <v>1</v>
      </c>
      <c r="Z15" s="38" t="n">
        <v>0</v>
      </c>
      <c r="AA15" s="36" t="n">
        <v>2026</v>
      </c>
      <c r="AB15" s="36" t="n">
        <v>2026</v>
      </c>
      <c r="AC15" s="36" t="n">
        <v>1</v>
      </c>
      <c r="AD15" s="35" t="n">
        <v>0</v>
      </c>
      <c r="AE15" s="19" t="n">
        <f aca="false">Inputs!$N$62</f>
        <v>0.095</v>
      </c>
      <c r="AF15" s="19" t="n">
        <f aca="false">Inputs!$O$62</f>
        <v>0.095</v>
      </c>
      <c r="AG15" s="38" t="n">
        <v>0</v>
      </c>
      <c r="AH15" s="36" t="n">
        <v>2026</v>
      </c>
      <c r="AJ15" s="18" t="n">
        <f aca="false">Inputs!$S$62</f>
        <v>2350</v>
      </c>
      <c r="AL15" s="20" t="n">
        <f aca="false">IF(ISNUMBER(AK15),AK15,MAX(0,MIN(1,(F15+1-ValDate)/(F15+1-G15))))</f>
        <v>0.447674418604651</v>
      </c>
      <c r="AM15" s="9" t="n">
        <f aca="false">D15*AJ15*AL15/1000</f>
        <v>5260.17441860465</v>
      </c>
      <c r="AN15" s="47" t="n">
        <f aca="false">MATCH("ATC|"&amp;C15,Prices!$A:$A,0)</f>
        <v>38</v>
      </c>
      <c r="AO15" s="47" t="n">
        <f aca="false">MATCH("GAS|"&amp;C15,Prices!$A:$A,0)</f>
        <v>37</v>
      </c>
      <c r="AP15" s="47" t="n">
        <f aca="false">MATCH("CAP|"&amp;C15,Prices!$A:$A,0)</f>
        <v>39</v>
      </c>
      <c r="AQ15" s="18" t="n">
        <f aca="false">CEG_Model!C451+CEG_Model!C452+CEG_Model!C453</f>
        <v>5189.66156304223</v>
      </c>
      <c r="AR15" s="9" t="n">
        <f aca="false">IF(D15=0,0,AQ15/D15*1000)</f>
        <v>1037.93231260845</v>
      </c>
    </row>
    <row r="16" customFormat="false" ht="15" hidden="false" customHeight="false" outlineLevel="0" collapsed="false">
      <c r="A16" s="39" t="s">
        <v>360</v>
      </c>
      <c r="B16" s="39" t="s">
        <v>172</v>
      </c>
      <c r="C16" s="39" t="s">
        <v>147</v>
      </c>
      <c r="D16" s="38" t="n">
        <v>800</v>
      </c>
      <c r="E16" s="36" t="n">
        <v>2027</v>
      </c>
      <c r="F16" s="36" t="n">
        <v>2040</v>
      </c>
      <c r="G16" s="36" t="n">
        <v>2002</v>
      </c>
      <c r="H16" s="39" t="s">
        <v>346</v>
      </c>
      <c r="I16" s="19" t="n">
        <f aca="false">Inputs!$B$63</f>
        <v>0.06</v>
      </c>
      <c r="J16" s="44" t="n">
        <f aca="false">Scarcity</f>
        <v>2.5</v>
      </c>
      <c r="K16" s="44" t="n">
        <f aca="false">Inputs!$D$63</f>
        <v>10.5</v>
      </c>
      <c r="M16" s="44" t="n">
        <f aca="false">Inputs!$F$63</f>
        <v>5</v>
      </c>
      <c r="N16" s="44" t="n">
        <f aca="false">Inputs!$G$63</f>
        <v>0</v>
      </c>
      <c r="O16" s="44" t="n">
        <f aca="false">Inputs!$H$63</f>
        <v>0</v>
      </c>
      <c r="P16" s="44" t="n">
        <f aca="false">Inputs!$I$63</f>
        <v>0</v>
      </c>
      <c r="Q16" s="19" t="n">
        <f aca="false">Inputs!$J$63</f>
        <v>0</v>
      </c>
      <c r="R16" s="45" t="n">
        <f aca="false">Inputs!$K$63</f>
        <v>18</v>
      </c>
      <c r="S16" s="45" t="n">
        <f aca="false">Inputs!$L$63</f>
        <v>5</v>
      </c>
      <c r="T16" s="19" t="n">
        <f aca="false">Inputs!$M$63</f>
        <v>0.6</v>
      </c>
      <c r="U16" s="35" t="n">
        <v>0</v>
      </c>
      <c r="V16" s="36" t="n">
        <v>2026</v>
      </c>
      <c r="W16" s="46" t="n">
        <f aca="false">Inputs!$R$63</f>
        <v>0</v>
      </c>
      <c r="X16" s="46" t="n">
        <f aca="false">Inputs!$P$63</f>
        <v>1</v>
      </c>
      <c r="Y16" s="46" t="n">
        <f aca="false">Inputs!$Q$63</f>
        <v>1</v>
      </c>
      <c r="Z16" s="38" t="n">
        <v>0</v>
      </c>
      <c r="AA16" s="36" t="n">
        <v>2026</v>
      </c>
      <c r="AB16" s="36" t="n">
        <v>2026</v>
      </c>
      <c r="AC16" s="36" t="n">
        <v>1</v>
      </c>
      <c r="AD16" s="35" t="n">
        <v>0</v>
      </c>
      <c r="AE16" s="19" t="n">
        <f aca="false">Inputs!$N$63</f>
        <v>0.1</v>
      </c>
      <c r="AF16" s="19" t="n">
        <f aca="false">Inputs!$O$63</f>
        <v>0.1</v>
      </c>
      <c r="AG16" s="38" t="n">
        <v>0</v>
      </c>
      <c r="AH16" s="36" t="n">
        <v>2026</v>
      </c>
      <c r="AJ16" s="18" t="n">
        <f aca="false">Inputs!$S$63</f>
        <v>1970</v>
      </c>
      <c r="AL16" s="20" t="n">
        <f aca="false">IF(ISNUMBER(AK16),AK16,MAX(0,MIN(1,(F16+1-ValDate)/(F16+1-G16))))</f>
        <v>0.365384615384615</v>
      </c>
      <c r="AM16" s="9" t="n">
        <f aca="false">D16*AJ16*AL16/1000</f>
        <v>575.846153846154</v>
      </c>
      <c r="AN16" s="47" t="n">
        <f aca="false">MATCH("ATC|"&amp;C16,Prices!$A:$A,0)</f>
        <v>38</v>
      </c>
      <c r="AO16" s="47" t="n">
        <f aca="false">MATCH("GAS|"&amp;C16,Prices!$A:$A,0)</f>
        <v>37</v>
      </c>
      <c r="AP16" s="47" t="n">
        <f aca="false">MATCH("CAP|"&amp;C16,Prices!$A:$A,0)</f>
        <v>39</v>
      </c>
      <c r="AQ16" s="18" t="n">
        <f aca="false">CEG_Model!C481+CEG_Model!C482+CEG_Model!C483</f>
        <v>389.37340655449</v>
      </c>
      <c r="AR16" s="9" t="n">
        <f aca="false">IF(D16=0,0,AQ16/D16*1000)</f>
        <v>486.716758193112</v>
      </c>
    </row>
    <row r="17" customFormat="false" ht="15" hidden="false" customHeight="false" outlineLevel="0" collapsed="false">
      <c r="A17" s="39" t="s">
        <v>361</v>
      </c>
      <c r="B17" s="39" t="s">
        <v>175</v>
      </c>
      <c r="C17" s="39" t="s">
        <v>147</v>
      </c>
      <c r="D17" s="38" t="n">
        <v>750</v>
      </c>
      <c r="E17" s="36" t="n">
        <v>2027</v>
      </c>
      <c r="F17" s="36" t="n">
        <v>2055</v>
      </c>
      <c r="G17" s="36" t="n">
        <v>1985</v>
      </c>
      <c r="H17" s="39" t="s">
        <v>346</v>
      </c>
      <c r="I17" s="19" t="n">
        <f aca="false">Inputs!$B$66</f>
        <v>0.85</v>
      </c>
      <c r="J17" s="44" t="n">
        <f aca="false">Inputs!$C$66</f>
        <v>1.1</v>
      </c>
      <c r="K17" s="44" t="n">
        <f aca="false">Inputs!$D$66</f>
        <v>0</v>
      </c>
      <c r="M17" s="44" t="n">
        <f aca="false">Inputs!$F$66</f>
        <v>0</v>
      </c>
      <c r="N17" s="44" t="n">
        <f aca="false">Inputs!$G$66</f>
        <v>0</v>
      </c>
      <c r="O17" s="44" t="n">
        <f aca="false">Inputs!$H$66</f>
        <v>38</v>
      </c>
      <c r="P17" s="44" t="n">
        <f aca="false">Inputs!$I$66</f>
        <v>0</v>
      </c>
      <c r="Q17" s="19" t="n">
        <f aca="false">Inputs!$J$66</f>
        <v>0.025</v>
      </c>
      <c r="R17" s="45" t="n">
        <f aca="false">Inputs!$K$66</f>
        <v>0</v>
      </c>
      <c r="S17" s="45" t="n">
        <f aca="false">Inputs!$L$66</f>
        <v>0</v>
      </c>
      <c r="T17" s="19" t="n">
        <f aca="false">Inputs!$M$66</f>
        <v>0.9</v>
      </c>
      <c r="U17" s="35" t="n">
        <v>0</v>
      </c>
      <c r="V17" s="36" t="n">
        <v>2026</v>
      </c>
      <c r="W17" s="46" t="n">
        <f aca="false">Inputs!$R$66</f>
        <v>0</v>
      </c>
      <c r="X17" s="46" t="n">
        <f aca="false">Inputs!$P$66</f>
        <v>0</v>
      </c>
      <c r="Y17" s="46" t="n">
        <f aca="false">Inputs!$Q$66</f>
        <v>0</v>
      </c>
      <c r="Z17" s="38" t="n">
        <v>750</v>
      </c>
      <c r="AA17" s="36" t="n">
        <v>2027</v>
      </c>
      <c r="AB17" s="36" t="n">
        <v>2035</v>
      </c>
      <c r="AC17" s="36" t="n">
        <v>1</v>
      </c>
      <c r="AD17" s="35" t="n">
        <v>85</v>
      </c>
      <c r="AE17" s="19" t="n">
        <f aca="false">Inputs!$N$66</f>
        <v>0.075</v>
      </c>
      <c r="AF17" s="19" t="n">
        <f aca="false">Inputs!$O$66</f>
        <v>0.075</v>
      </c>
      <c r="AG17" s="38" t="n">
        <v>0</v>
      </c>
      <c r="AH17" s="36" t="n">
        <v>2026</v>
      </c>
      <c r="AJ17" s="18" t="n">
        <f aca="false">Inputs!$S$66</f>
        <v>5500</v>
      </c>
      <c r="AL17" s="20" t="n">
        <f aca="false">IF(ISNUMBER(AK17),AK17,MAX(0,MIN(1,(F17+1-ValDate)/(F17+1-G17))))</f>
        <v>0.411971830985916</v>
      </c>
      <c r="AM17" s="9" t="n">
        <f aca="false">D17*AJ17*AL17/1000</f>
        <v>1699.3838028169</v>
      </c>
      <c r="AN17" s="47" t="n">
        <f aca="false">MATCH("ATC|"&amp;C17,Prices!$A:$A,0)</f>
        <v>38</v>
      </c>
      <c r="AO17" s="47" t="n">
        <f aca="false">MATCH("GAS|"&amp;C17,Prices!$A:$A,0)</f>
        <v>37</v>
      </c>
      <c r="AP17" s="47" t="n">
        <f aca="false">MATCH("CAP|"&amp;C17,Prices!$A:$A,0)</f>
        <v>39</v>
      </c>
      <c r="AQ17" s="18" t="n">
        <f aca="false">CEG_Model!C511+CEG_Model!C512+CEG_Model!C513</f>
        <v>2229.0568414144</v>
      </c>
      <c r="AR17" s="9" t="n">
        <f aca="false">IF(D17=0,0,AQ17/D17*1000)</f>
        <v>2972.07578855253</v>
      </c>
    </row>
    <row r="18" customFormat="false" ht="15" hidden="false" customHeight="false" outlineLevel="0" collapsed="false">
      <c r="A18" s="39" t="s">
        <v>362</v>
      </c>
      <c r="B18" s="39" t="s">
        <v>171</v>
      </c>
      <c r="C18" s="39" t="s">
        <v>146</v>
      </c>
      <c r="D18" s="38" t="n">
        <v>2900</v>
      </c>
      <c r="E18" s="36" t="n">
        <v>2027</v>
      </c>
      <c r="F18" s="36" t="n">
        <v>2045</v>
      </c>
      <c r="G18" s="36" t="n">
        <v>2003</v>
      </c>
      <c r="H18" s="39" t="s">
        <v>346</v>
      </c>
      <c r="I18" s="19" t="n">
        <f aca="false">Inputs!$D$55</f>
        <v>0.45</v>
      </c>
      <c r="J18" s="44" t="n">
        <f aca="false">Inputs!$E$55</f>
        <v>1.05</v>
      </c>
      <c r="K18" s="44" t="n">
        <f aca="false">Inputs!$D$62</f>
        <v>7.2</v>
      </c>
      <c r="M18" s="44" t="n">
        <f aca="false">Inputs!$F$62</f>
        <v>3.5</v>
      </c>
      <c r="N18" s="44" t="n">
        <f aca="false">Inputs!$G$62</f>
        <v>0</v>
      </c>
      <c r="O18" s="44" t="n">
        <f aca="false">Inputs!$H$62</f>
        <v>0</v>
      </c>
      <c r="P18" s="44" t="n">
        <f aca="false">Inputs!$I$62</f>
        <v>0</v>
      </c>
      <c r="Q18" s="19" t="n">
        <f aca="false">Inputs!$J$62</f>
        <v>0</v>
      </c>
      <c r="R18" s="45" t="n">
        <f aca="false">Inputs!$K$62</f>
        <v>32</v>
      </c>
      <c r="S18" s="45" t="n">
        <f aca="false">Inputs!$L$62</f>
        <v>12</v>
      </c>
      <c r="T18" s="19" t="n">
        <f aca="false">Inputs!$M$62</f>
        <v>0.78</v>
      </c>
      <c r="U18" s="35" t="n">
        <v>0</v>
      </c>
      <c r="V18" s="36" t="n">
        <v>2026</v>
      </c>
      <c r="W18" s="46" t="n">
        <f aca="false">Inputs!$R$62</f>
        <v>0</v>
      </c>
      <c r="X18" s="46" t="n">
        <f aca="false">Inputs!$P$62</f>
        <v>1</v>
      </c>
      <c r="Y18" s="46" t="n">
        <f aca="false">Inputs!$Q$62</f>
        <v>1</v>
      </c>
      <c r="Z18" s="38" t="n">
        <v>0</v>
      </c>
      <c r="AA18" s="36" t="n">
        <v>2026</v>
      </c>
      <c r="AB18" s="36" t="n">
        <v>2026</v>
      </c>
      <c r="AC18" s="36" t="n">
        <v>1</v>
      </c>
      <c r="AD18" s="35" t="n">
        <v>0</v>
      </c>
      <c r="AE18" s="19" t="n">
        <f aca="false">Inputs!$N$62</f>
        <v>0.095</v>
      </c>
      <c r="AF18" s="19" t="n">
        <f aca="false">Inputs!$O$62</f>
        <v>0.095</v>
      </c>
      <c r="AG18" s="38" t="n">
        <v>0</v>
      </c>
      <c r="AH18" s="36" t="n">
        <v>2026</v>
      </c>
      <c r="AJ18" s="18" t="n">
        <f aca="false">Inputs!$S$62</f>
        <v>2350</v>
      </c>
      <c r="AL18" s="20" t="n">
        <f aca="false">IF(ISNUMBER(AK18),AK18,MAX(0,MIN(1,(F18+1-ValDate)/(F18+1-G18))))</f>
        <v>0.447674418604651</v>
      </c>
      <c r="AM18" s="9" t="n">
        <f aca="false">D18*AJ18*AL18/1000</f>
        <v>3050.9011627907</v>
      </c>
      <c r="AN18" s="47" t="n">
        <f aca="false">MATCH("ATC|"&amp;C18,Prices!$A:$A,0)</f>
        <v>35</v>
      </c>
      <c r="AO18" s="47" t="n">
        <f aca="false">MATCH("GAS|"&amp;C18,Prices!$A:$A,0)</f>
        <v>34</v>
      </c>
      <c r="AP18" s="47" t="n">
        <f aca="false">MATCH("CAP|"&amp;C18,Prices!$A:$A,0)</f>
        <v>36</v>
      </c>
      <c r="AQ18" s="18" t="n">
        <f aca="false">CEG_Model!C541+CEG_Model!C542+CEG_Model!C543</f>
        <v>2164.98778783583</v>
      </c>
      <c r="AR18" s="9" t="n">
        <f aca="false">IF(D18=0,0,AQ18/D18*1000)</f>
        <v>746.547513046839</v>
      </c>
    </row>
    <row r="19" customFormat="false" ht="15" hidden="false" customHeight="false" outlineLevel="0" collapsed="false">
      <c r="A19" s="39" t="s">
        <v>363</v>
      </c>
      <c r="B19" s="39" t="s">
        <v>171</v>
      </c>
      <c r="C19" s="39" t="s">
        <v>146</v>
      </c>
      <c r="D19" s="38" t="n">
        <v>609</v>
      </c>
      <c r="E19" s="36" t="n">
        <v>2027</v>
      </c>
      <c r="F19" s="36" t="n">
        <v>2050</v>
      </c>
      <c r="G19" s="36" t="n">
        <v>2002</v>
      </c>
      <c r="H19" s="39" t="s">
        <v>346</v>
      </c>
      <c r="I19" s="19" t="n">
        <f aca="false">Inputs!$D$55</f>
        <v>0.45</v>
      </c>
      <c r="J19" s="44" t="n">
        <f aca="false">Inputs!$E$55</f>
        <v>1.05</v>
      </c>
      <c r="K19" s="44" t="n">
        <f aca="false">Inputs!$D$62</f>
        <v>7.2</v>
      </c>
      <c r="M19" s="44" t="n">
        <f aca="false">Inputs!$F$62</f>
        <v>3.5</v>
      </c>
      <c r="N19" s="44" t="n">
        <f aca="false">Inputs!$G$62</f>
        <v>0</v>
      </c>
      <c r="O19" s="44" t="n">
        <f aca="false">Inputs!$H$62</f>
        <v>0</v>
      </c>
      <c r="P19" s="44" t="n">
        <f aca="false">Inputs!$I$62</f>
        <v>0</v>
      </c>
      <c r="Q19" s="19" t="n">
        <f aca="false">Inputs!$J$62</f>
        <v>0</v>
      </c>
      <c r="R19" s="45" t="n">
        <f aca="false">Inputs!$K$62</f>
        <v>32</v>
      </c>
      <c r="S19" s="45" t="n">
        <f aca="false">Inputs!$L$62</f>
        <v>12</v>
      </c>
      <c r="T19" s="19" t="n">
        <f aca="false">Inputs!$M$62</f>
        <v>0.78</v>
      </c>
      <c r="U19" s="35" t="n">
        <v>0</v>
      </c>
      <c r="V19" s="36" t="n">
        <v>2026</v>
      </c>
      <c r="W19" s="46" t="n">
        <f aca="false">Inputs!$R$62</f>
        <v>0</v>
      </c>
      <c r="X19" s="46" t="n">
        <f aca="false">Inputs!$P$62</f>
        <v>1</v>
      </c>
      <c r="Y19" s="46" t="n">
        <f aca="false">Inputs!$Q$62</f>
        <v>1</v>
      </c>
      <c r="Z19" s="38" t="n">
        <v>0</v>
      </c>
      <c r="AA19" s="36" t="n">
        <v>2026</v>
      </c>
      <c r="AB19" s="36" t="n">
        <v>2026</v>
      </c>
      <c r="AC19" s="36" t="n">
        <v>1</v>
      </c>
      <c r="AD19" s="35" t="n">
        <v>0</v>
      </c>
      <c r="AE19" s="19" t="n">
        <f aca="false">Inputs!$N$62</f>
        <v>0.095</v>
      </c>
      <c r="AF19" s="19" t="n">
        <f aca="false">Inputs!$O$62</f>
        <v>0.095</v>
      </c>
      <c r="AG19" s="38" t="n">
        <v>0</v>
      </c>
      <c r="AH19" s="36" t="n">
        <v>2026</v>
      </c>
      <c r="AJ19" s="18" t="n">
        <f aca="false">Inputs!$S$62</f>
        <v>2350</v>
      </c>
      <c r="AL19" s="20" t="n">
        <f aca="false">IF(ISNUMBER(AK19),AK19,MAX(0,MIN(1,(F19+1-ValDate)/(F19+1-G19))))</f>
        <v>0.494897959183673</v>
      </c>
      <c r="AM19" s="9" t="n">
        <f aca="false">D19*AJ19*AL19/1000</f>
        <v>708.273214285714</v>
      </c>
      <c r="AN19" s="47" t="n">
        <f aca="false">MATCH("ATC|"&amp;C19,Prices!$A:$A,0)</f>
        <v>35</v>
      </c>
      <c r="AO19" s="47" t="n">
        <f aca="false">MATCH("GAS|"&amp;C19,Prices!$A:$A,0)</f>
        <v>34</v>
      </c>
      <c r="AP19" s="47" t="n">
        <f aca="false">MATCH("CAP|"&amp;C19,Prices!$A:$A,0)</f>
        <v>36</v>
      </c>
      <c r="AQ19" s="18" t="n">
        <f aca="false">CEG_Model!C571+CEG_Model!C572+CEG_Model!C573</f>
        <v>497.214855337339</v>
      </c>
      <c r="AR19" s="9" t="n">
        <f aca="false">IF(D19=0,0,AQ19/D19*1000)</f>
        <v>816.444754248504</v>
      </c>
    </row>
    <row r="20" customFormat="false" ht="15" hidden="false" customHeight="false" outlineLevel="0" collapsed="false">
      <c r="A20" s="1" t="s">
        <v>364</v>
      </c>
      <c r="D20" s="10" t="n">
        <f aca="false">SUM(D2:D19)</f>
        <v>49970</v>
      </c>
      <c r="AM20" s="10" t="n">
        <f aca="false">SUM(AM2:AM19)</f>
        <v>67874.4218054705</v>
      </c>
      <c r="AQ20" s="10" t="n">
        <f aca="false">SUM(AQ2:AQ19)</f>
        <v>81018.9461790552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5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3" topLeftCell="G4" activePane="bottomRight" state="frozen"/>
      <selection pane="topLeft" activeCell="A1" activeCellId="0" sqref="A1"/>
      <selection pane="topRight" activeCell="G1" activeCellId="0" sqref="G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5" min="3" style="0" width="13"/>
    <col collapsed="false" customWidth="true" hidden="false" outlineLevel="0" max="6" min="6" style="0" width="2"/>
    <col collapsed="false" customWidth="true" hidden="false" outlineLevel="0" max="45" min="7" style="0" width="10"/>
  </cols>
  <sheetData>
    <row r="1" customFormat="false" ht="15" hidden="false" customHeight="false" outlineLevel="0" collapsed="false">
      <c r="A1" s="1" t="s">
        <v>365</v>
      </c>
    </row>
    <row r="3" customFormat="false" ht="15" hidden="false" customHeight="false" outlineLevel="0" collapsed="false">
      <c r="A3" s="1" t="s">
        <v>48</v>
      </c>
      <c r="B3" s="1" t="s">
        <v>244</v>
      </c>
      <c r="C3" s="1" t="s">
        <v>366</v>
      </c>
      <c r="D3" s="1" t="s">
        <v>367</v>
      </c>
      <c r="E3" s="1" t="s">
        <v>368</v>
      </c>
      <c r="G3" s="17" t="n">
        <v>2027</v>
      </c>
      <c r="H3" s="17" t="n">
        <v>2028</v>
      </c>
      <c r="I3" s="17" t="n">
        <v>2029</v>
      </c>
      <c r="J3" s="17" t="n">
        <v>2030</v>
      </c>
      <c r="K3" s="17" t="n">
        <v>2031</v>
      </c>
      <c r="L3" s="17" t="n">
        <v>2032</v>
      </c>
      <c r="M3" s="17" t="n">
        <v>2033</v>
      </c>
      <c r="N3" s="17" t="n">
        <v>2034</v>
      </c>
      <c r="O3" s="17" t="n">
        <v>2035</v>
      </c>
      <c r="P3" s="17" t="n">
        <v>2036</v>
      </c>
      <c r="Q3" s="17" t="n">
        <v>2037</v>
      </c>
      <c r="R3" s="17" t="n">
        <v>2038</v>
      </c>
      <c r="S3" s="17" t="n">
        <v>2039</v>
      </c>
      <c r="T3" s="17" t="n">
        <v>2040</v>
      </c>
      <c r="U3" s="17" t="n">
        <v>2041</v>
      </c>
      <c r="V3" s="17" t="n">
        <v>2042</v>
      </c>
      <c r="W3" s="17" t="n">
        <v>2043</v>
      </c>
      <c r="X3" s="17" t="n">
        <v>2044</v>
      </c>
      <c r="Y3" s="17" t="n">
        <v>2045</v>
      </c>
      <c r="Z3" s="17" t="n">
        <v>2046</v>
      </c>
      <c r="AA3" s="17" t="n">
        <v>2047</v>
      </c>
      <c r="AB3" s="17" t="n">
        <v>2048</v>
      </c>
      <c r="AC3" s="17" t="n">
        <v>2049</v>
      </c>
      <c r="AD3" s="17" t="n">
        <v>2050</v>
      </c>
      <c r="AE3" s="17" t="n">
        <v>2051</v>
      </c>
      <c r="AF3" s="17" t="n">
        <v>2052</v>
      </c>
      <c r="AG3" s="17" t="n">
        <v>2053</v>
      </c>
      <c r="AH3" s="17" t="n">
        <v>2054</v>
      </c>
      <c r="AI3" s="17" t="n">
        <v>2055</v>
      </c>
      <c r="AJ3" s="17" t="n">
        <v>2056</v>
      </c>
      <c r="AK3" s="17" t="n">
        <v>2057</v>
      </c>
      <c r="AL3" s="17" t="n">
        <v>2058</v>
      </c>
      <c r="AM3" s="17" t="n">
        <v>2059</v>
      </c>
      <c r="AN3" s="17" t="n">
        <v>2060</v>
      </c>
      <c r="AO3" s="17" t="n">
        <v>2061</v>
      </c>
      <c r="AP3" s="17" t="n">
        <v>2062</v>
      </c>
      <c r="AQ3" s="17" t="n">
        <v>2063</v>
      </c>
      <c r="AR3" s="17" t="n">
        <v>2064</v>
      </c>
      <c r="AS3" s="17" t="n">
        <v>2065</v>
      </c>
    </row>
    <row r="4" customFormat="false" ht="15" hidden="false" customHeight="false" outlineLevel="0" collapsed="false">
      <c r="A4" s="6" t="s">
        <v>369</v>
      </c>
      <c r="G4" s="48" t="n">
        <f aca="false">Prices!G$4</f>
        <v>1.02</v>
      </c>
      <c r="H4" s="48" t="n">
        <f aca="false">Prices!H$4</f>
        <v>1.0404</v>
      </c>
      <c r="I4" s="48" t="n">
        <f aca="false">Prices!I$4</f>
        <v>1.061208</v>
      </c>
      <c r="J4" s="48" t="n">
        <f aca="false">Prices!J$4</f>
        <v>1.08243216</v>
      </c>
      <c r="K4" s="48" t="n">
        <f aca="false">Prices!K$4</f>
        <v>1.1040808032</v>
      </c>
      <c r="L4" s="48" t="n">
        <f aca="false">Prices!L$4</f>
        <v>1.126162419264</v>
      </c>
      <c r="M4" s="48" t="n">
        <f aca="false">Prices!M$4</f>
        <v>1.14868566764928</v>
      </c>
      <c r="N4" s="48" t="n">
        <f aca="false">Prices!N$4</f>
        <v>1.17165938100227</v>
      </c>
      <c r="O4" s="48" t="n">
        <f aca="false">Prices!O$4</f>
        <v>1.19509256862231</v>
      </c>
      <c r="P4" s="48" t="n">
        <f aca="false">Prices!P$4</f>
        <v>1.21899441999476</v>
      </c>
      <c r="Q4" s="48" t="n">
        <f aca="false">Prices!Q$4</f>
        <v>1.24337430839465</v>
      </c>
      <c r="R4" s="48" t="n">
        <f aca="false">Prices!R$4</f>
        <v>1.26824179456255</v>
      </c>
      <c r="S4" s="48" t="n">
        <f aca="false">Prices!S$4</f>
        <v>1.2936066304538</v>
      </c>
      <c r="T4" s="48" t="n">
        <f aca="false">Prices!T$4</f>
        <v>1.31947876306287</v>
      </c>
      <c r="U4" s="48" t="n">
        <f aca="false">Prices!U$4</f>
        <v>1.34586833832413</v>
      </c>
      <c r="V4" s="48" t="n">
        <f aca="false">Prices!V$4</f>
        <v>1.37278570509061</v>
      </c>
      <c r="W4" s="48" t="n">
        <f aca="false">Prices!W$4</f>
        <v>1.40024141919242</v>
      </c>
      <c r="X4" s="48" t="n">
        <f aca="false">Prices!X$4</f>
        <v>1.42824624757627</v>
      </c>
      <c r="Y4" s="48" t="n">
        <f aca="false">Prices!Y$4</f>
        <v>1.4568111725278</v>
      </c>
      <c r="Z4" s="48" t="n">
        <f aca="false">Prices!Z$4</f>
        <v>1.48594739597836</v>
      </c>
      <c r="AA4" s="48" t="n">
        <f aca="false">Prices!AA$4</f>
        <v>1.51566634389792</v>
      </c>
      <c r="AB4" s="48" t="n">
        <f aca="false">Prices!AB$4</f>
        <v>1.54597967077588</v>
      </c>
      <c r="AC4" s="48" t="n">
        <f aca="false">Prices!AC$4</f>
        <v>1.5768992641914</v>
      </c>
      <c r="AD4" s="48" t="n">
        <f aca="false">Prices!AD$4</f>
        <v>1.60843724947523</v>
      </c>
      <c r="AE4" s="48" t="n">
        <f aca="false">Prices!AE$4</f>
        <v>1.64060599446473</v>
      </c>
      <c r="AF4" s="48" t="n">
        <f aca="false">Prices!AF$4</f>
        <v>1.67341811435403</v>
      </c>
      <c r="AG4" s="48" t="n">
        <f aca="false">Prices!AG$4</f>
        <v>1.70688647664111</v>
      </c>
      <c r="AH4" s="48" t="n">
        <f aca="false">Prices!AH$4</f>
        <v>1.74102420617393</v>
      </c>
      <c r="AI4" s="48" t="n">
        <f aca="false">Prices!AI$4</f>
        <v>1.77584469029741</v>
      </c>
      <c r="AJ4" s="48" t="n">
        <f aca="false">Prices!AJ$4</f>
        <v>1.81136158410335</v>
      </c>
      <c r="AK4" s="48" t="n">
        <f aca="false">Prices!AK$4</f>
        <v>1.84758881578542</v>
      </c>
      <c r="AL4" s="48" t="n">
        <f aca="false">Prices!AL$4</f>
        <v>1.88454059210113</v>
      </c>
      <c r="AM4" s="48" t="n">
        <f aca="false">Prices!AM$4</f>
        <v>1.92223140394315</v>
      </c>
      <c r="AN4" s="48" t="n">
        <f aca="false">Prices!AN$4</f>
        <v>1.96067603202202</v>
      </c>
      <c r="AO4" s="48" t="n">
        <f aca="false">Prices!AO$4</f>
        <v>1.99988955266246</v>
      </c>
      <c r="AP4" s="48" t="n">
        <f aca="false">Prices!AP$4</f>
        <v>2.03988734371571</v>
      </c>
      <c r="AQ4" s="48" t="n">
        <f aca="false">Prices!AQ$4</f>
        <v>2.08068509059002</v>
      </c>
      <c r="AR4" s="48" t="n">
        <f aca="false">Prices!AR$4</f>
        <v>2.12229879240182</v>
      </c>
      <c r="AS4" s="48" t="n">
        <f aca="false">Prices!AS$4</f>
        <v>2.16474476824986</v>
      </c>
    </row>
    <row r="5" customFormat="false" ht="15" hidden="false" customHeight="false" outlineLevel="0" collapsed="false">
      <c r="A5" s="1" t="s">
        <v>370</v>
      </c>
    </row>
    <row r="6" customFormat="false" ht="15" hidden="false" customHeight="false" outlineLevel="0" collapsed="false">
      <c r="A6" s="6" t="s">
        <v>371</v>
      </c>
      <c r="B6" s="6" t="s">
        <v>372</v>
      </c>
      <c r="C6" s="9" t="n">
        <f aca="false">SUM(G6:AS6)</f>
        <v>514082.271225582</v>
      </c>
      <c r="G6" s="9" t="n">
        <f aca="false">SUMIF($B$35:$B$574,"energy",G$35:G$574)</f>
        <v>16386.007803798</v>
      </c>
      <c r="H6" s="9" t="n">
        <f aca="false">SUMIF($B$35:$B$574,"energy",H$35:H$574)</f>
        <v>16699.404487632</v>
      </c>
      <c r="I6" s="9" t="n">
        <f aca="false">SUMIF($B$35:$B$574,"energy",I$35:I$574)</f>
        <v>15692.584187819</v>
      </c>
      <c r="J6" s="9" t="n">
        <f aca="false">SUMIF($B$35:$B$574,"energy",J$35:J$574)</f>
        <v>15474.1059498111</v>
      </c>
      <c r="K6" s="9" t="n">
        <f aca="false">SUMIF($B$35:$B$574,"energy",K$35:K$574)</f>
        <v>15783.5880688073</v>
      </c>
      <c r="L6" s="9" t="n">
        <f aca="false">SUMIF($B$35:$B$574,"energy",L$35:L$574)</f>
        <v>16099.2598301835</v>
      </c>
      <c r="M6" s="9" t="n">
        <f aca="false">SUMIF($B$35:$B$574,"energy",M$35:M$574)</f>
        <v>16421.2450267871</v>
      </c>
      <c r="N6" s="9" t="n">
        <f aca="false">SUMIF($B$35:$B$574,"energy",N$35:N$574)</f>
        <v>16749.6699273229</v>
      </c>
      <c r="O6" s="9" t="n">
        <f aca="false">SUMIF($B$35:$B$574,"energy",O$35:O$574)</f>
        <v>17084.6633258693</v>
      </c>
      <c r="P6" s="9" t="n">
        <f aca="false">SUMIF($B$35:$B$574,"energy",P$35:P$574)</f>
        <v>17841.2564961249</v>
      </c>
      <c r="Q6" s="9" t="n">
        <f aca="false">SUMIF($B$35:$B$574,"energy",Q$35:Q$574)</f>
        <v>18198.0816260474</v>
      </c>
      <c r="R6" s="9" t="n">
        <f aca="false">SUMIF($B$35:$B$574,"energy",R$35:R$574)</f>
        <v>18562.0432585684</v>
      </c>
      <c r="S6" s="9" t="n">
        <f aca="false">SUMIF($B$35:$B$574,"energy",S$35:S$574)</f>
        <v>18560.3230414487</v>
      </c>
      <c r="T6" s="9" t="n">
        <f aca="false">SUMIF($B$35:$B$574,"energy",T$35:T$574)</f>
        <v>18931.5295022777</v>
      </c>
      <c r="U6" s="9" t="n">
        <f aca="false">SUMIF($B$35:$B$574,"energy",U$35:U$574)</f>
        <v>19196.3667649672</v>
      </c>
      <c r="V6" s="9" t="n">
        <f aca="false">SUMIF($B$35:$B$574,"energy",V$35:V$574)</f>
        <v>19580.2941002665</v>
      </c>
      <c r="W6" s="9" t="n">
        <f aca="false">SUMIF($B$35:$B$574,"energy",W$35:W$574)</f>
        <v>19971.8999822718</v>
      </c>
      <c r="X6" s="9" t="n">
        <f aca="false">SUMIF($B$35:$B$574,"energy",X$35:X$574)</f>
        <v>20371.3379819173</v>
      </c>
      <c r="Y6" s="9" t="n">
        <f aca="false">SUMIF($B$35:$B$574,"energy",Y$35:Y$574)</f>
        <v>20778.7647415556</v>
      </c>
      <c r="Z6" s="9" t="n">
        <f aca="false">SUMIF($B$35:$B$574,"energy",Z$35:Z$574)</f>
        <v>15158.1203321846</v>
      </c>
      <c r="AA6" s="9" t="n">
        <f aca="false">SUMIF($B$35:$B$574,"energy",AA$35:AA$574)</f>
        <v>16703.5836339832</v>
      </c>
      <c r="AB6" s="9" t="n">
        <f aca="false">SUMIF($B$35:$B$574,"energy",AB$35:AB$574)</f>
        <v>17668.0578760167</v>
      </c>
      <c r="AC6" s="9" t="n">
        <f aca="false">SUMIF($B$35:$B$574,"energy",AC$35:AC$574)</f>
        <v>18021.419033537</v>
      </c>
      <c r="AD6" s="9" t="n">
        <f aca="false">SUMIF($B$35:$B$574,"energy",AD$35:AD$574)</f>
        <v>18381.8474142078</v>
      </c>
      <c r="AE6" s="9" t="n">
        <f aca="false">SUMIF($B$35:$B$574,"energy",AE$35:AE$574)</f>
        <v>17388.5958690301</v>
      </c>
      <c r="AF6" s="9" t="n">
        <f aca="false">SUMIF($B$35:$B$574,"energy",AF$35:AF$574)</f>
        <v>17736.3677864107</v>
      </c>
      <c r="AG6" s="9" t="n">
        <f aca="false">SUMIF($B$35:$B$574,"energy",AG$35:AG$574)</f>
        <v>18091.0951421389</v>
      </c>
      <c r="AH6" s="9" t="n">
        <f aca="false">SUMIF($B$35:$B$574,"energy",AH$35:AH$574)</f>
        <v>18452.9170449817</v>
      </c>
      <c r="AI6" s="9" t="n">
        <f aca="false">SUMIF($B$35:$B$574,"energy",AI$35:AI$574)</f>
        <v>18097.8409896153</v>
      </c>
      <c r="AJ6" s="9" t="n">
        <f aca="false">SUMIF($B$35:$B$574,"energy",AJ$35:AJ$574)</f>
        <v>0</v>
      </c>
      <c r="AK6" s="9" t="n">
        <f aca="false">SUMIF($B$35:$B$574,"energy",AK$35:AK$574)</f>
        <v>0</v>
      </c>
      <c r="AL6" s="9" t="n">
        <f aca="false">SUMIF($B$35:$B$574,"energy",AL$35:AL$574)</f>
        <v>0</v>
      </c>
      <c r="AM6" s="9" t="n">
        <f aca="false">SUMIF($B$35:$B$574,"energy",AM$35:AM$574)</f>
        <v>0</v>
      </c>
      <c r="AN6" s="9" t="n">
        <f aca="false">SUMIF($B$35:$B$574,"energy",AN$35:AN$574)</f>
        <v>0</v>
      </c>
      <c r="AO6" s="9" t="n">
        <f aca="false">SUMIF($B$35:$B$574,"energy",AO$35:AO$574)</f>
        <v>0</v>
      </c>
      <c r="AP6" s="9" t="n">
        <f aca="false">SUMIF($B$35:$B$574,"energy",AP$35:AP$574)</f>
        <v>0</v>
      </c>
      <c r="AQ6" s="9" t="n">
        <f aca="false">SUMIF($B$35:$B$574,"energy",AQ$35:AQ$574)</f>
        <v>0</v>
      </c>
      <c r="AR6" s="9" t="n">
        <f aca="false">SUMIF($B$35:$B$574,"energy",AR$35:AR$574)</f>
        <v>0</v>
      </c>
      <c r="AS6" s="9" t="n">
        <f aca="false">SUMIF($B$35:$B$574,"energy",AS$35:AS$574)</f>
        <v>0</v>
      </c>
    </row>
    <row r="7" customFormat="false" ht="15" hidden="false" customHeight="false" outlineLevel="0" collapsed="false">
      <c r="A7" s="6" t="s">
        <v>373</v>
      </c>
      <c r="B7" s="6" t="s">
        <v>374</v>
      </c>
      <c r="C7" s="9" t="n">
        <f aca="false">SUM(G7:AS7)</f>
        <v>76134.8720001799</v>
      </c>
      <c r="G7" s="9" t="n">
        <f aca="false">SUMIF($B$35:$B$574,"capacity",G$35:G$574)</f>
        <v>2732.43405185</v>
      </c>
      <c r="H7" s="9" t="n">
        <f aca="false">SUMIF($B$35:$B$574,"capacity",H$35:H$574)</f>
        <v>2723.8784076412</v>
      </c>
      <c r="I7" s="9" t="n">
        <f aca="false">SUMIF($B$35:$B$574,"capacity",I$35:I$574)</f>
        <v>2407.82315199057</v>
      </c>
      <c r="J7" s="9" t="n">
        <f aca="false">SUMIF($B$35:$B$574,"capacity",J$35:J$574)</f>
        <v>2233.56341858511</v>
      </c>
      <c r="K7" s="9" t="n">
        <f aca="false">SUMIF($B$35:$B$574,"capacity",K$35:K$574)</f>
        <v>2278.23468695681</v>
      </c>
      <c r="L7" s="9" t="n">
        <f aca="false">SUMIF($B$35:$B$574,"capacity",L$35:L$574)</f>
        <v>2323.79938069595</v>
      </c>
      <c r="M7" s="9" t="n">
        <f aca="false">SUMIF($B$35:$B$574,"capacity",M$35:M$574)</f>
        <v>2370.27536830987</v>
      </c>
      <c r="N7" s="9" t="n">
        <f aca="false">SUMIF($B$35:$B$574,"capacity",N$35:N$574)</f>
        <v>2417.68087567607</v>
      </c>
      <c r="O7" s="9" t="n">
        <f aca="false">SUMIF($B$35:$B$574,"capacity",O$35:O$574)</f>
        <v>2466.03449318959</v>
      </c>
      <c r="P7" s="9" t="n">
        <f aca="false">SUMIF($B$35:$B$574,"capacity",P$35:P$574)</f>
        <v>2581.42772810315</v>
      </c>
      <c r="Q7" s="9" t="n">
        <f aca="false">SUMIF($B$35:$B$574,"capacity",Q$35:Q$574)</f>
        <v>2633.05628266521</v>
      </c>
      <c r="R7" s="9" t="n">
        <f aca="false">SUMIF($B$35:$B$574,"capacity",R$35:R$574)</f>
        <v>2685.71740831851</v>
      </c>
      <c r="S7" s="9" t="n">
        <f aca="false">SUMIF($B$35:$B$574,"capacity",S$35:S$574)</f>
        <v>2571.19130633496</v>
      </c>
      <c r="T7" s="9" t="n">
        <f aca="false">SUMIF($B$35:$B$574,"capacity",T$35:T$574)</f>
        <v>2622.61513246166</v>
      </c>
      <c r="U7" s="9" t="n">
        <f aca="false">SUMIF($B$35:$B$574,"capacity",U$35:U$574)</f>
        <v>2623.19228587853</v>
      </c>
      <c r="V7" s="9" t="n">
        <f aca="false">SUMIF($B$35:$B$574,"capacity",V$35:V$574)</f>
        <v>2675.6561315961</v>
      </c>
      <c r="W7" s="9" t="n">
        <f aca="false">SUMIF($B$35:$B$574,"capacity",W$35:W$574)</f>
        <v>2729.16925422802</v>
      </c>
      <c r="X7" s="9" t="n">
        <f aca="false">SUMIF($B$35:$B$574,"capacity",X$35:X$574)</f>
        <v>2783.75263931258</v>
      </c>
      <c r="Y7" s="9" t="n">
        <f aca="false">SUMIF($B$35:$B$574,"capacity",Y$35:Y$574)</f>
        <v>2839.42769209883</v>
      </c>
      <c r="Z7" s="9" t="n">
        <f aca="false">SUMIF($B$35:$B$574,"capacity",Z$35:Z$574)</f>
        <v>2295.90939760269</v>
      </c>
      <c r="AA7" s="9" t="n">
        <f aca="false">SUMIF($B$35:$B$574,"capacity",AA$35:AA$574)</f>
        <v>2515.47171904302</v>
      </c>
      <c r="AB7" s="9" t="n">
        <f aca="false">SUMIF($B$35:$B$574,"capacity",AB$35:AB$574)</f>
        <v>2668.733099408</v>
      </c>
      <c r="AC7" s="9" t="n">
        <f aca="false">SUMIF($B$35:$B$574,"capacity",AC$35:AC$574)</f>
        <v>2722.10776139616</v>
      </c>
      <c r="AD7" s="9" t="n">
        <f aca="false">SUMIF($B$35:$B$574,"capacity",AD$35:AD$574)</f>
        <v>2776.54991662408</v>
      </c>
      <c r="AE7" s="9" t="n">
        <f aca="false">SUMIF($B$35:$B$574,"capacity",AE$35:AE$574)</f>
        <v>2800.79119047802</v>
      </c>
      <c r="AF7" s="9" t="n">
        <f aca="false">SUMIF($B$35:$B$574,"capacity",AF$35:AF$574)</f>
        <v>2856.80701428758</v>
      </c>
      <c r="AG7" s="9" t="n">
        <f aca="false">SUMIF($B$35:$B$574,"capacity",AG$35:AG$574)</f>
        <v>2913.94315457333</v>
      </c>
      <c r="AH7" s="9" t="n">
        <f aca="false">SUMIF($B$35:$B$574,"capacity",AH$35:AH$574)</f>
        <v>2972.22201766479</v>
      </c>
      <c r="AI7" s="9" t="n">
        <f aca="false">SUMIF($B$35:$B$574,"capacity",AI$35:AI$574)</f>
        <v>2913.40703320953</v>
      </c>
      <c r="AJ7" s="9" t="n">
        <f aca="false">SUMIF($B$35:$B$574,"capacity",AJ$35:AJ$574)</f>
        <v>0</v>
      </c>
      <c r="AK7" s="9" t="n">
        <f aca="false">SUMIF($B$35:$B$574,"capacity",AK$35:AK$574)</f>
        <v>0</v>
      </c>
      <c r="AL7" s="9" t="n">
        <f aca="false">SUMIF($B$35:$B$574,"capacity",AL$35:AL$574)</f>
        <v>0</v>
      </c>
      <c r="AM7" s="9" t="n">
        <f aca="false">SUMIF($B$35:$B$574,"capacity",AM$35:AM$574)</f>
        <v>0</v>
      </c>
      <c r="AN7" s="9" t="n">
        <f aca="false">SUMIF($B$35:$B$574,"capacity",AN$35:AN$574)</f>
        <v>0</v>
      </c>
      <c r="AO7" s="9" t="n">
        <f aca="false">SUMIF($B$35:$B$574,"capacity",AO$35:AO$574)</f>
        <v>0</v>
      </c>
      <c r="AP7" s="9" t="n">
        <f aca="false">SUMIF($B$35:$B$574,"capacity",AP$35:AP$574)</f>
        <v>0</v>
      </c>
      <c r="AQ7" s="9" t="n">
        <f aca="false">SUMIF($B$35:$B$574,"capacity",AQ$35:AQ$574)</f>
        <v>0</v>
      </c>
      <c r="AR7" s="9" t="n">
        <f aca="false">SUMIF($B$35:$B$574,"capacity",AR$35:AR$574)</f>
        <v>0</v>
      </c>
      <c r="AS7" s="9" t="n">
        <f aca="false">SUMIF($B$35:$B$574,"capacity",AS$35:AS$574)</f>
        <v>0</v>
      </c>
    </row>
    <row r="8" customFormat="false" ht="15" hidden="false" customHeight="false" outlineLevel="0" collapsed="false">
      <c r="A8" s="6" t="s">
        <v>375</v>
      </c>
      <c r="B8" s="6" t="s">
        <v>376</v>
      </c>
      <c r="C8" s="9" t="n">
        <f aca="false">SUM(G8:AS8)</f>
        <v>44913.8997</v>
      </c>
      <c r="G8" s="9" t="n">
        <f aca="false">SUMIF($B$35:$B$574,"ppa",G$35:G$574)</f>
        <v>1822.85526</v>
      </c>
      <c r="H8" s="9" t="n">
        <f aca="false">SUMIF($B$35:$B$574,"ppa",H$35:H$574)</f>
        <v>2506.77036</v>
      </c>
      <c r="I8" s="9" t="n">
        <f aca="false">SUMIF($B$35:$B$574,"ppa",I$35:I$574)</f>
        <v>2506.77036</v>
      </c>
      <c r="J8" s="9" t="n">
        <f aca="false">SUMIF($B$35:$B$574,"ppa",J$35:J$574)</f>
        <v>2506.77036</v>
      </c>
      <c r="K8" s="9" t="n">
        <f aca="false">SUMIF($B$35:$B$574,"ppa",K$35:K$574)</f>
        <v>2506.77036</v>
      </c>
      <c r="L8" s="9" t="n">
        <f aca="false">SUMIF($B$35:$B$574,"ppa",L$35:L$574)</f>
        <v>2506.77036</v>
      </c>
      <c r="M8" s="9" t="n">
        <f aca="false">SUMIF($B$35:$B$574,"ppa",M$35:M$574)</f>
        <v>2506.77036</v>
      </c>
      <c r="N8" s="9" t="n">
        <f aca="false">SUMIF($B$35:$B$574,"ppa",N$35:N$574)</f>
        <v>2506.77036</v>
      </c>
      <c r="O8" s="9" t="n">
        <f aca="false">SUMIF($B$35:$B$574,"ppa",O$35:O$574)</f>
        <v>2506.77036</v>
      </c>
      <c r="P8" s="9" t="n">
        <f aca="false">SUMIF($B$35:$B$574,"ppa",P$35:P$574)</f>
        <v>2032.08786</v>
      </c>
      <c r="Q8" s="9" t="n">
        <f aca="false">SUMIF($B$35:$B$574,"ppa",Q$35:Q$574)</f>
        <v>2032.08786</v>
      </c>
      <c r="R8" s="9" t="n">
        <f aca="false">SUMIF($B$35:$B$574,"ppa",R$35:R$574)</f>
        <v>2032.08786</v>
      </c>
      <c r="S8" s="9" t="n">
        <f aca="false">SUMIF($B$35:$B$574,"ppa",S$35:S$574)</f>
        <v>2032.08786</v>
      </c>
      <c r="T8" s="9" t="n">
        <f aca="false">SUMIF($B$35:$B$574,"ppa",T$35:T$574)</f>
        <v>2032.08786</v>
      </c>
      <c r="U8" s="9" t="n">
        <f aca="false">SUMIF($B$35:$B$574,"ppa",U$35:U$574)</f>
        <v>2032.08786</v>
      </c>
      <c r="V8" s="9" t="n">
        <f aca="false">SUMIF($B$35:$B$574,"ppa",V$35:V$574)</f>
        <v>2032.08786</v>
      </c>
      <c r="W8" s="9" t="n">
        <f aca="false">SUMIF($B$35:$B$574,"ppa",W$35:W$574)</f>
        <v>2032.08786</v>
      </c>
      <c r="X8" s="9" t="n">
        <f aca="false">SUMIF($B$35:$B$574,"ppa",X$35:X$574)</f>
        <v>2032.08786</v>
      </c>
      <c r="Y8" s="9" t="n">
        <f aca="false">SUMIF($B$35:$B$574,"ppa",Y$35:Y$574)</f>
        <v>2032.08786</v>
      </c>
      <c r="Z8" s="9" t="n">
        <f aca="false">SUMIF($B$35:$B$574,"ppa",Z$35:Z$574)</f>
        <v>2032.08786</v>
      </c>
      <c r="AA8" s="9" t="n">
        <f aca="false">SUMIF($B$35:$B$574,"ppa",AA$35:AA$574)</f>
        <v>683.9151</v>
      </c>
      <c r="AB8" s="9" t="n">
        <f aca="false">SUMIF($B$35:$B$574,"ppa",AB$35:AB$574)</f>
        <v>0</v>
      </c>
      <c r="AC8" s="9" t="n">
        <f aca="false">SUMIF($B$35:$B$574,"ppa",AC$35:AC$574)</f>
        <v>0</v>
      </c>
      <c r="AD8" s="9" t="n">
        <f aca="false">SUMIF($B$35:$B$574,"ppa",AD$35:AD$574)</f>
        <v>0</v>
      </c>
      <c r="AE8" s="9" t="n">
        <f aca="false">SUMIF($B$35:$B$574,"ppa",AE$35:AE$574)</f>
        <v>0</v>
      </c>
      <c r="AF8" s="9" t="n">
        <f aca="false">SUMIF($B$35:$B$574,"ppa",AF$35:AF$574)</f>
        <v>0</v>
      </c>
      <c r="AG8" s="9" t="n">
        <f aca="false">SUMIF($B$35:$B$574,"ppa",AG$35:AG$574)</f>
        <v>0</v>
      </c>
      <c r="AH8" s="9" t="n">
        <f aca="false">SUMIF($B$35:$B$574,"ppa",AH$35:AH$574)</f>
        <v>0</v>
      </c>
      <c r="AI8" s="9" t="n">
        <f aca="false">SUMIF($B$35:$B$574,"ppa",AI$35:AI$574)</f>
        <v>0</v>
      </c>
      <c r="AJ8" s="9" t="n">
        <f aca="false">SUMIF($B$35:$B$574,"ppa",AJ$35:AJ$574)</f>
        <v>0</v>
      </c>
      <c r="AK8" s="9" t="n">
        <f aca="false">SUMIF($B$35:$B$574,"ppa",AK$35:AK$574)</f>
        <v>0</v>
      </c>
      <c r="AL8" s="9" t="n">
        <f aca="false">SUMIF($B$35:$B$574,"ppa",AL$35:AL$574)</f>
        <v>0</v>
      </c>
      <c r="AM8" s="9" t="n">
        <f aca="false">SUMIF($B$35:$B$574,"ppa",AM$35:AM$574)</f>
        <v>0</v>
      </c>
      <c r="AN8" s="9" t="n">
        <f aca="false">SUMIF($B$35:$B$574,"ppa",AN$35:AN$574)</f>
        <v>0</v>
      </c>
      <c r="AO8" s="9" t="n">
        <f aca="false">SUMIF($B$35:$B$574,"ppa",AO$35:AO$574)</f>
        <v>0</v>
      </c>
      <c r="AP8" s="9" t="n">
        <f aca="false">SUMIF($B$35:$B$574,"ppa",AP$35:AP$574)</f>
        <v>0</v>
      </c>
      <c r="AQ8" s="9" t="n">
        <f aca="false">SUMIF($B$35:$B$574,"ppa",AQ$35:AQ$574)</f>
        <v>0</v>
      </c>
      <c r="AR8" s="9" t="n">
        <f aca="false">SUMIF($B$35:$B$574,"ppa",AR$35:AR$574)</f>
        <v>0</v>
      </c>
      <c r="AS8" s="9" t="n">
        <f aca="false">SUMIF($B$35:$B$574,"ppa",AS$35:AS$574)</f>
        <v>0</v>
      </c>
    </row>
    <row r="9" customFormat="false" ht="15" hidden="false" customHeight="false" outlineLevel="0" collapsed="false">
      <c r="A9" s="6" t="s">
        <v>377</v>
      </c>
      <c r="B9" s="6" t="s">
        <v>378</v>
      </c>
      <c r="C9" s="9" t="n">
        <f aca="false">SUM(G9:AS9)</f>
        <v>1326.8772</v>
      </c>
      <c r="G9" s="9" t="n">
        <f aca="false">SUMIF($B$35:$B$574,"zec",G$35:G$574)</f>
        <v>442.2924</v>
      </c>
      <c r="H9" s="9" t="n">
        <f aca="false">SUMIF($B$35:$B$574,"zec",H$35:H$574)</f>
        <v>442.2924</v>
      </c>
      <c r="I9" s="9" t="n">
        <f aca="false">SUMIF($B$35:$B$574,"zec",I$35:I$574)</f>
        <v>442.2924</v>
      </c>
      <c r="J9" s="9" t="n">
        <f aca="false">SUMIF($B$35:$B$574,"zec",J$35:J$574)</f>
        <v>0</v>
      </c>
      <c r="K9" s="9" t="n">
        <f aca="false">SUMIF($B$35:$B$574,"zec",K$35:K$574)</f>
        <v>0</v>
      </c>
      <c r="L9" s="9" t="n">
        <f aca="false">SUMIF($B$35:$B$574,"zec",L$35:L$574)</f>
        <v>0</v>
      </c>
      <c r="M9" s="9" t="n">
        <f aca="false">SUMIF($B$35:$B$574,"zec",M$35:M$574)</f>
        <v>0</v>
      </c>
      <c r="N9" s="9" t="n">
        <f aca="false">SUMIF($B$35:$B$574,"zec",N$35:N$574)</f>
        <v>0</v>
      </c>
      <c r="O9" s="9" t="n">
        <f aca="false">SUMIF($B$35:$B$574,"zec",O$35:O$574)</f>
        <v>0</v>
      </c>
      <c r="P9" s="9" t="n">
        <f aca="false">SUMIF($B$35:$B$574,"zec",P$35:P$574)</f>
        <v>0</v>
      </c>
      <c r="Q9" s="9" t="n">
        <f aca="false">SUMIF($B$35:$B$574,"zec",Q$35:Q$574)</f>
        <v>0</v>
      </c>
      <c r="R9" s="9" t="n">
        <f aca="false">SUMIF($B$35:$B$574,"zec",R$35:R$574)</f>
        <v>0</v>
      </c>
      <c r="S9" s="9" t="n">
        <f aca="false">SUMIF($B$35:$B$574,"zec",S$35:S$574)</f>
        <v>0</v>
      </c>
      <c r="T9" s="9" t="n">
        <f aca="false">SUMIF($B$35:$B$574,"zec",T$35:T$574)</f>
        <v>0</v>
      </c>
      <c r="U9" s="9" t="n">
        <f aca="false">SUMIF($B$35:$B$574,"zec",U$35:U$574)</f>
        <v>0</v>
      </c>
      <c r="V9" s="9" t="n">
        <f aca="false">SUMIF($B$35:$B$574,"zec",V$35:V$574)</f>
        <v>0</v>
      </c>
      <c r="W9" s="9" t="n">
        <f aca="false">SUMIF($B$35:$B$574,"zec",W$35:W$574)</f>
        <v>0</v>
      </c>
      <c r="X9" s="9" t="n">
        <f aca="false">SUMIF($B$35:$B$574,"zec",X$35:X$574)</f>
        <v>0</v>
      </c>
      <c r="Y9" s="9" t="n">
        <f aca="false">SUMIF($B$35:$B$574,"zec",Y$35:Y$574)</f>
        <v>0</v>
      </c>
      <c r="Z9" s="9" t="n">
        <f aca="false">SUMIF($B$35:$B$574,"zec",Z$35:Z$574)</f>
        <v>0</v>
      </c>
      <c r="AA9" s="9" t="n">
        <f aca="false">SUMIF($B$35:$B$574,"zec",AA$35:AA$574)</f>
        <v>0</v>
      </c>
      <c r="AB9" s="9" t="n">
        <f aca="false">SUMIF($B$35:$B$574,"zec",AB$35:AB$574)</f>
        <v>0</v>
      </c>
      <c r="AC9" s="9" t="n">
        <f aca="false">SUMIF($B$35:$B$574,"zec",AC$35:AC$574)</f>
        <v>0</v>
      </c>
      <c r="AD9" s="9" t="n">
        <f aca="false">SUMIF($B$35:$B$574,"zec",AD$35:AD$574)</f>
        <v>0</v>
      </c>
      <c r="AE9" s="9" t="n">
        <f aca="false">SUMIF($B$35:$B$574,"zec",AE$35:AE$574)</f>
        <v>0</v>
      </c>
      <c r="AF9" s="9" t="n">
        <f aca="false">SUMIF($B$35:$B$574,"zec",AF$35:AF$574)</f>
        <v>0</v>
      </c>
      <c r="AG9" s="9" t="n">
        <f aca="false">SUMIF($B$35:$B$574,"zec",AG$35:AG$574)</f>
        <v>0</v>
      </c>
      <c r="AH9" s="9" t="n">
        <f aca="false">SUMIF($B$35:$B$574,"zec",AH$35:AH$574)</f>
        <v>0</v>
      </c>
      <c r="AI9" s="9" t="n">
        <f aca="false">SUMIF($B$35:$B$574,"zec",AI$35:AI$574)</f>
        <v>0</v>
      </c>
      <c r="AJ9" s="9" t="n">
        <f aca="false">SUMIF($B$35:$B$574,"zec",AJ$35:AJ$574)</f>
        <v>0</v>
      </c>
      <c r="AK9" s="9" t="n">
        <f aca="false">SUMIF($B$35:$B$574,"zec",AK$35:AK$574)</f>
        <v>0</v>
      </c>
      <c r="AL9" s="9" t="n">
        <f aca="false">SUMIF($B$35:$B$574,"zec",AL$35:AL$574)</f>
        <v>0</v>
      </c>
      <c r="AM9" s="9" t="n">
        <f aca="false">SUMIF($B$35:$B$574,"zec",AM$35:AM$574)</f>
        <v>0</v>
      </c>
      <c r="AN9" s="9" t="n">
        <f aca="false">SUMIF($B$35:$B$574,"zec",AN$35:AN$574)</f>
        <v>0</v>
      </c>
      <c r="AO9" s="9" t="n">
        <f aca="false">SUMIF($B$35:$B$574,"zec",AO$35:AO$574)</f>
        <v>0</v>
      </c>
      <c r="AP9" s="9" t="n">
        <f aca="false">SUMIF($B$35:$B$574,"zec",AP$35:AP$574)</f>
        <v>0</v>
      </c>
      <c r="AQ9" s="9" t="n">
        <f aca="false">SUMIF($B$35:$B$574,"zec",AQ$35:AQ$574)</f>
        <v>0</v>
      </c>
      <c r="AR9" s="9" t="n">
        <f aca="false">SUMIF($B$35:$B$574,"zec",AR$35:AR$574)</f>
        <v>0</v>
      </c>
      <c r="AS9" s="9" t="n">
        <f aca="false">SUMIF($B$35:$B$574,"zec",AS$35:AS$574)</f>
        <v>0</v>
      </c>
    </row>
    <row r="10" customFormat="false" ht="15" hidden="false" customHeight="false" outlineLevel="0" collapsed="false">
      <c r="A10" s="49" t="s">
        <v>379</v>
      </c>
      <c r="B10" s="50" t="s">
        <v>380</v>
      </c>
      <c r="C10" s="51" t="n">
        <f aca="false">SUM(G10:AS10)</f>
        <v>636457.920125762</v>
      </c>
      <c r="D10" s="52"/>
      <c r="E10" s="52"/>
      <c r="F10" s="52"/>
      <c r="G10" s="51" t="n">
        <f aca="false">SUMIF($B$35:$B$574,"revenue",G$35:G$574)</f>
        <v>21383.589515648</v>
      </c>
      <c r="H10" s="51" t="n">
        <f aca="false">SUMIF($B$35:$B$574,"revenue",H$35:H$574)</f>
        <v>22372.3456552732</v>
      </c>
      <c r="I10" s="51" t="n">
        <f aca="false">SUMIF($B$35:$B$574,"revenue",I$35:I$574)</f>
        <v>21049.4700998095</v>
      </c>
      <c r="J10" s="51" t="n">
        <f aca="false">SUMIF($B$35:$B$574,"revenue",J$35:J$574)</f>
        <v>20214.4397283962</v>
      </c>
      <c r="K10" s="51" t="n">
        <f aca="false">SUMIF($B$35:$B$574,"revenue",K$35:K$574)</f>
        <v>20568.5931157641</v>
      </c>
      <c r="L10" s="51" t="n">
        <f aca="false">SUMIF($B$35:$B$574,"revenue",L$35:L$574)</f>
        <v>20929.8295708794</v>
      </c>
      <c r="M10" s="51" t="n">
        <f aca="false">SUMIF($B$35:$B$574,"revenue",M$35:M$574)</f>
        <v>21298.290755097</v>
      </c>
      <c r="N10" s="51" t="n">
        <f aca="false">SUMIF($B$35:$B$574,"revenue",N$35:N$574)</f>
        <v>21674.1211629989</v>
      </c>
      <c r="O10" s="51" t="n">
        <f aca="false">SUMIF($B$35:$B$574,"revenue",O$35:O$574)</f>
        <v>22057.4681790589</v>
      </c>
      <c r="P10" s="51" t="n">
        <f aca="false">SUMIF($B$35:$B$574,"revenue",P$35:P$574)</f>
        <v>22454.7720842281</v>
      </c>
      <c r="Q10" s="51" t="n">
        <f aca="false">SUMIF($B$35:$B$574,"revenue",Q$35:Q$574)</f>
        <v>22863.2257687126</v>
      </c>
      <c r="R10" s="51" t="n">
        <f aca="false">SUMIF($B$35:$B$574,"revenue",R$35:R$574)</f>
        <v>23279.8485268869</v>
      </c>
      <c r="S10" s="51" t="n">
        <f aca="false">SUMIF($B$35:$B$574,"revenue",S$35:S$574)</f>
        <v>23163.6022077837</v>
      </c>
      <c r="T10" s="51" t="n">
        <f aca="false">SUMIF($B$35:$B$574,"revenue",T$35:T$574)</f>
        <v>23586.2324947394</v>
      </c>
      <c r="U10" s="51" t="n">
        <f aca="false">SUMIF($B$35:$B$574,"revenue",U$35:U$574)</f>
        <v>23851.6469108457</v>
      </c>
      <c r="V10" s="51" t="n">
        <f aca="false">SUMIF($B$35:$B$574,"revenue",V$35:V$574)</f>
        <v>24288.0380918626</v>
      </c>
      <c r="W10" s="51" t="n">
        <f aca="false">SUMIF($B$35:$B$574,"revenue",W$35:W$574)</f>
        <v>24733.1570964999</v>
      </c>
      <c r="X10" s="51" t="n">
        <f aca="false">SUMIF($B$35:$B$574,"revenue",X$35:X$574)</f>
        <v>25187.1784812299</v>
      </c>
      <c r="Y10" s="51" t="n">
        <f aca="false">SUMIF($B$35:$B$574,"revenue",Y$35:Y$574)</f>
        <v>25650.2802936544</v>
      </c>
      <c r="Z10" s="51" t="n">
        <f aca="false">SUMIF($B$35:$B$574,"revenue",Z$35:Z$574)</f>
        <v>19486.1175897873</v>
      </c>
      <c r="AA10" s="51" t="n">
        <f aca="false">SUMIF($B$35:$B$574,"revenue",AA$35:AA$574)</f>
        <v>19902.9704530263</v>
      </c>
      <c r="AB10" s="51" t="n">
        <f aca="false">SUMIF($B$35:$B$574,"revenue",AB$35:AB$574)</f>
        <v>20336.7909754247</v>
      </c>
      <c r="AC10" s="51" t="n">
        <f aca="false">SUMIF($B$35:$B$574,"revenue",AC$35:AC$574)</f>
        <v>20743.5267949332</v>
      </c>
      <c r="AD10" s="51" t="n">
        <f aca="false">SUMIF($B$35:$B$574,"revenue",AD$35:AD$574)</f>
        <v>21158.3973308319</v>
      </c>
      <c r="AE10" s="51" t="n">
        <f aca="false">SUMIF($B$35:$B$574,"revenue",AE$35:AE$574)</f>
        <v>20189.3870595081</v>
      </c>
      <c r="AF10" s="51" t="n">
        <f aca="false">SUMIF($B$35:$B$574,"revenue",AF$35:AF$574)</f>
        <v>20593.1748006983</v>
      </c>
      <c r="AG10" s="51" t="n">
        <f aca="false">SUMIF($B$35:$B$574,"revenue",AG$35:AG$574)</f>
        <v>21005.0382967123</v>
      </c>
      <c r="AH10" s="51" t="n">
        <f aca="false">SUMIF($B$35:$B$574,"revenue",AH$35:AH$574)</f>
        <v>21425.1390626465</v>
      </c>
      <c r="AI10" s="51" t="n">
        <f aca="false">SUMIF($B$35:$B$574,"revenue",AI$35:AI$574)</f>
        <v>21011.2480228249</v>
      </c>
      <c r="AJ10" s="51" t="n">
        <f aca="false">SUMIF($B$35:$B$574,"revenue",AJ$35:AJ$574)</f>
        <v>0</v>
      </c>
      <c r="AK10" s="51" t="n">
        <f aca="false">SUMIF($B$35:$B$574,"revenue",AK$35:AK$574)</f>
        <v>0</v>
      </c>
      <c r="AL10" s="51" t="n">
        <f aca="false">SUMIF($B$35:$B$574,"revenue",AL$35:AL$574)</f>
        <v>0</v>
      </c>
      <c r="AM10" s="51" t="n">
        <f aca="false">SUMIF($B$35:$B$574,"revenue",AM$35:AM$574)</f>
        <v>0</v>
      </c>
      <c r="AN10" s="51" t="n">
        <f aca="false">SUMIF($B$35:$B$574,"revenue",AN$35:AN$574)</f>
        <v>0</v>
      </c>
      <c r="AO10" s="51" t="n">
        <f aca="false">SUMIF($B$35:$B$574,"revenue",AO$35:AO$574)</f>
        <v>0</v>
      </c>
      <c r="AP10" s="51" t="n">
        <f aca="false">SUMIF($B$35:$B$574,"revenue",AP$35:AP$574)</f>
        <v>0</v>
      </c>
      <c r="AQ10" s="51" t="n">
        <f aca="false">SUMIF($B$35:$B$574,"revenue",AQ$35:AQ$574)</f>
        <v>0</v>
      </c>
      <c r="AR10" s="51" t="n">
        <f aca="false">SUMIF($B$35:$B$574,"revenue",AR$35:AR$574)</f>
        <v>0</v>
      </c>
      <c r="AS10" s="51" t="n">
        <f aca="false">SUMIF($B$35:$B$574,"revenue",AS$35:AS$574)</f>
        <v>0</v>
      </c>
    </row>
    <row r="11" customFormat="false" ht="15" hidden="false" customHeight="false" outlineLevel="0" collapsed="false">
      <c r="A11" s="6" t="s">
        <v>381</v>
      </c>
      <c r="B11" s="6" t="s">
        <v>382</v>
      </c>
      <c r="C11" s="9" t="n">
        <f aca="false">SUM(G11:AS11)</f>
        <v>116402.57555339</v>
      </c>
      <c r="G11" s="9" t="n">
        <f aca="false">SUMIF($B$35:$B$574,"fuelvar",G$35:G$574)</f>
        <v>4020.1579594305</v>
      </c>
      <c r="H11" s="9" t="n">
        <f aca="false">SUMIF($B$35:$B$574,"fuelvar",H$35:H$574)</f>
        <v>4145.15414923724</v>
      </c>
      <c r="I11" s="9" t="n">
        <f aca="false">SUMIF($B$35:$B$574,"fuelvar",I$35:I$574)</f>
        <v>4296.28271361035</v>
      </c>
      <c r="J11" s="9" t="n">
        <f aca="false">SUMIF($B$35:$B$574,"fuelvar",J$35:J$574)</f>
        <v>4387.74117196856</v>
      </c>
      <c r="K11" s="9" t="n">
        <f aca="false">SUMIF($B$35:$B$574,"fuelvar",K$35:K$574)</f>
        <v>4481.16711959609</v>
      </c>
      <c r="L11" s="9" t="n">
        <f aca="false">SUMIF($B$35:$B$574,"fuelvar",L$35:L$574)</f>
        <v>4576.60336428087</v>
      </c>
      <c r="M11" s="9" t="n">
        <f aca="false">SUMIF($B$35:$B$574,"fuelvar",M$35:M$574)</f>
        <v>4674.09365641667</v>
      </c>
      <c r="N11" s="9" t="n">
        <f aca="false">SUMIF($B$35:$B$574,"fuelvar",N$35:N$574)</f>
        <v>4773.68271001644</v>
      </c>
      <c r="O11" s="9" t="n">
        <f aca="false">SUMIF($B$35:$B$574,"fuelvar",O$35:O$574)</f>
        <v>4875.41622419999</v>
      </c>
      <c r="P11" s="9" t="n">
        <f aca="false">SUMIF($B$35:$B$574,"fuelvar",P$35:P$574)</f>
        <v>4979.34090516679</v>
      </c>
      <c r="Q11" s="9" t="n">
        <f aca="false">SUMIF($B$35:$B$574,"fuelvar",Q$35:Q$574)</f>
        <v>5085.504488665</v>
      </c>
      <c r="R11" s="9" t="n">
        <f aca="false">SUMIF($B$35:$B$574,"fuelvar",R$35:R$574)</f>
        <v>5193.95576296805</v>
      </c>
      <c r="S11" s="9" t="n">
        <f aca="false">SUMIF($B$35:$B$574,"fuelvar",S$35:S$574)</f>
        <v>5180.97968629469</v>
      </c>
      <c r="T11" s="9" t="n">
        <f aca="false">SUMIF($B$35:$B$574,"fuelvar",T$35:T$574)</f>
        <v>5291.68173701715</v>
      </c>
      <c r="U11" s="9" t="n">
        <f aca="false">SUMIF($B$35:$B$574,"fuelvar",U$35:U$574)</f>
        <v>5359.08467351189</v>
      </c>
      <c r="V11" s="9" t="n">
        <f aca="false">SUMIF($B$35:$B$574,"fuelvar",V$35:V$574)</f>
        <v>5473.70737336415</v>
      </c>
      <c r="W11" s="9" t="n">
        <f aca="false">SUMIF($B$35:$B$574,"fuelvar",W$35:W$574)</f>
        <v>5590.80855237299</v>
      </c>
      <c r="X11" s="9" t="n">
        <f aca="false">SUMIF($B$35:$B$574,"fuelvar",X$35:X$574)</f>
        <v>5710.44243075056</v>
      </c>
      <c r="Y11" s="9" t="n">
        <f aca="false">SUMIF($B$35:$B$574,"fuelvar",Y$35:Y$574)</f>
        <v>5832.66442937893</v>
      </c>
      <c r="Z11" s="9" t="n">
        <f aca="false">SUMIF($B$35:$B$574,"fuelvar",Z$35:Z$574)</f>
        <v>2392.29753229006</v>
      </c>
      <c r="AA11" s="9" t="n">
        <f aca="false">SUMIF($B$35:$B$574,"fuelvar",AA$35:AA$574)</f>
        <v>2448.56229866865</v>
      </c>
      <c r="AB11" s="9" t="n">
        <f aca="false">SUMIF($B$35:$B$574,"fuelvar",AB$35:AB$574)</f>
        <v>2506.16283076812</v>
      </c>
      <c r="AC11" s="9" t="n">
        <f aca="false">SUMIF($B$35:$B$574,"fuelvar",AC$35:AC$574)</f>
        <v>2565.13110566274</v>
      </c>
      <c r="AD11" s="9" t="n">
        <f aca="false">SUMIF($B$35:$B$574,"fuelvar",AD$35:AD$574)</f>
        <v>2625.49987151223</v>
      </c>
      <c r="AE11" s="9" t="n">
        <f aca="false">SUMIF($B$35:$B$574,"fuelvar",AE$35:AE$574)</f>
        <v>1905.02345257661</v>
      </c>
      <c r="AF11" s="9" t="n">
        <f aca="false">SUMIF($B$35:$B$574,"fuelvar",AF$35:AF$574)</f>
        <v>1952.64903889102</v>
      </c>
      <c r="AG11" s="9" t="n">
        <f aca="false">SUMIF($B$35:$B$574,"fuelvar",AG$35:AG$574)</f>
        <v>2001.4652648633</v>
      </c>
      <c r="AH11" s="9" t="n">
        <f aca="false">SUMIF($B$35:$B$574,"fuelvar",AH$35:AH$574)</f>
        <v>2051.50189648488</v>
      </c>
      <c r="AI11" s="9" t="n">
        <f aca="false">SUMIF($B$35:$B$574,"fuelvar",AI$35:AI$574)</f>
        <v>2025.81315342554</v>
      </c>
      <c r="AJ11" s="9" t="n">
        <f aca="false">SUMIF($B$35:$B$574,"fuelvar",AJ$35:AJ$574)</f>
        <v>0</v>
      </c>
      <c r="AK11" s="9" t="n">
        <f aca="false">SUMIF($B$35:$B$574,"fuelvar",AK$35:AK$574)</f>
        <v>0</v>
      </c>
      <c r="AL11" s="9" t="n">
        <f aca="false">SUMIF($B$35:$B$574,"fuelvar",AL$35:AL$574)</f>
        <v>0</v>
      </c>
      <c r="AM11" s="9" t="n">
        <f aca="false">SUMIF($B$35:$B$574,"fuelvar",AM$35:AM$574)</f>
        <v>0</v>
      </c>
      <c r="AN11" s="9" t="n">
        <f aca="false">SUMIF($B$35:$B$574,"fuelvar",AN$35:AN$574)</f>
        <v>0</v>
      </c>
      <c r="AO11" s="9" t="n">
        <f aca="false">SUMIF($B$35:$B$574,"fuelvar",AO$35:AO$574)</f>
        <v>0</v>
      </c>
      <c r="AP11" s="9" t="n">
        <f aca="false">SUMIF($B$35:$B$574,"fuelvar",AP$35:AP$574)</f>
        <v>0</v>
      </c>
      <c r="AQ11" s="9" t="n">
        <f aca="false">SUMIF($B$35:$B$574,"fuelvar",AQ$35:AQ$574)</f>
        <v>0</v>
      </c>
      <c r="AR11" s="9" t="n">
        <f aca="false">SUMIF($B$35:$B$574,"fuelvar",AR$35:AR$574)</f>
        <v>0</v>
      </c>
      <c r="AS11" s="9" t="n">
        <f aca="false">SUMIF($B$35:$B$574,"fuelvar",AS$35:AS$574)</f>
        <v>0</v>
      </c>
    </row>
    <row r="12" customFormat="false" ht="15" hidden="false" customHeight="false" outlineLevel="0" collapsed="false">
      <c r="A12" s="49" t="s">
        <v>383</v>
      </c>
      <c r="B12" s="50" t="s">
        <v>384</v>
      </c>
      <c r="C12" s="51" t="n">
        <f aca="false">SUM(G12:AS12)</f>
        <v>520055.344572372</v>
      </c>
      <c r="D12" s="52"/>
      <c r="E12" s="52"/>
      <c r="F12" s="52"/>
      <c r="G12" s="51" t="n">
        <f aca="false">SUMIF($B$35:$B$574,"gm",G$35:G$574)</f>
        <v>17363.4315562175</v>
      </c>
      <c r="H12" s="51" t="n">
        <f aca="false">SUMIF($B$35:$B$574,"gm",H$35:H$574)</f>
        <v>18227.191506036</v>
      </c>
      <c r="I12" s="51" t="n">
        <f aca="false">SUMIF($B$35:$B$574,"gm",I$35:I$574)</f>
        <v>16753.1873861992</v>
      </c>
      <c r="J12" s="51" t="n">
        <f aca="false">SUMIF($B$35:$B$574,"gm",J$35:J$574)</f>
        <v>15826.6985564277</v>
      </c>
      <c r="K12" s="51" t="n">
        <f aca="false">SUMIF($B$35:$B$574,"gm",K$35:K$574)</f>
        <v>16087.425996168</v>
      </c>
      <c r="L12" s="51" t="n">
        <f aca="false">SUMIF($B$35:$B$574,"gm",L$35:L$574)</f>
        <v>16353.2262065985</v>
      </c>
      <c r="M12" s="51" t="n">
        <f aca="false">SUMIF($B$35:$B$574,"gm",M$35:M$574)</f>
        <v>16624.1970986803</v>
      </c>
      <c r="N12" s="51" t="n">
        <f aca="false">SUMIF($B$35:$B$574,"gm",N$35:N$574)</f>
        <v>16900.4384529825</v>
      </c>
      <c r="O12" s="51" t="n">
        <f aca="false">SUMIF($B$35:$B$574,"gm",O$35:O$574)</f>
        <v>17182.0519548589</v>
      </c>
      <c r="P12" s="51" t="n">
        <f aca="false">SUMIF($B$35:$B$574,"gm",P$35:P$574)</f>
        <v>17475.4311790613</v>
      </c>
      <c r="Q12" s="51" t="n">
        <f aca="false">SUMIF($B$35:$B$574,"gm",Q$35:Q$574)</f>
        <v>17777.7212800476</v>
      </c>
      <c r="R12" s="51" t="n">
        <f aca="false">SUMIF($B$35:$B$574,"gm",R$35:R$574)</f>
        <v>18085.8927639188</v>
      </c>
      <c r="S12" s="51" t="n">
        <f aca="false">SUMIF($B$35:$B$574,"gm",S$35:S$574)</f>
        <v>17982.622521489</v>
      </c>
      <c r="T12" s="51" t="n">
        <f aca="false">SUMIF($B$35:$B$574,"gm",T$35:T$574)</f>
        <v>18294.5507577222</v>
      </c>
      <c r="U12" s="51" t="n">
        <f aca="false">SUMIF($B$35:$B$574,"gm",U$35:U$574)</f>
        <v>18492.5622373338</v>
      </c>
      <c r="V12" s="51" t="n">
        <f aca="false">SUMIF($B$35:$B$574,"gm",V$35:V$574)</f>
        <v>18814.3307184985</v>
      </c>
      <c r="W12" s="51" t="n">
        <f aca="false">SUMIF($B$35:$B$574,"gm",W$35:W$574)</f>
        <v>19142.3485441269</v>
      </c>
      <c r="X12" s="51" t="n">
        <f aca="false">SUMIF($B$35:$B$574,"gm",X$35:X$574)</f>
        <v>19476.7360504793</v>
      </c>
      <c r="Y12" s="51" t="n">
        <f aca="false">SUMIF($B$35:$B$574,"gm",Y$35:Y$574)</f>
        <v>19817.6158642755</v>
      </c>
      <c r="Z12" s="51" t="n">
        <f aca="false">SUMIF($B$35:$B$574,"gm",Z$35:Z$574)</f>
        <v>17093.8200574973</v>
      </c>
      <c r="AA12" s="51" t="n">
        <f aca="false">SUMIF($B$35:$B$574,"gm",AA$35:AA$574)</f>
        <v>17454.4081543576</v>
      </c>
      <c r="AB12" s="51" t="n">
        <f aca="false">SUMIF($B$35:$B$574,"gm",AB$35:AB$574)</f>
        <v>17830.6281446566</v>
      </c>
      <c r="AC12" s="51" t="n">
        <f aca="false">SUMIF($B$35:$B$574,"gm",AC$35:AC$574)</f>
        <v>18178.3956892705</v>
      </c>
      <c r="AD12" s="51" t="n">
        <f aca="false">SUMIF($B$35:$B$574,"gm",AD$35:AD$574)</f>
        <v>18532.8974593196</v>
      </c>
      <c r="AE12" s="51" t="n">
        <f aca="false">SUMIF($B$35:$B$574,"gm",AE$35:AE$574)</f>
        <v>18284.3636069315</v>
      </c>
      <c r="AF12" s="51" t="n">
        <f aca="false">SUMIF($B$35:$B$574,"gm",AF$35:AF$574)</f>
        <v>18640.5257618073</v>
      </c>
      <c r="AG12" s="51" t="n">
        <f aca="false">SUMIF($B$35:$B$574,"gm",AG$35:AG$574)</f>
        <v>19003.573031849</v>
      </c>
      <c r="AH12" s="51" t="n">
        <f aca="false">SUMIF($B$35:$B$574,"gm",AH$35:AH$574)</f>
        <v>19373.6371661616</v>
      </c>
      <c r="AI12" s="51" t="n">
        <f aca="false">SUMIF($B$35:$B$574,"gm",AI$35:AI$574)</f>
        <v>18985.4348693993</v>
      </c>
      <c r="AJ12" s="51" t="n">
        <f aca="false">SUMIF($B$35:$B$574,"gm",AJ$35:AJ$574)</f>
        <v>0</v>
      </c>
      <c r="AK12" s="51" t="n">
        <f aca="false">SUMIF($B$35:$B$574,"gm",AK$35:AK$574)</f>
        <v>0</v>
      </c>
      <c r="AL12" s="51" t="n">
        <f aca="false">SUMIF($B$35:$B$574,"gm",AL$35:AL$574)</f>
        <v>0</v>
      </c>
      <c r="AM12" s="51" t="n">
        <f aca="false">SUMIF($B$35:$B$574,"gm",AM$35:AM$574)</f>
        <v>0</v>
      </c>
      <c r="AN12" s="51" t="n">
        <f aca="false">SUMIF($B$35:$B$574,"gm",AN$35:AN$574)</f>
        <v>0</v>
      </c>
      <c r="AO12" s="51" t="n">
        <f aca="false">SUMIF($B$35:$B$574,"gm",AO$35:AO$574)</f>
        <v>0</v>
      </c>
      <c r="AP12" s="51" t="n">
        <f aca="false">SUMIF($B$35:$B$574,"gm",AP$35:AP$574)</f>
        <v>0</v>
      </c>
      <c r="AQ12" s="51" t="n">
        <f aca="false">SUMIF($B$35:$B$574,"gm",AQ$35:AQ$574)</f>
        <v>0</v>
      </c>
      <c r="AR12" s="51" t="n">
        <f aca="false">SUMIF($B$35:$B$574,"gm",AR$35:AR$574)</f>
        <v>0</v>
      </c>
      <c r="AS12" s="51" t="n">
        <f aca="false">SUMIF($B$35:$B$574,"gm",AS$35:AS$574)</f>
        <v>0</v>
      </c>
    </row>
    <row r="13" customFormat="false" ht="15" hidden="false" customHeight="false" outlineLevel="0" collapsed="false">
      <c r="A13" s="6" t="s">
        <v>385</v>
      </c>
      <c r="B13" s="6" t="s">
        <v>386</v>
      </c>
      <c r="G13" s="20" t="n">
        <f aca="false">IF(G10=0,0,G12/G10)</f>
        <v>0.811997983009885</v>
      </c>
      <c r="H13" s="20" t="n">
        <f aca="false">IF(H10=0,0,H12/H10)</f>
        <v>0.814719734215254</v>
      </c>
      <c r="I13" s="20" t="n">
        <f aca="false">IF(I10=0,0,I12/I10)</f>
        <v>0.795895920741054</v>
      </c>
      <c r="J13" s="20" t="n">
        <f aca="false">IF(J10=0,0,J12/J10)</f>
        <v>0.782940253060544</v>
      </c>
      <c r="K13" s="20" t="n">
        <f aca="false">IF(K10=0,0,K12/K10)</f>
        <v>0.78213545795888</v>
      </c>
      <c r="L13" s="20" t="n">
        <f aca="false">IF(L10=0,0,L12/L10)</f>
        <v>0.781335851360754</v>
      </c>
      <c r="M13" s="20" t="n">
        <f aca="false">IF(M10=0,0,M12/M10)</f>
        <v>0.780541372537227</v>
      </c>
      <c r="N13" s="20" t="n">
        <f aca="false">IF(N10=0,0,N12/N10)</f>
        <v>0.779751959762694</v>
      </c>
      <c r="O13" s="20" t="n">
        <f aca="false">IF(O10=0,0,O12/O10)</f>
        <v>0.778967550372411</v>
      </c>
      <c r="P13" s="20" t="n">
        <f aca="false">IF(P10=0,0,P12/P10)</f>
        <v>0.778250213963908</v>
      </c>
      <c r="Q13" s="20" t="n">
        <f aca="false">IF(Q10=0,0,Q12/Q10)</f>
        <v>0.777568373767087</v>
      </c>
      <c r="R13" s="20" t="n">
        <f aca="false">IF(R10=0,0,R12/R10)</f>
        <v>0.776890482901153</v>
      </c>
      <c r="S13" s="20" t="n">
        <f aca="false">IF(S10=0,0,S12/S10)</f>
        <v>0.77633100241405</v>
      </c>
      <c r="T13" s="20" t="n">
        <f aca="false">IF(T10=0,0,T12/T10)</f>
        <v>0.775645316046241</v>
      </c>
      <c r="U13" s="20" t="n">
        <f aca="false">IF(U10=0,0,U12/U10)</f>
        <v>0.775315948054093</v>
      </c>
      <c r="V13" s="20" t="n">
        <f aca="false">IF(V10=0,0,V12/V10)</f>
        <v>0.774633613770639</v>
      </c>
      <c r="W13" s="20" t="n">
        <f aca="false">IF(W10=0,0,W12/W10)</f>
        <v>0.773954916852722</v>
      </c>
      <c r="X13" s="20" t="n">
        <f aca="false">IF(X10=0,0,X12/X10)</f>
        <v>0.773279788563609</v>
      </c>
      <c r="Y13" s="20" t="n">
        <f aca="false">IF(Y10=0,0,Y12/Y10)</f>
        <v>0.772608160121281</v>
      </c>
      <c r="Z13" s="20" t="n">
        <f aca="false">IF(Z10=0,0,Z12/Z10)</f>
        <v>0.877230673515803</v>
      </c>
      <c r="AA13" s="20" t="n">
        <f aca="false">IF(AA10=0,0,AA12/AA10)</f>
        <v>0.87697503222207</v>
      </c>
      <c r="AB13" s="20" t="n">
        <f aca="false">IF(AB10=0,0,AB12/AB10)</f>
        <v>0.876767045804001</v>
      </c>
      <c r="AC13" s="20" t="n">
        <f aca="false">IF(AC10=0,0,AC12/AC10)</f>
        <v>0.876340646842691</v>
      </c>
      <c r="AD13" s="20" t="n">
        <f aca="false">IF(AD10=0,0,AD12/AD10)</f>
        <v>0.875912157690395</v>
      </c>
      <c r="AE13" s="20" t="n">
        <f aca="false">IF(AE10=0,0,AE12/AE10)</f>
        <v>0.905642333421933</v>
      </c>
      <c r="AF13" s="20" t="n">
        <f aca="false">IF(AF10=0,0,AF12/AF10)</f>
        <v>0.905179795840668</v>
      </c>
      <c r="AG13" s="20" t="n">
        <f aca="false">IF(AG10=0,0,AG12/AG10)</f>
        <v>0.904714990918318</v>
      </c>
      <c r="AH13" s="20" t="n">
        <f aca="false">IF(AH10=0,0,AH12/AH10)</f>
        <v>0.904247907540467</v>
      </c>
      <c r="AI13" s="20" t="n">
        <f aca="false">IF(AI10=0,0,AI12/AI10)</f>
        <v>0.903584349143617</v>
      </c>
      <c r="AJ13" s="20" t="n">
        <f aca="false">IF(AJ10=0,0,AJ12/AJ10)</f>
        <v>0</v>
      </c>
      <c r="AK13" s="20" t="n">
        <f aca="false">IF(AK10=0,0,AK12/AK10)</f>
        <v>0</v>
      </c>
      <c r="AL13" s="20" t="n">
        <f aca="false">IF(AL10=0,0,AL12/AL10)</f>
        <v>0</v>
      </c>
      <c r="AM13" s="20" t="n">
        <f aca="false">IF(AM10=0,0,AM12/AM10)</f>
        <v>0</v>
      </c>
      <c r="AN13" s="20" t="n">
        <f aca="false">IF(AN10=0,0,AN12/AN10)</f>
        <v>0</v>
      </c>
      <c r="AO13" s="20" t="n">
        <f aca="false">IF(AO10=0,0,AO12/AO10)</f>
        <v>0</v>
      </c>
      <c r="AP13" s="20" t="n">
        <f aca="false">IF(AP10=0,0,AP12/AP10)</f>
        <v>0</v>
      </c>
      <c r="AQ13" s="20" t="n">
        <f aca="false">IF(AQ10=0,0,AQ12/AQ10)</f>
        <v>0</v>
      </c>
      <c r="AR13" s="20" t="n">
        <f aca="false">IF(AR10=0,0,AR12/AR10)</f>
        <v>0</v>
      </c>
      <c r="AS13" s="20" t="n">
        <f aca="false">IF(AS10=0,0,AS12/AS10)</f>
        <v>0</v>
      </c>
    </row>
    <row r="14" customFormat="false" ht="15" hidden="false" customHeight="false" outlineLevel="0" collapsed="false">
      <c r="A14" s="6" t="s">
        <v>387</v>
      </c>
      <c r="B14" s="6" t="s">
        <v>388</v>
      </c>
      <c r="C14" s="9" t="n">
        <f aca="false">SUM(G14:AS14)</f>
        <v>205277.371441505</v>
      </c>
      <c r="G14" s="9" t="n">
        <f aca="false">SUMIF($B$35:$B$574,"fom",G$35:G$574)</f>
        <v>5072.7645280125</v>
      </c>
      <c r="H14" s="9" t="n">
        <f aca="false">SUMIF($B$35:$B$574,"fom",H$35:H$574)</f>
        <v>5356.11186954488</v>
      </c>
      <c r="I14" s="9" t="n">
        <f aca="false">SUMIF($B$35:$B$574,"fom",I$35:I$574)</f>
        <v>5486.2347370235</v>
      </c>
      <c r="J14" s="9" t="n">
        <f aca="false">SUMIF($B$35:$B$574,"fom",J$35:J$574)</f>
        <v>5619.53507760388</v>
      </c>
      <c r="K14" s="9" t="n">
        <f aca="false">SUMIF($B$35:$B$574,"fom",K$35:K$574)</f>
        <v>5756.09081614188</v>
      </c>
      <c r="L14" s="9" t="n">
        <f aca="false">SUMIF($B$35:$B$574,"fom",L$35:L$574)</f>
        <v>5895.98179537528</v>
      </c>
      <c r="M14" s="9" t="n">
        <f aca="false">SUMIF($B$35:$B$574,"fom",M$35:M$574)</f>
        <v>6039.28982326611</v>
      </c>
      <c r="N14" s="9" t="n">
        <f aca="false">SUMIF($B$35:$B$574,"fom",N$35:N$574)</f>
        <v>6186.09872151434</v>
      </c>
      <c r="O14" s="9" t="n">
        <f aca="false">SUMIF($B$35:$B$574,"fom",O$35:O$574)</f>
        <v>6336.49437527211</v>
      </c>
      <c r="P14" s="9" t="n">
        <f aca="false">SUMIF($B$35:$B$574,"fom",P$35:P$574)</f>
        <v>6490.56478408822</v>
      </c>
      <c r="Q14" s="9" t="n">
        <f aca="false">SUMIF($B$35:$B$574,"fom",Q$35:Q$574)</f>
        <v>6648.40011411342</v>
      </c>
      <c r="R14" s="9" t="n">
        <f aca="false">SUMIF($B$35:$B$574,"fom",R$35:R$574)</f>
        <v>6810.09275159772</v>
      </c>
      <c r="S14" s="9" t="n">
        <f aca="false">SUMIF($B$35:$B$574,"fom",S$35:S$574)</f>
        <v>6885.88085394716</v>
      </c>
      <c r="T14" s="9" t="n">
        <f aca="false">SUMIF($B$35:$B$574,"fom",T$35:T$574)</f>
        <v>7053.77729088523</v>
      </c>
      <c r="U14" s="9" t="n">
        <f aca="false">SUMIF($B$35:$B$574,"fom",U$35:U$574)</f>
        <v>7196.71537095074</v>
      </c>
      <c r="V14" s="9" t="n">
        <f aca="false">SUMIF($B$35:$B$574,"fom",V$35:V$574)</f>
        <v>7372.35630098424</v>
      </c>
      <c r="W14" s="9" t="n">
        <f aca="false">SUMIF($B$35:$B$574,"fom",W$35:W$574)</f>
        <v>7552.30271518378</v>
      </c>
      <c r="X14" s="9" t="n">
        <f aca="false">SUMIF($B$35:$B$574,"fom",X$35:X$574)</f>
        <v>7736.66053987181</v>
      </c>
      <c r="Y14" s="9" t="n">
        <f aca="false">SUMIF($B$35:$B$574,"fom",Y$35:Y$574)</f>
        <v>7925.53831531321</v>
      </c>
      <c r="Z14" s="9" t="n">
        <f aca="false">SUMIF($B$35:$B$574,"fom",Z$35:Z$574)</f>
        <v>7410.54754197705</v>
      </c>
      <c r="AA14" s="9" t="n">
        <f aca="false">SUMIF($B$35:$B$574,"fom",AA$35:AA$574)</f>
        <v>7594.63162604566</v>
      </c>
      <c r="AB14" s="9" t="n">
        <f aca="false">SUMIF($B$35:$B$574,"fom",AB$35:AB$574)</f>
        <v>7783.29422012636</v>
      </c>
      <c r="AC14" s="9" t="n">
        <f aca="false">SUMIF($B$35:$B$574,"fom",AC$35:AC$574)</f>
        <v>7976.64931512766</v>
      </c>
      <c r="AD14" s="9" t="n">
        <f aca="false">SUMIF($B$35:$B$574,"fom",AD$35:AD$574)</f>
        <v>8174.81374229397</v>
      </c>
      <c r="AE14" s="9" t="n">
        <f aca="false">SUMIF($B$35:$B$574,"fom",AE$35:AE$574)</f>
        <v>8225.18651321246</v>
      </c>
      <c r="AF14" s="9" t="n">
        <f aca="false">SUMIF($B$35:$B$574,"fom",AF$35:AF$574)</f>
        <v>8430.27740103419</v>
      </c>
      <c r="AG14" s="9" t="n">
        <f aca="false">SUMIF($B$35:$B$574,"fom",AG$35:AG$574)</f>
        <v>8640.48478555129</v>
      </c>
      <c r="AH14" s="9" t="n">
        <f aca="false">SUMIF($B$35:$B$574,"fom",AH$35:AH$574)</f>
        <v>8855.93636367114</v>
      </c>
      <c r="AI14" s="9" t="n">
        <f aca="false">SUMIF($B$35:$B$574,"fom",AI$35:AI$574)</f>
        <v>8764.65915177479</v>
      </c>
      <c r="AJ14" s="9" t="n">
        <f aca="false">SUMIF($B$35:$B$574,"fom",AJ$35:AJ$574)</f>
        <v>0</v>
      </c>
      <c r="AK14" s="9" t="n">
        <f aca="false">SUMIF($B$35:$B$574,"fom",AK$35:AK$574)</f>
        <v>0</v>
      </c>
      <c r="AL14" s="9" t="n">
        <f aca="false">SUMIF($B$35:$B$574,"fom",AL$35:AL$574)</f>
        <v>0</v>
      </c>
      <c r="AM14" s="9" t="n">
        <f aca="false">SUMIF($B$35:$B$574,"fom",AM$35:AM$574)</f>
        <v>0</v>
      </c>
      <c r="AN14" s="9" t="n">
        <f aca="false">SUMIF($B$35:$B$574,"fom",AN$35:AN$574)</f>
        <v>0</v>
      </c>
      <c r="AO14" s="9" t="n">
        <f aca="false">SUMIF($B$35:$B$574,"fom",AO$35:AO$574)</f>
        <v>0</v>
      </c>
      <c r="AP14" s="9" t="n">
        <f aca="false">SUMIF($B$35:$B$574,"fom",AP$35:AP$574)</f>
        <v>0</v>
      </c>
      <c r="AQ14" s="9" t="n">
        <f aca="false">SUMIF($B$35:$B$574,"fom",AQ$35:AQ$574)</f>
        <v>0</v>
      </c>
      <c r="AR14" s="9" t="n">
        <f aca="false">SUMIF($B$35:$B$574,"fom",AR$35:AR$574)</f>
        <v>0</v>
      </c>
      <c r="AS14" s="9" t="n">
        <f aca="false">SUMIF($B$35:$B$574,"fom",AS$35:AS$574)</f>
        <v>0</v>
      </c>
    </row>
    <row r="15" customFormat="false" ht="15" hidden="false" customHeight="false" outlineLevel="0" collapsed="false">
      <c r="A15" s="49" t="s">
        <v>389</v>
      </c>
      <c r="B15" s="50" t="s">
        <v>390</v>
      </c>
      <c r="C15" s="51" t="n">
        <f aca="false">SUM(G15:AS15)</f>
        <v>314777.973130867</v>
      </c>
      <c r="D15" s="52"/>
      <c r="E15" s="52"/>
      <c r="F15" s="52"/>
      <c r="G15" s="51" t="n">
        <f aca="false">SUMIF($B$35:$B$574,"ebitda",G$35:G$574)</f>
        <v>12290.667028205</v>
      </c>
      <c r="H15" s="51" t="n">
        <f aca="false">SUMIF($B$35:$B$574,"ebitda",H$35:H$574)</f>
        <v>12871.0796364911</v>
      </c>
      <c r="I15" s="51" t="n">
        <f aca="false">SUMIF($B$35:$B$574,"ebitda",I$35:I$574)</f>
        <v>11266.9526491757</v>
      </c>
      <c r="J15" s="51" t="n">
        <f aca="false">SUMIF($B$35:$B$574,"ebitda",J$35:J$574)</f>
        <v>10207.1634788238</v>
      </c>
      <c r="K15" s="51" t="n">
        <f aca="false">SUMIF($B$35:$B$574,"ebitda",K$35:K$574)</f>
        <v>10331.3351800262</v>
      </c>
      <c r="L15" s="51" t="n">
        <f aca="false">SUMIF($B$35:$B$574,"ebitda",L$35:L$574)</f>
        <v>10457.2444112233</v>
      </c>
      <c r="M15" s="51" t="n">
        <f aca="false">SUMIF($B$35:$B$574,"ebitda",M$35:M$574)</f>
        <v>10584.9072754142</v>
      </c>
      <c r="N15" s="51" t="n">
        <f aca="false">SUMIF($B$35:$B$574,"ebitda",N$35:N$574)</f>
        <v>10714.3397314682</v>
      </c>
      <c r="O15" s="51" t="n">
        <f aca="false">SUMIF($B$35:$B$574,"ebitda",O$35:O$574)</f>
        <v>10845.5575795868</v>
      </c>
      <c r="P15" s="51" t="n">
        <f aca="false">SUMIF($B$35:$B$574,"ebitda",P$35:P$574)</f>
        <v>10984.8663949731</v>
      </c>
      <c r="Q15" s="51" t="n">
        <f aca="false">SUMIF($B$35:$B$574,"ebitda",Q$35:Q$574)</f>
        <v>11129.3211659342</v>
      </c>
      <c r="R15" s="51" t="n">
        <f aca="false">SUMIF($B$35:$B$574,"ebitda",R$35:R$574)</f>
        <v>11275.8000123211</v>
      </c>
      <c r="S15" s="51" t="n">
        <f aca="false">SUMIF($B$35:$B$574,"ebitda",S$35:S$574)</f>
        <v>11096.7416675419</v>
      </c>
      <c r="T15" s="51" t="n">
        <f aca="false">SUMIF($B$35:$B$574,"ebitda",T$35:T$574)</f>
        <v>11240.773466837</v>
      </c>
      <c r="U15" s="51" t="n">
        <f aca="false">SUMIF($B$35:$B$574,"ebitda",U$35:U$574)</f>
        <v>11295.8468663831</v>
      </c>
      <c r="V15" s="51" t="n">
        <f aca="false">SUMIF($B$35:$B$574,"ebitda",V$35:V$574)</f>
        <v>11441.9744175142</v>
      </c>
      <c r="W15" s="51" t="n">
        <f aca="false">SUMIF($B$35:$B$574,"ebitda",W$35:W$574)</f>
        <v>11590.0458289431</v>
      </c>
      <c r="X15" s="51" t="n">
        <f aca="false">SUMIF($B$35:$B$574,"ebitda",X$35:X$574)</f>
        <v>11740.0755106075</v>
      </c>
      <c r="Y15" s="51" t="n">
        <f aca="false">SUMIF($B$35:$B$574,"ebitda",Y$35:Y$574)</f>
        <v>11892.0775489623</v>
      </c>
      <c r="Z15" s="51" t="n">
        <f aca="false">SUMIF($B$35:$B$574,"ebitda",Z$35:Z$574)</f>
        <v>9683.27251552022</v>
      </c>
      <c r="AA15" s="51" t="n">
        <f aca="false">SUMIF($B$35:$B$574,"ebitda",AA$35:AA$574)</f>
        <v>9859.77652831195</v>
      </c>
      <c r="AB15" s="51" t="n">
        <f aca="false">SUMIF($B$35:$B$574,"ebitda",AB$35:AB$574)</f>
        <v>10047.3339245302</v>
      </c>
      <c r="AC15" s="51" t="n">
        <f aca="false">SUMIF($B$35:$B$574,"ebitda",AC$35:AC$574)</f>
        <v>10201.7463741428</v>
      </c>
      <c r="AD15" s="51" t="n">
        <f aca="false">SUMIF($B$35:$B$574,"ebitda",AD$35:AD$574)</f>
        <v>10358.0837170257</v>
      </c>
      <c r="AE15" s="51" t="n">
        <f aca="false">SUMIF($B$35:$B$574,"ebitda",AE$35:AE$574)</f>
        <v>10059.1770937191</v>
      </c>
      <c r="AF15" s="51" t="n">
        <f aca="false">SUMIF($B$35:$B$574,"ebitda",AF$35:AF$574)</f>
        <v>10210.2483607731</v>
      </c>
      <c r="AG15" s="51" t="n">
        <f aca="false">SUMIF($B$35:$B$574,"ebitda",AG$35:AG$574)</f>
        <v>10363.0882462977</v>
      </c>
      <c r="AH15" s="51" t="n">
        <f aca="false">SUMIF($B$35:$B$574,"ebitda",AH$35:AH$574)</f>
        <v>10517.7008024905</v>
      </c>
      <c r="AI15" s="51" t="n">
        <f aca="false">SUMIF($B$35:$B$574,"ebitda",AI$35:AI$574)</f>
        <v>10220.7757176246</v>
      </c>
      <c r="AJ15" s="51" t="n">
        <f aca="false">SUMIF($B$35:$B$574,"ebitda",AJ$35:AJ$574)</f>
        <v>0</v>
      </c>
      <c r="AK15" s="51" t="n">
        <f aca="false">SUMIF($B$35:$B$574,"ebitda",AK$35:AK$574)</f>
        <v>0</v>
      </c>
      <c r="AL15" s="51" t="n">
        <f aca="false">SUMIF($B$35:$B$574,"ebitda",AL$35:AL$574)</f>
        <v>0</v>
      </c>
      <c r="AM15" s="51" t="n">
        <f aca="false">SUMIF($B$35:$B$574,"ebitda",AM$35:AM$574)</f>
        <v>0</v>
      </c>
      <c r="AN15" s="51" t="n">
        <f aca="false">SUMIF($B$35:$B$574,"ebitda",AN$35:AN$574)</f>
        <v>0</v>
      </c>
      <c r="AO15" s="51" t="n">
        <f aca="false">SUMIF($B$35:$B$574,"ebitda",AO$35:AO$574)</f>
        <v>0</v>
      </c>
      <c r="AP15" s="51" t="n">
        <f aca="false">SUMIF($B$35:$B$574,"ebitda",AP$35:AP$574)</f>
        <v>0</v>
      </c>
      <c r="AQ15" s="51" t="n">
        <f aca="false">SUMIF($B$35:$B$574,"ebitda",AQ$35:AQ$574)</f>
        <v>0</v>
      </c>
      <c r="AR15" s="51" t="n">
        <f aca="false">SUMIF($B$35:$B$574,"ebitda",AR$35:AR$574)</f>
        <v>0</v>
      </c>
      <c r="AS15" s="51" t="n">
        <f aca="false">SUMIF($B$35:$B$574,"ebitda",AS$35:AS$574)</f>
        <v>0</v>
      </c>
    </row>
    <row r="16" customFormat="false" ht="15" hidden="false" customHeight="false" outlineLevel="0" collapsed="false">
      <c r="A16" s="6" t="s">
        <v>391</v>
      </c>
      <c r="B16" s="6" t="s">
        <v>392</v>
      </c>
      <c r="G16" s="20" t="n">
        <f aca="false">IF(G10=0,0,G15/G10)</f>
        <v>0.574770995263026</v>
      </c>
      <c r="H16" s="20" t="n">
        <f aca="false">IF(H10=0,0,H15/H10)</f>
        <v>0.575312031863648</v>
      </c>
      <c r="I16" s="20" t="n">
        <f aca="false">IF(I10=0,0,I15/I10)</f>
        <v>0.53526063106347</v>
      </c>
      <c r="J16" s="20" t="n">
        <f aca="false">IF(J10=0,0,J15/J10)</f>
        <v>0.504944169413969</v>
      </c>
      <c r="K16" s="20" t="n">
        <f aca="false">IF(K10=0,0,K15/K10)</f>
        <v>0.502286914903677</v>
      </c>
      <c r="L16" s="20" t="n">
        <f aca="false">IF(L10=0,0,L15/L10)</f>
        <v>0.49963351950906</v>
      </c>
      <c r="M16" s="20" t="n">
        <f aca="false">IF(M10=0,0,M15/M10)</f>
        <v>0.496983884628446</v>
      </c>
      <c r="N16" s="20" t="n">
        <f aca="false">IF(N10=0,0,N15/N10)</f>
        <v>0.494337908831071</v>
      </c>
      <c r="O16" s="20" t="n">
        <f aca="false">IF(O10=0,0,O15/O10)</f>
        <v>0.491695487965544</v>
      </c>
      <c r="P16" s="20" t="n">
        <f aca="false">IF(P10=0,0,P15/P10)</f>
        <v>0.489199638890509</v>
      </c>
      <c r="Q16" s="20" t="n">
        <f aca="false">IF(Q10=0,0,Q15/Q10)</f>
        <v>0.486778255987142</v>
      </c>
      <c r="R16" s="20" t="n">
        <f aca="false">IF(R10=0,0,R15/R10)</f>
        <v>0.484358822150334</v>
      </c>
      <c r="S16" s="20" t="n">
        <f aca="false">IF(S10=0,0,S15/S10)</f>
        <v>0.479059412607811</v>
      </c>
      <c r="T16" s="20" t="n">
        <f aca="false">IF(T10=0,0,T15/T10)</f>
        <v>0.47658198355096</v>
      </c>
      <c r="U16" s="20" t="n">
        <f aca="false">IF(U10=0,0,U15/U10)</f>
        <v>0.473587711096238</v>
      </c>
      <c r="V16" s="20" t="n">
        <f aca="false">IF(V10=0,0,V15/V10)</f>
        <v>0.471095045809719</v>
      </c>
      <c r="W16" s="20" t="n">
        <f aca="false">IF(W10=0,0,W15/W10)</f>
        <v>0.468603574696223</v>
      </c>
      <c r="X16" s="20" t="n">
        <f aca="false">IF(X10=0,0,X15/X10)</f>
        <v>0.466113166242757</v>
      </c>
      <c r="Y16" s="20" t="n">
        <f aca="false">IF(Y10=0,0,Y15/Y10)</f>
        <v>0.463623688038382</v>
      </c>
      <c r="Z16" s="20" t="n">
        <f aca="false">IF(Z10=0,0,Z15/Z10)</f>
        <v>0.496931852684458</v>
      </c>
      <c r="AA16" s="20" t="n">
        <f aca="false">IF(AA10=0,0,AA15/AA10)</f>
        <v>0.495392210503572</v>
      </c>
      <c r="AB16" s="20" t="n">
        <f aca="false">IF(AB10=0,0,AB15/AB10)</f>
        <v>0.494047164897922</v>
      </c>
      <c r="AC16" s="20" t="n">
        <f aca="false">IF(AC10=0,0,AC15/AC10)</f>
        <v>0.491803851630219</v>
      </c>
      <c r="AD16" s="20" t="n">
        <f aca="false">IF(AD10=0,0,AD15/AD10)</f>
        <v>0.48954954172885</v>
      </c>
      <c r="AE16" s="20" t="n">
        <f aca="false">IF(AE10=0,0,AE15/AE10)</f>
        <v>0.498240836339889</v>
      </c>
      <c r="AF16" s="20" t="n">
        <f aca="false">IF(AF10=0,0,AF15/AF10)</f>
        <v>0.495807395391354</v>
      </c>
      <c r="AG16" s="20" t="n">
        <f aca="false">IF(AG10=0,0,AG15/AG10)</f>
        <v>0.493362025810718</v>
      </c>
      <c r="AH16" s="20" t="n">
        <f aca="false">IF(AH10=0,0,AH15/AH10)</f>
        <v>0.490904669124294</v>
      </c>
      <c r="AI16" s="20" t="n">
        <f aca="false">IF(AI10=0,0,AI15/AI10)</f>
        <v>0.486443056905594</v>
      </c>
      <c r="AJ16" s="20" t="n">
        <f aca="false">IF(AJ10=0,0,AJ15/AJ10)</f>
        <v>0</v>
      </c>
      <c r="AK16" s="20" t="n">
        <f aca="false">IF(AK10=0,0,AK15/AK10)</f>
        <v>0</v>
      </c>
      <c r="AL16" s="20" t="n">
        <f aca="false">IF(AL10=0,0,AL15/AL10)</f>
        <v>0</v>
      </c>
      <c r="AM16" s="20" t="n">
        <f aca="false">IF(AM10=0,0,AM15/AM10)</f>
        <v>0</v>
      </c>
      <c r="AN16" s="20" t="n">
        <f aca="false">IF(AN10=0,0,AN15/AN10)</f>
        <v>0</v>
      </c>
      <c r="AO16" s="20" t="n">
        <f aca="false">IF(AO10=0,0,AO15/AO10)</f>
        <v>0</v>
      </c>
      <c r="AP16" s="20" t="n">
        <f aca="false">IF(AP10=0,0,AP15/AP10)</f>
        <v>0</v>
      </c>
      <c r="AQ16" s="20" t="n">
        <f aca="false">IF(AQ10=0,0,AQ15/AQ10)</f>
        <v>0</v>
      </c>
      <c r="AR16" s="20" t="n">
        <f aca="false">IF(AR10=0,0,AR15/AR10)</f>
        <v>0</v>
      </c>
      <c r="AS16" s="20" t="n">
        <f aca="false">IF(AS10=0,0,AS15/AS10)</f>
        <v>0</v>
      </c>
    </row>
    <row r="17" customFormat="false" ht="15" hidden="false" customHeight="false" outlineLevel="0" collapsed="false">
      <c r="A17" s="6" t="s">
        <v>393</v>
      </c>
      <c r="B17" s="6" t="s">
        <v>394</v>
      </c>
      <c r="C17" s="9" t="n">
        <f aca="false">SUM(G17:AS17)</f>
        <v>67667.3982945734</v>
      </c>
      <c r="G17" s="9" t="n">
        <f aca="false">SUMIF($B$35:$B$574,"capex",G$35:G$574)</f>
        <v>2164.3417832375</v>
      </c>
      <c r="H17" s="9" t="n">
        <f aca="false">SUMIF($B$35:$B$574,"capex",H$35:H$574)</f>
        <v>1760.05886176762</v>
      </c>
      <c r="I17" s="9" t="n">
        <f aca="false">SUMIF($B$35:$B$574,"capex",I$35:I$574)</f>
        <v>1802.81703970582</v>
      </c>
      <c r="J17" s="9" t="n">
        <f aca="false">SUMIF($B$35:$B$574,"capex",J$35:J$574)</f>
        <v>1846.61930622034</v>
      </c>
      <c r="K17" s="9" t="n">
        <f aca="false">SUMIF($B$35:$B$574,"capex",K$35:K$574)</f>
        <v>1891.49126620817</v>
      </c>
      <c r="L17" s="9" t="n">
        <f aca="false">SUMIF($B$35:$B$574,"capex",L$35:L$574)</f>
        <v>1937.45915474233</v>
      </c>
      <c r="M17" s="9" t="n">
        <f aca="false">SUMIF($B$35:$B$574,"capex",M$35:M$574)</f>
        <v>1984.54985262744</v>
      </c>
      <c r="N17" s="9" t="n">
        <f aca="false">SUMIF($B$35:$B$574,"capex",N$35:N$574)</f>
        <v>2032.79090234</v>
      </c>
      <c r="O17" s="9" t="n">
        <f aca="false">SUMIF($B$35:$B$574,"capex",O$35:O$574)</f>
        <v>2082.21052436331</v>
      </c>
      <c r="P17" s="9" t="n">
        <f aca="false">SUMIF($B$35:$B$574,"capex",P$35:P$574)</f>
        <v>2132.8376339265</v>
      </c>
      <c r="Q17" s="9" t="n">
        <f aca="false">SUMIF($B$35:$B$574,"capex",Q$35:Q$574)</f>
        <v>2184.70185815785</v>
      </c>
      <c r="R17" s="9" t="n">
        <f aca="false">SUMIF($B$35:$B$574,"capex",R$35:R$574)</f>
        <v>2237.83355366265</v>
      </c>
      <c r="S17" s="9" t="n">
        <f aca="false">SUMIF($B$35:$B$574,"capex",S$35:S$574)</f>
        <v>2267.30368460148</v>
      </c>
      <c r="T17" s="9" t="n">
        <f aca="false">SUMIF($B$35:$B$574,"capex",T$35:T$574)</f>
        <v>2322.5651980887</v>
      </c>
      <c r="U17" s="9" t="n">
        <f aca="false">SUMIF($B$35:$B$574,"capex",U$35:U$574)</f>
        <v>2371.1046178106</v>
      </c>
      <c r="V17" s="9" t="n">
        <f aca="false">SUMIF($B$35:$B$574,"capex",V$35:V$574)</f>
        <v>2428.94411910163</v>
      </c>
      <c r="W17" s="9" t="n">
        <f aca="false">SUMIF($B$35:$B$574,"capex",W$35:W$574)</f>
        <v>2488.20084564185</v>
      </c>
      <c r="X17" s="9" t="n">
        <f aca="false">SUMIF($B$35:$B$574,"capex",X$35:X$574)</f>
        <v>2548.90965281683</v>
      </c>
      <c r="Y17" s="9" t="n">
        <f aca="false">SUMIF($B$35:$B$574,"capex",Y$35:Y$574)</f>
        <v>2611.10625589187</v>
      </c>
      <c r="Z17" s="9" t="n">
        <f aca="false">SUMIF($B$35:$B$574,"capex",Z$35:Z$574)</f>
        <v>2409.13985687794</v>
      </c>
      <c r="AA17" s="9" t="n">
        <f aca="false">SUMIF($B$35:$B$574,"capex",AA$35:AA$574)</f>
        <v>2469.1089960414</v>
      </c>
      <c r="AB17" s="9" t="n">
        <f aca="false">SUMIF($B$35:$B$574,"capex",AB$35:AB$574)</f>
        <v>2530.57217653877</v>
      </c>
      <c r="AC17" s="9" t="n">
        <f aca="false">SUMIF($B$35:$B$574,"capex",AC$35:AC$574)</f>
        <v>2593.5666456605</v>
      </c>
      <c r="AD17" s="9" t="n">
        <f aca="false">SUMIF($B$35:$B$574,"capex",AD$35:AD$574)</f>
        <v>2658.13057980444</v>
      </c>
      <c r="AE17" s="9" t="n">
        <f aca="false">SUMIF($B$35:$B$574,"capex",AE$35:AE$574)</f>
        <v>2667.03283360725</v>
      </c>
      <c r="AF17" s="9" t="n">
        <f aca="false">SUMIF($B$35:$B$574,"capex",AF$35:AF$574)</f>
        <v>2733.70865444743</v>
      </c>
      <c r="AG17" s="9" t="n">
        <f aca="false">SUMIF($B$35:$B$574,"capex",AG$35:AG$574)</f>
        <v>2802.05137080862</v>
      </c>
      <c r="AH17" s="9" t="n">
        <f aca="false">SUMIF($B$35:$B$574,"capex",AH$35:AH$574)</f>
        <v>2872.10265507883</v>
      </c>
      <c r="AI17" s="9" t="n">
        <f aca="false">SUMIF($B$35:$B$574,"capex",AI$35:AI$574)</f>
        <v>2836.13841479576</v>
      </c>
      <c r="AJ17" s="9" t="n">
        <f aca="false">SUMIF($B$35:$B$574,"capex",AJ$35:AJ$574)</f>
        <v>0</v>
      </c>
      <c r="AK17" s="9" t="n">
        <f aca="false">SUMIF($B$35:$B$574,"capex",AK$35:AK$574)</f>
        <v>0</v>
      </c>
      <c r="AL17" s="9" t="n">
        <f aca="false">SUMIF($B$35:$B$574,"capex",AL$35:AL$574)</f>
        <v>0</v>
      </c>
      <c r="AM17" s="9" t="n">
        <f aca="false">SUMIF($B$35:$B$574,"capex",AM$35:AM$574)</f>
        <v>0</v>
      </c>
      <c r="AN17" s="9" t="n">
        <f aca="false">SUMIF($B$35:$B$574,"capex",AN$35:AN$574)</f>
        <v>0</v>
      </c>
      <c r="AO17" s="9" t="n">
        <f aca="false">SUMIF($B$35:$B$574,"capex",AO$35:AO$574)</f>
        <v>0</v>
      </c>
      <c r="AP17" s="9" t="n">
        <f aca="false">SUMIF($B$35:$B$574,"capex",AP$35:AP$574)</f>
        <v>0</v>
      </c>
      <c r="AQ17" s="9" t="n">
        <f aca="false">SUMIF($B$35:$B$574,"capex",AQ$35:AQ$574)</f>
        <v>0</v>
      </c>
      <c r="AR17" s="9" t="n">
        <f aca="false">SUMIF($B$35:$B$574,"capex",AR$35:AR$574)</f>
        <v>0</v>
      </c>
      <c r="AS17" s="9" t="n">
        <f aca="false">SUMIF($B$35:$B$574,"capex",AS$35:AS$574)</f>
        <v>0</v>
      </c>
    </row>
    <row r="18" customFormat="false" ht="15" hidden="false" customHeight="false" outlineLevel="0" collapsed="false">
      <c r="A18" s="6" t="s">
        <v>395</v>
      </c>
      <c r="B18" s="6" t="s">
        <v>396</v>
      </c>
      <c r="C18" s="9" t="n">
        <f aca="false">SUM(G18:AS18)</f>
        <v>247110.574836294</v>
      </c>
      <c r="G18" s="9" t="n">
        <f aca="false">SUMIF($B$35:$B$574,"pretax",G$35:G$574)</f>
        <v>10126.3252449675</v>
      </c>
      <c r="H18" s="9" t="n">
        <f aca="false">SUMIF($B$35:$B$574,"pretax",H$35:H$574)</f>
        <v>11111.0207747235</v>
      </c>
      <c r="I18" s="9" t="n">
        <f aca="false">SUMIF($B$35:$B$574,"pretax",I$35:I$574)</f>
        <v>9464.13560946988</v>
      </c>
      <c r="J18" s="9" t="n">
        <f aca="false">SUMIF($B$35:$B$574,"pretax",J$35:J$574)</f>
        <v>8360.54417260343</v>
      </c>
      <c r="K18" s="9" t="n">
        <f aca="false">SUMIF($B$35:$B$574,"pretax",K$35:K$574)</f>
        <v>8439.84391381801</v>
      </c>
      <c r="L18" s="9" t="n">
        <f aca="false">SUMIF($B$35:$B$574,"pretax",L$35:L$574)</f>
        <v>8519.78525648094</v>
      </c>
      <c r="M18" s="9" t="n">
        <f aca="false">SUMIF($B$35:$B$574,"pretax",M$35:M$574)</f>
        <v>8600.35742278679</v>
      </c>
      <c r="N18" s="9" t="n">
        <f aca="false">SUMIF($B$35:$B$574,"pretax",N$35:N$574)</f>
        <v>8681.54882912817</v>
      </c>
      <c r="O18" s="9" t="n">
        <f aca="false">SUMIF($B$35:$B$574,"pretax",O$35:O$574)</f>
        <v>8763.34705522352</v>
      </c>
      <c r="P18" s="9" t="n">
        <f aca="false">SUMIF($B$35:$B$574,"pretax",P$35:P$574)</f>
        <v>8852.02876104656</v>
      </c>
      <c r="Q18" s="9" t="n">
        <f aca="false">SUMIF($B$35:$B$574,"pretax",Q$35:Q$574)</f>
        <v>8944.61930777636</v>
      </c>
      <c r="R18" s="9" t="n">
        <f aca="false">SUMIF($B$35:$B$574,"pretax",R$35:R$574)</f>
        <v>9037.96645865848</v>
      </c>
      <c r="S18" s="9" t="n">
        <f aca="false">SUMIF($B$35:$B$574,"pretax",S$35:S$574)</f>
        <v>8829.43798294038</v>
      </c>
      <c r="T18" s="9" t="n">
        <f aca="false">SUMIF($B$35:$B$574,"pretax",T$35:T$574)</f>
        <v>8918.2082687483</v>
      </c>
      <c r="U18" s="9" t="n">
        <f aca="false">SUMIF($B$35:$B$574,"pretax",U$35:U$574)</f>
        <v>8924.74224857246</v>
      </c>
      <c r="V18" s="9" t="n">
        <f aca="false">SUMIF($B$35:$B$574,"pretax",V$35:V$574)</f>
        <v>9013.03029841258</v>
      </c>
      <c r="W18" s="9" t="n">
        <f aca="false">SUMIF($B$35:$B$574,"pretax",W$35:W$574)</f>
        <v>9101.84498330122</v>
      </c>
      <c r="X18" s="9" t="n">
        <f aca="false">SUMIF($B$35:$B$574,"pretax",X$35:X$574)</f>
        <v>9191.16585779065</v>
      </c>
      <c r="Y18" s="9" t="n">
        <f aca="false">SUMIF($B$35:$B$574,"pretax",Y$35:Y$574)</f>
        <v>9280.97129307045</v>
      </c>
      <c r="Z18" s="9" t="n">
        <f aca="false">SUMIF($B$35:$B$574,"pretax",Z$35:Z$574)</f>
        <v>7274.13265864228</v>
      </c>
      <c r="AA18" s="9" t="n">
        <f aca="false">SUMIF($B$35:$B$574,"pretax",AA$35:AA$574)</f>
        <v>7390.66753227056</v>
      </c>
      <c r="AB18" s="9" t="n">
        <f aca="false">SUMIF($B$35:$B$574,"pretax",AB$35:AB$574)</f>
        <v>7516.76174799146</v>
      </c>
      <c r="AC18" s="9" t="n">
        <f aca="false">SUMIF($B$35:$B$574,"pretax",AC$35:AC$574)</f>
        <v>7608.17972848229</v>
      </c>
      <c r="AD18" s="9" t="n">
        <f aca="false">SUMIF($B$35:$B$574,"pretax",AD$35:AD$574)</f>
        <v>7699.95313722122</v>
      </c>
      <c r="AE18" s="9" t="n">
        <f aca="false">SUMIF($B$35:$B$574,"pretax",AE$35:AE$574)</f>
        <v>7392.14426011181</v>
      </c>
      <c r="AF18" s="9" t="n">
        <f aca="false">SUMIF($B$35:$B$574,"pretax",AF$35:AF$574)</f>
        <v>7476.53970632565</v>
      </c>
      <c r="AG18" s="9" t="n">
        <f aca="false">SUMIF($B$35:$B$574,"pretax",AG$35:AG$574)</f>
        <v>7561.03687548905</v>
      </c>
      <c r="AH18" s="9" t="n">
        <f aca="false">SUMIF($B$35:$B$574,"pretax",AH$35:AH$574)</f>
        <v>7645.59814741164</v>
      </c>
      <c r="AI18" s="9" t="n">
        <f aca="false">SUMIF($B$35:$B$574,"pretax",AI$35:AI$574)</f>
        <v>7384.63730282879</v>
      </c>
      <c r="AJ18" s="9" t="n">
        <f aca="false">SUMIF($B$35:$B$574,"pretax",AJ$35:AJ$574)</f>
        <v>0</v>
      </c>
      <c r="AK18" s="9" t="n">
        <f aca="false">SUMIF($B$35:$B$574,"pretax",AK$35:AK$574)</f>
        <v>0</v>
      </c>
      <c r="AL18" s="9" t="n">
        <f aca="false">SUMIF($B$35:$B$574,"pretax",AL$35:AL$574)</f>
        <v>0</v>
      </c>
      <c r="AM18" s="9" t="n">
        <f aca="false">SUMIF($B$35:$B$574,"pretax",AM$35:AM$574)</f>
        <v>0</v>
      </c>
      <c r="AN18" s="9" t="n">
        <f aca="false">SUMIF($B$35:$B$574,"pretax",AN$35:AN$574)</f>
        <v>0</v>
      </c>
      <c r="AO18" s="9" t="n">
        <f aca="false">SUMIF($B$35:$B$574,"pretax",AO$35:AO$574)</f>
        <v>0</v>
      </c>
      <c r="AP18" s="9" t="n">
        <f aca="false">SUMIF($B$35:$B$574,"pretax",AP$35:AP$574)</f>
        <v>0</v>
      </c>
      <c r="AQ18" s="9" t="n">
        <f aca="false">SUMIF($B$35:$B$574,"pretax",AQ$35:AQ$574)</f>
        <v>0</v>
      </c>
      <c r="AR18" s="9" t="n">
        <f aca="false">SUMIF($B$35:$B$574,"pretax",AR$35:AR$574)</f>
        <v>0</v>
      </c>
      <c r="AS18" s="9" t="n">
        <f aca="false">SUMIF($B$35:$B$574,"pretax",AS$35:AS$574)</f>
        <v>0</v>
      </c>
    </row>
    <row r="19" customFormat="false" ht="15" hidden="false" customHeight="false" outlineLevel="0" collapsed="false">
      <c r="A19" s="6" t="s">
        <v>397</v>
      </c>
      <c r="B19" s="6" t="s">
        <v>398</v>
      </c>
      <c r="C19" s="9" t="n">
        <f aca="false">SUM(G19:AS19)</f>
        <v>0</v>
      </c>
      <c r="G19" s="9" t="n">
        <f aca="false">SUMIF($B$35:$B$574,"ptc",G$35:G$574)</f>
        <v>0</v>
      </c>
      <c r="H19" s="9" t="n">
        <f aca="false">SUMIF($B$35:$B$574,"ptc",H$35:H$574)</f>
        <v>0</v>
      </c>
      <c r="I19" s="9" t="n">
        <f aca="false">SUMIF($B$35:$B$574,"ptc",I$35:I$574)</f>
        <v>0</v>
      </c>
      <c r="J19" s="9" t="n">
        <f aca="false">SUMIF($B$35:$B$574,"ptc",J$35:J$574)</f>
        <v>0</v>
      </c>
      <c r="K19" s="9" t="n">
        <f aca="false">SUMIF($B$35:$B$574,"ptc",K$35:K$574)</f>
        <v>0</v>
      </c>
      <c r="L19" s="9" t="n">
        <f aca="false">SUMIF($B$35:$B$574,"ptc",L$35:L$574)</f>
        <v>0</v>
      </c>
      <c r="M19" s="9" t="n">
        <f aca="false">SUMIF($B$35:$B$574,"ptc",M$35:M$574)</f>
        <v>0</v>
      </c>
      <c r="N19" s="9" t="n">
        <f aca="false">SUMIF($B$35:$B$574,"ptc",N$35:N$574)</f>
        <v>0</v>
      </c>
      <c r="O19" s="9" t="n">
        <f aca="false">SUMIF($B$35:$B$574,"ptc",O$35:O$574)</f>
        <v>0</v>
      </c>
      <c r="P19" s="9" t="n">
        <f aca="false">SUMIF($B$35:$B$574,"ptc",P$35:P$574)</f>
        <v>0</v>
      </c>
      <c r="Q19" s="9" t="n">
        <f aca="false">SUMIF($B$35:$B$574,"ptc",Q$35:Q$574)</f>
        <v>0</v>
      </c>
      <c r="R19" s="9" t="n">
        <f aca="false">SUMIF($B$35:$B$574,"ptc",R$35:R$574)</f>
        <v>0</v>
      </c>
      <c r="S19" s="9" t="n">
        <f aca="false">SUMIF($B$35:$B$574,"ptc",S$35:S$574)</f>
        <v>0</v>
      </c>
      <c r="T19" s="9" t="n">
        <f aca="false">SUMIF($B$35:$B$574,"ptc",T$35:T$574)</f>
        <v>0</v>
      </c>
      <c r="U19" s="9" t="n">
        <f aca="false">SUMIF($B$35:$B$574,"ptc",U$35:U$574)</f>
        <v>0</v>
      </c>
      <c r="V19" s="9" t="n">
        <f aca="false">SUMIF($B$35:$B$574,"ptc",V$35:V$574)</f>
        <v>0</v>
      </c>
      <c r="W19" s="9" t="n">
        <f aca="false">SUMIF($B$35:$B$574,"ptc",W$35:W$574)</f>
        <v>0</v>
      </c>
      <c r="X19" s="9" t="n">
        <f aca="false">SUMIF($B$35:$B$574,"ptc",X$35:X$574)</f>
        <v>0</v>
      </c>
      <c r="Y19" s="9" t="n">
        <f aca="false">SUMIF($B$35:$B$574,"ptc",Y$35:Y$574)</f>
        <v>0</v>
      </c>
      <c r="Z19" s="9" t="n">
        <f aca="false">SUMIF($B$35:$B$574,"ptc",Z$35:Z$574)</f>
        <v>0</v>
      </c>
      <c r="AA19" s="9" t="n">
        <f aca="false">SUMIF($B$35:$B$574,"ptc",AA$35:AA$574)</f>
        <v>0</v>
      </c>
      <c r="AB19" s="9" t="n">
        <f aca="false">SUMIF($B$35:$B$574,"ptc",AB$35:AB$574)</f>
        <v>0</v>
      </c>
      <c r="AC19" s="9" t="n">
        <f aca="false">SUMIF($B$35:$B$574,"ptc",AC$35:AC$574)</f>
        <v>0</v>
      </c>
      <c r="AD19" s="9" t="n">
        <f aca="false">SUMIF($B$35:$B$574,"ptc",AD$35:AD$574)</f>
        <v>0</v>
      </c>
      <c r="AE19" s="9" t="n">
        <f aca="false">SUMIF($B$35:$B$574,"ptc",AE$35:AE$574)</f>
        <v>0</v>
      </c>
      <c r="AF19" s="9" t="n">
        <f aca="false">SUMIF($B$35:$B$574,"ptc",AF$35:AF$574)</f>
        <v>0</v>
      </c>
      <c r="AG19" s="9" t="n">
        <f aca="false">SUMIF($B$35:$B$574,"ptc",AG$35:AG$574)</f>
        <v>0</v>
      </c>
      <c r="AH19" s="9" t="n">
        <f aca="false">SUMIF($B$35:$B$574,"ptc",AH$35:AH$574)</f>
        <v>0</v>
      </c>
      <c r="AI19" s="9" t="n">
        <f aca="false">SUMIF($B$35:$B$574,"ptc",AI$35:AI$574)</f>
        <v>0</v>
      </c>
      <c r="AJ19" s="9" t="n">
        <f aca="false">SUMIF($B$35:$B$574,"ptc",AJ$35:AJ$574)</f>
        <v>0</v>
      </c>
      <c r="AK19" s="9" t="n">
        <f aca="false">SUMIF($B$35:$B$574,"ptc",AK$35:AK$574)</f>
        <v>0</v>
      </c>
      <c r="AL19" s="9" t="n">
        <f aca="false">SUMIF($B$35:$B$574,"ptc",AL$35:AL$574)</f>
        <v>0</v>
      </c>
      <c r="AM19" s="9" t="n">
        <f aca="false">SUMIF($B$35:$B$574,"ptc",AM$35:AM$574)</f>
        <v>0</v>
      </c>
      <c r="AN19" s="9" t="n">
        <f aca="false">SUMIF($B$35:$B$574,"ptc",AN$35:AN$574)</f>
        <v>0</v>
      </c>
      <c r="AO19" s="9" t="n">
        <f aca="false">SUMIF($B$35:$B$574,"ptc",AO$35:AO$574)</f>
        <v>0</v>
      </c>
      <c r="AP19" s="9" t="n">
        <f aca="false">SUMIF($B$35:$B$574,"ptc",AP$35:AP$574)</f>
        <v>0</v>
      </c>
      <c r="AQ19" s="9" t="n">
        <f aca="false">SUMIF($B$35:$B$574,"ptc",AQ$35:AQ$574)</f>
        <v>0</v>
      </c>
      <c r="AR19" s="9" t="n">
        <f aca="false">SUMIF($B$35:$B$574,"ptc",AR$35:AR$574)</f>
        <v>0</v>
      </c>
      <c r="AS19" s="9" t="n">
        <f aca="false">SUMIF($B$35:$B$574,"ptc",AS$35:AS$574)</f>
        <v>0</v>
      </c>
    </row>
    <row r="20" customFormat="false" ht="15" hidden="false" customHeight="false" outlineLevel="0" collapsed="false">
      <c r="A20" s="6" t="s">
        <v>399</v>
      </c>
      <c r="B20" s="6" t="s">
        <v>400</v>
      </c>
      <c r="C20" s="9" t="n">
        <f aca="false">SUM(G20:AS20)</f>
        <v>3001.05</v>
      </c>
      <c r="G20" s="9" t="n">
        <f aca="false">SUMIF($B$35:$B$574,"fixedval",$C$35:$C$574)*CEG_RenYield</f>
        <v>76.95</v>
      </c>
      <c r="H20" s="9" t="n">
        <f aca="false">SUMIF($B$35:$B$574,"fixedval",$C$35:$C$574)*CEG_RenYield</f>
        <v>76.95</v>
      </c>
      <c r="I20" s="9" t="n">
        <f aca="false">SUMIF($B$35:$B$574,"fixedval",$C$35:$C$574)*CEG_RenYield</f>
        <v>76.95</v>
      </c>
      <c r="J20" s="9" t="n">
        <f aca="false">SUMIF($B$35:$B$574,"fixedval",$C$35:$C$574)*CEG_RenYield</f>
        <v>76.95</v>
      </c>
      <c r="K20" s="9" t="n">
        <f aca="false">SUMIF($B$35:$B$574,"fixedval",$C$35:$C$574)*CEG_RenYield</f>
        <v>76.95</v>
      </c>
      <c r="L20" s="9" t="n">
        <f aca="false">SUMIF($B$35:$B$574,"fixedval",$C$35:$C$574)*CEG_RenYield</f>
        <v>76.95</v>
      </c>
      <c r="M20" s="9" t="n">
        <f aca="false">SUMIF($B$35:$B$574,"fixedval",$C$35:$C$574)*CEG_RenYield</f>
        <v>76.95</v>
      </c>
      <c r="N20" s="9" t="n">
        <f aca="false">SUMIF($B$35:$B$574,"fixedval",$C$35:$C$574)*CEG_RenYield</f>
        <v>76.95</v>
      </c>
      <c r="O20" s="9" t="n">
        <f aca="false">SUMIF($B$35:$B$574,"fixedval",$C$35:$C$574)*CEG_RenYield</f>
        <v>76.95</v>
      </c>
      <c r="P20" s="9" t="n">
        <f aca="false">SUMIF($B$35:$B$574,"fixedval",$C$35:$C$574)*CEG_RenYield</f>
        <v>76.95</v>
      </c>
      <c r="Q20" s="9" t="n">
        <f aca="false">SUMIF($B$35:$B$574,"fixedval",$C$35:$C$574)*CEG_RenYield</f>
        <v>76.95</v>
      </c>
      <c r="R20" s="9" t="n">
        <f aca="false">SUMIF($B$35:$B$574,"fixedval",$C$35:$C$574)*CEG_RenYield</f>
        <v>76.95</v>
      </c>
      <c r="S20" s="9" t="n">
        <f aca="false">SUMIF($B$35:$B$574,"fixedval",$C$35:$C$574)*CEG_RenYield</f>
        <v>76.95</v>
      </c>
      <c r="T20" s="9" t="n">
        <f aca="false">SUMIF($B$35:$B$574,"fixedval",$C$35:$C$574)*CEG_RenYield</f>
        <v>76.95</v>
      </c>
      <c r="U20" s="9" t="n">
        <f aca="false">SUMIF($B$35:$B$574,"fixedval",$C$35:$C$574)*CEG_RenYield</f>
        <v>76.95</v>
      </c>
      <c r="V20" s="9" t="n">
        <f aca="false">SUMIF($B$35:$B$574,"fixedval",$C$35:$C$574)*CEG_RenYield</f>
        <v>76.95</v>
      </c>
      <c r="W20" s="9" t="n">
        <f aca="false">SUMIF($B$35:$B$574,"fixedval",$C$35:$C$574)*CEG_RenYield</f>
        <v>76.95</v>
      </c>
      <c r="X20" s="9" t="n">
        <f aca="false">SUMIF($B$35:$B$574,"fixedval",$C$35:$C$574)*CEG_RenYield</f>
        <v>76.95</v>
      </c>
      <c r="Y20" s="9" t="n">
        <f aca="false">SUMIF($B$35:$B$574,"fixedval",$C$35:$C$574)*CEG_RenYield</f>
        <v>76.95</v>
      </c>
      <c r="Z20" s="9" t="n">
        <f aca="false">SUMIF($B$35:$B$574,"fixedval",$C$35:$C$574)*CEG_RenYield</f>
        <v>76.95</v>
      </c>
      <c r="AA20" s="9" t="n">
        <f aca="false">SUMIF($B$35:$B$574,"fixedval",$C$35:$C$574)*CEG_RenYield</f>
        <v>76.95</v>
      </c>
      <c r="AB20" s="9" t="n">
        <f aca="false">SUMIF($B$35:$B$574,"fixedval",$C$35:$C$574)*CEG_RenYield</f>
        <v>76.95</v>
      </c>
      <c r="AC20" s="9" t="n">
        <f aca="false">SUMIF($B$35:$B$574,"fixedval",$C$35:$C$574)*CEG_RenYield</f>
        <v>76.95</v>
      </c>
      <c r="AD20" s="9" t="n">
        <f aca="false">SUMIF($B$35:$B$574,"fixedval",$C$35:$C$574)*CEG_RenYield</f>
        <v>76.95</v>
      </c>
      <c r="AE20" s="9" t="n">
        <f aca="false">SUMIF($B$35:$B$574,"fixedval",$C$35:$C$574)*CEG_RenYield</f>
        <v>76.95</v>
      </c>
      <c r="AF20" s="9" t="n">
        <f aca="false">SUMIF($B$35:$B$574,"fixedval",$C$35:$C$574)*CEG_RenYield</f>
        <v>76.95</v>
      </c>
      <c r="AG20" s="9" t="n">
        <f aca="false">SUMIF($B$35:$B$574,"fixedval",$C$35:$C$574)*CEG_RenYield</f>
        <v>76.95</v>
      </c>
      <c r="AH20" s="9" t="n">
        <f aca="false">SUMIF($B$35:$B$574,"fixedval",$C$35:$C$574)*CEG_RenYield</f>
        <v>76.95</v>
      </c>
      <c r="AI20" s="9" t="n">
        <f aca="false">SUMIF($B$35:$B$574,"fixedval",$C$35:$C$574)*CEG_RenYield</f>
        <v>76.95</v>
      </c>
      <c r="AJ20" s="9" t="n">
        <f aca="false">SUMIF($B$35:$B$574,"fixedval",$C$35:$C$574)*CEG_RenYield</f>
        <v>76.95</v>
      </c>
      <c r="AK20" s="9" t="n">
        <f aca="false">SUMIF($B$35:$B$574,"fixedval",$C$35:$C$574)*CEG_RenYield</f>
        <v>76.95</v>
      </c>
      <c r="AL20" s="9" t="n">
        <f aca="false">SUMIF($B$35:$B$574,"fixedval",$C$35:$C$574)*CEG_RenYield</f>
        <v>76.95</v>
      </c>
      <c r="AM20" s="9" t="n">
        <f aca="false">SUMIF($B$35:$B$574,"fixedval",$C$35:$C$574)*CEG_RenYield</f>
        <v>76.95</v>
      </c>
      <c r="AN20" s="9" t="n">
        <f aca="false">SUMIF($B$35:$B$574,"fixedval",$C$35:$C$574)*CEG_RenYield</f>
        <v>76.95</v>
      </c>
      <c r="AO20" s="9" t="n">
        <f aca="false">SUMIF($B$35:$B$574,"fixedval",$C$35:$C$574)*CEG_RenYield</f>
        <v>76.95</v>
      </c>
      <c r="AP20" s="9" t="n">
        <f aca="false">SUMIF($B$35:$B$574,"fixedval",$C$35:$C$574)*CEG_RenYield</f>
        <v>76.95</v>
      </c>
      <c r="AQ20" s="9" t="n">
        <f aca="false">SUMIF($B$35:$B$574,"fixedval",$C$35:$C$574)*CEG_RenYield</f>
        <v>76.95</v>
      </c>
      <c r="AR20" s="9" t="n">
        <f aca="false">SUMIF($B$35:$B$574,"fixedval",$C$35:$C$574)*CEG_RenYield</f>
        <v>76.95</v>
      </c>
      <c r="AS20" s="9" t="n">
        <f aca="false">SUMIF($B$35:$B$574,"fixedval",$C$35:$C$574)*CEG_RenYield</f>
        <v>76.95</v>
      </c>
    </row>
    <row r="21" customFormat="false" ht="15" hidden="false" customHeight="false" outlineLevel="0" collapsed="false">
      <c r="A21" s="49" t="s">
        <v>401</v>
      </c>
      <c r="B21" s="50" t="s">
        <v>402</v>
      </c>
      <c r="C21" s="51" t="n">
        <f aca="false">SUM(G21:AS21)</f>
        <v>250111.624836294</v>
      </c>
      <c r="D21" s="52"/>
      <c r="E21" s="52"/>
      <c r="F21" s="52"/>
      <c r="G21" s="51" t="n">
        <f aca="false">G18+G19+G20</f>
        <v>10203.2752449675</v>
      </c>
      <c r="H21" s="51" t="n">
        <f aca="false">H18+H19+H20</f>
        <v>11187.9707747235</v>
      </c>
      <c r="I21" s="51" t="n">
        <f aca="false">I18+I19+I20</f>
        <v>9541.08560946988</v>
      </c>
      <c r="J21" s="51" t="n">
        <f aca="false">J18+J19+J20</f>
        <v>8437.49417260343</v>
      </c>
      <c r="K21" s="51" t="n">
        <f aca="false">K18+K19+K20</f>
        <v>8516.79391381801</v>
      </c>
      <c r="L21" s="51" t="n">
        <f aca="false">L18+L19+L20</f>
        <v>8596.73525648094</v>
      </c>
      <c r="M21" s="51" t="n">
        <f aca="false">M18+M19+M20</f>
        <v>8677.3074227868</v>
      </c>
      <c r="N21" s="51" t="n">
        <f aca="false">N18+N19+N20</f>
        <v>8758.49882912817</v>
      </c>
      <c r="O21" s="51" t="n">
        <f aca="false">O18+O19+O20</f>
        <v>8840.29705522352</v>
      </c>
      <c r="P21" s="51" t="n">
        <f aca="false">P18+P19+P20</f>
        <v>8928.97876104656</v>
      </c>
      <c r="Q21" s="51" t="n">
        <f aca="false">Q18+Q19+Q20</f>
        <v>9021.56930777636</v>
      </c>
      <c r="R21" s="51" t="n">
        <f aca="false">R18+R19+R20</f>
        <v>9114.91645865848</v>
      </c>
      <c r="S21" s="51" t="n">
        <f aca="false">S18+S19+S20</f>
        <v>8906.38798294038</v>
      </c>
      <c r="T21" s="51" t="n">
        <f aca="false">T18+T19+T20</f>
        <v>8995.1582687483</v>
      </c>
      <c r="U21" s="51" t="n">
        <f aca="false">U18+U19+U20</f>
        <v>9001.69224857246</v>
      </c>
      <c r="V21" s="51" t="n">
        <f aca="false">V18+V19+V20</f>
        <v>9089.98029841258</v>
      </c>
      <c r="W21" s="51" t="n">
        <f aca="false">W18+W19+W20</f>
        <v>9178.79498330122</v>
      </c>
      <c r="X21" s="51" t="n">
        <f aca="false">X18+X19+X20</f>
        <v>9268.11585779065</v>
      </c>
      <c r="Y21" s="51" t="n">
        <f aca="false">Y18+Y19+Y20</f>
        <v>9357.92129307045</v>
      </c>
      <c r="Z21" s="51" t="n">
        <f aca="false">Z18+Z19+Z20</f>
        <v>7351.08265864228</v>
      </c>
      <c r="AA21" s="51" t="n">
        <f aca="false">AA18+AA19+AA20</f>
        <v>7467.61753227056</v>
      </c>
      <c r="AB21" s="51" t="n">
        <f aca="false">AB18+AB19+AB20</f>
        <v>7593.71174799146</v>
      </c>
      <c r="AC21" s="51" t="n">
        <f aca="false">AC18+AC19+AC20</f>
        <v>7685.12972848229</v>
      </c>
      <c r="AD21" s="51" t="n">
        <f aca="false">AD18+AD19+AD20</f>
        <v>7776.90313722122</v>
      </c>
      <c r="AE21" s="51" t="n">
        <f aca="false">AE18+AE19+AE20</f>
        <v>7469.09426011181</v>
      </c>
      <c r="AF21" s="51" t="n">
        <f aca="false">AF18+AF19+AF20</f>
        <v>7553.48970632565</v>
      </c>
      <c r="AG21" s="51" t="n">
        <f aca="false">AG18+AG19+AG20</f>
        <v>7637.98687548905</v>
      </c>
      <c r="AH21" s="51" t="n">
        <f aca="false">AH18+AH19+AH20</f>
        <v>7722.54814741164</v>
      </c>
      <c r="AI21" s="51" t="n">
        <f aca="false">AI18+AI19+AI20</f>
        <v>7461.58730282879</v>
      </c>
      <c r="AJ21" s="51" t="n">
        <f aca="false">AJ18+AJ19+AJ20</f>
        <v>76.95</v>
      </c>
      <c r="AK21" s="51" t="n">
        <f aca="false">AK18+AK19+AK20</f>
        <v>76.95</v>
      </c>
      <c r="AL21" s="51" t="n">
        <f aca="false">AL18+AL19+AL20</f>
        <v>76.95</v>
      </c>
      <c r="AM21" s="51" t="n">
        <f aca="false">AM18+AM19+AM20</f>
        <v>76.95</v>
      </c>
      <c r="AN21" s="51" t="n">
        <f aca="false">AN18+AN19+AN20</f>
        <v>76.95</v>
      </c>
      <c r="AO21" s="51" t="n">
        <f aca="false">AO18+AO19+AO20</f>
        <v>76.95</v>
      </c>
      <c r="AP21" s="51" t="n">
        <f aca="false">AP18+AP19+AP20</f>
        <v>76.95</v>
      </c>
      <c r="AQ21" s="51" t="n">
        <f aca="false">AQ18+AQ19+AQ20</f>
        <v>76.95</v>
      </c>
      <c r="AR21" s="51" t="n">
        <f aca="false">AR18+AR19+AR20</f>
        <v>76.95</v>
      </c>
      <c r="AS21" s="51" t="n">
        <f aca="false">AS18+AS19+AS20</f>
        <v>76.95</v>
      </c>
    </row>
    <row r="22" customFormat="false" ht="15" hidden="false" customHeight="false" outlineLevel="0" collapsed="false">
      <c r="A22" s="6" t="s">
        <v>403</v>
      </c>
      <c r="B22" s="6" t="s">
        <v>404</v>
      </c>
      <c r="C22" s="9" t="n">
        <f aca="false">SUM(G22:AS22)</f>
        <v>59401.9831807426</v>
      </c>
      <c r="G22" s="9" t="n">
        <f aca="false">CEG_PlatEBITDA*G$4</f>
        <v>1020</v>
      </c>
      <c r="H22" s="9" t="n">
        <f aca="false">CEG_PlatEBITDA*H$4</f>
        <v>1040.4</v>
      </c>
      <c r="I22" s="9" t="n">
        <f aca="false">CEG_PlatEBITDA*I$4</f>
        <v>1061.208</v>
      </c>
      <c r="J22" s="9" t="n">
        <f aca="false">CEG_PlatEBITDA*J$4</f>
        <v>1082.43216</v>
      </c>
      <c r="K22" s="9" t="n">
        <f aca="false">CEG_PlatEBITDA*K$4</f>
        <v>1104.0808032</v>
      </c>
      <c r="L22" s="9" t="n">
        <f aca="false">CEG_PlatEBITDA*L$4</f>
        <v>1126.162419264</v>
      </c>
      <c r="M22" s="9" t="n">
        <f aca="false">CEG_PlatEBITDA*M$4</f>
        <v>1148.68566764928</v>
      </c>
      <c r="N22" s="9" t="n">
        <f aca="false">CEG_PlatEBITDA*N$4</f>
        <v>1171.65938100227</v>
      </c>
      <c r="O22" s="9" t="n">
        <f aca="false">CEG_PlatEBITDA*O$4</f>
        <v>1195.09256862231</v>
      </c>
      <c r="P22" s="9" t="n">
        <f aca="false">CEG_PlatEBITDA*P$4</f>
        <v>1218.99441999476</v>
      </c>
      <c r="Q22" s="9" t="n">
        <f aca="false">CEG_PlatEBITDA*Q$4</f>
        <v>1243.37430839465</v>
      </c>
      <c r="R22" s="9" t="n">
        <f aca="false">CEG_PlatEBITDA*R$4</f>
        <v>1268.24179456255</v>
      </c>
      <c r="S22" s="9" t="n">
        <f aca="false">CEG_PlatEBITDA*S$4</f>
        <v>1293.6066304538</v>
      </c>
      <c r="T22" s="9" t="n">
        <f aca="false">CEG_PlatEBITDA*T$4</f>
        <v>1319.47876306287</v>
      </c>
      <c r="U22" s="9" t="n">
        <f aca="false">CEG_PlatEBITDA*U$4</f>
        <v>1345.86833832413</v>
      </c>
      <c r="V22" s="9" t="n">
        <f aca="false">CEG_PlatEBITDA*V$4</f>
        <v>1372.78570509061</v>
      </c>
      <c r="W22" s="9" t="n">
        <f aca="false">CEG_PlatEBITDA*W$4</f>
        <v>1400.24141919243</v>
      </c>
      <c r="X22" s="9" t="n">
        <f aca="false">CEG_PlatEBITDA*X$4</f>
        <v>1428.24624757627</v>
      </c>
      <c r="Y22" s="9" t="n">
        <f aca="false">CEG_PlatEBITDA*Y$4</f>
        <v>1456.8111725278</v>
      </c>
      <c r="Z22" s="9" t="n">
        <f aca="false">CEG_PlatEBITDA*Z$4</f>
        <v>1485.94739597836</v>
      </c>
      <c r="AA22" s="9" t="n">
        <f aca="false">CEG_PlatEBITDA*AA$4</f>
        <v>1515.66634389792</v>
      </c>
      <c r="AB22" s="9" t="n">
        <f aca="false">CEG_PlatEBITDA*AB$4</f>
        <v>1545.97967077588</v>
      </c>
      <c r="AC22" s="9" t="n">
        <f aca="false">CEG_PlatEBITDA*AC$4</f>
        <v>1576.8992641914</v>
      </c>
      <c r="AD22" s="9" t="n">
        <f aca="false">CEG_PlatEBITDA*AD$4</f>
        <v>1608.43724947523</v>
      </c>
      <c r="AE22" s="9" t="n">
        <f aca="false">CEG_PlatEBITDA*AE$4</f>
        <v>1640.60599446473</v>
      </c>
      <c r="AF22" s="9" t="n">
        <f aca="false">CEG_PlatEBITDA*AF$4</f>
        <v>1673.41811435403</v>
      </c>
      <c r="AG22" s="9" t="n">
        <f aca="false">CEG_PlatEBITDA*AG$4</f>
        <v>1706.88647664111</v>
      </c>
      <c r="AH22" s="9" t="n">
        <f aca="false">CEG_PlatEBITDA*AH$4</f>
        <v>1741.02420617393</v>
      </c>
      <c r="AI22" s="9" t="n">
        <f aca="false">CEG_PlatEBITDA*AI$4</f>
        <v>1775.84469029741</v>
      </c>
      <c r="AJ22" s="9" t="n">
        <f aca="false">CEG_PlatEBITDA*AJ$4</f>
        <v>1811.36158410335</v>
      </c>
      <c r="AK22" s="9" t="n">
        <f aca="false">CEG_PlatEBITDA*AK$4</f>
        <v>1847.58881578542</v>
      </c>
      <c r="AL22" s="9" t="n">
        <f aca="false">CEG_PlatEBITDA*AL$4</f>
        <v>1884.54059210113</v>
      </c>
      <c r="AM22" s="9" t="n">
        <f aca="false">CEG_PlatEBITDA*AM$4</f>
        <v>1922.23140394315</v>
      </c>
      <c r="AN22" s="9" t="n">
        <f aca="false">CEG_PlatEBITDA*AN$4</f>
        <v>1960.67603202202</v>
      </c>
      <c r="AO22" s="9" t="n">
        <f aca="false">CEG_PlatEBITDA*AO$4</f>
        <v>1999.88955266246</v>
      </c>
      <c r="AP22" s="9" t="n">
        <f aca="false">CEG_PlatEBITDA*AP$4</f>
        <v>2039.88734371571</v>
      </c>
      <c r="AQ22" s="9" t="n">
        <f aca="false">CEG_PlatEBITDA*AQ$4</f>
        <v>2080.68509059002</v>
      </c>
      <c r="AR22" s="9" t="n">
        <f aca="false">CEG_PlatEBITDA*AR$4</f>
        <v>2122.29879240182</v>
      </c>
      <c r="AS22" s="9" t="n">
        <f aca="false">CEG_PlatEBITDA*AS$4</f>
        <v>2164.74476824986</v>
      </c>
    </row>
    <row r="23" customFormat="false" ht="15" hidden="false" customHeight="false" outlineLevel="0" collapsed="false">
      <c r="A23" s="6" t="s">
        <v>405</v>
      </c>
      <c r="B23" s="6" t="s">
        <v>406</v>
      </c>
      <c r="C23" s="9" t="n">
        <f aca="false">SUM(G23:AS23)</f>
        <v>26730.8924313342</v>
      </c>
      <c r="G23" s="9" t="n">
        <f aca="false">CEG_OH*G$4</f>
        <v>459</v>
      </c>
      <c r="H23" s="9" t="n">
        <f aca="false">CEG_OH*H$4</f>
        <v>468.18</v>
      </c>
      <c r="I23" s="9" t="n">
        <f aca="false">CEG_OH*I$4</f>
        <v>477.5436</v>
      </c>
      <c r="J23" s="9" t="n">
        <f aca="false">CEG_OH*J$4</f>
        <v>487.094472</v>
      </c>
      <c r="K23" s="9" t="n">
        <f aca="false">CEG_OH*K$4</f>
        <v>496.83636144</v>
      </c>
      <c r="L23" s="9" t="n">
        <f aca="false">CEG_OH*L$4</f>
        <v>506.7730886688</v>
      </c>
      <c r="M23" s="9" t="n">
        <f aca="false">CEG_OH*M$4</f>
        <v>516.908550442176</v>
      </c>
      <c r="N23" s="9" t="n">
        <f aca="false">CEG_OH*N$4</f>
        <v>527.24672145102</v>
      </c>
      <c r="O23" s="9" t="n">
        <f aca="false">CEG_OH*O$4</f>
        <v>537.79165588004</v>
      </c>
      <c r="P23" s="9" t="n">
        <f aca="false">CEG_OH*P$4</f>
        <v>548.547488997641</v>
      </c>
      <c r="Q23" s="9" t="n">
        <f aca="false">CEG_OH*Q$4</f>
        <v>559.518438777594</v>
      </c>
      <c r="R23" s="9" t="n">
        <f aca="false">CEG_OH*R$4</f>
        <v>570.708807553145</v>
      </c>
      <c r="S23" s="9" t="n">
        <f aca="false">CEG_OH*S$4</f>
        <v>582.122983704208</v>
      </c>
      <c r="T23" s="9" t="n">
        <f aca="false">CEG_OH*T$4</f>
        <v>593.765443378293</v>
      </c>
      <c r="U23" s="9" t="n">
        <f aca="false">CEG_OH*U$4</f>
        <v>605.640752245859</v>
      </c>
      <c r="V23" s="9" t="n">
        <f aca="false">CEG_OH*V$4</f>
        <v>617.753567290776</v>
      </c>
      <c r="W23" s="9" t="n">
        <f aca="false">CEG_OH*W$4</f>
        <v>630.108638636591</v>
      </c>
      <c r="X23" s="9" t="n">
        <f aca="false">CEG_OH*X$4</f>
        <v>642.710811409323</v>
      </c>
      <c r="Y23" s="9" t="n">
        <f aca="false">CEG_OH*Y$4</f>
        <v>655.56502763751</v>
      </c>
      <c r="Z23" s="9" t="n">
        <f aca="false">CEG_OH*Z$4</f>
        <v>668.67632819026</v>
      </c>
      <c r="AA23" s="9" t="n">
        <f aca="false">CEG_OH*AA$4</f>
        <v>682.049854754065</v>
      </c>
      <c r="AB23" s="9" t="n">
        <f aca="false">CEG_OH*AB$4</f>
        <v>695.690851849146</v>
      </c>
      <c r="AC23" s="9" t="n">
        <f aca="false">CEG_OH*AC$4</f>
        <v>709.604668886129</v>
      </c>
      <c r="AD23" s="9" t="n">
        <f aca="false">CEG_OH*AD$4</f>
        <v>723.796762263852</v>
      </c>
      <c r="AE23" s="9" t="n">
        <f aca="false">CEG_OH*AE$4</f>
        <v>738.272697509129</v>
      </c>
      <c r="AF23" s="9" t="n">
        <f aca="false">CEG_OH*AF$4</f>
        <v>753.038151459311</v>
      </c>
      <c r="AG23" s="9" t="n">
        <f aca="false">CEG_OH*AG$4</f>
        <v>768.098914488498</v>
      </c>
      <c r="AH23" s="9" t="n">
        <f aca="false">CEG_OH*AH$4</f>
        <v>783.460892778268</v>
      </c>
      <c r="AI23" s="9" t="n">
        <f aca="false">CEG_OH*AI$4</f>
        <v>799.130110633833</v>
      </c>
      <c r="AJ23" s="9" t="n">
        <f aca="false">CEG_OH*AJ$4</f>
        <v>815.11271284651</v>
      </c>
      <c r="AK23" s="9" t="n">
        <f aca="false">CEG_OH*AK$4</f>
        <v>831.41496710344</v>
      </c>
      <c r="AL23" s="9" t="n">
        <f aca="false">CEG_OH*AL$4</f>
        <v>848.043266445509</v>
      </c>
      <c r="AM23" s="9" t="n">
        <f aca="false">CEG_OH*AM$4</f>
        <v>865.004131774419</v>
      </c>
      <c r="AN23" s="9" t="n">
        <f aca="false">CEG_OH*AN$4</f>
        <v>882.304214409907</v>
      </c>
      <c r="AO23" s="9" t="n">
        <f aca="false">CEG_OH*AO$4</f>
        <v>899.950298698105</v>
      </c>
      <c r="AP23" s="9" t="n">
        <f aca="false">CEG_OH*AP$4</f>
        <v>917.949304672068</v>
      </c>
      <c r="AQ23" s="9" t="n">
        <f aca="false">CEG_OH*AQ$4</f>
        <v>936.308290765509</v>
      </c>
      <c r="AR23" s="9" t="n">
        <f aca="false">CEG_OH*AR$4</f>
        <v>955.034456580819</v>
      </c>
      <c r="AS23" s="9" t="n">
        <f aca="false">CEG_OH*AS$4</f>
        <v>974.135145712435</v>
      </c>
    </row>
    <row r="24" customFormat="false" ht="15" hidden="false" customHeight="false" outlineLevel="0" collapsed="false">
      <c r="A24" s="6" t="s">
        <v>407</v>
      </c>
      <c r="B24" s="6" t="s">
        <v>408</v>
      </c>
      <c r="C24" s="9" t="n">
        <f aca="false">SUM(G24:AS24)</f>
        <v>28437.786</v>
      </c>
      <c r="G24" s="9" t="n">
        <f aca="false">CEG_NetDebt*1000*CEG_CoD</f>
        <v>729.174</v>
      </c>
      <c r="H24" s="9" t="n">
        <f aca="false">CEG_NetDebt*1000*CEG_CoD</f>
        <v>729.174</v>
      </c>
      <c r="I24" s="9" t="n">
        <f aca="false">CEG_NetDebt*1000*CEG_CoD</f>
        <v>729.174</v>
      </c>
      <c r="J24" s="9" t="n">
        <f aca="false">CEG_NetDebt*1000*CEG_CoD</f>
        <v>729.174</v>
      </c>
      <c r="K24" s="9" t="n">
        <f aca="false">CEG_NetDebt*1000*CEG_CoD</f>
        <v>729.174</v>
      </c>
      <c r="L24" s="9" t="n">
        <f aca="false">CEG_NetDebt*1000*CEG_CoD</f>
        <v>729.174</v>
      </c>
      <c r="M24" s="9" t="n">
        <f aca="false">CEG_NetDebt*1000*CEG_CoD</f>
        <v>729.174</v>
      </c>
      <c r="N24" s="9" t="n">
        <f aca="false">CEG_NetDebt*1000*CEG_CoD</f>
        <v>729.174</v>
      </c>
      <c r="O24" s="9" t="n">
        <f aca="false">CEG_NetDebt*1000*CEG_CoD</f>
        <v>729.174</v>
      </c>
      <c r="P24" s="9" t="n">
        <f aca="false">CEG_NetDebt*1000*CEG_CoD</f>
        <v>729.174</v>
      </c>
      <c r="Q24" s="9" t="n">
        <f aca="false">CEG_NetDebt*1000*CEG_CoD</f>
        <v>729.174</v>
      </c>
      <c r="R24" s="9" t="n">
        <f aca="false">CEG_NetDebt*1000*CEG_CoD</f>
        <v>729.174</v>
      </c>
      <c r="S24" s="9" t="n">
        <f aca="false">CEG_NetDebt*1000*CEG_CoD</f>
        <v>729.174</v>
      </c>
      <c r="T24" s="9" t="n">
        <f aca="false">CEG_NetDebt*1000*CEG_CoD</f>
        <v>729.174</v>
      </c>
      <c r="U24" s="9" t="n">
        <f aca="false">CEG_NetDebt*1000*CEG_CoD</f>
        <v>729.174</v>
      </c>
      <c r="V24" s="9" t="n">
        <f aca="false">CEG_NetDebt*1000*CEG_CoD</f>
        <v>729.174</v>
      </c>
      <c r="W24" s="9" t="n">
        <f aca="false">CEG_NetDebt*1000*CEG_CoD</f>
        <v>729.174</v>
      </c>
      <c r="X24" s="9" t="n">
        <f aca="false">CEG_NetDebt*1000*CEG_CoD</f>
        <v>729.174</v>
      </c>
      <c r="Y24" s="9" t="n">
        <f aca="false">CEG_NetDebt*1000*CEG_CoD</f>
        <v>729.174</v>
      </c>
      <c r="Z24" s="9" t="n">
        <f aca="false">CEG_NetDebt*1000*CEG_CoD</f>
        <v>729.174</v>
      </c>
      <c r="AA24" s="9" t="n">
        <f aca="false">CEG_NetDebt*1000*CEG_CoD</f>
        <v>729.174</v>
      </c>
      <c r="AB24" s="9" t="n">
        <f aca="false">CEG_NetDebt*1000*CEG_CoD</f>
        <v>729.174</v>
      </c>
      <c r="AC24" s="9" t="n">
        <f aca="false">CEG_NetDebt*1000*CEG_CoD</f>
        <v>729.174</v>
      </c>
      <c r="AD24" s="9" t="n">
        <f aca="false">CEG_NetDebt*1000*CEG_CoD</f>
        <v>729.174</v>
      </c>
      <c r="AE24" s="9" t="n">
        <f aca="false">CEG_NetDebt*1000*CEG_CoD</f>
        <v>729.174</v>
      </c>
      <c r="AF24" s="9" t="n">
        <f aca="false">CEG_NetDebt*1000*CEG_CoD</f>
        <v>729.174</v>
      </c>
      <c r="AG24" s="9" t="n">
        <f aca="false">CEG_NetDebt*1000*CEG_CoD</f>
        <v>729.174</v>
      </c>
      <c r="AH24" s="9" t="n">
        <f aca="false">CEG_NetDebt*1000*CEG_CoD</f>
        <v>729.174</v>
      </c>
      <c r="AI24" s="9" t="n">
        <f aca="false">CEG_NetDebt*1000*CEG_CoD</f>
        <v>729.174</v>
      </c>
      <c r="AJ24" s="9" t="n">
        <f aca="false">CEG_NetDebt*1000*CEG_CoD</f>
        <v>729.174</v>
      </c>
      <c r="AK24" s="9" t="n">
        <f aca="false">CEG_NetDebt*1000*CEG_CoD</f>
        <v>729.174</v>
      </c>
      <c r="AL24" s="9" t="n">
        <f aca="false">CEG_NetDebt*1000*CEG_CoD</f>
        <v>729.174</v>
      </c>
      <c r="AM24" s="9" t="n">
        <f aca="false">CEG_NetDebt*1000*CEG_CoD</f>
        <v>729.174</v>
      </c>
      <c r="AN24" s="9" t="n">
        <f aca="false">CEG_NetDebt*1000*CEG_CoD</f>
        <v>729.174</v>
      </c>
      <c r="AO24" s="9" t="n">
        <f aca="false">CEG_NetDebt*1000*CEG_CoD</f>
        <v>729.174</v>
      </c>
      <c r="AP24" s="9" t="n">
        <f aca="false">CEG_NetDebt*1000*CEG_CoD</f>
        <v>729.174</v>
      </c>
      <c r="AQ24" s="9" t="n">
        <f aca="false">CEG_NetDebt*1000*CEG_CoD</f>
        <v>729.174</v>
      </c>
      <c r="AR24" s="9" t="n">
        <f aca="false">CEG_NetDebt*1000*CEG_CoD</f>
        <v>729.174</v>
      </c>
      <c r="AS24" s="9" t="n">
        <f aca="false">CEG_NetDebt*1000*CEG_CoD</f>
        <v>729.174</v>
      </c>
    </row>
    <row r="25" customFormat="false" ht="15" hidden="false" customHeight="false" outlineLevel="0" collapsed="false">
      <c r="A25" s="6" t="s">
        <v>409</v>
      </c>
      <c r="B25" s="6" t="s">
        <v>410</v>
      </c>
      <c r="C25" s="9" t="n">
        <f aca="false">SUM(G25:AS25)</f>
        <v>254344.929585702</v>
      </c>
      <c r="G25" s="9" t="n">
        <f aca="false">G21-G19+G22-G23-G24</f>
        <v>10035.1012449675</v>
      </c>
      <c r="H25" s="9" t="n">
        <f aca="false">H21-H19+H22-H23-H24</f>
        <v>11031.0167747235</v>
      </c>
      <c r="I25" s="9" t="n">
        <f aca="false">I21-I19+I22-I23-I24</f>
        <v>9395.57600946988</v>
      </c>
      <c r="J25" s="9" t="n">
        <f aca="false">J21-J19+J22-J23-J24</f>
        <v>8303.65786060343</v>
      </c>
      <c r="K25" s="9" t="n">
        <f aca="false">K21-K19+K22-K23-K24</f>
        <v>8394.86435557801</v>
      </c>
      <c r="L25" s="9" t="n">
        <f aca="false">L21-L19+L22-L23-L24</f>
        <v>8486.95058707614</v>
      </c>
      <c r="M25" s="9" t="n">
        <f aca="false">M21-M19+M22-M23-M24</f>
        <v>8579.9105399939</v>
      </c>
      <c r="N25" s="9" t="n">
        <f aca="false">N21-N19+N22-N23-N24</f>
        <v>8673.73748867942</v>
      </c>
      <c r="O25" s="9" t="n">
        <f aca="false">O21-O19+O22-O23-O24</f>
        <v>8768.42396796579</v>
      </c>
      <c r="P25" s="9" t="n">
        <f aca="false">P21-P19+P22-P23-P24</f>
        <v>8870.25169204368</v>
      </c>
      <c r="Q25" s="9" t="n">
        <f aca="false">Q21-Q19+Q22-Q23-Q24</f>
        <v>8976.25117739342</v>
      </c>
      <c r="R25" s="9" t="n">
        <f aca="false">R21-R19+R22-R23-R24</f>
        <v>9083.27544566788</v>
      </c>
      <c r="S25" s="9" t="n">
        <f aca="false">S21-S19+S22-S23-S24</f>
        <v>8888.69762968997</v>
      </c>
      <c r="T25" s="9" t="n">
        <f aca="false">T21-T19+T22-T23-T24</f>
        <v>8991.69758843289</v>
      </c>
      <c r="U25" s="9" t="n">
        <f aca="false">U21-U19+U22-U23-U24</f>
        <v>9012.74583465073</v>
      </c>
      <c r="V25" s="9" t="n">
        <f aca="false">V21-V19+V22-V23-V24</f>
        <v>9115.83843621242</v>
      </c>
      <c r="W25" s="9" t="n">
        <f aca="false">W21-W19+W22-W23-W24</f>
        <v>9219.75376385706</v>
      </c>
      <c r="X25" s="9" t="n">
        <f aca="false">X21-X19+X22-X23-X24</f>
        <v>9324.4772939576</v>
      </c>
      <c r="Y25" s="9" t="n">
        <f aca="false">Y21-Y19+Y22-Y23-Y24</f>
        <v>9429.99343796074</v>
      </c>
      <c r="Z25" s="9" t="n">
        <f aca="false">Z21-Z19+Z22-Z23-Z24</f>
        <v>7439.17972643038</v>
      </c>
      <c r="AA25" s="9" t="n">
        <f aca="false">AA21-AA19+AA22-AA23-AA24</f>
        <v>7572.06002141441</v>
      </c>
      <c r="AB25" s="9" t="n">
        <f aca="false">AB21-AB19+AB22-AB23-AB24</f>
        <v>7714.82656691819</v>
      </c>
      <c r="AC25" s="9" t="n">
        <f aca="false">AC21-AC19+AC22-AC23-AC24</f>
        <v>7823.25032378756</v>
      </c>
      <c r="AD25" s="9" t="n">
        <f aca="false">AD21-AD19+AD22-AD23-AD24</f>
        <v>7932.3696244326</v>
      </c>
      <c r="AE25" s="9" t="n">
        <f aca="false">AE21-AE19+AE22-AE23-AE24</f>
        <v>7642.25355706741</v>
      </c>
      <c r="AF25" s="9" t="n">
        <f aca="false">AF21-AF19+AF22-AF23-AF24</f>
        <v>7744.69566922036</v>
      </c>
      <c r="AG25" s="9" t="n">
        <f aca="false">AG21-AG19+AG22-AG23-AG24</f>
        <v>7847.60043764166</v>
      </c>
      <c r="AH25" s="9" t="n">
        <f aca="false">AH21-AH19+AH22-AH23-AH24</f>
        <v>7950.9374608073</v>
      </c>
      <c r="AI25" s="9" t="n">
        <f aca="false">AI21-AI19+AI22-AI23-AI24</f>
        <v>7709.12788249236</v>
      </c>
      <c r="AJ25" s="9" t="n">
        <f aca="false">AJ21-AJ19+AJ22-AJ23-AJ24</f>
        <v>344.024871256845</v>
      </c>
      <c r="AK25" s="9" t="n">
        <f aca="false">AK21-AK19+AK22-AK23-AK24</f>
        <v>363.949848681982</v>
      </c>
      <c r="AL25" s="9" t="n">
        <f aca="false">AL21-AL19+AL22-AL23-AL24</f>
        <v>384.273325655622</v>
      </c>
      <c r="AM25" s="9" t="n">
        <f aca="false">AM21-AM19+AM22-AM23-AM24</f>
        <v>405.003272168734</v>
      </c>
      <c r="AN25" s="9" t="n">
        <f aca="false">AN21-AN19+AN22-AN23-AN24</f>
        <v>426.147817612109</v>
      </c>
      <c r="AO25" s="9" t="n">
        <f aca="false">AO21-AO19+AO22-AO23-AO24</f>
        <v>447.715253964351</v>
      </c>
      <c r="AP25" s="9" t="n">
        <f aca="false">AP21-AP19+AP22-AP23-AP24</f>
        <v>469.714039043638</v>
      </c>
      <c r="AQ25" s="9" t="n">
        <f aca="false">AQ21-AQ19+AQ22-AQ23-AQ24</f>
        <v>492.152799824511</v>
      </c>
      <c r="AR25" s="9" t="n">
        <f aca="false">AR21-AR19+AR22-AR23-AR24</f>
        <v>515.040335821001</v>
      </c>
      <c r="AS25" s="9" t="n">
        <f aca="false">AS21-AS19+AS22-AS23-AS24</f>
        <v>538.385622537421</v>
      </c>
    </row>
    <row r="26" customFormat="false" ht="15" hidden="false" customHeight="false" outlineLevel="0" collapsed="false">
      <c r="A26" s="6" t="s">
        <v>411</v>
      </c>
      <c r="B26" s="6" t="s">
        <v>412</v>
      </c>
      <c r="C26" s="9" t="n">
        <f aca="false">SUM(G26:AS26)</f>
        <v>50868.9859171405</v>
      </c>
      <c r="G26" s="9" t="n">
        <f aca="false">TaxRate*MAX(0,G25)</f>
        <v>2007.0202489935</v>
      </c>
      <c r="H26" s="9" t="n">
        <f aca="false">TaxRate*MAX(0,H25)</f>
        <v>2206.20335494469</v>
      </c>
      <c r="I26" s="9" t="n">
        <f aca="false">TaxRate*MAX(0,I25)</f>
        <v>1879.11520189398</v>
      </c>
      <c r="J26" s="9" t="n">
        <f aca="false">TaxRate*MAX(0,J25)</f>
        <v>1660.73157212069</v>
      </c>
      <c r="K26" s="9" t="n">
        <f aca="false">TaxRate*MAX(0,K25)</f>
        <v>1678.9728711156</v>
      </c>
      <c r="L26" s="9" t="n">
        <f aca="false">TaxRate*MAX(0,L25)</f>
        <v>1697.39011741523</v>
      </c>
      <c r="M26" s="9" t="n">
        <f aca="false">TaxRate*MAX(0,M25)</f>
        <v>1715.98210799878</v>
      </c>
      <c r="N26" s="9" t="n">
        <f aca="false">TaxRate*MAX(0,N25)</f>
        <v>1734.74749773588</v>
      </c>
      <c r="O26" s="9" t="n">
        <f aca="false">TaxRate*MAX(0,O25)</f>
        <v>1753.68479359316</v>
      </c>
      <c r="P26" s="9" t="n">
        <f aca="false">TaxRate*MAX(0,P25)</f>
        <v>1774.05033840874</v>
      </c>
      <c r="Q26" s="9" t="n">
        <f aca="false">TaxRate*MAX(0,Q25)</f>
        <v>1795.25023547868</v>
      </c>
      <c r="R26" s="9" t="n">
        <f aca="false">TaxRate*MAX(0,R25)</f>
        <v>1816.65508913358</v>
      </c>
      <c r="S26" s="9" t="n">
        <f aca="false">TaxRate*MAX(0,S25)</f>
        <v>1777.73952593799</v>
      </c>
      <c r="T26" s="9" t="n">
        <f aca="false">TaxRate*MAX(0,T25)</f>
        <v>1798.33951768658</v>
      </c>
      <c r="U26" s="9" t="n">
        <f aca="false">TaxRate*MAX(0,U25)</f>
        <v>1802.54916693015</v>
      </c>
      <c r="V26" s="9" t="n">
        <f aca="false">TaxRate*MAX(0,V25)</f>
        <v>1823.16768724248</v>
      </c>
      <c r="W26" s="9" t="n">
        <f aca="false">TaxRate*MAX(0,W25)</f>
        <v>1843.95075277141</v>
      </c>
      <c r="X26" s="9" t="n">
        <f aca="false">TaxRate*MAX(0,X25)</f>
        <v>1864.89545879152</v>
      </c>
      <c r="Y26" s="9" t="n">
        <f aca="false">TaxRate*MAX(0,Y25)</f>
        <v>1885.99868759215</v>
      </c>
      <c r="Z26" s="9" t="n">
        <f aca="false">TaxRate*MAX(0,Z25)</f>
        <v>1487.83594528608</v>
      </c>
      <c r="AA26" s="9" t="n">
        <f aca="false">TaxRate*MAX(0,AA25)</f>
        <v>1514.41200428288</v>
      </c>
      <c r="AB26" s="9" t="n">
        <f aca="false">TaxRate*MAX(0,AB25)</f>
        <v>1542.96531338364</v>
      </c>
      <c r="AC26" s="9" t="n">
        <f aca="false">TaxRate*MAX(0,AC25)</f>
        <v>1564.65006475751</v>
      </c>
      <c r="AD26" s="9" t="n">
        <f aca="false">TaxRate*MAX(0,AD25)</f>
        <v>1586.47392488652</v>
      </c>
      <c r="AE26" s="9" t="n">
        <f aca="false">TaxRate*MAX(0,AE25)</f>
        <v>1528.45071141348</v>
      </c>
      <c r="AF26" s="9" t="n">
        <f aca="false">TaxRate*MAX(0,AF25)</f>
        <v>1548.93913384407</v>
      </c>
      <c r="AG26" s="9" t="n">
        <f aca="false">TaxRate*MAX(0,AG25)</f>
        <v>1569.52008752833</v>
      </c>
      <c r="AH26" s="9" t="n">
        <f aca="false">TaxRate*MAX(0,AH25)</f>
        <v>1590.18749216146</v>
      </c>
      <c r="AI26" s="9" t="n">
        <f aca="false">TaxRate*MAX(0,AI25)</f>
        <v>1541.82557649847</v>
      </c>
      <c r="AJ26" s="9" t="n">
        <f aca="false">TaxRate*MAX(0,AJ25)</f>
        <v>68.804974251369</v>
      </c>
      <c r="AK26" s="9" t="n">
        <f aca="false">TaxRate*MAX(0,AK25)</f>
        <v>72.7899697363964</v>
      </c>
      <c r="AL26" s="9" t="n">
        <f aca="false">TaxRate*MAX(0,AL25)</f>
        <v>76.8546651311243</v>
      </c>
      <c r="AM26" s="9" t="n">
        <f aca="false">TaxRate*MAX(0,AM25)</f>
        <v>81.0006544337469</v>
      </c>
      <c r="AN26" s="9" t="n">
        <f aca="false">TaxRate*MAX(0,AN25)</f>
        <v>85.2295635224218</v>
      </c>
      <c r="AO26" s="9" t="n">
        <f aca="false">TaxRate*MAX(0,AO25)</f>
        <v>89.5430507928702</v>
      </c>
      <c r="AP26" s="9" t="n">
        <f aca="false">TaxRate*MAX(0,AP25)</f>
        <v>93.9428078087276</v>
      </c>
      <c r="AQ26" s="9" t="n">
        <f aca="false">TaxRate*MAX(0,AQ25)</f>
        <v>98.4305599649021</v>
      </c>
      <c r="AR26" s="9" t="n">
        <f aca="false">TaxRate*MAX(0,AR25)</f>
        <v>103.0080671642</v>
      </c>
      <c r="AS26" s="9" t="n">
        <f aca="false">TaxRate*MAX(0,AS25)</f>
        <v>107.677124507484</v>
      </c>
    </row>
    <row r="27" customFormat="false" ht="15" hidden="false" customHeight="false" outlineLevel="0" collapsed="false">
      <c r="A27" s="6" t="s">
        <v>413</v>
      </c>
      <c r="B27" s="6" t="s">
        <v>414</v>
      </c>
      <c r="C27" s="9" t="n">
        <f aca="false">SUM(G27:AS27)</f>
        <v>0</v>
      </c>
      <c r="G27" s="9" t="n">
        <f aca="false">CEG_Pref*1000*CEG_PrefRate</f>
        <v>0</v>
      </c>
      <c r="H27" s="9" t="n">
        <f aca="false">CEG_Pref*1000*CEG_PrefRate</f>
        <v>0</v>
      </c>
      <c r="I27" s="9" t="n">
        <f aca="false">CEG_Pref*1000*CEG_PrefRate</f>
        <v>0</v>
      </c>
      <c r="J27" s="9" t="n">
        <f aca="false">CEG_Pref*1000*CEG_PrefRate</f>
        <v>0</v>
      </c>
      <c r="K27" s="9" t="n">
        <f aca="false">CEG_Pref*1000*CEG_PrefRate</f>
        <v>0</v>
      </c>
      <c r="L27" s="9" t="n">
        <f aca="false">CEG_Pref*1000*CEG_PrefRate</f>
        <v>0</v>
      </c>
      <c r="M27" s="9" t="n">
        <f aca="false">CEG_Pref*1000*CEG_PrefRate</f>
        <v>0</v>
      </c>
      <c r="N27" s="9" t="n">
        <f aca="false">CEG_Pref*1000*CEG_PrefRate</f>
        <v>0</v>
      </c>
      <c r="O27" s="9" t="n">
        <f aca="false">CEG_Pref*1000*CEG_PrefRate</f>
        <v>0</v>
      </c>
      <c r="P27" s="9" t="n">
        <f aca="false">CEG_Pref*1000*CEG_PrefRate</f>
        <v>0</v>
      </c>
      <c r="Q27" s="9" t="n">
        <f aca="false">CEG_Pref*1000*CEG_PrefRate</f>
        <v>0</v>
      </c>
      <c r="R27" s="9" t="n">
        <f aca="false">CEG_Pref*1000*CEG_PrefRate</f>
        <v>0</v>
      </c>
      <c r="S27" s="9" t="n">
        <f aca="false">CEG_Pref*1000*CEG_PrefRate</f>
        <v>0</v>
      </c>
      <c r="T27" s="9" t="n">
        <f aca="false">CEG_Pref*1000*CEG_PrefRate</f>
        <v>0</v>
      </c>
      <c r="U27" s="9" t="n">
        <f aca="false">CEG_Pref*1000*CEG_PrefRate</f>
        <v>0</v>
      </c>
      <c r="V27" s="9" t="n">
        <f aca="false">CEG_Pref*1000*CEG_PrefRate</f>
        <v>0</v>
      </c>
      <c r="W27" s="9" t="n">
        <f aca="false">CEG_Pref*1000*CEG_PrefRate</f>
        <v>0</v>
      </c>
      <c r="X27" s="9" t="n">
        <f aca="false">CEG_Pref*1000*CEG_PrefRate</f>
        <v>0</v>
      </c>
      <c r="Y27" s="9" t="n">
        <f aca="false">CEG_Pref*1000*CEG_PrefRate</f>
        <v>0</v>
      </c>
      <c r="Z27" s="9" t="n">
        <f aca="false">CEG_Pref*1000*CEG_PrefRate</f>
        <v>0</v>
      </c>
      <c r="AA27" s="9" t="n">
        <f aca="false">CEG_Pref*1000*CEG_PrefRate</f>
        <v>0</v>
      </c>
      <c r="AB27" s="9" t="n">
        <f aca="false">CEG_Pref*1000*CEG_PrefRate</f>
        <v>0</v>
      </c>
      <c r="AC27" s="9" t="n">
        <f aca="false">CEG_Pref*1000*CEG_PrefRate</f>
        <v>0</v>
      </c>
      <c r="AD27" s="9" t="n">
        <f aca="false">CEG_Pref*1000*CEG_PrefRate</f>
        <v>0</v>
      </c>
      <c r="AE27" s="9" t="n">
        <f aca="false">CEG_Pref*1000*CEG_PrefRate</f>
        <v>0</v>
      </c>
      <c r="AF27" s="9" t="n">
        <f aca="false">CEG_Pref*1000*CEG_PrefRate</f>
        <v>0</v>
      </c>
      <c r="AG27" s="9" t="n">
        <f aca="false">CEG_Pref*1000*CEG_PrefRate</f>
        <v>0</v>
      </c>
      <c r="AH27" s="9" t="n">
        <f aca="false">CEG_Pref*1000*CEG_PrefRate</f>
        <v>0</v>
      </c>
      <c r="AI27" s="9" t="n">
        <f aca="false">CEG_Pref*1000*CEG_PrefRate</f>
        <v>0</v>
      </c>
      <c r="AJ27" s="9" t="n">
        <f aca="false">CEG_Pref*1000*CEG_PrefRate</f>
        <v>0</v>
      </c>
      <c r="AK27" s="9" t="n">
        <f aca="false">CEG_Pref*1000*CEG_PrefRate</f>
        <v>0</v>
      </c>
      <c r="AL27" s="9" t="n">
        <f aca="false">CEG_Pref*1000*CEG_PrefRate</f>
        <v>0</v>
      </c>
      <c r="AM27" s="9" t="n">
        <f aca="false">CEG_Pref*1000*CEG_PrefRate</f>
        <v>0</v>
      </c>
      <c r="AN27" s="9" t="n">
        <f aca="false">CEG_Pref*1000*CEG_PrefRate</f>
        <v>0</v>
      </c>
      <c r="AO27" s="9" t="n">
        <f aca="false">CEG_Pref*1000*CEG_PrefRate</f>
        <v>0</v>
      </c>
      <c r="AP27" s="9" t="n">
        <f aca="false">CEG_Pref*1000*CEG_PrefRate</f>
        <v>0</v>
      </c>
      <c r="AQ27" s="9" t="n">
        <f aca="false">CEG_Pref*1000*CEG_PrefRate</f>
        <v>0</v>
      </c>
      <c r="AR27" s="9" t="n">
        <f aca="false">CEG_Pref*1000*CEG_PrefRate</f>
        <v>0</v>
      </c>
      <c r="AS27" s="9" t="n">
        <f aca="false">CEG_Pref*1000*CEG_PrefRate</f>
        <v>0</v>
      </c>
    </row>
    <row r="28" customFormat="false" ht="15" hidden="false" customHeight="false" outlineLevel="0" collapsed="false">
      <c r="A28" s="50" t="s">
        <v>415</v>
      </c>
      <c r="B28" s="50" t="s">
        <v>416</v>
      </c>
      <c r="C28" s="53" t="n">
        <f aca="false">SUM(G28:AS28)</f>
        <v>203475.943668562</v>
      </c>
      <c r="D28" s="52"/>
      <c r="E28" s="52"/>
      <c r="F28" s="52"/>
      <c r="G28" s="53" t="n">
        <f aca="false">G21+G22-G23-G24-G26-G27</f>
        <v>8028.080995974</v>
      </c>
      <c r="H28" s="53" t="n">
        <f aca="false">H21+H22-H23-H24-H26-H27</f>
        <v>8824.81341977877</v>
      </c>
      <c r="I28" s="53" t="n">
        <f aca="false">I21+I22-I23-I24-I26-I27</f>
        <v>7516.46080757591</v>
      </c>
      <c r="J28" s="53" t="n">
        <f aca="false">J21+J22-J23-J24-J26-J27</f>
        <v>6642.92628848274</v>
      </c>
      <c r="K28" s="53" t="n">
        <f aca="false">K21+K22-K23-K24-K26-K27</f>
        <v>6715.89148446241</v>
      </c>
      <c r="L28" s="53" t="n">
        <f aca="false">L21+L22-L23-L24-L26-L27</f>
        <v>6789.56046966091</v>
      </c>
      <c r="M28" s="53" t="n">
        <f aca="false">M21+M22-M23-M24-M26-M27</f>
        <v>6863.92843199512</v>
      </c>
      <c r="N28" s="53" t="n">
        <f aca="false">N21+N22-N23-N24-N26-N27</f>
        <v>6938.98999094353</v>
      </c>
      <c r="O28" s="53" t="n">
        <f aca="false">O21+O22-O23-O24-O26-O27</f>
        <v>7014.73917437263</v>
      </c>
      <c r="P28" s="53" t="n">
        <f aca="false">P21+P22-P23-P24-P26-P27</f>
        <v>7096.20135363494</v>
      </c>
      <c r="Q28" s="53" t="n">
        <f aca="false">Q21+Q22-Q23-Q24-Q26-Q27</f>
        <v>7181.00094191474</v>
      </c>
      <c r="R28" s="53" t="n">
        <f aca="false">R21+R22-R23-R24-R26-R27</f>
        <v>7266.6203565343</v>
      </c>
      <c r="S28" s="53" t="n">
        <f aca="false">S21+S22-S23-S24-S26-S27</f>
        <v>7110.95810375197</v>
      </c>
      <c r="T28" s="53" t="n">
        <f aca="false">T21+T22-T23-T24-T26-T27</f>
        <v>7193.35807074631</v>
      </c>
      <c r="U28" s="53" t="n">
        <f aca="false">U21+U22-U23-U24-U26-U27</f>
        <v>7210.19666772059</v>
      </c>
      <c r="V28" s="53" t="n">
        <f aca="false">V21+V22-V23-V24-V26-V27</f>
        <v>7292.67074896993</v>
      </c>
      <c r="W28" s="53" t="n">
        <f aca="false">W21+W22-W23-W24-W26-W27</f>
        <v>7375.80301108565</v>
      </c>
      <c r="X28" s="53" t="n">
        <f aca="false">X21+X22-X23-X24-X26-X27</f>
        <v>7459.58183516608</v>
      </c>
      <c r="Y28" s="53" t="n">
        <f aca="false">Y21+Y22-Y23-Y24-Y26-Y27</f>
        <v>7543.99475036859</v>
      </c>
      <c r="Z28" s="53" t="n">
        <f aca="false">Z21+Z22-Z23-Z24-Z26-Z27</f>
        <v>5951.3437811443</v>
      </c>
      <c r="AA28" s="53" t="n">
        <f aca="false">AA21+AA22-AA23-AA24-AA26-AA27</f>
        <v>6057.64801713153</v>
      </c>
      <c r="AB28" s="53" t="n">
        <f aca="false">AB21+AB22-AB23-AB24-AB26-AB27</f>
        <v>6171.86125353455</v>
      </c>
      <c r="AC28" s="53" t="n">
        <f aca="false">AC21+AC22-AC23-AC24-AC26-AC27</f>
        <v>6258.60025903005</v>
      </c>
      <c r="AD28" s="53" t="n">
        <f aca="false">AD21+AD22-AD23-AD24-AD26-AD27</f>
        <v>6345.89569954608</v>
      </c>
      <c r="AE28" s="53" t="n">
        <f aca="false">AE21+AE22-AE23-AE24-AE26-AE27</f>
        <v>6113.80284565393</v>
      </c>
      <c r="AF28" s="53" t="n">
        <f aca="false">AF21+AF22-AF23-AF24-AF26-AF27</f>
        <v>6195.75653537629</v>
      </c>
      <c r="AG28" s="53" t="n">
        <f aca="false">AG21+AG22-AG23-AG24-AG26-AG27</f>
        <v>6278.08035011333</v>
      </c>
      <c r="AH28" s="53" t="n">
        <f aca="false">AH21+AH22-AH23-AH24-AH26-AH27</f>
        <v>6360.74996864584</v>
      </c>
      <c r="AI28" s="53" t="n">
        <f aca="false">AI21+AI22-AI23-AI24-AI26-AI27</f>
        <v>6167.30230599389</v>
      </c>
      <c r="AJ28" s="53" t="n">
        <f aca="false">AJ21+AJ22-AJ23-AJ24-AJ26-AJ27</f>
        <v>275.219897005476</v>
      </c>
      <c r="AK28" s="53" t="n">
        <f aca="false">AK21+AK22-AK23-AK24-AK26-AK27</f>
        <v>291.159878945586</v>
      </c>
      <c r="AL28" s="53" t="n">
        <f aca="false">AL21+AL22-AL23-AL24-AL26-AL27</f>
        <v>307.418660524497</v>
      </c>
      <c r="AM28" s="53" t="n">
        <f aca="false">AM21+AM22-AM23-AM24-AM26-AM27</f>
        <v>324.002617734988</v>
      </c>
      <c r="AN28" s="53" t="n">
        <f aca="false">AN21+AN22-AN23-AN24-AN26-AN27</f>
        <v>340.918254089687</v>
      </c>
      <c r="AO28" s="53" t="n">
        <f aca="false">AO21+AO22-AO23-AO24-AO26-AO27</f>
        <v>358.172203171481</v>
      </c>
      <c r="AP28" s="53" t="n">
        <f aca="false">AP21+AP22-AP23-AP24-AP26-AP27</f>
        <v>375.77123123491</v>
      </c>
      <c r="AQ28" s="53" t="n">
        <f aca="false">AQ21+AQ22-AQ23-AQ24-AQ26-AQ27</f>
        <v>393.722239859608</v>
      </c>
      <c r="AR28" s="53" t="n">
        <f aca="false">AR21+AR22-AR23-AR24-AR26-AR27</f>
        <v>412.0322686568</v>
      </c>
      <c r="AS28" s="53" t="n">
        <f aca="false">AS21+AS22-AS23-AS24-AS26-AS27</f>
        <v>430.708498029937</v>
      </c>
    </row>
    <row r="29" customFormat="false" ht="15" hidden="false" customHeight="false" outlineLevel="0" collapsed="false">
      <c r="A29" s="50" t="s">
        <v>417</v>
      </c>
      <c r="B29" s="50" t="s">
        <v>418</v>
      </c>
      <c r="C29" s="53" t="n">
        <f aca="false">SUM(G29:AS29)</f>
        <v>203475.943668562</v>
      </c>
      <c r="D29" s="52"/>
      <c r="E29" s="52"/>
      <c r="F29" s="52"/>
      <c r="G29" s="53" t="n">
        <f aca="false">G28*(1-IF(G$3&lt;=Horizon,CEG_Haircut,0))</f>
        <v>8028.080995974</v>
      </c>
      <c r="H29" s="53" t="n">
        <f aca="false">H28*(1-IF(H$3&lt;=Horizon,CEG_Haircut,0))</f>
        <v>8824.81341977877</v>
      </c>
      <c r="I29" s="53" t="n">
        <f aca="false">I28*(1-IF(I$3&lt;=Horizon,CEG_Haircut,0))</f>
        <v>7516.46080757591</v>
      </c>
      <c r="J29" s="53" t="n">
        <f aca="false">J28*(1-IF(J$3&lt;=Horizon,CEG_Haircut,0))</f>
        <v>6642.92628848274</v>
      </c>
      <c r="K29" s="53" t="n">
        <f aca="false">K28*(1-IF(K$3&lt;=Horizon,CEG_Haircut,0))</f>
        <v>6715.89148446241</v>
      </c>
      <c r="L29" s="53" t="n">
        <f aca="false">L28*(1-IF(L$3&lt;=Horizon,CEG_Haircut,0))</f>
        <v>6789.56046966091</v>
      </c>
      <c r="M29" s="53" t="n">
        <f aca="false">M28*(1-IF(M$3&lt;=Horizon,CEG_Haircut,0))</f>
        <v>6863.92843199512</v>
      </c>
      <c r="N29" s="53" t="n">
        <f aca="false">N28*(1-IF(N$3&lt;=Horizon,CEG_Haircut,0))</f>
        <v>6938.98999094353</v>
      </c>
      <c r="O29" s="53" t="n">
        <f aca="false">O28*(1-IF(O$3&lt;=Horizon,CEG_Haircut,0))</f>
        <v>7014.73917437263</v>
      </c>
      <c r="P29" s="53" t="n">
        <f aca="false">P28*(1-IF(P$3&lt;=Horizon,CEG_Haircut,0))</f>
        <v>7096.20135363494</v>
      </c>
      <c r="Q29" s="53" t="n">
        <f aca="false">Q28*(1-IF(Q$3&lt;=Horizon,CEG_Haircut,0))</f>
        <v>7181.00094191474</v>
      </c>
      <c r="R29" s="53" t="n">
        <f aca="false">R28*(1-IF(R$3&lt;=Horizon,CEG_Haircut,0))</f>
        <v>7266.6203565343</v>
      </c>
      <c r="S29" s="53" t="n">
        <f aca="false">S28*(1-IF(S$3&lt;=Horizon,CEG_Haircut,0))</f>
        <v>7110.95810375197</v>
      </c>
      <c r="T29" s="53" t="n">
        <f aca="false">T28*(1-IF(T$3&lt;=Horizon,CEG_Haircut,0))</f>
        <v>7193.35807074631</v>
      </c>
      <c r="U29" s="53" t="n">
        <f aca="false">U28*(1-IF(U$3&lt;=Horizon,CEG_Haircut,0))</f>
        <v>7210.19666772059</v>
      </c>
      <c r="V29" s="53" t="n">
        <f aca="false">V28*(1-IF(V$3&lt;=Horizon,CEG_Haircut,0))</f>
        <v>7292.67074896993</v>
      </c>
      <c r="W29" s="53" t="n">
        <f aca="false">W28*(1-IF(W$3&lt;=Horizon,CEG_Haircut,0))</f>
        <v>7375.80301108565</v>
      </c>
      <c r="X29" s="53" t="n">
        <f aca="false">X28*(1-IF(X$3&lt;=Horizon,CEG_Haircut,0))</f>
        <v>7459.58183516608</v>
      </c>
      <c r="Y29" s="53" t="n">
        <f aca="false">Y28*(1-IF(Y$3&lt;=Horizon,CEG_Haircut,0))</f>
        <v>7543.99475036859</v>
      </c>
      <c r="Z29" s="53" t="n">
        <f aca="false">Z28*(1-IF(Z$3&lt;=Horizon,CEG_Haircut,0))</f>
        <v>5951.3437811443</v>
      </c>
      <c r="AA29" s="53" t="n">
        <f aca="false">AA28*(1-IF(AA$3&lt;=Horizon,CEG_Haircut,0))</f>
        <v>6057.64801713153</v>
      </c>
      <c r="AB29" s="53" t="n">
        <f aca="false">AB28*(1-IF(AB$3&lt;=Horizon,CEG_Haircut,0))</f>
        <v>6171.86125353455</v>
      </c>
      <c r="AC29" s="53" t="n">
        <f aca="false">AC28*(1-IF(AC$3&lt;=Horizon,CEG_Haircut,0))</f>
        <v>6258.60025903005</v>
      </c>
      <c r="AD29" s="53" t="n">
        <f aca="false">AD28*(1-IF(AD$3&lt;=Horizon,CEG_Haircut,0))</f>
        <v>6345.89569954608</v>
      </c>
      <c r="AE29" s="53" t="n">
        <f aca="false">AE28*(1-IF(AE$3&lt;=Horizon,CEG_Haircut,0))</f>
        <v>6113.80284565393</v>
      </c>
      <c r="AF29" s="53" t="n">
        <f aca="false">AF28*(1-IF(AF$3&lt;=Horizon,CEG_Haircut,0))</f>
        <v>6195.75653537629</v>
      </c>
      <c r="AG29" s="53" t="n">
        <f aca="false">AG28*(1-IF(AG$3&lt;=Horizon,CEG_Haircut,0))</f>
        <v>6278.08035011333</v>
      </c>
      <c r="AH29" s="53" t="n">
        <f aca="false">AH28*(1-IF(AH$3&lt;=Horizon,CEG_Haircut,0))</f>
        <v>6360.74996864584</v>
      </c>
      <c r="AI29" s="53" t="n">
        <f aca="false">AI28*(1-IF(AI$3&lt;=Horizon,CEG_Haircut,0))</f>
        <v>6167.30230599389</v>
      </c>
      <c r="AJ29" s="53" t="n">
        <f aca="false">AJ28*(1-IF(AJ$3&lt;=Horizon,CEG_Haircut,0))</f>
        <v>275.219897005476</v>
      </c>
      <c r="AK29" s="53" t="n">
        <f aca="false">AK28*(1-IF(AK$3&lt;=Horizon,CEG_Haircut,0))</f>
        <v>291.159878945586</v>
      </c>
      <c r="AL29" s="53" t="n">
        <f aca="false">AL28*(1-IF(AL$3&lt;=Horizon,CEG_Haircut,0))</f>
        <v>307.418660524497</v>
      </c>
      <c r="AM29" s="53" t="n">
        <f aca="false">AM28*(1-IF(AM$3&lt;=Horizon,CEG_Haircut,0))</f>
        <v>324.002617734988</v>
      </c>
      <c r="AN29" s="53" t="n">
        <f aca="false">AN28*(1-IF(AN$3&lt;=Horizon,CEG_Haircut,0))</f>
        <v>340.918254089687</v>
      </c>
      <c r="AO29" s="53" t="n">
        <f aca="false">AO28*(1-IF(AO$3&lt;=Horizon,CEG_Haircut,0))</f>
        <v>358.172203171481</v>
      </c>
      <c r="AP29" s="53" t="n">
        <f aca="false">AP28*(1-IF(AP$3&lt;=Horizon,CEG_Haircut,0))</f>
        <v>375.77123123491</v>
      </c>
      <c r="AQ29" s="53" t="n">
        <f aca="false">AQ28*(1-IF(AQ$3&lt;=Horizon,CEG_Haircut,0))</f>
        <v>393.722239859608</v>
      </c>
      <c r="AR29" s="53" t="n">
        <f aca="false">AR28*(1-IF(AR$3&lt;=Horizon,CEG_Haircut,0))</f>
        <v>412.0322686568</v>
      </c>
      <c r="AS29" s="53" t="n">
        <f aca="false">AS28*(1-IF(AS$3&lt;=Horizon,CEG_Haircut,0))</f>
        <v>430.708498029937</v>
      </c>
    </row>
    <row r="30" customFormat="false" ht="15" hidden="false" customHeight="false" outlineLevel="0" collapsed="false">
      <c r="A30" s="6" t="s">
        <v>419</v>
      </c>
      <c r="B30" s="6" t="s">
        <v>420</v>
      </c>
      <c r="C30" s="9" t="n">
        <f aca="false">SUM(G30:AS30)</f>
        <v>4862.0640118096</v>
      </c>
      <c r="G30" s="9" t="n">
        <f aca="false">IF(G$3&lt;=2026+OHYears,CEG_OH*G$4*(1-TaxRate)*(1+OHDisc)^-(G$3+0.5-ValDate),0)</f>
        <v>345.406390922597</v>
      </c>
      <c r="H30" s="9" t="n">
        <f aca="false">IF(H$3&lt;=2026+OHYears,CEG_OH*H$4*(1-TaxRate)*(1+OHDisc)^-(H$3+0.5-ValDate),0)</f>
        <v>324.713842157649</v>
      </c>
      <c r="I30" s="9" t="n">
        <f aca="false">IF(I$3&lt;=2026+OHYears,CEG_OH*I$4*(1-TaxRate)*(1+OHDisc)^-(I$3+0.5-ValDate),0)</f>
        <v>305.260939171246</v>
      </c>
      <c r="J30" s="9" t="n">
        <f aca="false">IF(J$3&lt;=2026+OHYears,CEG_OH*J$4*(1-TaxRate)*(1+OHDisc)^-(J$3+0.5-ValDate),0)</f>
        <v>286.973417469743</v>
      </c>
      <c r="K30" s="9" t="n">
        <f aca="false">IF(K$3&lt;=2026+OHYears,CEG_OH*K$4*(1-TaxRate)*(1+OHDisc)^-(K$3+0.5-ValDate),0)</f>
        <v>269.781461584459</v>
      </c>
      <c r="L30" s="9" t="n">
        <f aca="false">IF(L$3&lt;=2026+OHYears,CEG_OH*L$4*(1-TaxRate)*(1+OHDisc)^-(L$3+0.5-ValDate),0)</f>
        <v>253.619438540229</v>
      </c>
      <c r="M30" s="9" t="n">
        <f aca="false">IF(M$3&lt;=2026+OHYears,CEG_OH*M$4*(1-TaxRate)*(1+OHDisc)^-(M$3+0.5-ValDate),0)</f>
        <v>238.425647291275</v>
      </c>
      <c r="N30" s="9" t="n">
        <f aca="false">IF(N$3&lt;=2026+OHYears,CEG_OH*N$4*(1-TaxRate)*(1+OHDisc)^-(N$3+0.5-ValDate),0)</f>
        <v>224.142083167834</v>
      </c>
      <c r="O30" s="9" t="n">
        <f aca="false">IF(O$3&lt;=2026+OHYears,CEG_OH*O$4*(1-TaxRate)*(1+OHDisc)^-(O$3+0.5-ValDate),0)</f>
        <v>210.714216434278</v>
      </c>
      <c r="P30" s="9" t="n">
        <f aca="false">IF(P$3&lt;=2026+OHYears,CEG_OH*P$4*(1-TaxRate)*(1+OHDisc)^-(P$3+0.5-ValDate),0)</f>
        <v>198.09078411333</v>
      </c>
      <c r="Q30" s="9" t="n">
        <f aca="false">IF(Q$3&lt;=2026+OHYears,CEG_OH*Q$4*(1-TaxRate)*(1+OHDisc)^-(Q$3+0.5-ValDate),0)</f>
        <v>186.223594281656</v>
      </c>
      <c r="R30" s="9" t="n">
        <f aca="false">IF(R$3&lt;=2026+OHYears,CEG_OH*R$4*(1-TaxRate)*(1+OHDisc)^-(R$3+0.5-ValDate),0)</f>
        <v>175.067342089667</v>
      </c>
      <c r="S30" s="9" t="n">
        <f aca="false">IF(S$3&lt;=2026+OHYears,CEG_OH*S$4*(1-TaxRate)*(1+OHDisc)^-(S$3+0.5-ValDate),0)</f>
        <v>164.57943680319</v>
      </c>
      <c r="T30" s="9" t="n">
        <f aca="false">IF(T$3&lt;=2026+OHYears,CEG_OH*T$4*(1-TaxRate)*(1+OHDisc)^-(T$3+0.5-ValDate),0)</f>
        <v>154.719839206685</v>
      </c>
      <c r="U30" s="9" t="n">
        <f aca="false">IF(U$3&lt;=2026+OHYears,CEG_OH*U$4*(1-TaxRate)*(1+OHDisc)^-(U$3+0.5-ValDate),0)</f>
        <v>145.450908747298</v>
      </c>
      <c r="V30" s="9" t="n">
        <f aca="false">IF(V$3&lt;=2026+OHYears,CEG_OH*V$4*(1-TaxRate)*(1+OHDisc)^-(V$3+0.5-ValDate),0)</f>
        <v>136.73725983617</v>
      </c>
      <c r="W30" s="9" t="n">
        <f aca="false">IF(W$3&lt;=2026+OHYears,CEG_OH*W$4*(1-TaxRate)*(1+OHDisc)^-(W$3+0.5-ValDate),0)</f>
        <v>128.545626758427</v>
      </c>
      <c r="X30" s="9" t="n">
        <f aca="false">IF(X$3&lt;=2026+OHYears,CEG_OH*X$4*(1-TaxRate)*(1+OHDisc)^-(X$3+0.5-ValDate),0)</f>
        <v>120.844736676125</v>
      </c>
      <c r="Y30" s="9" t="n">
        <f aca="false">IF(Y$3&lt;=2026+OHYears,CEG_OH*Y$4*(1-TaxRate)*(1+OHDisc)^-(Y$3+0.5-ValDate),0)</f>
        <v>113.605190239306</v>
      </c>
      <c r="Z30" s="9" t="n">
        <f aca="false">IF(Z$3&lt;=2026+OHYears,CEG_OH*Z$4*(1-TaxRate)*(1+OHDisc)^-(Z$3+0.5-ValDate),0)</f>
        <v>106.799349349394</v>
      </c>
      <c r="AA30" s="9" t="n">
        <f aca="false">IF(AA$3&lt;=2026+OHYears,CEG_OH*AA$4*(1-TaxRate)*(1+OHDisc)^-(AA$3+0.5-ValDate),0)</f>
        <v>100.401231646435</v>
      </c>
      <c r="AB30" s="9" t="n">
        <f aca="false">IF(AB$3&lt;=2026+OHYears,CEG_OH*AB$4*(1-TaxRate)*(1+OHDisc)^-(AB$3+0.5-ValDate),0)</f>
        <v>94.3864113173859</v>
      </c>
      <c r="AC30" s="9" t="n">
        <f aca="false">IF(AC$3&lt;=2026+OHYears,CEG_OH*AC$4*(1-TaxRate)*(1+OHDisc)^-(AC$3+0.5-ValDate),0)</f>
        <v>88.7319258467591</v>
      </c>
      <c r="AD30" s="9" t="n">
        <f aca="false">IF(AD$3&lt;=2026+OHYears,CEG_OH*AD$4*(1-TaxRate)*(1+OHDisc)^-(AD$3+0.5-ValDate),0)</f>
        <v>83.4161883536353</v>
      </c>
      <c r="AE30" s="9" t="n">
        <f aca="false">IF(AE$3&lt;=2026+OHYears,CEG_OH*AE$4*(1-TaxRate)*(1+OHDisc)^-(AE$3+0.5-ValDate),0)</f>
        <v>78.4189051803761</v>
      </c>
      <c r="AF30" s="9" t="n">
        <f aca="false">IF(AF$3&lt;=2026+OHYears,CEG_OH*AF$4*(1-TaxRate)*(1+OHDisc)^-(AF$3+0.5-ValDate),0)</f>
        <v>73.7209984184181</v>
      </c>
      <c r="AG30" s="9" t="n">
        <f aca="false">IF(AG$3&lt;=2026+OHYears,CEG_OH*AG$4*(1-TaxRate)*(1+OHDisc)^-(AG$3+0.5-ValDate),0)</f>
        <v>69.3045330753792</v>
      </c>
      <c r="AH30" s="9" t="n">
        <f aca="false">IF(AH$3&lt;=2026+OHYears,CEG_OH*AH$4*(1-TaxRate)*(1+OHDisc)^-(AH$3+0.5-ValDate),0)</f>
        <v>65.1526486054256</v>
      </c>
      <c r="AI30" s="9" t="n">
        <f aca="false">IF(AI$3&lt;=2026+OHYears,CEG_OH*AI$4*(1-TaxRate)*(1+OHDisc)^-(AI$3+0.5-ValDate),0)</f>
        <v>61.2494945415061</v>
      </c>
      <c r="AJ30" s="9" t="n">
        <f aca="false">IF(AJ$3&lt;=2026+OHYears,CEG_OH*AJ$4*(1-TaxRate)*(1+OHDisc)^-(AJ$3+0.5-ValDate),0)</f>
        <v>57.58016998372</v>
      </c>
      <c r="AK30" s="9" t="n">
        <f aca="false">IF(AK$3&lt;=2026+OHYears,CEG_OH*AK$4*(1-TaxRate)*(1+OHDisc)^-(AK$3+0.5-ValDate),0)</f>
        <v>0</v>
      </c>
      <c r="AL30" s="9" t="n">
        <f aca="false">IF(AL$3&lt;=2026+OHYears,CEG_OH*AL$4*(1-TaxRate)*(1+OHDisc)^-(AL$3+0.5-ValDate),0)</f>
        <v>0</v>
      </c>
      <c r="AM30" s="9" t="n">
        <f aca="false">IF(AM$3&lt;=2026+OHYears,CEG_OH*AM$4*(1-TaxRate)*(1+OHDisc)^-(AM$3+0.5-ValDate),0)</f>
        <v>0</v>
      </c>
      <c r="AN30" s="9" t="n">
        <f aca="false">IF(AN$3&lt;=2026+OHYears,CEG_OH*AN$4*(1-TaxRate)*(1+OHDisc)^-(AN$3+0.5-ValDate),0)</f>
        <v>0</v>
      </c>
      <c r="AO30" s="9" t="n">
        <f aca="false">IF(AO$3&lt;=2026+OHYears,CEG_OH*AO$4*(1-TaxRate)*(1+OHDisc)^-(AO$3+0.5-ValDate),0)</f>
        <v>0</v>
      </c>
      <c r="AP30" s="9" t="n">
        <f aca="false">IF(AP$3&lt;=2026+OHYears,CEG_OH*AP$4*(1-TaxRate)*(1+OHDisc)^-(AP$3+0.5-ValDate),0)</f>
        <v>0</v>
      </c>
      <c r="AQ30" s="9" t="n">
        <f aca="false">IF(AQ$3&lt;=2026+OHYears,CEG_OH*AQ$4*(1-TaxRate)*(1+OHDisc)^-(AQ$3+0.5-ValDate),0)</f>
        <v>0</v>
      </c>
      <c r="AR30" s="9" t="n">
        <f aca="false">IF(AR$3&lt;=2026+OHYears,CEG_OH*AR$4*(1-TaxRate)*(1+OHDisc)^-(AR$3+0.5-ValDate),0)</f>
        <v>0</v>
      </c>
      <c r="AS30" s="9" t="n">
        <f aca="false">IF(AS$3&lt;=2026+OHYears,CEG_OH*AS$4*(1-TaxRate)*(1+OHDisc)^-(AS$3+0.5-ValDate),0)</f>
        <v>0</v>
      </c>
    </row>
    <row r="31" customFormat="false" ht="15" hidden="false" customHeight="false" outlineLevel="0" collapsed="false">
      <c r="A31" s="6" t="s">
        <v>421</v>
      </c>
      <c r="B31" s="6" t="s">
        <v>422</v>
      </c>
      <c r="C31" s="9" t="n">
        <f aca="false">SUM(G31:AS31)</f>
        <v>5371.29238668439</v>
      </c>
      <c r="G31" s="9" t="n">
        <f aca="false">IF(AND(G$3&gt;Horizon,G$3&lt;=Horizon+OHYears),CEG_OH*G$4*(1-TaxRate)*(1+OHDisc)^-(G$3+0.5-(Horizon+1)),0)</f>
        <v>0</v>
      </c>
      <c r="H31" s="9" t="n">
        <f aca="false">IF(AND(H$3&gt;Horizon,H$3&lt;=Horizon+OHYears),CEG_OH*H$4*(1-TaxRate)*(1+OHDisc)^-(H$3+0.5-(Horizon+1)),0)</f>
        <v>0</v>
      </c>
      <c r="I31" s="9" t="n">
        <f aca="false">IF(AND(I$3&gt;Horizon,I$3&lt;=Horizon+OHYears),CEG_OH*I$4*(1-TaxRate)*(1+OHDisc)^-(I$3+0.5-(Horizon+1)),0)</f>
        <v>0</v>
      </c>
      <c r="J31" s="9" t="n">
        <f aca="false">IF(AND(J$3&gt;Horizon,J$3&lt;=Horizon+OHYears),CEG_OH*J$4*(1-TaxRate)*(1+OHDisc)^-(J$3+0.5-(Horizon+1)),0)</f>
        <v>0</v>
      </c>
      <c r="K31" s="9" t="n">
        <f aca="false">IF(AND(K$3&gt;Horizon,K$3&lt;=Horizon+OHYears),CEG_OH*K$4*(1-TaxRate)*(1+OHDisc)^-(K$3+0.5-(Horizon+1)),0)</f>
        <v>381.582536422462</v>
      </c>
      <c r="L31" s="9" t="n">
        <f aca="false">IF(AND(L$3&gt;Horizon,L$3&lt;=Horizon+OHYears),CEG_OH*L$4*(1-TaxRate)*(1+OHDisc)^-(L$3+0.5-(Horizon+1)),0)</f>
        <v>358.72275313448</v>
      </c>
      <c r="M31" s="9" t="n">
        <f aca="false">IF(AND(M$3&gt;Horizon,M$3&lt;=Horizon+OHYears),CEG_OH*M$4*(1-TaxRate)*(1+OHDisc)^-(M$3+0.5-(Horizon+1)),0)</f>
        <v>337.232449951309</v>
      </c>
      <c r="N31" s="9" t="n">
        <f aca="false">IF(AND(N$3&gt;Horizon,N$3&lt;=Horizon+OHYears),CEG_OH*N$4*(1-TaxRate)*(1+OHDisc)^-(N$3+0.5-(Horizon+1)),0)</f>
        <v>317.029584286023</v>
      </c>
      <c r="O31" s="9" t="n">
        <f aca="false">IF(AND(O$3&gt;Horizon,O$3&lt;=Horizon+OHYears),CEG_OH*O$4*(1-TaxRate)*(1+OHDisc)^-(O$3+0.5-(Horizon+1)),0)</f>
        <v>298.037028545386</v>
      </c>
      <c r="P31" s="9" t="n">
        <f aca="false">IF(AND(P$3&gt;Horizon,P$3&lt;=Horizon+OHYears),CEG_OH*P$4*(1-TaxRate)*(1+OHDisc)^-(P$3+0.5-(Horizon+1)),0)</f>
        <v>280.18227568322</v>
      </c>
      <c r="Q31" s="9" t="n">
        <f aca="false">IF(AND(Q$3&gt;Horizon,Q$3&lt;=Horizon+OHYears),CEG_OH*Q$4*(1-TaxRate)*(1+OHDisc)^-(Q$3+0.5-(Horizon+1)),0)</f>
        <v>263.397162393442</v>
      </c>
      <c r="R31" s="9" t="n">
        <f aca="false">IF(AND(R$3&gt;Horizon,R$3&lt;=Horizon+OHYears),CEG_OH*R$4*(1-TaxRate)*(1+OHDisc)^-(R$3+0.5-(Horizon+1)),0)</f>
        <v>247.617608886</v>
      </c>
      <c r="S31" s="9" t="n">
        <f aca="false">IF(AND(S$3&gt;Horizon,S$3&lt;=Horizon+OHYears),CEG_OH*S$4*(1-TaxRate)*(1+OHDisc)^-(S$3+0.5-(Horizon+1)),0)</f>
        <v>232.783374252277</v>
      </c>
      <c r="T31" s="9" t="n">
        <f aca="false">IF(AND(T$3&gt;Horizon,T$3&lt;=Horizon+OHYears),CEG_OH*T$4*(1-TaxRate)*(1+OHDisc)^-(T$3+0.5-(Horizon+1)),0)</f>
        <v>218.837826486012</v>
      </c>
      <c r="U31" s="9" t="n">
        <f aca="false">IF(AND(U$3&gt;Horizon,U$3&lt;=Horizon+OHYears),CEG_OH*U$4*(1-TaxRate)*(1+OHDisc)^-(U$3+0.5-(Horizon+1)),0)</f>
        <v>205.72772628178</v>
      </c>
      <c r="V31" s="9" t="n">
        <f aca="false">IF(AND(V$3&gt;Horizon,V$3&lt;=Horizon+OHYears),CEG_OH*V$4*(1-TaxRate)*(1+OHDisc)^-(V$3+0.5-(Horizon+1)),0)</f>
        <v>193.403023785637</v>
      </c>
      <c r="W31" s="9" t="n">
        <f aca="false">IF(AND(W$3&gt;Horizon,W$3&lt;=Horizon+OHYears),CEG_OH*W$4*(1-TaxRate)*(1+OHDisc)^-(W$3+0.5-(Horizon+1)),0)</f>
        <v>181.816667521981</v>
      </c>
      <c r="X31" s="9" t="n">
        <f aca="false">IF(AND(X$3&gt;Horizon,X$3&lt;=Horizon+OHYears),CEG_OH*X$4*(1-TaxRate)*(1+OHDisc)^-(X$3+0.5-(Horizon+1)),0)</f>
        <v>170.924424767208</v>
      </c>
      <c r="Y31" s="9" t="n">
        <f aca="false">IF(AND(Y$3&gt;Horizon,Y$3&lt;=Horizon+OHYears),CEG_OH*Y$4*(1-TaxRate)*(1+OHDisc)^-(Y$3+0.5-(Horizon+1)),0)</f>
        <v>160.68471268438</v>
      </c>
      <c r="Z31" s="9" t="n">
        <f aca="false">IF(AND(Z$3&gt;Horizon,Z$3&lt;=Horizon+OHYears),CEG_OH*Z$4*(1-TaxRate)*(1+OHDisc)^-(Z$3+0.5-(Horizon+1)),0)</f>
        <v>151.058439574256</v>
      </c>
      <c r="AA31" s="9" t="n">
        <f aca="false">IF(AND(AA$3&gt;Horizon,AA$3&lt;=Horizon+OHYears),CEG_OH*AA$4*(1-TaxRate)*(1+OHDisc)^-(AA$3+0.5-(Horizon+1)),0)</f>
        <v>142.008855636628</v>
      </c>
      <c r="AB31" s="9" t="n">
        <f aca="false">IF(AND(AB$3&gt;Horizon,AB$3&lt;=Horizon+OHYears),CEG_OH*AB$4*(1-TaxRate)*(1+OHDisc)^-(AB$3+0.5-(Horizon+1)),0)</f>
        <v>133.501412672221</v>
      </c>
      <c r="AC31" s="9" t="n">
        <f aca="false">IF(AND(AC$3&gt;Horizon,AC$3&lt;=Horizon+OHYears),CEG_OH*AC$4*(1-TaxRate)*(1+OHDisc)^-(AC$3+0.5-(Horizon+1)),0)</f>
        <v>125.503632189554</v>
      </c>
      <c r="AD31" s="9" t="n">
        <f aca="false">IF(AND(AD$3&gt;Horizon,AD$3&lt;=Horizon+OHYears),CEG_OH*AD$4*(1-TaxRate)*(1+OHDisc)^-(AD$3+0.5-(Horizon+1)),0)</f>
        <v>117.984981413221</v>
      </c>
      <c r="AE31" s="9" t="n">
        <f aca="false">IF(AND(AE$3&gt;Horizon,AE$3&lt;=Horizon+OHYears),CEG_OH*AE$4*(1-TaxRate)*(1+OHDisc)^-(AE$3+0.5-(Horizon+1)),0)</f>
        <v>110.916756720263</v>
      </c>
      <c r="AF31" s="9" t="n">
        <f aca="false">IF(AND(AF$3&gt;Horizon,AF$3&lt;=Horizon+OHYears),CEG_OH*AF$4*(1-TaxRate)*(1+OHDisc)^-(AF$3+0.5-(Horizon+1)),0)</f>
        <v>104.271974059602</v>
      </c>
      <c r="AG31" s="9" t="n">
        <f aca="false">IF(AND(AG$3&gt;Horizon,AG$3&lt;=Horizon+OHYears),CEG_OH*AG$4*(1-TaxRate)*(1+OHDisc)^-(AG$3+0.5-(Horizon+1)),0)</f>
        <v>98.0252659362159</v>
      </c>
      <c r="AH31" s="9" t="n">
        <f aca="false">IF(AND(AH$3&gt;Horizon,AH$3&lt;=Horizon+OHYears),CEG_OH*AH$4*(1-TaxRate)*(1+OHDisc)^-(AH$3+0.5-(Horizon+1)),0)</f>
        <v>92.1527845667652</v>
      </c>
      <c r="AI31" s="9" t="n">
        <f aca="false">IF(AND(AI$3&gt;Horizon,AI$3&lt;=Horizon+OHYears),CEG_OH*AI$4*(1-TaxRate)*(1+OHDisc)^-(AI$3+0.5-(Horizon+1)),0)</f>
        <v>86.632110836959</v>
      </c>
      <c r="AJ31" s="9" t="n">
        <f aca="false">IF(AND(AJ$3&gt;Horizon,AJ$3&lt;=Horizon+OHYears),CEG_OH*AJ$4*(1-TaxRate)*(1+OHDisc)^-(AJ$3+0.5-(Horizon+1)),0)</f>
        <v>81.4421687130859</v>
      </c>
      <c r="AK31" s="9" t="n">
        <f aca="false">IF(AND(AK$3&gt;Horizon,AK$3&lt;=Horizon+OHYears),CEG_OH*AK$4*(1-TaxRate)*(1+OHDisc)^-(AK$3+0.5-(Horizon+1)),0)</f>
        <v>76.5631447809655</v>
      </c>
      <c r="AL31" s="9" t="n">
        <f aca="false">IF(AND(AL$3&gt;Horizon,AL$3&lt;=Horizon+OHYears),CEG_OH*AL$4*(1-TaxRate)*(1+OHDisc)^-(AL$3+0.5-(Horizon+1)),0)</f>
        <v>71.9764126051473</v>
      </c>
      <c r="AM31" s="9" t="n">
        <f aca="false">IF(AND(AM$3&gt;Horizon,AM$3&lt;=Horizon+OHYears),CEG_OH*AM$4*(1-TaxRate)*(1+OHDisc)^-(AM$3+0.5-(Horizon+1)),0)</f>
        <v>67.6644616195855</v>
      </c>
      <c r="AN31" s="9" t="n">
        <f aca="false">IF(AND(AN$3&gt;Horizon,AN$3&lt;=Horizon+OHYears),CEG_OH*AN$4*(1-TaxRate)*(1+OHDisc)^-(AN$3+0.5-(Horizon+1)),0)</f>
        <v>63.61083027832</v>
      </c>
      <c r="AO31" s="9" t="n">
        <f aca="false">IF(AND(AO$3&gt;Horizon,AO$3&lt;=Horizon+OHYears),CEG_OH*AO$4*(1-TaxRate)*(1+OHDisc)^-(AO$3+0.5-(Horizon+1)),0)</f>
        <v>0</v>
      </c>
      <c r="AP31" s="9" t="n">
        <f aca="false">IF(AND(AP$3&gt;Horizon,AP$3&lt;=Horizon+OHYears),CEG_OH*AP$4*(1-TaxRate)*(1+OHDisc)^-(AP$3+0.5-(Horizon+1)),0)</f>
        <v>0</v>
      </c>
      <c r="AQ31" s="9" t="n">
        <f aca="false">IF(AND(AQ$3&gt;Horizon,AQ$3&lt;=Horizon+OHYears),CEG_OH*AQ$4*(1-TaxRate)*(1+OHDisc)^-(AQ$3+0.5-(Horizon+1)),0)</f>
        <v>0</v>
      </c>
      <c r="AR31" s="9" t="n">
        <f aca="false">IF(AND(AR$3&gt;Horizon,AR$3&lt;=Horizon+OHYears),CEG_OH*AR$4*(1-TaxRate)*(1+OHDisc)^-(AR$3+0.5-(Horizon+1)),0)</f>
        <v>0</v>
      </c>
      <c r="AS31" s="9" t="n">
        <f aca="false">IF(AND(AS$3&gt;Horizon,AS$3&lt;=Horizon+OHYears),CEG_OH*AS$4*(1-TaxRate)*(1+OHDisc)^-(AS$3+0.5-(Horizon+1)),0)</f>
        <v>0</v>
      </c>
    </row>
    <row r="32" customFormat="false" ht="15" hidden="false" customHeight="false" outlineLevel="0" collapsed="false">
      <c r="A32" s="6" t="s">
        <v>423</v>
      </c>
      <c r="B32" s="6" t="s">
        <v>424</v>
      </c>
      <c r="G32" s="42" t="n">
        <f aca="false">(1+EquityDisc)^-(G$3+0.5-ValDate)</f>
        <v>0.937411175105175</v>
      </c>
      <c r="H32" s="42" t="n">
        <f aca="false">(1+EquityDisc)^-(H$3+0.5-ValDate)</f>
        <v>0.860010252390069</v>
      </c>
      <c r="I32" s="42" t="n">
        <f aca="false">(1+EquityDisc)^-(I$3+0.5-ValDate)</f>
        <v>0.789000231550522</v>
      </c>
      <c r="J32" s="42" t="n">
        <f aca="false">(1+EquityDisc)^-(J$3+0.5-ValDate)</f>
        <v>0.723853423440846</v>
      </c>
      <c r="K32" s="42" t="n">
        <f aca="false">(1+EquityDisc)^-(K$3+0.5-ValDate)</f>
        <v>0.664085709578758</v>
      </c>
      <c r="L32" s="42" t="n">
        <f aca="false">(1+EquityDisc)^-(L$3+0.5-ValDate)</f>
        <v>0.609252944567667</v>
      </c>
      <c r="M32" s="42" t="n">
        <f aca="false">(1+EquityDisc)^-(M$3+0.5-ValDate)</f>
        <v>0.558947655566667</v>
      </c>
      <c r="N32" s="42" t="n">
        <f aca="false">(1+EquityDisc)^-(N$3+0.5-ValDate)</f>
        <v>0.512796014281346</v>
      </c>
      <c r="O32" s="42" t="n">
        <f aca="false">(1+EquityDisc)^-(O$3+0.5-ValDate)</f>
        <v>0.470455058973712</v>
      </c>
      <c r="P32" s="42" t="n">
        <f aca="false">(1+EquityDisc)^-(P$3+0.5-ValDate)</f>
        <v>0.431610145847442</v>
      </c>
      <c r="Q32" s="42" t="n">
        <f aca="false">(1+EquityDisc)^-(Q$3+0.5-ValDate)</f>
        <v>0.395972610869213</v>
      </c>
      <c r="R32" s="42" t="n">
        <f aca="false">(1+EquityDisc)^-(R$3+0.5-ValDate)</f>
        <v>0.363277624650654</v>
      </c>
      <c r="S32" s="42" t="n">
        <f aca="false">(1+EquityDisc)^-(S$3+0.5-ValDate)</f>
        <v>0.333282224450141</v>
      </c>
      <c r="T32" s="42" t="n">
        <f aca="false">(1+EquityDisc)^-(T$3+0.5-ValDate)</f>
        <v>0.305763508669854</v>
      </c>
      <c r="U32" s="42" t="n">
        <f aca="false">(1+EquityDisc)^-(U$3+0.5-ValDate)</f>
        <v>0.280516980431059</v>
      </c>
      <c r="V32" s="42" t="n">
        <f aca="false">(1+EquityDisc)^-(V$3+0.5-ValDate)</f>
        <v>0.257355027918403</v>
      </c>
      <c r="W32" s="42" t="n">
        <f aca="false">(1+EquityDisc)^-(W$3+0.5-ValDate)</f>
        <v>0.23610553020037</v>
      </c>
      <c r="X32" s="42" t="n">
        <f aca="false">(1+EquityDisc)^-(X$3+0.5-ValDate)</f>
        <v>0.216610578165477</v>
      </c>
      <c r="Y32" s="42" t="n">
        <f aca="false">(1+EquityDisc)^-(Y$3+0.5-ValDate)</f>
        <v>0.198725301069245</v>
      </c>
      <c r="Z32" s="42" t="n">
        <f aca="false">(1+EquityDisc)^-(Z$3+0.5-ValDate)</f>
        <v>0.182316789971784</v>
      </c>
      <c r="AA32" s="42" t="n">
        <f aca="false">(1+EquityDisc)^-(AA$3+0.5-ValDate)</f>
        <v>0.167263110065857</v>
      </c>
      <c r="AB32" s="42" t="n">
        <f aca="false">(1+EquityDisc)^-(AB$3+0.5-ValDate)</f>
        <v>0.153452394555832</v>
      </c>
      <c r="AC32" s="42" t="n">
        <f aca="false">(1+EquityDisc)^-(AC$3+0.5-ValDate)</f>
        <v>0.140782013353974</v>
      </c>
      <c r="AD32" s="42" t="n">
        <f aca="false">(1+EquityDisc)^-(AD$3+0.5-ValDate)</f>
        <v>0.12915781041649</v>
      </c>
      <c r="AE32" s="42" t="n">
        <f aca="false">(1+EquityDisc)^-(AE$3+0.5-ValDate)</f>
        <v>0.118493404051826</v>
      </c>
      <c r="AF32" s="42" t="n">
        <f aca="false">(1+EquityDisc)^-(AF$3+0.5-ValDate)</f>
        <v>0.108709545001675</v>
      </c>
      <c r="AG32" s="42" t="n">
        <f aca="false">(1+EquityDisc)^-(AG$3+0.5-ValDate)</f>
        <v>0.0997335275244725</v>
      </c>
      <c r="AH32" s="42" t="n">
        <f aca="false">(1+EquityDisc)^-(AH$3+0.5-ValDate)</f>
        <v>0.0914986491050207</v>
      </c>
      <c r="AI32" s="42" t="n">
        <f aca="false">(1+EquityDisc)^-(AI$3+0.5-ValDate)</f>
        <v>0.0839437147752483</v>
      </c>
      <c r="AJ32" s="42" t="n">
        <f aca="false">(1+EquityDisc)^-(AJ$3+0.5-ValDate)</f>
        <v>0.0770125823626131</v>
      </c>
      <c r="AK32" s="42" t="n">
        <f aca="false">(1+EquityDisc)^-(AK$3+0.5-ValDate)</f>
        <v>0.070653745286801</v>
      </c>
      <c r="AL32" s="42" t="n">
        <f aca="false">(1+EquityDisc)^-(AL$3+0.5-ValDate)</f>
        <v>0.0648199498044046</v>
      </c>
      <c r="AM32" s="42" t="n">
        <f aca="false">(1+EquityDisc)^-(AM$3+0.5-ValDate)</f>
        <v>0.0594678438572519</v>
      </c>
      <c r="AN32" s="42" t="n">
        <f aca="false">(1+EquityDisc)^-(AN$3+0.5-ValDate)</f>
        <v>0.05455765491491</v>
      </c>
      <c r="AO32" s="42" t="n">
        <f aca="false">(1+EquityDisc)^-(AO$3+0.5-ValDate)</f>
        <v>0.0500528944173486</v>
      </c>
      <c r="AP32" s="42" t="n">
        <f aca="false">(1+EquityDisc)^-(AP$3+0.5-ValDate)</f>
        <v>0.0459200866214208</v>
      </c>
      <c r="AQ32" s="42" t="n">
        <f aca="false">(1+EquityDisc)^-(AQ$3+0.5-ValDate)</f>
        <v>0.0421285198361658</v>
      </c>
      <c r="AR32" s="42" t="n">
        <f aca="false">(1+EquityDisc)^-(AR$3+0.5-ValDate)</f>
        <v>0.0386500181983173</v>
      </c>
      <c r="AS32" s="42" t="n">
        <f aca="false">(1+EquityDisc)^-(AS$3+0.5-ValDate)</f>
        <v>0.0354587322920342</v>
      </c>
    </row>
    <row r="35" customFormat="false" ht="15" hidden="false" customHeight="false" outlineLevel="0" collapsed="false">
      <c r="A35" s="54" t="str">
        <f aca="false">CEG_Assets!$A$2</f>
        <v>Nuclear - PJM East (Limerick, Peach Bottom 50%, Calvert Cliffs, Salem 42.6%)</v>
      </c>
    </row>
    <row r="36" customFormat="false" ht="15" hidden="false" customHeight="false" outlineLevel="0" collapsed="false">
      <c r="A36" s="6" t="s">
        <v>425</v>
      </c>
      <c r="B36" s="6" t="s">
        <v>426</v>
      </c>
      <c r="G36" s="47" t="n">
        <f aca="false">IF(AND(G$3&gt;=CEG_Assets!$E$2,G$3&lt;=CEG_Assets!$F$2,CEG_Assets!$H$2="Cashflow"),1,0)</f>
        <v>1</v>
      </c>
      <c r="H36" s="47" t="n">
        <f aca="false">IF(AND(H$3&gt;=CEG_Assets!$E$2,H$3&lt;=CEG_Assets!$F$2,CEG_Assets!$H$2="Cashflow"),1,0)</f>
        <v>1</v>
      </c>
      <c r="I36" s="47" t="n">
        <f aca="false">IF(AND(I$3&gt;=CEG_Assets!$E$2,I$3&lt;=CEG_Assets!$F$2,CEG_Assets!$H$2="Cashflow"),1,0)</f>
        <v>1</v>
      </c>
      <c r="J36" s="47" t="n">
        <f aca="false">IF(AND(J$3&gt;=CEG_Assets!$E$2,J$3&lt;=CEG_Assets!$F$2,CEG_Assets!$H$2="Cashflow"),1,0)</f>
        <v>1</v>
      </c>
      <c r="K36" s="47" t="n">
        <f aca="false">IF(AND(K$3&gt;=CEG_Assets!$E$2,K$3&lt;=CEG_Assets!$F$2,CEG_Assets!$H$2="Cashflow"),1,0)</f>
        <v>1</v>
      </c>
      <c r="L36" s="47" t="n">
        <f aca="false">IF(AND(L$3&gt;=CEG_Assets!$E$2,L$3&lt;=CEG_Assets!$F$2,CEG_Assets!$H$2="Cashflow"),1,0)</f>
        <v>1</v>
      </c>
      <c r="M36" s="47" t="n">
        <f aca="false">IF(AND(M$3&gt;=CEG_Assets!$E$2,M$3&lt;=CEG_Assets!$F$2,CEG_Assets!$H$2="Cashflow"),1,0)</f>
        <v>1</v>
      </c>
      <c r="N36" s="47" t="n">
        <f aca="false">IF(AND(N$3&gt;=CEG_Assets!$E$2,N$3&lt;=CEG_Assets!$F$2,CEG_Assets!$H$2="Cashflow"),1,0)</f>
        <v>1</v>
      </c>
      <c r="O36" s="47" t="n">
        <f aca="false">IF(AND(O$3&gt;=CEG_Assets!$E$2,O$3&lt;=CEG_Assets!$F$2,CEG_Assets!$H$2="Cashflow"),1,0)</f>
        <v>1</v>
      </c>
      <c r="P36" s="47" t="n">
        <f aca="false">IF(AND(P$3&gt;=CEG_Assets!$E$2,P$3&lt;=CEG_Assets!$F$2,CEG_Assets!$H$2="Cashflow"),1,0)</f>
        <v>1</v>
      </c>
      <c r="Q36" s="47" t="n">
        <f aca="false">IF(AND(Q$3&gt;=CEG_Assets!$E$2,Q$3&lt;=CEG_Assets!$F$2,CEG_Assets!$H$2="Cashflow"),1,0)</f>
        <v>1</v>
      </c>
      <c r="R36" s="47" t="n">
        <f aca="false">IF(AND(R$3&gt;=CEG_Assets!$E$2,R$3&lt;=CEG_Assets!$F$2,CEG_Assets!$H$2="Cashflow"),1,0)</f>
        <v>1</v>
      </c>
      <c r="S36" s="47" t="n">
        <f aca="false">IF(AND(S$3&gt;=CEG_Assets!$E$2,S$3&lt;=CEG_Assets!$F$2,CEG_Assets!$H$2="Cashflow"),1,0)</f>
        <v>1</v>
      </c>
      <c r="T36" s="47" t="n">
        <f aca="false">IF(AND(T$3&gt;=CEG_Assets!$E$2,T$3&lt;=CEG_Assets!$F$2,CEG_Assets!$H$2="Cashflow"),1,0)</f>
        <v>1</v>
      </c>
      <c r="U36" s="47" t="n">
        <f aca="false">IF(AND(U$3&gt;=CEG_Assets!$E$2,U$3&lt;=CEG_Assets!$F$2,CEG_Assets!$H$2="Cashflow"),1,0)</f>
        <v>1</v>
      </c>
      <c r="V36" s="47" t="n">
        <f aca="false">IF(AND(V$3&gt;=CEG_Assets!$E$2,V$3&lt;=CEG_Assets!$F$2,CEG_Assets!$H$2="Cashflow"),1,0)</f>
        <v>1</v>
      </c>
      <c r="W36" s="47" t="n">
        <f aca="false">IF(AND(W$3&gt;=CEG_Assets!$E$2,W$3&lt;=CEG_Assets!$F$2,CEG_Assets!$H$2="Cashflow"),1,0)</f>
        <v>1</v>
      </c>
      <c r="X36" s="47" t="n">
        <f aca="false">IF(AND(X$3&gt;=CEG_Assets!$E$2,X$3&lt;=CEG_Assets!$F$2,CEG_Assets!$H$2="Cashflow"),1,0)</f>
        <v>1</v>
      </c>
      <c r="Y36" s="47" t="n">
        <f aca="false">IF(AND(Y$3&gt;=CEG_Assets!$E$2,Y$3&lt;=CEG_Assets!$F$2,CEG_Assets!$H$2="Cashflow"),1,0)</f>
        <v>1</v>
      </c>
      <c r="Z36" s="47" t="n">
        <f aca="false">IF(AND(Z$3&gt;=CEG_Assets!$E$2,Z$3&lt;=CEG_Assets!$F$2,CEG_Assets!$H$2="Cashflow"),1,0)</f>
        <v>1</v>
      </c>
      <c r="AA36" s="47" t="n">
        <f aca="false">IF(AND(AA$3&gt;=CEG_Assets!$E$2,AA$3&lt;=CEG_Assets!$F$2,CEG_Assets!$H$2="Cashflow"),1,0)</f>
        <v>1</v>
      </c>
      <c r="AB36" s="47" t="n">
        <f aca="false">IF(AND(AB$3&gt;=CEG_Assets!$E$2,AB$3&lt;=CEG_Assets!$F$2,CEG_Assets!$H$2="Cashflow"),1,0)</f>
        <v>1</v>
      </c>
      <c r="AC36" s="47" t="n">
        <f aca="false">IF(AND(AC$3&gt;=CEG_Assets!$E$2,AC$3&lt;=CEG_Assets!$F$2,CEG_Assets!$H$2="Cashflow"),1,0)</f>
        <v>1</v>
      </c>
      <c r="AD36" s="47" t="n">
        <f aca="false">IF(AND(AD$3&gt;=CEG_Assets!$E$2,AD$3&lt;=CEG_Assets!$F$2,CEG_Assets!$H$2="Cashflow"),1,0)</f>
        <v>1</v>
      </c>
      <c r="AE36" s="47" t="n">
        <f aca="false">IF(AND(AE$3&gt;=CEG_Assets!$E$2,AE$3&lt;=CEG_Assets!$F$2,CEG_Assets!$H$2="Cashflow"),1,0)</f>
        <v>1</v>
      </c>
      <c r="AF36" s="47" t="n">
        <f aca="false">IF(AND(AF$3&gt;=CEG_Assets!$E$2,AF$3&lt;=CEG_Assets!$F$2,CEG_Assets!$H$2="Cashflow"),1,0)</f>
        <v>1</v>
      </c>
      <c r="AG36" s="47" t="n">
        <f aca="false">IF(AND(AG$3&gt;=CEG_Assets!$E$2,AG$3&lt;=CEG_Assets!$F$2,CEG_Assets!$H$2="Cashflow"),1,0)</f>
        <v>1</v>
      </c>
      <c r="AH36" s="47" t="n">
        <f aca="false">IF(AND(AH$3&gt;=CEG_Assets!$E$2,AH$3&lt;=CEG_Assets!$F$2,CEG_Assets!$H$2="Cashflow"),1,0)</f>
        <v>1</v>
      </c>
      <c r="AI36" s="47" t="n">
        <f aca="false">IF(AND(AI$3&gt;=CEG_Assets!$E$2,AI$3&lt;=CEG_Assets!$F$2,CEG_Assets!$H$2="Cashflow"),1,0)</f>
        <v>1</v>
      </c>
      <c r="AJ36" s="47" t="n">
        <f aca="false">IF(AND(AJ$3&gt;=CEG_Assets!$E$2,AJ$3&lt;=CEG_Assets!$F$2,CEG_Assets!$H$2="Cashflow"),1,0)</f>
        <v>0</v>
      </c>
      <c r="AK36" s="47" t="n">
        <f aca="false">IF(AND(AK$3&gt;=CEG_Assets!$E$2,AK$3&lt;=CEG_Assets!$F$2,CEG_Assets!$H$2="Cashflow"),1,0)</f>
        <v>0</v>
      </c>
      <c r="AL36" s="47" t="n">
        <f aca="false">IF(AND(AL$3&gt;=CEG_Assets!$E$2,AL$3&lt;=CEG_Assets!$F$2,CEG_Assets!$H$2="Cashflow"),1,0)</f>
        <v>0</v>
      </c>
      <c r="AM36" s="47" t="n">
        <f aca="false">IF(AND(AM$3&gt;=CEG_Assets!$E$2,AM$3&lt;=CEG_Assets!$F$2,CEG_Assets!$H$2="Cashflow"),1,0)</f>
        <v>0</v>
      </c>
      <c r="AN36" s="47" t="n">
        <f aca="false">IF(AND(AN$3&gt;=CEG_Assets!$E$2,AN$3&lt;=CEG_Assets!$F$2,CEG_Assets!$H$2="Cashflow"),1,0)</f>
        <v>0</v>
      </c>
      <c r="AO36" s="47" t="n">
        <f aca="false">IF(AND(AO$3&gt;=CEG_Assets!$E$2,AO$3&lt;=CEG_Assets!$F$2,CEG_Assets!$H$2="Cashflow"),1,0)</f>
        <v>0</v>
      </c>
      <c r="AP36" s="47" t="n">
        <f aca="false">IF(AND(AP$3&gt;=CEG_Assets!$E$2,AP$3&lt;=CEG_Assets!$F$2,CEG_Assets!$H$2="Cashflow"),1,0)</f>
        <v>0</v>
      </c>
      <c r="AQ36" s="47" t="n">
        <f aca="false">IF(AND(AQ$3&gt;=CEG_Assets!$E$2,AQ$3&lt;=CEG_Assets!$F$2,CEG_Assets!$H$2="Cashflow"),1,0)</f>
        <v>0</v>
      </c>
      <c r="AR36" s="47" t="n">
        <f aca="false">IF(AND(AR$3&gt;=CEG_Assets!$E$2,AR$3&lt;=CEG_Assets!$F$2,CEG_Assets!$H$2="Cashflow"),1,0)</f>
        <v>0</v>
      </c>
      <c r="AS36" s="47" t="n">
        <f aca="false">IF(AND(AS$3&gt;=CEG_Assets!$E$2,AS$3&lt;=CEG_Assets!$F$2,CEG_Assets!$H$2="Cashflow"),1,0)</f>
        <v>0</v>
      </c>
    </row>
    <row r="37" customFormat="false" ht="15" hidden="false" customHeight="false" outlineLevel="0" collapsed="false">
      <c r="A37" s="6" t="s">
        <v>427</v>
      </c>
      <c r="B37" s="6" t="s">
        <v>428</v>
      </c>
      <c r="G37" s="9" t="n">
        <f aca="false">IF(AND(G$3&gt;=CEG_Assets!$AA$2,G$3&lt;=CEG_Assets!$AB$2),MIN(CEG_Assets!$D$2,CEG_Assets!$Z$2*MIN(1,(G$3-CEG_Assets!$AA$2+1)/MAX(1,CEG_Assets!$AC$2))),0)*G36</f>
        <v>0</v>
      </c>
      <c r="H37" s="9" t="n">
        <f aca="false">IF(AND(H$3&gt;=CEG_Assets!$AA$2,H$3&lt;=CEG_Assets!$AB$2),MIN(CEG_Assets!$D$2,CEG_Assets!$Z$2*MIN(1,(H$3-CEG_Assets!$AA$2+1)/MAX(1,CEG_Assets!$AC$2))),0)*H36</f>
        <v>0</v>
      </c>
      <c r="I37" s="9" t="n">
        <f aca="false">IF(AND(I$3&gt;=CEG_Assets!$AA$2,I$3&lt;=CEG_Assets!$AB$2),MIN(CEG_Assets!$D$2,CEG_Assets!$Z$2*MIN(1,(I$3-CEG_Assets!$AA$2+1)/MAX(1,CEG_Assets!$AC$2))),0)*I36</f>
        <v>0</v>
      </c>
      <c r="J37" s="9" t="n">
        <f aca="false">IF(AND(J$3&gt;=CEG_Assets!$AA$2,J$3&lt;=CEG_Assets!$AB$2),MIN(CEG_Assets!$D$2,CEG_Assets!$Z$2*MIN(1,(J$3-CEG_Assets!$AA$2+1)/MAX(1,CEG_Assets!$AC$2))),0)*J36</f>
        <v>0</v>
      </c>
      <c r="K37" s="9" t="n">
        <f aca="false">IF(AND(K$3&gt;=CEG_Assets!$AA$2,K$3&lt;=CEG_Assets!$AB$2),MIN(CEG_Assets!$D$2,CEG_Assets!$Z$2*MIN(1,(K$3-CEG_Assets!$AA$2+1)/MAX(1,CEG_Assets!$AC$2))),0)*K36</f>
        <v>0</v>
      </c>
      <c r="L37" s="9" t="n">
        <f aca="false">IF(AND(L$3&gt;=CEG_Assets!$AA$2,L$3&lt;=CEG_Assets!$AB$2),MIN(CEG_Assets!$D$2,CEG_Assets!$Z$2*MIN(1,(L$3-CEG_Assets!$AA$2+1)/MAX(1,CEG_Assets!$AC$2))),0)*L36</f>
        <v>0</v>
      </c>
      <c r="M37" s="9" t="n">
        <f aca="false">IF(AND(M$3&gt;=CEG_Assets!$AA$2,M$3&lt;=CEG_Assets!$AB$2),MIN(CEG_Assets!$D$2,CEG_Assets!$Z$2*MIN(1,(M$3-CEG_Assets!$AA$2+1)/MAX(1,CEG_Assets!$AC$2))),0)*M36</f>
        <v>0</v>
      </c>
      <c r="N37" s="9" t="n">
        <f aca="false">IF(AND(N$3&gt;=CEG_Assets!$AA$2,N$3&lt;=CEG_Assets!$AB$2),MIN(CEG_Assets!$D$2,CEG_Assets!$Z$2*MIN(1,(N$3-CEG_Assets!$AA$2+1)/MAX(1,CEG_Assets!$AC$2))),0)*N36</f>
        <v>0</v>
      </c>
      <c r="O37" s="9" t="n">
        <f aca="false">IF(AND(O$3&gt;=CEG_Assets!$AA$2,O$3&lt;=CEG_Assets!$AB$2),MIN(CEG_Assets!$D$2,CEG_Assets!$Z$2*MIN(1,(O$3-CEG_Assets!$AA$2+1)/MAX(1,CEG_Assets!$AC$2))),0)*O36</f>
        <v>0</v>
      </c>
      <c r="P37" s="9" t="n">
        <f aca="false">IF(AND(P$3&gt;=CEG_Assets!$AA$2,P$3&lt;=CEG_Assets!$AB$2),MIN(CEG_Assets!$D$2,CEG_Assets!$Z$2*MIN(1,(P$3-CEG_Assets!$AA$2+1)/MAX(1,CEG_Assets!$AC$2))),0)*P36</f>
        <v>0</v>
      </c>
      <c r="Q37" s="9" t="n">
        <f aca="false">IF(AND(Q$3&gt;=CEG_Assets!$AA$2,Q$3&lt;=CEG_Assets!$AB$2),MIN(CEG_Assets!$D$2,CEG_Assets!$Z$2*MIN(1,(Q$3-CEG_Assets!$AA$2+1)/MAX(1,CEG_Assets!$AC$2))),0)*Q36</f>
        <v>0</v>
      </c>
      <c r="R37" s="9" t="n">
        <f aca="false">IF(AND(R$3&gt;=CEG_Assets!$AA$2,R$3&lt;=CEG_Assets!$AB$2),MIN(CEG_Assets!$D$2,CEG_Assets!$Z$2*MIN(1,(R$3-CEG_Assets!$AA$2+1)/MAX(1,CEG_Assets!$AC$2))),0)*R36</f>
        <v>0</v>
      </c>
      <c r="S37" s="9" t="n">
        <f aca="false">IF(AND(S$3&gt;=CEG_Assets!$AA$2,S$3&lt;=CEG_Assets!$AB$2),MIN(CEG_Assets!$D$2,CEG_Assets!$Z$2*MIN(1,(S$3-CEG_Assets!$AA$2+1)/MAX(1,CEG_Assets!$AC$2))),0)*S36</f>
        <v>0</v>
      </c>
      <c r="T37" s="9" t="n">
        <f aca="false">IF(AND(T$3&gt;=CEG_Assets!$AA$2,T$3&lt;=CEG_Assets!$AB$2),MIN(CEG_Assets!$D$2,CEG_Assets!$Z$2*MIN(1,(T$3-CEG_Assets!$AA$2+1)/MAX(1,CEG_Assets!$AC$2))),0)*T36</f>
        <v>0</v>
      </c>
      <c r="U37" s="9" t="n">
        <f aca="false">IF(AND(U$3&gt;=CEG_Assets!$AA$2,U$3&lt;=CEG_Assets!$AB$2),MIN(CEG_Assets!$D$2,CEG_Assets!$Z$2*MIN(1,(U$3-CEG_Assets!$AA$2+1)/MAX(1,CEG_Assets!$AC$2))),0)*U36</f>
        <v>0</v>
      </c>
      <c r="V37" s="9" t="n">
        <f aca="false">IF(AND(V$3&gt;=CEG_Assets!$AA$2,V$3&lt;=CEG_Assets!$AB$2),MIN(CEG_Assets!$D$2,CEG_Assets!$Z$2*MIN(1,(V$3-CEG_Assets!$AA$2+1)/MAX(1,CEG_Assets!$AC$2))),0)*V36</f>
        <v>0</v>
      </c>
      <c r="W37" s="9" t="n">
        <f aca="false">IF(AND(W$3&gt;=CEG_Assets!$AA$2,W$3&lt;=CEG_Assets!$AB$2),MIN(CEG_Assets!$D$2,CEG_Assets!$Z$2*MIN(1,(W$3-CEG_Assets!$AA$2+1)/MAX(1,CEG_Assets!$AC$2))),0)*W36</f>
        <v>0</v>
      </c>
      <c r="X37" s="9" t="n">
        <f aca="false">IF(AND(X$3&gt;=CEG_Assets!$AA$2,X$3&lt;=CEG_Assets!$AB$2),MIN(CEG_Assets!$D$2,CEG_Assets!$Z$2*MIN(1,(X$3-CEG_Assets!$AA$2+1)/MAX(1,CEG_Assets!$AC$2))),0)*X36</f>
        <v>0</v>
      </c>
      <c r="Y37" s="9" t="n">
        <f aca="false">IF(AND(Y$3&gt;=CEG_Assets!$AA$2,Y$3&lt;=CEG_Assets!$AB$2),MIN(CEG_Assets!$D$2,CEG_Assets!$Z$2*MIN(1,(Y$3-CEG_Assets!$AA$2+1)/MAX(1,CEG_Assets!$AC$2))),0)*Y36</f>
        <v>0</v>
      </c>
      <c r="Z37" s="9" t="n">
        <f aca="false">IF(AND(Z$3&gt;=CEG_Assets!$AA$2,Z$3&lt;=CEG_Assets!$AB$2),MIN(CEG_Assets!$D$2,CEG_Assets!$Z$2*MIN(1,(Z$3-CEG_Assets!$AA$2+1)/MAX(1,CEG_Assets!$AC$2))),0)*Z36</f>
        <v>0</v>
      </c>
      <c r="AA37" s="9" t="n">
        <f aca="false">IF(AND(AA$3&gt;=CEG_Assets!$AA$2,AA$3&lt;=CEG_Assets!$AB$2),MIN(CEG_Assets!$D$2,CEG_Assets!$Z$2*MIN(1,(AA$3-CEG_Assets!$AA$2+1)/MAX(1,CEG_Assets!$AC$2))),0)*AA36</f>
        <v>0</v>
      </c>
      <c r="AB37" s="9" t="n">
        <f aca="false">IF(AND(AB$3&gt;=CEG_Assets!$AA$2,AB$3&lt;=CEG_Assets!$AB$2),MIN(CEG_Assets!$D$2,CEG_Assets!$Z$2*MIN(1,(AB$3-CEG_Assets!$AA$2+1)/MAX(1,CEG_Assets!$AC$2))),0)*AB36</f>
        <v>0</v>
      </c>
      <c r="AC37" s="9" t="n">
        <f aca="false">IF(AND(AC$3&gt;=CEG_Assets!$AA$2,AC$3&lt;=CEG_Assets!$AB$2),MIN(CEG_Assets!$D$2,CEG_Assets!$Z$2*MIN(1,(AC$3-CEG_Assets!$AA$2+1)/MAX(1,CEG_Assets!$AC$2))),0)*AC36</f>
        <v>0</v>
      </c>
      <c r="AD37" s="9" t="n">
        <f aca="false">IF(AND(AD$3&gt;=CEG_Assets!$AA$2,AD$3&lt;=CEG_Assets!$AB$2),MIN(CEG_Assets!$D$2,CEG_Assets!$Z$2*MIN(1,(AD$3-CEG_Assets!$AA$2+1)/MAX(1,CEG_Assets!$AC$2))),0)*AD36</f>
        <v>0</v>
      </c>
      <c r="AE37" s="9" t="n">
        <f aca="false">IF(AND(AE$3&gt;=CEG_Assets!$AA$2,AE$3&lt;=CEG_Assets!$AB$2),MIN(CEG_Assets!$D$2,CEG_Assets!$Z$2*MIN(1,(AE$3-CEG_Assets!$AA$2+1)/MAX(1,CEG_Assets!$AC$2))),0)*AE36</f>
        <v>0</v>
      </c>
      <c r="AF37" s="9" t="n">
        <f aca="false">IF(AND(AF$3&gt;=CEG_Assets!$AA$2,AF$3&lt;=CEG_Assets!$AB$2),MIN(CEG_Assets!$D$2,CEG_Assets!$Z$2*MIN(1,(AF$3-CEG_Assets!$AA$2+1)/MAX(1,CEG_Assets!$AC$2))),0)*AF36</f>
        <v>0</v>
      </c>
      <c r="AG37" s="9" t="n">
        <f aca="false">IF(AND(AG$3&gt;=CEG_Assets!$AA$2,AG$3&lt;=CEG_Assets!$AB$2),MIN(CEG_Assets!$D$2,CEG_Assets!$Z$2*MIN(1,(AG$3-CEG_Assets!$AA$2+1)/MAX(1,CEG_Assets!$AC$2))),0)*AG36</f>
        <v>0</v>
      </c>
      <c r="AH37" s="9" t="n">
        <f aca="false">IF(AND(AH$3&gt;=CEG_Assets!$AA$2,AH$3&lt;=CEG_Assets!$AB$2),MIN(CEG_Assets!$D$2,CEG_Assets!$Z$2*MIN(1,(AH$3-CEG_Assets!$AA$2+1)/MAX(1,CEG_Assets!$AC$2))),0)*AH36</f>
        <v>0</v>
      </c>
      <c r="AI37" s="9" t="n">
        <f aca="false">IF(AND(AI$3&gt;=CEG_Assets!$AA$2,AI$3&lt;=CEG_Assets!$AB$2),MIN(CEG_Assets!$D$2,CEG_Assets!$Z$2*MIN(1,(AI$3-CEG_Assets!$AA$2+1)/MAX(1,CEG_Assets!$AC$2))),0)*AI36</f>
        <v>0</v>
      </c>
      <c r="AJ37" s="9" t="n">
        <f aca="false">IF(AND(AJ$3&gt;=CEG_Assets!$AA$2,AJ$3&lt;=CEG_Assets!$AB$2),MIN(CEG_Assets!$D$2,CEG_Assets!$Z$2*MIN(1,(AJ$3-CEG_Assets!$AA$2+1)/MAX(1,CEG_Assets!$AC$2))),0)*AJ36</f>
        <v>0</v>
      </c>
      <c r="AK37" s="9" t="n">
        <f aca="false">IF(AND(AK$3&gt;=CEG_Assets!$AA$2,AK$3&lt;=CEG_Assets!$AB$2),MIN(CEG_Assets!$D$2,CEG_Assets!$Z$2*MIN(1,(AK$3-CEG_Assets!$AA$2+1)/MAX(1,CEG_Assets!$AC$2))),0)*AK36</f>
        <v>0</v>
      </c>
      <c r="AL37" s="9" t="n">
        <f aca="false">IF(AND(AL$3&gt;=CEG_Assets!$AA$2,AL$3&lt;=CEG_Assets!$AB$2),MIN(CEG_Assets!$D$2,CEG_Assets!$Z$2*MIN(1,(AL$3-CEG_Assets!$AA$2+1)/MAX(1,CEG_Assets!$AC$2))),0)*AL36</f>
        <v>0</v>
      </c>
      <c r="AM37" s="9" t="n">
        <f aca="false">IF(AND(AM$3&gt;=CEG_Assets!$AA$2,AM$3&lt;=CEG_Assets!$AB$2),MIN(CEG_Assets!$D$2,CEG_Assets!$Z$2*MIN(1,(AM$3-CEG_Assets!$AA$2+1)/MAX(1,CEG_Assets!$AC$2))),0)*AM36</f>
        <v>0</v>
      </c>
      <c r="AN37" s="9" t="n">
        <f aca="false">IF(AND(AN$3&gt;=CEG_Assets!$AA$2,AN$3&lt;=CEG_Assets!$AB$2),MIN(CEG_Assets!$D$2,CEG_Assets!$Z$2*MIN(1,(AN$3-CEG_Assets!$AA$2+1)/MAX(1,CEG_Assets!$AC$2))),0)*AN36</f>
        <v>0</v>
      </c>
      <c r="AO37" s="9" t="n">
        <f aca="false">IF(AND(AO$3&gt;=CEG_Assets!$AA$2,AO$3&lt;=CEG_Assets!$AB$2),MIN(CEG_Assets!$D$2,CEG_Assets!$Z$2*MIN(1,(AO$3-CEG_Assets!$AA$2+1)/MAX(1,CEG_Assets!$AC$2))),0)*AO36</f>
        <v>0</v>
      </c>
      <c r="AP37" s="9" t="n">
        <f aca="false">IF(AND(AP$3&gt;=CEG_Assets!$AA$2,AP$3&lt;=CEG_Assets!$AB$2),MIN(CEG_Assets!$D$2,CEG_Assets!$Z$2*MIN(1,(AP$3-CEG_Assets!$AA$2+1)/MAX(1,CEG_Assets!$AC$2))),0)*AP36</f>
        <v>0</v>
      </c>
      <c r="AQ37" s="9" t="n">
        <f aca="false">IF(AND(AQ$3&gt;=CEG_Assets!$AA$2,AQ$3&lt;=CEG_Assets!$AB$2),MIN(CEG_Assets!$D$2,CEG_Assets!$Z$2*MIN(1,(AQ$3-CEG_Assets!$AA$2+1)/MAX(1,CEG_Assets!$AC$2))),0)*AQ36</f>
        <v>0</v>
      </c>
      <c r="AR37" s="9" t="n">
        <f aca="false">IF(AND(AR$3&gt;=CEG_Assets!$AA$2,AR$3&lt;=CEG_Assets!$AB$2),MIN(CEG_Assets!$D$2,CEG_Assets!$Z$2*MIN(1,(AR$3-CEG_Assets!$AA$2+1)/MAX(1,CEG_Assets!$AC$2))),0)*AR36</f>
        <v>0</v>
      </c>
      <c r="AS37" s="9" t="n">
        <f aca="false">IF(AND(AS$3&gt;=CEG_Assets!$AA$2,AS$3&lt;=CEG_Assets!$AB$2),MIN(CEG_Assets!$D$2,CEG_Assets!$Z$2*MIN(1,(AS$3-CEG_Assets!$AA$2+1)/MAX(1,CEG_Assets!$AC$2))),0)*AS36</f>
        <v>0</v>
      </c>
    </row>
    <row r="38" customFormat="false" ht="15" hidden="false" customHeight="false" outlineLevel="0" collapsed="false">
      <c r="A38" s="6" t="s">
        <v>429</v>
      </c>
      <c r="B38" s="6" t="s">
        <v>430</v>
      </c>
      <c r="G38" s="9" t="n">
        <f aca="false">(CEG_Assets!$D$2-G37)*8760*CEG_Assets!$I$2*G36</f>
        <v>52665558</v>
      </c>
      <c r="H38" s="9" t="n">
        <f aca="false">(CEG_Assets!$D$2-H37)*8760*CEG_Assets!$I$2*H36</f>
        <v>52665558</v>
      </c>
      <c r="I38" s="9" t="n">
        <f aca="false">(CEG_Assets!$D$2-I37)*8760*CEG_Assets!$I$2*I36</f>
        <v>52665558</v>
      </c>
      <c r="J38" s="9" t="n">
        <f aca="false">(CEG_Assets!$D$2-J37)*8760*CEG_Assets!$I$2*J36</f>
        <v>52665558</v>
      </c>
      <c r="K38" s="9" t="n">
        <f aca="false">(CEG_Assets!$D$2-K37)*8760*CEG_Assets!$I$2*K36</f>
        <v>52665558</v>
      </c>
      <c r="L38" s="9" t="n">
        <f aca="false">(CEG_Assets!$D$2-L37)*8760*CEG_Assets!$I$2*L36</f>
        <v>52665558</v>
      </c>
      <c r="M38" s="9" t="n">
        <f aca="false">(CEG_Assets!$D$2-M37)*8760*CEG_Assets!$I$2*M36</f>
        <v>52665558</v>
      </c>
      <c r="N38" s="9" t="n">
        <f aca="false">(CEG_Assets!$D$2-N37)*8760*CEG_Assets!$I$2*N36</f>
        <v>52665558</v>
      </c>
      <c r="O38" s="9" t="n">
        <f aca="false">(CEG_Assets!$D$2-O37)*8760*CEG_Assets!$I$2*O36</f>
        <v>52665558</v>
      </c>
      <c r="P38" s="9" t="n">
        <f aca="false">(CEG_Assets!$D$2-P37)*8760*CEG_Assets!$I$2*P36</f>
        <v>52665558</v>
      </c>
      <c r="Q38" s="9" t="n">
        <f aca="false">(CEG_Assets!$D$2-Q37)*8760*CEG_Assets!$I$2*Q36</f>
        <v>52665558</v>
      </c>
      <c r="R38" s="9" t="n">
        <f aca="false">(CEG_Assets!$D$2-R37)*8760*CEG_Assets!$I$2*R36</f>
        <v>52665558</v>
      </c>
      <c r="S38" s="9" t="n">
        <f aca="false">(CEG_Assets!$D$2-S37)*8760*CEG_Assets!$I$2*S36</f>
        <v>52665558</v>
      </c>
      <c r="T38" s="9" t="n">
        <f aca="false">(CEG_Assets!$D$2-T37)*8760*CEG_Assets!$I$2*T36</f>
        <v>52665558</v>
      </c>
      <c r="U38" s="9" t="n">
        <f aca="false">(CEG_Assets!$D$2-U37)*8760*CEG_Assets!$I$2*U36</f>
        <v>52665558</v>
      </c>
      <c r="V38" s="9" t="n">
        <f aca="false">(CEG_Assets!$D$2-V37)*8760*CEG_Assets!$I$2*V36</f>
        <v>52665558</v>
      </c>
      <c r="W38" s="9" t="n">
        <f aca="false">(CEG_Assets!$D$2-W37)*8760*CEG_Assets!$I$2*W36</f>
        <v>52665558</v>
      </c>
      <c r="X38" s="9" t="n">
        <f aca="false">(CEG_Assets!$D$2-X37)*8760*CEG_Assets!$I$2*X36</f>
        <v>52665558</v>
      </c>
      <c r="Y38" s="9" t="n">
        <f aca="false">(CEG_Assets!$D$2-Y37)*8760*CEG_Assets!$I$2*Y36</f>
        <v>52665558</v>
      </c>
      <c r="Z38" s="9" t="n">
        <f aca="false">(CEG_Assets!$D$2-Z37)*8760*CEG_Assets!$I$2*Z36</f>
        <v>52665558</v>
      </c>
      <c r="AA38" s="9" t="n">
        <f aca="false">(CEG_Assets!$D$2-AA37)*8760*CEG_Assets!$I$2*AA36</f>
        <v>52665558</v>
      </c>
      <c r="AB38" s="9" t="n">
        <f aca="false">(CEG_Assets!$D$2-AB37)*8760*CEG_Assets!$I$2*AB36</f>
        <v>52665558</v>
      </c>
      <c r="AC38" s="9" t="n">
        <f aca="false">(CEG_Assets!$D$2-AC37)*8760*CEG_Assets!$I$2*AC36</f>
        <v>52665558</v>
      </c>
      <c r="AD38" s="9" t="n">
        <f aca="false">(CEG_Assets!$D$2-AD37)*8760*CEG_Assets!$I$2*AD36</f>
        <v>52665558</v>
      </c>
      <c r="AE38" s="9" t="n">
        <f aca="false">(CEG_Assets!$D$2-AE37)*8760*CEG_Assets!$I$2*AE36</f>
        <v>52665558</v>
      </c>
      <c r="AF38" s="9" t="n">
        <f aca="false">(CEG_Assets!$D$2-AF37)*8760*CEG_Assets!$I$2*AF36</f>
        <v>52665558</v>
      </c>
      <c r="AG38" s="9" t="n">
        <f aca="false">(CEG_Assets!$D$2-AG37)*8760*CEG_Assets!$I$2*AG36</f>
        <v>52665558</v>
      </c>
      <c r="AH38" s="9" t="n">
        <f aca="false">(CEG_Assets!$D$2-AH37)*8760*CEG_Assets!$I$2*AH36</f>
        <v>52665558</v>
      </c>
      <c r="AI38" s="9" t="n">
        <f aca="false">(CEG_Assets!$D$2-AI37)*8760*CEG_Assets!$I$2*AI36</f>
        <v>52665558</v>
      </c>
      <c r="AJ38" s="9" t="n">
        <f aca="false">(CEG_Assets!$D$2-AJ37)*8760*CEG_Assets!$I$2*AJ36</f>
        <v>0</v>
      </c>
      <c r="AK38" s="9" t="n">
        <f aca="false">(CEG_Assets!$D$2-AK37)*8760*CEG_Assets!$I$2*AK36</f>
        <v>0</v>
      </c>
      <c r="AL38" s="9" t="n">
        <f aca="false">(CEG_Assets!$D$2-AL37)*8760*CEG_Assets!$I$2*AL36</f>
        <v>0</v>
      </c>
      <c r="AM38" s="9" t="n">
        <f aca="false">(CEG_Assets!$D$2-AM37)*8760*CEG_Assets!$I$2*AM36</f>
        <v>0</v>
      </c>
      <c r="AN38" s="9" t="n">
        <f aca="false">(CEG_Assets!$D$2-AN37)*8760*CEG_Assets!$I$2*AN36</f>
        <v>0</v>
      </c>
      <c r="AO38" s="9" t="n">
        <f aca="false">(CEG_Assets!$D$2-AO37)*8760*CEG_Assets!$I$2*AO36</f>
        <v>0</v>
      </c>
      <c r="AP38" s="9" t="n">
        <f aca="false">(CEG_Assets!$D$2-AP37)*8760*CEG_Assets!$I$2*AP36</f>
        <v>0</v>
      </c>
      <c r="AQ38" s="9" t="n">
        <f aca="false">(CEG_Assets!$D$2-AQ37)*8760*CEG_Assets!$I$2*AQ36</f>
        <v>0</v>
      </c>
      <c r="AR38" s="9" t="n">
        <f aca="false">(CEG_Assets!$D$2-AR37)*8760*CEG_Assets!$I$2*AR36</f>
        <v>0</v>
      </c>
      <c r="AS38" s="9" t="n">
        <f aca="false">(CEG_Assets!$D$2-AS37)*8760*CEG_Assets!$I$2*AS36</f>
        <v>0</v>
      </c>
    </row>
    <row r="39" customFormat="false" ht="15" hidden="false" customHeight="false" outlineLevel="0" collapsed="false">
      <c r="A39" s="6" t="s">
        <v>431</v>
      </c>
      <c r="B39" s="6" t="s">
        <v>432</v>
      </c>
      <c r="G39" s="9" t="n">
        <f aca="false">G37*8760*CEG_Assets!$I$2*G36</f>
        <v>0</v>
      </c>
      <c r="H39" s="9" t="n">
        <f aca="false">H37*8760*CEG_Assets!$I$2*H36</f>
        <v>0</v>
      </c>
      <c r="I39" s="9" t="n">
        <f aca="false">I37*8760*CEG_Assets!$I$2*I36</f>
        <v>0</v>
      </c>
      <c r="J39" s="9" t="n">
        <f aca="false">J37*8760*CEG_Assets!$I$2*J36</f>
        <v>0</v>
      </c>
      <c r="K39" s="9" t="n">
        <f aca="false">K37*8760*CEG_Assets!$I$2*K36</f>
        <v>0</v>
      </c>
      <c r="L39" s="9" t="n">
        <f aca="false">L37*8760*CEG_Assets!$I$2*L36</f>
        <v>0</v>
      </c>
      <c r="M39" s="9" t="n">
        <f aca="false">M37*8760*CEG_Assets!$I$2*M36</f>
        <v>0</v>
      </c>
      <c r="N39" s="9" t="n">
        <f aca="false">N37*8760*CEG_Assets!$I$2*N36</f>
        <v>0</v>
      </c>
      <c r="O39" s="9" t="n">
        <f aca="false">O37*8760*CEG_Assets!$I$2*O36</f>
        <v>0</v>
      </c>
      <c r="P39" s="9" t="n">
        <f aca="false">P37*8760*CEG_Assets!$I$2*P36</f>
        <v>0</v>
      </c>
      <c r="Q39" s="9" t="n">
        <f aca="false">Q37*8760*CEG_Assets!$I$2*Q36</f>
        <v>0</v>
      </c>
      <c r="R39" s="9" t="n">
        <f aca="false">R37*8760*CEG_Assets!$I$2*R36</f>
        <v>0</v>
      </c>
      <c r="S39" s="9" t="n">
        <f aca="false">S37*8760*CEG_Assets!$I$2*S36</f>
        <v>0</v>
      </c>
      <c r="T39" s="9" t="n">
        <f aca="false">T37*8760*CEG_Assets!$I$2*T36</f>
        <v>0</v>
      </c>
      <c r="U39" s="9" t="n">
        <f aca="false">U37*8760*CEG_Assets!$I$2*U36</f>
        <v>0</v>
      </c>
      <c r="V39" s="9" t="n">
        <f aca="false">V37*8760*CEG_Assets!$I$2*V36</f>
        <v>0</v>
      </c>
      <c r="W39" s="9" t="n">
        <f aca="false">W37*8760*CEG_Assets!$I$2*W36</f>
        <v>0</v>
      </c>
      <c r="X39" s="9" t="n">
        <f aca="false">X37*8760*CEG_Assets!$I$2*X36</f>
        <v>0</v>
      </c>
      <c r="Y39" s="9" t="n">
        <f aca="false">Y37*8760*CEG_Assets!$I$2*Y36</f>
        <v>0</v>
      </c>
      <c r="Z39" s="9" t="n">
        <f aca="false">Z37*8760*CEG_Assets!$I$2*Z36</f>
        <v>0</v>
      </c>
      <c r="AA39" s="9" t="n">
        <f aca="false">AA37*8760*CEG_Assets!$I$2*AA36</f>
        <v>0</v>
      </c>
      <c r="AB39" s="9" t="n">
        <f aca="false">AB37*8760*CEG_Assets!$I$2*AB36</f>
        <v>0</v>
      </c>
      <c r="AC39" s="9" t="n">
        <f aca="false">AC37*8760*CEG_Assets!$I$2*AC36</f>
        <v>0</v>
      </c>
      <c r="AD39" s="9" t="n">
        <f aca="false">AD37*8760*CEG_Assets!$I$2*AD36</f>
        <v>0</v>
      </c>
      <c r="AE39" s="9" t="n">
        <f aca="false">AE37*8760*CEG_Assets!$I$2*AE36</f>
        <v>0</v>
      </c>
      <c r="AF39" s="9" t="n">
        <f aca="false">AF37*8760*CEG_Assets!$I$2*AF36</f>
        <v>0</v>
      </c>
      <c r="AG39" s="9" t="n">
        <f aca="false">AG37*8760*CEG_Assets!$I$2*AG36</f>
        <v>0</v>
      </c>
      <c r="AH39" s="9" t="n">
        <f aca="false">AH37*8760*CEG_Assets!$I$2*AH36</f>
        <v>0</v>
      </c>
      <c r="AI39" s="9" t="n">
        <f aca="false">AI37*8760*CEG_Assets!$I$2*AI36</f>
        <v>0</v>
      </c>
      <c r="AJ39" s="9" t="n">
        <f aca="false">AJ37*8760*CEG_Assets!$I$2*AJ36</f>
        <v>0</v>
      </c>
      <c r="AK39" s="9" t="n">
        <f aca="false">AK37*8760*CEG_Assets!$I$2*AK36</f>
        <v>0</v>
      </c>
      <c r="AL39" s="9" t="n">
        <f aca="false">AL37*8760*CEG_Assets!$I$2*AL36</f>
        <v>0</v>
      </c>
      <c r="AM39" s="9" t="n">
        <f aca="false">AM37*8760*CEG_Assets!$I$2*AM36</f>
        <v>0</v>
      </c>
      <c r="AN39" s="9" t="n">
        <f aca="false">AN37*8760*CEG_Assets!$I$2*AN36</f>
        <v>0</v>
      </c>
      <c r="AO39" s="9" t="n">
        <f aca="false">AO37*8760*CEG_Assets!$I$2*AO36</f>
        <v>0</v>
      </c>
      <c r="AP39" s="9" t="n">
        <f aca="false">AP37*8760*CEG_Assets!$I$2*AP36</f>
        <v>0</v>
      </c>
      <c r="AQ39" s="9" t="n">
        <f aca="false">AQ37*8760*CEG_Assets!$I$2*AQ36</f>
        <v>0</v>
      </c>
      <c r="AR39" s="9" t="n">
        <f aca="false">AR37*8760*CEG_Assets!$I$2*AR36</f>
        <v>0</v>
      </c>
      <c r="AS39" s="9" t="n">
        <f aca="false">AS37*8760*CEG_Assets!$I$2*AS36</f>
        <v>0</v>
      </c>
    </row>
    <row r="40" customFormat="false" ht="15" hidden="false" customHeight="false" outlineLevel="0" collapsed="false">
      <c r="A40" s="6" t="s">
        <v>433</v>
      </c>
      <c r="B40" s="6" t="s">
        <v>434</v>
      </c>
      <c r="G40" s="7" t="n">
        <f aca="false">IF(ISNUMBER(CEG_Assets!$L$2),CEG_Assets!$L$2*G$4,INDEX(Prices!G:G,CEG_Assets!$AO$2)+FuelAdder*G$4)</f>
        <v>3.927</v>
      </c>
      <c r="H40" s="7" t="n">
        <f aca="false">IF(ISNUMBER(CEG_Assets!$L$2),CEG_Assets!$L$2*H$4,INDEX(Prices!H:H,CEG_Assets!$AO$2)+FuelAdder*H$4)</f>
        <v>4.00554</v>
      </c>
      <c r="I40" s="7" t="n">
        <f aca="false">IF(ISNUMBER(CEG_Assets!$L$2),CEG_Assets!$L$2*I$4,INDEX(Prices!I:I,CEG_Assets!$AO$2)+FuelAdder*I$4)</f>
        <v>4.1917716</v>
      </c>
      <c r="J40" s="7" t="n">
        <f aca="false">IF(ISNUMBER(CEG_Assets!$L$2),CEG_Assets!$L$2*J$4,INDEX(Prices!J:J,CEG_Assets!$AO$2)+FuelAdder*J$4)</f>
        <v>4.275607032</v>
      </c>
      <c r="K40" s="7" t="n">
        <f aca="false">IF(ISNUMBER(CEG_Assets!$L$2),CEG_Assets!$L$2*K$4,INDEX(Prices!K:K,CEG_Assets!$AO$2)+FuelAdder*K$4)</f>
        <v>4.36111917264</v>
      </c>
      <c r="L40" s="7" t="n">
        <f aca="false">IF(ISNUMBER(CEG_Assets!$L$2),CEG_Assets!$L$2*L$4,INDEX(Prices!L:L,CEG_Assets!$AO$2)+FuelAdder*L$4)</f>
        <v>4.4483415560928</v>
      </c>
      <c r="M40" s="7" t="n">
        <f aca="false">IF(ISNUMBER(CEG_Assets!$L$2),CEG_Assets!$L$2*M$4,INDEX(Prices!M:M,CEG_Assets!$AO$2)+FuelAdder*M$4)</f>
        <v>4.53730838721466</v>
      </c>
      <c r="N40" s="7" t="n">
        <f aca="false">IF(ISNUMBER(CEG_Assets!$L$2),CEG_Assets!$L$2*N$4,INDEX(Prices!N:N,CEG_Assets!$AO$2)+FuelAdder*N$4)</f>
        <v>4.62805455495895</v>
      </c>
      <c r="O40" s="7" t="n">
        <f aca="false">IF(ISNUMBER(CEG_Assets!$L$2),CEG_Assets!$L$2*O$4,INDEX(Prices!O:O,CEG_Assets!$AO$2)+FuelAdder*O$4)</f>
        <v>4.72061564605813</v>
      </c>
      <c r="P40" s="7" t="n">
        <f aca="false">IF(ISNUMBER(CEG_Assets!$L$2),CEG_Assets!$L$2*P$4,INDEX(Prices!P:P,CEG_Assets!$AO$2)+FuelAdder*P$4)</f>
        <v>4.81502795897929</v>
      </c>
      <c r="Q40" s="7" t="n">
        <f aca="false">IF(ISNUMBER(CEG_Assets!$L$2),CEG_Assets!$L$2*Q$4,INDEX(Prices!Q:Q,CEG_Assets!$AO$2)+FuelAdder*Q$4)</f>
        <v>4.91132851815888</v>
      </c>
      <c r="R40" s="7" t="n">
        <f aca="false">IF(ISNUMBER(CEG_Assets!$L$2),CEG_Assets!$L$2*R$4,INDEX(Prices!R:R,CEG_Assets!$AO$2)+FuelAdder*R$4)</f>
        <v>5.00955508852206</v>
      </c>
      <c r="S40" s="7" t="n">
        <f aca="false">IF(ISNUMBER(CEG_Assets!$L$2),CEG_Assets!$L$2*S$4,INDEX(Prices!S:S,CEG_Assets!$AO$2)+FuelAdder*S$4)</f>
        <v>5.1097461902925</v>
      </c>
      <c r="T40" s="7" t="n">
        <f aca="false">IF(ISNUMBER(CEG_Assets!$L$2),CEG_Assets!$L$2*T$4,INDEX(Prices!T:T,CEG_Assets!$AO$2)+FuelAdder*T$4)</f>
        <v>5.21194111409835</v>
      </c>
      <c r="U40" s="7" t="n">
        <f aca="false">IF(ISNUMBER(CEG_Assets!$L$2),CEG_Assets!$L$2*U$4,INDEX(Prices!U:U,CEG_Assets!$AO$2)+FuelAdder*U$4)</f>
        <v>5.31617993638031</v>
      </c>
      <c r="V40" s="7" t="n">
        <f aca="false">IF(ISNUMBER(CEG_Assets!$L$2),CEG_Assets!$L$2*V$4,INDEX(Prices!V:V,CEG_Assets!$AO$2)+FuelAdder*V$4)</f>
        <v>5.42250353510792</v>
      </c>
      <c r="W40" s="7" t="n">
        <f aca="false">IF(ISNUMBER(CEG_Assets!$L$2),CEG_Assets!$L$2*W$4,INDEX(Prices!W:W,CEG_Assets!$AO$2)+FuelAdder*W$4)</f>
        <v>5.53095360581008</v>
      </c>
      <c r="X40" s="7" t="n">
        <f aca="false">IF(ISNUMBER(CEG_Assets!$L$2),CEG_Assets!$L$2*X$4,INDEX(Prices!X:X,CEG_Assets!$AO$2)+FuelAdder*X$4)</f>
        <v>5.64157267792628</v>
      </c>
      <c r="Y40" s="7" t="n">
        <f aca="false">IF(ISNUMBER(CEG_Assets!$L$2),CEG_Assets!$L$2*Y$4,INDEX(Prices!Y:Y,CEG_Assets!$AO$2)+FuelAdder*Y$4)</f>
        <v>5.75440413148481</v>
      </c>
      <c r="Z40" s="7" t="n">
        <f aca="false">IF(ISNUMBER(CEG_Assets!$L$2),CEG_Assets!$L$2*Z$4,INDEX(Prices!Z:Z,CEG_Assets!$AO$2)+FuelAdder*Z$4)</f>
        <v>5.8694922141145</v>
      </c>
      <c r="AA40" s="7" t="n">
        <f aca="false">IF(ISNUMBER(CEG_Assets!$L$2),CEG_Assets!$L$2*AA$4,INDEX(Prices!AA:AA,CEG_Assets!$AO$2)+FuelAdder*AA$4)</f>
        <v>5.98688205839679</v>
      </c>
      <c r="AB40" s="7" t="n">
        <f aca="false">IF(ISNUMBER(CEG_Assets!$L$2),CEG_Assets!$L$2*AB$4,INDEX(Prices!AB:AB,CEG_Assets!$AO$2)+FuelAdder*AB$4)</f>
        <v>6.10661969956473</v>
      </c>
      <c r="AC40" s="7" t="n">
        <f aca="false">IF(ISNUMBER(CEG_Assets!$L$2),CEG_Assets!$L$2*AC$4,INDEX(Prices!AC:AC,CEG_Assets!$AO$2)+FuelAdder*AC$4)</f>
        <v>6.22875209355602</v>
      </c>
      <c r="AD40" s="7" t="n">
        <f aca="false">IF(ISNUMBER(CEG_Assets!$L$2),CEG_Assets!$L$2*AD$4,INDEX(Prices!AD:AD,CEG_Assets!$AO$2)+FuelAdder*AD$4)</f>
        <v>6.35332713542714</v>
      </c>
      <c r="AE40" s="7" t="n">
        <f aca="false">IF(ISNUMBER(CEG_Assets!$L$2),CEG_Assets!$L$2*AE$4,INDEX(Prices!AE:AE,CEG_Assets!$AO$2)+FuelAdder*AE$4)</f>
        <v>6.48039367813569</v>
      </c>
      <c r="AF40" s="7" t="n">
        <f aca="false">IF(ISNUMBER(CEG_Assets!$L$2),CEG_Assets!$L$2*AF$4,INDEX(Prices!AF:AF,CEG_Assets!$AO$2)+FuelAdder*AF$4)</f>
        <v>6.6100015516984</v>
      </c>
      <c r="AG40" s="7" t="n">
        <f aca="false">IF(ISNUMBER(CEG_Assets!$L$2),CEG_Assets!$L$2*AG$4,INDEX(Prices!AG:AG,CEG_Assets!$AO$2)+FuelAdder*AG$4)</f>
        <v>6.74220158273237</v>
      </c>
      <c r="AH40" s="7" t="n">
        <f aca="false">IF(ISNUMBER(CEG_Assets!$L$2),CEG_Assets!$L$2*AH$4,INDEX(Prices!AH:AH,CEG_Assets!$AO$2)+FuelAdder*AH$4)</f>
        <v>6.87704561438702</v>
      </c>
      <c r="AI40" s="7" t="n">
        <f aca="false">IF(ISNUMBER(CEG_Assets!$L$2),CEG_Assets!$L$2*AI$4,INDEX(Prices!AI:AI,CEG_Assets!$AO$2)+FuelAdder*AI$4)</f>
        <v>7.01458652667476</v>
      </c>
      <c r="AJ40" s="7" t="n">
        <f aca="false">IF(ISNUMBER(CEG_Assets!$L$2),CEG_Assets!$L$2*AJ$4,INDEX(Prices!AJ:AJ,CEG_Assets!$AO$2)+FuelAdder*AJ$4)</f>
        <v>7.15487825720825</v>
      </c>
      <c r="AK40" s="7" t="n">
        <f aca="false">IF(ISNUMBER(CEG_Assets!$L$2),CEG_Assets!$L$2*AK$4,INDEX(Prices!AK:AK,CEG_Assets!$AO$2)+FuelAdder*AK$4)</f>
        <v>7.29797582235242</v>
      </c>
      <c r="AL40" s="7" t="n">
        <f aca="false">IF(ISNUMBER(CEG_Assets!$L$2),CEG_Assets!$L$2*AL$4,INDEX(Prices!AL:AL,CEG_Assets!$AO$2)+FuelAdder*AL$4)</f>
        <v>7.44393533879947</v>
      </c>
      <c r="AM40" s="7" t="n">
        <f aca="false">IF(ISNUMBER(CEG_Assets!$L$2),CEG_Assets!$L$2*AM$4,INDEX(Prices!AM:AM,CEG_Assets!$AO$2)+FuelAdder*AM$4)</f>
        <v>7.59281404557545</v>
      </c>
      <c r="AN40" s="7" t="n">
        <f aca="false">IF(ISNUMBER(CEG_Assets!$L$2),CEG_Assets!$L$2*AN$4,INDEX(Prices!AN:AN,CEG_Assets!$AO$2)+FuelAdder*AN$4)</f>
        <v>7.74467032648696</v>
      </c>
      <c r="AO40" s="7" t="n">
        <f aca="false">IF(ISNUMBER(CEG_Assets!$L$2),CEG_Assets!$L$2*AO$4,INDEX(Prices!AO:AO,CEG_Assets!$AO$2)+FuelAdder*AO$4)</f>
        <v>7.8995637330167</v>
      </c>
      <c r="AP40" s="7" t="n">
        <f aca="false">IF(ISNUMBER(CEG_Assets!$L$2),CEG_Assets!$L$2*AP$4,INDEX(Prices!AP:AP,CEG_Assets!$AO$2)+FuelAdder*AP$4)</f>
        <v>8.05755500767704</v>
      </c>
      <c r="AQ40" s="7" t="n">
        <f aca="false">IF(ISNUMBER(CEG_Assets!$L$2),CEG_Assets!$L$2*AQ$4,INDEX(Prices!AQ:AQ,CEG_Assets!$AO$2)+FuelAdder*AQ$4)</f>
        <v>8.21870610783058</v>
      </c>
      <c r="AR40" s="7" t="n">
        <f aca="false">IF(ISNUMBER(CEG_Assets!$L$2),CEG_Assets!$L$2*AR$4,INDEX(Prices!AR:AR,CEG_Assets!$AO$2)+FuelAdder*AR$4)</f>
        <v>8.38308022998719</v>
      </c>
      <c r="AS40" s="7" t="n">
        <f aca="false">IF(ISNUMBER(CEG_Assets!$L$2),CEG_Assets!$L$2*AS$4,INDEX(Prices!AS:AS,CEG_Assets!$AO$2)+FuelAdder*AS$4)</f>
        <v>8.55074183458693</v>
      </c>
    </row>
    <row r="41" customFormat="false" ht="15" hidden="false" customHeight="false" outlineLevel="0" collapsed="false">
      <c r="A41" s="6" t="s">
        <v>435</v>
      </c>
      <c r="B41" s="6" t="s">
        <v>436</v>
      </c>
      <c r="G41" s="7" t="n">
        <f aca="false">INDEX(Prices!G:G,CEG_Assets!$AN$2)*CEG_Assets!$J$2-CEG_Assets!$K$2*G40-CEG_Assets!$M$2*G$4</f>
        <v>71.28</v>
      </c>
      <c r="H41" s="7" t="n">
        <f aca="false">INDEX(Prices!H:H,CEG_Assets!$AN$2)*CEG_Assets!$J$2-CEG_Assets!$K$2*H40-CEG_Assets!$M$2*H$4</f>
        <v>72.27</v>
      </c>
      <c r="I41" s="7" t="n">
        <f aca="false">INDEX(Prices!I:I,CEG_Assets!$AN$2)*CEG_Assets!$J$2-CEG_Assets!$K$2*I40-CEG_Assets!$M$2*I$4</f>
        <v>66.286069641</v>
      </c>
      <c r="J41" s="7" t="n">
        <f aca="false">INDEX(Prices!J:J,CEG_Assets!$AN$2)*CEG_Assets!$J$2-CEG_Assets!$K$2*J40-CEG_Assets!$M$2*J$4</f>
        <v>64.53758206764</v>
      </c>
      <c r="K41" s="7" t="n">
        <f aca="false">INDEX(Prices!K:K,CEG_Assets!$AN$2)*CEG_Assets!$J$2-CEG_Assets!$K$2*K40-CEG_Assets!$M$2*K$4</f>
        <v>65.8283337089928</v>
      </c>
      <c r="L41" s="7" t="n">
        <f aca="false">INDEX(Prices!L:L,CEG_Assets!$AN$2)*CEG_Assets!$J$2-CEG_Assets!$K$2*L40-CEG_Assets!$M$2*L$4</f>
        <v>67.1449003831727</v>
      </c>
      <c r="M41" s="7" t="n">
        <f aca="false">INDEX(Prices!M:M,CEG_Assets!$AN$2)*CEG_Assets!$J$2-CEG_Assets!$K$2*M40-CEG_Assets!$M$2*M$4</f>
        <v>68.4877983908361</v>
      </c>
      <c r="N41" s="7" t="n">
        <f aca="false">INDEX(Prices!N:N,CEG_Assets!$AN$2)*CEG_Assets!$J$2-CEG_Assets!$K$2*N40-CEG_Assets!$M$2*N$4</f>
        <v>69.8575543586528</v>
      </c>
      <c r="O41" s="7" t="n">
        <f aca="false">INDEX(Prices!O:O,CEG_Assets!$AN$2)*CEG_Assets!$J$2-CEG_Assets!$K$2*O40-CEG_Assets!$M$2*O$4</f>
        <v>71.2547054458259</v>
      </c>
      <c r="P41" s="7" t="n">
        <f aca="false">INDEX(Prices!P:P,CEG_Assets!$AN$2)*CEG_Assets!$J$2-CEG_Assets!$K$2*P40-CEG_Assets!$M$2*P$4</f>
        <v>72.6797995547424</v>
      </c>
      <c r="Q41" s="7" t="n">
        <f aca="false">INDEX(Prices!Q:Q,CEG_Assets!$AN$2)*CEG_Assets!$J$2-CEG_Assets!$K$2*Q40-CEG_Assets!$M$2*Q$4</f>
        <v>74.1333955458373</v>
      </c>
      <c r="R41" s="7" t="n">
        <f aca="false">INDEX(Prices!R:R,CEG_Assets!$AN$2)*CEG_Assets!$J$2-CEG_Assets!$K$2*R40-CEG_Assets!$M$2*R$4</f>
        <v>75.616063456754</v>
      </c>
      <c r="S41" s="7" t="n">
        <f aca="false">INDEX(Prices!S:S,CEG_Assets!$AN$2)*CEG_Assets!$J$2-CEG_Assets!$K$2*S40-CEG_Assets!$M$2*S$4</f>
        <v>77.1283847258891</v>
      </c>
      <c r="T41" s="7" t="n">
        <f aca="false">INDEX(Prices!T:T,CEG_Assets!$AN$2)*CEG_Assets!$J$2-CEG_Assets!$K$2*T40-CEG_Assets!$M$2*T$4</f>
        <v>78.6709524204069</v>
      </c>
      <c r="U41" s="7" t="n">
        <f aca="false">INDEX(Prices!U:U,CEG_Assets!$AN$2)*CEG_Assets!$J$2-CEG_Assets!$K$2*U40-CEG_Assets!$M$2*U$4</f>
        <v>80.244371468815</v>
      </c>
      <c r="V41" s="7" t="n">
        <f aca="false">INDEX(Prices!V:V,CEG_Assets!$AN$2)*CEG_Assets!$J$2-CEG_Assets!$K$2*V40-CEG_Assets!$M$2*V$4</f>
        <v>81.8492588981913</v>
      </c>
      <c r="W41" s="7" t="n">
        <f aca="false">INDEX(Prices!W:W,CEG_Assets!$AN$2)*CEG_Assets!$J$2-CEG_Assets!$K$2*W40-CEG_Assets!$M$2*W$4</f>
        <v>83.4862440761552</v>
      </c>
      <c r="X41" s="7" t="n">
        <f aca="false">INDEX(Prices!X:X,CEG_Assets!$AN$2)*CEG_Assets!$J$2-CEG_Assets!$K$2*X40-CEG_Assets!$M$2*X$4</f>
        <v>85.1559689576783</v>
      </c>
      <c r="Y41" s="7" t="n">
        <f aca="false">INDEX(Prices!Y:Y,CEG_Assets!$AN$2)*CEG_Assets!$J$2-CEG_Assets!$K$2*Y40-CEG_Assets!$M$2*Y$4</f>
        <v>86.8590883368318</v>
      </c>
      <c r="Z41" s="7" t="n">
        <f aca="false">INDEX(Prices!Z:Z,CEG_Assets!$AN$2)*CEG_Assets!$J$2-CEG_Assets!$K$2*Z40-CEG_Assets!$M$2*Z$4</f>
        <v>88.5962701035685</v>
      </c>
      <c r="AA41" s="7" t="n">
        <f aca="false">INDEX(Prices!AA:AA,CEG_Assets!$AN$2)*CEG_Assets!$J$2-CEG_Assets!$K$2*AA40-CEG_Assets!$M$2*AA$4</f>
        <v>90.3681955056398</v>
      </c>
      <c r="AB41" s="7" t="n">
        <f aca="false">INDEX(Prices!AB:AB,CEG_Assets!$AN$2)*CEG_Assets!$J$2-CEG_Assets!$K$2*AB40-CEG_Assets!$M$2*AB$4</f>
        <v>92.1755594157526</v>
      </c>
      <c r="AC41" s="7" t="n">
        <f aca="false">INDEX(Prices!AC:AC,CEG_Assets!$AN$2)*CEG_Assets!$J$2-CEG_Assets!$K$2*AC40-CEG_Assets!$M$2*AC$4</f>
        <v>94.0190706040677</v>
      </c>
      <c r="AD41" s="7" t="n">
        <f aca="false">INDEX(Prices!AD:AD,CEG_Assets!$AN$2)*CEG_Assets!$J$2-CEG_Assets!$K$2*AD40-CEG_Assets!$M$2*AD$4</f>
        <v>95.899452016149</v>
      </c>
      <c r="AE41" s="7" t="n">
        <f aca="false">INDEX(Prices!AE:AE,CEG_Assets!$AN$2)*CEG_Assets!$J$2-CEG_Assets!$K$2*AE40-CEG_Assets!$M$2*AE$4</f>
        <v>97.817441056472</v>
      </c>
      <c r="AF41" s="7" t="n">
        <f aca="false">INDEX(Prices!AF:AF,CEG_Assets!$AN$2)*CEG_Assets!$J$2-CEG_Assets!$K$2*AF40-CEG_Assets!$M$2*AF$4</f>
        <v>99.7737898776015</v>
      </c>
      <c r="AG41" s="7" t="n">
        <f aca="false">INDEX(Prices!AG:AG,CEG_Assets!$AN$2)*CEG_Assets!$J$2-CEG_Assets!$K$2*AG40-CEG_Assets!$M$2*AG$4</f>
        <v>101.769265675153</v>
      </c>
      <c r="AH41" s="7" t="n">
        <f aca="false">INDEX(Prices!AH:AH,CEG_Assets!$AN$2)*CEG_Assets!$J$2-CEG_Assets!$K$2*AH40-CEG_Assets!$M$2*AH$4</f>
        <v>103.804650988657</v>
      </c>
      <c r="AI41" s="7" t="n">
        <f aca="false">INDEX(Prices!AI:AI,CEG_Assets!$AN$2)*CEG_Assets!$J$2-CEG_Assets!$K$2*AI40-CEG_Assets!$M$2*AI$4</f>
        <v>105.88074400843</v>
      </c>
      <c r="AJ41" s="7" t="n">
        <f aca="false">INDEX(Prices!AJ:AJ,CEG_Assets!$AN$2)*CEG_Assets!$J$2-CEG_Assets!$K$2*AJ40-CEG_Assets!$M$2*AJ$4</f>
        <v>107.998358888598</v>
      </c>
      <c r="AK41" s="7" t="n">
        <f aca="false">INDEX(Prices!AK:AK,CEG_Assets!$AN$2)*CEG_Assets!$J$2-CEG_Assets!$K$2*AK40-CEG_Assets!$M$2*AK$4</f>
        <v>110.15832606637</v>
      </c>
      <c r="AL41" s="7" t="n">
        <f aca="false">INDEX(Prices!AL:AL,CEG_Assets!$AN$2)*CEG_Assets!$J$2-CEG_Assets!$K$2*AL40-CEG_Assets!$M$2*AL$4</f>
        <v>112.361492587698</v>
      </c>
      <c r="AM41" s="7" t="n">
        <f aca="false">INDEX(Prices!AM:AM,CEG_Assets!$AN$2)*CEG_Assets!$J$2-CEG_Assets!$K$2*AM40-CEG_Assets!$M$2*AM$4</f>
        <v>114.608722439452</v>
      </c>
      <c r="AN41" s="7" t="n">
        <f aca="false">INDEX(Prices!AN:AN,CEG_Assets!$AN$2)*CEG_Assets!$J$2-CEG_Assets!$K$2*AN40-CEG_Assets!$M$2*AN$4</f>
        <v>116.900896888241</v>
      </c>
      <c r="AO41" s="7" t="n">
        <f aca="false">INDEX(Prices!AO:AO,CEG_Assets!$AN$2)*CEG_Assets!$J$2-CEG_Assets!$K$2*AO40-CEG_Assets!$M$2*AO$4</f>
        <v>119.238914826005</v>
      </c>
      <c r="AP41" s="7" t="n">
        <f aca="false">INDEX(Prices!AP:AP,CEG_Assets!$AN$2)*CEG_Assets!$J$2-CEG_Assets!$K$2*AP40-CEG_Assets!$M$2*AP$4</f>
        <v>121.623693122526</v>
      </c>
      <c r="AQ41" s="7" t="n">
        <f aca="false">INDEX(Prices!AQ:AQ,CEG_Assets!$AN$2)*CEG_Assets!$J$2-CEG_Assets!$K$2*AQ40-CEG_Assets!$M$2*AQ$4</f>
        <v>124.056166984976</v>
      </c>
      <c r="AR41" s="7" t="n">
        <f aca="false">INDEX(Prices!AR:AR,CEG_Assets!$AN$2)*CEG_Assets!$J$2-CEG_Assets!$K$2*AR40-CEG_Assets!$M$2*AR$4</f>
        <v>126.537290324676</v>
      </c>
      <c r="AS41" s="7" t="n">
        <f aca="false">INDEX(Prices!AS:AS,CEG_Assets!$AN$2)*CEG_Assets!$J$2-CEG_Assets!$K$2*AS40-CEG_Assets!$M$2*AS$4</f>
        <v>129.068036131169</v>
      </c>
    </row>
    <row r="42" customFormat="false" ht="15" hidden="false" customHeight="false" outlineLevel="0" collapsed="false">
      <c r="A42" s="6" t="s">
        <v>437</v>
      </c>
      <c r="B42" s="6" t="s">
        <v>438</v>
      </c>
      <c r="G42" s="47" t="n">
        <f aca="false">IF(CEG_Assets!$X$2=1,IF(G41&gt;0,1,0),1)</f>
        <v>1</v>
      </c>
      <c r="H42" s="47" t="n">
        <f aca="false">IF(CEG_Assets!$X$2=1,IF(H41&gt;0,1,0),1)</f>
        <v>1</v>
      </c>
      <c r="I42" s="47" t="n">
        <f aca="false">IF(CEG_Assets!$X$2=1,IF(I41&gt;0,1,0),1)</f>
        <v>1</v>
      </c>
      <c r="J42" s="47" t="n">
        <f aca="false">IF(CEG_Assets!$X$2=1,IF(J41&gt;0,1,0),1)</f>
        <v>1</v>
      </c>
      <c r="K42" s="47" t="n">
        <f aca="false">IF(CEG_Assets!$X$2=1,IF(K41&gt;0,1,0),1)</f>
        <v>1</v>
      </c>
      <c r="L42" s="47" t="n">
        <f aca="false">IF(CEG_Assets!$X$2=1,IF(L41&gt;0,1,0),1)</f>
        <v>1</v>
      </c>
      <c r="M42" s="47" t="n">
        <f aca="false">IF(CEG_Assets!$X$2=1,IF(M41&gt;0,1,0),1)</f>
        <v>1</v>
      </c>
      <c r="N42" s="47" t="n">
        <f aca="false">IF(CEG_Assets!$X$2=1,IF(N41&gt;0,1,0),1)</f>
        <v>1</v>
      </c>
      <c r="O42" s="47" t="n">
        <f aca="false">IF(CEG_Assets!$X$2=1,IF(O41&gt;0,1,0),1)</f>
        <v>1</v>
      </c>
      <c r="P42" s="47" t="n">
        <f aca="false">IF(CEG_Assets!$X$2=1,IF(P41&gt;0,1,0),1)</f>
        <v>1</v>
      </c>
      <c r="Q42" s="47" t="n">
        <f aca="false">IF(CEG_Assets!$X$2=1,IF(Q41&gt;0,1,0),1)</f>
        <v>1</v>
      </c>
      <c r="R42" s="47" t="n">
        <f aca="false">IF(CEG_Assets!$X$2=1,IF(R41&gt;0,1,0),1)</f>
        <v>1</v>
      </c>
      <c r="S42" s="47" t="n">
        <f aca="false">IF(CEG_Assets!$X$2=1,IF(S41&gt;0,1,0),1)</f>
        <v>1</v>
      </c>
      <c r="T42" s="47" t="n">
        <f aca="false">IF(CEG_Assets!$X$2=1,IF(T41&gt;0,1,0),1)</f>
        <v>1</v>
      </c>
      <c r="U42" s="47" t="n">
        <f aca="false">IF(CEG_Assets!$X$2=1,IF(U41&gt;0,1,0),1)</f>
        <v>1</v>
      </c>
      <c r="V42" s="47" t="n">
        <f aca="false">IF(CEG_Assets!$X$2=1,IF(V41&gt;0,1,0),1)</f>
        <v>1</v>
      </c>
      <c r="W42" s="47" t="n">
        <f aca="false">IF(CEG_Assets!$X$2=1,IF(W41&gt;0,1,0),1)</f>
        <v>1</v>
      </c>
      <c r="X42" s="47" t="n">
        <f aca="false">IF(CEG_Assets!$X$2=1,IF(X41&gt;0,1,0),1)</f>
        <v>1</v>
      </c>
      <c r="Y42" s="47" t="n">
        <f aca="false">IF(CEG_Assets!$X$2=1,IF(Y41&gt;0,1,0),1)</f>
        <v>1</v>
      </c>
      <c r="Z42" s="47" t="n">
        <f aca="false">IF(CEG_Assets!$X$2=1,IF(Z41&gt;0,1,0),1)</f>
        <v>1</v>
      </c>
      <c r="AA42" s="47" t="n">
        <f aca="false">IF(CEG_Assets!$X$2=1,IF(AA41&gt;0,1,0),1)</f>
        <v>1</v>
      </c>
      <c r="AB42" s="47" t="n">
        <f aca="false">IF(CEG_Assets!$X$2=1,IF(AB41&gt;0,1,0),1)</f>
        <v>1</v>
      </c>
      <c r="AC42" s="47" t="n">
        <f aca="false">IF(CEG_Assets!$X$2=1,IF(AC41&gt;0,1,0),1)</f>
        <v>1</v>
      </c>
      <c r="AD42" s="47" t="n">
        <f aca="false">IF(CEG_Assets!$X$2=1,IF(AD41&gt;0,1,0),1)</f>
        <v>1</v>
      </c>
      <c r="AE42" s="47" t="n">
        <f aca="false">IF(CEG_Assets!$X$2=1,IF(AE41&gt;0,1,0),1)</f>
        <v>1</v>
      </c>
      <c r="AF42" s="47" t="n">
        <f aca="false">IF(CEG_Assets!$X$2=1,IF(AF41&gt;0,1,0),1)</f>
        <v>1</v>
      </c>
      <c r="AG42" s="47" t="n">
        <f aca="false">IF(CEG_Assets!$X$2=1,IF(AG41&gt;0,1,0),1)</f>
        <v>1</v>
      </c>
      <c r="AH42" s="47" t="n">
        <f aca="false">IF(CEG_Assets!$X$2=1,IF(AH41&gt;0,1,0),1)</f>
        <v>1</v>
      </c>
      <c r="AI42" s="47" t="n">
        <f aca="false">IF(CEG_Assets!$X$2=1,IF(AI41&gt;0,1,0),1)</f>
        <v>1</v>
      </c>
      <c r="AJ42" s="47" t="n">
        <f aca="false">IF(CEG_Assets!$X$2=1,IF(AJ41&gt;0,1,0),1)</f>
        <v>1</v>
      </c>
      <c r="AK42" s="47" t="n">
        <f aca="false">IF(CEG_Assets!$X$2=1,IF(AK41&gt;0,1,0),1)</f>
        <v>1</v>
      </c>
      <c r="AL42" s="47" t="n">
        <f aca="false">IF(CEG_Assets!$X$2=1,IF(AL41&gt;0,1,0),1)</f>
        <v>1</v>
      </c>
      <c r="AM42" s="47" t="n">
        <f aca="false">IF(CEG_Assets!$X$2=1,IF(AM41&gt;0,1,0),1)</f>
        <v>1</v>
      </c>
      <c r="AN42" s="47" t="n">
        <f aca="false">IF(CEG_Assets!$X$2=1,IF(AN41&gt;0,1,0),1)</f>
        <v>1</v>
      </c>
      <c r="AO42" s="47" t="n">
        <f aca="false">IF(CEG_Assets!$X$2=1,IF(AO41&gt;0,1,0),1)</f>
        <v>1</v>
      </c>
      <c r="AP42" s="47" t="n">
        <f aca="false">IF(CEG_Assets!$X$2=1,IF(AP41&gt;0,1,0),1)</f>
        <v>1</v>
      </c>
      <c r="AQ42" s="47" t="n">
        <f aca="false">IF(CEG_Assets!$X$2=1,IF(AQ41&gt;0,1,0),1)</f>
        <v>1</v>
      </c>
      <c r="AR42" s="47" t="n">
        <f aca="false">IF(CEG_Assets!$X$2=1,IF(AR41&gt;0,1,0),1)</f>
        <v>1</v>
      </c>
      <c r="AS42" s="47" t="n">
        <f aca="false">IF(CEG_Assets!$X$2=1,IF(AS41&gt;0,1,0),1)</f>
        <v>1</v>
      </c>
    </row>
    <row r="43" customFormat="false" ht="15" hidden="false" customHeight="false" outlineLevel="0" collapsed="false">
      <c r="A43" s="6" t="s">
        <v>439</v>
      </c>
      <c r="B43" s="6" t="s">
        <v>440</v>
      </c>
      <c r="C43" s="9" t="n">
        <f aca="false">SUM(G43:AS43)</f>
        <v>125495.436815632</v>
      </c>
      <c r="G43" s="8" t="n">
        <f aca="false">G38*INDEX(Prices!G:G,CEG_Assets!$AN$2)*CEG_Assets!$J$2*G42/1000000*(1+CEG_RevAdj)</f>
        <v>3754.00097424</v>
      </c>
      <c r="H43" s="8" t="n">
        <f aca="false">H38*INDEX(Prices!H:H,CEG_Assets!$AN$2)*CEG_Assets!$J$2*H42/1000000*(1+CEG_RevAdj)</f>
        <v>3806.13987666</v>
      </c>
      <c r="I43" s="8" t="n">
        <f aca="false">I38*INDEX(Prices!I:I,CEG_Assets!$AN$2)*CEG_Assets!$J$2*I42/1000000*(1+CEG_RevAdj)</f>
        <v>3490.99284527012</v>
      </c>
      <c r="J43" s="8" t="n">
        <f aca="false">J38*INDEX(Prices!J:J,CEG_Assets!$AN$2)*CEG_Assets!$J$2*J42/1000000*(1+CEG_RevAdj)</f>
        <v>3398.90777156305</v>
      </c>
      <c r="K43" s="8" t="n">
        <f aca="false">K38*INDEX(Prices!K:K,CEG_Assets!$AN$2)*CEG_Assets!$J$2*K42/1000000*(1+CEG_RevAdj)</f>
        <v>3466.88592699432</v>
      </c>
      <c r="L43" s="8" t="n">
        <f aca="false">L38*INDEX(Prices!L:L,CEG_Assets!$AN$2)*CEG_Assets!$J$2*L42/1000000*(1+CEG_RevAdj)</f>
        <v>3536.2236455342</v>
      </c>
      <c r="M43" s="8" t="n">
        <f aca="false">M38*INDEX(Prices!M:M,CEG_Assets!$AN$2)*CEG_Assets!$J$2*M42/1000000*(1+CEG_RevAdj)</f>
        <v>3606.94811844489</v>
      </c>
      <c r="N43" s="8" t="n">
        <f aca="false">N38*INDEX(Prices!N:N,CEG_Assets!$AN$2)*CEG_Assets!$J$2*N42/1000000*(1+CEG_RevAdj)</f>
        <v>3679.08708081378</v>
      </c>
      <c r="O43" s="8" t="n">
        <f aca="false">O38*INDEX(Prices!O:O,CEG_Assets!$AN$2)*CEG_Assets!$J$2*O42/1000000*(1+CEG_RevAdj)</f>
        <v>3752.66882243006</v>
      </c>
      <c r="P43" s="8" t="n">
        <f aca="false">P38*INDEX(Prices!P:P,CEG_Assets!$AN$2)*CEG_Assets!$J$2*P42/1000000*(1+CEG_RevAdj)</f>
        <v>3827.72219887866</v>
      </c>
      <c r="Q43" s="8" t="n">
        <f aca="false">Q38*INDEX(Prices!Q:Q,CEG_Assets!$AN$2)*CEG_Assets!$J$2*Q42/1000000*(1+CEG_RevAdj)</f>
        <v>3904.27664285623</v>
      </c>
      <c r="R43" s="8" t="n">
        <f aca="false">R38*INDEX(Prices!R:R,CEG_Assets!$AN$2)*CEG_Assets!$J$2*R42/1000000*(1+CEG_RevAdj)</f>
        <v>3982.36217571336</v>
      </c>
      <c r="S43" s="8" t="n">
        <f aca="false">S38*INDEX(Prices!S:S,CEG_Assets!$AN$2)*CEG_Assets!$J$2*S42/1000000*(1+CEG_RevAdj)</f>
        <v>4062.00941922763</v>
      </c>
      <c r="T43" s="8" t="n">
        <f aca="false">T38*INDEX(Prices!T:T,CEG_Assets!$AN$2)*CEG_Assets!$J$2*T42/1000000*(1+CEG_RevAdj)</f>
        <v>4143.24960761218</v>
      </c>
      <c r="U43" s="8" t="n">
        <f aca="false">U38*INDEX(Prices!U:U,CEG_Assets!$AN$2)*CEG_Assets!$J$2*U42/1000000*(1+CEG_RevAdj)</f>
        <v>4226.11459976442</v>
      </c>
      <c r="V43" s="8" t="n">
        <f aca="false">V38*INDEX(Prices!V:V,CEG_Assets!$AN$2)*CEG_Assets!$J$2*V42/1000000*(1+CEG_RevAdj)</f>
        <v>4310.63689175971</v>
      </c>
      <c r="W43" s="8" t="n">
        <f aca="false">W38*INDEX(Prices!W:W,CEG_Assets!$AN$2)*CEG_Assets!$J$2*W42/1000000*(1+CEG_RevAdj)</f>
        <v>4396.84962959491</v>
      </c>
      <c r="X43" s="8" t="n">
        <f aca="false">X38*INDEX(Prices!X:X,CEG_Assets!$AN$2)*CEG_Assets!$J$2*X42/1000000*(1+CEG_RevAdj)</f>
        <v>4484.7866221868</v>
      </c>
      <c r="Y43" s="8" t="n">
        <f aca="false">Y38*INDEX(Prices!Y:Y,CEG_Assets!$AN$2)*CEG_Assets!$J$2*Y42/1000000*(1+CEG_RevAdj)</f>
        <v>4574.48235463054</v>
      </c>
      <c r="Z43" s="8" t="n">
        <f aca="false">Z38*INDEX(Prices!Z:Z,CEG_Assets!$AN$2)*CEG_Assets!$J$2*Z42/1000000*(1+CEG_RevAdj)</f>
        <v>4665.97200172315</v>
      </c>
      <c r="AA43" s="8" t="n">
        <f aca="false">AA38*INDEX(Prices!AA:AA,CEG_Assets!$AN$2)*CEG_Assets!$J$2*AA42/1000000*(1+CEG_RevAdj)</f>
        <v>4759.29144175761</v>
      </c>
      <c r="AB43" s="8" t="n">
        <f aca="false">AB38*INDEX(Prices!AB:AB,CEG_Assets!$AN$2)*CEG_Assets!$J$2*AB42/1000000*(1+CEG_RevAdj)</f>
        <v>4854.47727059277</v>
      </c>
      <c r="AC43" s="8" t="n">
        <f aca="false">AC38*INDEX(Prices!AC:AC,CEG_Assets!$AN$2)*CEG_Assets!$J$2*AC42/1000000*(1+CEG_RevAdj)</f>
        <v>4951.56681600462</v>
      </c>
      <c r="AD43" s="8" t="n">
        <f aca="false">AD38*INDEX(Prices!AD:AD,CEG_Assets!$AN$2)*CEG_Assets!$J$2*AD42/1000000*(1+CEG_RevAdj)</f>
        <v>5050.59815232472</v>
      </c>
      <c r="AE43" s="8" t="n">
        <f aca="false">AE38*INDEX(Prices!AE:AE,CEG_Assets!$AN$2)*CEG_Assets!$J$2*AE42/1000000*(1+CEG_RevAdj)</f>
        <v>5151.61011537121</v>
      </c>
      <c r="AF43" s="8" t="n">
        <f aca="false">AF38*INDEX(Prices!AF:AF,CEG_Assets!$AN$2)*CEG_Assets!$J$2*AF42/1000000*(1+CEG_RevAdj)</f>
        <v>5254.64231767863</v>
      </c>
      <c r="AG43" s="8" t="n">
        <f aca="false">AG38*INDEX(Prices!AG:AG,CEG_Assets!$AN$2)*CEG_Assets!$J$2*AG42/1000000*(1+CEG_RevAdj)</f>
        <v>5359.73516403221</v>
      </c>
      <c r="AH43" s="8" t="n">
        <f aca="false">AH38*INDEX(Prices!AH:AH,CEG_Assets!$AN$2)*CEG_Assets!$J$2*AH42/1000000*(1+CEG_RevAdj)</f>
        <v>5466.92986731285</v>
      </c>
      <c r="AI43" s="8" t="n">
        <f aca="false">AI38*INDEX(Prices!AI:AI,CEG_Assets!$AN$2)*CEG_Assets!$J$2*AI42/1000000*(1+CEG_RevAdj)</f>
        <v>5576.26846465911</v>
      </c>
      <c r="AJ43" s="8" t="n">
        <f aca="false">AJ38*INDEX(Prices!AJ:AJ,CEG_Assets!$AN$2)*CEG_Assets!$J$2*AJ42/1000000*(1+CEG_RevAdj)</f>
        <v>0</v>
      </c>
      <c r="AK43" s="8" t="n">
        <f aca="false">AK38*INDEX(Prices!AK:AK,CEG_Assets!$AN$2)*CEG_Assets!$J$2*AK42/1000000*(1+CEG_RevAdj)</f>
        <v>0</v>
      </c>
      <c r="AL43" s="8" t="n">
        <f aca="false">AL38*INDEX(Prices!AL:AL,CEG_Assets!$AN$2)*CEG_Assets!$J$2*AL42/1000000*(1+CEG_RevAdj)</f>
        <v>0</v>
      </c>
      <c r="AM43" s="8" t="n">
        <f aca="false">AM38*INDEX(Prices!AM:AM,CEG_Assets!$AN$2)*CEG_Assets!$J$2*AM42/1000000*(1+CEG_RevAdj)</f>
        <v>0</v>
      </c>
      <c r="AN43" s="8" t="n">
        <f aca="false">AN38*INDEX(Prices!AN:AN,CEG_Assets!$AN$2)*CEG_Assets!$J$2*AN42/1000000*(1+CEG_RevAdj)</f>
        <v>0</v>
      </c>
      <c r="AO43" s="8" t="n">
        <f aca="false">AO38*INDEX(Prices!AO:AO,CEG_Assets!$AN$2)*CEG_Assets!$J$2*AO42/1000000*(1+CEG_RevAdj)</f>
        <v>0</v>
      </c>
      <c r="AP43" s="8" t="n">
        <f aca="false">AP38*INDEX(Prices!AP:AP,CEG_Assets!$AN$2)*CEG_Assets!$J$2*AP42/1000000*(1+CEG_RevAdj)</f>
        <v>0</v>
      </c>
      <c r="AQ43" s="8" t="n">
        <f aca="false">AQ38*INDEX(Prices!AQ:AQ,CEG_Assets!$AN$2)*CEG_Assets!$J$2*AQ42/1000000*(1+CEG_RevAdj)</f>
        <v>0</v>
      </c>
      <c r="AR43" s="8" t="n">
        <f aca="false">AR38*INDEX(Prices!AR:AR,CEG_Assets!$AN$2)*CEG_Assets!$J$2*AR42/1000000*(1+CEG_RevAdj)</f>
        <v>0</v>
      </c>
      <c r="AS43" s="8" t="n">
        <f aca="false">AS38*INDEX(Prices!AS:AS,CEG_Assets!$AN$2)*CEG_Assets!$J$2*AS42/1000000*(1+CEG_RevAdj)</f>
        <v>0</v>
      </c>
    </row>
    <row r="44" customFormat="false" ht="15" hidden="false" customHeight="false" outlineLevel="0" collapsed="false">
      <c r="A44" s="6" t="s">
        <v>441</v>
      </c>
      <c r="B44" s="6" t="s">
        <v>442</v>
      </c>
      <c r="C44" s="9" t="n">
        <f aca="false">SUM(G44:AS44)</f>
        <v>20781.3752741431</v>
      </c>
      <c r="G44" s="8" t="n">
        <f aca="false">(CEG_Assets!$D$2-G37)*INDEX(Prices!G:G,CEG_Assets!$AP$2)*365*CEG_Assets!$T$2*G36/1000000*(1+CEG_RevAdj)</f>
        <v>739.46996515</v>
      </c>
      <c r="H44" s="8" t="n">
        <f aca="false">(CEG_Assets!$D$2-H37)*INDEX(Prices!H:H,CEG_Assets!$AP$2)*365*CEG_Assets!$T$2*H36/1000000*(1+CEG_RevAdj)</f>
        <v>732.4690133</v>
      </c>
      <c r="I44" s="8" t="n">
        <f aca="false">(CEG_Assets!$D$2-I37)*INDEX(Prices!I:I,CEG_Assets!$AP$2)*365*CEG_Assets!$T$2*I36/1000000*(1+CEG_RevAdj)</f>
        <v>619.373333192517</v>
      </c>
      <c r="J44" s="8" t="n">
        <f aca="false">(CEG_Assets!$D$2-J37)*INDEX(Prices!J:J,CEG_Assets!$AP$2)*365*CEG_Assets!$T$2*J36/1000000*(1+CEG_RevAdj)</f>
        <v>555.080493503772</v>
      </c>
      <c r="K44" s="8" t="n">
        <f aca="false">(CEG_Assets!$D$2-K37)*INDEX(Prices!K:K,CEG_Assets!$AP$2)*365*CEG_Assets!$T$2*K36/1000000*(1+CEG_RevAdj)</f>
        <v>566.182103373847</v>
      </c>
      <c r="L44" s="8" t="n">
        <f aca="false">(CEG_Assets!$D$2-L37)*INDEX(Prices!L:L,CEG_Assets!$AP$2)*365*CEG_Assets!$T$2*L36/1000000*(1+CEG_RevAdj)</f>
        <v>577.505745441325</v>
      </c>
      <c r="M44" s="8" t="n">
        <f aca="false">(CEG_Assets!$D$2-M37)*INDEX(Prices!M:M,CEG_Assets!$AP$2)*365*CEG_Assets!$T$2*M36/1000000*(1+CEG_RevAdj)</f>
        <v>589.055860350151</v>
      </c>
      <c r="N44" s="8" t="n">
        <f aca="false">(CEG_Assets!$D$2-N37)*INDEX(Prices!N:N,CEG_Assets!$AP$2)*365*CEG_Assets!$T$2*N36/1000000*(1+CEG_RevAdj)</f>
        <v>600.836977557154</v>
      </c>
      <c r="O44" s="8" t="n">
        <f aca="false">(CEG_Assets!$D$2-O37)*INDEX(Prices!O:O,CEG_Assets!$AP$2)*365*CEG_Assets!$T$2*O36/1000000*(1+CEG_RevAdj)</f>
        <v>612.853717108297</v>
      </c>
      <c r="P44" s="8" t="n">
        <f aca="false">(CEG_Assets!$D$2-P37)*INDEX(Prices!P:P,CEG_Assets!$AP$2)*365*CEG_Assets!$T$2*P36/1000000*(1+CEG_RevAdj)</f>
        <v>625.110791450463</v>
      </c>
      <c r="Q44" s="8" t="n">
        <f aca="false">(CEG_Assets!$D$2-Q37)*INDEX(Prices!Q:Q,CEG_Assets!$AP$2)*365*CEG_Assets!$T$2*Q36/1000000*(1+CEG_RevAdj)</f>
        <v>637.613007279472</v>
      </c>
      <c r="R44" s="8" t="n">
        <f aca="false">(CEG_Assets!$D$2-R37)*INDEX(Prices!R:R,CEG_Assets!$AP$2)*365*CEG_Assets!$T$2*R36/1000000*(1+CEG_RevAdj)</f>
        <v>650.365267425062</v>
      </c>
      <c r="S44" s="8" t="n">
        <f aca="false">(CEG_Assets!$D$2-S37)*INDEX(Prices!S:S,CEG_Assets!$AP$2)*365*CEG_Assets!$T$2*S36/1000000*(1+CEG_RevAdj)</f>
        <v>663.372572773563</v>
      </c>
      <c r="T44" s="8" t="n">
        <f aca="false">(CEG_Assets!$D$2-T37)*INDEX(Prices!T:T,CEG_Assets!$AP$2)*365*CEG_Assets!$T$2*T36/1000000*(1+CEG_RevAdj)</f>
        <v>676.640024229034</v>
      </c>
      <c r="U44" s="8" t="n">
        <f aca="false">(CEG_Assets!$D$2-U37)*INDEX(Prices!U:U,CEG_Assets!$AP$2)*365*CEG_Assets!$T$2*U36/1000000*(1+CEG_RevAdj)</f>
        <v>690.172824713615</v>
      </c>
      <c r="V44" s="8" t="n">
        <f aca="false">(CEG_Assets!$D$2-V37)*INDEX(Prices!V:V,CEG_Assets!$AP$2)*365*CEG_Assets!$T$2*V36/1000000*(1+CEG_RevAdj)</f>
        <v>703.976281207887</v>
      </c>
      <c r="W44" s="8" t="n">
        <f aca="false">(CEG_Assets!$D$2-W37)*INDEX(Prices!W:W,CEG_Assets!$AP$2)*365*CEG_Assets!$T$2*W36/1000000*(1+CEG_RevAdj)</f>
        <v>718.055806832045</v>
      </c>
      <c r="X44" s="8" t="n">
        <f aca="false">(CEG_Assets!$D$2-X37)*INDEX(Prices!X:X,CEG_Assets!$AP$2)*365*CEG_Assets!$T$2*X36/1000000*(1+CEG_RevAdj)</f>
        <v>732.416922968686</v>
      </c>
      <c r="Y44" s="8" t="n">
        <f aca="false">(CEG_Assets!$D$2-Y37)*INDEX(Prices!Y:Y,CEG_Assets!$AP$2)*365*CEG_Assets!$T$2*Y36/1000000*(1+CEG_RevAdj)</f>
        <v>747.06526142806</v>
      </c>
      <c r="Z44" s="8" t="n">
        <f aca="false">(CEG_Assets!$D$2-Z37)*INDEX(Prices!Z:Z,CEG_Assets!$AP$2)*365*CEG_Assets!$T$2*Z36/1000000*(1+CEG_RevAdj)</f>
        <v>762.006566656621</v>
      </c>
      <c r="AA44" s="8" t="n">
        <f aca="false">(CEG_Assets!$D$2-AA37)*INDEX(Prices!AA:AA,CEG_Assets!$AP$2)*365*CEG_Assets!$T$2*AA36/1000000*(1+CEG_RevAdj)</f>
        <v>777.246697989753</v>
      </c>
      <c r="AB44" s="8" t="n">
        <f aca="false">(CEG_Assets!$D$2-AB37)*INDEX(Prices!AB:AB,CEG_Assets!$AP$2)*365*CEG_Assets!$T$2*AB36/1000000*(1+CEG_RevAdj)</f>
        <v>792.791631949548</v>
      </c>
      <c r="AC44" s="8" t="n">
        <f aca="false">(CEG_Assets!$D$2-AC37)*INDEX(Prices!AC:AC,CEG_Assets!$AP$2)*365*CEG_Assets!$T$2*AC36/1000000*(1+CEG_RevAdj)</f>
        <v>808.647464588539</v>
      </c>
      <c r="AD44" s="8" t="n">
        <f aca="false">(CEG_Assets!$D$2-AD37)*INDEX(Prices!AD:AD,CEG_Assets!$AP$2)*365*CEG_Assets!$T$2*AD36/1000000*(1+CEG_RevAdj)</f>
        <v>824.82041388031</v>
      </c>
      <c r="AE44" s="8" t="n">
        <f aca="false">(CEG_Assets!$D$2-AE37)*INDEX(Prices!AE:AE,CEG_Assets!$AP$2)*365*CEG_Assets!$T$2*AE36/1000000*(1+CEG_RevAdj)</f>
        <v>841.316822157917</v>
      </c>
      <c r="AF44" s="8" t="n">
        <f aca="false">(CEG_Assets!$D$2-AF37)*INDEX(Prices!AF:AF,CEG_Assets!$AP$2)*365*CEG_Assets!$T$2*AF36/1000000*(1+CEG_RevAdj)</f>
        <v>858.143158601075</v>
      </c>
      <c r="AG44" s="8" t="n">
        <f aca="false">(CEG_Assets!$D$2-AG37)*INDEX(Prices!AG:AG,CEG_Assets!$AP$2)*365*CEG_Assets!$T$2*AG36/1000000*(1+CEG_RevAdj)</f>
        <v>875.306021773096</v>
      </c>
      <c r="AH44" s="8" t="n">
        <f aca="false">(CEG_Assets!$D$2-AH37)*INDEX(Prices!AH:AH,CEG_Assets!$AP$2)*365*CEG_Assets!$T$2*AH36/1000000*(1+CEG_RevAdj)</f>
        <v>892.812142208558</v>
      </c>
      <c r="AI44" s="8" t="n">
        <f aca="false">(CEG_Assets!$D$2-AI37)*INDEX(Prices!AI:AI,CEG_Assets!$AP$2)*365*CEG_Assets!$T$2*AI36/1000000*(1+CEG_RevAdj)</f>
        <v>910.668385052729</v>
      </c>
      <c r="AJ44" s="8" t="n">
        <f aca="false">(CEG_Assets!$D$2-AJ37)*INDEX(Prices!AJ:AJ,CEG_Assets!$AP$2)*365*CEG_Assets!$T$2*AJ36/1000000*(1+CEG_RevAdj)</f>
        <v>0</v>
      </c>
      <c r="AK44" s="8" t="n">
        <f aca="false">(CEG_Assets!$D$2-AK37)*INDEX(Prices!AK:AK,CEG_Assets!$AP$2)*365*CEG_Assets!$T$2*AK36/1000000*(1+CEG_RevAdj)</f>
        <v>0</v>
      </c>
      <c r="AL44" s="8" t="n">
        <f aca="false">(CEG_Assets!$D$2-AL37)*INDEX(Prices!AL:AL,CEG_Assets!$AP$2)*365*CEG_Assets!$T$2*AL36/1000000*(1+CEG_RevAdj)</f>
        <v>0</v>
      </c>
      <c r="AM44" s="8" t="n">
        <f aca="false">(CEG_Assets!$D$2-AM37)*INDEX(Prices!AM:AM,CEG_Assets!$AP$2)*365*CEG_Assets!$T$2*AM36/1000000*(1+CEG_RevAdj)</f>
        <v>0</v>
      </c>
      <c r="AN44" s="8" t="n">
        <f aca="false">(CEG_Assets!$D$2-AN37)*INDEX(Prices!AN:AN,CEG_Assets!$AP$2)*365*CEG_Assets!$T$2*AN36/1000000*(1+CEG_RevAdj)</f>
        <v>0</v>
      </c>
      <c r="AO44" s="8" t="n">
        <f aca="false">(CEG_Assets!$D$2-AO37)*INDEX(Prices!AO:AO,CEG_Assets!$AP$2)*365*CEG_Assets!$T$2*AO36/1000000*(1+CEG_RevAdj)</f>
        <v>0</v>
      </c>
      <c r="AP44" s="8" t="n">
        <f aca="false">(CEG_Assets!$D$2-AP37)*INDEX(Prices!AP:AP,CEG_Assets!$AP$2)*365*CEG_Assets!$T$2*AP36/1000000*(1+CEG_RevAdj)</f>
        <v>0</v>
      </c>
      <c r="AQ44" s="8" t="n">
        <f aca="false">(CEG_Assets!$D$2-AQ37)*INDEX(Prices!AQ:AQ,CEG_Assets!$AP$2)*365*CEG_Assets!$T$2*AQ36/1000000*(1+CEG_RevAdj)</f>
        <v>0</v>
      </c>
      <c r="AR44" s="8" t="n">
        <f aca="false">(CEG_Assets!$D$2-AR37)*INDEX(Prices!AR:AR,CEG_Assets!$AP$2)*365*CEG_Assets!$T$2*AR36/1000000*(1+CEG_RevAdj)</f>
        <v>0</v>
      </c>
      <c r="AS44" s="8" t="n">
        <f aca="false">(CEG_Assets!$D$2-AS37)*INDEX(Prices!AS:AS,CEG_Assets!$AP$2)*365*CEG_Assets!$T$2*AS36/1000000*(1+CEG_RevAdj)</f>
        <v>0</v>
      </c>
    </row>
    <row r="45" customFormat="false" ht="15" hidden="false" customHeight="false" outlineLevel="0" collapsed="false">
      <c r="A45" s="6" t="s">
        <v>443</v>
      </c>
      <c r="B45" s="6" t="s">
        <v>444</v>
      </c>
      <c r="C45" s="9" t="n">
        <f aca="false">SUM(G45:AS45)</f>
        <v>0</v>
      </c>
      <c r="G45" s="8" t="n">
        <f aca="false">G39*(CEG_Assets!$AD$2+CEG_PPAAdj)/1000000*(1+CEG_RevAdj)</f>
        <v>0</v>
      </c>
      <c r="H45" s="8" t="n">
        <f aca="false">H39*(CEG_Assets!$AD$2+CEG_PPAAdj)/1000000*(1+CEG_RevAdj)</f>
        <v>0</v>
      </c>
      <c r="I45" s="8" t="n">
        <f aca="false">I39*(CEG_Assets!$AD$2+CEG_PPAAdj)/1000000*(1+CEG_RevAdj)</f>
        <v>0</v>
      </c>
      <c r="J45" s="8" t="n">
        <f aca="false">J39*(CEG_Assets!$AD$2+CEG_PPAAdj)/1000000*(1+CEG_RevAdj)</f>
        <v>0</v>
      </c>
      <c r="K45" s="8" t="n">
        <f aca="false">K39*(CEG_Assets!$AD$2+CEG_PPAAdj)/1000000*(1+CEG_RevAdj)</f>
        <v>0</v>
      </c>
      <c r="L45" s="8" t="n">
        <f aca="false">L39*(CEG_Assets!$AD$2+CEG_PPAAdj)/1000000*(1+CEG_RevAdj)</f>
        <v>0</v>
      </c>
      <c r="M45" s="8" t="n">
        <f aca="false">M39*(CEG_Assets!$AD$2+CEG_PPAAdj)/1000000*(1+CEG_RevAdj)</f>
        <v>0</v>
      </c>
      <c r="N45" s="8" t="n">
        <f aca="false">N39*(CEG_Assets!$AD$2+CEG_PPAAdj)/1000000*(1+CEG_RevAdj)</f>
        <v>0</v>
      </c>
      <c r="O45" s="8" t="n">
        <f aca="false">O39*(CEG_Assets!$AD$2+CEG_PPAAdj)/1000000*(1+CEG_RevAdj)</f>
        <v>0</v>
      </c>
      <c r="P45" s="8" t="n">
        <f aca="false">P39*(CEG_Assets!$AD$2+CEG_PPAAdj)/1000000*(1+CEG_RevAdj)</f>
        <v>0</v>
      </c>
      <c r="Q45" s="8" t="n">
        <f aca="false">Q39*(CEG_Assets!$AD$2+CEG_PPAAdj)/1000000*(1+CEG_RevAdj)</f>
        <v>0</v>
      </c>
      <c r="R45" s="8" t="n">
        <f aca="false">R39*(CEG_Assets!$AD$2+CEG_PPAAdj)/1000000*(1+CEG_RevAdj)</f>
        <v>0</v>
      </c>
      <c r="S45" s="8" t="n">
        <f aca="false">S39*(CEG_Assets!$AD$2+CEG_PPAAdj)/1000000*(1+CEG_RevAdj)</f>
        <v>0</v>
      </c>
      <c r="T45" s="8" t="n">
        <f aca="false">T39*(CEG_Assets!$AD$2+CEG_PPAAdj)/1000000*(1+CEG_RevAdj)</f>
        <v>0</v>
      </c>
      <c r="U45" s="8" t="n">
        <f aca="false">U39*(CEG_Assets!$AD$2+CEG_PPAAdj)/1000000*(1+CEG_RevAdj)</f>
        <v>0</v>
      </c>
      <c r="V45" s="8" t="n">
        <f aca="false">V39*(CEG_Assets!$AD$2+CEG_PPAAdj)/1000000*(1+CEG_RevAdj)</f>
        <v>0</v>
      </c>
      <c r="W45" s="8" t="n">
        <f aca="false">W39*(CEG_Assets!$AD$2+CEG_PPAAdj)/1000000*(1+CEG_RevAdj)</f>
        <v>0</v>
      </c>
      <c r="X45" s="8" t="n">
        <f aca="false">X39*(CEG_Assets!$AD$2+CEG_PPAAdj)/1000000*(1+CEG_RevAdj)</f>
        <v>0</v>
      </c>
      <c r="Y45" s="8" t="n">
        <f aca="false">Y39*(CEG_Assets!$AD$2+CEG_PPAAdj)/1000000*(1+CEG_RevAdj)</f>
        <v>0</v>
      </c>
      <c r="Z45" s="8" t="n">
        <f aca="false">Z39*(CEG_Assets!$AD$2+CEG_PPAAdj)/1000000*(1+CEG_RevAdj)</f>
        <v>0</v>
      </c>
      <c r="AA45" s="8" t="n">
        <f aca="false">AA39*(CEG_Assets!$AD$2+CEG_PPAAdj)/1000000*(1+CEG_RevAdj)</f>
        <v>0</v>
      </c>
      <c r="AB45" s="8" t="n">
        <f aca="false">AB39*(CEG_Assets!$AD$2+CEG_PPAAdj)/1000000*(1+CEG_RevAdj)</f>
        <v>0</v>
      </c>
      <c r="AC45" s="8" t="n">
        <f aca="false">AC39*(CEG_Assets!$AD$2+CEG_PPAAdj)/1000000*(1+CEG_RevAdj)</f>
        <v>0</v>
      </c>
      <c r="AD45" s="8" t="n">
        <f aca="false">AD39*(CEG_Assets!$AD$2+CEG_PPAAdj)/1000000*(1+CEG_RevAdj)</f>
        <v>0</v>
      </c>
      <c r="AE45" s="8" t="n">
        <f aca="false">AE39*(CEG_Assets!$AD$2+CEG_PPAAdj)/1000000*(1+CEG_RevAdj)</f>
        <v>0</v>
      </c>
      <c r="AF45" s="8" t="n">
        <f aca="false">AF39*(CEG_Assets!$AD$2+CEG_PPAAdj)/1000000*(1+CEG_RevAdj)</f>
        <v>0</v>
      </c>
      <c r="AG45" s="8" t="n">
        <f aca="false">AG39*(CEG_Assets!$AD$2+CEG_PPAAdj)/1000000*(1+CEG_RevAdj)</f>
        <v>0</v>
      </c>
      <c r="AH45" s="8" t="n">
        <f aca="false">AH39*(CEG_Assets!$AD$2+CEG_PPAAdj)/1000000*(1+CEG_RevAdj)</f>
        <v>0</v>
      </c>
      <c r="AI45" s="8" t="n">
        <f aca="false">AI39*(CEG_Assets!$AD$2+CEG_PPAAdj)/1000000*(1+CEG_RevAdj)</f>
        <v>0</v>
      </c>
      <c r="AJ45" s="8" t="n">
        <f aca="false">AJ39*(CEG_Assets!$AD$2+CEG_PPAAdj)/1000000*(1+CEG_RevAdj)</f>
        <v>0</v>
      </c>
      <c r="AK45" s="8" t="n">
        <f aca="false">AK39*(CEG_Assets!$AD$2+CEG_PPAAdj)/1000000*(1+CEG_RevAdj)</f>
        <v>0</v>
      </c>
      <c r="AL45" s="8" t="n">
        <f aca="false">AL39*(CEG_Assets!$AD$2+CEG_PPAAdj)/1000000*(1+CEG_RevAdj)</f>
        <v>0</v>
      </c>
      <c r="AM45" s="8" t="n">
        <f aca="false">AM39*(CEG_Assets!$AD$2+CEG_PPAAdj)/1000000*(1+CEG_RevAdj)</f>
        <v>0</v>
      </c>
      <c r="AN45" s="8" t="n">
        <f aca="false">AN39*(CEG_Assets!$AD$2+CEG_PPAAdj)/1000000*(1+CEG_RevAdj)</f>
        <v>0</v>
      </c>
      <c r="AO45" s="8" t="n">
        <f aca="false">AO39*(CEG_Assets!$AD$2+CEG_PPAAdj)/1000000*(1+CEG_RevAdj)</f>
        <v>0</v>
      </c>
      <c r="AP45" s="8" t="n">
        <f aca="false">AP39*(CEG_Assets!$AD$2+CEG_PPAAdj)/1000000*(1+CEG_RevAdj)</f>
        <v>0</v>
      </c>
      <c r="AQ45" s="8" t="n">
        <f aca="false">AQ39*(CEG_Assets!$AD$2+CEG_PPAAdj)/1000000*(1+CEG_RevAdj)</f>
        <v>0</v>
      </c>
      <c r="AR45" s="8" t="n">
        <f aca="false">AR39*(CEG_Assets!$AD$2+CEG_PPAAdj)/1000000*(1+CEG_RevAdj)</f>
        <v>0</v>
      </c>
      <c r="AS45" s="8" t="n">
        <f aca="false">AS39*(CEG_Assets!$AD$2+CEG_PPAAdj)/1000000*(1+CEG_RevAdj)</f>
        <v>0</v>
      </c>
    </row>
    <row r="46" customFormat="false" ht="15" hidden="false" customHeight="false" outlineLevel="0" collapsed="false">
      <c r="A46" s="6" t="s">
        <v>445</v>
      </c>
      <c r="B46" s="6" t="s">
        <v>446</v>
      </c>
      <c r="C46" s="9" t="n">
        <f aca="false">SUM(G46:AS46)</f>
        <v>0</v>
      </c>
      <c r="G46" s="8" t="n">
        <f aca="false">IF(G$3&lt;=CEG_Assets!$V$2,G38*CEG_Assets!$U$2,0)/1000000*(1+CEG_RevAdj)</f>
        <v>0</v>
      </c>
      <c r="H46" s="8" t="n">
        <f aca="false">IF(H$3&lt;=CEG_Assets!$V$2,H38*CEG_Assets!$U$2,0)/1000000*(1+CEG_RevAdj)</f>
        <v>0</v>
      </c>
      <c r="I46" s="8" t="n">
        <f aca="false">IF(I$3&lt;=CEG_Assets!$V$2,I38*CEG_Assets!$U$2,0)/1000000*(1+CEG_RevAdj)</f>
        <v>0</v>
      </c>
      <c r="J46" s="8" t="n">
        <f aca="false">IF(J$3&lt;=CEG_Assets!$V$2,J38*CEG_Assets!$U$2,0)/1000000*(1+CEG_RevAdj)</f>
        <v>0</v>
      </c>
      <c r="K46" s="8" t="n">
        <f aca="false">IF(K$3&lt;=CEG_Assets!$V$2,K38*CEG_Assets!$U$2,0)/1000000*(1+CEG_RevAdj)</f>
        <v>0</v>
      </c>
      <c r="L46" s="8" t="n">
        <f aca="false">IF(L$3&lt;=CEG_Assets!$V$2,L38*CEG_Assets!$U$2,0)/1000000*(1+CEG_RevAdj)</f>
        <v>0</v>
      </c>
      <c r="M46" s="8" t="n">
        <f aca="false">IF(M$3&lt;=CEG_Assets!$V$2,M38*CEG_Assets!$U$2,0)/1000000*(1+CEG_RevAdj)</f>
        <v>0</v>
      </c>
      <c r="N46" s="8" t="n">
        <f aca="false">IF(N$3&lt;=CEG_Assets!$V$2,N38*CEG_Assets!$U$2,0)/1000000*(1+CEG_RevAdj)</f>
        <v>0</v>
      </c>
      <c r="O46" s="8" t="n">
        <f aca="false">IF(O$3&lt;=CEG_Assets!$V$2,O38*CEG_Assets!$U$2,0)/1000000*(1+CEG_RevAdj)</f>
        <v>0</v>
      </c>
      <c r="P46" s="8" t="n">
        <f aca="false">IF(P$3&lt;=CEG_Assets!$V$2,P38*CEG_Assets!$U$2,0)/1000000*(1+CEG_RevAdj)</f>
        <v>0</v>
      </c>
      <c r="Q46" s="8" t="n">
        <f aca="false">IF(Q$3&lt;=CEG_Assets!$V$2,Q38*CEG_Assets!$U$2,0)/1000000*(1+CEG_RevAdj)</f>
        <v>0</v>
      </c>
      <c r="R46" s="8" t="n">
        <f aca="false">IF(R$3&lt;=CEG_Assets!$V$2,R38*CEG_Assets!$U$2,0)/1000000*(1+CEG_RevAdj)</f>
        <v>0</v>
      </c>
      <c r="S46" s="8" t="n">
        <f aca="false">IF(S$3&lt;=CEG_Assets!$V$2,S38*CEG_Assets!$U$2,0)/1000000*(1+CEG_RevAdj)</f>
        <v>0</v>
      </c>
      <c r="T46" s="8" t="n">
        <f aca="false">IF(T$3&lt;=CEG_Assets!$V$2,T38*CEG_Assets!$U$2,0)/1000000*(1+CEG_RevAdj)</f>
        <v>0</v>
      </c>
      <c r="U46" s="8" t="n">
        <f aca="false">IF(U$3&lt;=CEG_Assets!$V$2,U38*CEG_Assets!$U$2,0)/1000000*(1+CEG_RevAdj)</f>
        <v>0</v>
      </c>
      <c r="V46" s="8" t="n">
        <f aca="false">IF(V$3&lt;=CEG_Assets!$V$2,V38*CEG_Assets!$U$2,0)/1000000*(1+CEG_RevAdj)</f>
        <v>0</v>
      </c>
      <c r="W46" s="8" t="n">
        <f aca="false">IF(W$3&lt;=CEG_Assets!$V$2,W38*CEG_Assets!$U$2,0)/1000000*(1+CEG_RevAdj)</f>
        <v>0</v>
      </c>
      <c r="X46" s="8" t="n">
        <f aca="false">IF(X$3&lt;=CEG_Assets!$V$2,X38*CEG_Assets!$U$2,0)/1000000*(1+CEG_RevAdj)</f>
        <v>0</v>
      </c>
      <c r="Y46" s="8" t="n">
        <f aca="false">IF(Y$3&lt;=CEG_Assets!$V$2,Y38*CEG_Assets!$U$2,0)/1000000*(1+CEG_RevAdj)</f>
        <v>0</v>
      </c>
      <c r="Z46" s="8" t="n">
        <f aca="false">IF(Z$3&lt;=CEG_Assets!$V$2,Z38*CEG_Assets!$U$2,0)/1000000*(1+CEG_RevAdj)</f>
        <v>0</v>
      </c>
      <c r="AA46" s="8" t="n">
        <f aca="false">IF(AA$3&lt;=CEG_Assets!$V$2,AA38*CEG_Assets!$U$2,0)/1000000*(1+CEG_RevAdj)</f>
        <v>0</v>
      </c>
      <c r="AB46" s="8" t="n">
        <f aca="false">IF(AB$3&lt;=CEG_Assets!$V$2,AB38*CEG_Assets!$U$2,0)/1000000*(1+CEG_RevAdj)</f>
        <v>0</v>
      </c>
      <c r="AC46" s="8" t="n">
        <f aca="false">IF(AC$3&lt;=CEG_Assets!$V$2,AC38*CEG_Assets!$U$2,0)/1000000*(1+CEG_RevAdj)</f>
        <v>0</v>
      </c>
      <c r="AD46" s="8" t="n">
        <f aca="false">IF(AD$3&lt;=CEG_Assets!$V$2,AD38*CEG_Assets!$U$2,0)/1000000*(1+CEG_RevAdj)</f>
        <v>0</v>
      </c>
      <c r="AE46" s="8" t="n">
        <f aca="false">IF(AE$3&lt;=CEG_Assets!$V$2,AE38*CEG_Assets!$U$2,0)/1000000*(1+CEG_RevAdj)</f>
        <v>0</v>
      </c>
      <c r="AF46" s="8" t="n">
        <f aca="false">IF(AF$3&lt;=CEG_Assets!$V$2,AF38*CEG_Assets!$U$2,0)/1000000*(1+CEG_RevAdj)</f>
        <v>0</v>
      </c>
      <c r="AG46" s="8" t="n">
        <f aca="false">IF(AG$3&lt;=CEG_Assets!$V$2,AG38*CEG_Assets!$U$2,0)/1000000*(1+CEG_RevAdj)</f>
        <v>0</v>
      </c>
      <c r="AH46" s="8" t="n">
        <f aca="false">IF(AH$3&lt;=CEG_Assets!$V$2,AH38*CEG_Assets!$U$2,0)/1000000*(1+CEG_RevAdj)</f>
        <v>0</v>
      </c>
      <c r="AI46" s="8" t="n">
        <f aca="false">IF(AI$3&lt;=CEG_Assets!$V$2,AI38*CEG_Assets!$U$2,0)/1000000*(1+CEG_RevAdj)</f>
        <v>0</v>
      </c>
      <c r="AJ46" s="8" t="n">
        <f aca="false">IF(AJ$3&lt;=CEG_Assets!$V$2,AJ38*CEG_Assets!$U$2,0)/1000000*(1+CEG_RevAdj)</f>
        <v>0</v>
      </c>
      <c r="AK46" s="8" t="n">
        <f aca="false">IF(AK$3&lt;=CEG_Assets!$V$2,AK38*CEG_Assets!$U$2,0)/1000000*(1+CEG_RevAdj)</f>
        <v>0</v>
      </c>
      <c r="AL46" s="8" t="n">
        <f aca="false">IF(AL$3&lt;=CEG_Assets!$V$2,AL38*CEG_Assets!$U$2,0)/1000000*(1+CEG_RevAdj)</f>
        <v>0</v>
      </c>
      <c r="AM46" s="8" t="n">
        <f aca="false">IF(AM$3&lt;=CEG_Assets!$V$2,AM38*CEG_Assets!$U$2,0)/1000000*(1+CEG_RevAdj)</f>
        <v>0</v>
      </c>
      <c r="AN46" s="8" t="n">
        <f aca="false">IF(AN$3&lt;=CEG_Assets!$V$2,AN38*CEG_Assets!$U$2,0)/1000000*(1+CEG_RevAdj)</f>
        <v>0</v>
      </c>
      <c r="AO46" s="8" t="n">
        <f aca="false">IF(AO$3&lt;=CEG_Assets!$V$2,AO38*CEG_Assets!$U$2,0)/1000000*(1+CEG_RevAdj)</f>
        <v>0</v>
      </c>
      <c r="AP46" s="8" t="n">
        <f aca="false">IF(AP$3&lt;=CEG_Assets!$V$2,AP38*CEG_Assets!$U$2,0)/1000000*(1+CEG_RevAdj)</f>
        <v>0</v>
      </c>
      <c r="AQ46" s="8" t="n">
        <f aca="false">IF(AQ$3&lt;=CEG_Assets!$V$2,AQ38*CEG_Assets!$U$2,0)/1000000*(1+CEG_RevAdj)</f>
        <v>0</v>
      </c>
      <c r="AR46" s="8" t="n">
        <f aca="false">IF(AR$3&lt;=CEG_Assets!$V$2,AR38*CEG_Assets!$U$2,0)/1000000*(1+CEG_RevAdj)</f>
        <v>0</v>
      </c>
      <c r="AS46" s="8" t="n">
        <f aca="false">IF(AS$3&lt;=CEG_Assets!$V$2,AS38*CEG_Assets!$U$2,0)/1000000*(1+CEG_RevAdj)</f>
        <v>0</v>
      </c>
    </row>
    <row r="47" customFormat="false" ht="15" hidden="false" customHeight="false" outlineLevel="0" collapsed="false">
      <c r="A47" s="6" t="s">
        <v>447</v>
      </c>
      <c r="B47" s="6" t="s">
        <v>448</v>
      </c>
      <c r="C47" s="9" t="n">
        <f aca="false">SUM(G47:AS47)</f>
        <v>146276.812089775</v>
      </c>
      <c r="G47" s="8" t="n">
        <f aca="false">G43+G44+G45+G46</f>
        <v>4493.47093939</v>
      </c>
      <c r="H47" s="8" t="n">
        <f aca="false">H43+H44+H45+H46</f>
        <v>4538.60888996</v>
      </c>
      <c r="I47" s="8" t="n">
        <f aca="false">I43+I44+I45+I46</f>
        <v>4110.36617846264</v>
      </c>
      <c r="J47" s="8" t="n">
        <f aca="false">J43+J44+J45+J46</f>
        <v>3953.98826506683</v>
      </c>
      <c r="K47" s="8" t="n">
        <f aca="false">K43+K44+K45+K46</f>
        <v>4033.06803036816</v>
      </c>
      <c r="L47" s="8" t="n">
        <f aca="false">L43+L44+L45+L46</f>
        <v>4113.72939097553</v>
      </c>
      <c r="M47" s="8" t="n">
        <f aca="false">M43+M44+M45+M46</f>
        <v>4196.00397879504</v>
      </c>
      <c r="N47" s="8" t="n">
        <f aca="false">N43+N44+N45+N46</f>
        <v>4279.92405837094</v>
      </c>
      <c r="O47" s="8" t="n">
        <f aca="false">O43+O44+O45+O46</f>
        <v>4365.52253953836</v>
      </c>
      <c r="P47" s="8" t="n">
        <f aca="false">P43+P44+P45+P46</f>
        <v>4452.83299032912</v>
      </c>
      <c r="Q47" s="8" t="n">
        <f aca="false">Q43+Q44+Q45+Q46</f>
        <v>4541.88965013571</v>
      </c>
      <c r="R47" s="8" t="n">
        <f aca="false">R43+R44+R45+R46</f>
        <v>4632.72744313842</v>
      </c>
      <c r="S47" s="8" t="n">
        <f aca="false">S43+S44+S45+S46</f>
        <v>4725.38199200119</v>
      </c>
      <c r="T47" s="8" t="n">
        <f aca="false">T43+T44+T45+T46</f>
        <v>4819.88963184121</v>
      </c>
      <c r="U47" s="8" t="n">
        <f aca="false">U43+U44+U45+U46</f>
        <v>4916.28742447804</v>
      </c>
      <c r="V47" s="8" t="n">
        <f aca="false">V43+V44+V45+V46</f>
        <v>5014.6131729676</v>
      </c>
      <c r="W47" s="8" t="n">
        <f aca="false">W43+W44+W45+W46</f>
        <v>5114.90543642695</v>
      </c>
      <c r="X47" s="8" t="n">
        <f aca="false">X43+X44+X45+X46</f>
        <v>5217.20354515549</v>
      </c>
      <c r="Y47" s="8" t="n">
        <f aca="false">Y43+Y44+Y45+Y46</f>
        <v>5321.5476160586</v>
      </c>
      <c r="Z47" s="8" t="n">
        <f aca="false">Z43+Z44+Z45+Z46</f>
        <v>5427.97856837977</v>
      </c>
      <c r="AA47" s="8" t="n">
        <f aca="false">AA43+AA44+AA45+AA46</f>
        <v>5536.53813974737</v>
      </c>
      <c r="AB47" s="8" t="n">
        <f aca="false">AB43+AB44+AB45+AB46</f>
        <v>5647.26890254232</v>
      </c>
      <c r="AC47" s="8" t="n">
        <f aca="false">AC43+AC44+AC45+AC46</f>
        <v>5760.21428059316</v>
      </c>
      <c r="AD47" s="8" t="n">
        <f aca="false">AD43+AD44+AD45+AD46</f>
        <v>5875.41856620503</v>
      </c>
      <c r="AE47" s="8" t="n">
        <f aca="false">AE43+AE44+AE45+AE46</f>
        <v>5992.92693752912</v>
      </c>
      <c r="AF47" s="8" t="n">
        <f aca="false">AF43+AF44+AF45+AF46</f>
        <v>6112.78547627971</v>
      </c>
      <c r="AG47" s="8" t="n">
        <f aca="false">AG43+AG44+AG45+AG46</f>
        <v>6235.0411858053</v>
      </c>
      <c r="AH47" s="8" t="n">
        <f aca="false">AH43+AH44+AH45+AH46</f>
        <v>6359.74200952141</v>
      </c>
      <c r="AI47" s="8" t="n">
        <f aca="false">AI43+AI44+AI45+AI46</f>
        <v>6486.93684971184</v>
      </c>
      <c r="AJ47" s="8" t="n">
        <f aca="false">AJ43+AJ44+AJ45+AJ46</f>
        <v>0</v>
      </c>
      <c r="AK47" s="8" t="n">
        <f aca="false">AK43+AK44+AK45+AK46</f>
        <v>0</v>
      </c>
      <c r="AL47" s="8" t="n">
        <f aca="false">AL43+AL44+AL45+AL46</f>
        <v>0</v>
      </c>
      <c r="AM47" s="8" t="n">
        <f aca="false">AM43+AM44+AM45+AM46</f>
        <v>0</v>
      </c>
      <c r="AN47" s="8" t="n">
        <f aca="false">AN43+AN44+AN45+AN46</f>
        <v>0</v>
      </c>
      <c r="AO47" s="8" t="n">
        <f aca="false">AO43+AO44+AO45+AO46</f>
        <v>0</v>
      </c>
      <c r="AP47" s="8" t="n">
        <f aca="false">AP43+AP44+AP45+AP46</f>
        <v>0</v>
      </c>
      <c r="AQ47" s="8" t="n">
        <f aca="false">AQ43+AQ44+AQ45+AQ46</f>
        <v>0</v>
      </c>
      <c r="AR47" s="8" t="n">
        <f aca="false">AR43+AR44+AR45+AR46</f>
        <v>0</v>
      </c>
      <c r="AS47" s="8" t="n">
        <f aca="false">AS43+AS44+AS45+AS46</f>
        <v>0</v>
      </c>
    </row>
    <row r="48" customFormat="false" ht="15" hidden="false" customHeight="false" outlineLevel="0" collapsed="false">
      <c r="A48" s="6" t="s">
        <v>449</v>
      </c>
      <c r="B48" s="6" t="s">
        <v>450</v>
      </c>
      <c r="C48" s="9" t="n">
        <f aca="false">SUM(G48:AS48)</f>
        <v>12427.2214099114</v>
      </c>
      <c r="G48" s="8" t="n">
        <f aca="false">((CEG_Assets!$K$2*G40+CEG_Assets!$M$2*G$4)*G38*G42+CEG_Assets!$N$2*(1+CEG_Assets!$Q$2)^(G$3-2026)*(G38+G39))/1000000*(1+CEG_FuelAdj)</f>
        <v>296.902083225</v>
      </c>
      <c r="H48" s="8" t="n">
        <f aca="false">((CEG_Assets!$K$2*H40+CEG_Assets!$M$2*H$4)*H38*H42+CEG_Assets!$N$2*(1+CEG_Assets!$Q$2)^(H$3-2026)*(H38+H39))/1000000*(1+CEG_FuelAdj)</f>
        <v>304.324635305625</v>
      </c>
      <c r="I48" s="8" t="n">
        <f aca="false">((CEG_Assets!$K$2*I40+CEG_Assets!$M$2*I$4)*I38*I42+CEG_Assets!$N$2*(1+CEG_Assets!$Q$2)^(I$3-2026)*(I38+I39))/1000000*(1+CEG_FuelAdj)</f>
        <v>311.932751188266</v>
      </c>
      <c r="J48" s="8" t="n">
        <f aca="false">((CEG_Assets!$K$2*J40+CEG_Assets!$M$2*J$4)*J38*J42+CEG_Assets!$N$2*(1+CEG_Assets!$Q$2)^(J$3-2026)*(J38+J39))/1000000*(1+CEG_FuelAdj)</f>
        <v>319.731069967972</v>
      </c>
      <c r="K48" s="8" t="n">
        <f aca="false">((CEG_Assets!$K$2*K40+CEG_Assets!$M$2*K$4)*K38*K42+CEG_Assets!$N$2*(1+CEG_Assets!$Q$2)^(K$3-2026)*(K38+K39))/1000000*(1+CEG_FuelAdj)</f>
        <v>327.724346717171</v>
      </c>
      <c r="L48" s="8" t="n">
        <f aca="false">((CEG_Assets!$K$2*L40+CEG_Assets!$M$2*L$4)*L38*L42+CEG_Assets!$N$2*(1+CEG_Assets!$Q$2)^(L$3-2026)*(L38+L39))/1000000*(1+CEG_FuelAdj)</f>
        <v>335.917455385101</v>
      </c>
      <c r="M48" s="8" t="n">
        <f aca="false">((CEG_Assets!$K$2*M40+CEG_Assets!$M$2*M$4)*M38*M42+CEG_Assets!$N$2*(1+CEG_Assets!$Q$2)^(M$3-2026)*(M38+M39))/1000000*(1+CEG_FuelAdj)</f>
        <v>344.315391769728</v>
      </c>
      <c r="N48" s="8" t="n">
        <f aca="false">((CEG_Assets!$K$2*N40+CEG_Assets!$M$2*N$4)*N38*N42+CEG_Assets!$N$2*(1+CEG_Assets!$Q$2)^(N$3-2026)*(N38+N39))/1000000*(1+CEG_FuelAdj)</f>
        <v>352.923276563971</v>
      </c>
      <c r="O48" s="8" t="n">
        <f aca="false">((CEG_Assets!$K$2*O40+CEG_Assets!$M$2*O$4)*O38*O42+CEG_Assets!$N$2*(1+CEG_Assets!$Q$2)^(O$3-2026)*(O38+O39))/1000000*(1+CEG_FuelAdj)</f>
        <v>361.746358478071</v>
      </c>
      <c r="P48" s="8" t="n">
        <f aca="false">((CEG_Assets!$K$2*P40+CEG_Assets!$M$2*P$4)*P38*P42+CEG_Assets!$N$2*(1+CEG_Assets!$Q$2)^(P$3-2026)*(P38+P39))/1000000*(1+CEG_FuelAdj)</f>
        <v>370.790017440022</v>
      </c>
      <c r="Q48" s="8" t="n">
        <f aca="false">((CEG_Assets!$K$2*Q40+CEG_Assets!$M$2*Q$4)*Q38*Q42+CEG_Assets!$N$2*(1+CEG_Assets!$Q$2)^(Q$3-2026)*(Q38+Q39))/1000000*(1+CEG_FuelAdj)</f>
        <v>380.059767876023</v>
      </c>
      <c r="R48" s="8" t="n">
        <f aca="false">((CEG_Assets!$K$2*R40+CEG_Assets!$M$2*R$4)*R38*R42+CEG_Assets!$N$2*(1+CEG_Assets!$Q$2)^(R$3-2026)*(R38+R39))/1000000*(1+CEG_FuelAdj)</f>
        <v>389.561262072923</v>
      </c>
      <c r="S48" s="8" t="n">
        <f aca="false">((CEG_Assets!$K$2*S40+CEG_Assets!$M$2*S$4)*S38*S42+CEG_Assets!$N$2*(1+CEG_Assets!$Q$2)^(S$3-2026)*(S38+S39))/1000000*(1+CEG_FuelAdj)</f>
        <v>399.300293624746</v>
      </c>
      <c r="T48" s="8" t="n">
        <f aca="false">((CEG_Assets!$K$2*T40+CEG_Assets!$M$2*T$4)*T38*T42+CEG_Assets!$N$2*(1+CEG_Assets!$Q$2)^(T$3-2026)*(T38+T39))/1000000*(1+CEG_FuelAdj)</f>
        <v>409.282800965365</v>
      </c>
      <c r="U48" s="8" t="n">
        <f aca="false">((CEG_Assets!$K$2*U40+CEG_Assets!$M$2*U$4)*U38*U42+CEG_Assets!$N$2*(1+CEG_Assets!$Q$2)^(U$3-2026)*(U38+U39))/1000000*(1+CEG_FuelAdj)</f>
        <v>419.514870989499</v>
      </c>
      <c r="V48" s="8" t="n">
        <f aca="false">((CEG_Assets!$K$2*V40+CEG_Assets!$M$2*V$4)*V38*V42+CEG_Assets!$N$2*(1+CEG_Assets!$Q$2)^(V$3-2026)*(V38+V39))/1000000*(1+CEG_FuelAdj)</f>
        <v>430.002742764237</v>
      </c>
      <c r="W48" s="8" t="n">
        <f aca="false">((CEG_Assets!$K$2*W40+CEG_Assets!$M$2*W$4)*W38*W42+CEG_Assets!$N$2*(1+CEG_Assets!$Q$2)^(W$3-2026)*(W38+W39))/1000000*(1+CEG_FuelAdj)</f>
        <v>440.752811333342</v>
      </c>
      <c r="X48" s="8" t="n">
        <f aca="false">((CEG_Assets!$K$2*X40+CEG_Assets!$M$2*X$4)*X38*X42+CEG_Assets!$N$2*(1+CEG_Assets!$Q$2)^(X$3-2026)*(X38+X39))/1000000*(1+CEG_FuelAdj)</f>
        <v>451.771631616676</v>
      </c>
      <c r="Y48" s="8" t="n">
        <f aca="false">((CEG_Assets!$K$2*Y40+CEG_Assets!$M$2*Y$4)*Y38*Y42+CEG_Assets!$N$2*(1+CEG_Assets!$Q$2)^(Y$3-2026)*(Y38+Y39))/1000000*(1+CEG_FuelAdj)</f>
        <v>463.065922407093</v>
      </c>
      <c r="Z48" s="8" t="n">
        <f aca="false">((CEG_Assets!$K$2*Z40+CEG_Assets!$M$2*Z$4)*Z38*Z42+CEG_Assets!$N$2*(1+CEG_Assets!$Q$2)^(Z$3-2026)*(Z38+Z39))/1000000*(1+CEG_FuelAdj)</f>
        <v>474.64257046727</v>
      </c>
      <c r="AA48" s="8" t="n">
        <f aca="false">((CEG_Assets!$K$2*AA40+CEG_Assets!$M$2*AA$4)*AA38*AA42+CEG_Assets!$N$2*(1+CEG_Assets!$Q$2)^(AA$3-2026)*(AA38+AA39))/1000000*(1+CEG_FuelAdj)</f>
        <v>486.508634728952</v>
      </c>
      <c r="AB48" s="8" t="n">
        <f aca="false">((CEG_Assets!$K$2*AB40+CEG_Assets!$M$2*AB$4)*AB38*AB42+CEG_Assets!$N$2*(1+CEG_Assets!$Q$2)^(AB$3-2026)*(AB38+AB39))/1000000*(1+CEG_FuelAdj)</f>
        <v>498.671350597176</v>
      </c>
      <c r="AC48" s="8" t="n">
        <f aca="false">((CEG_Assets!$K$2*AC40+CEG_Assets!$M$2*AC$4)*AC38*AC42+CEG_Assets!$N$2*(1+CEG_Assets!$Q$2)^(AC$3-2026)*(AC38+AC39))/1000000*(1+CEG_FuelAdj)</f>
        <v>511.138134362105</v>
      </c>
      <c r="AD48" s="8" t="n">
        <f aca="false">((CEG_Assets!$K$2*AD40+CEG_Assets!$M$2*AD$4)*AD38*AD42+CEG_Assets!$N$2*(1+CEG_Assets!$Q$2)^(AD$3-2026)*(AD38+AD39))/1000000*(1+CEG_FuelAdj)</f>
        <v>523.916587721158</v>
      </c>
      <c r="AE48" s="8" t="n">
        <f aca="false">((CEG_Assets!$K$2*AE40+CEG_Assets!$M$2*AE$4)*AE38*AE42+CEG_Assets!$N$2*(1+CEG_Assets!$Q$2)^(AE$3-2026)*(AE38+AE39))/1000000*(1+CEG_FuelAdj)</f>
        <v>537.014502414187</v>
      </c>
      <c r="AF48" s="8" t="n">
        <f aca="false">((CEG_Assets!$K$2*AF40+CEG_Assets!$M$2*AF$4)*AF38*AF42+CEG_Assets!$N$2*(1+CEG_Assets!$Q$2)^(AF$3-2026)*(AF38+AF39))/1000000*(1+CEG_FuelAdj)</f>
        <v>550.439864974541</v>
      </c>
      <c r="AG48" s="8" t="n">
        <f aca="false">((CEG_Assets!$K$2*AG40+CEG_Assets!$M$2*AG$4)*AG38*AG42+CEG_Assets!$N$2*(1+CEG_Assets!$Q$2)^(AG$3-2026)*(AG38+AG39))/1000000*(1+CEG_FuelAdj)</f>
        <v>564.200861598905</v>
      </c>
      <c r="AH48" s="8" t="n">
        <f aca="false">((CEG_Assets!$K$2*AH40+CEG_Assets!$M$2*AH$4)*AH38*AH42+CEG_Assets!$N$2*(1+CEG_Assets!$Q$2)^(AH$3-2026)*(AH38+AH39))/1000000*(1+CEG_FuelAdj)</f>
        <v>578.305883138877</v>
      </c>
      <c r="AI48" s="8" t="n">
        <f aca="false">((CEG_Assets!$K$2*AI40+CEG_Assets!$M$2*AI$4)*AI38*AI42+CEG_Assets!$N$2*(1+CEG_Assets!$Q$2)^(AI$3-2026)*(AI38+AI39))/1000000*(1+CEG_FuelAdj)</f>
        <v>592.763530217349</v>
      </c>
      <c r="AJ48" s="8" t="n">
        <f aca="false">((CEG_Assets!$K$2*AJ40+CEG_Assets!$M$2*AJ$4)*AJ38*AJ42+CEG_Assets!$N$2*(1+CEG_Assets!$Q$2)^(AJ$3-2026)*(AJ38+AJ39))/1000000*(1+CEG_FuelAdj)</f>
        <v>0</v>
      </c>
      <c r="AK48" s="8" t="n">
        <f aca="false">((CEG_Assets!$K$2*AK40+CEG_Assets!$M$2*AK$4)*AK38*AK42+CEG_Assets!$N$2*(1+CEG_Assets!$Q$2)^(AK$3-2026)*(AK38+AK39))/1000000*(1+CEG_FuelAdj)</f>
        <v>0</v>
      </c>
      <c r="AL48" s="8" t="n">
        <f aca="false">((CEG_Assets!$K$2*AL40+CEG_Assets!$M$2*AL$4)*AL38*AL42+CEG_Assets!$N$2*(1+CEG_Assets!$Q$2)^(AL$3-2026)*(AL38+AL39))/1000000*(1+CEG_FuelAdj)</f>
        <v>0</v>
      </c>
      <c r="AM48" s="8" t="n">
        <f aca="false">((CEG_Assets!$K$2*AM40+CEG_Assets!$M$2*AM$4)*AM38*AM42+CEG_Assets!$N$2*(1+CEG_Assets!$Q$2)^(AM$3-2026)*(AM38+AM39))/1000000*(1+CEG_FuelAdj)</f>
        <v>0</v>
      </c>
      <c r="AN48" s="8" t="n">
        <f aca="false">((CEG_Assets!$K$2*AN40+CEG_Assets!$M$2*AN$4)*AN38*AN42+CEG_Assets!$N$2*(1+CEG_Assets!$Q$2)^(AN$3-2026)*(AN38+AN39))/1000000*(1+CEG_FuelAdj)</f>
        <v>0</v>
      </c>
      <c r="AO48" s="8" t="n">
        <f aca="false">((CEG_Assets!$K$2*AO40+CEG_Assets!$M$2*AO$4)*AO38*AO42+CEG_Assets!$N$2*(1+CEG_Assets!$Q$2)^(AO$3-2026)*(AO38+AO39))/1000000*(1+CEG_FuelAdj)</f>
        <v>0</v>
      </c>
      <c r="AP48" s="8" t="n">
        <f aca="false">((CEG_Assets!$K$2*AP40+CEG_Assets!$M$2*AP$4)*AP38*AP42+CEG_Assets!$N$2*(1+CEG_Assets!$Q$2)^(AP$3-2026)*(AP38+AP39))/1000000*(1+CEG_FuelAdj)</f>
        <v>0</v>
      </c>
      <c r="AQ48" s="8" t="n">
        <f aca="false">((CEG_Assets!$K$2*AQ40+CEG_Assets!$M$2*AQ$4)*AQ38*AQ42+CEG_Assets!$N$2*(1+CEG_Assets!$Q$2)^(AQ$3-2026)*(AQ38+AQ39))/1000000*(1+CEG_FuelAdj)</f>
        <v>0</v>
      </c>
      <c r="AR48" s="8" t="n">
        <f aca="false">((CEG_Assets!$K$2*AR40+CEG_Assets!$M$2*AR$4)*AR38*AR42+CEG_Assets!$N$2*(1+CEG_Assets!$Q$2)^(AR$3-2026)*(AR38+AR39))/1000000*(1+CEG_FuelAdj)</f>
        <v>0</v>
      </c>
      <c r="AS48" s="8" t="n">
        <f aca="false">((CEG_Assets!$K$2*AS40+CEG_Assets!$M$2*AS$4)*AS38*AS42+CEG_Assets!$N$2*(1+CEG_Assets!$Q$2)^(AS$3-2026)*(AS38+AS39))/1000000*(1+CEG_FuelAdj)</f>
        <v>0</v>
      </c>
    </row>
    <row r="49" customFormat="false" ht="15" hidden="false" customHeight="false" outlineLevel="0" collapsed="false">
      <c r="A49" s="6" t="s">
        <v>451</v>
      </c>
      <c r="B49" s="6" t="s">
        <v>452</v>
      </c>
      <c r="C49" s="9" t="n">
        <f aca="false">SUM(G49:AS49)</f>
        <v>133849.590679864</v>
      </c>
      <c r="G49" s="8" t="n">
        <f aca="false">G47-G48</f>
        <v>4196.568856165</v>
      </c>
      <c r="H49" s="8" t="n">
        <f aca="false">H47-H48</f>
        <v>4234.28425465438</v>
      </c>
      <c r="I49" s="8" t="n">
        <f aca="false">I47-I48</f>
        <v>3798.43342727438</v>
      </c>
      <c r="J49" s="8" t="n">
        <f aca="false">J47-J48</f>
        <v>3634.25719509885</v>
      </c>
      <c r="K49" s="8" t="n">
        <f aca="false">K47-K48</f>
        <v>3705.34368365099</v>
      </c>
      <c r="L49" s="8" t="n">
        <f aca="false">L47-L48</f>
        <v>3777.81193559043</v>
      </c>
      <c r="M49" s="8" t="n">
        <f aca="false">M47-M48</f>
        <v>3851.68858702531</v>
      </c>
      <c r="N49" s="8" t="n">
        <f aca="false">N47-N48</f>
        <v>3927.00078180697</v>
      </c>
      <c r="O49" s="8" t="n">
        <f aca="false">O47-O48</f>
        <v>4003.77618106029</v>
      </c>
      <c r="P49" s="8" t="n">
        <f aca="false">P47-P48</f>
        <v>4082.0429728891</v>
      </c>
      <c r="Q49" s="8" t="n">
        <f aca="false">Q47-Q48</f>
        <v>4161.82988225968</v>
      </c>
      <c r="R49" s="8" t="n">
        <f aca="false">R47-R48</f>
        <v>4243.1661810655</v>
      </c>
      <c r="S49" s="8" t="n">
        <f aca="false">S47-S48</f>
        <v>4326.08169837644</v>
      </c>
      <c r="T49" s="8" t="n">
        <f aca="false">T47-T48</f>
        <v>4410.60683087585</v>
      </c>
      <c r="U49" s="8" t="n">
        <f aca="false">U47-U48</f>
        <v>4496.77255348854</v>
      </c>
      <c r="V49" s="8" t="n">
        <f aca="false">V47-V48</f>
        <v>4584.61043020336</v>
      </c>
      <c r="W49" s="8" t="n">
        <f aca="false">W47-W48</f>
        <v>4674.15262509361</v>
      </c>
      <c r="X49" s="8" t="n">
        <f aca="false">X47-X48</f>
        <v>4765.43191353881</v>
      </c>
      <c r="Y49" s="8" t="n">
        <f aca="false">Y47-Y48</f>
        <v>4858.48169365151</v>
      </c>
      <c r="Z49" s="8" t="n">
        <f aca="false">Z47-Z48</f>
        <v>4953.3359979125</v>
      </c>
      <c r="AA49" s="8" t="n">
        <f aca="false">AA47-AA48</f>
        <v>5050.02950501842</v>
      </c>
      <c r="AB49" s="8" t="n">
        <f aca="false">AB47-AB48</f>
        <v>5148.59755194514</v>
      </c>
      <c r="AC49" s="8" t="n">
        <f aca="false">AC47-AC48</f>
        <v>5249.07614623106</v>
      </c>
      <c r="AD49" s="8" t="n">
        <f aca="false">AD47-AD48</f>
        <v>5351.50197848387</v>
      </c>
      <c r="AE49" s="8" t="n">
        <f aca="false">AE47-AE48</f>
        <v>5455.91243511494</v>
      </c>
      <c r="AF49" s="8" t="n">
        <f aca="false">AF47-AF48</f>
        <v>5562.34561130517</v>
      </c>
      <c r="AG49" s="8" t="n">
        <f aca="false">AG47-AG48</f>
        <v>5670.8403242064</v>
      </c>
      <c r="AH49" s="8" t="n">
        <f aca="false">AH47-AH48</f>
        <v>5781.43612638253</v>
      </c>
      <c r="AI49" s="8" t="n">
        <f aca="false">AI47-AI48</f>
        <v>5894.17331949449</v>
      </c>
      <c r="AJ49" s="8" t="n">
        <f aca="false">AJ47-AJ48</f>
        <v>0</v>
      </c>
      <c r="AK49" s="8" t="n">
        <f aca="false">AK47-AK48</f>
        <v>0</v>
      </c>
      <c r="AL49" s="8" t="n">
        <f aca="false">AL47-AL48</f>
        <v>0</v>
      </c>
      <c r="AM49" s="8" t="n">
        <f aca="false">AM47-AM48</f>
        <v>0</v>
      </c>
      <c r="AN49" s="8" t="n">
        <f aca="false">AN47-AN48</f>
        <v>0</v>
      </c>
      <c r="AO49" s="8" t="n">
        <f aca="false">AO47-AO48</f>
        <v>0</v>
      </c>
      <c r="AP49" s="8" t="n">
        <f aca="false">AP47-AP48</f>
        <v>0</v>
      </c>
      <c r="AQ49" s="8" t="n">
        <f aca="false">AQ47-AQ48</f>
        <v>0</v>
      </c>
      <c r="AR49" s="8" t="n">
        <f aca="false">AR47-AR48</f>
        <v>0</v>
      </c>
      <c r="AS49" s="8" t="n">
        <f aca="false">AS47-AS48</f>
        <v>0</v>
      </c>
    </row>
    <row r="50" customFormat="false" ht="15" hidden="false" customHeight="false" outlineLevel="0" collapsed="false">
      <c r="A50" s="6" t="s">
        <v>453</v>
      </c>
      <c r="B50" s="6" t="s">
        <v>454</v>
      </c>
      <c r="C50" s="9" t="n">
        <f aca="false">SUM(G50:AS50)</f>
        <v>50386.734080186</v>
      </c>
      <c r="G50" s="8" t="n">
        <f aca="false">(CEG_Assets!$R$2*CEG_Assets!$D$2*1000*G$4*G36+CEG_Assets!$O$2*(1+CEG_Assets!$Q$2)^(G$3-2026)*(G38+G39))/1000000*(1+CEG_OMAdj)</f>
        <v>1203.802991985</v>
      </c>
      <c r="H50" s="8" t="n">
        <f aca="false">(CEG_Assets!$R$2*CEG_Assets!$D$2*1000*H$4*H36+CEG_Assets!$O$2*(1+CEG_Assets!$Q$2)^(H$3-2026)*(H38+H39))/1000000*(1+CEG_OMAdj)</f>
        <v>1233.89806678463</v>
      </c>
      <c r="I50" s="8" t="n">
        <f aca="false">(CEG_Assets!$R$2*CEG_Assets!$D$2*1000*I$4*I36+CEG_Assets!$O$2*(1+CEG_Assets!$Q$2)^(I$3-2026)*(I38+I39))/1000000*(1+CEG_OMAdj)</f>
        <v>1264.74551845424</v>
      </c>
      <c r="J50" s="8" t="n">
        <f aca="false">(CEG_Assets!$R$2*CEG_Assets!$D$2*1000*J$4*J36+CEG_Assets!$O$2*(1+CEG_Assets!$Q$2)^(J$3-2026)*(J38+J39))/1000000*(1+CEG_OMAdj)</f>
        <v>1296.3641564156</v>
      </c>
      <c r="K50" s="8" t="n">
        <f aca="false">(CEG_Assets!$R$2*CEG_Assets!$D$2*1000*K$4*K36+CEG_Assets!$O$2*(1+CEG_Assets!$Q$2)^(K$3-2026)*(K38+K39))/1000000*(1+CEG_OMAdj)</f>
        <v>1328.77326032599</v>
      </c>
      <c r="L50" s="8" t="n">
        <f aca="false">(CEG_Assets!$R$2*CEG_Assets!$D$2*1000*L$4*L36+CEG_Assets!$O$2*(1+CEG_Assets!$Q$2)^(L$3-2026)*(L38+L39))/1000000*(1+CEG_OMAdj)</f>
        <v>1361.99259183414</v>
      </c>
      <c r="M50" s="8" t="n">
        <f aca="false">(CEG_Assets!$R$2*CEG_Assets!$D$2*1000*M$4*M36+CEG_Assets!$O$2*(1+CEG_Assets!$Q$2)^(M$3-2026)*(M38+M39))/1000000*(1+CEG_OMAdj)</f>
        <v>1396.04240662999</v>
      </c>
      <c r="N50" s="8" t="n">
        <f aca="false">(CEG_Assets!$R$2*CEG_Assets!$D$2*1000*N$4*N36+CEG_Assets!$O$2*(1+CEG_Assets!$Q$2)^(N$3-2026)*(N38+N39))/1000000*(1+CEG_OMAdj)</f>
        <v>1430.94346679574</v>
      </c>
      <c r="O50" s="8" t="n">
        <f aca="false">(CEG_Assets!$R$2*CEG_Assets!$D$2*1000*O$4*O36+CEG_Assets!$O$2*(1+CEG_Assets!$Q$2)^(O$3-2026)*(O38+O39))/1000000*(1+CEG_OMAdj)</f>
        <v>1466.71705346563</v>
      </c>
      <c r="P50" s="8" t="n">
        <f aca="false">(CEG_Assets!$R$2*CEG_Assets!$D$2*1000*P$4*P36+CEG_Assets!$O$2*(1+CEG_Assets!$Q$2)^(P$3-2026)*(P38+P39))/1000000*(1+CEG_OMAdj)</f>
        <v>1503.38497980227</v>
      </c>
      <c r="Q50" s="8" t="n">
        <f aca="false">(CEG_Assets!$R$2*CEG_Assets!$D$2*1000*Q$4*Q36+CEG_Assets!$O$2*(1+CEG_Assets!$Q$2)^(Q$3-2026)*(Q38+Q39))/1000000*(1+CEG_OMAdj)</f>
        <v>1540.96960429733</v>
      </c>
      <c r="R50" s="8" t="n">
        <f aca="false">(CEG_Assets!$R$2*CEG_Assets!$D$2*1000*R$4*R36+CEG_Assets!$O$2*(1+CEG_Assets!$Q$2)^(R$3-2026)*(R38+R39))/1000000*(1+CEG_OMAdj)</f>
        <v>1579.49384440476</v>
      </c>
      <c r="S50" s="8" t="n">
        <f aca="false">(CEG_Assets!$R$2*CEG_Assets!$D$2*1000*S$4*S36+CEG_Assets!$O$2*(1+CEG_Assets!$Q$2)^(S$3-2026)*(S38+S39))/1000000*(1+CEG_OMAdj)</f>
        <v>1618.98119051488</v>
      </c>
      <c r="T50" s="8" t="n">
        <f aca="false">(CEG_Assets!$R$2*CEG_Assets!$D$2*1000*T$4*T36+CEG_Assets!$O$2*(1+CEG_Assets!$Q$2)^(T$3-2026)*(T38+T39))/1000000*(1+CEG_OMAdj)</f>
        <v>1659.45572027775</v>
      </c>
      <c r="U50" s="8" t="n">
        <f aca="false">(CEG_Assets!$R$2*CEG_Assets!$D$2*1000*U$4*U36+CEG_Assets!$O$2*(1+CEG_Assets!$Q$2)^(U$3-2026)*(U38+U39))/1000000*(1+CEG_OMAdj)</f>
        <v>1700.9421132847</v>
      </c>
      <c r="V50" s="8" t="n">
        <f aca="false">(CEG_Assets!$R$2*CEG_Assets!$D$2*1000*V$4*V36+CEG_Assets!$O$2*(1+CEG_Assets!$Q$2)^(V$3-2026)*(V38+V39))/1000000*(1+CEG_OMAdj)</f>
        <v>1743.46566611681</v>
      </c>
      <c r="W50" s="8" t="n">
        <f aca="false">(CEG_Assets!$R$2*CEG_Assets!$D$2*1000*W$4*W36+CEG_Assets!$O$2*(1+CEG_Assets!$Q$2)^(W$3-2026)*(W38+W39))/1000000*(1+CEG_OMAdj)</f>
        <v>1787.05230776973</v>
      </c>
      <c r="X50" s="8" t="n">
        <f aca="false">(CEG_Assets!$R$2*CEG_Assets!$D$2*1000*X$4*X36+CEG_Assets!$O$2*(1+CEG_Assets!$Q$2)^(X$3-2026)*(X38+X39))/1000000*(1+CEG_OMAdj)</f>
        <v>1831.72861546398</v>
      </c>
      <c r="Y50" s="8" t="n">
        <f aca="false">(CEG_Assets!$R$2*CEG_Assets!$D$2*1000*Y$4*Y36+CEG_Assets!$O$2*(1+CEG_Assets!$Q$2)^(Y$3-2026)*(Y38+Y39))/1000000*(1+CEG_OMAdj)</f>
        <v>1877.52183085058</v>
      </c>
      <c r="Z50" s="8" t="n">
        <f aca="false">(CEG_Assets!$R$2*CEG_Assets!$D$2*1000*Z$4*Z36+CEG_Assets!$O$2*(1+CEG_Assets!$Q$2)^(Z$3-2026)*(Z38+Z39))/1000000*(1+CEG_OMAdj)</f>
        <v>1924.45987662184</v>
      </c>
      <c r="AA50" s="8" t="n">
        <f aca="false">(CEG_Assets!$R$2*CEG_Assets!$D$2*1000*AA$4*AA36+CEG_Assets!$O$2*(1+CEG_Assets!$Q$2)^(AA$3-2026)*(AA38+AA39))/1000000*(1+CEG_OMAdj)</f>
        <v>1972.57137353739</v>
      </c>
      <c r="AB50" s="8" t="n">
        <f aca="false">(CEG_Assets!$R$2*CEG_Assets!$D$2*1000*AB$4*AB36+CEG_Assets!$O$2*(1+CEG_Assets!$Q$2)^(AB$3-2026)*(AB38+AB39))/1000000*(1+CEG_OMAdj)</f>
        <v>2021.88565787582</v>
      </c>
      <c r="AC50" s="8" t="n">
        <f aca="false">(CEG_Assets!$R$2*CEG_Assets!$D$2*1000*AC$4*AC36+CEG_Assets!$O$2*(1+CEG_Assets!$Q$2)^(AC$3-2026)*(AC38+AC39))/1000000*(1+CEG_OMAdj)</f>
        <v>2072.43279932272</v>
      </c>
      <c r="AD50" s="8" t="n">
        <f aca="false">(CEG_Assets!$R$2*CEG_Assets!$D$2*1000*AD$4*AD36+CEG_Assets!$O$2*(1+CEG_Assets!$Q$2)^(AD$3-2026)*(AD38+AD39))/1000000*(1+CEG_OMAdj)</f>
        <v>2124.24361930578</v>
      </c>
      <c r="AE50" s="8" t="n">
        <f aca="false">(CEG_Assets!$R$2*CEG_Assets!$D$2*1000*AE$4*AE36+CEG_Assets!$O$2*(1+CEG_Assets!$Q$2)^(AE$3-2026)*(AE38+AE39))/1000000*(1+CEG_OMAdj)</f>
        <v>2177.34970978843</v>
      </c>
      <c r="AF50" s="8" t="n">
        <f aca="false">(CEG_Assets!$R$2*CEG_Assets!$D$2*1000*AF$4*AF36+CEG_Assets!$O$2*(1+CEG_Assets!$Q$2)^(AF$3-2026)*(AF38+AF39))/1000000*(1+CEG_OMAdj)</f>
        <v>2231.78345253314</v>
      </c>
      <c r="AG50" s="8" t="n">
        <f aca="false">(CEG_Assets!$R$2*CEG_Assets!$D$2*1000*AG$4*AG36+CEG_Assets!$O$2*(1+CEG_Assets!$Q$2)^(AG$3-2026)*(AG38+AG39))/1000000*(1+CEG_OMAdj)</f>
        <v>2287.57803884647</v>
      </c>
      <c r="AH50" s="8" t="n">
        <f aca="false">(CEG_Assets!$R$2*CEG_Assets!$D$2*1000*AH$4*AH36+CEG_Assets!$O$2*(1+CEG_Assets!$Q$2)^(AH$3-2026)*(AH38+AH39))/1000000*(1+CEG_OMAdj)</f>
        <v>2344.76748981763</v>
      </c>
      <c r="AI50" s="8" t="n">
        <f aca="false">(CEG_Assets!$R$2*CEG_Assets!$D$2*1000*AI$4*AI36+CEG_Assets!$O$2*(1+CEG_Assets!$Q$2)^(AI$3-2026)*(AI38+AI39))/1000000*(1+CEG_OMAdj)</f>
        <v>2403.38667706307</v>
      </c>
      <c r="AJ50" s="8" t="n">
        <f aca="false">(CEG_Assets!$R$2*CEG_Assets!$D$2*1000*AJ$4*AJ36+CEG_Assets!$O$2*(1+CEG_Assets!$Q$2)^(AJ$3-2026)*(AJ38+AJ39))/1000000*(1+CEG_OMAdj)</f>
        <v>0</v>
      </c>
      <c r="AK50" s="8" t="n">
        <f aca="false">(CEG_Assets!$R$2*CEG_Assets!$D$2*1000*AK$4*AK36+CEG_Assets!$O$2*(1+CEG_Assets!$Q$2)^(AK$3-2026)*(AK38+AK39))/1000000*(1+CEG_OMAdj)</f>
        <v>0</v>
      </c>
      <c r="AL50" s="8" t="n">
        <f aca="false">(CEG_Assets!$R$2*CEG_Assets!$D$2*1000*AL$4*AL36+CEG_Assets!$O$2*(1+CEG_Assets!$Q$2)^(AL$3-2026)*(AL38+AL39))/1000000*(1+CEG_OMAdj)</f>
        <v>0</v>
      </c>
      <c r="AM50" s="8" t="n">
        <f aca="false">(CEG_Assets!$R$2*CEG_Assets!$D$2*1000*AM$4*AM36+CEG_Assets!$O$2*(1+CEG_Assets!$Q$2)^(AM$3-2026)*(AM38+AM39))/1000000*(1+CEG_OMAdj)</f>
        <v>0</v>
      </c>
      <c r="AN50" s="8" t="n">
        <f aca="false">(CEG_Assets!$R$2*CEG_Assets!$D$2*1000*AN$4*AN36+CEG_Assets!$O$2*(1+CEG_Assets!$Q$2)^(AN$3-2026)*(AN38+AN39))/1000000*(1+CEG_OMAdj)</f>
        <v>0</v>
      </c>
      <c r="AO50" s="8" t="n">
        <f aca="false">(CEG_Assets!$R$2*CEG_Assets!$D$2*1000*AO$4*AO36+CEG_Assets!$O$2*(1+CEG_Assets!$Q$2)^(AO$3-2026)*(AO38+AO39))/1000000*(1+CEG_OMAdj)</f>
        <v>0</v>
      </c>
      <c r="AP50" s="8" t="n">
        <f aca="false">(CEG_Assets!$R$2*CEG_Assets!$D$2*1000*AP$4*AP36+CEG_Assets!$O$2*(1+CEG_Assets!$Q$2)^(AP$3-2026)*(AP38+AP39))/1000000*(1+CEG_OMAdj)</f>
        <v>0</v>
      </c>
      <c r="AQ50" s="8" t="n">
        <f aca="false">(CEG_Assets!$R$2*CEG_Assets!$D$2*1000*AQ$4*AQ36+CEG_Assets!$O$2*(1+CEG_Assets!$Q$2)^(AQ$3-2026)*(AQ38+AQ39))/1000000*(1+CEG_OMAdj)</f>
        <v>0</v>
      </c>
      <c r="AR50" s="8" t="n">
        <f aca="false">(CEG_Assets!$R$2*CEG_Assets!$D$2*1000*AR$4*AR36+CEG_Assets!$O$2*(1+CEG_Assets!$Q$2)^(AR$3-2026)*(AR38+AR39))/1000000*(1+CEG_OMAdj)</f>
        <v>0</v>
      </c>
      <c r="AS50" s="8" t="n">
        <f aca="false">(CEG_Assets!$R$2*CEG_Assets!$D$2*1000*AS$4*AS36+CEG_Assets!$O$2*(1+CEG_Assets!$Q$2)^(AS$3-2026)*(AS38+AS39))/1000000*(1+CEG_OMAdj)</f>
        <v>0</v>
      </c>
    </row>
    <row r="51" customFormat="false" ht="15" hidden="false" customHeight="false" outlineLevel="0" collapsed="false">
      <c r="A51" s="6" t="s">
        <v>455</v>
      </c>
      <c r="B51" s="6" t="s">
        <v>456</v>
      </c>
      <c r="C51" s="9" t="n">
        <f aca="false">SUM(G51:AS51)</f>
        <v>83462.8565996775</v>
      </c>
      <c r="G51" s="8" t="n">
        <f aca="false">G49-G50</f>
        <v>2992.76586418</v>
      </c>
      <c r="H51" s="8" t="n">
        <f aca="false">H49-H50</f>
        <v>3000.38618786975</v>
      </c>
      <c r="I51" s="8" t="n">
        <f aca="false">I49-I50</f>
        <v>2533.68790882014</v>
      </c>
      <c r="J51" s="8" t="n">
        <f aca="false">J49-J50</f>
        <v>2337.89303868326</v>
      </c>
      <c r="K51" s="8" t="n">
        <f aca="false">K49-K50</f>
        <v>2376.57042332501</v>
      </c>
      <c r="L51" s="8" t="n">
        <f aca="false">L49-L50</f>
        <v>2415.81934375629</v>
      </c>
      <c r="M51" s="8" t="n">
        <f aca="false">M49-M50</f>
        <v>2455.64618039532</v>
      </c>
      <c r="N51" s="8" t="n">
        <f aca="false">N49-N50</f>
        <v>2496.05731501123</v>
      </c>
      <c r="O51" s="8" t="n">
        <f aca="false">O49-O50</f>
        <v>2537.05912759465</v>
      </c>
      <c r="P51" s="8" t="n">
        <f aca="false">P49-P50</f>
        <v>2578.65799308683</v>
      </c>
      <c r="Q51" s="8" t="n">
        <f aca="false">Q49-Q50</f>
        <v>2620.86027796235</v>
      </c>
      <c r="R51" s="8" t="n">
        <f aca="false">R49-R50</f>
        <v>2663.67233666074</v>
      </c>
      <c r="S51" s="8" t="n">
        <f aca="false">S49-S50</f>
        <v>2707.10050786156</v>
      </c>
      <c r="T51" s="8" t="n">
        <f aca="false">T49-T50</f>
        <v>2751.15111059809</v>
      </c>
      <c r="U51" s="8" t="n">
        <f aca="false">U49-U50</f>
        <v>2795.83044020384</v>
      </c>
      <c r="V51" s="8" t="n">
        <f aca="false">V49-V50</f>
        <v>2841.14476408655</v>
      </c>
      <c r="W51" s="8" t="n">
        <f aca="false">W49-W50</f>
        <v>2887.10031732387</v>
      </c>
      <c r="X51" s="8" t="n">
        <f aca="false">X49-X50</f>
        <v>2933.70329807484</v>
      </c>
      <c r="Y51" s="8" t="n">
        <f aca="false">Y49-Y50</f>
        <v>2980.95986280093</v>
      </c>
      <c r="Z51" s="8" t="n">
        <f aca="false">Z49-Z50</f>
        <v>3028.87612129066</v>
      </c>
      <c r="AA51" s="8" t="n">
        <f aca="false">AA49-AA50</f>
        <v>3077.45813148103</v>
      </c>
      <c r="AB51" s="8" t="n">
        <f aca="false">AB49-AB50</f>
        <v>3126.71189406932</v>
      </c>
      <c r="AC51" s="8" t="n">
        <f aca="false">AC49-AC50</f>
        <v>3176.64334690834</v>
      </c>
      <c r="AD51" s="8" t="n">
        <f aca="false">AD49-AD50</f>
        <v>3227.25835917808</v>
      </c>
      <c r="AE51" s="8" t="n">
        <f aca="false">AE49-AE50</f>
        <v>3278.56272532651</v>
      </c>
      <c r="AF51" s="8" t="n">
        <f aca="false">AF49-AF50</f>
        <v>3330.56215877203</v>
      </c>
      <c r="AG51" s="8" t="n">
        <f aca="false">AG49-AG50</f>
        <v>3383.26228535993</v>
      </c>
      <c r="AH51" s="8" t="n">
        <f aca="false">AH49-AH50</f>
        <v>3436.6686365649</v>
      </c>
      <c r="AI51" s="8" t="n">
        <f aca="false">AI49-AI50</f>
        <v>3490.78664243142</v>
      </c>
      <c r="AJ51" s="8" t="n">
        <f aca="false">AJ49-AJ50</f>
        <v>0</v>
      </c>
      <c r="AK51" s="8" t="n">
        <f aca="false">AK49-AK50</f>
        <v>0</v>
      </c>
      <c r="AL51" s="8" t="n">
        <f aca="false">AL49-AL50</f>
        <v>0</v>
      </c>
      <c r="AM51" s="8" t="n">
        <f aca="false">AM49-AM50</f>
        <v>0</v>
      </c>
      <c r="AN51" s="8" t="n">
        <f aca="false">AN49-AN50</f>
        <v>0</v>
      </c>
      <c r="AO51" s="8" t="n">
        <f aca="false">AO49-AO50</f>
        <v>0</v>
      </c>
      <c r="AP51" s="8" t="n">
        <f aca="false">AP49-AP50</f>
        <v>0</v>
      </c>
      <c r="AQ51" s="8" t="n">
        <f aca="false">AQ49-AQ50</f>
        <v>0</v>
      </c>
      <c r="AR51" s="8" t="n">
        <f aca="false">AR49-AR50</f>
        <v>0</v>
      </c>
      <c r="AS51" s="8" t="n">
        <f aca="false">AS49-AS50</f>
        <v>0</v>
      </c>
    </row>
    <row r="52" customFormat="false" ht="15" hidden="false" customHeight="false" outlineLevel="0" collapsed="false">
      <c r="A52" s="6" t="s">
        <v>457</v>
      </c>
      <c r="B52" s="6" t="s">
        <v>458</v>
      </c>
      <c r="C52" s="9" t="n">
        <f aca="false">SUM(G52:AS52)</f>
        <v>17398.1099738759</v>
      </c>
      <c r="G52" s="8" t="n">
        <f aca="false">((CEG_Assets!$S$2*CEG_Assets!$D$2*1000*G$4*G36+CEG_Assets!$P$2*(1+CEG_Assets!$Q$2)^(G$3-2026)*(G38+G39))/1000000+IF(G$3=CEG_Assets!$AH$2,CEG_Assets!$AG$2,0))*(1+CEG_CapexAdj)</f>
        <v>415.662916515</v>
      </c>
      <c r="H52" s="8" t="n">
        <f aca="false">((CEG_Assets!$S$2*CEG_Assets!$D$2*1000*H$4*H36+CEG_Assets!$P$2*(1+CEG_Assets!$Q$2)^(H$3-2026)*(H38+H39))/1000000+IF(H$3=CEG_Assets!$AH$2,CEG_Assets!$AG$2,0))*(1+CEG_CapexAdj)</f>
        <v>426.054489427875</v>
      </c>
      <c r="I52" s="8" t="n">
        <f aca="false">((CEG_Assets!$S$2*CEG_Assets!$D$2*1000*I$4*I36+CEG_Assets!$P$2*(1+CEG_Assets!$Q$2)^(I$3-2026)*(I38+I39))/1000000+IF(I$3=CEG_Assets!$AH$2,CEG_Assets!$AG$2,0))*(1+CEG_CapexAdj)</f>
        <v>436.705851663572</v>
      </c>
      <c r="J52" s="8" t="n">
        <f aca="false">((CEG_Assets!$S$2*CEG_Assets!$D$2*1000*J$4*J36+CEG_Assets!$P$2*(1+CEG_Assets!$Q$2)^(J$3-2026)*(J38+J39))/1000000+IF(J$3=CEG_Assets!$AH$2,CEG_Assets!$AG$2,0))*(1+CEG_CapexAdj)</f>
        <v>447.623497955161</v>
      </c>
      <c r="K52" s="8" t="n">
        <f aca="false">((CEG_Assets!$S$2*CEG_Assets!$D$2*1000*K$4*K36+CEG_Assets!$P$2*(1+CEG_Assets!$Q$2)^(K$3-2026)*(K38+K39))/1000000+IF(K$3=CEG_Assets!$AH$2,CEG_Assets!$AG$2,0))*(1+CEG_CapexAdj)</f>
        <v>458.81408540404</v>
      </c>
      <c r="L52" s="8" t="n">
        <f aca="false">((CEG_Assets!$S$2*CEG_Assets!$D$2*1000*L$4*L36+CEG_Assets!$P$2*(1+CEG_Assets!$Q$2)^(L$3-2026)*(L38+L39))/1000000+IF(L$3=CEG_Assets!$AH$2,CEG_Assets!$AG$2,0))*(1+CEG_CapexAdj)</f>
        <v>470.284437539141</v>
      </c>
      <c r="M52" s="8" t="n">
        <f aca="false">((CEG_Assets!$S$2*CEG_Assets!$D$2*1000*M$4*M36+CEG_Assets!$P$2*(1+CEG_Assets!$Q$2)^(M$3-2026)*(M38+M39))/1000000+IF(M$3=CEG_Assets!$AH$2,CEG_Assets!$AG$2,0))*(1+CEG_CapexAdj)</f>
        <v>482.04154847762</v>
      </c>
      <c r="N52" s="8" t="n">
        <f aca="false">((CEG_Assets!$S$2*CEG_Assets!$D$2*1000*N$4*N36+CEG_Assets!$P$2*(1+CEG_Assets!$Q$2)^(N$3-2026)*(N38+N39))/1000000+IF(N$3=CEG_Assets!$AH$2,CEG_Assets!$AG$2,0))*(1+CEG_CapexAdj)</f>
        <v>494.09258718956</v>
      </c>
      <c r="O52" s="8" t="n">
        <f aca="false">((CEG_Assets!$S$2*CEG_Assets!$D$2*1000*O$4*O36+CEG_Assets!$P$2*(1+CEG_Assets!$Q$2)^(O$3-2026)*(O38+O39))/1000000+IF(O$3=CEG_Assets!$AH$2,CEG_Assets!$AG$2,0))*(1+CEG_CapexAdj)</f>
        <v>506.444901869299</v>
      </c>
      <c r="P52" s="8" t="n">
        <f aca="false">((CEG_Assets!$S$2*CEG_Assets!$D$2*1000*P$4*P36+CEG_Assets!$P$2*(1+CEG_Assets!$Q$2)^(P$3-2026)*(P38+P39))/1000000+IF(P$3=CEG_Assets!$AH$2,CEG_Assets!$AG$2,0))*(1+CEG_CapexAdj)</f>
        <v>519.106024416031</v>
      </c>
      <c r="Q52" s="8" t="n">
        <f aca="false">((CEG_Assets!$S$2*CEG_Assets!$D$2*1000*Q$4*Q36+CEG_Assets!$P$2*(1+CEG_Assets!$Q$2)^(Q$3-2026)*(Q38+Q39))/1000000+IF(Q$3=CEG_Assets!$AH$2,CEG_Assets!$AG$2,0))*(1+CEG_CapexAdj)</f>
        <v>532.083675026432</v>
      </c>
      <c r="R52" s="8" t="n">
        <f aca="false">((CEG_Assets!$S$2*CEG_Assets!$D$2*1000*R$4*R36+CEG_Assets!$P$2*(1+CEG_Assets!$Q$2)^(R$3-2026)*(R38+R39))/1000000+IF(R$3=CEG_Assets!$AH$2,CEG_Assets!$AG$2,0))*(1+CEG_CapexAdj)</f>
        <v>545.385766902093</v>
      </c>
      <c r="S52" s="8" t="n">
        <f aca="false">((CEG_Assets!$S$2*CEG_Assets!$D$2*1000*S$4*S36+CEG_Assets!$P$2*(1+CEG_Assets!$Q$2)^(S$3-2026)*(S38+S39))/1000000+IF(S$3=CEG_Assets!$AH$2,CEG_Assets!$AG$2,0))*(1+CEG_CapexAdj)</f>
        <v>559.020411074645</v>
      </c>
      <c r="T52" s="8" t="n">
        <f aca="false">((CEG_Assets!$S$2*CEG_Assets!$D$2*1000*T$4*T36+CEG_Assets!$P$2*(1+CEG_Assets!$Q$2)^(T$3-2026)*(T38+T39))/1000000+IF(T$3=CEG_Assets!$AH$2,CEG_Assets!$AG$2,0))*(1+CEG_CapexAdj)</f>
        <v>572.995921351511</v>
      </c>
      <c r="U52" s="8" t="n">
        <f aca="false">((CEG_Assets!$S$2*CEG_Assets!$D$2*1000*U$4*U36+CEG_Assets!$P$2*(1+CEG_Assets!$Q$2)^(U$3-2026)*(U38+U39))/1000000+IF(U$3=CEG_Assets!$AH$2,CEG_Assets!$AG$2,0))*(1+CEG_CapexAdj)</f>
        <v>587.320819385299</v>
      </c>
      <c r="V52" s="8" t="n">
        <f aca="false">((CEG_Assets!$S$2*CEG_Assets!$D$2*1000*V$4*V36+CEG_Assets!$P$2*(1+CEG_Assets!$Q$2)^(V$3-2026)*(V38+V39))/1000000+IF(V$3=CEG_Assets!$AH$2,CEG_Assets!$AG$2,0))*(1+CEG_CapexAdj)</f>
        <v>602.003839869931</v>
      </c>
      <c r="W52" s="8" t="n">
        <f aca="false">((CEG_Assets!$S$2*CEG_Assets!$D$2*1000*W$4*W36+CEG_Assets!$P$2*(1+CEG_Assets!$Q$2)^(W$3-2026)*(W38+W39))/1000000+IF(W$3=CEG_Assets!$AH$2,CEG_Assets!$AG$2,0))*(1+CEG_CapexAdj)</f>
        <v>617.05393586668</v>
      </c>
      <c r="X52" s="8" t="n">
        <f aca="false">((CEG_Assets!$S$2*CEG_Assets!$D$2*1000*X$4*X36+CEG_Assets!$P$2*(1+CEG_Assets!$Q$2)^(X$3-2026)*(X38+X39))/1000000+IF(X$3=CEG_Assets!$AH$2,CEG_Assets!$AG$2,0))*(1+CEG_CapexAdj)</f>
        <v>632.480284263346</v>
      </c>
      <c r="Y52" s="8" t="n">
        <f aca="false">((CEG_Assets!$S$2*CEG_Assets!$D$2*1000*Y$4*Y36+CEG_Assets!$P$2*(1+CEG_Assets!$Q$2)^(Y$3-2026)*(Y38+Y39))/1000000+IF(Y$3=CEG_Assets!$AH$2,CEG_Assets!$AG$2,0))*(1+CEG_CapexAdj)</f>
        <v>648.29229136993</v>
      </c>
      <c r="Z52" s="8" t="n">
        <f aca="false">((CEG_Assets!$S$2*CEG_Assets!$D$2*1000*Z$4*Z36+CEG_Assets!$P$2*(1+CEG_Assets!$Q$2)^(Z$3-2026)*(Z38+Z39))/1000000+IF(Z$3=CEG_Assets!$AH$2,CEG_Assets!$AG$2,0))*(1+CEG_CapexAdj)</f>
        <v>664.499598654178</v>
      </c>
      <c r="AA52" s="8" t="n">
        <f aca="false">((CEG_Assets!$S$2*CEG_Assets!$D$2*1000*AA$4*AA36+CEG_Assets!$P$2*(1+CEG_Assets!$Q$2)^(AA$3-2026)*(AA38+AA39))/1000000+IF(AA$3=CEG_Assets!$AH$2,CEG_Assets!$AG$2,0))*(1+CEG_CapexAdj)</f>
        <v>681.112088620533</v>
      </c>
      <c r="AB52" s="8" t="n">
        <f aca="false">((CEG_Assets!$S$2*CEG_Assets!$D$2*1000*AB$4*AB36+CEG_Assets!$P$2*(1+CEG_Assets!$Q$2)^(AB$3-2026)*(AB38+AB39))/1000000+IF(AB$3=CEG_Assets!$AH$2,CEG_Assets!$AG$2,0))*(1+CEG_CapexAdj)</f>
        <v>698.139890836046</v>
      </c>
      <c r="AC52" s="8" t="n">
        <f aca="false">((CEG_Assets!$S$2*CEG_Assets!$D$2*1000*AC$4*AC36+CEG_Assets!$P$2*(1+CEG_Assets!$Q$2)^(AC$3-2026)*(AC38+AC39))/1000000+IF(AC$3=CEG_Assets!$AH$2,CEG_Assets!$AG$2,0))*(1+CEG_CapexAdj)</f>
        <v>715.593388106947</v>
      </c>
      <c r="AD52" s="8" t="n">
        <f aca="false">((CEG_Assets!$S$2*CEG_Assets!$D$2*1000*AD$4*AD36+CEG_Assets!$P$2*(1+CEG_Assets!$Q$2)^(AD$3-2026)*(AD38+AD39))/1000000+IF(AD$3=CEG_Assets!$AH$2,CEG_Assets!$AG$2,0))*(1+CEG_CapexAdj)</f>
        <v>733.483222809621</v>
      </c>
      <c r="AE52" s="8" t="n">
        <f aca="false">((CEG_Assets!$S$2*CEG_Assets!$D$2*1000*AE$4*AE36+CEG_Assets!$P$2*(1+CEG_Assets!$Q$2)^(AE$3-2026)*(AE38+AE39))/1000000+IF(AE$3=CEG_Assets!$AH$2,CEG_Assets!$AG$2,0))*(1+CEG_CapexAdj)</f>
        <v>751.820303379861</v>
      </c>
      <c r="AF52" s="8" t="n">
        <f aca="false">((CEG_Assets!$S$2*CEG_Assets!$D$2*1000*AF$4*AF36+CEG_Assets!$P$2*(1+CEG_Assets!$Q$2)^(AF$3-2026)*(AF38+AF39))/1000000+IF(AF$3=CEG_Assets!$AH$2,CEG_Assets!$AG$2,0))*(1+CEG_CapexAdj)</f>
        <v>770.615810964357</v>
      </c>
      <c r="AG52" s="8" t="n">
        <f aca="false">((CEG_Assets!$S$2*CEG_Assets!$D$2*1000*AG$4*AG36+CEG_Assets!$P$2*(1+CEG_Assets!$Q$2)^(AG$3-2026)*(AG38+AG39))/1000000+IF(AG$3=CEG_Assets!$AH$2,CEG_Assets!$AG$2,0))*(1+CEG_CapexAdj)</f>
        <v>789.881206238466</v>
      </c>
      <c r="AH52" s="8" t="n">
        <f aca="false">((CEG_Assets!$S$2*CEG_Assets!$D$2*1000*AH$4*AH36+CEG_Assets!$P$2*(1+CEG_Assets!$Q$2)^(AH$3-2026)*(AH38+AH39))/1000000+IF(AH$3=CEG_Assets!$AH$2,CEG_Assets!$AG$2,0))*(1+CEG_CapexAdj)</f>
        <v>809.628236394428</v>
      </c>
      <c r="AI52" s="8" t="n">
        <f aca="false">((CEG_Assets!$S$2*CEG_Assets!$D$2*1000*AI$4*AI36+CEG_Assets!$P$2*(1+CEG_Assets!$Q$2)^(AI$3-2026)*(AI38+AI39))/1000000+IF(AI$3=CEG_Assets!$AH$2,CEG_Assets!$AG$2,0))*(1+CEG_CapexAdj)</f>
        <v>829.868942304289</v>
      </c>
      <c r="AJ52" s="8" t="n">
        <f aca="false">((CEG_Assets!$S$2*CEG_Assets!$D$2*1000*AJ$4*AJ36+CEG_Assets!$P$2*(1+CEG_Assets!$Q$2)^(AJ$3-2026)*(AJ38+AJ39))/1000000+IF(AJ$3=CEG_Assets!$AH$2,CEG_Assets!$AG$2,0))*(1+CEG_CapexAdj)</f>
        <v>0</v>
      </c>
      <c r="AK52" s="8" t="n">
        <f aca="false">((CEG_Assets!$S$2*CEG_Assets!$D$2*1000*AK$4*AK36+CEG_Assets!$P$2*(1+CEG_Assets!$Q$2)^(AK$3-2026)*(AK38+AK39))/1000000+IF(AK$3=CEG_Assets!$AH$2,CEG_Assets!$AG$2,0))*(1+CEG_CapexAdj)</f>
        <v>0</v>
      </c>
      <c r="AL52" s="8" t="n">
        <f aca="false">((CEG_Assets!$S$2*CEG_Assets!$D$2*1000*AL$4*AL36+CEG_Assets!$P$2*(1+CEG_Assets!$Q$2)^(AL$3-2026)*(AL38+AL39))/1000000+IF(AL$3=CEG_Assets!$AH$2,CEG_Assets!$AG$2,0))*(1+CEG_CapexAdj)</f>
        <v>0</v>
      </c>
      <c r="AM52" s="8" t="n">
        <f aca="false">((CEG_Assets!$S$2*CEG_Assets!$D$2*1000*AM$4*AM36+CEG_Assets!$P$2*(1+CEG_Assets!$Q$2)^(AM$3-2026)*(AM38+AM39))/1000000+IF(AM$3=CEG_Assets!$AH$2,CEG_Assets!$AG$2,0))*(1+CEG_CapexAdj)</f>
        <v>0</v>
      </c>
      <c r="AN52" s="8" t="n">
        <f aca="false">((CEG_Assets!$S$2*CEG_Assets!$D$2*1000*AN$4*AN36+CEG_Assets!$P$2*(1+CEG_Assets!$Q$2)^(AN$3-2026)*(AN38+AN39))/1000000+IF(AN$3=CEG_Assets!$AH$2,CEG_Assets!$AG$2,0))*(1+CEG_CapexAdj)</f>
        <v>0</v>
      </c>
      <c r="AO52" s="8" t="n">
        <f aca="false">((CEG_Assets!$S$2*CEG_Assets!$D$2*1000*AO$4*AO36+CEG_Assets!$P$2*(1+CEG_Assets!$Q$2)^(AO$3-2026)*(AO38+AO39))/1000000+IF(AO$3=CEG_Assets!$AH$2,CEG_Assets!$AG$2,0))*(1+CEG_CapexAdj)</f>
        <v>0</v>
      </c>
      <c r="AP52" s="8" t="n">
        <f aca="false">((CEG_Assets!$S$2*CEG_Assets!$D$2*1000*AP$4*AP36+CEG_Assets!$P$2*(1+CEG_Assets!$Q$2)^(AP$3-2026)*(AP38+AP39))/1000000+IF(AP$3=CEG_Assets!$AH$2,CEG_Assets!$AG$2,0))*(1+CEG_CapexAdj)</f>
        <v>0</v>
      </c>
      <c r="AQ52" s="8" t="n">
        <f aca="false">((CEG_Assets!$S$2*CEG_Assets!$D$2*1000*AQ$4*AQ36+CEG_Assets!$P$2*(1+CEG_Assets!$Q$2)^(AQ$3-2026)*(AQ38+AQ39))/1000000+IF(AQ$3=CEG_Assets!$AH$2,CEG_Assets!$AG$2,0))*(1+CEG_CapexAdj)</f>
        <v>0</v>
      </c>
      <c r="AR52" s="8" t="n">
        <f aca="false">((CEG_Assets!$S$2*CEG_Assets!$D$2*1000*AR$4*AR36+CEG_Assets!$P$2*(1+CEG_Assets!$Q$2)^(AR$3-2026)*(AR38+AR39))/1000000+IF(AR$3=CEG_Assets!$AH$2,CEG_Assets!$AG$2,0))*(1+CEG_CapexAdj)</f>
        <v>0</v>
      </c>
      <c r="AS52" s="8" t="n">
        <f aca="false">((CEG_Assets!$S$2*CEG_Assets!$D$2*1000*AS$4*AS36+CEG_Assets!$P$2*(1+CEG_Assets!$Q$2)^(AS$3-2026)*(AS38+AS39))/1000000+IF(AS$3=CEG_Assets!$AH$2,CEG_Assets!$AG$2,0))*(1+CEG_CapexAdj)</f>
        <v>0</v>
      </c>
    </row>
    <row r="53" customFormat="false" ht="15" hidden="false" customHeight="false" outlineLevel="0" collapsed="false">
      <c r="A53" s="6" t="s">
        <v>459</v>
      </c>
      <c r="B53" s="6" t="s">
        <v>460</v>
      </c>
      <c r="C53" s="9" t="n">
        <f aca="false">SUM(G53:AS53)</f>
        <v>66064.7466258016</v>
      </c>
      <c r="G53" s="8" t="n">
        <f aca="false">IF(CEG_Assets!$Y$2=1,MAX(0,G51-G52),G51-G52)</f>
        <v>2577.102947665</v>
      </c>
      <c r="H53" s="8" t="n">
        <f aca="false">IF(CEG_Assets!$Y$2=1,MAX(0,H51-H52),H51-H52)</f>
        <v>2574.33169844188</v>
      </c>
      <c r="I53" s="8" t="n">
        <f aca="false">IF(CEG_Assets!$Y$2=1,MAX(0,I51-I52),I51-I52)</f>
        <v>2096.98205715656</v>
      </c>
      <c r="J53" s="8" t="n">
        <f aca="false">IF(CEG_Assets!$Y$2=1,MAX(0,J51-J52),J51-J52)</f>
        <v>1890.2695407281</v>
      </c>
      <c r="K53" s="8" t="n">
        <f aca="false">IF(CEG_Assets!$Y$2=1,MAX(0,K51-K52),K51-K52)</f>
        <v>1917.75633792097</v>
      </c>
      <c r="L53" s="8" t="n">
        <f aca="false">IF(CEG_Assets!$Y$2=1,MAX(0,L51-L52),L51-L52)</f>
        <v>1945.53490621715</v>
      </c>
      <c r="M53" s="8" t="n">
        <f aca="false">IF(CEG_Assets!$Y$2=1,MAX(0,M51-M52),M51-M52)</f>
        <v>1973.6046319177</v>
      </c>
      <c r="N53" s="8" t="n">
        <f aca="false">IF(CEG_Assets!$Y$2=1,MAX(0,N51-N52),N51-N52)</f>
        <v>2001.96472782167</v>
      </c>
      <c r="O53" s="8" t="n">
        <f aca="false">IF(CEG_Assets!$Y$2=1,MAX(0,O51-O52),O51-O52)</f>
        <v>2030.61422572535</v>
      </c>
      <c r="P53" s="8" t="n">
        <f aca="false">IF(CEG_Assets!$Y$2=1,MAX(0,P51-P52),P51-P52)</f>
        <v>2059.5519686708</v>
      </c>
      <c r="Q53" s="8" t="n">
        <f aca="false">IF(CEG_Assets!$Y$2=1,MAX(0,Q51-Q52),Q51-Q52)</f>
        <v>2088.77660293592</v>
      </c>
      <c r="R53" s="8" t="n">
        <f aca="false">IF(CEG_Assets!$Y$2=1,MAX(0,R51-R52),R51-R52)</f>
        <v>2118.28656975864</v>
      </c>
      <c r="S53" s="8" t="n">
        <f aca="false">IF(CEG_Assets!$Y$2=1,MAX(0,S51-S52),S51-S52)</f>
        <v>2148.08009678692</v>
      </c>
      <c r="T53" s="8" t="n">
        <f aca="false">IF(CEG_Assets!$Y$2=1,MAX(0,T51-T52),T51-T52)</f>
        <v>2178.15518924658</v>
      </c>
      <c r="U53" s="8" t="n">
        <f aca="false">IF(CEG_Assets!$Y$2=1,MAX(0,U51-U52),U51-U52)</f>
        <v>2208.50962081854</v>
      </c>
      <c r="V53" s="8" t="n">
        <f aca="false">IF(CEG_Assets!$Y$2=1,MAX(0,V51-V52),V51-V52)</f>
        <v>2239.14092421662</v>
      </c>
      <c r="W53" s="8" t="n">
        <f aca="false">IF(CEG_Assets!$Y$2=1,MAX(0,W51-W52),W51-W52)</f>
        <v>2270.04638145719</v>
      </c>
      <c r="X53" s="8" t="n">
        <f aca="false">IF(CEG_Assets!$Y$2=1,MAX(0,X51-X52),X51-X52)</f>
        <v>2301.22301381149</v>
      </c>
      <c r="Y53" s="8" t="n">
        <f aca="false">IF(CEG_Assets!$Y$2=1,MAX(0,Y51-Y52),Y51-Y52)</f>
        <v>2332.667571431</v>
      </c>
      <c r="Z53" s="8" t="n">
        <f aca="false">IF(CEG_Assets!$Y$2=1,MAX(0,Z51-Z52),Z51-Z52)</f>
        <v>2364.37652263648</v>
      </c>
      <c r="AA53" s="8" t="n">
        <f aca="false">IF(CEG_Assets!$Y$2=1,MAX(0,AA51-AA52),AA51-AA52)</f>
        <v>2396.3460428605</v>
      </c>
      <c r="AB53" s="8" t="n">
        <f aca="false">IF(CEG_Assets!$Y$2=1,MAX(0,AB51-AB52),AB51-AB52)</f>
        <v>2428.57200323327</v>
      </c>
      <c r="AC53" s="8" t="n">
        <f aca="false">IF(CEG_Assets!$Y$2=1,MAX(0,AC51-AC52),AC51-AC52)</f>
        <v>2461.04995880139</v>
      </c>
      <c r="AD53" s="8" t="n">
        <f aca="false">IF(CEG_Assets!$Y$2=1,MAX(0,AD51-AD52),AD51-AD52)</f>
        <v>2493.77513636846</v>
      </c>
      <c r="AE53" s="8" t="n">
        <f aca="false">IF(CEG_Assets!$Y$2=1,MAX(0,AE51-AE52),AE51-AE52)</f>
        <v>2526.74242194665</v>
      </c>
      <c r="AF53" s="8" t="n">
        <f aca="false">IF(CEG_Assets!$Y$2=1,MAX(0,AF51-AF52),AF51-AF52)</f>
        <v>2559.94634780767</v>
      </c>
      <c r="AG53" s="8" t="n">
        <f aca="false">IF(CEG_Assets!$Y$2=1,MAX(0,AG51-AG52),AG51-AG52)</f>
        <v>2593.38107912146</v>
      </c>
      <c r="AH53" s="8" t="n">
        <f aca="false">IF(CEG_Assets!$Y$2=1,MAX(0,AH51-AH52),AH51-AH52)</f>
        <v>2627.04040017047</v>
      </c>
      <c r="AI53" s="8" t="n">
        <f aca="false">IF(CEG_Assets!$Y$2=1,MAX(0,AI51-AI52),AI51-AI52)</f>
        <v>2660.91770012713</v>
      </c>
      <c r="AJ53" s="8" t="n">
        <f aca="false">IF(CEG_Assets!$Y$2=1,MAX(0,AJ51-AJ52),AJ51-AJ52)</f>
        <v>0</v>
      </c>
      <c r="AK53" s="8" t="n">
        <f aca="false">IF(CEG_Assets!$Y$2=1,MAX(0,AK51-AK52),AK51-AK52)</f>
        <v>0</v>
      </c>
      <c r="AL53" s="8" t="n">
        <f aca="false">IF(CEG_Assets!$Y$2=1,MAX(0,AL51-AL52),AL51-AL52)</f>
        <v>0</v>
      </c>
      <c r="AM53" s="8" t="n">
        <f aca="false">IF(CEG_Assets!$Y$2=1,MAX(0,AM51-AM52),AM51-AM52)</f>
        <v>0</v>
      </c>
      <c r="AN53" s="8" t="n">
        <f aca="false">IF(CEG_Assets!$Y$2=1,MAX(0,AN51-AN52),AN51-AN52)</f>
        <v>0</v>
      </c>
      <c r="AO53" s="8" t="n">
        <f aca="false">IF(CEG_Assets!$Y$2=1,MAX(0,AO51-AO52),AO51-AO52)</f>
        <v>0</v>
      </c>
      <c r="AP53" s="8" t="n">
        <f aca="false">IF(CEG_Assets!$Y$2=1,MAX(0,AP51-AP52),AP51-AP52)</f>
        <v>0</v>
      </c>
      <c r="AQ53" s="8" t="n">
        <f aca="false">IF(CEG_Assets!$Y$2=1,MAX(0,AQ51-AQ52),AQ51-AQ52)</f>
        <v>0</v>
      </c>
      <c r="AR53" s="8" t="n">
        <f aca="false">IF(CEG_Assets!$Y$2=1,MAX(0,AR51-AR52),AR51-AR52)</f>
        <v>0</v>
      </c>
      <c r="AS53" s="8" t="n">
        <f aca="false">IF(CEG_Assets!$Y$2=1,MAX(0,AS51-AS52),AS51-AS52)</f>
        <v>0</v>
      </c>
    </row>
    <row r="54" customFormat="false" ht="15" hidden="false" customHeight="false" outlineLevel="0" collapsed="false">
      <c r="A54" s="6" t="s">
        <v>461</v>
      </c>
      <c r="B54" s="6" t="s">
        <v>462</v>
      </c>
      <c r="C54" s="9" t="n">
        <f aca="false">SUM(G54:AS54)</f>
        <v>0</v>
      </c>
      <c r="G54" s="8" t="n">
        <f aca="false">IF(AND(CEG_Assets!$W$2=1,G$3&lt;=PTCLast,G38&gt;0),G38*MAX(0,PTCCredit*(1+Infl)^(G$3-PTCBase)-0.8*MAX(0,(G43+G44+G46)*1000000/MAX(1,G38)-PTCThresh*(1+Infl)^(G$3-PTCBase)))/1000000,0)</f>
        <v>0</v>
      </c>
      <c r="H54" s="8" t="n">
        <f aca="false">IF(AND(CEG_Assets!$W$2=1,H$3&lt;=PTCLast,H38&gt;0),H38*MAX(0,PTCCredit*(1+Infl)^(H$3-PTCBase)-0.8*MAX(0,(H43+H44+H46)*1000000/MAX(1,H38)-PTCThresh*(1+Infl)^(H$3-PTCBase)))/1000000,0)</f>
        <v>0</v>
      </c>
      <c r="I54" s="8" t="n">
        <f aca="false">IF(AND(CEG_Assets!$W$2=1,I$3&lt;=PTCLast,I38&gt;0),I38*MAX(0,PTCCredit*(1+Infl)^(I$3-PTCBase)-0.8*MAX(0,(I43+I44+I46)*1000000/MAX(1,I38)-PTCThresh*(1+Infl)^(I$3-PTCBase)))/1000000,0)</f>
        <v>0</v>
      </c>
      <c r="J54" s="8" t="n">
        <f aca="false">IF(AND(CEG_Assets!$W$2=1,J$3&lt;=PTCLast,J38&gt;0),J38*MAX(0,PTCCredit*(1+Infl)^(J$3-PTCBase)-0.8*MAX(0,(J43+J44+J46)*1000000/MAX(1,J38)-PTCThresh*(1+Infl)^(J$3-PTCBase)))/1000000,0)</f>
        <v>0</v>
      </c>
      <c r="K54" s="8" t="n">
        <f aca="false">IF(AND(CEG_Assets!$W$2=1,K$3&lt;=PTCLast,K38&gt;0),K38*MAX(0,PTCCredit*(1+Infl)^(K$3-PTCBase)-0.8*MAX(0,(K43+K44+K46)*1000000/MAX(1,K38)-PTCThresh*(1+Infl)^(K$3-PTCBase)))/1000000,0)</f>
        <v>0</v>
      </c>
      <c r="L54" s="8" t="n">
        <f aca="false">IF(AND(CEG_Assets!$W$2=1,L$3&lt;=PTCLast,L38&gt;0),L38*MAX(0,PTCCredit*(1+Infl)^(L$3-PTCBase)-0.8*MAX(0,(L43+L44+L46)*1000000/MAX(1,L38)-PTCThresh*(1+Infl)^(L$3-PTCBase)))/1000000,0)</f>
        <v>0</v>
      </c>
      <c r="M54" s="8" t="n">
        <f aca="false">IF(AND(CEG_Assets!$W$2=1,M$3&lt;=PTCLast,M38&gt;0),M38*MAX(0,PTCCredit*(1+Infl)^(M$3-PTCBase)-0.8*MAX(0,(M43+M44+M46)*1000000/MAX(1,M38)-PTCThresh*(1+Infl)^(M$3-PTCBase)))/1000000,0)</f>
        <v>0</v>
      </c>
      <c r="N54" s="8" t="n">
        <f aca="false">IF(AND(CEG_Assets!$W$2=1,N$3&lt;=PTCLast,N38&gt;0),N38*MAX(0,PTCCredit*(1+Infl)^(N$3-PTCBase)-0.8*MAX(0,(N43+N44+N46)*1000000/MAX(1,N38)-PTCThresh*(1+Infl)^(N$3-PTCBase)))/1000000,0)</f>
        <v>0</v>
      </c>
      <c r="O54" s="8" t="n">
        <f aca="false">IF(AND(CEG_Assets!$W$2=1,O$3&lt;=PTCLast,O38&gt;0),O38*MAX(0,PTCCredit*(1+Infl)^(O$3-PTCBase)-0.8*MAX(0,(O43+O44+O46)*1000000/MAX(1,O38)-PTCThresh*(1+Infl)^(O$3-PTCBase)))/1000000,0)</f>
        <v>0</v>
      </c>
      <c r="P54" s="8" t="n">
        <f aca="false">IF(AND(CEG_Assets!$W$2=1,P$3&lt;=PTCLast,P38&gt;0),P38*MAX(0,PTCCredit*(1+Infl)^(P$3-PTCBase)-0.8*MAX(0,(P43+P44+P46)*1000000/MAX(1,P38)-PTCThresh*(1+Infl)^(P$3-PTCBase)))/1000000,0)</f>
        <v>0</v>
      </c>
      <c r="Q54" s="8" t="n">
        <f aca="false">IF(AND(CEG_Assets!$W$2=1,Q$3&lt;=PTCLast,Q38&gt;0),Q38*MAX(0,PTCCredit*(1+Infl)^(Q$3-PTCBase)-0.8*MAX(0,(Q43+Q44+Q46)*1000000/MAX(1,Q38)-PTCThresh*(1+Infl)^(Q$3-PTCBase)))/1000000,0)</f>
        <v>0</v>
      </c>
      <c r="R54" s="8" t="n">
        <f aca="false">IF(AND(CEG_Assets!$W$2=1,R$3&lt;=PTCLast,R38&gt;0),R38*MAX(0,PTCCredit*(1+Infl)^(R$3-PTCBase)-0.8*MAX(0,(R43+R44+R46)*1000000/MAX(1,R38)-PTCThresh*(1+Infl)^(R$3-PTCBase)))/1000000,0)</f>
        <v>0</v>
      </c>
      <c r="S54" s="8" t="n">
        <f aca="false">IF(AND(CEG_Assets!$W$2=1,S$3&lt;=PTCLast,S38&gt;0),S38*MAX(0,PTCCredit*(1+Infl)^(S$3-PTCBase)-0.8*MAX(0,(S43+S44+S46)*1000000/MAX(1,S38)-PTCThresh*(1+Infl)^(S$3-PTCBase)))/1000000,0)</f>
        <v>0</v>
      </c>
      <c r="T54" s="8" t="n">
        <f aca="false">IF(AND(CEG_Assets!$W$2=1,T$3&lt;=PTCLast,T38&gt;0),T38*MAX(0,PTCCredit*(1+Infl)^(T$3-PTCBase)-0.8*MAX(0,(T43+T44+T46)*1000000/MAX(1,T38)-PTCThresh*(1+Infl)^(T$3-PTCBase)))/1000000,0)</f>
        <v>0</v>
      </c>
      <c r="U54" s="8" t="n">
        <f aca="false">IF(AND(CEG_Assets!$W$2=1,U$3&lt;=PTCLast,U38&gt;0),U38*MAX(0,PTCCredit*(1+Infl)^(U$3-PTCBase)-0.8*MAX(0,(U43+U44+U46)*1000000/MAX(1,U38)-PTCThresh*(1+Infl)^(U$3-PTCBase)))/1000000,0)</f>
        <v>0</v>
      </c>
      <c r="V54" s="8" t="n">
        <f aca="false">IF(AND(CEG_Assets!$W$2=1,V$3&lt;=PTCLast,V38&gt;0),V38*MAX(0,PTCCredit*(1+Infl)^(V$3-PTCBase)-0.8*MAX(0,(V43+V44+V46)*1000000/MAX(1,V38)-PTCThresh*(1+Infl)^(V$3-PTCBase)))/1000000,0)</f>
        <v>0</v>
      </c>
      <c r="W54" s="8" t="n">
        <f aca="false">IF(AND(CEG_Assets!$W$2=1,W$3&lt;=PTCLast,W38&gt;0),W38*MAX(0,PTCCredit*(1+Infl)^(W$3-PTCBase)-0.8*MAX(0,(W43+W44+W46)*1000000/MAX(1,W38)-PTCThresh*(1+Infl)^(W$3-PTCBase)))/1000000,0)</f>
        <v>0</v>
      </c>
      <c r="X54" s="8" t="n">
        <f aca="false">IF(AND(CEG_Assets!$W$2=1,X$3&lt;=PTCLast,X38&gt;0),X38*MAX(0,PTCCredit*(1+Infl)^(X$3-PTCBase)-0.8*MAX(0,(X43+X44+X46)*1000000/MAX(1,X38)-PTCThresh*(1+Infl)^(X$3-PTCBase)))/1000000,0)</f>
        <v>0</v>
      </c>
      <c r="Y54" s="8" t="n">
        <f aca="false">IF(AND(CEG_Assets!$W$2=1,Y$3&lt;=PTCLast,Y38&gt;0),Y38*MAX(0,PTCCredit*(1+Infl)^(Y$3-PTCBase)-0.8*MAX(0,(Y43+Y44+Y46)*1000000/MAX(1,Y38)-PTCThresh*(1+Infl)^(Y$3-PTCBase)))/1000000,0)</f>
        <v>0</v>
      </c>
      <c r="Z54" s="8" t="n">
        <f aca="false">IF(AND(CEG_Assets!$W$2=1,Z$3&lt;=PTCLast,Z38&gt;0),Z38*MAX(0,PTCCredit*(1+Infl)^(Z$3-PTCBase)-0.8*MAX(0,(Z43+Z44+Z46)*1000000/MAX(1,Z38)-PTCThresh*(1+Infl)^(Z$3-PTCBase)))/1000000,0)</f>
        <v>0</v>
      </c>
      <c r="AA54" s="8" t="n">
        <f aca="false">IF(AND(CEG_Assets!$W$2=1,AA$3&lt;=PTCLast,AA38&gt;0),AA38*MAX(0,PTCCredit*(1+Infl)^(AA$3-PTCBase)-0.8*MAX(0,(AA43+AA44+AA46)*1000000/MAX(1,AA38)-PTCThresh*(1+Infl)^(AA$3-PTCBase)))/1000000,0)</f>
        <v>0</v>
      </c>
      <c r="AB54" s="8" t="n">
        <f aca="false">IF(AND(CEG_Assets!$W$2=1,AB$3&lt;=PTCLast,AB38&gt;0),AB38*MAX(0,PTCCredit*(1+Infl)^(AB$3-PTCBase)-0.8*MAX(0,(AB43+AB44+AB46)*1000000/MAX(1,AB38)-PTCThresh*(1+Infl)^(AB$3-PTCBase)))/1000000,0)</f>
        <v>0</v>
      </c>
      <c r="AC54" s="8" t="n">
        <f aca="false">IF(AND(CEG_Assets!$W$2=1,AC$3&lt;=PTCLast,AC38&gt;0),AC38*MAX(0,PTCCredit*(1+Infl)^(AC$3-PTCBase)-0.8*MAX(0,(AC43+AC44+AC46)*1000000/MAX(1,AC38)-PTCThresh*(1+Infl)^(AC$3-PTCBase)))/1000000,0)</f>
        <v>0</v>
      </c>
      <c r="AD54" s="8" t="n">
        <f aca="false">IF(AND(CEG_Assets!$W$2=1,AD$3&lt;=PTCLast,AD38&gt;0),AD38*MAX(0,PTCCredit*(1+Infl)^(AD$3-PTCBase)-0.8*MAX(0,(AD43+AD44+AD46)*1000000/MAX(1,AD38)-PTCThresh*(1+Infl)^(AD$3-PTCBase)))/1000000,0)</f>
        <v>0</v>
      </c>
      <c r="AE54" s="8" t="n">
        <f aca="false">IF(AND(CEG_Assets!$W$2=1,AE$3&lt;=PTCLast,AE38&gt;0),AE38*MAX(0,PTCCredit*(1+Infl)^(AE$3-PTCBase)-0.8*MAX(0,(AE43+AE44+AE46)*1000000/MAX(1,AE38)-PTCThresh*(1+Infl)^(AE$3-PTCBase)))/1000000,0)</f>
        <v>0</v>
      </c>
      <c r="AF54" s="8" t="n">
        <f aca="false">IF(AND(CEG_Assets!$W$2=1,AF$3&lt;=PTCLast,AF38&gt;0),AF38*MAX(0,PTCCredit*(1+Infl)^(AF$3-PTCBase)-0.8*MAX(0,(AF43+AF44+AF46)*1000000/MAX(1,AF38)-PTCThresh*(1+Infl)^(AF$3-PTCBase)))/1000000,0)</f>
        <v>0</v>
      </c>
      <c r="AG54" s="8" t="n">
        <f aca="false">IF(AND(CEG_Assets!$W$2=1,AG$3&lt;=PTCLast,AG38&gt;0),AG38*MAX(0,PTCCredit*(1+Infl)^(AG$3-PTCBase)-0.8*MAX(0,(AG43+AG44+AG46)*1000000/MAX(1,AG38)-PTCThresh*(1+Infl)^(AG$3-PTCBase)))/1000000,0)</f>
        <v>0</v>
      </c>
      <c r="AH54" s="8" t="n">
        <f aca="false">IF(AND(CEG_Assets!$W$2=1,AH$3&lt;=PTCLast,AH38&gt;0),AH38*MAX(0,PTCCredit*(1+Infl)^(AH$3-PTCBase)-0.8*MAX(0,(AH43+AH44+AH46)*1000000/MAX(1,AH38)-PTCThresh*(1+Infl)^(AH$3-PTCBase)))/1000000,0)</f>
        <v>0</v>
      </c>
      <c r="AI54" s="8" t="n">
        <f aca="false">IF(AND(CEG_Assets!$W$2=1,AI$3&lt;=PTCLast,AI38&gt;0),AI38*MAX(0,PTCCredit*(1+Infl)^(AI$3-PTCBase)-0.8*MAX(0,(AI43+AI44+AI46)*1000000/MAX(1,AI38)-PTCThresh*(1+Infl)^(AI$3-PTCBase)))/1000000,0)</f>
        <v>0</v>
      </c>
      <c r="AJ54" s="8" t="n">
        <f aca="false">IF(AND(CEG_Assets!$W$2=1,AJ$3&lt;=PTCLast,AJ38&gt;0),AJ38*MAX(0,PTCCredit*(1+Infl)^(AJ$3-PTCBase)-0.8*MAX(0,(AJ43+AJ44+AJ46)*1000000/MAX(1,AJ38)-PTCThresh*(1+Infl)^(AJ$3-PTCBase)))/1000000,0)</f>
        <v>0</v>
      </c>
      <c r="AK54" s="8" t="n">
        <f aca="false">IF(AND(CEG_Assets!$W$2=1,AK$3&lt;=PTCLast,AK38&gt;0),AK38*MAX(0,PTCCredit*(1+Infl)^(AK$3-PTCBase)-0.8*MAX(0,(AK43+AK44+AK46)*1000000/MAX(1,AK38)-PTCThresh*(1+Infl)^(AK$3-PTCBase)))/1000000,0)</f>
        <v>0</v>
      </c>
      <c r="AL54" s="8" t="n">
        <f aca="false">IF(AND(CEG_Assets!$W$2=1,AL$3&lt;=PTCLast,AL38&gt;0),AL38*MAX(0,PTCCredit*(1+Infl)^(AL$3-PTCBase)-0.8*MAX(0,(AL43+AL44+AL46)*1000000/MAX(1,AL38)-PTCThresh*(1+Infl)^(AL$3-PTCBase)))/1000000,0)</f>
        <v>0</v>
      </c>
      <c r="AM54" s="8" t="n">
        <f aca="false">IF(AND(CEG_Assets!$W$2=1,AM$3&lt;=PTCLast,AM38&gt;0),AM38*MAX(0,PTCCredit*(1+Infl)^(AM$3-PTCBase)-0.8*MAX(0,(AM43+AM44+AM46)*1000000/MAX(1,AM38)-PTCThresh*(1+Infl)^(AM$3-PTCBase)))/1000000,0)</f>
        <v>0</v>
      </c>
      <c r="AN54" s="8" t="n">
        <f aca="false">IF(AND(CEG_Assets!$W$2=1,AN$3&lt;=PTCLast,AN38&gt;0),AN38*MAX(0,PTCCredit*(1+Infl)^(AN$3-PTCBase)-0.8*MAX(0,(AN43+AN44+AN46)*1000000/MAX(1,AN38)-PTCThresh*(1+Infl)^(AN$3-PTCBase)))/1000000,0)</f>
        <v>0</v>
      </c>
      <c r="AO54" s="8" t="n">
        <f aca="false">IF(AND(CEG_Assets!$W$2=1,AO$3&lt;=PTCLast,AO38&gt;0),AO38*MAX(0,PTCCredit*(1+Infl)^(AO$3-PTCBase)-0.8*MAX(0,(AO43+AO44+AO46)*1000000/MAX(1,AO38)-PTCThresh*(1+Infl)^(AO$3-PTCBase)))/1000000,0)</f>
        <v>0</v>
      </c>
      <c r="AP54" s="8" t="n">
        <f aca="false">IF(AND(CEG_Assets!$W$2=1,AP$3&lt;=PTCLast,AP38&gt;0),AP38*MAX(0,PTCCredit*(1+Infl)^(AP$3-PTCBase)-0.8*MAX(0,(AP43+AP44+AP46)*1000000/MAX(1,AP38)-PTCThresh*(1+Infl)^(AP$3-PTCBase)))/1000000,0)</f>
        <v>0</v>
      </c>
      <c r="AQ54" s="8" t="n">
        <f aca="false">IF(AND(CEG_Assets!$W$2=1,AQ$3&lt;=PTCLast,AQ38&gt;0),AQ38*MAX(0,PTCCredit*(1+Infl)^(AQ$3-PTCBase)-0.8*MAX(0,(AQ43+AQ44+AQ46)*1000000/MAX(1,AQ38)-PTCThresh*(1+Infl)^(AQ$3-PTCBase)))/1000000,0)</f>
        <v>0</v>
      </c>
      <c r="AR54" s="8" t="n">
        <f aca="false">IF(AND(CEG_Assets!$W$2=1,AR$3&lt;=PTCLast,AR38&gt;0),AR38*MAX(0,PTCCredit*(1+Infl)^(AR$3-PTCBase)-0.8*MAX(0,(AR43+AR44+AR46)*1000000/MAX(1,AR38)-PTCThresh*(1+Infl)^(AR$3-PTCBase)))/1000000,0)</f>
        <v>0</v>
      </c>
      <c r="AS54" s="8" t="n">
        <f aca="false">IF(AND(CEG_Assets!$W$2=1,AS$3&lt;=PTCLast,AS38&gt;0),AS38*MAX(0,PTCCredit*(1+Infl)^(AS$3-PTCBase)-0.8*MAX(0,(AS43+AS44+AS46)*1000000/MAX(1,AS38)-PTCThresh*(1+Infl)^(AS$3-PTCBase)))/1000000,0)</f>
        <v>0</v>
      </c>
    </row>
    <row r="55" customFormat="false" ht="15" hidden="false" customHeight="false" outlineLevel="0" collapsed="false">
      <c r="A55" s="6" t="s">
        <v>463</v>
      </c>
      <c r="B55" s="6" t="s">
        <v>464</v>
      </c>
      <c r="G55" s="8" t="n">
        <f aca="false">G45-G39*(CEG_Assets!$N$2*(1+CEG_FuelAdj)+CEG_Assets!$O$2*(1+CEG_OMAdj)+CEG_Assets!$P$2*(1+CEG_CapexAdj))*(1+CEG_Assets!$Q$2)^(G$3-2026)/1000000</f>
        <v>0</v>
      </c>
      <c r="H55" s="8" t="n">
        <f aca="false">H45-H39*(CEG_Assets!$N$2*(1+CEG_FuelAdj)+CEG_Assets!$O$2*(1+CEG_OMAdj)+CEG_Assets!$P$2*(1+CEG_CapexAdj))*(1+CEG_Assets!$Q$2)^(H$3-2026)/1000000</f>
        <v>0</v>
      </c>
      <c r="I55" s="8" t="n">
        <f aca="false">I45-I39*(CEG_Assets!$N$2*(1+CEG_FuelAdj)+CEG_Assets!$O$2*(1+CEG_OMAdj)+CEG_Assets!$P$2*(1+CEG_CapexAdj))*(1+CEG_Assets!$Q$2)^(I$3-2026)/1000000</f>
        <v>0</v>
      </c>
      <c r="J55" s="8" t="n">
        <f aca="false">J45-J39*(CEG_Assets!$N$2*(1+CEG_FuelAdj)+CEG_Assets!$O$2*(1+CEG_OMAdj)+CEG_Assets!$P$2*(1+CEG_CapexAdj))*(1+CEG_Assets!$Q$2)^(J$3-2026)/1000000</f>
        <v>0</v>
      </c>
      <c r="K55" s="8" t="n">
        <f aca="false">K45-K39*(CEG_Assets!$N$2*(1+CEG_FuelAdj)+CEG_Assets!$O$2*(1+CEG_OMAdj)+CEG_Assets!$P$2*(1+CEG_CapexAdj))*(1+CEG_Assets!$Q$2)^(K$3-2026)/1000000</f>
        <v>0</v>
      </c>
      <c r="L55" s="8" t="n">
        <f aca="false">L45-L39*(CEG_Assets!$N$2*(1+CEG_FuelAdj)+CEG_Assets!$O$2*(1+CEG_OMAdj)+CEG_Assets!$P$2*(1+CEG_CapexAdj))*(1+CEG_Assets!$Q$2)^(L$3-2026)/1000000</f>
        <v>0</v>
      </c>
      <c r="M55" s="8" t="n">
        <f aca="false">M45-M39*(CEG_Assets!$N$2*(1+CEG_FuelAdj)+CEG_Assets!$O$2*(1+CEG_OMAdj)+CEG_Assets!$P$2*(1+CEG_CapexAdj))*(1+CEG_Assets!$Q$2)^(M$3-2026)/1000000</f>
        <v>0</v>
      </c>
      <c r="N55" s="8" t="n">
        <f aca="false">N45-N39*(CEG_Assets!$N$2*(1+CEG_FuelAdj)+CEG_Assets!$O$2*(1+CEG_OMAdj)+CEG_Assets!$P$2*(1+CEG_CapexAdj))*(1+CEG_Assets!$Q$2)^(N$3-2026)/1000000</f>
        <v>0</v>
      </c>
      <c r="O55" s="8" t="n">
        <f aca="false">O45-O39*(CEG_Assets!$N$2*(1+CEG_FuelAdj)+CEG_Assets!$O$2*(1+CEG_OMAdj)+CEG_Assets!$P$2*(1+CEG_CapexAdj))*(1+CEG_Assets!$Q$2)^(O$3-2026)/1000000</f>
        <v>0</v>
      </c>
      <c r="P55" s="8" t="n">
        <f aca="false">P45-P39*(CEG_Assets!$N$2*(1+CEG_FuelAdj)+CEG_Assets!$O$2*(1+CEG_OMAdj)+CEG_Assets!$P$2*(1+CEG_CapexAdj))*(1+CEG_Assets!$Q$2)^(P$3-2026)/1000000</f>
        <v>0</v>
      </c>
      <c r="Q55" s="8" t="n">
        <f aca="false">Q45-Q39*(CEG_Assets!$N$2*(1+CEG_FuelAdj)+CEG_Assets!$O$2*(1+CEG_OMAdj)+CEG_Assets!$P$2*(1+CEG_CapexAdj))*(1+CEG_Assets!$Q$2)^(Q$3-2026)/1000000</f>
        <v>0</v>
      </c>
      <c r="R55" s="8" t="n">
        <f aca="false">R45-R39*(CEG_Assets!$N$2*(1+CEG_FuelAdj)+CEG_Assets!$O$2*(1+CEG_OMAdj)+CEG_Assets!$P$2*(1+CEG_CapexAdj))*(1+CEG_Assets!$Q$2)^(R$3-2026)/1000000</f>
        <v>0</v>
      </c>
      <c r="S55" s="8" t="n">
        <f aca="false">S45-S39*(CEG_Assets!$N$2*(1+CEG_FuelAdj)+CEG_Assets!$O$2*(1+CEG_OMAdj)+CEG_Assets!$P$2*(1+CEG_CapexAdj))*(1+CEG_Assets!$Q$2)^(S$3-2026)/1000000</f>
        <v>0</v>
      </c>
      <c r="T55" s="8" t="n">
        <f aca="false">T45-T39*(CEG_Assets!$N$2*(1+CEG_FuelAdj)+CEG_Assets!$O$2*(1+CEG_OMAdj)+CEG_Assets!$P$2*(1+CEG_CapexAdj))*(1+CEG_Assets!$Q$2)^(T$3-2026)/1000000</f>
        <v>0</v>
      </c>
      <c r="U55" s="8" t="n">
        <f aca="false">U45-U39*(CEG_Assets!$N$2*(1+CEG_FuelAdj)+CEG_Assets!$O$2*(1+CEG_OMAdj)+CEG_Assets!$P$2*(1+CEG_CapexAdj))*(1+CEG_Assets!$Q$2)^(U$3-2026)/1000000</f>
        <v>0</v>
      </c>
      <c r="V55" s="8" t="n">
        <f aca="false">V45-V39*(CEG_Assets!$N$2*(1+CEG_FuelAdj)+CEG_Assets!$O$2*(1+CEG_OMAdj)+CEG_Assets!$P$2*(1+CEG_CapexAdj))*(1+CEG_Assets!$Q$2)^(V$3-2026)/1000000</f>
        <v>0</v>
      </c>
      <c r="W55" s="8" t="n">
        <f aca="false">W45-W39*(CEG_Assets!$N$2*(1+CEG_FuelAdj)+CEG_Assets!$O$2*(1+CEG_OMAdj)+CEG_Assets!$P$2*(1+CEG_CapexAdj))*(1+CEG_Assets!$Q$2)^(W$3-2026)/1000000</f>
        <v>0</v>
      </c>
      <c r="X55" s="8" t="n">
        <f aca="false">X45-X39*(CEG_Assets!$N$2*(1+CEG_FuelAdj)+CEG_Assets!$O$2*(1+CEG_OMAdj)+CEG_Assets!$P$2*(1+CEG_CapexAdj))*(1+CEG_Assets!$Q$2)^(X$3-2026)/1000000</f>
        <v>0</v>
      </c>
      <c r="Y55" s="8" t="n">
        <f aca="false">Y45-Y39*(CEG_Assets!$N$2*(1+CEG_FuelAdj)+CEG_Assets!$O$2*(1+CEG_OMAdj)+CEG_Assets!$P$2*(1+CEG_CapexAdj))*(1+CEG_Assets!$Q$2)^(Y$3-2026)/1000000</f>
        <v>0</v>
      </c>
      <c r="Z55" s="8" t="n">
        <f aca="false">Z45-Z39*(CEG_Assets!$N$2*(1+CEG_FuelAdj)+CEG_Assets!$O$2*(1+CEG_OMAdj)+CEG_Assets!$P$2*(1+CEG_CapexAdj))*(1+CEG_Assets!$Q$2)^(Z$3-2026)/1000000</f>
        <v>0</v>
      </c>
      <c r="AA55" s="8" t="n">
        <f aca="false">AA45-AA39*(CEG_Assets!$N$2*(1+CEG_FuelAdj)+CEG_Assets!$O$2*(1+CEG_OMAdj)+CEG_Assets!$P$2*(1+CEG_CapexAdj))*(1+CEG_Assets!$Q$2)^(AA$3-2026)/1000000</f>
        <v>0</v>
      </c>
      <c r="AB55" s="8" t="n">
        <f aca="false">AB45-AB39*(CEG_Assets!$N$2*(1+CEG_FuelAdj)+CEG_Assets!$O$2*(1+CEG_OMAdj)+CEG_Assets!$P$2*(1+CEG_CapexAdj))*(1+CEG_Assets!$Q$2)^(AB$3-2026)/1000000</f>
        <v>0</v>
      </c>
      <c r="AC55" s="8" t="n">
        <f aca="false">AC45-AC39*(CEG_Assets!$N$2*(1+CEG_FuelAdj)+CEG_Assets!$O$2*(1+CEG_OMAdj)+CEG_Assets!$P$2*(1+CEG_CapexAdj))*(1+CEG_Assets!$Q$2)^(AC$3-2026)/1000000</f>
        <v>0</v>
      </c>
      <c r="AD55" s="8" t="n">
        <f aca="false">AD45-AD39*(CEG_Assets!$N$2*(1+CEG_FuelAdj)+CEG_Assets!$O$2*(1+CEG_OMAdj)+CEG_Assets!$P$2*(1+CEG_CapexAdj))*(1+CEG_Assets!$Q$2)^(AD$3-2026)/1000000</f>
        <v>0</v>
      </c>
      <c r="AE55" s="8" t="n">
        <f aca="false">AE45-AE39*(CEG_Assets!$N$2*(1+CEG_FuelAdj)+CEG_Assets!$O$2*(1+CEG_OMAdj)+CEG_Assets!$P$2*(1+CEG_CapexAdj))*(1+CEG_Assets!$Q$2)^(AE$3-2026)/1000000</f>
        <v>0</v>
      </c>
      <c r="AF55" s="8" t="n">
        <f aca="false">AF45-AF39*(CEG_Assets!$N$2*(1+CEG_FuelAdj)+CEG_Assets!$O$2*(1+CEG_OMAdj)+CEG_Assets!$P$2*(1+CEG_CapexAdj))*(1+CEG_Assets!$Q$2)^(AF$3-2026)/1000000</f>
        <v>0</v>
      </c>
      <c r="AG55" s="8" t="n">
        <f aca="false">AG45-AG39*(CEG_Assets!$N$2*(1+CEG_FuelAdj)+CEG_Assets!$O$2*(1+CEG_OMAdj)+CEG_Assets!$P$2*(1+CEG_CapexAdj))*(1+CEG_Assets!$Q$2)^(AG$3-2026)/1000000</f>
        <v>0</v>
      </c>
      <c r="AH55" s="8" t="n">
        <f aca="false">AH45-AH39*(CEG_Assets!$N$2*(1+CEG_FuelAdj)+CEG_Assets!$O$2*(1+CEG_OMAdj)+CEG_Assets!$P$2*(1+CEG_CapexAdj))*(1+CEG_Assets!$Q$2)^(AH$3-2026)/1000000</f>
        <v>0</v>
      </c>
      <c r="AI55" s="8" t="n">
        <f aca="false">AI45-AI39*(CEG_Assets!$N$2*(1+CEG_FuelAdj)+CEG_Assets!$O$2*(1+CEG_OMAdj)+CEG_Assets!$P$2*(1+CEG_CapexAdj))*(1+CEG_Assets!$Q$2)^(AI$3-2026)/1000000</f>
        <v>0</v>
      </c>
      <c r="AJ55" s="8" t="n">
        <f aca="false">AJ45-AJ39*(CEG_Assets!$N$2*(1+CEG_FuelAdj)+CEG_Assets!$O$2*(1+CEG_OMAdj)+CEG_Assets!$P$2*(1+CEG_CapexAdj))*(1+CEG_Assets!$Q$2)^(AJ$3-2026)/1000000</f>
        <v>0</v>
      </c>
      <c r="AK55" s="8" t="n">
        <f aca="false">AK45-AK39*(CEG_Assets!$N$2*(1+CEG_FuelAdj)+CEG_Assets!$O$2*(1+CEG_OMAdj)+CEG_Assets!$P$2*(1+CEG_CapexAdj))*(1+CEG_Assets!$Q$2)^(AK$3-2026)/1000000</f>
        <v>0</v>
      </c>
      <c r="AL55" s="8" t="n">
        <f aca="false">AL45-AL39*(CEG_Assets!$N$2*(1+CEG_FuelAdj)+CEG_Assets!$O$2*(1+CEG_OMAdj)+CEG_Assets!$P$2*(1+CEG_CapexAdj))*(1+CEG_Assets!$Q$2)^(AL$3-2026)/1000000</f>
        <v>0</v>
      </c>
      <c r="AM55" s="8" t="n">
        <f aca="false">AM45-AM39*(CEG_Assets!$N$2*(1+CEG_FuelAdj)+CEG_Assets!$O$2*(1+CEG_OMAdj)+CEG_Assets!$P$2*(1+CEG_CapexAdj))*(1+CEG_Assets!$Q$2)^(AM$3-2026)/1000000</f>
        <v>0</v>
      </c>
      <c r="AN55" s="8" t="n">
        <f aca="false">AN45-AN39*(CEG_Assets!$N$2*(1+CEG_FuelAdj)+CEG_Assets!$O$2*(1+CEG_OMAdj)+CEG_Assets!$P$2*(1+CEG_CapexAdj))*(1+CEG_Assets!$Q$2)^(AN$3-2026)/1000000</f>
        <v>0</v>
      </c>
      <c r="AO55" s="8" t="n">
        <f aca="false">AO45-AO39*(CEG_Assets!$N$2*(1+CEG_FuelAdj)+CEG_Assets!$O$2*(1+CEG_OMAdj)+CEG_Assets!$P$2*(1+CEG_CapexAdj))*(1+CEG_Assets!$Q$2)^(AO$3-2026)/1000000</f>
        <v>0</v>
      </c>
      <c r="AP55" s="8" t="n">
        <f aca="false">AP45-AP39*(CEG_Assets!$N$2*(1+CEG_FuelAdj)+CEG_Assets!$O$2*(1+CEG_OMAdj)+CEG_Assets!$P$2*(1+CEG_CapexAdj))*(1+CEG_Assets!$Q$2)^(AP$3-2026)/1000000</f>
        <v>0</v>
      </c>
      <c r="AQ55" s="8" t="n">
        <f aca="false">AQ45-AQ39*(CEG_Assets!$N$2*(1+CEG_FuelAdj)+CEG_Assets!$O$2*(1+CEG_OMAdj)+CEG_Assets!$P$2*(1+CEG_CapexAdj))*(1+CEG_Assets!$Q$2)^(AQ$3-2026)/1000000</f>
        <v>0</v>
      </c>
      <c r="AR55" s="8" t="n">
        <f aca="false">AR45-AR39*(CEG_Assets!$N$2*(1+CEG_FuelAdj)+CEG_Assets!$O$2*(1+CEG_OMAdj)+CEG_Assets!$P$2*(1+CEG_CapexAdj))*(1+CEG_Assets!$Q$2)^(AR$3-2026)/1000000</f>
        <v>0</v>
      </c>
      <c r="AS55" s="8" t="n">
        <f aca="false">AS45-AS39*(CEG_Assets!$N$2*(1+CEG_FuelAdj)+CEG_Assets!$O$2*(1+CEG_OMAdj)+CEG_Assets!$P$2*(1+CEG_CapexAdj))*(1+CEG_Assets!$Q$2)^(AS$3-2026)/1000000</f>
        <v>0</v>
      </c>
    </row>
    <row r="56" customFormat="false" ht="15" hidden="false" customHeight="false" outlineLevel="0" collapsed="false">
      <c r="A56" s="6" t="s">
        <v>465</v>
      </c>
      <c r="B56" s="6" t="s">
        <v>466</v>
      </c>
      <c r="G56" s="8" t="n">
        <f aca="false">G53-G55</f>
        <v>2577.102947665</v>
      </c>
      <c r="H56" s="8" t="n">
        <f aca="false">H53-H55</f>
        <v>2574.33169844188</v>
      </c>
      <c r="I56" s="8" t="n">
        <f aca="false">I53-I55</f>
        <v>2096.98205715656</v>
      </c>
      <c r="J56" s="8" t="n">
        <f aca="false">J53-J55</f>
        <v>1890.2695407281</v>
      </c>
      <c r="K56" s="8" t="n">
        <f aca="false">K53-K55</f>
        <v>1917.75633792097</v>
      </c>
      <c r="L56" s="8" t="n">
        <f aca="false">L53-L55</f>
        <v>1945.53490621715</v>
      </c>
      <c r="M56" s="8" t="n">
        <f aca="false">M53-M55</f>
        <v>1973.6046319177</v>
      </c>
      <c r="N56" s="8" t="n">
        <f aca="false">N53-N55</f>
        <v>2001.96472782167</v>
      </c>
      <c r="O56" s="8" t="n">
        <f aca="false">O53-O55</f>
        <v>2030.61422572535</v>
      </c>
      <c r="P56" s="8" t="n">
        <f aca="false">P53-P55</f>
        <v>2059.5519686708</v>
      </c>
      <c r="Q56" s="8" t="n">
        <f aca="false">Q53-Q55</f>
        <v>2088.77660293592</v>
      </c>
      <c r="R56" s="8" t="n">
        <f aca="false">R53-R55</f>
        <v>2118.28656975864</v>
      </c>
      <c r="S56" s="8" t="n">
        <f aca="false">S53-S55</f>
        <v>2148.08009678692</v>
      </c>
      <c r="T56" s="8" t="n">
        <f aca="false">T53-T55</f>
        <v>2178.15518924658</v>
      </c>
      <c r="U56" s="8" t="n">
        <f aca="false">U53-U55</f>
        <v>2208.50962081854</v>
      </c>
      <c r="V56" s="8" t="n">
        <f aca="false">V53-V55</f>
        <v>2239.14092421662</v>
      </c>
      <c r="W56" s="8" t="n">
        <f aca="false">W53-W55</f>
        <v>2270.04638145719</v>
      </c>
      <c r="X56" s="8" t="n">
        <f aca="false">X53-X55</f>
        <v>2301.22301381149</v>
      </c>
      <c r="Y56" s="8" t="n">
        <f aca="false">Y53-Y55</f>
        <v>2332.667571431</v>
      </c>
      <c r="Z56" s="8" t="n">
        <f aca="false">Z53-Z55</f>
        <v>2364.37652263648</v>
      </c>
      <c r="AA56" s="8" t="n">
        <f aca="false">AA53-AA55</f>
        <v>2396.3460428605</v>
      </c>
      <c r="AB56" s="8" t="n">
        <f aca="false">AB53-AB55</f>
        <v>2428.57200323327</v>
      </c>
      <c r="AC56" s="8" t="n">
        <f aca="false">AC53-AC55</f>
        <v>2461.04995880139</v>
      </c>
      <c r="AD56" s="8" t="n">
        <f aca="false">AD53-AD55</f>
        <v>2493.77513636846</v>
      </c>
      <c r="AE56" s="8" t="n">
        <f aca="false">AE53-AE55</f>
        <v>2526.74242194665</v>
      </c>
      <c r="AF56" s="8" t="n">
        <f aca="false">AF53-AF55</f>
        <v>2559.94634780767</v>
      </c>
      <c r="AG56" s="8" t="n">
        <f aca="false">AG53-AG55</f>
        <v>2593.38107912146</v>
      </c>
      <c r="AH56" s="8" t="n">
        <f aca="false">AH53-AH55</f>
        <v>2627.04040017047</v>
      </c>
      <c r="AI56" s="8" t="n">
        <f aca="false">AI53-AI55</f>
        <v>2660.91770012713</v>
      </c>
      <c r="AJ56" s="8" t="n">
        <f aca="false">AJ53-AJ55</f>
        <v>0</v>
      </c>
      <c r="AK56" s="8" t="n">
        <f aca="false">AK53-AK55</f>
        <v>0</v>
      </c>
      <c r="AL56" s="8" t="n">
        <f aca="false">AL53-AL55</f>
        <v>0</v>
      </c>
      <c r="AM56" s="8" t="n">
        <f aca="false">AM53-AM55</f>
        <v>0</v>
      </c>
      <c r="AN56" s="8" t="n">
        <f aca="false">AN53-AN55</f>
        <v>0</v>
      </c>
      <c r="AO56" s="8" t="n">
        <f aca="false">AO53-AO55</f>
        <v>0</v>
      </c>
      <c r="AP56" s="8" t="n">
        <f aca="false">AP53-AP55</f>
        <v>0</v>
      </c>
      <c r="AQ56" s="8" t="n">
        <f aca="false">AQ53-AQ55</f>
        <v>0</v>
      </c>
      <c r="AR56" s="8" t="n">
        <f aca="false">AR53-AR55</f>
        <v>0</v>
      </c>
      <c r="AS56" s="8" t="n">
        <f aca="false">AS53-AS55</f>
        <v>0</v>
      </c>
    </row>
    <row r="57" customFormat="false" ht="15" hidden="false" customHeight="false" outlineLevel="0" collapsed="false">
      <c r="A57" s="6" t="s">
        <v>467</v>
      </c>
      <c r="B57" s="6" t="s">
        <v>468</v>
      </c>
      <c r="G57" s="8" t="n">
        <f aca="false">G56*(1-TaxRate)+G54</f>
        <v>2061.682358132</v>
      </c>
      <c r="H57" s="8" t="n">
        <f aca="false">H56*(1-TaxRate)+H54</f>
        <v>2059.4653587535</v>
      </c>
      <c r="I57" s="8" t="n">
        <f aca="false">I56*(1-TaxRate)+I54</f>
        <v>1677.58564572525</v>
      </c>
      <c r="J57" s="8" t="n">
        <f aca="false">J56*(1-TaxRate)+J54</f>
        <v>1512.21563258248</v>
      </c>
      <c r="K57" s="8" t="n">
        <f aca="false">K56*(1-TaxRate)+K54</f>
        <v>1534.20507033677</v>
      </c>
      <c r="L57" s="8" t="n">
        <f aca="false">L56*(1-TaxRate)+L54</f>
        <v>1556.42792497372</v>
      </c>
      <c r="M57" s="8" t="n">
        <f aca="false">M56*(1-TaxRate)+M54</f>
        <v>1578.88370553416</v>
      </c>
      <c r="N57" s="8" t="n">
        <f aca="false">N56*(1-TaxRate)+N54</f>
        <v>1601.57178225734</v>
      </c>
      <c r="O57" s="8" t="n">
        <f aca="false">O56*(1-TaxRate)+O54</f>
        <v>1624.49138058028</v>
      </c>
      <c r="P57" s="8" t="n">
        <f aca="false">P56*(1-TaxRate)+P54</f>
        <v>1647.64157493664</v>
      </c>
      <c r="Q57" s="8" t="n">
        <f aca="false">Q56*(1-TaxRate)+Q54</f>
        <v>1671.02128234874</v>
      </c>
      <c r="R57" s="8" t="n">
        <f aca="false">R56*(1-TaxRate)+R54</f>
        <v>1694.62925580691</v>
      </c>
      <c r="S57" s="8" t="n">
        <f aca="false">S56*(1-TaxRate)+S54</f>
        <v>1718.46407742953</v>
      </c>
      <c r="T57" s="8" t="n">
        <f aca="false">T56*(1-TaxRate)+T54</f>
        <v>1742.52415139727</v>
      </c>
      <c r="U57" s="8" t="n">
        <f aca="false">U56*(1-TaxRate)+U54</f>
        <v>1766.80769665483</v>
      </c>
      <c r="V57" s="8" t="n">
        <f aca="false">V56*(1-TaxRate)+V54</f>
        <v>1791.31273937329</v>
      </c>
      <c r="W57" s="8" t="n">
        <f aca="false">W56*(1-TaxRate)+W54</f>
        <v>1816.03710516576</v>
      </c>
      <c r="X57" s="8" t="n">
        <f aca="false">X56*(1-TaxRate)+X54</f>
        <v>1840.97841104919</v>
      </c>
      <c r="Y57" s="8" t="n">
        <f aca="false">Y56*(1-TaxRate)+Y54</f>
        <v>1866.1340571448</v>
      </c>
      <c r="Z57" s="8" t="n">
        <f aca="false">Z56*(1-TaxRate)+Z54</f>
        <v>1891.50121810919</v>
      </c>
      <c r="AA57" s="8" t="n">
        <f aca="false">AA56*(1-TaxRate)+AA54</f>
        <v>1917.0768342884</v>
      </c>
      <c r="AB57" s="8" t="n">
        <f aca="false">AB56*(1-TaxRate)+AB54</f>
        <v>1942.85760258662</v>
      </c>
      <c r="AC57" s="8" t="n">
        <f aca="false">AC56*(1-TaxRate)+AC54</f>
        <v>1968.83996704111</v>
      </c>
      <c r="AD57" s="8" t="n">
        <f aca="false">AD56*(1-TaxRate)+AD54</f>
        <v>1995.02010909477</v>
      </c>
      <c r="AE57" s="8" t="n">
        <f aca="false">AE56*(1-TaxRate)+AE54</f>
        <v>2021.39393755732</v>
      </c>
      <c r="AF57" s="8" t="n">
        <f aca="false">AF56*(1-TaxRate)+AF54</f>
        <v>2047.95707824614</v>
      </c>
      <c r="AG57" s="8" t="n">
        <f aca="false">AG56*(1-TaxRate)+AG54</f>
        <v>2074.70486329717</v>
      </c>
      <c r="AH57" s="8" t="n">
        <f aca="false">AH56*(1-TaxRate)+AH54</f>
        <v>2101.63232013638</v>
      </c>
      <c r="AI57" s="8" t="n">
        <f aca="false">AI56*(1-TaxRate)+AI54</f>
        <v>2128.7341601017</v>
      </c>
      <c r="AJ57" s="8" t="n">
        <f aca="false">AJ56*(1-TaxRate)+AJ54</f>
        <v>0</v>
      </c>
      <c r="AK57" s="8" t="n">
        <f aca="false">AK56*(1-TaxRate)+AK54</f>
        <v>0</v>
      </c>
      <c r="AL57" s="8" t="n">
        <f aca="false">AL56*(1-TaxRate)+AL54</f>
        <v>0</v>
      </c>
      <c r="AM57" s="8" t="n">
        <f aca="false">AM56*(1-TaxRate)+AM54</f>
        <v>0</v>
      </c>
      <c r="AN57" s="8" t="n">
        <f aca="false">AN56*(1-TaxRate)+AN54</f>
        <v>0</v>
      </c>
      <c r="AO57" s="8" t="n">
        <f aca="false">AO56*(1-TaxRate)+AO54</f>
        <v>0</v>
      </c>
      <c r="AP57" s="8" t="n">
        <f aca="false">AP56*(1-TaxRate)+AP54</f>
        <v>0</v>
      </c>
      <c r="AQ57" s="8" t="n">
        <f aca="false">AQ56*(1-TaxRate)+AQ54</f>
        <v>0</v>
      </c>
      <c r="AR57" s="8" t="n">
        <f aca="false">AR56*(1-TaxRate)+AR54</f>
        <v>0</v>
      </c>
      <c r="AS57" s="8" t="n">
        <f aca="false">AS56*(1-TaxRate)+AS54</f>
        <v>0</v>
      </c>
    </row>
    <row r="58" customFormat="false" ht="15" hidden="false" customHeight="false" outlineLevel="0" collapsed="false">
      <c r="A58" s="6" t="s">
        <v>469</v>
      </c>
      <c r="B58" s="6" t="s">
        <v>470</v>
      </c>
      <c r="G58" s="8" t="n">
        <f aca="false">G55*(1-TaxRate)</f>
        <v>0</v>
      </c>
      <c r="H58" s="8" t="n">
        <f aca="false">H55*(1-TaxRate)</f>
        <v>0</v>
      </c>
      <c r="I58" s="8" t="n">
        <f aca="false">I55*(1-TaxRate)</f>
        <v>0</v>
      </c>
      <c r="J58" s="8" t="n">
        <f aca="false">J55*(1-TaxRate)</f>
        <v>0</v>
      </c>
      <c r="K58" s="8" t="n">
        <f aca="false">K55*(1-TaxRate)</f>
        <v>0</v>
      </c>
      <c r="L58" s="8" t="n">
        <f aca="false">L55*(1-TaxRate)</f>
        <v>0</v>
      </c>
      <c r="M58" s="8" t="n">
        <f aca="false">M55*(1-TaxRate)</f>
        <v>0</v>
      </c>
      <c r="N58" s="8" t="n">
        <f aca="false">N55*(1-TaxRate)</f>
        <v>0</v>
      </c>
      <c r="O58" s="8" t="n">
        <f aca="false">O55*(1-TaxRate)</f>
        <v>0</v>
      </c>
      <c r="P58" s="8" t="n">
        <f aca="false">P55*(1-TaxRate)</f>
        <v>0</v>
      </c>
      <c r="Q58" s="8" t="n">
        <f aca="false">Q55*(1-TaxRate)</f>
        <v>0</v>
      </c>
      <c r="R58" s="8" t="n">
        <f aca="false">R55*(1-TaxRate)</f>
        <v>0</v>
      </c>
      <c r="S58" s="8" t="n">
        <f aca="false">S55*(1-TaxRate)</f>
        <v>0</v>
      </c>
      <c r="T58" s="8" t="n">
        <f aca="false">T55*(1-TaxRate)</f>
        <v>0</v>
      </c>
      <c r="U58" s="8" t="n">
        <f aca="false">U55*(1-TaxRate)</f>
        <v>0</v>
      </c>
      <c r="V58" s="8" t="n">
        <f aca="false">V55*(1-TaxRate)</f>
        <v>0</v>
      </c>
      <c r="W58" s="8" t="n">
        <f aca="false">W55*(1-TaxRate)</f>
        <v>0</v>
      </c>
      <c r="X58" s="8" t="n">
        <f aca="false">X55*(1-TaxRate)</f>
        <v>0</v>
      </c>
      <c r="Y58" s="8" t="n">
        <f aca="false">Y55*(1-TaxRate)</f>
        <v>0</v>
      </c>
      <c r="Z58" s="8" t="n">
        <f aca="false">Z55*(1-TaxRate)</f>
        <v>0</v>
      </c>
      <c r="AA58" s="8" t="n">
        <f aca="false">AA55*(1-TaxRate)</f>
        <v>0</v>
      </c>
      <c r="AB58" s="8" t="n">
        <f aca="false">AB55*(1-TaxRate)</f>
        <v>0</v>
      </c>
      <c r="AC58" s="8" t="n">
        <f aca="false">AC55*(1-TaxRate)</f>
        <v>0</v>
      </c>
      <c r="AD58" s="8" t="n">
        <f aca="false">AD55*(1-TaxRate)</f>
        <v>0</v>
      </c>
      <c r="AE58" s="8" t="n">
        <f aca="false">AE55*(1-TaxRate)</f>
        <v>0</v>
      </c>
      <c r="AF58" s="8" t="n">
        <f aca="false">AF55*(1-TaxRate)</f>
        <v>0</v>
      </c>
      <c r="AG58" s="8" t="n">
        <f aca="false">AG55*(1-TaxRate)</f>
        <v>0</v>
      </c>
      <c r="AH58" s="8" t="n">
        <f aca="false">AH55*(1-TaxRate)</f>
        <v>0</v>
      </c>
      <c r="AI58" s="8" t="n">
        <f aca="false">AI55*(1-TaxRate)</f>
        <v>0</v>
      </c>
      <c r="AJ58" s="8" t="n">
        <f aca="false">AJ55*(1-TaxRate)</f>
        <v>0</v>
      </c>
      <c r="AK58" s="8" t="n">
        <f aca="false">AK55*(1-TaxRate)</f>
        <v>0</v>
      </c>
      <c r="AL58" s="8" t="n">
        <f aca="false">AL55*(1-TaxRate)</f>
        <v>0</v>
      </c>
      <c r="AM58" s="8" t="n">
        <f aca="false">AM55*(1-TaxRate)</f>
        <v>0</v>
      </c>
      <c r="AN58" s="8" t="n">
        <f aca="false">AN55*(1-TaxRate)</f>
        <v>0</v>
      </c>
      <c r="AO58" s="8" t="n">
        <f aca="false">AO55*(1-TaxRate)</f>
        <v>0</v>
      </c>
      <c r="AP58" s="8" t="n">
        <f aca="false">AP55*(1-TaxRate)</f>
        <v>0</v>
      </c>
      <c r="AQ58" s="8" t="n">
        <f aca="false">AQ55*(1-TaxRate)</f>
        <v>0</v>
      </c>
      <c r="AR58" s="8" t="n">
        <f aca="false">AR55*(1-TaxRate)</f>
        <v>0</v>
      </c>
      <c r="AS58" s="8" t="n">
        <f aca="false">AS55*(1-TaxRate)</f>
        <v>0</v>
      </c>
    </row>
    <row r="59" customFormat="false" ht="15" hidden="false" customHeight="false" outlineLevel="0" collapsed="false">
      <c r="A59" s="6" t="s">
        <v>471</v>
      </c>
      <c r="B59" s="6" t="s">
        <v>472</v>
      </c>
      <c r="G59" s="42" t="n">
        <f aca="false">(1+CEG_Assets!$AE$2)^-(G$3+0.5-ValDate)</f>
        <v>0.943913469359513</v>
      </c>
      <c r="H59" s="42" t="n">
        <f aca="false">(1+CEG_Assets!$AE$2)^-(H$3+0.5-ValDate)</f>
        <v>0.87399395311066</v>
      </c>
      <c r="I59" s="42" t="n">
        <f aca="false">(1+CEG_Assets!$AE$2)^-(I$3+0.5-ValDate)</f>
        <v>0.809253660287648</v>
      </c>
      <c r="J59" s="42" t="n">
        <f aca="false">(1+CEG_Assets!$AE$2)^-(J$3+0.5-ValDate)</f>
        <v>0.749308944710785</v>
      </c>
      <c r="K59" s="42" t="n">
        <f aca="false">(1+CEG_Assets!$AE$2)^-(K$3+0.5-ValDate)</f>
        <v>0.693804578435912</v>
      </c>
      <c r="L59" s="42" t="n">
        <f aca="false">(1+CEG_Assets!$AE$2)^-(L$3+0.5-ValDate)</f>
        <v>0.642411646699918</v>
      </c>
      <c r="M59" s="42" t="n">
        <f aca="false">(1+CEG_Assets!$AE$2)^-(M$3+0.5-ValDate)</f>
        <v>0.594825598796221</v>
      </c>
      <c r="N59" s="42" t="n">
        <f aca="false">(1+CEG_Assets!$AE$2)^-(N$3+0.5-ValDate)</f>
        <v>0.550764443329834</v>
      </c>
      <c r="O59" s="42" t="n">
        <f aca="false">(1+CEG_Assets!$AE$2)^-(O$3+0.5-ValDate)</f>
        <v>0.509967077157254</v>
      </c>
      <c r="P59" s="42" t="n">
        <f aca="false">(1+CEG_Assets!$AE$2)^-(P$3+0.5-ValDate)</f>
        <v>0.472191738108568</v>
      </c>
      <c r="Q59" s="42" t="n">
        <f aca="false">(1+CEG_Assets!$AE$2)^-(Q$3+0.5-ValDate)</f>
        <v>0.437214572322748</v>
      </c>
      <c r="R59" s="42" t="n">
        <f aca="false">(1+CEG_Assets!$AE$2)^-(R$3+0.5-ValDate)</f>
        <v>0.404828307706248</v>
      </c>
      <c r="S59" s="42" t="n">
        <f aca="false">(1+CEG_Assets!$AE$2)^-(S$3+0.5-ValDate)</f>
        <v>0.374841025653934</v>
      </c>
      <c r="T59" s="42" t="n">
        <f aca="false">(1+CEG_Assets!$AE$2)^-(T$3+0.5-ValDate)</f>
        <v>0.347075023753642</v>
      </c>
      <c r="U59" s="42" t="n">
        <f aca="false">(1+CEG_Assets!$AE$2)^-(U$3+0.5-ValDate)</f>
        <v>0.321365762734854</v>
      </c>
      <c r="V59" s="42" t="n">
        <f aca="false">(1+CEG_Assets!$AE$2)^-(V$3+0.5-ValDate)</f>
        <v>0.297560891421161</v>
      </c>
      <c r="W59" s="42" t="n">
        <f aca="false">(1+CEG_Assets!$AE$2)^-(W$3+0.5-ValDate)</f>
        <v>0.275519343908482</v>
      </c>
      <c r="X59" s="42" t="n">
        <f aca="false">(1+CEG_Assets!$AE$2)^-(X$3+0.5-ValDate)</f>
        <v>0.255110503618965</v>
      </c>
      <c r="Y59" s="42" t="n">
        <f aca="false">(1+CEG_Assets!$AE$2)^-(Y$3+0.5-ValDate)</f>
        <v>0.23621342927682</v>
      </c>
      <c r="Z59" s="42" t="n">
        <f aca="false">(1+CEG_Assets!$AE$2)^-(Z$3+0.5-ValDate)</f>
        <v>0.218716138219277</v>
      </c>
      <c r="AA59" s="42" t="n">
        <f aca="false">(1+CEG_Assets!$AE$2)^-(AA$3+0.5-ValDate)</f>
        <v>0.202514942795627</v>
      </c>
      <c r="AB59" s="42" t="n">
        <f aca="false">(1+CEG_Assets!$AE$2)^-(AB$3+0.5-ValDate)</f>
        <v>0.187513835921877</v>
      </c>
      <c r="AC59" s="42" t="n">
        <f aca="false">(1+CEG_Assets!$AE$2)^-(AC$3+0.5-ValDate)</f>
        <v>0.173623922149886</v>
      </c>
      <c r="AD59" s="42" t="n">
        <f aca="false">(1+CEG_Assets!$AE$2)^-(AD$3+0.5-ValDate)</f>
        <v>0.160762890879524</v>
      </c>
      <c r="AE59" s="42" t="n">
        <f aca="false">(1+CEG_Assets!$AE$2)^-(AE$3+0.5-ValDate)</f>
        <v>0.148854528592152</v>
      </c>
      <c r="AF59" s="42" t="n">
        <f aca="false">(1+CEG_Assets!$AE$2)^-(AF$3+0.5-ValDate)</f>
        <v>0.137828267214956</v>
      </c>
      <c r="AG59" s="42" t="n">
        <f aca="false">(1+CEG_Assets!$AE$2)^-(AG$3+0.5-ValDate)</f>
        <v>0.127618765939774</v>
      </c>
      <c r="AH59" s="42" t="n">
        <f aca="false">(1+CEG_Assets!$AE$2)^-(AH$3+0.5-ValDate)</f>
        <v>0.118165524018309</v>
      </c>
      <c r="AI59" s="42" t="n">
        <f aca="false">(1+CEG_Assets!$AE$2)^-(AI$3+0.5-ValDate)</f>
        <v>0.109412522239175</v>
      </c>
      <c r="AJ59" s="42" t="n">
        <f aca="false">(1+CEG_Assets!$AE$2)^-(AJ$3+0.5-ValDate)</f>
        <v>0.101307890962199</v>
      </c>
      <c r="AK59" s="42" t="n">
        <f aca="false">(1+CEG_Assets!$AE$2)^-(AK$3+0.5-ValDate)</f>
        <v>0.0938036027427768</v>
      </c>
      <c r="AL59" s="42" t="n">
        <f aca="false">(1+CEG_Assets!$AE$2)^-(AL$3+0.5-ValDate)</f>
        <v>0.0868551877247934</v>
      </c>
      <c r="AM59" s="42" t="n">
        <f aca="false">(1+CEG_Assets!$AE$2)^-(AM$3+0.5-ValDate)</f>
        <v>0.0804214701155494</v>
      </c>
      <c r="AN59" s="42" t="n">
        <f aca="false">(1+CEG_Assets!$AE$2)^-(AN$3+0.5-ValDate)</f>
        <v>0.0744643241810643</v>
      </c>
      <c r="AO59" s="42" t="n">
        <f aca="false">(1+CEG_Assets!$AE$2)^-(AO$3+0.5-ValDate)</f>
        <v>0.0689484483158002</v>
      </c>
      <c r="AP59" s="42" t="n">
        <f aca="false">(1+CEG_Assets!$AE$2)^-(AP$3+0.5-ValDate)</f>
        <v>0.0638411558479632</v>
      </c>
      <c r="AQ59" s="42" t="n">
        <f aca="false">(1+CEG_Assets!$AE$2)^-(AQ$3+0.5-ValDate)</f>
        <v>0.0591121813407066</v>
      </c>
      <c r="AR59" s="42" t="n">
        <f aca="false">(1+CEG_Assets!$AE$2)^-(AR$3+0.5-ValDate)</f>
        <v>0.054733501241395</v>
      </c>
      <c r="AS59" s="42" t="n">
        <f aca="false">(1+CEG_Assets!$AE$2)^-(AS$3+0.5-ValDate)</f>
        <v>0.0506791678161065</v>
      </c>
    </row>
    <row r="60" customFormat="false" ht="15" hidden="false" customHeight="false" outlineLevel="0" collapsed="false">
      <c r="A60" s="6" t="s">
        <v>473</v>
      </c>
      <c r="B60" s="6" t="s">
        <v>474</v>
      </c>
      <c r="G60" s="42" t="n">
        <f aca="false">(1+CEG_Assets!$AF$2)^-(G$3+0.5-ValDate)</f>
        <v>0.952191032823687</v>
      </c>
      <c r="H60" s="42" t="n">
        <f aca="false">(1+CEG_Assets!$AF$2)^-(H$3+0.5-ValDate)</f>
        <v>0.891982232153337</v>
      </c>
      <c r="I60" s="42" t="n">
        <f aca="false">(1+CEG_Assets!$AF$2)^-(I$3+0.5-ValDate)</f>
        <v>0.835580545342705</v>
      </c>
      <c r="J60" s="42" t="n">
        <f aca="false">(1+CEG_Assets!$AF$2)^-(J$3+0.5-ValDate)</f>
        <v>0.782745241538834</v>
      </c>
      <c r="K60" s="42" t="n">
        <f aca="false">(1+CEG_Assets!$AF$2)^-(K$3+0.5-ValDate)</f>
        <v>0.73325081174598</v>
      </c>
      <c r="L60" s="42" t="n">
        <f aca="false">(1+CEG_Assets!$AF$2)^-(L$3+0.5-ValDate)</f>
        <v>0.686886006319419</v>
      </c>
      <c r="M60" s="42" t="n">
        <f aca="false">(1+CEG_Assets!$AF$2)^-(M$3+0.5-ValDate)</f>
        <v>0.643452933320299</v>
      </c>
      <c r="N60" s="42" t="n">
        <f aca="false">(1+CEG_Assets!$AF$2)^-(N$3+0.5-ValDate)</f>
        <v>0.602766213883184</v>
      </c>
      <c r="O60" s="42" t="n">
        <f aca="false">(1+CEG_Assets!$AF$2)^-(O$3+0.5-ValDate)</f>
        <v>0.564652190991273</v>
      </c>
      <c r="P60" s="42" t="n">
        <f aca="false">(1+CEG_Assets!$AF$2)^-(P$3+0.5-ValDate)</f>
        <v>0.528948188282223</v>
      </c>
      <c r="Q60" s="42" t="n">
        <f aca="false">(1+CEG_Assets!$AF$2)^-(Q$3+0.5-ValDate)</f>
        <v>0.495501815721052</v>
      </c>
      <c r="R60" s="42" t="n">
        <f aca="false">(1+CEG_Assets!$AF$2)^-(R$3+0.5-ValDate)</f>
        <v>0.46417031917663</v>
      </c>
      <c r="S60" s="42" t="n">
        <f aca="false">(1+CEG_Assets!$AF$2)^-(S$3+0.5-ValDate)</f>
        <v>0.434819971125649</v>
      </c>
      <c r="T60" s="42" t="n">
        <f aca="false">(1+CEG_Assets!$AF$2)^-(T$3+0.5-ValDate)</f>
        <v>0.407325499883512</v>
      </c>
      <c r="U60" s="42" t="n">
        <f aca="false">(1+CEG_Assets!$AF$2)^-(U$3+0.5-ValDate)</f>
        <v>0.381569554926006</v>
      </c>
      <c r="V60" s="42" t="n">
        <f aca="false">(1+CEG_Assets!$AF$2)^-(V$3+0.5-ValDate)</f>
        <v>0.357442206019678</v>
      </c>
      <c r="W60" s="42" t="n">
        <f aca="false">(1+CEG_Assets!$AF$2)^-(W$3+0.5-ValDate)</f>
        <v>0.334840474023118</v>
      </c>
      <c r="X60" s="42" t="n">
        <f aca="false">(1+CEG_Assets!$AF$2)^-(X$3+0.5-ValDate)</f>
        <v>0.313667891356551</v>
      </c>
      <c r="Y60" s="42" t="n">
        <f aca="false">(1+CEG_Assets!$AF$2)^-(Y$3+0.5-ValDate)</f>
        <v>0.293834090263748</v>
      </c>
      <c r="Z60" s="42" t="n">
        <f aca="false">(1+CEG_Assets!$AF$2)^-(Z$3+0.5-ValDate)</f>
        <v>0.275254417108897</v>
      </c>
      <c r="AA60" s="42" t="n">
        <f aca="false">(1+CEG_Assets!$AF$2)^-(AA$3+0.5-ValDate)</f>
        <v>0.257849571062199</v>
      </c>
      <c r="AB60" s="42" t="n">
        <f aca="false">(1+CEG_Assets!$AF$2)^-(AB$3+0.5-ValDate)</f>
        <v>0.241545265632036</v>
      </c>
      <c r="AC60" s="42" t="n">
        <f aca="false">(1+CEG_Assets!$AF$2)^-(AC$3+0.5-ValDate)</f>
        <v>0.226271911599097</v>
      </c>
      <c r="AD60" s="42" t="n">
        <f aca="false">(1+CEG_Assets!$AF$2)^-(AD$3+0.5-ValDate)</f>
        <v>0.211964319999154</v>
      </c>
      <c r="AE60" s="42" t="n">
        <f aca="false">(1+CEG_Assets!$AF$2)^-(AE$3+0.5-ValDate)</f>
        <v>0.198561423886796</v>
      </c>
      <c r="AF60" s="42" t="n">
        <f aca="false">(1+CEG_Assets!$AF$2)^-(AF$3+0.5-ValDate)</f>
        <v>0.186006017692549</v>
      </c>
      <c r="AG60" s="42" t="n">
        <f aca="false">(1+CEG_Assets!$AF$2)^-(AG$3+0.5-ValDate)</f>
        <v>0.174244513060936</v>
      </c>
      <c r="AH60" s="42" t="n">
        <f aca="false">(1+CEG_Assets!$AF$2)^-(AH$3+0.5-ValDate)</f>
        <v>0.16322671012734</v>
      </c>
      <c r="AI60" s="42" t="n">
        <f aca="false">(1+CEG_Assets!$AF$2)^-(AI$3+0.5-ValDate)</f>
        <v>0.152905583257461</v>
      </c>
      <c r="AJ60" s="42" t="n">
        <f aca="false">(1+CEG_Assets!$AF$2)^-(AJ$3+0.5-ValDate)</f>
        <v>0.143237080334859</v>
      </c>
      <c r="AK60" s="42" t="n">
        <f aca="false">(1+CEG_Assets!$AF$2)^-(AK$3+0.5-ValDate)</f>
        <v>0.134179934739914</v>
      </c>
      <c r="AL60" s="42" t="n">
        <f aca="false">(1+CEG_Assets!$AF$2)^-(AL$3+0.5-ValDate)</f>
        <v>0.125695489217718</v>
      </c>
      <c r="AM60" s="42" t="n">
        <f aca="false">(1+CEG_Assets!$AF$2)^-(AM$3+0.5-ValDate)</f>
        <v>0.117747530883109</v>
      </c>
      <c r="AN60" s="42" t="n">
        <f aca="false">(1+CEG_Assets!$AF$2)^-(AN$3+0.5-ValDate)</f>
        <v>0.11030213665865</v>
      </c>
      <c r="AO60" s="42" t="n">
        <f aca="false">(1+CEG_Assets!$AF$2)^-(AO$3+0.5-ValDate)</f>
        <v>0.103327528485855</v>
      </c>
      <c r="AP60" s="42" t="n">
        <f aca="false">(1+CEG_Assets!$AF$2)^-(AP$3+0.5-ValDate)</f>
        <v>0.096793937691667</v>
      </c>
      <c r="AQ60" s="42" t="n">
        <f aca="false">(1+CEG_Assets!$AF$2)^-(AQ$3+0.5-ValDate)</f>
        <v>0.090673477931304</v>
      </c>
      <c r="AR60" s="42" t="n">
        <f aca="false">(1+CEG_Assets!$AF$2)^-(AR$3+0.5-ValDate)</f>
        <v>0.084940026165156</v>
      </c>
      <c r="AS60" s="42" t="n">
        <f aca="false">(1+CEG_Assets!$AF$2)^-(AS$3+0.5-ValDate)</f>
        <v>0.0795691111617386</v>
      </c>
    </row>
    <row r="61" customFormat="false" ht="15" hidden="false" customHeight="false" outlineLevel="0" collapsed="false">
      <c r="A61" s="6" t="s">
        <v>475</v>
      </c>
      <c r="B61" s="6" t="s">
        <v>476</v>
      </c>
      <c r="C61" s="43" t="n">
        <f aca="false">SUM(G61:AS61)</f>
        <v>20063.9046853858</v>
      </c>
      <c r="D61" s="8" t="n">
        <f aca="false">SUMIF($G$3:$AS$3,"&lt;="&amp;Horizon,G61:AS61)</f>
        <v>6236.71904164782</v>
      </c>
      <c r="E61" s="8" t="n">
        <f aca="false">(C61-D61)*(1+CEG_Assets!$AE$2)^(Horizon+1-ValDate)</f>
        <v>19177.1804378113</v>
      </c>
      <c r="G61" s="8" t="n">
        <f aca="false">G57*G59</f>
        <v>1946.04974738168</v>
      </c>
      <c r="H61" s="8" t="n">
        <f aca="false">H57*H59</f>
        <v>1799.96027019143</v>
      </c>
      <c r="I61" s="8" t="n">
        <f aca="false">I57*I59</f>
        <v>1357.59232424918</v>
      </c>
      <c r="J61" s="8" t="n">
        <f aca="false">J57*J59</f>
        <v>1133.11669982553</v>
      </c>
      <c r="K61" s="8" t="n">
        <f aca="false">K57*K59</f>
        <v>1064.43850205924</v>
      </c>
      <c r="L61" s="8" t="n">
        <f aca="false">L57*L59</f>
        <v>999.867426252104</v>
      </c>
      <c r="M61" s="8" t="n">
        <f aca="false">M57*M59</f>
        <v>939.160445573953</v>
      </c>
      <c r="N61" s="8" t="n">
        <f aca="false">N57*N59</f>
        <v>882.088791107731</v>
      </c>
      <c r="O61" s="8" t="n">
        <f aca="false">O57*O59</f>
        <v>828.437121221679</v>
      </c>
      <c r="P61" s="8" t="n">
        <f aca="false">P57*P59</f>
        <v>778.00273904927</v>
      </c>
      <c r="Q61" s="8" t="n">
        <f aca="false">Q57*Q59</f>
        <v>730.594855304314</v>
      </c>
      <c r="R61" s="8" t="n">
        <f aca="false">R57*R59</f>
        <v>686.033893817812</v>
      </c>
      <c r="S61" s="8" t="n">
        <f aca="false">S57*S59</f>
        <v>644.150837333127</v>
      </c>
      <c r="T61" s="8" t="n">
        <f aca="false">T57*T59</f>
        <v>604.786611237501</v>
      </c>
      <c r="U61" s="8" t="n">
        <f aca="false">U57*U59</f>
        <v>567.791503041291</v>
      </c>
      <c r="V61" s="8" t="n">
        <f aca="false">V57*V59</f>
        <v>533.024615541999</v>
      </c>
      <c r="W61" s="8" t="n">
        <f aca="false">W57*W59</f>
        <v>500.353351728729</v>
      </c>
      <c r="X61" s="8" t="n">
        <f aca="false">X57*X59</f>
        <v>469.652929594402</v>
      </c>
      <c r="Y61" s="8" t="n">
        <f aca="false">Y57*Y59</f>
        <v>440.805925128437</v>
      </c>
      <c r="Z61" s="8" t="n">
        <f aca="false">Z57*Z59</f>
        <v>413.7018418619</v>
      </c>
      <c r="AA61" s="8" t="n">
        <f aca="false">AA57*AA59</f>
        <v>388.236705430737</v>
      </c>
      <c r="AB61" s="8" t="n">
        <f aca="false">AB57*AB59</f>
        <v>364.312681710998</v>
      </c>
      <c r="AC61" s="8" t="n">
        <f aca="false">AC57*AC59</f>
        <v>341.837717163131</v>
      </c>
      <c r="AD61" s="8" t="n">
        <f aca="false">AD57*AD59</f>
        <v>320.725200100859</v>
      </c>
      <c r="AE61" s="8" t="n">
        <f aca="false">AE57*AE59</f>
        <v>300.893641674129</v>
      </c>
      <c r="AF61" s="8" t="n">
        <f aca="false">AF57*AF59</f>
        <v>282.266375425268</v>
      </c>
      <c r="AG61" s="8" t="n">
        <f aca="false">AG57*AG59</f>
        <v>264.771274343232</v>
      </c>
      <c r="AH61" s="8" t="n">
        <f aca="false">AH57*AH59</f>
        <v>248.34048440273</v>
      </c>
      <c r="AI61" s="8" t="n">
        <f aca="false">AI57*AI59</f>
        <v>232.910173633419</v>
      </c>
      <c r="AJ61" s="8" t="n">
        <f aca="false">AJ57*AJ59</f>
        <v>0</v>
      </c>
      <c r="AK61" s="8" t="n">
        <f aca="false">AK57*AK59</f>
        <v>0</v>
      </c>
      <c r="AL61" s="8" t="n">
        <f aca="false">AL57*AL59</f>
        <v>0</v>
      </c>
      <c r="AM61" s="8" t="n">
        <f aca="false">AM57*AM59</f>
        <v>0</v>
      </c>
      <c r="AN61" s="8" t="n">
        <f aca="false">AN57*AN59</f>
        <v>0</v>
      </c>
      <c r="AO61" s="8" t="n">
        <f aca="false">AO57*AO59</f>
        <v>0</v>
      </c>
      <c r="AP61" s="8" t="n">
        <f aca="false">AP57*AP59</f>
        <v>0</v>
      </c>
      <c r="AQ61" s="8" t="n">
        <f aca="false">AQ57*AQ59</f>
        <v>0</v>
      </c>
      <c r="AR61" s="8" t="n">
        <f aca="false">AR57*AR59</f>
        <v>0</v>
      </c>
      <c r="AS61" s="8" t="n">
        <f aca="false">AS57*AS59</f>
        <v>0</v>
      </c>
    </row>
    <row r="62" customFormat="false" ht="15" hidden="false" customHeight="false" outlineLevel="0" collapsed="false">
      <c r="A62" s="6" t="s">
        <v>477</v>
      </c>
      <c r="B62" s="6" t="s">
        <v>478</v>
      </c>
      <c r="C62" s="43" t="n">
        <f aca="false">SUM(G62:AS62)</f>
        <v>0</v>
      </c>
      <c r="D62" s="8" t="n">
        <f aca="false">SUMIF($G$3:$AS$3,"&lt;="&amp;Horizon,G62:AS62)</f>
        <v>0</v>
      </c>
      <c r="E62" s="8" t="n">
        <f aca="false">(C62-D62)*(1+CEG_Assets!$AF$2)^(Horizon+1-ValDate)</f>
        <v>0</v>
      </c>
      <c r="G62" s="8" t="n">
        <f aca="false">G58*G60</f>
        <v>0</v>
      </c>
      <c r="H62" s="8" t="n">
        <f aca="false">H58*H60</f>
        <v>0</v>
      </c>
      <c r="I62" s="8" t="n">
        <f aca="false">I58*I60</f>
        <v>0</v>
      </c>
      <c r="J62" s="8" t="n">
        <f aca="false">J58*J60</f>
        <v>0</v>
      </c>
      <c r="K62" s="8" t="n">
        <f aca="false">K58*K60</f>
        <v>0</v>
      </c>
      <c r="L62" s="8" t="n">
        <f aca="false">L58*L60</f>
        <v>0</v>
      </c>
      <c r="M62" s="8" t="n">
        <f aca="false">M58*M60</f>
        <v>0</v>
      </c>
      <c r="N62" s="8" t="n">
        <f aca="false">N58*N60</f>
        <v>0</v>
      </c>
      <c r="O62" s="8" t="n">
        <f aca="false">O58*O60</f>
        <v>0</v>
      </c>
      <c r="P62" s="8" t="n">
        <f aca="false">P58*P60</f>
        <v>0</v>
      </c>
      <c r="Q62" s="8" t="n">
        <f aca="false">Q58*Q60</f>
        <v>0</v>
      </c>
      <c r="R62" s="8" t="n">
        <f aca="false">R58*R60</f>
        <v>0</v>
      </c>
      <c r="S62" s="8" t="n">
        <f aca="false">S58*S60</f>
        <v>0</v>
      </c>
      <c r="T62" s="8" t="n">
        <f aca="false">T58*T60</f>
        <v>0</v>
      </c>
      <c r="U62" s="8" t="n">
        <f aca="false">U58*U60</f>
        <v>0</v>
      </c>
      <c r="V62" s="8" t="n">
        <f aca="false">V58*V60</f>
        <v>0</v>
      </c>
      <c r="W62" s="8" t="n">
        <f aca="false">W58*W60</f>
        <v>0</v>
      </c>
      <c r="X62" s="8" t="n">
        <f aca="false">X58*X60</f>
        <v>0</v>
      </c>
      <c r="Y62" s="8" t="n">
        <f aca="false">Y58*Y60</f>
        <v>0</v>
      </c>
      <c r="Z62" s="8" t="n">
        <f aca="false">Z58*Z60</f>
        <v>0</v>
      </c>
      <c r="AA62" s="8" t="n">
        <f aca="false">AA58*AA60</f>
        <v>0</v>
      </c>
      <c r="AB62" s="8" t="n">
        <f aca="false">AB58*AB60</f>
        <v>0</v>
      </c>
      <c r="AC62" s="8" t="n">
        <f aca="false">AC58*AC60</f>
        <v>0</v>
      </c>
      <c r="AD62" s="8" t="n">
        <f aca="false">AD58*AD60</f>
        <v>0</v>
      </c>
      <c r="AE62" s="8" t="n">
        <f aca="false">AE58*AE60</f>
        <v>0</v>
      </c>
      <c r="AF62" s="8" t="n">
        <f aca="false">AF58*AF60</f>
        <v>0</v>
      </c>
      <c r="AG62" s="8" t="n">
        <f aca="false">AG58*AG60</f>
        <v>0</v>
      </c>
      <c r="AH62" s="8" t="n">
        <f aca="false">AH58*AH60</f>
        <v>0</v>
      </c>
      <c r="AI62" s="8" t="n">
        <f aca="false">AI58*AI60</f>
        <v>0</v>
      </c>
      <c r="AJ62" s="8" t="n">
        <f aca="false">AJ58*AJ60</f>
        <v>0</v>
      </c>
      <c r="AK62" s="8" t="n">
        <f aca="false">AK58*AK60</f>
        <v>0</v>
      </c>
      <c r="AL62" s="8" t="n">
        <f aca="false">AL58*AL60</f>
        <v>0</v>
      </c>
      <c r="AM62" s="8" t="n">
        <f aca="false">AM58*AM60</f>
        <v>0</v>
      </c>
      <c r="AN62" s="8" t="n">
        <f aca="false">AN58*AN60</f>
        <v>0</v>
      </c>
      <c r="AO62" s="8" t="n">
        <f aca="false">AO58*AO60</f>
        <v>0</v>
      </c>
      <c r="AP62" s="8" t="n">
        <f aca="false">AP58*AP60</f>
        <v>0</v>
      </c>
      <c r="AQ62" s="8" t="n">
        <f aca="false">AQ58*AQ60</f>
        <v>0</v>
      </c>
      <c r="AR62" s="8" t="n">
        <f aca="false">AR58*AR60</f>
        <v>0</v>
      </c>
      <c r="AS62" s="8" t="n">
        <f aca="false">AS58*AS60</f>
        <v>0</v>
      </c>
    </row>
    <row r="63" customFormat="false" ht="15" hidden="false" customHeight="false" outlineLevel="0" collapsed="false">
      <c r="A63" s="6" t="s">
        <v>479</v>
      </c>
      <c r="B63" s="6" t="s">
        <v>480</v>
      </c>
      <c r="C63" s="43" t="n">
        <f aca="false">IF(CEG_Assets!$H$2="$/kW",CEG_Assets!$D$2*CEG_Assets!$AI$2*(1+0.4*(PJMWLR/PJMWLRBase-1))/1000,0)</f>
        <v>0</v>
      </c>
      <c r="E63" s="8" t="n">
        <f aca="false">C63</f>
        <v>0</v>
      </c>
      <c r="G63" s="8" t="n">
        <f aca="false">0</f>
        <v>0</v>
      </c>
      <c r="H63" s="8" t="n">
        <f aca="false">0</f>
        <v>0</v>
      </c>
      <c r="I63" s="8" t="n">
        <f aca="false">0</f>
        <v>0</v>
      </c>
      <c r="J63" s="8" t="n">
        <f aca="false">0</f>
        <v>0</v>
      </c>
      <c r="K63" s="8" t="n">
        <f aca="false">0</f>
        <v>0</v>
      </c>
      <c r="L63" s="8" t="n">
        <f aca="false">0</f>
        <v>0</v>
      </c>
      <c r="M63" s="8" t="n">
        <f aca="false">0</f>
        <v>0</v>
      </c>
      <c r="N63" s="8" t="n">
        <f aca="false">0</f>
        <v>0</v>
      </c>
      <c r="O63" s="8" t="n">
        <f aca="false">0</f>
        <v>0</v>
      </c>
      <c r="P63" s="8" t="n">
        <f aca="false">0</f>
        <v>0</v>
      </c>
      <c r="Q63" s="8" t="n">
        <f aca="false">0</f>
        <v>0</v>
      </c>
      <c r="R63" s="8" t="n">
        <f aca="false">0</f>
        <v>0</v>
      </c>
      <c r="S63" s="8" t="n">
        <f aca="false">0</f>
        <v>0</v>
      </c>
      <c r="T63" s="8" t="n">
        <f aca="false">0</f>
        <v>0</v>
      </c>
      <c r="U63" s="8" t="n">
        <f aca="false">0</f>
        <v>0</v>
      </c>
      <c r="V63" s="8" t="n">
        <f aca="false">0</f>
        <v>0</v>
      </c>
      <c r="W63" s="8" t="n">
        <f aca="false">0</f>
        <v>0</v>
      </c>
      <c r="X63" s="8" t="n">
        <f aca="false">0</f>
        <v>0</v>
      </c>
      <c r="Y63" s="8" t="n">
        <f aca="false">0</f>
        <v>0</v>
      </c>
      <c r="Z63" s="8" t="n">
        <f aca="false">0</f>
        <v>0</v>
      </c>
      <c r="AA63" s="8" t="n">
        <f aca="false">0</f>
        <v>0</v>
      </c>
      <c r="AB63" s="8" t="n">
        <f aca="false">0</f>
        <v>0</v>
      </c>
      <c r="AC63" s="8" t="n">
        <f aca="false">0</f>
        <v>0</v>
      </c>
      <c r="AD63" s="8" t="n">
        <f aca="false">0</f>
        <v>0</v>
      </c>
      <c r="AE63" s="8" t="n">
        <f aca="false">0</f>
        <v>0</v>
      </c>
      <c r="AF63" s="8" t="n">
        <f aca="false">0</f>
        <v>0</v>
      </c>
      <c r="AG63" s="8" t="n">
        <f aca="false">0</f>
        <v>0</v>
      </c>
      <c r="AH63" s="8" t="n">
        <f aca="false">0</f>
        <v>0</v>
      </c>
      <c r="AI63" s="8" t="n">
        <f aca="false">0</f>
        <v>0</v>
      </c>
      <c r="AJ63" s="8" t="n">
        <f aca="false">0</f>
        <v>0</v>
      </c>
      <c r="AK63" s="8" t="n">
        <f aca="false">0</f>
        <v>0</v>
      </c>
      <c r="AL63" s="8" t="n">
        <f aca="false">0</f>
        <v>0</v>
      </c>
      <c r="AM63" s="8" t="n">
        <f aca="false">0</f>
        <v>0</v>
      </c>
      <c r="AN63" s="8" t="n">
        <f aca="false">0</f>
        <v>0</v>
      </c>
      <c r="AO63" s="8" t="n">
        <f aca="false">0</f>
        <v>0</v>
      </c>
      <c r="AP63" s="8" t="n">
        <f aca="false">0</f>
        <v>0</v>
      </c>
      <c r="AQ63" s="8" t="n">
        <f aca="false">0</f>
        <v>0</v>
      </c>
      <c r="AR63" s="8" t="n">
        <f aca="false">0</f>
        <v>0</v>
      </c>
      <c r="AS63" s="8" t="n">
        <f aca="false">0</f>
        <v>0</v>
      </c>
    </row>
    <row r="65" customFormat="false" ht="15" hidden="false" customHeight="false" outlineLevel="0" collapsed="false">
      <c r="A65" s="54" t="str">
        <f aca="false">CEG_Assets!$A$3</f>
        <v>Nuclear - PJM ComEd (Byron, Braidwood, LaSalle, Dresden, Quad Cities 75%)</v>
      </c>
    </row>
    <row r="66" customFormat="false" ht="15" hidden="false" customHeight="false" outlineLevel="0" collapsed="false">
      <c r="A66" s="6" t="s">
        <v>425</v>
      </c>
      <c r="B66" s="6" t="s">
        <v>426</v>
      </c>
      <c r="G66" s="47" t="n">
        <f aca="false">IF(AND(G$3&gt;=CEG_Assets!$E$3,G$3&lt;=CEG_Assets!$F$3,CEG_Assets!$H$3="Cashflow"),1,0)</f>
        <v>1</v>
      </c>
      <c r="H66" s="47" t="n">
        <f aca="false">IF(AND(H$3&gt;=CEG_Assets!$E$3,H$3&lt;=CEG_Assets!$F$3,CEG_Assets!$H$3="Cashflow"),1,0)</f>
        <v>1</v>
      </c>
      <c r="I66" s="47" t="n">
        <f aca="false">IF(AND(I$3&gt;=CEG_Assets!$E$3,I$3&lt;=CEG_Assets!$F$3,CEG_Assets!$H$3="Cashflow"),1,0)</f>
        <v>1</v>
      </c>
      <c r="J66" s="47" t="n">
        <f aca="false">IF(AND(J$3&gt;=CEG_Assets!$E$3,J$3&lt;=CEG_Assets!$F$3,CEG_Assets!$H$3="Cashflow"),1,0)</f>
        <v>1</v>
      </c>
      <c r="K66" s="47" t="n">
        <f aca="false">IF(AND(K$3&gt;=CEG_Assets!$E$3,K$3&lt;=CEG_Assets!$F$3,CEG_Assets!$H$3="Cashflow"),1,0)</f>
        <v>1</v>
      </c>
      <c r="L66" s="47" t="n">
        <f aca="false">IF(AND(L$3&gt;=CEG_Assets!$E$3,L$3&lt;=CEG_Assets!$F$3,CEG_Assets!$H$3="Cashflow"),1,0)</f>
        <v>1</v>
      </c>
      <c r="M66" s="47" t="n">
        <f aca="false">IF(AND(M$3&gt;=CEG_Assets!$E$3,M$3&lt;=CEG_Assets!$F$3,CEG_Assets!$H$3="Cashflow"),1,0)</f>
        <v>1</v>
      </c>
      <c r="N66" s="47" t="n">
        <f aca="false">IF(AND(N$3&gt;=CEG_Assets!$E$3,N$3&lt;=CEG_Assets!$F$3,CEG_Assets!$H$3="Cashflow"),1,0)</f>
        <v>1</v>
      </c>
      <c r="O66" s="47" t="n">
        <f aca="false">IF(AND(O$3&gt;=CEG_Assets!$E$3,O$3&lt;=CEG_Assets!$F$3,CEG_Assets!$H$3="Cashflow"),1,0)</f>
        <v>1</v>
      </c>
      <c r="P66" s="47" t="n">
        <f aca="false">IF(AND(P$3&gt;=CEG_Assets!$E$3,P$3&lt;=CEG_Assets!$F$3,CEG_Assets!$H$3="Cashflow"),1,0)</f>
        <v>1</v>
      </c>
      <c r="Q66" s="47" t="n">
        <f aca="false">IF(AND(Q$3&gt;=CEG_Assets!$E$3,Q$3&lt;=CEG_Assets!$F$3,CEG_Assets!$H$3="Cashflow"),1,0)</f>
        <v>1</v>
      </c>
      <c r="R66" s="47" t="n">
        <f aca="false">IF(AND(R$3&gt;=CEG_Assets!$E$3,R$3&lt;=CEG_Assets!$F$3,CEG_Assets!$H$3="Cashflow"),1,0)</f>
        <v>1</v>
      </c>
      <c r="S66" s="47" t="n">
        <f aca="false">IF(AND(S$3&gt;=CEG_Assets!$E$3,S$3&lt;=CEG_Assets!$F$3,CEG_Assets!$H$3="Cashflow"),1,0)</f>
        <v>1</v>
      </c>
      <c r="T66" s="47" t="n">
        <f aca="false">IF(AND(T$3&gt;=CEG_Assets!$E$3,T$3&lt;=CEG_Assets!$F$3,CEG_Assets!$H$3="Cashflow"),1,0)</f>
        <v>1</v>
      </c>
      <c r="U66" s="47" t="n">
        <f aca="false">IF(AND(U$3&gt;=CEG_Assets!$E$3,U$3&lt;=CEG_Assets!$F$3,CEG_Assets!$H$3="Cashflow"),1,0)</f>
        <v>1</v>
      </c>
      <c r="V66" s="47" t="n">
        <f aca="false">IF(AND(V$3&gt;=CEG_Assets!$E$3,V$3&lt;=CEG_Assets!$F$3,CEG_Assets!$H$3="Cashflow"),1,0)</f>
        <v>1</v>
      </c>
      <c r="W66" s="47" t="n">
        <f aca="false">IF(AND(W$3&gt;=CEG_Assets!$E$3,W$3&lt;=CEG_Assets!$F$3,CEG_Assets!$H$3="Cashflow"),1,0)</f>
        <v>1</v>
      </c>
      <c r="X66" s="47" t="n">
        <f aca="false">IF(AND(X$3&gt;=CEG_Assets!$E$3,X$3&lt;=CEG_Assets!$F$3,CEG_Assets!$H$3="Cashflow"),1,0)</f>
        <v>1</v>
      </c>
      <c r="Y66" s="47" t="n">
        <f aca="false">IF(AND(Y$3&gt;=CEG_Assets!$E$3,Y$3&lt;=CEG_Assets!$F$3,CEG_Assets!$H$3="Cashflow"),1,0)</f>
        <v>1</v>
      </c>
      <c r="Z66" s="47" t="n">
        <f aca="false">IF(AND(Z$3&gt;=CEG_Assets!$E$3,Z$3&lt;=CEG_Assets!$F$3,CEG_Assets!$H$3="Cashflow"),1,0)</f>
        <v>1</v>
      </c>
      <c r="AA66" s="47" t="n">
        <f aca="false">IF(AND(AA$3&gt;=CEG_Assets!$E$3,AA$3&lt;=CEG_Assets!$F$3,CEG_Assets!$H$3="Cashflow"),1,0)</f>
        <v>1</v>
      </c>
      <c r="AB66" s="47" t="n">
        <f aca="false">IF(AND(AB$3&gt;=CEG_Assets!$E$3,AB$3&lt;=CEG_Assets!$F$3,CEG_Assets!$H$3="Cashflow"),1,0)</f>
        <v>1</v>
      </c>
      <c r="AC66" s="47" t="n">
        <f aca="false">IF(AND(AC$3&gt;=CEG_Assets!$E$3,AC$3&lt;=CEG_Assets!$F$3,CEG_Assets!$H$3="Cashflow"),1,0)</f>
        <v>1</v>
      </c>
      <c r="AD66" s="47" t="n">
        <f aca="false">IF(AND(AD$3&gt;=CEG_Assets!$E$3,AD$3&lt;=CEG_Assets!$F$3,CEG_Assets!$H$3="Cashflow"),1,0)</f>
        <v>1</v>
      </c>
      <c r="AE66" s="47" t="n">
        <f aca="false">IF(AND(AE$3&gt;=CEG_Assets!$E$3,AE$3&lt;=CEG_Assets!$F$3,CEG_Assets!$H$3="Cashflow"),1,0)</f>
        <v>1</v>
      </c>
      <c r="AF66" s="47" t="n">
        <f aca="false">IF(AND(AF$3&gt;=CEG_Assets!$E$3,AF$3&lt;=CEG_Assets!$F$3,CEG_Assets!$H$3="Cashflow"),1,0)</f>
        <v>1</v>
      </c>
      <c r="AG66" s="47" t="n">
        <f aca="false">IF(AND(AG$3&gt;=CEG_Assets!$E$3,AG$3&lt;=CEG_Assets!$F$3,CEG_Assets!$H$3="Cashflow"),1,0)</f>
        <v>1</v>
      </c>
      <c r="AH66" s="47" t="n">
        <f aca="false">IF(AND(AH$3&gt;=CEG_Assets!$E$3,AH$3&lt;=CEG_Assets!$F$3,CEG_Assets!$H$3="Cashflow"),1,0)</f>
        <v>1</v>
      </c>
      <c r="AI66" s="47" t="n">
        <f aca="false">IF(AND(AI$3&gt;=CEG_Assets!$E$3,AI$3&lt;=CEG_Assets!$F$3,CEG_Assets!$H$3="Cashflow"),1,0)</f>
        <v>1</v>
      </c>
      <c r="AJ66" s="47" t="n">
        <f aca="false">IF(AND(AJ$3&gt;=CEG_Assets!$E$3,AJ$3&lt;=CEG_Assets!$F$3,CEG_Assets!$H$3="Cashflow"),1,0)</f>
        <v>0</v>
      </c>
      <c r="AK66" s="47" t="n">
        <f aca="false">IF(AND(AK$3&gt;=CEG_Assets!$E$3,AK$3&lt;=CEG_Assets!$F$3,CEG_Assets!$H$3="Cashflow"),1,0)</f>
        <v>0</v>
      </c>
      <c r="AL66" s="47" t="n">
        <f aca="false">IF(AND(AL$3&gt;=CEG_Assets!$E$3,AL$3&lt;=CEG_Assets!$F$3,CEG_Assets!$H$3="Cashflow"),1,0)</f>
        <v>0</v>
      </c>
      <c r="AM66" s="47" t="n">
        <f aca="false">IF(AND(AM$3&gt;=CEG_Assets!$E$3,AM$3&lt;=CEG_Assets!$F$3,CEG_Assets!$H$3="Cashflow"),1,0)</f>
        <v>0</v>
      </c>
      <c r="AN66" s="47" t="n">
        <f aca="false">IF(AND(AN$3&gt;=CEG_Assets!$E$3,AN$3&lt;=CEG_Assets!$F$3,CEG_Assets!$H$3="Cashflow"),1,0)</f>
        <v>0</v>
      </c>
      <c r="AO66" s="47" t="n">
        <f aca="false">IF(AND(AO$3&gt;=CEG_Assets!$E$3,AO$3&lt;=CEG_Assets!$F$3,CEG_Assets!$H$3="Cashflow"),1,0)</f>
        <v>0</v>
      </c>
      <c r="AP66" s="47" t="n">
        <f aca="false">IF(AND(AP$3&gt;=CEG_Assets!$E$3,AP$3&lt;=CEG_Assets!$F$3,CEG_Assets!$H$3="Cashflow"),1,0)</f>
        <v>0</v>
      </c>
      <c r="AQ66" s="47" t="n">
        <f aca="false">IF(AND(AQ$3&gt;=CEG_Assets!$E$3,AQ$3&lt;=CEG_Assets!$F$3,CEG_Assets!$H$3="Cashflow"),1,0)</f>
        <v>0</v>
      </c>
      <c r="AR66" s="47" t="n">
        <f aca="false">IF(AND(AR$3&gt;=CEG_Assets!$E$3,AR$3&lt;=CEG_Assets!$F$3,CEG_Assets!$H$3="Cashflow"),1,0)</f>
        <v>0</v>
      </c>
      <c r="AS66" s="47" t="n">
        <f aca="false">IF(AND(AS$3&gt;=CEG_Assets!$E$3,AS$3&lt;=CEG_Assets!$F$3,CEG_Assets!$H$3="Cashflow"),1,0)</f>
        <v>0</v>
      </c>
    </row>
    <row r="67" customFormat="false" ht="15" hidden="false" customHeight="false" outlineLevel="0" collapsed="false">
      <c r="A67" s="6" t="s">
        <v>427</v>
      </c>
      <c r="B67" s="6" t="s">
        <v>428</v>
      </c>
      <c r="G67" s="9" t="n">
        <f aca="false">IF(AND(G$3&gt;=CEG_Assets!$AA$3,G$3&lt;=CEG_Assets!$AB$3),MIN(CEG_Assets!$D$3,CEG_Assets!$Z$3*MIN(1,(G$3-CEG_Assets!$AA$3+1)/MAX(1,CEG_Assets!$AC$3))),0)*G66</f>
        <v>920</v>
      </c>
      <c r="H67" s="9" t="n">
        <f aca="false">IF(AND(H$3&gt;=CEG_Assets!$AA$3,H$3&lt;=CEG_Assets!$AB$3),MIN(CEG_Assets!$D$3,CEG_Assets!$Z$3*MIN(1,(H$3-CEG_Assets!$AA$3+1)/MAX(1,CEG_Assets!$AC$3))),0)*H66</f>
        <v>920</v>
      </c>
      <c r="I67" s="9" t="n">
        <f aca="false">IF(AND(I$3&gt;=CEG_Assets!$AA$3,I$3&lt;=CEG_Assets!$AB$3),MIN(CEG_Assets!$D$3,CEG_Assets!$Z$3*MIN(1,(I$3-CEG_Assets!$AA$3+1)/MAX(1,CEG_Assets!$AC$3))),0)*I66</f>
        <v>920</v>
      </c>
      <c r="J67" s="9" t="n">
        <f aca="false">IF(AND(J$3&gt;=CEG_Assets!$AA$3,J$3&lt;=CEG_Assets!$AB$3),MIN(CEG_Assets!$D$3,CEG_Assets!$Z$3*MIN(1,(J$3-CEG_Assets!$AA$3+1)/MAX(1,CEG_Assets!$AC$3))),0)*J66</f>
        <v>920</v>
      </c>
      <c r="K67" s="9" t="n">
        <f aca="false">IF(AND(K$3&gt;=CEG_Assets!$AA$3,K$3&lt;=CEG_Assets!$AB$3),MIN(CEG_Assets!$D$3,CEG_Assets!$Z$3*MIN(1,(K$3-CEG_Assets!$AA$3+1)/MAX(1,CEG_Assets!$AC$3))),0)*K66</f>
        <v>920</v>
      </c>
      <c r="L67" s="9" t="n">
        <f aca="false">IF(AND(L$3&gt;=CEG_Assets!$AA$3,L$3&lt;=CEG_Assets!$AB$3),MIN(CEG_Assets!$D$3,CEG_Assets!$Z$3*MIN(1,(L$3-CEG_Assets!$AA$3+1)/MAX(1,CEG_Assets!$AC$3))),0)*L66</f>
        <v>920</v>
      </c>
      <c r="M67" s="9" t="n">
        <f aca="false">IF(AND(M$3&gt;=CEG_Assets!$AA$3,M$3&lt;=CEG_Assets!$AB$3),MIN(CEG_Assets!$D$3,CEG_Assets!$Z$3*MIN(1,(M$3-CEG_Assets!$AA$3+1)/MAX(1,CEG_Assets!$AC$3))),0)*M66</f>
        <v>920</v>
      </c>
      <c r="N67" s="9" t="n">
        <f aca="false">IF(AND(N$3&gt;=CEG_Assets!$AA$3,N$3&lt;=CEG_Assets!$AB$3),MIN(CEG_Assets!$D$3,CEG_Assets!$Z$3*MIN(1,(N$3-CEG_Assets!$AA$3+1)/MAX(1,CEG_Assets!$AC$3))),0)*N66</f>
        <v>920</v>
      </c>
      <c r="O67" s="9" t="n">
        <f aca="false">IF(AND(O$3&gt;=CEG_Assets!$AA$3,O$3&lt;=CEG_Assets!$AB$3),MIN(CEG_Assets!$D$3,CEG_Assets!$Z$3*MIN(1,(O$3-CEG_Assets!$AA$3+1)/MAX(1,CEG_Assets!$AC$3))),0)*O66</f>
        <v>920</v>
      </c>
      <c r="P67" s="9" t="n">
        <f aca="false">IF(AND(P$3&gt;=CEG_Assets!$AA$3,P$3&lt;=CEG_Assets!$AB$3),MIN(CEG_Assets!$D$3,CEG_Assets!$Z$3*MIN(1,(P$3-CEG_Assets!$AA$3+1)/MAX(1,CEG_Assets!$AC$3))),0)*P66</f>
        <v>920</v>
      </c>
      <c r="Q67" s="9" t="n">
        <f aca="false">IF(AND(Q$3&gt;=CEG_Assets!$AA$3,Q$3&lt;=CEG_Assets!$AB$3),MIN(CEG_Assets!$D$3,CEG_Assets!$Z$3*MIN(1,(Q$3-CEG_Assets!$AA$3+1)/MAX(1,CEG_Assets!$AC$3))),0)*Q66</f>
        <v>920</v>
      </c>
      <c r="R67" s="9" t="n">
        <f aca="false">IF(AND(R$3&gt;=CEG_Assets!$AA$3,R$3&lt;=CEG_Assets!$AB$3),MIN(CEG_Assets!$D$3,CEG_Assets!$Z$3*MIN(1,(R$3-CEG_Assets!$AA$3+1)/MAX(1,CEG_Assets!$AC$3))),0)*R66</f>
        <v>920</v>
      </c>
      <c r="S67" s="9" t="n">
        <f aca="false">IF(AND(S$3&gt;=CEG_Assets!$AA$3,S$3&lt;=CEG_Assets!$AB$3),MIN(CEG_Assets!$D$3,CEG_Assets!$Z$3*MIN(1,(S$3-CEG_Assets!$AA$3+1)/MAX(1,CEG_Assets!$AC$3))),0)*S66</f>
        <v>920</v>
      </c>
      <c r="T67" s="9" t="n">
        <f aca="false">IF(AND(T$3&gt;=CEG_Assets!$AA$3,T$3&lt;=CEG_Assets!$AB$3),MIN(CEG_Assets!$D$3,CEG_Assets!$Z$3*MIN(1,(T$3-CEG_Assets!$AA$3+1)/MAX(1,CEG_Assets!$AC$3))),0)*T66</f>
        <v>920</v>
      </c>
      <c r="U67" s="9" t="n">
        <f aca="false">IF(AND(U$3&gt;=CEG_Assets!$AA$3,U$3&lt;=CEG_Assets!$AB$3),MIN(CEG_Assets!$D$3,CEG_Assets!$Z$3*MIN(1,(U$3-CEG_Assets!$AA$3+1)/MAX(1,CEG_Assets!$AC$3))),0)*U66</f>
        <v>920</v>
      </c>
      <c r="V67" s="9" t="n">
        <f aca="false">IF(AND(V$3&gt;=CEG_Assets!$AA$3,V$3&lt;=CEG_Assets!$AB$3),MIN(CEG_Assets!$D$3,CEG_Assets!$Z$3*MIN(1,(V$3-CEG_Assets!$AA$3+1)/MAX(1,CEG_Assets!$AC$3))),0)*V66</f>
        <v>920</v>
      </c>
      <c r="W67" s="9" t="n">
        <f aca="false">IF(AND(W$3&gt;=CEG_Assets!$AA$3,W$3&lt;=CEG_Assets!$AB$3),MIN(CEG_Assets!$D$3,CEG_Assets!$Z$3*MIN(1,(W$3-CEG_Assets!$AA$3+1)/MAX(1,CEG_Assets!$AC$3))),0)*W66</f>
        <v>920</v>
      </c>
      <c r="X67" s="9" t="n">
        <f aca="false">IF(AND(X$3&gt;=CEG_Assets!$AA$3,X$3&lt;=CEG_Assets!$AB$3),MIN(CEG_Assets!$D$3,CEG_Assets!$Z$3*MIN(1,(X$3-CEG_Assets!$AA$3+1)/MAX(1,CEG_Assets!$AC$3))),0)*X66</f>
        <v>920</v>
      </c>
      <c r="Y67" s="9" t="n">
        <f aca="false">IF(AND(Y$3&gt;=CEG_Assets!$AA$3,Y$3&lt;=CEG_Assets!$AB$3),MIN(CEG_Assets!$D$3,CEG_Assets!$Z$3*MIN(1,(Y$3-CEG_Assets!$AA$3+1)/MAX(1,CEG_Assets!$AC$3))),0)*Y66</f>
        <v>920</v>
      </c>
      <c r="Z67" s="9" t="n">
        <f aca="false">IF(AND(Z$3&gt;=CEG_Assets!$AA$3,Z$3&lt;=CEG_Assets!$AB$3),MIN(CEG_Assets!$D$3,CEG_Assets!$Z$3*MIN(1,(Z$3-CEG_Assets!$AA$3+1)/MAX(1,CEG_Assets!$AC$3))),0)*Z66</f>
        <v>920</v>
      </c>
      <c r="AA67" s="9" t="n">
        <f aca="false">IF(AND(AA$3&gt;=CEG_Assets!$AA$3,AA$3&lt;=CEG_Assets!$AB$3),MIN(CEG_Assets!$D$3,CEG_Assets!$Z$3*MIN(1,(AA$3-CEG_Assets!$AA$3+1)/MAX(1,CEG_Assets!$AC$3))),0)*AA66</f>
        <v>0</v>
      </c>
      <c r="AB67" s="9" t="n">
        <f aca="false">IF(AND(AB$3&gt;=CEG_Assets!$AA$3,AB$3&lt;=CEG_Assets!$AB$3),MIN(CEG_Assets!$D$3,CEG_Assets!$Z$3*MIN(1,(AB$3-CEG_Assets!$AA$3+1)/MAX(1,CEG_Assets!$AC$3))),0)*AB66</f>
        <v>0</v>
      </c>
      <c r="AC67" s="9" t="n">
        <f aca="false">IF(AND(AC$3&gt;=CEG_Assets!$AA$3,AC$3&lt;=CEG_Assets!$AB$3),MIN(CEG_Assets!$D$3,CEG_Assets!$Z$3*MIN(1,(AC$3-CEG_Assets!$AA$3+1)/MAX(1,CEG_Assets!$AC$3))),0)*AC66</f>
        <v>0</v>
      </c>
      <c r="AD67" s="9" t="n">
        <f aca="false">IF(AND(AD$3&gt;=CEG_Assets!$AA$3,AD$3&lt;=CEG_Assets!$AB$3),MIN(CEG_Assets!$D$3,CEG_Assets!$Z$3*MIN(1,(AD$3-CEG_Assets!$AA$3+1)/MAX(1,CEG_Assets!$AC$3))),0)*AD66</f>
        <v>0</v>
      </c>
      <c r="AE67" s="9" t="n">
        <f aca="false">IF(AND(AE$3&gt;=CEG_Assets!$AA$3,AE$3&lt;=CEG_Assets!$AB$3),MIN(CEG_Assets!$D$3,CEG_Assets!$Z$3*MIN(1,(AE$3-CEG_Assets!$AA$3+1)/MAX(1,CEG_Assets!$AC$3))),0)*AE66</f>
        <v>0</v>
      </c>
      <c r="AF67" s="9" t="n">
        <f aca="false">IF(AND(AF$3&gt;=CEG_Assets!$AA$3,AF$3&lt;=CEG_Assets!$AB$3),MIN(CEG_Assets!$D$3,CEG_Assets!$Z$3*MIN(1,(AF$3-CEG_Assets!$AA$3+1)/MAX(1,CEG_Assets!$AC$3))),0)*AF66</f>
        <v>0</v>
      </c>
      <c r="AG67" s="9" t="n">
        <f aca="false">IF(AND(AG$3&gt;=CEG_Assets!$AA$3,AG$3&lt;=CEG_Assets!$AB$3),MIN(CEG_Assets!$D$3,CEG_Assets!$Z$3*MIN(1,(AG$3-CEG_Assets!$AA$3+1)/MAX(1,CEG_Assets!$AC$3))),0)*AG66</f>
        <v>0</v>
      </c>
      <c r="AH67" s="9" t="n">
        <f aca="false">IF(AND(AH$3&gt;=CEG_Assets!$AA$3,AH$3&lt;=CEG_Assets!$AB$3),MIN(CEG_Assets!$D$3,CEG_Assets!$Z$3*MIN(1,(AH$3-CEG_Assets!$AA$3+1)/MAX(1,CEG_Assets!$AC$3))),0)*AH66</f>
        <v>0</v>
      </c>
      <c r="AI67" s="9" t="n">
        <f aca="false">IF(AND(AI$3&gt;=CEG_Assets!$AA$3,AI$3&lt;=CEG_Assets!$AB$3),MIN(CEG_Assets!$D$3,CEG_Assets!$Z$3*MIN(1,(AI$3-CEG_Assets!$AA$3+1)/MAX(1,CEG_Assets!$AC$3))),0)*AI66</f>
        <v>0</v>
      </c>
      <c r="AJ67" s="9" t="n">
        <f aca="false">IF(AND(AJ$3&gt;=CEG_Assets!$AA$3,AJ$3&lt;=CEG_Assets!$AB$3),MIN(CEG_Assets!$D$3,CEG_Assets!$Z$3*MIN(1,(AJ$3-CEG_Assets!$AA$3+1)/MAX(1,CEG_Assets!$AC$3))),0)*AJ66</f>
        <v>0</v>
      </c>
      <c r="AK67" s="9" t="n">
        <f aca="false">IF(AND(AK$3&gt;=CEG_Assets!$AA$3,AK$3&lt;=CEG_Assets!$AB$3),MIN(CEG_Assets!$D$3,CEG_Assets!$Z$3*MIN(1,(AK$3-CEG_Assets!$AA$3+1)/MAX(1,CEG_Assets!$AC$3))),0)*AK66</f>
        <v>0</v>
      </c>
      <c r="AL67" s="9" t="n">
        <f aca="false">IF(AND(AL$3&gt;=CEG_Assets!$AA$3,AL$3&lt;=CEG_Assets!$AB$3),MIN(CEG_Assets!$D$3,CEG_Assets!$Z$3*MIN(1,(AL$3-CEG_Assets!$AA$3+1)/MAX(1,CEG_Assets!$AC$3))),0)*AL66</f>
        <v>0</v>
      </c>
      <c r="AM67" s="9" t="n">
        <f aca="false">IF(AND(AM$3&gt;=CEG_Assets!$AA$3,AM$3&lt;=CEG_Assets!$AB$3),MIN(CEG_Assets!$D$3,CEG_Assets!$Z$3*MIN(1,(AM$3-CEG_Assets!$AA$3+1)/MAX(1,CEG_Assets!$AC$3))),0)*AM66</f>
        <v>0</v>
      </c>
      <c r="AN67" s="9" t="n">
        <f aca="false">IF(AND(AN$3&gt;=CEG_Assets!$AA$3,AN$3&lt;=CEG_Assets!$AB$3),MIN(CEG_Assets!$D$3,CEG_Assets!$Z$3*MIN(1,(AN$3-CEG_Assets!$AA$3+1)/MAX(1,CEG_Assets!$AC$3))),0)*AN66</f>
        <v>0</v>
      </c>
      <c r="AO67" s="9" t="n">
        <f aca="false">IF(AND(AO$3&gt;=CEG_Assets!$AA$3,AO$3&lt;=CEG_Assets!$AB$3),MIN(CEG_Assets!$D$3,CEG_Assets!$Z$3*MIN(1,(AO$3-CEG_Assets!$AA$3+1)/MAX(1,CEG_Assets!$AC$3))),0)*AO66</f>
        <v>0</v>
      </c>
      <c r="AP67" s="9" t="n">
        <f aca="false">IF(AND(AP$3&gt;=CEG_Assets!$AA$3,AP$3&lt;=CEG_Assets!$AB$3),MIN(CEG_Assets!$D$3,CEG_Assets!$Z$3*MIN(1,(AP$3-CEG_Assets!$AA$3+1)/MAX(1,CEG_Assets!$AC$3))),0)*AP66</f>
        <v>0</v>
      </c>
      <c r="AQ67" s="9" t="n">
        <f aca="false">IF(AND(AQ$3&gt;=CEG_Assets!$AA$3,AQ$3&lt;=CEG_Assets!$AB$3),MIN(CEG_Assets!$D$3,CEG_Assets!$Z$3*MIN(1,(AQ$3-CEG_Assets!$AA$3+1)/MAX(1,CEG_Assets!$AC$3))),0)*AQ66</f>
        <v>0</v>
      </c>
      <c r="AR67" s="9" t="n">
        <f aca="false">IF(AND(AR$3&gt;=CEG_Assets!$AA$3,AR$3&lt;=CEG_Assets!$AB$3),MIN(CEG_Assets!$D$3,CEG_Assets!$Z$3*MIN(1,(AR$3-CEG_Assets!$AA$3+1)/MAX(1,CEG_Assets!$AC$3))),0)*AR66</f>
        <v>0</v>
      </c>
      <c r="AS67" s="9" t="n">
        <f aca="false">IF(AND(AS$3&gt;=CEG_Assets!$AA$3,AS$3&lt;=CEG_Assets!$AB$3),MIN(CEG_Assets!$D$3,CEG_Assets!$Z$3*MIN(1,(AS$3-CEG_Assets!$AA$3+1)/MAX(1,CEG_Assets!$AC$3))),0)*AS66</f>
        <v>0</v>
      </c>
    </row>
    <row r="68" customFormat="false" ht="15" hidden="false" customHeight="false" outlineLevel="0" collapsed="false">
      <c r="A68" s="6" t="s">
        <v>429</v>
      </c>
      <c r="B68" s="6" t="s">
        <v>430</v>
      </c>
      <c r="G68" s="9" t="n">
        <f aca="false">(CEG_Assets!$D$3-G67)*8760*CEG_Assets!$I$3*G66</f>
        <v>76827828</v>
      </c>
      <c r="H68" s="9" t="n">
        <f aca="false">(CEG_Assets!$D$3-H67)*8760*CEG_Assets!$I$3*H66</f>
        <v>76827828</v>
      </c>
      <c r="I68" s="9" t="n">
        <f aca="false">(CEG_Assets!$D$3-I67)*8760*CEG_Assets!$I$3*I66</f>
        <v>76827828</v>
      </c>
      <c r="J68" s="9" t="n">
        <f aca="false">(CEG_Assets!$D$3-J67)*8760*CEG_Assets!$I$3*J66</f>
        <v>76827828</v>
      </c>
      <c r="K68" s="9" t="n">
        <f aca="false">(CEG_Assets!$D$3-K67)*8760*CEG_Assets!$I$3*K66</f>
        <v>76827828</v>
      </c>
      <c r="L68" s="9" t="n">
        <f aca="false">(CEG_Assets!$D$3-L67)*8760*CEG_Assets!$I$3*L66</f>
        <v>76827828</v>
      </c>
      <c r="M68" s="9" t="n">
        <f aca="false">(CEG_Assets!$D$3-M67)*8760*CEG_Assets!$I$3*M66</f>
        <v>76827828</v>
      </c>
      <c r="N68" s="9" t="n">
        <f aca="false">(CEG_Assets!$D$3-N67)*8760*CEG_Assets!$I$3*N66</f>
        <v>76827828</v>
      </c>
      <c r="O68" s="9" t="n">
        <f aca="false">(CEG_Assets!$D$3-O67)*8760*CEG_Assets!$I$3*O66</f>
        <v>76827828</v>
      </c>
      <c r="P68" s="9" t="n">
        <f aca="false">(CEG_Assets!$D$3-P67)*8760*CEG_Assets!$I$3*P66</f>
        <v>76827828</v>
      </c>
      <c r="Q68" s="9" t="n">
        <f aca="false">(CEG_Assets!$D$3-Q67)*8760*CEG_Assets!$I$3*Q66</f>
        <v>76827828</v>
      </c>
      <c r="R68" s="9" t="n">
        <f aca="false">(CEG_Assets!$D$3-R67)*8760*CEG_Assets!$I$3*R66</f>
        <v>76827828</v>
      </c>
      <c r="S68" s="9" t="n">
        <f aca="false">(CEG_Assets!$D$3-S67)*8760*CEG_Assets!$I$3*S66</f>
        <v>76827828</v>
      </c>
      <c r="T68" s="9" t="n">
        <f aca="false">(CEG_Assets!$D$3-T67)*8760*CEG_Assets!$I$3*T66</f>
        <v>76827828</v>
      </c>
      <c r="U68" s="9" t="n">
        <f aca="false">(CEG_Assets!$D$3-U67)*8760*CEG_Assets!$I$3*U66</f>
        <v>76827828</v>
      </c>
      <c r="V68" s="9" t="n">
        <f aca="false">(CEG_Assets!$D$3-V67)*8760*CEG_Assets!$I$3*V66</f>
        <v>76827828</v>
      </c>
      <c r="W68" s="9" t="n">
        <f aca="false">(CEG_Assets!$D$3-W67)*8760*CEG_Assets!$I$3*W66</f>
        <v>76827828</v>
      </c>
      <c r="X68" s="9" t="n">
        <f aca="false">(CEG_Assets!$D$3-X67)*8760*CEG_Assets!$I$3*X66</f>
        <v>76827828</v>
      </c>
      <c r="Y68" s="9" t="n">
        <f aca="false">(CEG_Assets!$D$3-Y67)*8760*CEG_Assets!$I$3*Y66</f>
        <v>76827828</v>
      </c>
      <c r="Z68" s="9" t="n">
        <f aca="false">(CEG_Assets!$D$3-Z67)*8760*CEG_Assets!$I$3*Z66</f>
        <v>76827828</v>
      </c>
      <c r="AA68" s="9" t="n">
        <f aca="false">(CEG_Assets!$D$3-AA67)*8760*CEG_Assets!$I$3*AA66</f>
        <v>84363180</v>
      </c>
      <c r="AB68" s="9" t="n">
        <f aca="false">(CEG_Assets!$D$3-AB67)*8760*CEG_Assets!$I$3*AB66</f>
        <v>84363180</v>
      </c>
      <c r="AC68" s="9" t="n">
        <f aca="false">(CEG_Assets!$D$3-AC67)*8760*CEG_Assets!$I$3*AC66</f>
        <v>84363180</v>
      </c>
      <c r="AD68" s="9" t="n">
        <f aca="false">(CEG_Assets!$D$3-AD67)*8760*CEG_Assets!$I$3*AD66</f>
        <v>84363180</v>
      </c>
      <c r="AE68" s="9" t="n">
        <f aca="false">(CEG_Assets!$D$3-AE67)*8760*CEG_Assets!$I$3*AE66</f>
        <v>84363180</v>
      </c>
      <c r="AF68" s="9" t="n">
        <f aca="false">(CEG_Assets!$D$3-AF67)*8760*CEG_Assets!$I$3*AF66</f>
        <v>84363180</v>
      </c>
      <c r="AG68" s="9" t="n">
        <f aca="false">(CEG_Assets!$D$3-AG67)*8760*CEG_Assets!$I$3*AG66</f>
        <v>84363180</v>
      </c>
      <c r="AH68" s="9" t="n">
        <f aca="false">(CEG_Assets!$D$3-AH67)*8760*CEG_Assets!$I$3*AH66</f>
        <v>84363180</v>
      </c>
      <c r="AI68" s="9" t="n">
        <f aca="false">(CEG_Assets!$D$3-AI67)*8760*CEG_Assets!$I$3*AI66</f>
        <v>84363180</v>
      </c>
      <c r="AJ68" s="9" t="n">
        <f aca="false">(CEG_Assets!$D$3-AJ67)*8760*CEG_Assets!$I$3*AJ66</f>
        <v>0</v>
      </c>
      <c r="AK68" s="9" t="n">
        <f aca="false">(CEG_Assets!$D$3-AK67)*8760*CEG_Assets!$I$3*AK66</f>
        <v>0</v>
      </c>
      <c r="AL68" s="9" t="n">
        <f aca="false">(CEG_Assets!$D$3-AL67)*8760*CEG_Assets!$I$3*AL66</f>
        <v>0</v>
      </c>
      <c r="AM68" s="9" t="n">
        <f aca="false">(CEG_Assets!$D$3-AM67)*8760*CEG_Assets!$I$3*AM66</f>
        <v>0</v>
      </c>
      <c r="AN68" s="9" t="n">
        <f aca="false">(CEG_Assets!$D$3-AN67)*8760*CEG_Assets!$I$3*AN66</f>
        <v>0</v>
      </c>
      <c r="AO68" s="9" t="n">
        <f aca="false">(CEG_Assets!$D$3-AO67)*8760*CEG_Assets!$I$3*AO66</f>
        <v>0</v>
      </c>
      <c r="AP68" s="9" t="n">
        <f aca="false">(CEG_Assets!$D$3-AP67)*8760*CEG_Assets!$I$3*AP66</f>
        <v>0</v>
      </c>
      <c r="AQ68" s="9" t="n">
        <f aca="false">(CEG_Assets!$D$3-AQ67)*8760*CEG_Assets!$I$3*AQ66</f>
        <v>0</v>
      </c>
      <c r="AR68" s="9" t="n">
        <f aca="false">(CEG_Assets!$D$3-AR67)*8760*CEG_Assets!$I$3*AR66</f>
        <v>0</v>
      </c>
      <c r="AS68" s="9" t="n">
        <f aca="false">(CEG_Assets!$D$3-AS67)*8760*CEG_Assets!$I$3*AS66</f>
        <v>0</v>
      </c>
    </row>
    <row r="69" customFormat="false" ht="15" hidden="false" customHeight="false" outlineLevel="0" collapsed="false">
      <c r="A69" s="6" t="s">
        <v>431</v>
      </c>
      <c r="B69" s="6" t="s">
        <v>432</v>
      </c>
      <c r="G69" s="9" t="n">
        <f aca="false">G67*8760*CEG_Assets!$I$3*G66</f>
        <v>7535352</v>
      </c>
      <c r="H69" s="9" t="n">
        <f aca="false">H67*8760*CEG_Assets!$I$3*H66</f>
        <v>7535352</v>
      </c>
      <c r="I69" s="9" t="n">
        <f aca="false">I67*8760*CEG_Assets!$I$3*I66</f>
        <v>7535352</v>
      </c>
      <c r="J69" s="9" t="n">
        <f aca="false">J67*8760*CEG_Assets!$I$3*J66</f>
        <v>7535352</v>
      </c>
      <c r="K69" s="9" t="n">
        <f aca="false">K67*8760*CEG_Assets!$I$3*K66</f>
        <v>7535352</v>
      </c>
      <c r="L69" s="9" t="n">
        <f aca="false">L67*8760*CEG_Assets!$I$3*L66</f>
        <v>7535352</v>
      </c>
      <c r="M69" s="9" t="n">
        <f aca="false">M67*8760*CEG_Assets!$I$3*M66</f>
        <v>7535352</v>
      </c>
      <c r="N69" s="9" t="n">
        <f aca="false">N67*8760*CEG_Assets!$I$3*N66</f>
        <v>7535352</v>
      </c>
      <c r="O69" s="9" t="n">
        <f aca="false">O67*8760*CEG_Assets!$I$3*O66</f>
        <v>7535352</v>
      </c>
      <c r="P69" s="9" t="n">
        <f aca="false">P67*8760*CEG_Assets!$I$3*P66</f>
        <v>7535352</v>
      </c>
      <c r="Q69" s="9" t="n">
        <f aca="false">Q67*8760*CEG_Assets!$I$3*Q66</f>
        <v>7535352</v>
      </c>
      <c r="R69" s="9" t="n">
        <f aca="false">R67*8760*CEG_Assets!$I$3*R66</f>
        <v>7535352</v>
      </c>
      <c r="S69" s="9" t="n">
        <f aca="false">S67*8760*CEG_Assets!$I$3*S66</f>
        <v>7535352</v>
      </c>
      <c r="T69" s="9" t="n">
        <f aca="false">T67*8760*CEG_Assets!$I$3*T66</f>
        <v>7535352</v>
      </c>
      <c r="U69" s="9" t="n">
        <f aca="false">U67*8760*CEG_Assets!$I$3*U66</f>
        <v>7535352</v>
      </c>
      <c r="V69" s="9" t="n">
        <f aca="false">V67*8760*CEG_Assets!$I$3*V66</f>
        <v>7535352</v>
      </c>
      <c r="W69" s="9" t="n">
        <f aca="false">W67*8760*CEG_Assets!$I$3*W66</f>
        <v>7535352</v>
      </c>
      <c r="X69" s="9" t="n">
        <f aca="false">X67*8760*CEG_Assets!$I$3*X66</f>
        <v>7535352</v>
      </c>
      <c r="Y69" s="9" t="n">
        <f aca="false">Y67*8760*CEG_Assets!$I$3*Y66</f>
        <v>7535352</v>
      </c>
      <c r="Z69" s="9" t="n">
        <f aca="false">Z67*8760*CEG_Assets!$I$3*Z66</f>
        <v>7535352</v>
      </c>
      <c r="AA69" s="9" t="n">
        <f aca="false">AA67*8760*CEG_Assets!$I$3*AA66</f>
        <v>0</v>
      </c>
      <c r="AB69" s="9" t="n">
        <f aca="false">AB67*8760*CEG_Assets!$I$3*AB66</f>
        <v>0</v>
      </c>
      <c r="AC69" s="9" t="n">
        <f aca="false">AC67*8760*CEG_Assets!$I$3*AC66</f>
        <v>0</v>
      </c>
      <c r="AD69" s="9" t="n">
        <f aca="false">AD67*8760*CEG_Assets!$I$3*AD66</f>
        <v>0</v>
      </c>
      <c r="AE69" s="9" t="n">
        <f aca="false">AE67*8760*CEG_Assets!$I$3*AE66</f>
        <v>0</v>
      </c>
      <c r="AF69" s="9" t="n">
        <f aca="false">AF67*8760*CEG_Assets!$I$3*AF66</f>
        <v>0</v>
      </c>
      <c r="AG69" s="9" t="n">
        <f aca="false">AG67*8760*CEG_Assets!$I$3*AG66</f>
        <v>0</v>
      </c>
      <c r="AH69" s="9" t="n">
        <f aca="false">AH67*8760*CEG_Assets!$I$3*AH66</f>
        <v>0</v>
      </c>
      <c r="AI69" s="9" t="n">
        <f aca="false">AI67*8760*CEG_Assets!$I$3*AI66</f>
        <v>0</v>
      </c>
      <c r="AJ69" s="9" t="n">
        <f aca="false">AJ67*8760*CEG_Assets!$I$3*AJ66</f>
        <v>0</v>
      </c>
      <c r="AK69" s="9" t="n">
        <f aca="false">AK67*8760*CEG_Assets!$I$3*AK66</f>
        <v>0</v>
      </c>
      <c r="AL69" s="9" t="n">
        <f aca="false">AL67*8760*CEG_Assets!$I$3*AL66</f>
        <v>0</v>
      </c>
      <c r="AM69" s="9" t="n">
        <f aca="false">AM67*8760*CEG_Assets!$I$3*AM66</f>
        <v>0</v>
      </c>
      <c r="AN69" s="9" t="n">
        <f aca="false">AN67*8760*CEG_Assets!$I$3*AN66</f>
        <v>0</v>
      </c>
      <c r="AO69" s="9" t="n">
        <f aca="false">AO67*8760*CEG_Assets!$I$3*AO66</f>
        <v>0</v>
      </c>
      <c r="AP69" s="9" t="n">
        <f aca="false">AP67*8760*CEG_Assets!$I$3*AP66</f>
        <v>0</v>
      </c>
      <c r="AQ69" s="9" t="n">
        <f aca="false">AQ67*8760*CEG_Assets!$I$3*AQ66</f>
        <v>0</v>
      </c>
      <c r="AR69" s="9" t="n">
        <f aca="false">AR67*8760*CEG_Assets!$I$3*AR66</f>
        <v>0</v>
      </c>
      <c r="AS69" s="9" t="n">
        <f aca="false">AS67*8760*CEG_Assets!$I$3*AS66</f>
        <v>0</v>
      </c>
    </row>
    <row r="70" customFormat="false" ht="15" hidden="false" customHeight="false" outlineLevel="0" collapsed="false">
      <c r="A70" s="6" t="s">
        <v>433</v>
      </c>
      <c r="B70" s="6" t="s">
        <v>434</v>
      </c>
      <c r="G70" s="7" t="n">
        <f aca="false">IF(ISNUMBER(CEG_Assets!$L$3),CEG_Assets!$L$3*G$4,INDEX(Prices!G:G,CEG_Assets!$AO$3)+FuelAdder*G$4)</f>
        <v>4.029</v>
      </c>
      <c r="H70" s="7" t="n">
        <f aca="false">IF(ISNUMBER(CEG_Assets!$L$3),CEG_Assets!$L$3*H$4,INDEX(Prices!H:H,CEG_Assets!$AO$3)+FuelAdder*H$4)</f>
        <v>4.10958</v>
      </c>
      <c r="I70" s="7" t="n">
        <f aca="false">IF(ISNUMBER(CEG_Assets!$L$3),CEG_Assets!$L$3*I$4,INDEX(Prices!I:I,CEG_Assets!$AO$3)+FuelAdder*I$4)</f>
        <v>4.2978924</v>
      </c>
      <c r="J70" s="7" t="n">
        <f aca="false">IF(ISNUMBER(CEG_Assets!$L$3),CEG_Assets!$L$3*J$4,INDEX(Prices!J:J,CEG_Assets!$AO$3)+FuelAdder*J$4)</f>
        <v>4.383850248</v>
      </c>
      <c r="K70" s="7" t="n">
        <f aca="false">IF(ISNUMBER(CEG_Assets!$L$3),CEG_Assets!$L$3*K$4,INDEX(Prices!K:K,CEG_Assets!$AO$3)+FuelAdder*K$4)</f>
        <v>4.47152725296</v>
      </c>
      <c r="L70" s="7" t="n">
        <f aca="false">IF(ISNUMBER(CEG_Assets!$L$3),CEG_Assets!$L$3*L$4,INDEX(Prices!L:L,CEG_Assets!$AO$3)+FuelAdder*L$4)</f>
        <v>4.5609577980192</v>
      </c>
      <c r="M70" s="7" t="n">
        <f aca="false">IF(ISNUMBER(CEG_Assets!$L$3),CEG_Assets!$L$3*M$4,INDEX(Prices!M:M,CEG_Assets!$AO$3)+FuelAdder*M$4)</f>
        <v>4.65217695397958</v>
      </c>
      <c r="N70" s="7" t="n">
        <f aca="false">IF(ISNUMBER(CEG_Assets!$L$3),CEG_Assets!$L$3*N$4,INDEX(Prices!N:N,CEG_Assets!$AO$3)+FuelAdder*N$4)</f>
        <v>4.74522049305918</v>
      </c>
      <c r="O70" s="7" t="n">
        <f aca="false">IF(ISNUMBER(CEG_Assets!$L$3),CEG_Assets!$L$3*O$4,INDEX(Prices!O:O,CEG_Assets!$AO$3)+FuelAdder*O$4)</f>
        <v>4.84012490292036</v>
      </c>
      <c r="P70" s="7" t="n">
        <f aca="false">IF(ISNUMBER(CEG_Assets!$L$3),CEG_Assets!$L$3*P$4,INDEX(Prices!P:P,CEG_Assets!$AO$3)+FuelAdder*P$4)</f>
        <v>4.93692740097877</v>
      </c>
      <c r="Q70" s="7" t="n">
        <f aca="false">IF(ISNUMBER(CEG_Assets!$L$3),CEG_Assets!$L$3*Q$4,INDEX(Prices!Q:Q,CEG_Assets!$AO$3)+FuelAdder*Q$4)</f>
        <v>5.03566594899834</v>
      </c>
      <c r="R70" s="7" t="n">
        <f aca="false">IF(ISNUMBER(CEG_Assets!$L$3),CEG_Assets!$L$3*R$4,INDEX(Prices!R:R,CEG_Assets!$AO$3)+FuelAdder*R$4)</f>
        <v>5.13637926797831</v>
      </c>
      <c r="S70" s="7" t="n">
        <f aca="false">IF(ISNUMBER(CEG_Assets!$L$3),CEG_Assets!$L$3*S$4,INDEX(Prices!S:S,CEG_Assets!$AO$3)+FuelAdder*S$4)</f>
        <v>5.23910685333788</v>
      </c>
      <c r="T70" s="7" t="n">
        <f aca="false">IF(ISNUMBER(CEG_Assets!$L$3),CEG_Assets!$L$3*T$4,INDEX(Prices!T:T,CEG_Assets!$AO$3)+FuelAdder*T$4)</f>
        <v>5.34388899040463</v>
      </c>
      <c r="U70" s="7" t="n">
        <f aca="false">IF(ISNUMBER(CEG_Assets!$L$3),CEG_Assets!$L$3*U$4,INDEX(Prices!U:U,CEG_Assets!$AO$3)+FuelAdder*U$4)</f>
        <v>5.45076677021273</v>
      </c>
      <c r="V70" s="7" t="n">
        <f aca="false">IF(ISNUMBER(CEG_Assets!$L$3),CEG_Assets!$L$3*V$4,INDEX(Prices!V:V,CEG_Assets!$AO$3)+FuelAdder*V$4)</f>
        <v>5.55978210561698</v>
      </c>
      <c r="W70" s="7" t="n">
        <f aca="false">IF(ISNUMBER(CEG_Assets!$L$3),CEG_Assets!$L$3*W$4,INDEX(Prices!W:W,CEG_Assets!$AO$3)+FuelAdder*W$4)</f>
        <v>5.67097774772932</v>
      </c>
      <c r="X70" s="7" t="n">
        <f aca="false">IF(ISNUMBER(CEG_Assets!$L$3),CEG_Assets!$L$3*X$4,INDEX(Prices!X:X,CEG_Assets!$AO$3)+FuelAdder*X$4)</f>
        <v>5.78439730268391</v>
      </c>
      <c r="Y70" s="7" t="n">
        <f aca="false">IF(ISNUMBER(CEG_Assets!$L$3),CEG_Assets!$L$3*Y$4,INDEX(Prices!Y:Y,CEG_Assets!$AO$3)+FuelAdder*Y$4)</f>
        <v>5.90008524873759</v>
      </c>
      <c r="Z70" s="7" t="n">
        <f aca="false">IF(ISNUMBER(CEG_Assets!$L$3),CEG_Assets!$L$3*Z$4,INDEX(Prices!Z:Z,CEG_Assets!$AO$3)+FuelAdder*Z$4)</f>
        <v>6.01808695371234</v>
      </c>
      <c r="AA70" s="7" t="n">
        <f aca="false">IF(ISNUMBER(CEG_Assets!$L$3),CEG_Assets!$L$3*AA$4,INDEX(Prices!AA:AA,CEG_Assets!$AO$3)+FuelAdder*AA$4)</f>
        <v>6.13844869278658</v>
      </c>
      <c r="AB70" s="7" t="n">
        <f aca="false">IF(ISNUMBER(CEG_Assets!$L$3),CEG_Assets!$L$3*AB$4,INDEX(Prices!AB:AB,CEG_Assets!$AO$3)+FuelAdder*AB$4)</f>
        <v>6.26121766664232</v>
      </c>
      <c r="AC70" s="7" t="n">
        <f aca="false">IF(ISNUMBER(CEG_Assets!$L$3),CEG_Assets!$L$3*AC$4,INDEX(Prices!AC:AC,CEG_Assets!$AO$3)+FuelAdder*AC$4)</f>
        <v>6.38644201997516</v>
      </c>
      <c r="AD70" s="7" t="n">
        <f aca="false">IF(ISNUMBER(CEG_Assets!$L$3),CEG_Assets!$L$3*AD$4,INDEX(Prices!AD:AD,CEG_Assets!$AO$3)+FuelAdder*AD$4)</f>
        <v>6.51417086037467</v>
      </c>
      <c r="AE70" s="7" t="n">
        <f aca="false">IF(ISNUMBER(CEG_Assets!$L$3),CEG_Assets!$L$3*AE$4,INDEX(Prices!AE:AE,CEG_Assets!$AO$3)+FuelAdder*AE$4)</f>
        <v>6.64445427758216</v>
      </c>
      <c r="AF70" s="7" t="n">
        <f aca="false">IF(ISNUMBER(CEG_Assets!$L$3),CEG_Assets!$L$3*AF$4,INDEX(Prices!AF:AF,CEG_Assets!$AO$3)+FuelAdder*AF$4)</f>
        <v>6.7773433631338</v>
      </c>
      <c r="AG70" s="7" t="n">
        <f aca="false">IF(ISNUMBER(CEG_Assets!$L$3),CEG_Assets!$L$3*AG$4,INDEX(Prices!AG:AG,CEG_Assets!$AO$3)+FuelAdder*AG$4)</f>
        <v>6.91289023039648</v>
      </c>
      <c r="AH70" s="7" t="n">
        <f aca="false">IF(ISNUMBER(CEG_Assets!$L$3),CEG_Assets!$L$3*AH$4,INDEX(Prices!AH:AH,CEG_Assets!$AO$3)+FuelAdder*AH$4)</f>
        <v>7.05114803500441</v>
      </c>
      <c r="AI70" s="7" t="n">
        <f aca="false">IF(ISNUMBER(CEG_Assets!$L$3),CEG_Assets!$L$3*AI$4,INDEX(Prices!AI:AI,CEG_Assets!$AO$3)+FuelAdder*AI$4)</f>
        <v>7.1921709957045</v>
      </c>
      <c r="AJ70" s="7" t="n">
        <f aca="false">IF(ISNUMBER(CEG_Assets!$L$3),CEG_Assets!$L$3*AJ$4,INDEX(Prices!AJ:AJ,CEG_Assets!$AO$3)+FuelAdder*AJ$4)</f>
        <v>7.33601441561859</v>
      </c>
      <c r="AK70" s="7" t="n">
        <f aca="false">IF(ISNUMBER(CEG_Assets!$L$3),CEG_Assets!$L$3*AK$4,INDEX(Prices!AK:AK,CEG_Assets!$AO$3)+FuelAdder*AK$4)</f>
        <v>7.48273470393096</v>
      </c>
      <c r="AL70" s="7" t="n">
        <f aca="false">IF(ISNUMBER(CEG_Assets!$L$3),CEG_Assets!$L$3*AL$4,INDEX(Prices!AL:AL,CEG_Assets!$AO$3)+FuelAdder*AL$4)</f>
        <v>7.63238939800958</v>
      </c>
      <c r="AM70" s="7" t="n">
        <f aca="false">IF(ISNUMBER(CEG_Assets!$L$3),CEG_Assets!$L$3*AM$4,INDEX(Prices!AM:AM,CEG_Assets!$AO$3)+FuelAdder*AM$4)</f>
        <v>7.78503718596977</v>
      </c>
      <c r="AN70" s="7" t="n">
        <f aca="false">IF(ISNUMBER(CEG_Assets!$L$3),CEG_Assets!$L$3*AN$4,INDEX(Prices!AN:AN,CEG_Assets!$AO$3)+FuelAdder*AN$4)</f>
        <v>7.94073792968917</v>
      </c>
      <c r="AO70" s="7" t="n">
        <f aca="false">IF(ISNUMBER(CEG_Assets!$L$3),CEG_Assets!$L$3*AO$4,INDEX(Prices!AO:AO,CEG_Assets!$AO$3)+FuelAdder*AO$4)</f>
        <v>8.09955268828295</v>
      </c>
      <c r="AP70" s="7" t="n">
        <f aca="false">IF(ISNUMBER(CEG_Assets!$L$3),CEG_Assets!$L$3*AP$4,INDEX(Prices!AP:AP,CEG_Assets!$AO$3)+FuelAdder*AP$4)</f>
        <v>8.26154374204861</v>
      </c>
      <c r="AQ70" s="7" t="n">
        <f aca="false">IF(ISNUMBER(CEG_Assets!$L$3),CEG_Assets!$L$3*AQ$4,INDEX(Prices!AQ:AQ,CEG_Assets!$AO$3)+FuelAdder*AQ$4)</f>
        <v>8.42677461688958</v>
      </c>
      <c r="AR70" s="7" t="n">
        <f aca="false">IF(ISNUMBER(CEG_Assets!$L$3),CEG_Assets!$L$3*AR$4,INDEX(Prices!AR:AR,CEG_Assets!$AO$3)+FuelAdder*AR$4)</f>
        <v>8.59531010922737</v>
      </c>
      <c r="AS70" s="7" t="n">
        <f aca="false">IF(ISNUMBER(CEG_Assets!$L$3),CEG_Assets!$L$3*AS$4,INDEX(Prices!AS:AS,CEG_Assets!$AO$3)+FuelAdder*AS$4)</f>
        <v>8.76721631141192</v>
      </c>
    </row>
    <row r="71" customFormat="false" ht="15" hidden="false" customHeight="false" outlineLevel="0" collapsed="false">
      <c r="A71" s="6" t="s">
        <v>435</v>
      </c>
      <c r="B71" s="6" t="s">
        <v>436</v>
      </c>
      <c r="G71" s="7" t="n">
        <f aca="false">INDEX(Prices!G:G,CEG_Assets!$AN$3)*CEG_Assets!$J$3-CEG_Assets!$K$3*G70-CEG_Assets!$M$3*G$4</f>
        <v>60.588</v>
      </c>
      <c r="H71" s="7" t="n">
        <f aca="false">INDEX(Prices!H:H,CEG_Assets!$AN$3)*CEG_Assets!$J$3-CEG_Assets!$K$3*H70-CEG_Assets!$M$3*H$4</f>
        <v>61.4295</v>
      </c>
      <c r="I71" s="7" t="n">
        <f aca="false">INDEX(Prices!I:I,CEG_Assets!$AN$3)*CEG_Assets!$J$3-CEG_Assets!$K$3*I70-CEG_Assets!$M$3*I$4</f>
        <v>56.34315919485</v>
      </c>
      <c r="J71" s="7" t="n">
        <f aca="false">INDEX(Prices!J:J,CEG_Assets!$AN$3)*CEG_Assets!$J$3-CEG_Assets!$K$3*J70-CEG_Assets!$M$3*J$4</f>
        <v>54.856944757494</v>
      </c>
      <c r="K71" s="7" t="n">
        <f aca="false">INDEX(Prices!K:K,CEG_Assets!$AN$3)*CEG_Assets!$J$3-CEG_Assets!$K$3*K70-CEG_Assets!$M$3*K$4</f>
        <v>55.9540836526439</v>
      </c>
      <c r="L71" s="7" t="n">
        <f aca="false">INDEX(Prices!L:L,CEG_Assets!$AN$3)*CEG_Assets!$J$3-CEG_Assets!$K$3*L70-CEG_Assets!$M$3*L$4</f>
        <v>57.0731653256968</v>
      </c>
      <c r="M71" s="7" t="n">
        <f aca="false">INDEX(Prices!M:M,CEG_Assets!$AN$3)*CEG_Assets!$J$3-CEG_Assets!$K$3*M70-CEG_Assets!$M$3*M$4</f>
        <v>58.2146286322107</v>
      </c>
      <c r="N71" s="7" t="n">
        <f aca="false">INDEX(Prices!N:N,CEG_Assets!$AN$3)*CEG_Assets!$J$3-CEG_Assets!$K$3*N70-CEG_Assets!$M$3*N$4</f>
        <v>59.3789212048549</v>
      </c>
      <c r="O71" s="7" t="n">
        <f aca="false">INDEX(Prices!O:O,CEG_Assets!$AN$3)*CEG_Assets!$J$3-CEG_Assets!$K$3*O70-CEG_Assets!$M$3*O$4</f>
        <v>60.566499628952</v>
      </c>
      <c r="P71" s="7" t="n">
        <f aca="false">INDEX(Prices!P:P,CEG_Assets!$AN$3)*CEG_Assets!$J$3-CEG_Assets!$K$3*P70-CEG_Assets!$M$3*P$4</f>
        <v>61.7778296215311</v>
      </c>
      <c r="Q71" s="7" t="n">
        <f aca="false">INDEX(Prices!Q:Q,CEG_Assets!$AN$3)*CEG_Assets!$J$3-CEG_Assets!$K$3*Q70-CEG_Assets!$M$3*Q$4</f>
        <v>63.0133862139617</v>
      </c>
      <c r="R71" s="7" t="n">
        <f aca="false">INDEX(Prices!R:R,CEG_Assets!$AN$3)*CEG_Assets!$J$3-CEG_Assets!$K$3*R70-CEG_Assets!$M$3*R$4</f>
        <v>64.2736539382409</v>
      </c>
      <c r="S71" s="7" t="n">
        <f aca="false">INDEX(Prices!S:S,CEG_Assets!$AN$3)*CEG_Assets!$J$3-CEG_Assets!$K$3*S70-CEG_Assets!$M$3*S$4</f>
        <v>65.5591270170057</v>
      </c>
      <c r="T71" s="7" t="n">
        <f aca="false">INDEX(Prices!T:T,CEG_Assets!$AN$3)*CEG_Assets!$J$3-CEG_Assets!$K$3*T70-CEG_Assets!$M$3*T$4</f>
        <v>66.8703095573459</v>
      </c>
      <c r="U71" s="7" t="n">
        <f aca="false">INDEX(Prices!U:U,CEG_Assets!$AN$3)*CEG_Assets!$J$3-CEG_Assets!$K$3*U70-CEG_Assets!$M$3*U$4</f>
        <v>68.2077157484928</v>
      </c>
      <c r="V71" s="7" t="n">
        <f aca="false">INDEX(Prices!V:V,CEG_Assets!$AN$3)*CEG_Assets!$J$3-CEG_Assets!$K$3*V70-CEG_Assets!$M$3*V$4</f>
        <v>69.5718700634626</v>
      </c>
      <c r="W71" s="7" t="n">
        <f aca="false">INDEX(Prices!W:W,CEG_Assets!$AN$3)*CEG_Assets!$J$3-CEG_Assets!$K$3*W70-CEG_Assets!$M$3*W$4</f>
        <v>70.9633074647319</v>
      </c>
      <c r="X71" s="7" t="n">
        <f aca="false">INDEX(Prices!X:X,CEG_Assets!$AN$3)*CEG_Assets!$J$3-CEG_Assets!$K$3*X70-CEG_Assets!$M$3*X$4</f>
        <v>72.3825736140265</v>
      </c>
      <c r="Y71" s="7" t="n">
        <f aca="false">INDEX(Prices!Y:Y,CEG_Assets!$AN$3)*CEG_Assets!$J$3-CEG_Assets!$K$3*Y70-CEG_Assets!$M$3*Y$4</f>
        <v>73.830225086307</v>
      </c>
      <c r="Z71" s="7" t="n">
        <f aca="false">INDEX(Prices!Z:Z,CEG_Assets!$AN$3)*CEG_Assets!$J$3-CEG_Assets!$K$3*Z70-CEG_Assets!$M$3*Z$4</f>
        <v>75.3068295880332</v>
      </c>
      <c r="AA71" s="7" t="n">
        <f aca="false">INDEX(Prices!AA:AA,CEG_Assets!$AN$3)*CEG_Assets!$J$3-CEG_Assets!$K$3*AA70-CEG_Assets!$M$3*AA$4</f>
        <v>76.8129661797939</v>
      </c>
      <c r="AB71" s="7" t="n">
        <f aca="false">INDEX(Prices!AB:AB,CEG_Assets!$AN$3)*CEG_Assets!$J$3-CEG_Assets!$K$3*AB70-CEG_Assets!$M$3*AB$4</f>
        <v>78.3492255033897</v>
      </c>
      <c r="AC71" s="7" t="n">
        <f aca="false">INDEX(Prices!AC:AC,CEG_Assets!$AN$3)*CEG_Assets!$J$3-CEG_Assets!$K$3*AC70-CEG_Assets!$M$3*AC$4</f>
        <v>79.9162100134575</v>
      </c>
      <c r="AD71" s="7" t="n">
        <f aca="false">INDEX(Prices!AD:AD,CEG_Assets!$AN$3)*CEG_Assets!$J$3-CEG_Assets!$K$3*AD70-CEG_Assets!$M$3*AD$4</f>
        <v>81.5145342137267</v>
      </c>
      <c r="AE71" s="7" t="n">
        <f aca="false">INDEX(Prices!AE:AE,CEG_Assets!$AN$3)*CEG_Assets!$J$3-CEG_Assets!$K$3*AE70-CEG_Assets!$M$3*AE$4</f>
        <v>83.1448248980012</v>
      </c>
      <c r="AF71" s="7" t="n">
        <f aca="false">INDEX(Prices!AF:AF,CEG_Assets!$AN$3)*CEG_Assets!$J$3-CEG_Assets!$K$3*AF70-CEG_Assets!$M$3*AF$4</f>
        <v>84.8077213959612</v>
      </c>
      <c r="AG71" s="7" t="n">
        <f aca="false">INDEX(Prices!AG:AG,CEG_Assets!$AN$3)*CEG_Assets!$J$3-CEG_Assets!$K$3*AG70-CEG_Assets!$M$3*AG$4</f>
        <v>86.5038758238805</v>
      </c>
      <c r="AH71" s="7" t="n">
        <f aca="false">INDEX(Prices!AH:AH,CEG_Assets!$AN$3)*CEG_Assets!$J$3-CEG_Assets!$K$3*AH70-CEG_Assets!$M$3*AH$4</f>
        <v>88.2339533403581</v>
      </c>
      <c r="AI71" s="7" t="n">
        <f aca="false">INDEX(Prices!AI:AI,CEG_Assets!$AN$3)*CEG_Assets!$J$3-CEG_Assets!$K$3*AI70-CEG_Assets!$M$3*AI$4</f>
        <v>89.9986324071652</v>
      </c>
      <c r="AJ71" s="7" t="n">
        <f aca="false">INDEX(Prices!AJ:AJ,CEG_Assets!$AN$3)*CEG_Assets!$J$3-CEG_Assets!$K$3*AJ70-CEG_Assets!$M$3*AJ$4</f>
        <v>91.7986050553086</v>
      </c>
      <c r="AK71" s="7" t="n">
        <f aca="false">INDEX(Prices!AK:AK,CEG_Assets!$AN$3)*CEG_Assets!$J$3-CEG_Assets!$K$3*AK70-CEG_Assets!$M$3*AK$4</f>
        <v>93.6345771564147</v>
      </c>
      <c r="AL71" s="7" t="n">
        <f aca="false">INDEX(Prices!AL:AL,CEG_Assets!$AN$3)*CEG_Assets!$J$3-CEG_Assets!$K$3*AL70-CEG_Assets!$M$3*AL$4</f>
        <v>95.507268699543</v>
      </c>
      <c r="AM71" s="7" t="n">
        <f aca="false">INDEX(Prices!AM:AM,CEG_Assets!$AN$3)*CEG_Assets!$J$3-CEG_Assets!$K$3*AM70-CEG_Assets!$M$3*AM$4</f>
        <v>97.4174140735339</v>
      </c>
      <c r="AN71" s="7" t="n">
        <f aca="false">INDEX(Prices!AN:AN,CEG_Assets!$AN$3)*CEG_Assets!$J$3-CEG_Assets!$K$3*AN70-CEG_Assets!$M$3*AN$4</f>
        <v>99.3657623550046</v>
      </c>
      <c r="AO71" s="7" t="n">
        <f aca="false">INDEX(Prices!AO:AO,CEG_Assets!$AN$3)*CEG_Assets!$J$3-CEG_Assets!$K$3*AO70-CEG_Assets!$M$3*AO$4</f>
        <v>101.353077602105</v>
      </c>
      <c r="AP71" s="7" t="n">
        <f aca="false">INDEX(Prices!AP:AP,CEG_Assets!$AN$3)*CEG_Assets!$J$3-CEG_Assets!$K$3*AP70-CEG_Assets!$M$3*AP$4</f>
        <v>103.380139154147</v>
      </c>
      <c r="AQ71" s="7" t="n">
        <f aca="false">INDEX(Prices!AQ:AQ,CEG_Assets!$AN$3)*CEG_Assets!$J$3-CEG_Assets!$K$3*AQ70-CEG_Assets!$M$3*AQ$4</f>
        <v>105.44774193723</v>
      </c>
      <c r="AR71" s="7" t="n">
        <f aca="false">INDEX(Prices!AR:AR,CEG_Assets!$AN$3)*CEG_Assets!$J$3-CEG_Assets!$K$3*AR70-CEG_Assets!$M$3*AR$4</f>
        <v>107.556696775974</v>
      </c>
      <c r="AS71" s="7" t="n">
        <f aca="false">INDEX(Prices!AS:AS,CEG_Assets!$AN$3)*CEG_Assets!$J$3-CEG_Assets!$K$3*AS70-CEG_Assets!$M$3*AS$4</f>
        <v>109.707830711494</v>
      </c>
    </row>
    <row r="72" customFormat="false" ht="15" hidden="false" customHeight="false" outlineLevel="0" collapsed="false">
      <c r="A72" s="6" t="s">
        <v>437</v>
      </c>
      <c r="B72" s="6" t="s">
        <v>438</v>
      </c>
      <c r="G72" s="47" t="n">
        <f aca="false">IF(CEG_Assets!$X$3=1,IF(G71&gt;0,1,0),1)</f>
        <v>1</v>
      </c>
      <c r="H72" s="47" t="n">
        <f aca="false">IF(CEG_Assets!$X$3=1,IF(H71&gt;0,1,0),1)</f>
        <v>1</v>
      </c>
      <c r="I72" s="47" t="n">
        <f aca="false">IF(CEG_Assets!$X$3=1,IF(I71&gt;0,1,0),1)</f>
        <v>1</v>
      </c>
      <c r="J72" s="47" t="n">
        <f aca="false">IF(CEG_Assets!$X$3=1,IF(J71&gt;0,1,0),1)</f>
        <v>1</v>
      </c>
      <c r="K72" s="47" t="n">
        <f aca="false">IF(CEG_Assets!$X$3=1,IF(K71&gt;0,1,0),1)</f>
        <v>1</v>
      </c>
      <c r="L72" s="47" t="n">
        <f aca="false">IF(CEG_Assets!$X$3=1,IF(L71&gt;0,1,0),1)</f>
        <v>1</v>
      </c>
      <c r="M72" s="47" t="n">
        <f aca="false">IF(CEG_Assets!$X$3=1,IF(M71&gt;0,1,0),1)</f>
        <v>1</v>
      </c>
      <c r="N72" s="47" t="n">
        <f aca="false">IF(CEG_Assets!$X$3=1,IF(N71&gt;0,1,0),1)</f>
        <v>1</v>
      </c>
      <c r="O72" s="47" t="n">
        <f aca="false">IF(CEG_Assets!$X$3=1,IF(O71&gt;0,1,0),1)</f>
        <v>1</v>
      </c>
      <c r="P72" s="47" t="n">
        <f aca="false">IF(CEG_Assets!$X$3=1,IF(P71&gt;0,1,0),1)</f>
        <v>1</v>
      </c>
      <c r="Q72" s="47" t="n">
        <f aca="false">IF(CEG_Assets!$X$3=1,IF(Q71&gt;0,1,0),1)</f>
        <v>1</v>
      </c>
      <c r="R72" s="47" t="n">
        <f aca="false">IF(CEG_Assets!$X$3=1,IF(R71&gt;0,1,0),1)</f>
        <v>1</v>
      </c>
      <c r="S72" s="47" t="n">
        <f aca="false">IF(CEG_Assets!$X$3=1,IF(S71&gt;0,1,0),1)</f>
        <v>1</v>
      </c>
      <c r="T72" s="47" t="n">
        <f aca="false">IF(CEG_Assets!$X$3=1,IF(T71&gt;0,1,0),1)</f>
        <v>1</v>
      </c>
      <c r="U72" s="47" t="n">
        <f aca="false">IF(CEG_Assets!$X$3=1,IF(U71&gt;0,1,0),1)</f>
        <v>1</v>
      </c>
      <c r="V72" s="47" t="n">
        <f aca="false">IF(CEG_Assets!$X$3=1,IF(V71&gt;0,1,0),1)</f>
        <v>1</v>
      </c>
      <c r="W72" s="47" t="n">
        <f aca="false">IF(CEG_Assets!$X$3=1,IF(W71&gt;0,1,0),1)</f>
        <v>1</v>
      </c>
      <c r="X72" s="47" t="n">
        <f aca="false">IF(CEG_Assets!$X$3=1,IF(X71&gt;0,1,0),1)</f>
        <v>1</v>
      </c>
      <c r="Y72" s="47" t="n">
        <f aca="false">IF(CEG_Assets!$X$3=1,IF(Y71&gt;0,1,0),1)</f>
        <v>1</v>
      </c>
      <c r="Z72" s="47" t="n">
        <f aca="false">IF(CEG_Assets!$X$3=1,IF(Z71&gt;0,1,0),1)</f>
        <v>1</v>
      </c>
      <c r="AA72" s="47" t="n">
        <f aca="false">IF(CEG_Assets!$X$3=1,IF(AA71&gt;0,1,0),1)</f>
        <v>1</v>
      </c>
      <c r="AB72" s="47" t="n">
        <f aca="false">IF(CEG_Assets!$X$3=1,IF(AB71&gt;0,1,0),1)</f>
        <v>1</v>
      </c>
      <c r="AC72" s="47" t="n">
        <f aca="false">IF(CEG_Assets!$X$3=1,IF(AC71&gt;0,1,0),1)</f>
        <v>1</v>
      </c>
      <c r="AD72" s="47" t="n">
        <f aca="false">IF(CEG_Assets!$X$3=1,IF(AD71&gt;0,1,0),1)</f>
        <v>1</v>
      </c>
      <c r="AE72" s="47" t="n">
        <f aca="false">IF(CEG_Assets!$X$3=1,IF(AE71&gt;0,1,0),1)</f>
        <v>1</v>
      </c>
      <c r="AF72" s="47" t="n">
        <f aca="false">IF(CEG_Assets!$X$3=1,IF(AF71&gt;0,1,0),1)</f>
        <v>1</v>
      </c>
      <c r="AG72" s="47" t="n">
        <f aca="false">IF(CEG_Assets!$X$3=1,IF(AG71&gt;0,1,0),1)</f>
        <v>1</v>
      </c>
      <c r="AH72" s="47" t="n">
        <f aca="false">IF(CEG_Assets!$X$3=1,IF(AH71&gt;0,1,0),1)</f>
        <v>1</v>
      </c>
      <c r="AI72" s="47" t="n">
        <f aca="false">IF(CEG_Assets!$X$3=1,IF(AI71&gt;0,1,0),1)</f>
        <v>1</v>
      </c>
      <c r="AJ72" s="47" t="n">
        <f aca="false">IF(CEG_Assets!$X$3=1,IF(AJ71&gt;0,1,0),1)</f>
        <v>1</v>
      </c>
      <c r="AK72" s="47" t="n">
        <f aca="false">IF(CEG_Assets!$X$3=1,IF(AK71&gt;0,1,0),1)</f>
        <v>1</v>
      </c>
      <c r="AL72" s="47" t="n">
        <f aca="false">IF(CEG_Assets!$X$3=1,IF(AL71&gt;0,1,0),1)</f>
        <v>1</v>
      </c>
      <c r="AM72" s="47" t="n">
        <f aca="false">IF(CEG_Assets!$X$3=1,IF(AM71&gt;0,1,0),1)</f>
        <v>1</v>
      </c>
      <c r="AN72" s="47" t="n">
        <f aca="false">IF(CEG_Assets!$X$3=1,IF(AN71&gt;0,1,0),1)</f>
        <v>1</v>
      </c>
      <c r="AO72" s="47" t="n">
        <f aca="false">IF(CEG_Assets!$X$3=1,IF(AO71&gt;0,1,0),1)</f>
        <v>1</v>
      </c>
      <c r="AP72" s="47" t="n">
        <f aca="false">IF(CEG_Assets!$X$3=1,IF(AP71&gt;0,1,0),1)</f>
        <v>1</v>
      </c>
      <c r="AQ72" s="47" t="n">
        <f aca="false">IF(CEG_Assets!$X$3=1,IF(AQ71&gt;0,1,0),1)</f>
        <v>1</v>
      </c>
      <c r="AR72" s="47" t="n">
        <f aca="false">IF(CEG_Assets!$X$3=1,IF(AR71&gt;0,1,0),1)</f>
        <v>1</v>
      </c>
      <c r="AS72" s="47" t="n">
        <f aca="false">IF(CEG_Assets!$X$3=1,IF(AS71&gt;0,1,0),1)</f>
        <v>1</v>
      </c>
    </row>
    <row r="73" customFormat="false" ht="15" hidden="false" customHeight="false" outlineLevel="0" collapsed="false">
      <c r="A73" s="6" t="s">
        <v>439</v>
      </c>
      <c r="B73" s="6" t="s">
        <v>440</v>
      </c>
      <c r="C73" s="9" t="n">
        <f aca="false">SUM(G73:AS73)</f>
        <v>161256.541409929</v>
      </c>
      <c r="G73" s="8" t="n">
        <f aca="false">G68*INDEX(Prices!G:G,CEG_Assets!$AN$3)*CEG_Assets!$J$3*G72/1000000*(1+CEG_RevAdj)</f>
        <v>4654.844442864</v>
      </c>
      <c r="H73" s="8" t="n">
        <f aca="false">H68*INDEX(Prices!H:H,CEG_Assets!$AN$3)*CEG_Assets!$J$3*H72/1000000*(1+CEG_RevAdj)</f>
        <v>4719.495060126</v>
      </c>
      <c r="I73" s="8" t="n">
        <f aca="false">I68*INDEX(Prices!I:I,CEG_Assets!$AN$3)*CEG_Assets!$J$3*I72/1000000*(1+CEG_RevAdj)</f>
        <v>4328.72254359855</v>
      </c>
      <c r="J73" s="8" t="n">
        <f aca="false">J68*INDEX(Prices!J:J,CEG_Assets!$AN$3)*CEG_Assets!$J$3*J72/1000000*(1+CEG_RevAdj)</f>
        <v>4214.53991643425</v>
      </c>
      <c r="K73" s="8" t="n">
        <f aca="false">K68*INDEX(Prices!K:K,CEG_Assets!$AN$3)*CEG_Assets!$J$3*K72/1000000*(1+CEG_RevAdj)</f>
        <v>4298.83071476294</v>
      </c>
      <c r="L73" s="8" t="n">
        <f aca="false">L68*INDEX(Prices!L:L,CEG_Assets!$AN$3)*CEG_Assets!$J$3*L72/1000000*(1+CEG_RevAdj)</f>
        <v>4384.80732905819</v>
      </c>
      <c r="M73" s="8" t="n">
        <f aca="false">M68*INDEX(Prices!M:M,CEG_Assets!$AN$3)*CEG_Assets!$J$3*M72/1000000*(1+CEG_RevAdj)</f>
        <v>4472.50347563936</v>
      </c>
      <c r="N73" s="8" t="n">
        <f aca="false">N68*INDEX(Prices!N:N,CEG_Assets!$AN$3)*CEG_Assets!$J$3*N72/1000000*(1+CEG_RevAdj)</f>
        <v>4561.95354515215</v>
      </c>
      <c r="O73" s="8" t="n">
        <f aca="false">O68*INDEX(Prices!O:O,CEG_Assets!$AN$3)*CEG_Assets!$J$3*O72/1000000*(1+CEG_RevAdj)</f>
        <v>4653.19261605519</v>
      </c>
      <c r="P73" s="8" t="n">
        <f aca="false">P68*INDEX(Prices!P:P,CEG_Assets!$AN$3)*CEG_Assets!$J$3*P72/1000000*(1+CEG_RevAdj)</f>
        <v>4746.25646837629</v>
      </c>
      <c r="Q73" s="8" t="n">
        <f aca="false">Q68*INDEX(Prices!Q:Q,CEG_Assets!$AN$3)*CEG_Assets!$J$3*Q72/1000000*(1+CEG_RevAdj)</f>
        <v>4841.18159774382</v>
      </c>
      <c r="R73" s="8" t="n">
        <f aca="false">R68*INDEX(Prices!R:R,CEG_Assets!$AN$3)*CEG_Assets!$J$3*R72/1000000*(1+CEG_RevAdj)</f>
        <v>4938.00522969869</v>
      </c>
      <c r="S73" s="8" t="n">
        <f aca="false">S68*INDEX(Prices!S:S,CEG_Assets!$AN$3)*CEG_Assets!$J$3*S72/1000000*(1+CEG_RevAdj)</f>
        <v>5036.76533429267</v>
      </c>
      <c r="T73" s="8" t="n">
        <f aca="false">T68*INDEX(Prices!T:T,CEG_Assets!$AN$3)*CEG_Assets!$J$3*T72/1000000*(1+CEG_RevAdj)</f>
        <v>5137.50064097852</v>
      </c>
      <c r="U73" s="8" t="n">
        <f aca="false">U68*INDEX(Prices!U:U,CEG_Assets!$AN$3)*CEG_Assets!$J$3*U72/1000000*(1+CEG_RevAdj)</f>
        <v>5240.25065379809</v>
      </c>
      <c r="V73" s="8" t="n">
        <f aca="false">V68*INDEX(Prices!V:V,CEG_Assets!$AN$3)*CEG_Assets!$J$3*V72/1000000*(1+CEG_RevAdj)</f>
        <v>5345.05566687406</v>
      </c>
      <c r="W73" s="8" t="n">
        <f aca="false">W68*INDEX(Prices!W:W,CEG_Assets!$AN$3)*CEG_Assets!$J$3*W72/1000000*(1+CEG_RevAdj)</f>
        <v>5451.95678021154</v>
      </c>
      <c r="X73" s="8" t="n">
        <f aca="false">X68*INDEX(Prices!X:X,CEG_Assets!$AN$3)*CEG_Assets!$J$3*X72/1000000*(1+CEG_RevAdj)</f>
        <v>5560.99591581577</v>
      </c>
      <c r="Y73" s="8" t="n">
        <f aca="false">Y68*INDEX(Prices!Y:Y,CEG_Assets!$AN$3)*CEG_Assets!$J$3*Y72/1000000*(1+CEG_RevAdj)</f>
        <v>5672.21583413208</v>
      </c>
      <c r="Z73" s="8" t="n">
        <f aca="false">Z68*INDEX(Prices!Z:Z,CEG_Assets!$AN$3)*CEG_Assets!$J$3*Z72/1000000*(1+CEG_RevAdj)</f>
        <v>5785.66015081472</v>
      </c>
      <c r="AA73" s="8" t="n">
        <f aca="false">AA68*INDEX(Prices!AA:AA,CEG_Assets!$AN$3)*CEG_Assets!$J$3*AA72/1000000*(1+CEG_RevAdj)</f>
        <v>6480.18609215986</v>
      </c>
      <c r="AB73" s="8" t="n">
        <f aca="false">AB68*INDEX(Prices!AB:AB,CEG_Assets!$AN$3)*CEG_Assets!$J$3*AB72/1000000*(1+CEG_RevAdj)</f>
        <v>6609.78981400306</v>
      </c>
      <c r="AC73" s="8" t="n">
        <f aca="false">AC68*INDEX(Prices!AC:AC,CEG_Assets!$AN$3)*CEG_Assets!$J$3*AC72/1000000*(1+CEG_RevAdj)</f>
        <v>6741.98561028312</v>
      </c>
      <c r="AD73" s="8" t="n">
        <f aca="false">AD68*INDEX(Prices!AD:AD,CEG_Assets!$AN$3)*CEG_Assets!$J$3*AD72/1000000*(1+CEG_RevAdj)</f>
        <v>6876.82532248878</v>
      </c>
      <c r="AE73" s="8" t="n">
        <f aca="false">AE68*INDEX(Prices!AE:AE,CEG_Assets!$AN$3)*CEG_Assets!$J$3*AE72/1000000*(1+CEG_RevAdj)</f>
        <v>7014.36182893856</v>
      </c>
      <c r="AF73" s="8" t="n">
        <f aca="false">AF68*INDEX(Prices!AF:AF,CEG_Assets!$AN$3)*CEG_Assets!$J$3*AF72/1000000*(1+CEG_RevAdj)</f>
        <v>7154.64906551733</v>
      </c>
      <c r="AG73" s="8" t="n">
        <f aca="false">AG68*INDEX(Prices!AG:AG,CEG_Assets!$AN$3)*CEG_Assets!$J$3*AG72/1000000*(1+CEG_RevAdj)</f>
        <v>7297.74204682768</v>
      </c>
      <c r="AH73" s="8" t="n">
        <f aca="false">AH68*INDEX(Prices!AH:AH,CEG_Assets!$AN$3)*CEG_Assets!$J$3*AH72/1000000*(1+CEG_RevAdj)</f>
        <v>7443.69688776423</v>
      </c>
      <c r="AI73" s="8" t="n">
        <f aca="false">AI68*INDEX(Prices!AI:AI,CEG_Assets!$AN$3)*CEG_Assets!$J$3*AI72/1000000*(1+CEG_RevAdj)</f>
        <v>7592.57082551951</v>
      </c>
      <c r="AJ73" s="8" t="n">
        <f aca="false">AJ68*INDEX(Prices!AJ:AJ,CEG_Assets!$AN$3)*CEG_Assets!$J$3*AJ72/1000000*(1+CEG_RevAdj)</f>
        <v>0</v>
      </c>
      <c r="AK73" s="8" t="n">
        <f aca="false">AK68*INDEX(Prices!AK:AK,CEG_Assets!$AN$3)*CEG_Assets!$J$3*AK72/1000000*(1+CEG_RevAdj)</f>
        <v>0</v>
      </c>
      <c r="AL73" s="8" t="n">
        <f aca="false">AL68*INDEX(Prices!AL:AL,CEG_Assets!$AN$3)*CEG_Assets!$J$3*AL72/1000000*(1+CEG_RevAdj)</f>
        <v>0</v>
      </c>
      <c r="AM73" s="8" t="n">
        <f aca="false">AM68*INDEX(Prices!AM:AM,CEG_Assets!$AN$3)*CEG_Assets!$J$3*AM72/1000000*(1+CEG_RevAdj)</f>
        <v>0</v>
      </c>
      <c r="AN73" s="8" t="n">
        <f aca="false">AN68*INDEX(Prices!AN:AN,CEG_Assets!$AN$3)*CEG_Assets!$J$3*AN72/1000000*(1+CEG_RevAdj)</f>
        <v>0</v>
      </c>
      <c r="AO73" s="8" t="n">
        <f aca="false">AO68*INDEX(Prices!AO:AO,CEG_Assets!$AN$3)*CEG_Assets!$J$3*AO72/1000000*(1+CEG_RevAdj)</f>
        <v>0</v>
      </c>
      <c r="AP73" s="8" t="n">
        <f aca="false">AP68*INDEX(Prices!AP:AP,CEG_Assets!$AN$3)*CEG_Assets!$J$3*AP72/1000000*(1+CEG_RevAdj)</f>
        <v>0</v>
      </c>
      <c r="AQ73" s="8" t="n">
        <f aca="false">AQ68*INDEX(Prices!AQ:AQ,CEG_Assets!$AN$3)*CEG_Assets!$J$3*AQ72/1000000*(1+CEG_RevAdj)</f>
        <v>0</v>
      </c>
      <c r="AR73" s="8" t="n">
        <f aca="false">AR68*INDEX(Prices!AR:AR,CEG_Assets!$AN$3)*CEG_Assets!$J$3*AR72/1000000*(1+CEG_RevAdj)</f>
        <v>0</v>
      </c>
      <c r="AS73" s="8" t="n">
        <f aca="false">AS68*INDEX(Prices!AS:AS,CEG_Assets!$AN$3)*CEG_Assets!$J$3*AS72/1000000*(1+CEG_RevAdj)</f>
        <v>0</v>
      </c>
    </row>
    <row r="74" customFormat="false" ht="15" hidden="false" customHeight="false" outlineLevel="0" collapsed="false">
      <c r="A74" s="6" t="s">
        <v>441</v>
      </c>
      <c r="B74" s="6" t="s">
        <v>442</v>
      </c>
      <c r="C74" s="9" t="n">
        <f aca="false">SUM(G74:AS74)</f>
        <v>31400.3907605922</v>
      </c>
      <c r="G74" s="8" t="n">
        <f aca="false">(CEG_Assets!$D$3-G67)*INDEX(Prices!G:G,CEG_Assets!$AP$3)*365*CEG_Assets!$T$3*G66/1000000*(1+CEG_RevAdj)</f>
        <v>1078.7291249</v>
      </c>
      <c r="H74" s="8" t="n">
        <f aca="false">(CEG_Assets!$D$3-H67)*INDEX(Prices!H:H,CEG_Assets!$AP$3)*365*CEG_Assets!$T$3*H66/1000000*(1+CEG_RevAdj)</f>
        <v>1068.5162278</v>
      </c>
      <c r="I74" s="8" t="n">
        <f aca="false">(CEG_Assets!$D$3-I67)*INDEX(Prices!I:I,CEG_Assets!$AP$3)*365*CEG_Assets!$T$3*I66/1000000*(1+CEG_RevAdj)</f>
        <v>903.533727114434</v>
      </c>
      <c r="J74" s="8" t="n">
        <f aca="false">(CEG_Assets!$D$3-J67)*INDEX(Prices!J:J,CEG_Assets!$AP$3)*365*CEG_Assets!$T$3*J66/1000000*(1+CEG_RevAdj)</f>
        <v>809.744172482952</v>
      </c>
      <c r="K74" s="8" t="n">
        <f aca="false">(CEG_Assets!$D$3-K67)*INDEX(Prices!K:K,CEG_Assets!$AP$3)*365*CEG_Assets!$T$3*K66/1000000*(1+CEG_RevAdj)</f>
        <v>825.939055932611</v>
      </c>
      <c r="L74" s="8" t="n">
        <f aca="false">(CEG_Assets!$D$3-L67)*INDEX(Prices!L:L,CEG_Assets!$AP$3)*365*CEG_Assets!$T$3*L66/1000000*(1+CEG_RevAdj)</f>
        <v>842.457837051264</v>
      </c>
      <c r="M74" s="8" t="n">
        <f aca="false">(CEG_Assets!$D$3-M67)*INDEX(Prices!M:M,CEG_Assets!$AP$3)*365*CEG_Assets!$T$3*M66/1000000*(1+CEG_RevAdj)</f>
        <v>859.306993792289</v>
      </c>
      <c r="N74" s="8" t="n">
        <f aca="false">(CEG_Assets!$D$3-N67)*INDEX(Prices!N:N,CEG_Assets!$AP$3)*365*CEG_Assets!$T$3*N66/1000000*(1+CEG_RevAdj)</f>
        <v>876.493133668134</v>
      </c>
      <c r="O74" s="8" t="n">
        <f aca="false">(CEG_Assets!$D$3-O67)*INDEX(Prices!O:O,CEG_Assets!$AP$3)*365*CEG_Assets!$T$3*O66/1000000*(1+CEG_RevAdj)</f>
        <v>894.022996341497</v>
      </c>
      <c r="P74" s="8" t="n">
        <f aca="false">(CEG_Assets!$D$3-P67)*INDEX(Prices!P:P,CEG_Assets!$AP$3)*365*CEG_Assets!$T$3*P66/1000000*(1+CEG_RevAdj)</f>
        <v>911.903456268327</v>
      </c>
      <c r="Q74" s="8" t="n">
        <f aca="false">(CEG_Assets!$D$3-Q67)*INDEX(Prices!Q:Q,CEG_Assets!$AP$3)*365*CEG_Assets!$T$3*Q66/1000000*(1+CEG_RevAdj)</f>
        <v>930.141525393693</v>
      </c>
      <c r="R74" s="8" t="n">
        <f aca="false">(CEG_Assets!$D$3-R67)*INDEX(Prices!R:R,CEG_Assets!$AP$3)*365*CEG_Assets!$T$3*R66/1000000*(1+CEG_RevAdj)</f>
        <v>948.744355901568</v>
      </c>
      <c r="S74" s="8" t="n">
        <f aca="false">(CEG_Assets!$D$3-S67)*INDEX(Prices!S:S,CEG_Assets!$AP$3)*365*CEG_Assets!$T$3*S66/1000000*(1+CEG_RevAdj)</f>
        <v>967.719243019599</v>
      </c>
      <c r="T74" s="8" t="n">
        <f aca="false">(CEG_Assets!$D$3-T67)*INDEX(Prices!T:T,CEG_Assets!$AP$3)*365*CEG_Assets!$T$3*T66/1000000*(1+CEG_RevAdj)</f>
        <v>987.073627879991</v>
      </c>
      <c r="U74" s="8" t="n">
        <f aca="false">(CEG_Assets!$D$3-U67)*INDEX(Prices!U:U,CEG_Assets!$AP$3)*365*CEG_Assets!$T$3*U66/1000000*(1+CEG_RevAdj)</f>
        <v>1006.81510043759</v>
      </c>
      <c r="V74" s="8" t="n">
        <f aca="false">(CEG_Assets!$D$3-V67)*INDEX(Prices!V:V,CEG_Assets!$AP$3)*365*CEG_Assets!$T$3*V66/1000000*(1+CEG_RevAdj)</f>
        <v>1026.95140244634</v>
      </c>
      <c r="W74" s="8" t="n">
        <f aca="false">(CEG_Assets!$D$3-W67)*INDEX(Prices!W:W,CEG_Assets!$AP$3)*365*CEG_Assets!$T$3*W66/1000000*(1+CEG_RevAdj)</f>
        <v>1047.49043049527</v>
      </c>
      <c r="X74" s="8" t="n">
        <f aca="false">(CEG_Assets!$D$3-X67)*INDEX(Prices!X:X,CEG_Assets!$AP$3)*365*CEG_Assets!$T$3*X66/1000000*(1+CEG_RevAdj)</f>
        <v>1068.44023910517</v>
      </c>
      <c r="Y74" s="8" t="n">
        <f aca="false">(CEG_Assets!$D$3-Y67)*INDEX(Prices!Y:Y,CEG_Assets!$AP$3)*365*CEG_Assets!$T$3*Y66/1000000*(1+CEG_RevAdj)</f>
        <v>1089.80904388728</v>
      </c>
      <c r="Z74" s="8" t="n">
        <f aca="false">(CEG_Assets!$D$3-Z67)*INDEX(Prices!Z:Z,CEG_Assets!$AP$3)*365*CEG_Assets!$T$3*Z66/1000000*(1+CEG_RevAdj)</f>
        <v>1111.60522476502</v>
      </c>
      <c r="AA74" s="8" t="n">
        <f aca="false">(CEG_Assets!$D$3-AA67)*INDEX(Prices!AA:AA,CEG_Assets!$AP$3)*365*CEG_Assets!$T$3*AA66/1000000*(1+CEG_RevAdj)</f>
        <v>1245.04525494471</v>
      </c>
      <c r="AB74" s="8" t="n">
        <f aca="false">(CEG_Assets!$D$3-AB67)*INDEX(Prices!AB:AB,CEG_Assets!$AP$3)*365*CEG_Assets!$T$3*AB66/1000000*(1+CEG_RevAdj)</f>
        <v>1269.9461600436</v>
      </c>
      <c r="AC74" s="8" t="n">
        <f aca="false">(CEG_Assets!$D$3-AC67)*INDEX(Prices!AC:AC,CEG_Assets!$AP$3)*365*CEG_Assets!$T$3*AC66/1000000*(1+CEG_RevAdj)</f>
        <v>1295.34508324447</v>
      </c>
      <c r="AD74" s="8" t="n">
        <f aca="false">(CEG_Assets!$D$3-AD67)*INDEX(Prices!AD:AD,CEG_Assets!$AP$3)*365*CEG_Assets!$T$3*AD66/1000000*(1+CEG_RevAdj)</f>
        <v>1321.25198490936</v>
      </c>
      <c r="AE74" s="8" t="n">
        <f aca="false">(CEG_Assets!$D$3-AE67)*INDEX(Prices!AE:AE,CEG_Assets!$AP$3)*365*CEG_Assets!$T$3*AE66/1000000*(1+CEG_RevAdj)</f>
        <v>1347.67702460755</v>
      </c>
      <c r="AF74" s="8" t="n">
        <f aca="false">(CEG_Assets!$D$3-AF67)*INDEX(Prices!AF:AF,CEG_Assets!$AP$3)*365*CEG_Assets!$T$3*AF66/1000000*(1+CEG_RevAdj)</f>
        <v>1374.6305650997</v>
      </c>
      <c r="AG74" s="8" t="n">
        <f aca="false">(CEG_Assets!$D$3-AG67)*INDEX(Prices!AG:AG,CEG_Assets!$AP$3)*365*CEG_Assets!$T$3*AG66/1000000*(1+CEG_RevAdj)</f>
        <v>1402.12317640169</v>
      </c>
      <c r="AH74" s="8" t="n">
        <f aca="false">(CEG_Assets!$D$3-AH67)*INDEX(Prices!AH:AH,CEG_Assets!$AP$3)*365*CEG_Assets!$T$3*AH66/1000000*(1+CEG_RevAdj)</f>
        <v>1430.16563992973</v>
      </c>
      <c r="AI74" s="8" t="n">
        <f aca="false">(CEG_Assets!$D$3-AI67)*INDEX(Prices!AI:AI,CEG_Assets!$AP$3)*365*CEG_Assets!$T$3*AI66/1000000*(1+CEG_RevAdj)</f>
        <v>1458.76895272832</v>
      </c>
      <c r="AJ74" s="8" t="n">
        <f aca="false">(CEG_Assets!$D$3-AJ67)*INDEX(Prices!AJ:AJ,CEG_Assets!$AP$3)*365*CEG_Assets!$T$3*AJ66/1000000*(1+CEG_RevAdj)</f>
        <v>0</v>
      </c>
      <c r="AK74" s="8" t="n">
        <f aca="false">(CEG_Assets!$D$3-AK67)*INDEX(Prices!AK:AK,CEG_Assets!$AP$3)*365*CEG_Assets!$T$3*AK66/1000000*(1+CEG_RevAdj)</f>
        <v>0</v>
      </c>
      <c r="AL74" s="8" t="n">
        <f aca="false">(CEG_Assets!$D$3-AL67)*INDEX(Prices!AL:AL,CEG_Assets!$AP$3)*365*CEG_Assets!$T$3*AL66/1000000*(1+CEG_RevAdj)</f>
        <v>0</v>
      </c>
      <c r="AM74" s="8" t="n">
        <f aca="false">(CEG_Assets!$D$3-AM67)*INDEX(Prices!AM:AM,CEG_Assets!$AP$3)*365*CEG_Assets!$T$3*AM66/1000000*(1+CEG_RevAdj)</f>
        <v>0</v>
      </c>
      <c r="AN74" s="8" t="n">
        <f aca="false">(CEG_Assets!$D$3-AN67)*INDEX(Prices!AN:AN,CEG_Assets!$AP$3)*365*CEG_Assets!$T$3*AN66/1000000*(1+CEG_RevAdj)</f>
        <v>0</v>
      </c>
      <c r="AO74" s="8" t="n">
        <f aca="false">(CEG_Assets!$D$3-AO67)*INDEX(Prices!AO:AO,CEG_Assets!$AP$3)*365*CEG_Assets!$T$3*AO66/1000000*(1+CEG_RevAdj)</f>
        <v>0</v>
      </c>
      <c r="AP74" s="8" t="n">
        <f aca="false">(CEG_Assets!$D$3-AP67)*INDEX(Prices!AP:AP,CEG_Assets!$AP$3)*365*CEG_Assets!$T$3*AP66/1000000*(1+CEG_RevAdj)</f>
        <v>0</v>
      </c>
      <c r="AQ74" s="8" t="n">
        <f aca="false">(CEG_Assets!$D$3-AQ67)*INDEX(Prices!AQ:AQ,CEG_Assets!$AP$3)*365*CEG_Assets!$T$3*AQ66/1000000*(1+CEG_RevAdj)</f>
        <v>0</v>
      </c>
      <c r="AR74" s="8" t="n">
        <f aca="false">(CEG_Assets!$D$3-AR67)*INDEX(Prices!AR:AR,CEG_Assets!$AP$3)*365*CEG_Assets!$T$3*AR66/1000000*(1+CEG_RevAdj)</f>
        <v>0</v>
      </c>
      <c r="AS74" s="8" t="n">
        <f aca="false">(CEG_Assets!$D$3-AS67)*INDEX(Prices!AS:AS,CEG_Assets!$AP$3)*365*CEG_Assets!$T$3*AS66/1000000*(1+CEG_RevAdj)</f>
        <v>0</v>
      </c>
    </row>
    <row r="75" customFormat="false" ht="15" hidden="false" customHeight="false" outlineLevel="0" collapsed="false">
      <c r="A75" s="6" t="s">
        <v>443</v>
      </c>
      <c r="B75" s="6" t="s">
        <v>444</v>
      </c>
      <c r="C75" s="9" t="n">
        <f aca="false">SUM(G75:AS75)</f>
        <v>12810.0984</v>
      </c>
      <c r="G75" s="8" t="n">
        <f aca="false">G69*(CEG_Assets!$AD$3+CEG_PPAAdj)/1000000*(1+CEG_RevAdj)</f>
        <v>640.50492</v>
      </c>
      <c r="H75" s="8" t="n">
        <f aca="false">H69*(CEG_Assets!$AD$3+CEG_PPAAdj)/1000000*(1+CEG_RevAdj)</f>
        <v>640.50492</v>
      </c>
      <c r="I75" s="8" t="n">
        <f aca="false">I69*(CEG_Assets!$AD$3+CEG_PPAAdj)/1000000*(1+CEG_RevAdj)</f>
        <v>640.50492</v>
      </c>
      <c r="J75" s="8" t="n">
        <f aca="false">J69*(CEG_Assets!$AD$3+CEG_PPAAdj)/1000000*(1+CEG_RevAdj)</f>
        <v>640.50492</v>
      </c>
      <c r="K75" s="8" t="n">
        <f aca="false">K69*(CEG_Assets!$AD$3+CEG_PPAAdj)/1000000*(1+CEG_RevAdj)</f>
        <v>640.50492</v>
      </c>
      <c r="L75" s="8" t="n">
        <f aca="false">L69*(CEG_Assets!$AD$3+CEG_PPAAdj)/1000000*(1+CEG_RevAdj)</f>
        <v>640.50492</v>
      </c>
      <c r="M75" s="8" t="n">
        <f aca="false">M69*(CEG_Assets!$AD$3+CEG_PPAAdj)/1000000*(1+CEG_RevAdj)</f>
        <v>640.50492</v>
      </c>
      <c r="N75" s="8" t="n">
        <f aca="false">N69*(CEG_Assets!$AD$3+CEG_PPAAdj)/1000000*(1+CEG_RevAdj)</f>
        <v>640.50492</v>
      </c>
      <c r="O75" s="8" t="n">
        <f aca="false">O69*(CEG_Assets!$AD$3+CEG_PPAAdj)/1000000*(1+CEG_RevAdj)</f>
        <v>640.50492</v>
      </c>
      <c r="P75" s="8" t="n">
        <f aca="false">P69*(CEG_Assets!$AD$3+CEG_PPAAdj)/1000000*(1+CEG_RevAdj)</f>
        <v>640.50492</v>
      </c>
      <c r="Q75" s="8" t="n">
        <f aca="false">Q69*(CEG_Assets!$AD$3+CEG_PPAAdj)/1000000*(1+CEG_RevAdj)</f>
        <v>640.50492</v>
      </c>
      <c r="R75" s="8" t="n">
        <f aca="false">R69*(CEG_Assets!$AD$3+CEG_PPAAdj)/1000000*(1+CEG_RevAdj)</f>
        <v>640.50492</v>
      </c>
      <c r="S75" s="8" t="n">
        <f aca="false">S69*(CEG_Assets!$AD$3+CEG_PPAAdj)/1000000*(1+CEG_RevAdj)</f>
        <v>640.50492</v>
      </c>
      <c r="T75" s="8" t="n">
        <f aca="false">T69*(CEG_Assets!$AD$3+CEG_PPAAdj)/1000000*(1+CEG_RevAdj)</f>
        <v>640.50492</v>
      </c>
      <c r="U75" s="8" t="n">
        <f aca="false">U69*(CEG_Assets!$AD$3+CEG_PPAAdj)/1000000*(1+CEG_RevAdj)</f>
        <v>640.50492</v>
      </c>
      <c r="V75" s="8" t="n">
        <f aca="false">V69*(CEG_Assets!$AD$3+CEG_PPAAdj)/1000000*(1+CEG_RevAdj)</f>
        <v>640.50492</v>
      </c>
      <c r="W75" s="8" t="n">
        <f aca="false">W69*(CEG_Assets!$AD$3+CEG_PPAAdj)/1000000*(1+CEG_RevAdj)</f>
        <v>640.50492</v>
      </c>
      <c r="X75" s="8" t="n">
        <f aca="false">X69*(CEG_Assets!$AD$3+CEG_PPAAdj)/1000000*(1+CEG_RevAdj)</f>
        <v>640.50492</v>
      </c>
      <c r="Y75" s="8" t="n">
        <f aca="false">Y69*(CEG_Assets!$AD$3+CEG_PPAAdj)/1000000*(1+CEG_RevAdj)</f>
        <v>640.50492</v>
      </c>
      <c r="Z75" s="8" t="n">
        <f aca="false">Z69*(CEG_Assets!$AD$3+CEG_PPAAdj)/1000000*(1+CEG_RevAdj)</f>
        <v>640.50492</v>
      </c>
      <c r="AA75" s="8" t="n">
        <f aca="false">AA69*(CEG_Assets!$AD$3+CEG_PPAAdj)/1000000*(1+CEG_RevAdj)</f>
        <v>0</v>
      </c>
      <c r="AB75" s="8" t="n">
        <f aca="false">AB69*(CEG_Assets!$AD$3+CEG_PPAAdj)/1000000*(1+CEG_RevAdj)</f>
        <v>0</v>
      </c>
      <c r="AC75" s="8" t="n">
        <f aca="false">AC69*(CEG_Assets!$AD$3+CEG_PPAAdj)/1000000*(1+CEG_RevAdj)</f>
        <v>0</v>
      </c>
      <c r="AD75" s="8" t="n">
        <f aca="false">AD69*(CEG_Assets!$AD$3+CEG_PPAAdj)/1000000*(1+CEG_RevAdj)</f>
        <v>0</v>
      </c>
      <c r="AE75" s="8" t="n">
        <f aca="false">AE69*(CEG_Assets!$AD$3+CEG_PPAAdj)/1000000*(1+CEG_RevAdj)</f>
        <v>0</v>
      </c>
      <c r="AF75" s="8" t="n">
        <f aca="false">AF69*(CEG_Assets!$AD$3+CEG_PPAAdj)/1000000*(1+CEG_RevAdj)</f>
        <v>0</v>
      </c>
      <c r="AG75" s="8" t="n">
        <f aca="false">AG69*(CEG_Assets!$AD$3+CEG_PPAAdj)/1000000*(1+CEG_RevAdj)</f>
        <v>0</v>
      </c>
      <c r="AH75" s="8" t="n">
        <f aca="false">AH69*(CEG_Assets!$AD$3+CEG_PPAAdj)/1000000*(1+CEG_RevAdj)</f>
        <v>0</v>
      </c>
      <c r="AI75" s="8" t="n">
        <f aca="false">AI69*(CEG_Assets!$AD$3+CEG_PPAAdj)/1000000*(1+CEG_RevAdj)</f>
        <v>0</v>
      </c>
      <c r="AJ75" s="8" t="n">
        <f aca="false">AJ69*(CEG_Assets!$AD$3+CEG_PPAAdj)/1000000*(1+CEG_RevAdj)</f>
        <v>0</v>
      </c>
      <c r="AK75" s="8" t="n">
        <f aca="false">AK69*(CEG_Assets!$AD$3+CEG_PPAAdj)/1000000*(1+CEG_RevAdj)</f>
        <v>0</v>
      </c>
      <c r="AL75" s="8" t="n">
        <f aca="false">AL69*(CEG_Assets!$AD$3+CEG_PPAAdj)/1000000*(1+CEG_RevAdj)</f>
        <v>0</v>
      </c>
      <c r="AM75" s="8" t="n">
        <f aca="false">AM69*(CEG_Assets!$AD$3+CEG_PPAAdj)/1000000*(1+CEG_RevAdj)</f>
        <v>0</v>
      </c>
      <c r="AN75" s="8" t="n">
        <f aca="false">AN69*(CEG_Assets!$AD$3+CEG_PPAAdj)/1000000*(1+CEG_RevAdj)</f>
        <v>0</v>
      </c>
      <c r="AO75" s="8" t="n">
        <f aca="false">AO69*(CEG_Assets!$AD$3+CEG_PPAAdj)/1000000*(1+CEG_RevAdj)</f>
        <v>0</v>
      </c>
      <c r="AP75" s="8" t="n">
        <f aca="false">AP69*(CEG_Assets!$AD$3+CEG_PPAAdj)/1000000*(1+CEG_RevAdj)</f>
        <v>0</v>
      </c>
      <c r="AQ75" s="8" t="n">
        <f aca="false">AQ69*(CEG_Assets!$AD$3+CEG_PPAAdj)/1000000*(1+CEG_RevAdj)</f>
        <v>0</v>
      </c>
      <c r="AR75" s="8" t="n">
        <f aca="false">AR69*(CEG_Assets!$AD$3+CEG_PPAAdj)/1000000*(1+CEG_RevAdj)</f>
        <v>0</v>
      </c>
      <c r="AS75" s="8" t="n">
        <f aca="false">AS69*(CEG_Assets!$AD$3+CEG_PPAAdj)/1000000*(1+CEG_RevAdj)</f>
        <v>0</v>
      </c>
    </row>
    <row r="76" customFormat="false" ht="15" hidden="false" customHeight="false" outlineLevel="0" collapsed="false">
      <c r="A76" s="6" t="s">
        <v>445</v>
      </c>
      <c r="B76" s="6" t="s">
        <v>446</v>
      </c>
      <c r="C76" s="9" t="n">
        <f aca="false">SUM(G76:AS76)</f>
        <v>0</v>
      </c>
      <c r="G76" s="8" t="n">
        <f aca="false">IF(G$3&lt;=CEG_Assets!$V$3,G68*CEG_Assets!$U$3,0)/1000000*(1+CEG_RevAdj)</f>
        <v>0</v>
      </c>
      <c r="H76" s="8" t="n">
        <f aca="false">IF(H$3&lt;=CEG_Assets!$V$3,H68*CEG_Assets!$U$3,0)/1000000*(1+CEG_RevAdj)</f>
        <v>0</v>
      </c>
      <c r="I76" s="8" t="n">
        <f aca="false">IF(I$3&lt;=CEG_Assets!$V$3,I68*CEG_Assets!$U$3,0)/1000000*(1+CEG_RevAdj)</f>
        <v>0</v>
      </c>
      <c r="J76" s="8" t="n">
        <f aca="false">IF(J$3&lt;=CEG_Assets!$V$3,J68*CEG_Assets!$U$3,0)/1000000*(1+CEG_RevAdj)</f>
        <v>0</v>
      </c>
      <c r="K76" s="8" t="n">
        <f aca="false">IF(K$3&lt;=CEG_Assets!$V$3,K68*CEG_Assets!$U$3,0)/1000000*(1+CEG_RevAdj)</f>
        <v>0</v>
      </c>
      <c r="L76" s="8" t="n">
        <f aca="false">IF(L$3&lt;=CEG_Assets!$V$3,L68*CEG_Assets!$U$3,0)/1000000*(1+CEG_RevAdj)</f>
        <v>0</v>
      </c>
      <c r="M76" s="8" t="n">
        <f aca="false">IF(M$3&lt;=CEG_Assets!$V$3,M68*CEG_Assets!$U$3,0)/1000000*(1+CEG_RevAdj)</f>
        <v>0</v>
      </c>
      <c r="N76" s="8" t="n">
        <f aca="false">IF(N$3&lt;=CEG_Assets!$V$3,N68*CEG_Assets!$U$3,0)/1000000*(1+CEG_RevAdj)</f>
        <v>0</v>
      </c>
      <c r="O76" s="8" t="n">
        <f aca="false">IF(O$3&lt;=CEG_Assets!$V$3,O68*CEG_Assets!$U$3,0)/1000000*(1+CEG_RevAdj)</f>
        <v>0</v>
      </c>
      <c r="P76" s="8" t="n">
        <f aca="false">IF(P$3&lt;=CEG_Assets!$V$3,P68*CEG_Assets!$U$3,0)/1000000*(1+CEG_RevAdj)</f>
        <v>0</v>
      </c>
      <c r="Q76" s="8" t="n">
        <f aca="false">IF(Q$3&lt;=CEG_Assets!$V$3,Q68*CEG_Assets!$U$3,0)/1000000*(1+CEG_RevAdj)</f>
        <v>0</v>
      </c>
      <c r="R76" s="8" t="n">
        <f aca="false">IF(R$3&lt;=CEG_Assets!$V$3,R68*CEG_Assets!$U$3,0)/1000000*(1+CEG_RevAdj)</f>
        <v>0</v>
      </c>
      <c r="S76" s="8" t="n">
        <f aca="false">IF(S$3&lt;=CEG_Assets!$V$3,S68*CEG_Assets!$U$3,0)/1000000*(1+CEG_RevAdj)</f>
        <v>0</v>
      </c>
      <c r="T76" s="8" t="n">
        <f aca="false">IF(T$3&lt;=CEG_Assets!$V$3,T68*CEG_Assets!$U$3,0)/1000000*(1+CEG_RevAdj)</f>
        <v>0</v>
      </c>
      <c r="U76" s="8" t="n">
        <f aca="false">IF(U$3&lt;=CEG_Assets!$V$3,U68*CEG_Assets!$U$3,0)/1000000*(1+CEG_RevAdj)</f>
        <v>0</v>
      </c>
      <c r="V76" s="8" t="n">
        <f aca="false">IF(V$3&lt;=CEG_Assets!$V$3,V68*CEG_Assets!$U$3,0)/1000000*(1+CEG_RevAdj)</f>
        <v>0</v>
      </c>
      <c r="W76" s="8" t="n">
        <f aca="false">IF(W$3&lt;=CEG_Assets!$V$3,W68*CEG_Assets!$U$3,0)/1000000*(1+CEG_RevAdj)</f>
        <v>0</v>
      </c>
      <c r="X76" s="8" t="n">
        <f aca="false">IF(X$3&lt;=CEG_Assets!$V$3,X68*CEG_Assets!$U$3,0)/1000000*(1+CEG_RevAdj)</f>
        <v>0</v>
      </c>
      <c r="Y76" s="8" t="n">
        <f aca="false">IF(Y$3&lt;=CEG_Assets!$V$3,Y68*CEG_Assets!$U$3,0)/1000000*(1+CEG_RevAdj)</f>
        <v>0</v>
      </c>
      <c r="Z76" s="8" t="n">
        <f aca="false">IF(Z$3&lt;=CEG_Assets!$V$3,Z68*CEG_Assets!$U$3,0)/1000000*(1+CEG_RevAdj)</f>
        <v>0</v>
      </c>
      <c r="AA76" s="8" t="n">
        <f aca="false">IF(AA$3&lt;=CEG_Assets!$V$3,AA68*CEG_Assets!$U$3,0)/1000000*(1+CEG_RevAdj)</f>
        <v>0</v>
      </c>
      <c r="AB76" s="8" t="n">
        <f aca="false">IF(AB$3&lt;=CEG_Assets!$V$3,AB68*CEG_Assets!$U$3,0)/1000000*(1+CEG_RevAdj)</f>
        <v>0</v>
      </c>
      <c r="AC76" s="8" t="n">
        <f aca="false">IF(AC$3&lt;=CEG_Assets!$V$3,AC68*CEG_Assets!$U$3,0)/1000000*(1+CEG_RevAdj)</f>
        <v>0</v>
      </c>
      <c r="AD76" s="8" t="n">
        <f aca="false">IF(AD$3&lt;=CEG_Assets!$V$3,AD68*CEG_Assets!$U$3,0)/1000000*(1+CEG_RevAdj)</f>
        <v>0</v>
      </c>
      <c r="AE76" s="8" t="n">
        <f aca="false">IF(AE$3&lt;=CEG_Assets!$V$3,AE68*CEG_Assets!$U$3,0)/1000000*(1+CEG_RevAdj)</f>
        <v>0</v>
      </c>
      <c r="AF76" s="8" t="n">
        <f aca="false">IF(AF$3&lt;=CEG_Assets!$V$3,AF68*CEG_Assets!$U$3,0)/1000000*(1+CEG_RevAdj)</f>
        <v>0</v>
      </c>
      <c r="AG76" s="8" t="n">
        <f aca="false">IF(AG$3&lt;=CEG_Assets!$V$3,AG68*CEG_Assets!$U$3,0)/1000000*(1+CEG_RevAdj)</f>
        <v>0</v>
      </c>
      <c r="AH76" s="8" t="n">
        <f aca="false">IF(AH$3&lt;=CEG_Assets!$V$3,AH68*CEG_Assets!$U$3,0)/1000000*(1+CEG_RevAdj)</f>
        <v>0</v>
      </c>
      <c r="AI76" s="8" t="n">
        <f aca="false">IF(AI$3&lt;=CEG_Assets!$V$3,AI68*CEG_Assets!$U$3,0)/1000000*(1+CEG_RevAdj)</f>
        <v>0</v>
      </c>
      <c r="AJ76" s="8" t="n">
        <f aca="false">IF(AJ$3&lt;=CEG_Assets!$V$3,AJ68*CEG_Assets!$U$3,0)/1000000*(1+CEG_RevAdj)</f>
        <v>0</v>
      </c>
      <c r="AK76" s="8" t="n">
        <f aca="false">IF(AK$3&lt;=CEG_Assets!$V$3,AK68*CEG_Assets!$U$3,0)/1000000*(1+CEG_RevAdj)</f>
        <v>0</v>
      </c>
      <c r="AL76" s="8" t="n">
        <f aca="false">IF(AL$3&lt;=CEG_Assets!$V$3,AL68*CEG_Assets!$U$3,0)/1000000*(1+CEG_RevAdj)</f>
        <v>0</v>
      </c>
      <c r="AM76" s="8" t="n">
        <f aca="false">IF(AM$3&lt;=CEG_Assets!$V$3,AM68*CEG_Assets!$U$3,0)/1000000*(1+CEG_RevAdj)</f>
        <v>0</v>
      </c>
      <c r="AN76" s="8" t="n">
        <f aca="false">IF(AN$3&lt;=CEG_Assets!$V$3,AN68*CEG_Assets!$U$3,0)/1000000*(1+CEG_RevAdj)</f>
        <v>0</v>
      </c>
      <c r="AO76" s="8" t="n">
        <f aca="false">IF(AO$3&lt;=CEG_Assets!$V$3,AO68*CEG_Assets!$U$3,0)/1000000*(1+CEG_RevAdj)</f>
        <v>0</v>
      </c>
      <c r="AP76" s="8" t="n">
        <f aca="false">IF(AP$3&lt;=CEG_Assets!$V$3,AP68*CEG_Assets!$U$3,0)/1000000*(1+CEG_RevAdj)</f>
        <v>0</v>
      </c>
      <c r="AQ76" s="8" t="n">
        <f aca="false">IF(AQ$3&lt;=CEG_Assets!$V$3,AQ68*CEG_Assets!$U$3,0)/1000000*(1+CEG_RevAdj)</f>
        <v>0</v>
      </c>
      <c r="AR76" s="8" t="n">
        <f aca="false">IF(AR$3&lt;=CEG_Assets!$V$3,AR68*CEG_Assets!$U$3,0)/1000000*(1+CEG_RevAdj)</f>
        <v>0</v>
      </c>
      <c r="AS76" s="8" t="n">
        <f aca="false">IF(AS$3&lt;=CEG_Assets!$V$3,AS68*CEG_Assets!$U$3,0)/1000000*(1+CEG_RevAdj)</f>
        <v>0</v>
      </c>
    </row>
    <row r="77" customFormat="false" ht="15" hidden="false" customHeight="false" outlineLevel="0" collapsed="false">
      <c r="A77" s="6" t="s">
        <v>447</v>
      </c>
      <c r="B77" s="6" t="s">
        <v>448</v>
      </c>
      <c r="C77" s="9" t="n">
        <f aca="false">SUM(G77:AS77)</f>
        <v>205467.030570521</v>
      </c>
      <c r="G77" s="8" t="n">
        <f aca="false">G73+G74+G75+G76</f>
        <v>6374.078487764</v>
      </c>
      <c r="H77" s="8" t="n">
        <f aca="false">H73+H74+H75+H76</f>
        <v>6428.516207926</v>
      </c>
      <c r="I77" s="8" t="n">
        <f aca="false">I73+I74+I75+I76</f>
        <v>5872.76119071299</v>
      </c>
      <c r="J77" s="8" t="n">
        <f aca="false">J73+J74+J75+J76</f>
        <v>5664.7890089172</v>
      </c>
      <c r="K77" s="8" t="n">
        <f aca="false">K73+K74+K75+K76</f>
        <v>5765.27469069555</v>
      </c>
      <c r="L77" s="8" t="n">
        <f aca="false">L73+L74+L75+L76</f>
        <v>5867.77008610946</v>
      </c>
      <c r="M77" s="8" t="n">
        <f aca="false">M73+M74+M75+M76</f>
        <v>5972.31538943165</v>
      </c>
      <c r="N77" s="8" t="n">
        <f aca="false">N73+N74+N75+N76</f>
        <v>6078.95159882028</v>
      </c>
      <c r="O77" s="8" t="n">
        <f aca="false">O73+O74+O75+O76</f>
        <v>6187.72053239669</v>
      </c>
      <c r="P77" s="8" t="n">
        <f aca="false">P73+P74+P75+P76</f>
        <v>6298.66484464462</v>
      </c>
      <c r="Q77" s="8" t="n">
        <f aca="false">Q73+Q74+Q75+Q76</f>
        <v>6411.82804313751</v>
      </c>
      <c r="R77" s="8" t="n">
        <f aca="false">R73+R74+R75+R76</f>
        <v>6527.25450560026</v>
      </c>
      <c r="S77" s="8" t="n">
        <f aca="false">S73+S74+S75+S76</f>
        <v>6644.98949731227</v>
      </c>
      <c r="T77" s="8" t="n">
        <f aca="false">T73+T74+T75+T76</f>
        <v>6765.07918885851</v>
      </c>
      <c r="U77" s="8" t="n">
        <f aca="false">U73+U74+U75+U76</f>
        <v>6887.57067423568</v>
      </c>
      <c r="V77" s="8" t="n">
        <f aca="false">V73+V74+V75+V76</f>
        <v>7012.5119893204</v>
      </c>
      <c r="W77" s="8" t="n">
        <f aca="false">W73+W74+W75+W76</f>
        <v>7139.95213070681</v>
      </c>
      <c r="X77" s="8" t="n">
        <f aca="false">X73+X74+X75+X76</f>
        <v>7269.94107492094</v>
      </c>
      <c r="Y77" s="8" t="n">
        <f aca="false">Y73+Y74+Y75+Y76</f>
        <v>7402.52979801936</v>
      </c>
      <c r="Z77" s="8" t="n">
        <f aca="false">Z73+Z74+Z75+Z76</f>
        <v>7537.77029557975</v>
      </c>
      <c r="AA77" s="8" t="n">
        <f aca="false">AA73+AA74+AA75+AA76</f>
        <v>7725.23134710457</v>
      </c>
      <c r="AB77" s="8" t="n">
        <f aca="false">AB73+AB74+AB75+AB76</f>
        <v>7879.73597404666</v>
      </c>
      <c r="AC77" s="8" t="n">
        <f aca="false">AC73+AC74+AC75+AC76</f>
        <v>8037.33069352759</v>
      </c>
      <c r="AD77" s="8" t="n">
        <f aca="false">AD73+AD74+AD75+AD76</f>
        <v>8198.07730739814</v>
      </c>
      <c r="AE77" s="8" t="n">
        <f aca="false">AE73+AE74+AE75+AE76</f>
        <v>8362.03885354611</v>
      </c>
      <c r="AF77" s="8" t="n">
        <f aca="false">AF73+AF74+AF75+AF76</f>
        <v>8529.27963061703</v>
      </c>
      <c r="AG77" s="8" t="n">
        <f aca="false">AG73+AG74+AG75+AG76</f>
        <v>8699.86522322937</v>
      </c>
      <c r="AH77" s="8" t="n">
        <f aca="false">AH73+AH74+AH75+AH76</f>
        <v>8873.86252769396</v>
      </c>
      <c r="AI77" s="8" t="n">
        <f aca="false">AI73+AI74+AI75+AI76</f>
        <v>9051.33977824784</v>
      </c>
      <c r="AJ77" s="8" t="n">
        <f aca="false">AJ73+AJ74+AJ75+AJ76</f>
        <v>0</v>
      </c>
      <c r="AK77" s="8" t="n">
        <f aca="false">AK73+AK74+AK75+AK76</f>
        <v>0</v>
      </c>
      <c r="AL77" s="8" t="n">
        <f aca="false">AL73+AL74+AL75+AL76</f>
        <v>0</v>
      </c>
      <c r="AM77" s="8" t="n">
        <f aca="false">AM73+AM74+AM75+AM76</f>
        <v>0</v>
      </c>
      <c r="AN77" s="8" t="n">
        <f aca="false">AN73+AN74+AN75+AN76</f>
        <v>0</v>
      </c>
      <c r="AO77" s="8" t="n">
        <f aca="false">AO73+AO74+AO75+AO76</f>
        <v>0</v>
      </c>
      <c r="AP77" s="8" t="n">
        <f aca="false">AP73+AP74+AP75+AP76</f>
        <v>0</v>
      </c>
      <c r="AQ77" s="8" t="n">
        <f aca="false">AQ73+AQ74+AQ75+AQ76</f>
        <v>0</v>
      </c>
      <c r="AR77" s="8" t="n">
        <f aca="false">AR73+AR74+AR75+AR76</f>
        <v>0</v>
      </c>
      <c r="AS77" s="8" t="n">
        <f aca="false">AS73+AS74+AS75+AS76</f>
        <v>0</v>
      </c>
    </row>
    <row r="78" customFormat="false" ht="15" hidden="false" customHeight="false" outlineLevel="0" collapsed="false">
      <c r="A78" s="6" t="s">
        <v>449</v>
      </c>
      <c r="B78" s="6" t="s">
        <v>450</v>
      </c>
      <c r="C78" s="9" t="n">
        <f aca="false">SUM(G78:AS78)</f>
        <v>19906.7465819731</v>
      </c>
      <c r="G78" s="8" t="n">
        <f aca="false">((CEG_Assets!$K$3*G70+CEG_Assets!$M$3*G$4)*G68*G72+CEG_Assets!$N$3*(1+CEG_Assets!$Q$3)^(G$3-2026)*(G68+G69))/1000000*(1+CEG_FuelAdj)</f>
        <v>475.59742725</v>
      </c>
      <c r="H78" s="8" t="n">
        <f aca="false">((CEG_Assets!$K$3*H70+CEG_Assets!$M$3*H$4)*H68*H72+CEG_Assets!$N$3*(1+CEG_Assets!$Q$3)^(H$3-2026)*(H68+H69))/1000000*(1+CEG_FuelAdj)</f>
        <v>487.48736293125</v>
      </c>
      <c r="I78" s="8" t="n">
        <f aca="false">((CEG_Assets!$K$3*I70+CEG_Assets!$M$3*I$4)*I68*I72+CEG_Assets!$N$3*(1+CEG_Assets!$Q$3)^(I$3-2026)*(I68+I69))/1000000*(1+CEG_FuelAdj)</f>
        <v>499.674547004531</v>
      </c>
      <c r="J78" s="8" t="n">
        <f aca="false">((CEG_Assets!$K$3*J70+CEG_Assets!$M$3*J$4)*J68*J72+CEG_Assets!$N$3*(1+CEG_Assets!$Q$3)^(J$3-2026)*(J68+J69))/1000000*(1+CEG_FuelAdj)</f>
        <v>512.166410679644</v>
      </c>
      <c r="K78" s="8" t="n">
        <f aca="false">((CEG_Assets!$K$3*K70+CEG_Assets!$M$3*K$4)*K68*K72+CEG_Assets!$N$3*(1+CEG_Assets!$Q$3)^(K$3-2026)*(K68+K69))/1000000*(1+CEG_FuelAdj)</f>
        <v>524.970570946636</v>
      </c>
      <c r="L78" s="8" t="n">
        <f aca="false">((CEG_Assets!$K$3*L70+CEG_Assets!$M$3*L$4)*L68*L72+CEG_Assets!$N$3*(1+CEG_Assets!$Q$3)^(L$3-2026)*(L68+L69))/1000000*(1+CEG_FuelAdj)</f>
        <v>538.094835220301</v>
      </c>
      <c r="M78" s="8" t="n">
        <f aca="false">((CEG_Assets!$K$3*M70+CEG_Assets!$M$3*M$4)*M68*M72+CEG_Assets!$N$3*(1+CEG_Assets!$Q$3)^(M$3-2026)*(M68+M69))/1000000*(1+CEG_FuelAdj)</f>
        <v>551.547206100809</v>
      </c>
      <c r="N78" s="8" t="n">
        <f aca="false">((CEG_Assets!$K$3*N70+CEG_Assets!$M$3*N$4)*N68*N72+CEG_Assets!$N$3*(1+CEG_Assets!$Q$3)^(N$3-2026)*(N68+N69))/1000000*(1+CEG_FuelAdj)</f>
        <v>565.335886253329</v>
      </c>
      <c r="O78" s="8" t="n">
        <f aca="false">((CEG_Assets!$K$3*O70+CEG_Assets!$M$3*O$4)*O68*O72+CEG_Assets!$N$3*(1+CEG_Assets!$Q$3)^(O$3-2026)*(O68+O69))/1000000*(1+CEG_FuelAdj)</f>
        <v>579.469283409662</v>
      </c>
      <c r="P78" s="8" t="n">
        <f aca="false">((CEG_Assets!$K$3*P70+CEG_Assets!$M$3*P$4)*P68*P72+CEG_Assets!$N$3*(1+CEG_Assets!$Q$3)^(P$3-2026)*(P68+P69))/1000000*(1+CEG_FuelAdj)</f>
        <v>593.956015494904</v>
      </c>
      <c r="Q78" s="8" t="n">
        <f aca="false">((CEG_Assets!$K$3*Q70+CEG_Assets!$M$3*Q$4)*Q68*Q72+CEG_Assets!$N$3*(1+CEG_Assets!$Q$3)^(Q$3-2026)*(Q68+Q69))/1000000*(1+CEG_FuelAdj)</f>
        <v>608.804915882276</v>
      </c>
      <c r="R78" s="8" t="n">
        <f aca="false">((CEG_Assets!$K$3*R70+CEG_Assets!$M$3*R$4)*R68*R72+CEG_Assets!$N$3*(1+CEG_Assets!$Q$3)^(R$3-2026)*(R68+R69))/1000000*(1+CEG_FuelAdj)</f>
        <v>624.025038779333</v>
      </c>
      <c r="S78" s="8" t="n">
        <f aca="false">((CEG_Assets!$K$3*S70+CEG_Assets!$M$3*S$4)*S68*S72+CEG_Assets!$N$3*(1+CEG_Assets!$Q$3)^(S$3-2026)*(S68+S69))/1000000*(1+CEG_FuelAdj)</f>
        <v>639.625664748816</v>
      </c>
      <c r="T78" s="8" t="n">
        <f aca="false">((CEG_Assets!$K$3*T70+CEG_Assets!$M$3*T$4)*T68*T72+CEG_Assets!$N$3*(1+CEG_Assets!$Q$3)^(T$3-2026)*(T68+T69))/1000000*(1+CEG_FuelAdj)</f>
        <v>655.616306367537</v>
      </c>
      <c r="U78" s="8" t="n">
        <f aca="false">((CEG_Assets!$K$3*U70+CEG_Assets!$M$3*U$4)*U68*U72+CEG_Assets!$N$3*(1+CEG_Assets!$Q$3)^(U$3-2026)*(U68+U69))/1000000*(1+CEG_FuelAdj)</f>
        <v>672.006714026725</v>
      </c>
      <c r="V78" s="8" t="n">
        <f aca="false">((CEG_Assets!$K$3*V70+CEG_Assets!$M$3*V$4)*V68*V72+CEG_Assets!$N$3*(1+CEG_Assets!$Q$3)^(V$3-2026)*(V68+V69))/1000000*(1+CEG_FuelAdj)</f>
        <v>688.806881877393</v>
      </c>
      <c r="W78" s="8" t="n">
        <f aca="false">((CEG_Assets!$K$3*W70+CEG_Assets!$M$3*W$4)*W68*W72+CEG_Assets!$N$3*(1+CEG_Assets!$Q$3)^(W$3-2026)*(W68+W69))/1000000*(1+CEG_FuelAdj)</f>
        <v>706.027053924328</v>
      </c>
      <c r="X78" s="8" t="n">
        <f aca="false">((CEG_Assets!$K$3*X70+CEG_Assets!$M$3*X$4)*X68*X72+CEG_Assets!$N$3*(1+CEG_Assets!$Q$3)^(X$3-2026)*(X68+X69))/1000000*(1+CEG_FuelAdj)</f>
        <v>723.677730272436</v>
      </c>
      <c r="Y78" s="8" t="n">
        <f aca="false">((CEG_Assets!$K$3*Y70+CEG_Assets!$M$3*Y$4)*Y68*Y72+CEG_Assets!$N$3*(1+CEG_Assets!$Q$3)^(Y$3-2026)*(Y68+Y69))/1000000*(1+CEG_FuelAdj)</f>
        <v>741.769673529247</v>
      </c>
      <c r="Z78" s="8" t="n">
        <f aca="false">((CEG_Assets!$K$3*Z70+CEG_Assets!$M$3*Z$4)*Z68*Z72+CEG_Assets!$N$3*(1+CEG_Assets!$Q$3)^(Z$3-2026)*(Z68+Z69))/1000000*(1+CEG_FuelAdj)</f>
        <v>760.313915367478</v>
      </c>
      <c r="AA78" s="8" t="n">
        <f aca="false">((CEG_Assets!$K$3*AA70+CEG_Assets!$M$3*AA$4)*AA68*AA72+CEG_Assets!$N$3*(1+CEG_Assets!$Q$3)^(AA$3-2026)*(AA68+AA69))/1000000*(1+CEG_FuelAdj)</f>
        <v>779.321763251665</v>
      </c>
      <c r="AB78" s="8" t="n">
        <f aca="false">((CEG_Assets!$K$3*AB70+CEG_Assets!$M$3*AB$4)*AB68*AB72+CEG_Assets!$N$3*(1+CEG_Assets!$Q$3)^(AB$3-2026)*(AB68+AB69))/1000000*(1+CEG_FuelAdj)</f>
        <v>798.804807332956</v>
      </c>
      <c r="AC78" s="8" t="n">
        <f aca="false">((CEG_Assets!$K$3*AC70+CEG_Assets!$M$3*AC$4)*AC68*AC72+CEG_Assets!$N$3*(1+CEG_Assets!$Q$3)^(AC$3-2026)*(AC68+AC69))/1000000*(1+CEG_FuelAdj)</f>
        <v>818.77492751628</v>
      </c>
      <c r="AD78" s="8" t="n">
        <f aca="false">((CEG_Assets!$K$3*AD70+CEG_Assets!$M$3*AD$4)*AD68*AD72+CEG_Assets!$N$3*(1+CEG_Assets!$Q$3)^(AD$3-2026)*(AD68+AD69))/1000000*(1+CEG_FuelAdj)</f>
        <v>839.244300704187</v>
      </c>
      <c r="AE78" s="8" t="n">
        <f aca="false">((CEG_Assets!$K$3*AE70+CEG_Assets!$M$3*AE$4)*AE68*AE72+CEG_Assets!$N$3*(1+CEG_Assets!$Q$3)^(AE$3-2026)*(AE68+AE69))/1000000*(1+CEG_FuelAdj)</f>
        <v>860.225408221792</v>
      </c>
      <c r="AF78" s="8" t="n">
        <f aca="false">((CEG_Assets!$K$3*AF70+CEG_Assets!$M$3*AF$4)*AF68*AF72+CEG_Assets!$N$3*(1+CEG_Assets!$Q$3)^(AF$3-2026)*(AF68+AF69))/1000000*(1+CEG_FuelAdj)</f>
        <v>881.731043427336</v>
      </c>
      <c r="AG78" s="8" t="n">
        <f aca="false">((CEG_Assets!$K$3*AG70+CEG_Assets!$M$3*AG$4)*AG68*AG72+CEG_Assets!$N$3*(1+CEG_Assets!$Q$3)^(AG$3-2026)*(AG68+AG69))/1000000*(1+CEG_FuelAdj)</f>
        <v>903.77431951302</v>
      </c>
      <c r="AH78" s="8" t="n">
        <f aca="false">((CEG_Assets!$K$3*AH70+CEG_Assets!$M$3*AH$4)*AH68*AH72+CEG_Assets!$N$3*(1+CEG_Assets!$Q$3)^(AH$3-2026)*(AH68+AH69))/1000000*(1+CEG_FuelAdj)</f>
        <v>926.368677500845</v>
      </c>
      <c r="AI78" s="8" t="n">
        <f aca="false">((CEG_Assets!$K$3*AI70+CEG_Assets!$M$3*AI$4)*AI68*AI72+CEG_Assets!$N$3*(1+CEG_Assets!$Q$3)^(AI$3-2026)*(AI68+AI69))/1000000*(1+CEG_FuelAdj)</f>
        <v>949.527894438366</v>
      </c>
      <c r="AJ78" s="8" t="n">
        <f aca="false">((CEG_Assets!$K$3*AJ70+CEG_Assets!$M$3*AJ$4)*AJ68*AJ72+CEG_Assets!$N$3*(1+CEG_Assets!$Q$3)^(AJ$3-2026)*(AJ68+AJ69))/1000000*(1+CEG_FuelAdj)</f>
        <v>0</v>
      </c>
      <c r="AK78" s="8" t="n">
        <f aca="false">((CEG_Assets!$K$3*AK70+CEG_Assets!$M$3*AK$4)*AK68*AK72+CEG_Assets!$N$3*(1+CEG_Assets!$Q$3)^(AK$3-2026)*(AK68+AK69))/1000000*(1+CEG_FuelAdj)</f>
        <v>0</v>
      </c>
      <c r="AL78" s="8" t="n">
        <f aca="false">((CEG_Assets!$K$3*AL70+CEG_Assets!$M$3*AL$4)*AL68*AL72+CEG_Assets!$N$3*(1+CEG_Assets!$Q$3)^(AL$3-2026)*(AL68+AL69))/1000000*(1+CEG_FuelAdj)</f>
        <v>0</v>
      </c>
      <c r="AM78" s="8" t="n">
        <f aca="false">((CEG_Assets!$K$3*AM70+CEG_Assets!$M$3*AM$4)*AM68*AM72+CEG_Assets!$N$3*(1+CEG_Assets!$Q$3)^(AM$3-2026)*(AM68+AM69))/1000000*(1+CEG_FuelAdj)</f>
        <v>0</v>
      </c>
      <c r="AN78" s="8" t="n">
        <f aca="false">((CEG_Assets!$K$3*AN70+CEG_Assets!$M$3*AN$4)*AN68*AN72+CEG_Assets!$N$3*(1+CEG_Assets!$Q$3)^(AN$3-2026)*(AN68+AN69))/1000000*(1+CEG_FuelAdj)</f>
        <v>0</v>
      </c>
      <c r="AO78" s="8" t="n">
        <f aca="false">((CEG_Assets!$K$3*AO70+CEG_Assets!$M$3*AO$4)*AO68*AO72+CEG_Assets!$N$3*(1+CEG_Assets!$Q$3)^(AO$3-2026)*(AO68+AO69))/1000000*(1+CEG_FuelAdj)</f>
        <v>0</v>
      </c>
      <c r="AP78" s="8" t="n">
        <f aca="false">((CEG_Assets!$K$3*AP70+CEG_Assets!$M$3*AP$4)*AP68*AP72+CEG_Assets!$N$3*(1+CEG_Assets!$Q$3)^(AP$3-2026)*(AP68+AP69))/1000000*(1+CEG_FuelAdj)</f>
        <v>0</v>
      </c>
      <c r="AQ78" s="8" t="n">
        <f aca="false">((CEG_Assets!$K$3*AQ70+CEG_Assets!$M$3*AQ$4)*AQ68*AQ72+CEG_Assets!$N$3*(1+CEG_Assets!$Q$3)^(AQ$3-2026)*(AQ68+AQ69))/1000000*(1+CEG_FuelAdj)</f>
        <v>0</v>
      </c>
      <c r="AR78" s="8" t="n">
        <f aca="false">((CEG_Assets!$K$3*AR70+CEG_Assets!$M$3*AR$4)*AR68*AR72+CEG_Assets!$N$3*(1+CEG_Assets!$Q$3)^(AR$3-2026)*(AR68+AR69))/1000000*(1+CEG_FuelAdj)</f>
        <v>0</v>
      </c>
      <c r="AS78" s="8" t="n">
        <f aca="false">((CEG_Assets!$K$3*AS70+CEG_Assets!$M$3*AS$4)*AS68*AS72+CEG_Assets!$N$3*(1+CEG_Assets!$Q$3)^(AS$3-2026)*(AS68+AS69))/1000000*(1+CEG_FuelAdj)</f>
        <v>0</v>
      </c>
    </row>
    <row r="79" customFormat="false" ht="15" hidden="false" customHeight="false" outlineLevel="0" collapsed="false">
      <c r="A79" s="6" t="s">
        <v>451</v>
      </c>
      <c r="B79" s="6" t="s">
        <v>452</v>
      </c>
      <c r="C79" s="9" t="n">
        <f aca="false">SUM(G79:AS79)</f>
        <v>185560.283988548</v>
      </c>
      <c r="G79" s="8" t="n">
        <f aca="false">G77-G78</f>
        <v>5898.481060514</v>
      </c>
      <c r="H79" s="8" t="n">
        <f aca="false">H77-H78</f>
        <v>5941.02884499475</v>
      </c>
      <c r="I79" s="8" t="n">
        <f aca="false">I77-I78</f>
        <v>5373.08664370846</v>
      </c>
      <c r="J79" s="8" t="n">
        <f aca="false">J77-J78</f>
        <v>5152.62259823756</v>
      </c>
      <c r="K79" s="8" t="n">
        <f aca="false">K77-K78</f>
        <v>5240.30411974891</v>
      </c>
      <c r="L79" s="8" t="n">
        <f aca="false">L77-L78</f>
        <v>5329.67525088916</v>
      </c>
      <c r="M79" s="8" t="n">
        <f aca="false">M77-M78</f>
        <v>5420.76818333084</v>
      </c>
      <c r="N79" s="8" t="n">
        <f aca="false">N77-N78</f>
        <v>5513.61571256695</v>
      </c>
      <c r="O79" s="8" t="n">
        <f aca="false">O77-O78</f>
        <v>5608.25124898702</v>
      </c>
      <c r="P79" s="8" t="n">
        <f aca="false">P77-P78</f>
        <v>5704.70882914972</v>
      </c>
      <c r="Q79" s="8" t="n">
        <f aca="false">Q77-Q78</f>
        <v>5803.02312725524</v>
      </c>
      <c r="R79" s="8" t="n">
        <f aca="false">R77-R78</f>
        <v>5903.22946682093</v>
      </c>
      <c r="S79" s="8" t="n">
        <f aca="false">S77-S78</f>
        <v>6005.36383256345</v>
      </c>
      <c r="T79" s="8" t="n">
        <f aca="false">T77-T78</f>
        <v>6109.46288249098</v>
      </c>
      <c r="U79" s="8" t="n">
        <f aca="false">U77-U78</f>
        <v>6215.56396020896</v>
      </c>
      <c r="V79" s="8" t="n">
        <f aca="false">V77-V78</f>
        <v>6323.705107443</v>
      </c>
      <c r="W79" s="8" t="n">
        <f aca="false">W77-W78</f>
        <v>6433.92507678248</v>
      </c>
      <c r="X79" s="8" t="n">
        <f aca="false">X77-X78</f>
        <v>6546.26334464851</v>
      </c>
      <c r="Y79" s="8" t="n">
        <f aca="false">Y77-Y78</f>
        <v>6660.76012449011</v>
      </c>
      <c r="Z79" s="8" t="n">
        <f aca="false">Z77-Z78</f>
        <v>6777.45638021227</v>
      </c>
      <c r="AA79" s="8" t="n">
        <f aca="false">AA77-AA78</f>
        <v>6945.9095838529</v>
      </c>
      <c r="AB79" s="8" t="n">
        <f aca="false">AB77-AB78</f>
        <v>7080.9311667137</v>
      </c>
      <c r="AC79" s="8" t="n">
        <f aca="false">AC77-AC78</f>
        <v>7218.55576601131</v>
      </c>
      <c r="AD79" s="8" t="n">
        <f aca="false">AD77-AD78</f>
        <v>7358.83300669396</v>
      </c>
      <c r="AE79" s="8" t="n">
        <f aca="false">AE77-AE78</f>
        <v>7501.81344532432</v>
      </c>
      <c r="AF79" s="8" t="n">
        <f aca="false">AF77-AF78</f>
        <v>7647.54858718969</v>
      </c>
      <c r="AG79" s="8" t="n">
        <f aca="false">AG77-AG78</f>
        <v>7796.09090371635</v>
      </c>
      <c r="AH79" s="8" t="n">
        <f aca="false">AH77-AH78</f>
        <v>7947.49385019311</v>
      </c>
      <c r="AI79" s="8" t="n">
        <f aca="false">AI77-AI78</f>
        <v>8101.81188380947</v>
      </c>
      <c r="AJ79" s="8" t="n">
        <f aca="false">AJ77-AJ78</f>
        <v>0</v>
      </c>
      <c r="AK79" s="8" t="n">
        <f aca="false">AK77-AK78</f>
        <v>0</v>
      </c>
      <c r="AL79" s="8" t="n">
        <f aca="false">AL77-AL78</f>
        <v>0</v>
      </c>
      <c r="AM79" s="8" t="n">
        <f aca="false">AM77-AM78</f>
        <v>0</v>
      </c>
      <c r="AN79" s="8" t="n">
        <f aca="false">AN77-AN78</f>
        <v>0</v>
      </c>
      <c r="AO79" s="8" t="n">
        <f aca="false">AO77-AO78</f>
        <v>0</v>
      </c>
      <c r="AP79" s="8" t="n">
        <f aca="false">AP77-AP78</f>
        <v>0</v>
      </c>
      <c r="AQ79" s="8" t="n">
        <f aca="false">AQ77-AQ78</f>
        <v>0</v>
      </c>
      <c r="AR79" s="8" t="n">
        <f aca="false">AR77-AR78</f>
        <v>0</v>
      </c>
      <c r="AS79" s="8" t="n">
        <f aca="false">AS77-AS78</f>
        <v>0</v>
      </c>
    </row>
    <row r="80" customFormat="false" ht="15" hidden="false" customHeight="false" outlineLevel="0" collapsed="false">
      <c r="A80" s="6" t="s">
        <v>453</v>
      </c>
      <c r="B80" s="6" t="s">
        <v>454</v>
      </c>
      <c r="C80" s="9" t="n">
        <f aca="false">SUM(G80:AS80)</f>
        <v>80712.8088687272</v>
      </c>
      <c r="G80" s="8" t="n">
        <f aca="false">(CEG_Assets!$R$3*CEG_Assets!$D$3*1000*G$4*G66+CEG_Assets!$O$3*(1+CEG_Assets!$Q$3)^(G$3-2026)*(G68+G69))/1000000*(1+CEG_OMAdj)</f>
        <v>1928.33138685</v>
      </c>
      <c r="H80" s="8" t="n">
        <f aca="false">(CEG_Assets!$R$3*CEG_Assets!$D$3*1000*H$4*H66+CEG_Assets!$O$3*(1+CEG_Assets!$Q$3)^(H$3-2026)*(H68+H69))/1000000*(1+CEG_OMAdj)</f>
        <v>1976.53967152125</v>
      </c>
      <c r="I80" s="8" t="n">
        <f aca="false">(CEG_Assets!$R$3*CEG_Assets!$D$3*1000*I$4*I66+CEG_Assets!$O$3*(1+CEG_Assets!$Q$3)^(I$3-2026)*(I68+I69))/1000000*(1+CEG_OMAdj)</f>
        <v>2025.95316330928</v>
      </c>
      <c r="J80" s="8" t="n">
        <f aca="false">(CEG_Assets!$R$3*CEG_Assets!$D$3*1000*J$4*J66+CEG_Assets!$O$3*(1+CEG_Assets!$Q$3)^(J$3-2026)*(J68+J69))/1000000*(1+CEG_OMAdj)</f>
        <v>2076.60199239201</v>
      </c>
      <c r="K80" s="8" t="n">
        <f aca="false">(CEG_Assets!$R$3*CEG_Assets!$D$3*1000*K$4*K66+CEG_Assets!$O$3*(1+CEG_Assets!$Q$3)^(K$3-2026)*(K68+K69))/1000000*(1+CEG_OMAdj)</f>
        <v>2128.51704220181</v>
      </c>
      <c r="L80" s="8" t="n">
        <f aca="false">(CEG_Assets!$R$3*CEG_Assets!$D$3*1000*L$4*L66+CEG_Assets!$O$3*(1+CEG_Assets!$Q$3)^(L$3-2026)*(L68+L69))/1000000*(1+CEG_OMAdj)</f>
        <v>2181.72996825686</v>
      </c>
      <c r="M80" s="8" t="n">
        <f aca="false">(CEG_Assets!$R$3*CEG_Assets!$D$3*1000*M$4*M66+CEG_Assets!$O$3*(1+CEG_Assets!$Q$3)^(M$3-2026)*(M68+M69))/1000000*(1+CEG_OMAdj)</f>
        <v>2236.27321746328</v>
      </c>
      <c r="N80" s="8" t="n">
        <f aca="false">(CEG_Assets!$R$3*CEG_Assets!$D$3*1000*N$4*N66+CEG_Assets!$O$3*(1+CEG_Assets!$Q$3)^(N$3-2026)*(N68+N69))/1000000*(1+CEG_OMAdj)</f>
        <v>2292.18004789986</v>
      </c>
      <c r="O80" s="8" t="n">
        <f aca="false">(CEG_Assets!$R$3*CEG_Assets!$D$3*1000*O$4*O66+CEG_Assets!$O$3*(1+CEG_Assets!$Q$3)^(O$3-2026)*(O68+O69))/1000000*(1+CEG_OMAdj)</f>
        <v>2349.48454909736</v>
      </c>
      <c r="P80" s="8" t="n">
        <f aca="false">(CEG_Assets!$R$3*CEG_Assets!$D$3*1000*P$4*P66+CEG_Assets!$O$3*(1+CEG_Assets!$Q$3)^(P$3-2026)*(P68+P69))/1000000*(1+CEG_OMAdj)</f>
        <v>2408.22166282479</v>
      </c>
      <c r="Q80" s="8" t="n">
        <f aca="false">(CEG_Assets!$R$3*CEG_Assets!$D$3*1000*Q$4*Q66+CEG_Assets!$O$3*(1+CEG_Assets!$Q$3)^(Q$3-2026)*(Q68+Q69))/1000000*(1+CEG_OMAdj)</f>
        <v>2468.42720439541</v>
      </c>
      <c r="R80" s="8" t="n">
        <f aca="false">(CEG_Assets!$R$3*CEG_Assets!$D$3*1000*R$4*R66+CEG_Assets!$O$3*(1+CEG_Assets!$Q$3)^(R$3-2026)*(R68+R69))/1000000*(1+CEG_OMAdj)</f>
        <v>2530.1378845053</v>
      </c>
      <c r="S80" s="8" t="n">
        <f aca="false">(CEG_Assets!$R$3*CEG_Assets!$D$3*1000*S$4*S66+CEG_Assets!$O$3*(1+CEG_Assets!$Q$3)^(S$3-2026)*(S68+S69))/1000000*(1+CEG_OMAdj)</f>
        <v>2593.39133161793</v>
      </c>
      <c r="T80" s="8" t="n">
        <f aca="false">(CEG_Assets!$R$3*CEG_Assets!$D$3*1000*T$4*T66+CEG_Assets!$O$3*(1+CEG_Assets!$Q$3)^(T$3-2026)*(T68+T69))/1000000*(1+CEG_OMAdj)</f>
        <v>2658.22611490838</v>
      </c>
      <c r="U80" s="8" t="n">
        <f aca="false">(CEG_Assets!$R$3*CEG_Assets!$D$3*1000*U$4*U66+CEG_Assets!$O$3*(1+CEG_Assets!$Q$3)^(U$3-2026)*(U68+U69))/1000000*(1+CEG_OMAdj)</f>
        <v>2724.68176778108</v>
      </c>
      <c r="V80" s="8" t="n">
        <f aca="false">(CEG_Assets!$R$3*CEG_Assets!$D$3*1000*V$4*V66+CEG_Assets!$O$3*(1+CEG_Assets!$Q$3)^(V$3-2026)*(V68+V69))/1000000*(1+CEG_OMAdj)</f>
        <v>2792.79881197561</v>
      </c>
      <c r="W80" s="8" t="n">
        <f aca="false">(CEG_Assets!$R$3*CEG_Assets!$D$3*1000*W$4*W66+CEG_Assets!$O$3*(1+CEG_Assets!$Q$3)^(W$3-2026)*(W68+W69))/1000000*(1+CEG_OMAdj)</f>
        <v>2862.618782275</v>
      </c>
      <c r="X80" s="8" t="n">
        <f aca="false">(CEG_Assets!$R$3*CEG_Assets!$D$3*1000*X$4*X66+CEG_Assets!$O$3*(1+CEG_Assets!$Q$3)^(X$3-2026)*(X68+X69))/1000000*(1+CEG_OMAdj)</f>
        <v>2934.18425183188</v>
      </c>
      <c r="Y80" s="8" t="n">
        <f aca="false">(CEG_Assets!$R$3*CEG_Assets!$D$3*1000*Y$4*Y66+CEG_Assets!$O$3*(1+CEG_Assets!$Q$3)^(Y$3-2026)*(Y68+Y69))/1000000*(1+CEG_OMAdj)</f>
        <v>3007.53885812767</v>
      </c>
      <c r="Z80" s="8" t="n">
        <f aca="false">(CEG_Assets!$R$3*CEG_Assets!$D$3*1000*Z$4*Z66+CEG_Assets!$O$3*(1+CEG_Assets!$Q$3)^(Z$3-2026)*(Z68+Z69))/1000000*(1+CEG_OMAdj)</f>
        <v>3082.72732958086</v>
      </c>
      <c r="AA80" s="8" t="n">
        <f aca="false">(CEG_Assets!$R$3*CEG_Assets!$D$3*1000*AA$4*AA66+CEG_Assets!$O$3*(1+CEG_Assets!$Q$3)^(AA$3-2026)*(AA68+AA69))/1000000*(1+CEG_OMAdj)</f>
        <v>3159.79551282039</v>
      </c>
      <c r="AB80" s="8" t="n">
        <f aca="false">(CEG_Assets!$R$3*CEG_Assets!$D$3*1000*AB$4*AB66+CEG_Assets!$O$3*(1+CEG_Assets!$Q$3)^(AB$3-2026)*(AB68+AB69))/1000000*(1+CEG_OMAdj)</f>
        <v>3238.7904006409</v>
      </c>
      <c r="AC80" s="8" t="n">
        <f aca="false">(CEG_Assets!$R$3*CEG_Assets!$D$3*1000*AC$4*AC66+CEG_Assets!$O$3*(1+CEG_Assets!$Q$3)^(AC$3-2026)*(AC68+AC69))/1000000*(1+CEG_OMAdj)</f>
        <v>3319.76016065692</v>
      </c>
      <c r="AD80" s="8" t="n">
        <f aca="false">(CEG_Assets!$R$3*CEG_Assets!$D$3*1000*AD$4*AD66+CEG_Assets!$O$3*(1+CEG_Assets!$Q$3)^(AD$3-2026)*(AD68+AD69))/1000000*(1+CEG_OMAdj)</f>
        <v>3402.75416467334</v>
      </c>
      <c r="AE80" s="8" t="n">
        <f aca="false">(CEG_Assets!$R$3*CEG_Assets!$D$3*1000*AE$4*AE66+CEG_Assets!$O$3*(1+CEG_Assets!$Q$3)^(AE$3-2026)*(AE68+AE69))/1000000*(1+CEG_OMAdj)</f>
        <v>3487.82301879017</v>
      </c>
      <c r="AF80" s="8" t="n">
        <f aca="false">(CEG_Assets!$R$3*CEG_Assets!$D$3*1000*AF$4*AF66+CEG_Assets!$O$3*(1+CEG_Assets!$Q$3)^(AF$3-2026)*(AF68+AF69))/1000000*(1+CEG_OMAdj)</f>
        <v>3575.01859425993</v>
      </c>
      <c r="AG80" s="8" t="n">
        <f aca="false">(CEG_Assets!$R$3*CEG_Assets!$D$3*1000*AG$4*AG66+CEG_Assets!$O$3*(1+CEG_Assets!$Q$3)^(AG$3-2026)*(AG68+AG69))/1000000*(1+CEG_OMAdj)</f>
        <v>3664.39405911643</v>
      </c>
      <c r="AH80" s="8" t="n">
        <f aca="false">(CEG_Assets!$R$3*CEG_Assets!$D$3*1000*AH$4*AH66+CEG_Assets!$O$3*(1+CEG_Assets!$Q$3)^(AH$3-2026)*(AH68+AH69))/1000000*(1+CEG_OMAdj)</f>
        <v>3756.00391059434</v>
      </c>
      <c r="AI80" s="8" t="n">
        <f aca="false">(CEG_Assets!$R$3*CEG_Assets!$D$3*1000*AI$4*AI66+CEG_Assets!$O$3*(1+CEG_Assets!$Q$3)^(AI$3-2026)*(AI68+AI69))/1000000*(1+CEG_OMAdj)</f>
        <v>3849.90400835919</v>
      </c>
      <c r="AJ80" s="8" t="n">
        <f aca="false">(CEG_Assets!$R$3*CEG_Assets!$D$3*1000*AJ$4*AJ66+CEG_Assets!$O$3*(1+CEG_Assets!$Q$3)^(AJ$3-2026)*(AJ68+AJ69))/1000000*(1+CEG_OMAdj)</f>
        <v>0</v>
      </c>
      <c r="AK80" s="8" t="n">
        <f aca="false">(CEG_Assets!$R$3*CEG_Assets!$D$3*1000*AK$4*AK66+CEG_Assets!$O$3*(1+CEG_Assets!$Q$3)^(AK$3-2026)*(AK68+AK69))/1000000*(1+CEG_OMAdj)</f>
        <v>0</v>
      </c>
      <c r="AL80" s="8" t="n">
        <f aca="false">(CEG_Assets!$R$3*CEG_Assets!$D$3*1000*AL$4*AL66+CEG_Assets!$O$3*(1+CEG_Assets!$Q$3)^(AL$3-2026)*(AL68+AL69))/1000000*(1+CEG_OMAdj)</f>
        <v>0</v>
      </c>
      <c r="AM80" s="8" t="n">
        <f aca="false">(CEG_Assets!$R$3*CEG_Assets!$D$3*1000*AM$4*AM66+CEG_Assets!$O$3*(1+CEG_Assets!$Q$3)^(AM$3-2026)*(AM68+AM69))/1000000*(1+CEG_OMAdj)</f>
        <v>0</v>
      </c>
      <c r="AN80" s="8" t="n">
        <f aca="false">(CEG_Assets!$R$3*CEG_Assets!$D$3*1000*AN$4*AN66+CEG_Assets!$O$3*(1+CEG_Assets!$Q$3)^(AN$3-2026)*(AN68+AN69))/1000000*(1+CEG_OMAdj)</f>
        <v>0</v>
      </c>
      <c r="AO80" s="8" t="n">
        <f aca="false">(CEG_Assets!$R$3*CEG_Assets!$D$3*1000*AO$4*AO66+CEG_Assets!$O$3*(1+CEG_Assets!$Q$3)^(AO$3-2026)*(AO68+AO69))/1000000*(1+CEG_OMAdj)</f>
        <v>0</v>
      </c>
      <c r="AP80" s="8" t="n">
        <f aca="false">(CEG_Assets!$R$3*CEG_Assets!$D$3*1000*AP$4*AP66+CEG_Assets!$O$3*(1+CEG_Assets!$Q$3)^(AP$3-2026)*(AP68+AP69))/1000000*(1+CEG_OMAdj)</f>
        <v>0</v>
      </c>
      <c r="AQ80" s="8" t="n">
        <f aca="false">(CEG_Assets!$R$3*CEG_Assets!$D$3*1000*AQ$4*AQ66+CEG_Assets!$O$3*(1+CEG_Assets!$Q$3)^(AQ$3-2026)*(AQ68+AQ69))/1000000*(1+CEG_OMAdj)</f>
        <v>0</v>
      </c>
      <c r="AR80" s="8" t="n">
        <f aca="false">(CEG_Assets!$R$3*CEG_Assets!$D$3*1000*AR$4*AR66+CEG_Assets!$O$3*(1+CEG_Assets!$Q$3)^(AR$3-2026)*(AR68+AR69))/1000000*(1+CEG_OMAdj)</f>
        <v>0</v>
      </c>
      <c r="AS80" s="8" t="n">
        <f aca="false">(CEG_Assets!$R$3*CEG_Assets!$D$3*1000*AS$4*AS66+CEG_Assets!$O$3*(1+CEG_Assets!$Q$3)^(AS$3-2026)*(AS68+AS69))/1000000*(1+CEG_OMAdj)</f>
        <v>0</v>
      </c>
    </row>
    <row r="81" customFormat="false" ht="15" hidden="false" customHeight="false" outlineLevel="0" collapsed="false">
      <c r="A81" s="6" t="s">
        <v>455</v>
      </c>
      <c r="B81" s="6" t="s">
        <v>456</v>
      </c>
      <c r="C81" s="9" t="n">
        <f aca="false">SUM(G81:AS81)</f>
        <v>104847.475119821</v>
      </c>
      <c r="G81" s="8" t="n">
        <f aca="false">G79-G80</f>
        <v>3970.149673664</v>
      </c>
      <c r="H81" s="8" t="n">
        <f aca="false">H79-H80</f>
        <v>3964.4891734735</v>
      </c>
      <c r="I81" s="8" t="n">
        <f aca="false">I79-I80</f>
        <v>3347.13348039918</v>
      </c>
      <c r="J81" s="8" t="n">
        <f aca="false">J79-J80</f>
        <v>3076.02060584555</v>
      </c>
      <c r="K81" s="8" t="n">
        <f aca="false">K79-K80</f>
        <v>3111.7870775471</v>
      </c>
      <c r="L81" s="8" t="n">
        <f aca="false">L79-L80</f>
        <v>3147.9452826323</v>
      </c>
      <c r="M81" s="8" t="n">
        <f aca="false">M79-M80</f>
        <v>3184.49496586756</v>
      </c>
      <c r="N81" s="8" t="n">
        <f aca="false">N79-N80</f>
        <v>3221.43566466709</v>
      </c>
      <c r="O81" s="8" t="n">
        <f aca="false">O79-O80</f>
        <v>3258.76669988967</v>
      </c>
      <c r="P81" s="8" t="n">
        <f aca="false">P79-P80</f>
        <v>3296.48716632493</v>
      </c>
      <c r="Q81" s="8" t="n">
        <f aca="false">Q79-Q80</f>
        <v>3334.59592285983</v>
      </c>
      <c r="R81" s="8" t="n">
        <f aca="false">R79-R80</f>
        <v>3373.09158231563</v>
      </c>
      <c r="S81" s="8" t="n">
        <f aca="false">S79-S80</f>
        <v>3411.97250094553</v>
      </c>
      <c r="T81" s="8" t="n">
        <f aca="false">T79-T80</f>
        <v>3451.2367675826</v>
      </c>
      <c r="U81" s="8" t="n">
        <f aca="false">U79-U80</f>
        <v>3490.88219242788</v>
      </c>
      <c r="V81" s="8" t="n">
        <f aca="false">V79-V80</f>
        <v>3530.90629546739</v>
      </c>
      <c r="W81" s="8" t="n">
        <f aca="false">W79-W80</f>
        <v>3571.30629450748</v>
      </c>
      <c r="X81" s="8" t="n">
        <f aca="false">X79-X80</f>
        <v>3612.07909281663</v>
      </c>
      <c r="Y81" s="8" t="n">
        <f aca="false">Y79-Y80</f>
        <v>3653.22126636244</v>
      </c>
      <c r="Z81" s="8" t="n">
        <f aca="false">Z79-Z80</f>
        <v>3694.72905063141</v>
      </c>
      <c r="AA81" s="8" t="n">
        <f aca="false">AA79-AA80</f>
        <v>3786.11407103252</v>
      </c>
      <c r="AB81" s="8" t="n">
        <f aca="false">AB79-AB80</f>
        <v>3842.14076607281</v>
      </c>
      <c r="AC81" s="8" t="n">
        <f aca="false">AC79-AC80</f>
        <v>3898.79560535439</v>
      </c>
      <c r="AD81" s="8" t="n">
        <f aca="false">AD79-AD80</f>
        <v>3956.07884202062</v>
      </c>
      <c r="AE81" s="8" t="n">
        <f aca="false">AE79-AE80</f>
        <v>4013.99042653414</v>
      </c>
      <c r="AF81" s="8" t="n">
        <f aca="false">AF79-AF80</f>
        <v>4072.52999292977</v>
      </c>
      <c r="AG81" s="8" t="n">
        <f aca="false">AG79-AG80</f>
        <v>4131.69684459992</v>
      </c>
      <c r="AH81" s="8" t="n">
        <f aca="false">AH79-AH80</f>
        <v>4191.48993959878</v>
      </c>
      <c r="AI81" s="8" t="n">
        <f aca="false">AI79-AI80</f>
        <v>4251.90787545028</v>
      </c>
      <c r="AJ81" s="8" t="n">
        <f aca="false">AJ79-AJ80</f>
        <v>0</v>
      </c>
      <c r="AK81" s="8" t="n">
        <f aca="false">AK79-AK80</f>
        <v>0</v>
      </c>
      <c r="AL81" s="8" t="n">
        <f aca="false">AL79-AL80</f>
        <v>0</v>
      </c>
      <c r="AM81" s="8" t="n">
        <f aca="false">AM79-AM80</f>
        <v>0</v>
      </c>
      <c r="AN81" s="8" t="n">
        <f aca="false">AN79-AN80</f>
        <v>0</v>
      </c>
      <c r="AO81" s="8" t="n">
        <f aca="false">AO79-AO80</f>
        <v>0</v>
      </c>
      <c r="AP81" s="8" t="n">
        <f aca="false">AP79-AP80</f>
        <v>0</v>
      </c>
      <c r="AQ81" s="8" t="n">
        <f aca="false">AQ79-AQ80</f>
        <v>0</v>
      </c>
      <c r="AR81" s="8" t="n">
        <f aca="false">AR79-AR80</f>
        <v>0</v>
      </c>
      <c r="AS81" s="8" t="n">
        <f aca="false">AS79-AS80</f>
        <v>0</v>
      </c>
    </row>
    <row r="82" customFormat="false" ht="15" hidden="false" customHeight="false" outlineLevel="0" collapsed="false">
      <c r="A82" s="6" t="s">
        <v>457</v>
      </c>
      <c r="B82" s="6" t="s">
        <v>458</v>
      </c>
      <c r="C82" s="9" t="n">
        <f aca="false">SUM(G82:AS82)</f>
        <v>27869.4452147623</v>
      </c>
      <c r="G82" s="8" t="n">
        <f aca="false">((CEG_Assets!$S$3*CEG_Assets!$D$3*1000*G$4*G66+CEG_Assets!$P$3*(1+CEG_Assets!$Q$3)^(G$3-2026)*(G68+G69))/1000000+IF(G$3=CEG_Assets!$AH$3,CEG_Assets!$AG$3,0))*(1+CEG_CapexAdj)</f>
        <v>665.83639815</v>
      </c>
      <c r="H82" s="8" t="n">
        <f aca="false">((CEG_Assets!$S$3*CEG_Assets!$D$3*1000*H$4*H66+CEG_Assets!$P$3*(1+CEG_Assets!$Q$3)^(H$3-2026)*(H68+H69))/1000000+IF(H$3=CEG_Assets!$AH$3,CEG_Assets!$AG$3,0))*(1+CEG_CapexAdj)</f>
        <v>682.48230810375</v>
      </c>
      <c r="I82" s="8" t="n">
        <f aca="false">((CEG_Assets!$S$3*CEG_Assets!$D$3*1000*I$4*I66+CEG_Assets!$P$3*(1+CEG_Assets!$Q$3)^(I$3-2026)*(I68+I69))/1000000+IF(I$3=CEG_Assets!$AH$3,CEG_Assets!$AG$3,0))*(1+CEG_CapexAdj)</f>
        <v>699.544365806344</v>
      </c>
      <c r="J82" s="8" t="n">
        <f aca="false">((CEG_Assets!$S$3*CEG_Assets!$D$3*1000*J$4*J66+CEG_Assets!$P$3*(1+CEG_Assets!$Q$3)^(J$3-2026)*(J68+J69))/1000000+IF(J$3=CEG_Assets!$AH$3,CEG_Assets!$AG$3,0))*(1+CEG_CapexAdj)</f>
        <v>717.032974951502</v>
      </c>
      <c r="K82" s="8" t="n">
        <f aca="false">((CEG_Assets!$S$3*CEG_Assets!$D$3*1000*K$4*K66+CEG_Assets!$P$3*(1+CEG_Assets!$Q$3)^(K$3-2026)*(K68+K69))/1000000+IF(K$3=CEG_Assets!$AH$3,CEG_Assets!$AG$3,0))*(1+CEG_CapexAdj)</f>
        <v>734.95879932529</v>
      </c>
      <c r="L82" s="8" t="n">
        <f aca="false">((CEG_Assets!$S$3*CEG_Assets!$D$3*1000*L$4*L66+CEG_Assets!$P$3*(1+CEG_Assets!$Q$3)^(L$3-2026)*(L68+L69))/1000000+IF(L$3=CEG_Assets!$AH$3,CEG_Assets!$AG$3,0))*(1+CEG_CapexAdj)</f>
        <v>753.332769308422</v>
      </c>
      <c r="M82" s="8" t="n">
        <f aca="false">((CEG_Assets!$S$3*CEG_Assets!$D$3*1000*M$4*M66+CEG_Assets!$P$3*(1+CEG_Assets!$Q$3)^(M$3-2026)*(M68+M69))/1000000+IF(M$3=CEG_Assets!$AH$3,CEG_Assets!$AG$3,0))*(1+CEG_CapexAdj)</f>
        <v>772.166088541132</v>
      </c>
      <c r="N82" s="8" t="n">
        <f aca="false">((CEG_Assets!$S$3*CEG_Assets!$D$3*1000*N$4*N66+CEG_Assets!$P$3*(1+CEG_Assets!$Q$3)^(N$3-2026)*(N68+N69))/1000000+IF(N$3=CEG_Assets!$AH$3,CEG_Assets!$AG$3,0))*(1+CEG_CapexAdj)</f>
        <v>791.47024075466</v>
      </c>
      <c r="O82" s="8" t="n">
        <f aca="false">((CEG_Assets!$S$3*CEG_Assets!$D$3*1000*O$4*O66+CEG_Assets!$P$3*(1+CEG_Assets!$Q$3)^(O$3-2026)*(O68+O69))/1000000+IF(O$3=CEG_Assets!$AH$3,CEG_Assets!$AG$3,0))*(1+CEG_CapexAdj)</f>
        <v>811.256996773527</v>
      </c>
      <c r="P82" s="8" t="n">
        <f aca="false">((CEG_Assets!$S$3*CEG_Assets!$D$3*1000*P$4*P66+CEG_Assets!$P$3*(1+CEG_Assets!$Q$3)^(P$3-2026)*(P68+P69))/1000000+IF(P$3=CEG_Assets!$AH$3,CEG_Assets!$AG$3,0))*(1+CEG_CapexAdj)</f>
        <v>831.538421692865</v>
      </c>
      <c r="Q82" s="8" t="n">
        <f aca="false">((CEG_Assets!$S$3*CEG_Assets!$D$3*1000*Q$4*Q66+CEG_Assets!$P$3*(1+CEG_Assets!$Q$3)^(Q$3-2026)*(Q68+Q69))/1000000+IF(Q$3=CEG_Assets!$AH$3,CEG_Assets!$AG$3,0))*(1+CEG_CapexAdj)</f>
        <v>852.326882235187</v>
      </c>
      <c r="R82" s="8" t="n">
        <f aca="false">((CEG_Assets!$S$3*CEG_Assets!$D$3*1000*R$4*R66+CEG_Assets!$P$3*(1+CEG_Assets!$Q$3)^(R$3-2026)*(R68+R69))/1000000+IF(R$3=CEG_Assets!$AH$3,CEG_Assets!$AG$3,0))*(1+CEG_CapexAdj)</f>
        <v>873.635054291066</v>
      </c>
      <c r="S82" s="8" t="n">
        <f aca="false">((CEG_Assets!$S$3*CEG_Assets!$D$3*1000*S$4*S66+CEG_Assets!$P$3*(1+CEG_Assets!$Q$3)^(S$3-2026)*(S68+S69))/1000000+IF(S$3=CEG_Assets!$AH$3,CEG_Assets!$AG$3,0))*(1+CEG_CapexAdj)</f>
        <v>895.475930648343</v>
      </c>
      <c r="T82" s="8" t="n">
        <f aca="false">((CEG_Assets!$S$3*CEG_Assets!$D$3*1000*T$4*T66+CEG_Assets!$P$3*(1+CEG_Assets!$Q$3)^(T$3-2026)*(T68+T69))/1000000+IF(T$3=CEG_Assets!$AH$3,CEG_Assets!$AG$3,0))*(1+CEG_CapexAdj)</f>
        <v>917.862828914551</v>
      </c>
      <c r="U82" s="8" t="n">
        <f aca="false">((CEG_Assets!$S$3*CEG_Assets!$D$3*1000*U$4*U66+CEG_Assets!$P$3*(1+CEG_Assets!$Q$3)^(U$3-2026)*(U68+U69))/1000000+IF(U$3=CEG_Assets!$AH$3,CEG_Assets!$AG$3,0))*(1+CEG_CapexAdj)</f>
        <v>940.809399637415</v>
      </c>
      <c r="V82" s="8" t="n">
        <f aca="false">((CEG_Assets!$S$3*CEG_Assets!$D$3*1000*V$4*V66+CEG_Assets!$P$3*(1+CEG_Assets!$Q$3)^(V$3-2026)*(V68+V69))/1000000+IF(V$3=CEG_Assets!$AH$3,CEG_Assets!$AG$3,0))*(1+CEG_CapexAdj)</f>
        <v>964.32963462835</v>
      </c>
      <c r="W82" s="8" t="n">
        <f aca="false">((CEG_Assets!$S$3*CEG_Assets!$D$3*1000*W$4*W66+CEG_Assets!$P$3*(1+CEG_Assets!$Q$3)^(W$3-2026)*(W68+W69))/1000000+IF(W$3=CEG_Assets!$AH$3,CEG_Assets!$AG$3,0))*(1+CEG_CapexAdj)</f>
        <v>988.437875494059</v>
      </c>
      <c r="X82" s="8" t="n">
        <f aca="false">((CEG_Assets!$S$3*CEG_Assets!$D$3*1000*X$4*X66+CEG_Assets!$P$3*(1+CEG_Assets!$Q$3)^(X$3-2026)*(X68+X69))/1000000+IF(X$3=CEG_Assets!$AH$3,CEG_Assets!$AG$3,0))*(1+CEG_CapexAdj)</f>
        <v>1013.14882238141</v>
      </c>
      <c r="Y82" s="8" t="n">
        <f aca="false">((CEG_Assets!$S$3*CEG_Assets!$D$3*1000*Y$4*Y66+CEG_Assets!$P$3*(1+CEG_Assets!$Q$3)^(Y$3-2026)*(Y68+Y69))/1000000+IF(Y$3=CEG_Assets!$AH$3,CEG_Assets!$AG$3,0))*(1+CEG_CapexAdj)</f>
        <v>1038.47754294095</v>
      </c>
      <c r="Z82" s="8" t="n">
        <f aca="false">((CEG_Assets!$S$3*CEG_Assets!$D$3*1000*Z$4*Z66+CEG_Assets!$P$3*(1+CEG_Assets!$Q$3)^(Z$3-2026)*(Z68+Z69))/1000000+IF(Z$3=CEG_Assets!$AH$3,CEG_Assets!$AG$3,0))*(1+CEG_CapexAdj)</f>
        <v>1064.43948151447</v>
      </c>
      <c r="AA82" s="8" t="n">
        <f aca="false">((CEG_Assets!$S$3*CEG_Assets!$D$3*1000*AA$4*AA66+CEG_Assets!$P$3*(1+CEG_Assets!$Q$3)^(AA$3-2026)*(AA68+AA69))/1000000+IF(AA$3=CEG_Assets!$AH$3,CEG_Assets!$AG$3,0))*(1+CEG_CapexAdj)</f>
        <v>1091.05046855233</v>
      </c>
      <c r="AB82" s="8" t="n">
        <f aca="false">((CEG_Assets!$S$3*CEG_Assets!$D$3*1000*AB$4*AB66+CEG_Assets!$P$3*(1+CEG_Assets!$Q$3)^(AB$3-2026)*(AB68+AB69))/1000000+IF(AB$3=CEG_Assets!$AH$3,CEG_Assets!$AG$3,0))*(1+CEG_CapexAdj)</f>
        <v>1118.32673026614</v>
      </c>
      <c r="AC82" s="8" t="n">
        <f aca="false">((CEG_Assets!$S$3*CEG_Assets!$D$3*1000*AC$4*AC66+CEG_Assets!$P$3*(1+CEG_Assets!$Q$3)^(AC$3-2026)*(AC68+AC69))/1000000+IF(AC$3=CEG_Assets!$AH$3,CEG_Assets!$AG$3,0))*(1+CEG_CapexAdj)</f>
        <v>1146.28489852279</v>
      </c>
      <c r="AD82" s="8" t="n">
        <f aca="false">((CEG_Assets!$S$3*CEG_Assets!$D$3*1000*AD$4*AD66+CEG_Assets!$P$3*(1+CEG_Assets!$Q$3)^(AD$3-2026)*(AD68+AD69))/1000000+IF(AD$3=CEG_Assets!$AH$3,CEG_Assets!$AG$3,0))*(1+CEG_CapexAdj)</f>
        <v>1174.94202098586</v>
      </c>
      <c r="AE82" s="8" t="n">
        <f aca="false">((CEG_Assets!$S$3*CEG_Assets!$D$3*1000*AE$4*AE66+CEG_Assets!$P$3*(1+CEG_Assets!$Q$3)^(AE$3-2026)*(AE68+AE69))/1000000+IF(AE$3=CEG_Assets!$AH$3,CEG_Assets!$AG$3,0))*(1+CEG_CapexAdj)</f>
        <v>1204.31557151051</v>
      </c>
      <c r="AF82" s="8" t="n">
        <f aca="false">((CEG_Assets!$S$3*CEG_Assets!$D$3*1000*AF$4*AF66+CEG_Assets!$P$3*(1+CEG_Assets!$Q$3)^(AF$3-2026)*(AF68+AF69))/1000000+IF(AF$3=CEG_Assets!$AH$3,CEG_Assets!$AG$3,0))*(1+CEG_CapexAdj)</f>
        <v>1234.42346079827</v>
      </c>
      <c r="AG82" s="8" t="n">
        <f aca="false">((CEG_Assets!$S$3*CEG_Assets!$D$3*1000*AG$4*AG66+CEG_Assets!$P$3*(1+CEG_Assets!$Q$3)^(AG$3-2026)*(AG68+AG69))/1000000+IF(AG$3=CEG_Assets!$AH$3,CEG_Assets!$AG$3,0))*(1+CEG_CapexAdj)</f>
        <v>1265.28404731823</v>
      </c>
      <c r="AH82" s="8" t="n">
        <f aca="false">((CEG_Assets!$S$3*CEG_Assets!$D$3*1000*AH$4*AH66+CEG_Assets!$P$3*(1+CEG_Assets!$Q$3)^(AH$3-2026)*(AH68+AH69))/1000000+IF(AH$3=CEG_Assets!$AH$3,CEG_Assets!$AG$3,0))*(1+CEG_CapexAdj)</f>
        <v>1296.91614850118</v>
      </c>
      <c r="AI82" s="8" t="n">
        <f aca="false">((CEG_Assets!$S$3*CEG_Assets!$D$3*1000*AI$4*AI66+CEG_Assets!$P$3*(1+CEG_Assets!$Q$3)^(AI$3-2026)*(AI68+AI69))/1000000+IF(AI$3=CEG_Assets!$AH$3,CEG_Assets!$AG$3,0))*(1+CEG_CapexAdj)</f>
        <v>1329.33905221371</v>
      </c>
      <c r="AJ82" s="8" t="n">
        <f aca="false">((CEG_Assets!$S$3*CEG_Assets!$D$3*1000*AJ$4*AJ66+CEG_Assets!$P$3*(1+CEG_Assets!$Q$3)^(AJ$3-2026)*(AJ68+AJ69))/1000000+IF(AJ$3=CEG_Assets!$AH$3,CEG_Assets!$AG$3,0))*(1+CEG_CapexAdj)</f>
        <v>0</v>
      </c>
      <c r="AK82" s="8" t="n">
        <f aca="false">((CEG_Assets!$S$3*CEG_Assets!$D$3*1000*AK$4*AK66+CEG_Assets!$P$3*(1+CEG_Assets!$Q$3)^(AK$3-2026)*(AK68+AK69))/1000000+IF(AK$3=CEG_Assets!$AH$3,CEG_Assets!$AG$3,0))*(1+CEG_CapexAdj)</f>
        <v>0</v>
      </c>
      <c r="AL82" s="8" t="n">
        <f aca="false">((CEG_Assets!$S$3*CEG_Assets!$D$3*1000*AL$4*AL66+CEG_Assets!$P$3*(1+CEG_Assets!$Q$3)^(AL$3-2026)*(AL68+AL69))/1000000+IF(AL$3=CEG_Assets!$AH$3,CEG_Assets!$AG$3,0))*(1+CEG_CapexAdj)</f>
        <v>0</v>
      </c>
      <c r="AM82" s="8" t="n">
        <f aca="false">((CEG_Assets!$S$3*CEG_Assets!$D$3*1000*AM$4*AM66+CEG_Assets!$P$3*(1+CEG_Assets!$Q$3)^(AM$3-2026)*(AM68+AM69))/1000000+IF(AM$3=CEG_Assets!$AH$3,CEG_Assets!$AG$3,0))*(1+CEG_CapexAdj)</f>
        <v>0</v>
      </c>
      <c r="AN82" s="8" t="n">
        <f aca="false">((CEG_Assets!$S$3*CEG_Assets!$D$3*1000*AN$4*AN66+CEG_Assets!$P$3*(1+CEG_Assets!$Q$3)^(AN$3-2026)*(AN68+AN69))/1000000+IF(AN$3=CEG_Assets!$AH$3,CEG_Assets!$AG$3,0))*(1+CEG_CapexAdj)</f>
        <v>0</v>
      </c>
      <c r="AO82" s="8" t="n">
        <f aca="false">((CEG_Assets!$S$3*CEG_Assets!$D$3*1000*AO$4*AO66+CEG_Assets!$P$3*(1+CEG_Assets!$Q$3)^(AO$3-2026)*(AO68+AO69))/1000000+IF(AO$3=CEG_Assets!$AH$3,CEG_Assets!$AG$3,0))*(1+CEG_CapexAdj)</f>
        <v>0</v>
      </c>
      <c r="AP82" s="8" t="n">
        <f aca="false">((CEG_Assets!$S$3*CEG_Assets!$D$3*1000*AP$4*AP66+CEG_Assets!$P$3*(1+CEG_Assets!$Q$3)^(AP$3-2026)*(AP68+AP69))/1000000+IF(AP$3=CEG_Assets!$AH$3,CEG_Assets!$AG$3,0))*(1+CEG_CapexAdj)</f>
        <v>0</v>
      </c>
      <c r="AQ82" s="8" t="n">
        <f aca="false">((CEG_Assets!$S$3*CEG_Assets!$D$3*1000*AQ$4*AQ66+CEG_Assets!$P$3*(1+CEG_Assets!$Q$3)^(AQ$3-2026)*(AQ68+AQ69))/1000000+IF(AQ$3=CEG_Assets!$AH$3,CEG_Assets!$AG$3,0))*(1+CEG_CapexAdj)</f>
        <v>0</v>
      </c>
      <c r="AR82" s="8" t="n">
        <f aca="false">((CEG_Assets!$S$3*CEG_Assets!$D$3*1000*AR$4*AR66+CEG_Assets!$P$3*(1+CEG_Assets!$Q$3)^(AR$3-2026)*(AR68+AR69))/1000000+IF(AR$3=CEG_Assets!$AH$3,CEG_Assets!$AG$3,0))*(1+CEG_CapexAdj)</f>
        <v>0</v>
      </c>
      <c r="AS82" s="8" t="n">
        <f aca="false">((CEG_Assets!$S$3*CEG_Assets!$D$3*1000*AS$4*AS66+CEG_Assets!$P$3*(1+CEG_Assets!$Q$3)^(AS$3-2026)*(AS68+AS69))/1000000+IF(AS$3=CEG_Assets!$AH$3,CEG_Assets!$AG$3,0))*(1+CEG_CapexAdj)</f>
        <v>0</v>
      </c>
    </row>
    <row r="83" customFormat="false" ht="15" hidden="false" customHeight="false" outlineLevel="0" collapsed="false">
      <c r="A83" s="6" t="s">
        <v>459</v>
      </c>
      <c r="B83" s="6" t="s">
        <v>460</v>
      </c>
      <c r="C83" s="9" t="n">
        <f aca="false">SUM(G83:AS83)</f>
        <v>76978.0299050586</v>
      </c>
      <c r="G83" s="8" t="n">
        <f aca="false">IF(CEG_Assets!$Y$3=1,MAX(0,G81-G82),G81-G82)</f>
        <v>3304.313275514</v>
      </c>
      <c r="H83" s="8" t="n">
        <f aca="false">IF(CEG_Assets!$Y$3=1,MAX(0,H81-H82),H81-H82)</f>
        <v>3282.00686536975</v>
      </c>
      <c r="I83" s="8" t="n">
        <f aca="false">IF(CEG_Assets!$Y$3=1,MAX(0,I81-I82),I81-I82)</f>
        <v>2647.58911459283</v>
      </c>
      <c r="J83" s="8" t="n">
        <f aca="false">IF(CEG_Assets!$Y$3=1,MAX(0,J81-J82),J81-J82)</f>
        <v>2358.98763089404</v>
      </c>
      <c r="K83" s="8" t="n">
        <f aca="false">IF(CEG_Assets!$Y$3=1,MAX(0,K81-K82),K81-K82)</f>
        <v>2376.82827822181</v>
      </c>
      <c r="L83" s="8" t="n">
        <f aca="false">IF(CEG_Assets!$Y$3=1,MAX(0,L81-L82),L81-L82)</f>
        <v>2394.61251332388</v>
      </c>
      <c r="M83" s="8" t="n">
        <f aca="false">IF(CEG_Assets!$Y$3=1,MAX(0,M81-M82),M81-M82)</f>
        <v>2412.32887732643</v>
      </c>
      <c r="N83" s="8" t="n">
        <f aca="false">IF(CEG_Assets!$Y$3=1,MAX(0,N81-N82),N81-N82)</f>
        <v>2429.96542391243</v>
      </c>
      <c r="O83" s="8" t="n">
        <f aca="false">IF(CEG_Assets!$Y$3=1,MAX(0,O81-O82),O81-O82)</f>
        <v>2447.50970311614</v>
      </c>
      <c r="P83" s="8" t="n">
        <f aca="false">IF(CEG_Assets!$Y$3=1,MAX(0,P81-P82),P81-P82)</f>
        <v>2464.94874463206</v>
      </c>
      <c r="Q83" s="8" t="n">
        <f aca="false">IF(CEG_Assets!$Y$3=1,MAX(0,Q81-Q82),Q81-Q82)</f>
        <v>2482.26904062464</v>
      </c>
      <c r="R83" s="8" t="n">
        <f aca="false">IF(CEG_Assets!$Y$3=1,MAX(0,R81-R82),R81-R82)</f>
        <v>2499.45652802457</v>
      </c>
      <c r="S83" s="8" t="n">
        <f aca="false">IF(CEG_Assets!$Y$3=1,MAX(0,S81-S82),S81-S82)</f>
        <v>2516.49657029718</v>
      </c>
      <c r="T83" s="8" t="n">
        <f aca="false">IF(CEG_Assets!$Y$3=1,MAX(0,T81-T82),T81-T82)</f>
        <v>2533.37393866805</v>
      </c>
      <c r="U83" s="8" t="n">
        <f aca="false">IF(CEG_Assets!$Y$3=1,MAX(0,U81-U82),U81-U82)</f>
        <v>2550.07279279046</v>
      </c>
      <c r="V83" s="8" t="n">
        <f aca="false">IF(CEG_Assets!$Y$3=1,MAX(0,V81-V82),V81-V82)</f>
        <v>2566.57666083904</v>
      </c>
      <c r="W83" s="8" t="n">
        <f aca="false">IF(CEG_Assets!$Y$3=1,MAX(0,W81-W82),W81-W82)</f>
        <v>2582.86841901342</v>
      </c>
      <c r="X83" s="8" t="n">
        <f aca="false">IF(CEG_Assets!$Y$3=1,MAX(0,X81-X82),X81-X82)</f>
        <v>2598.93027043522</v>
      </c>
      <c r="Y83" s="8" t="n">
        <f aca="false">IF(CEG_Assets!$Y$3=1,MAX(0,Y81-Y82),Y81-Y82)</f>
        <v>2614.7437234215</v>
      </c>
      <c r="Z83" s="8" t="n">
        <f aca="false">IF(CEG_Assets!$Y$3=1,MAX(0,Z81-Z82),Z81-Z82)</f>
        <v>2630.28956911694</v>
      </c>
      <c r="AA83" s="8" t="n">
        <f aca="false">IF(CEG_Assets!$Y$3=1,MAX(0,AA81-AA82),AA81-AA82)</f>
        <v>2695.06360248018</v>
      </c>
      <c r="AB83" s="8" t="n">
        <f aca="false">IF(CEG_Assets!$Y$3=1,MAX(0,AB81-AB82),AB81-AB82)</f>
        <v>2723.81403580667</v>
      </c>
      <c r="AC83" s="8" t="n">
        <f aca="false">IF(CEG_Assets!$Y$3=1,MAX(0,AC81-AC82),AC81-AC82)</f>
        <v>2752.5107068316</v>
      </c>
      <c r="AD83" s="8" t="n">
        <f aca="false">IF(CEG_Assets!$Y$3=1,MAX(0,AD81-AD82),AD81-AD82)</f>
        <v>2781.13682103475</v>
      </c>
      <c r="AE83" s="8" t="n">
        <f aca="false">IF(CEG_Assets!$Y$3=1,MAX(0,AE81-AE82),AE81-AE82)</f>
        <v>2809.67485502363</v>
      </c>
      <c r="AF83" s="8" t="n">
        <f aca="false">IF(CEG_Assets!$Y$3=1,MAX(0,AF81-AF82),AF81-AF82)</f>
        <v>2838.1065321315</v>
      </c>
      <c r="AG83" s="8" t="n">
        <f aca="false">IF(CEG_Assets!$Y$3=1,MAX(0,AG81-AG82),AG81-AG82)</f>
        <v>2866.4127972817</v>
      </c>
      <c r="AH83" s="8" t="n">
        <f aca="false">IF(CEG_Assets!$Y$3=1,MAX(0,AH81-AH82),AH81-AH82)</f>
        <v>2894.57379109759</v>
      </c>
      <c r="AI83" s="8" t="n">
        <f aca="false">IF(CEG_Assets!$Y$3=1,MAX(0,AI81-AI82),AI81-AI82)</f>
        <v>2922.56882323656</v>
      </c>
      <c r="AJ83" s="8" t="n">
        <f aca="false">IF(CEG_Assets!$Y$3=1,MAX(0,AJ81-AJ82),AJ81-AJ82)</f>
        <v>0</v>
      </c>
      <c r="AK83" s="8" t="n">
        <f aca="false">IF(CEG_Assets!$Y$3=1,MAX(0,AK81-AK82),AK81-AK82)</f>
        <v>0</v>
      </c>
      <c r="AL83" s="8" t="n">
        <f aca="false">IF(CEG_Assets!$Y$3=1,MAX(0,AL81-AL82),AL81-AL82)</f>
        <v>0</v>
      </c>
      <c r="AM83" s="8" t="n">
        <f aca="false">IF(CEG_Assets!$Y$3=1,MAX(0,AM81-AM82),AM81-AM82)</f>
        <v>0</v>
      </c>
      <c r="AN83" s="8" t="n">
        <f aca="false">IF(CEG_Assets!$Y$3=1,MAX(0,AN81-AN82),AN81-AN82)</f>
        <v>0</v>
      </c>
      <c r="AO83" s="8" t="n">
        <f aca="false">IF(CEG_Assets!$Y$3=1,MAX(0,AO81-AO82),AO81-AO82)</f>
        <v>0</v>
      </c>
      <c r="AP83" s="8" t="n">
        <f aca="false">IF(CEG_Assets!$Y$3=1,MAX(0,AP81-AP82),AP81-AP82)</f>
        <v>0</v>
      </c>
      <c r="AQ83" s="8" t="n">
        <f aca="false">IF(CEG_Assets!$Y$3=1,MAX(0,AQ81-AQ82),AQ81-AQ82)</f>
        <v>0</v>
      </c>
      <c r="AR83" s="8" t="n">
        <f aca="false">IF(CEG_Assets!$Y$3=1,MAX(0,AR81-AR82),AR81-AR82)</f>
        <v>0</v>
      </c>
      <c r="AS83" s="8" t="n">
        <f aca="false">IF(CEG_Assets!$Y$3=1,MAX(0,AS81-AS82),AS81-AS82)</f>
        <v>0</v>
      </c>
    </row>
    <row r="84" customFormat="false" ht="15" hidden="false" customHeight="false" outlineLevel="0" collapsed="false">
      <c r="A84" s="6" t="s">
        <v>461</v>
      </c>
      <c r="B84" s="6" t="s">
        <v>462</v>
      </c>
      <c r="C84" s="9" t="n">
        <f aca="false">SUM(G84:AS84)</f>
        <v>0</v>
      </c>
      <c r="G84" s="8" t="n">
        <f aca="false">IF(AND(CEG_Assets!$W$3=1,G$3&lt;=PTCLast,G68&gt;0),G68*MAX(0,PTCCredit*(1+Infl)^(G$3-PTCBase)-0.8*MAX(0,(G73+G74+G76)*1000000/MAX(1,G68)-PTCThresh*(1+Infl)^(G$3-PTCBase)))/1000000,0)</f>
        <v>0</v>
      </c>
      <c r="H84" s="8" t="n">
        <f aca="false">IF(AND(CEG_Assets!$W$3=1,H$3&lt;=PTCLast,H68&gt;0),H68*MAX(0,PTCCredit*(1+Infl)^(H$3-PTCBase)-0.8*MAX(0,(H73+H74+H76)*1000000/MAX(1,H68)-PTCThresh*(1+Infl)^(H$3-PTCBase)))/1000000,0)</f>
        <v>0</v>
      </c>
      <c r="I84" s="8" t="n">
        <f aca="false">IF(AND(CEG_Assets!$W$3=1,I$3&lt;=PTCLast,I68&gt;0),I68*MAX(0,PTCCredit*(1+Infl)^(I$3-PTCBase)-0.8*MAX(0,(I73+I74+I76)*1000000/MAX(1,I68)-PTCThresh*(1+Infl)^(I$3-PTCBase)))/1000000,0)</f>
        <v>0</v>
      </c>
      <c r="J84" s="8" t="n">
        <f aca="false">IF(AND(CEG_Assets!$W$3=1,J$3&lt;=PTCLast,J68&gt;0),J68*MAX(0,PTCCredit*(1+Infl)^(J$3-PTCBase)-0.8*MAX(0,(J73+J74+J76)*1000000/MAX(1,J68)-PTCThresh*(1+Infl)^(J$3-PTCBase)))/1000000,0)</f>
        <v>0</v>
      </c>
      <c r="K84" s="8" t="n">
        <f aca="false">IF(AND(CEG_Assets!$W$3=1,K$3&lt;=PTCLast,K68&gt;0),K68*MAX(0,PTCCredit*(1+Infl)^(K$3-PTCBase)-0.8*MAX(0,(K73+K74+K76)*1000000/MAX(1,K68)-PTCThresh*(1+Infl)^(K$3-PTCBase)))/1000000,0)</f>
        <v>0</v>
      </c>
      <c r="L84" s="8" t="n">
        <f aca="false">IF(AND(CEG_Assets!$W$3=1,L$3&lt;=PTCLast,L68&gt;0),L68*MAX(0,PTCCredit*(1+Infl)^(L$3-PTCBase)-0.8*MAX(0,(L73+L74+L76)*1000000/MAX(1,L68)-PTCThresh*(1+Infl)^(L$3-PTCBase)))/1000000,0)</f>
        <v>0</v>
      </c>
      <c r="M84" s="8" t="n">
        <f aca="false">IF(AND(CEG_Assets!$W$3=1,M$3&lt;=PTCLast,M68&gt;0),M68*MAX(0,PTCCredit*(1+Infl)^(M$3-PTCBase)-0.8*MAX(0,(M73+M74+M76)*1000000/MAX(1,M68)-PTCThresh*(1+Infl)^(M$3-PTCBase)))/1000000,0)</f>
        <v>0</v>
      </c>
      <c r="N84" s="8" t="n">
        <f aca="false">IF(AND(CEG_Assets!$W$3=1,N$3&lt;=PTCLast,N68&gt;0),N68*MAX(0,PTCCredit*(1+Infl)^(N$3-PTCBase)-0.8*MAX(0,(N73+N74+N76)*1000000/MAX(1,N68)-PTCThresh*(1+Infl)^(N$3-PTCBase)))/1000000,0)</f>
        <v>0</v>
      </c>
      <c r="O84" s="8" t="n">
        <f aca="false">IF(AND(CEG_Assets!$W$3=1,O$3&lt;=PTCLast,O68&gt;0),O68*MAX(0,PTCCredit*(1+Infl)^(O$3-PTCBase)-0.8*MAX(0,(O73+O74+O76)*1000000/MAX(1,O68)-PTCThresh*(1+Infl)^(O$3-PTCBase)))/1000000,0)</f>
        <v>0</v>
      </c>
      <c r="P84" s="8" t="n">
        <f aca="false">IF(AND(CEG_Assets!$W$3=1,P$3&lt;=PTCLast,P68&gt;0),P68*MAX(0,PTCCredit*(1+Infl)^(P$3-PTCBase)-0.8*MAX(0,(P73+P74+P76)*1000000/MAX(1,P68)-PTCThresh*(1+Infl)^(P$3-PTCBase)))/1000000,0)</f>
        <v>0</v>
      </c>
      <c r="Q84" s="8" t="n">
        <f aca="false">IF(AND(CEG_Assets!$W$3=1,Q$3&lt;=PTCLast,Q68&gt;0),Q68*MAX(0,PTCCredit*(1+Infl)^(Q$3-PTCBase)-0.8*MAX(0,(Q73+Q74+Q76)*1000000/MAX(1,Q68)-PTCThresh*(1+Infl)^(Q$3-PTCBase)))/1000000,0)</f>
        <v>0</v>
      </c>
      <c r="R84" s="8" t="n">
        <f aca="false">IF(AND(CEG_Assets!$W$3=1,R$3&lt;=PTCLast,R68&gt;0),R68*MAX(0,PTCCredit*(1+Infl)^(R$3-PTCBase)-0.8*MAX(0,(R73+R74+R76)*1000000/MAX(1,R68)-PTCThresh*(1+Infl)^(R$3-PTCBase)))/1000000,0)</f>
        <v>0</v>
      </c>
      <c r="S84" s="8" t="n">
        <f aca="false">IF(AND(CEG_Assets!$W$3=1,S$3&lt;=PTCLast,S68&gt;0),S68*MAX(0,PTCCredit*(1+Infl)^(S$3-PTCBase)-0.8*MAX(0,(S73+S74+S76)*1000000/MAX(1,S68)-PTCThresh*(1+Infl)^(S$3-PTCBase)))/1000000,0)</f>
        <v>0</v>
      </c>
      <c r="T84" s="8" t="n">
        <f aca="false">IF(AND(CEG_Assets!$W$3=1,T$3&lt;=PTCLast,T68&gt;0),T68*MAX(0,PTCCredit*(1+Infl)^(T$3-PTCBase)-0.8*MAX(0,(T73+T74+T76)*1000000/MAX(1,T68)-PTCThresh*(1+Infl)^(T$3-PTCBase)))/1000000,0)</f>
        <v>0</v>
      </c>
      <c r="U84" s="8" t="n">
        <f aca="false">IF(AND(CEG_Assets!$W$3=1,U$3&lt;=PTCLast,U68&gt;0),U68*MAX(0,PTCCredit*(1+Infl)^(U$3-PTCBase)-0.8*MAX(0,(U73+U74+U76)*1000000/MAX(1,U68)-PTCThresh*(1+Infl)^(U$3-PTCBase)))/1000000,0)</f>
        <v>0</v>
      </c>
      <c r="V84" s="8" t="n">
        <f aca="false">IF(AND(CEG_Assets!$W$3=1,V$3&lt;=PTCLast,V68&gt;0),V68*MAX(0,PTCCredit*(1+Infl)^(V$3-PTCBase)-0.8*MAX(0,(V73+V74+V76)*1000000/MAX(1,V68)-PTCThresh*(1+Infl)^(V$3-PTCBase)))/1000000,0)</f>
        <v>0</v>
      </c>
      <c r="W84" s="8" t="n">
        <f aca="false">IF(AND(CEG_Assets!$W$3=1,W$3&lt;=PTCLast,W68&gt;0),W68*MAX(0,PTCCredit*(1+Infl)^(W$3-PTCBase)-0.8*MAX(0,(W73+W74+W76)*1000000/MAX(1,W68)-PTCThresh*(1+Infl)^(W$3-PTCBase)))/1000000,0)</f>
        <v>0</v>
      </c>
      <c r="X84" s="8" t="n">
        <f aca="false">IF(AND(CEG_Assets!$W$3=1,X$3&lt;=PTCLast,X68&gt;0),X68*MAX(0,PTCCredit*(1+Infl)^(X$3-PTCBase)-0.8*MAX(0,(X73+X74+X76)*1000000/MAX(1,X68)-PTCThresh*(1+Infl)^(X$3-PTCBase)))/1000000,0)</f>
        <v>0</v>
      </c>
      <c r="Y84" s="8" t="n">
        <f aca="false">IF(AND(CEG_Assets!$W$3=1,Y$3&lt;=PTCLast,Y68&gt;0),Y68*MAX(0,PTCCredit*(1+Infl)^(Y$3-PTCBase)-0.8*MAX(0,(Y73+Y74+Y76)*1000000/MAX(1,Y68)-PTCThresh*(1+Infl)^(Y$3-PTCBase)))/1000000,0)</f>
        <v>0</v>
      </c>
      <c r="Z84" s="8" t="n">
        <f aca="false">IF(AND(CEG_Assets!$W$3=1,Z$3&lt;=PTCLast,Z68&gt;0),Z68*MAX(0,PTCCredit*(1+Infl)^(Z$3-PTCBase)-0.8*MAX(0,(Z73+Z74+Z76)*1000000/MAX(1,Z68)-PTCThresh*(1+Infl)^(Z$3-PTCBase)))/1000000,0)</f>
        <v>0</v>
      </c>
      <c r="AA84" s="8" t="n">
        <f aca="false">IF(AND(CEG_Assets!$W$3=1,AA$3&lt;=PTCLast,AA68&gt;0),AA68*MAX(0,PTCCredit*(1+Infl)^(AA$3-PTCBase)-0.8*MAX(0,(AA73+AA74+AA76)*1000000/MAX(1,AA68)-PTCThresh*(1+Infl)^(AA$3-PTCBase)))/1000000,0)</f>
        <v>0</v>
      </c>
      <c r="AB84" s="8" t="n">
        <f aca="false">IF(AND(CEG_Assets!$W$3=1,AB$3&lt;=PTCLast,AB68&gt;0),AB68*MAX(0,PTCCredit*(1+Infl)^(AB$3-PTCBase)-0.8*MAX(0,(AB73+AB74+AB76)*1000000/MAX(1,AB68)-PTCThresh*(1+Infl)^(AB$3-PTCBase)))/1000000,0)</f>
        <v>0</v>
      </c>
      <c r="AC84" s="8" t="n">
        <f aca="false">IF(AND(CEG_Assets!$W$3=1,AC$3&lt;=PTCLast,AC68&gt;0),AC68*MAX(0,PTCCredit*(1+Infl)^(AC$3-PTCBase)-0.8*MAX(0,(AC73+AC74+AC76)*1000000/MAX(1,AC68)-PTCThresh*(1+Infl)^(AC$3-PTCBase)))/1000000,0)</f>
        <v>0</v>
      </c>
      <c r="AD84" s="8" t="n">
        <f aca="false">IF(AND(CEG_Assets!$W$3=1,AD$3&lt;=PTCLast,AD68&gt;0),AD68*MAX(0,PTCCredit*(1+Infl)^(AD$3-PTCBase)-0.8*MAX(0,(AD73+AD74+AD76)*1000000/MAX(1,AD68)-PTCThresh*(1+Infl)^(AD$3-PTCBase)))/1000000,0)</f>
        <v>0</v>
      </c>
      <c r="AE84" s="8" t="n">
        <f aca="false">IF(AND(CEG_Assets!$W$3=1,AE$3&lt;=PTCLast,AE68&gt;0),AE68*MAX(0,PTCCredit*(1+Infl)^(AE$3-PTCBase)-0.8*MAX(0,(AE73+AE74+AE76)*1000000/MAX(1,AE68)-PTCThresh*(1+Infl)^(AE$3-PTCBase)))/1000000,0)</f>
        <v>0</v>
      </c>
      <c r="AF84" s="8" t="n">
        <f aca="false">IF(AND(CEG_Assets!$W$3=1,AF$3&lt;=PTCLast,AF68&gt;0),AF68*MAX(0,PTCCredit*(1+Infl)^(AF$3-PTCBase)-0.8*MAX(0,(AF73+AF74+AF76)*1000000/MAX(1,AF68)-PTCThresh*(1+Infl)^(AF$3-PTCBase)))/1000000,0)</f>
        <v>0</v>
      </c>
      <c r="AG84" s="8" t="n">
        <f aca="false">IF(AND(CEG_Assets!$W$3=1,AG$3&lt;=PTCLast,AG68&gt;0),AG68*MAX(0,PTCCredit*(1+Infl)^(AG$3-PTCBase)-0.8*MAX(0,(AG73+AG74+AG76)*1000000/MAX(1,AG68)-PTCThresh*(1+Infl)^(AG$3-PTCBase)))/1000000,0)</f>
        <v>0</v>
      </c>
      <c r="AH84" s="8" t="n">
        <f aca="false">IF(AND(CEG_Assets!$W$3=1,AH$3&lt;=PTCLast,AH68&gt;0),AH68*MAX(0,PTCCredit*(1+Infl)^(AH$3-PTCBase)-0.8*MAX(0,(AH73+AH74+AH76)*1000000/MAX(1,AH68)-PTCThresh*(1+Infl)^(AH$3-PTCBase)))/1000000,0)</f>
        <v>0</v>
      </c>
      <c r="AI84" s="8" t="n">
        <f aca="false">IF(AND(CEG_Assets!$W$3=1,AI$3&lt;=PTCLast,AI68&gt;0),AI68*MAX(0,PTCCredit*(1+Infl)^(AI$3-PTCBase)-0.8*MAX(0,(AI73+AI74+AI76)*1000000/MAX(1,AI68)-PTCThresh*(1+Infl)^(AI$3-PTCBase)))/1000000,0)</f>
        <v>0</v>
      </c>
      <c r="AJ84" s="8" t="n">
        <f aca="false">IF(AND(CEG_Assets!$W$3=1,AJ$3&lt;=PTCLast,AJ68&gt;0),AJ68*MAX(0,PTCCredit*(1+Infl)^(AJ$3-PTCBase)-0.8*MAX(0,(AJ73+AJ74+AJ76)*1000000/MAX(1,AJ68)-PTCThresh*(1+Infl)^(AJ$3-PTCBase)))/1000000,0)</f>
        <v>0</v>
      </c>
      <c r="AK84" s="8" t="n">
        <f aca="false">IF(AND(CEG_Assets!$W$3=1,AK$3&lt;=PTCLast,AK68&gt;0),AK68*MAX(0,PTCCredit*(1+Infl)^(AK$3-PTCBase)-0.8*MAX(0,(AK73+AK74+AK76)*1000000/MAX(1,AK68)-PTCThresh*(1+Infl)^(AK$3-PTCBase)))/1000000,0)</f>
        <v>0</v>
      </c>
      <c r="AL84" s="8" t="n">
        <f aca="false">IF(AND(CEG_Assets!$W$3=1,AL$3&lt;=PTCLast,AL68&gt;0),AL68*MAX(0,PTCCredit*(1+Infl)^(AL$3-PTCBase)-0.8*MAX(0,(AL73+AL74+AL76)*1000000/MAX(1,AL68)-PTCThresh*(1+Infl)^(AL$3-PTCBase)))/1000000,0)</f>
        <v>0</v>
      </c>
      <c r="AM84" s="8" t="n">
        <f aca="false">IF(AND(CEG_Assets!$W$3=1,AM$3&lt;=PTCLast,AM68&gt;0),AM68*MAX(0,PTCCredit*(1+Infl)^(AM$3-PTCBase)-0.8*MAX(0,(AM73+AM74+AM76)*1000000/MAX(1,AM68)-PTCThresh*(1+Infl)^(AM$3-PTCBase)))/1000000,0)</f>
        <v>0</v>
      </c>
      <c r="AN84" s="8" t="n">
        <f aca="false">IF(AND(CEG_Assets!$W$3=1,AN$3&lt;=PTCLast,AN68&gt;0),AN68*MAX(0,PTCCredit*(1+Infl)^(AN$3-PTCBase)-0.8*MAX(0,(AN73+AN74+AN76)*1000000/MAX(1,AN68)-PTCThresh*(1+Infl)^(AN$3-PTCBase)))/1000000,0)</f>
        <v>0</v>
      </c>
      <c r="AO84" s="8" t="n">
        <f aca="false">IF(AND(CEG_Assets!$W$3=1,AO$3&lt;=PTCLast,AO68&gt;0),AO68*MAX(0,PTCCredit*(1+Infl)^(AO$3-PTCBase)-0.8*MAX(0,(AO73+AO74+AO76)*1000000/MAX(1,AO68)-PTCThresh*(1+Infl)^(AO$3-PTCBase)))/1000000,0)</f>
        <v>0</v>
      </c>
      <c r="AP84" s="8" t="n">
        <f aca="false">IF(AND(CEG_Assets!$W$3=1,AP$3&lt;=PTCLast,AP68&gt;0),AP68*MAX(0,PTCCredit*(1+Infl)^(AP$3-PTCBase)-0.8*MAX(0,(AP73+AP74+AP76)*1000000/MAX(1,AP68)-PTCThresh*(1+Infl)^(AP$3-PTCBase)))/1000000,0)</f>
        <v>0</v>
      </c>
      <c r="AQ84" s="8" t="n">
        <f aca="false">IF(AND(CEG_Assets!$W$3=1,AQ$3&lt;=PTCLast,AQ68&gt;0),AQ68*MAX(0,PTCCredit*(1+Infl)^(AQ$3-PTCBase)-0.8*MAX(0,(AQ73+AQ74+AQ76)*1000000/MAX(1,AQ68)-PTCThresh*(1+Infl)^(AQ$3-PTCBase)))/1000000,0)</f>
        <v>0</v>
      </c>
      <c r="AR84" s="8" t="n">
        <f aca="false">IF(AND(CEG_Assets!$W$3=1,AR$3&lt;=PTCLast,AR68&gt;0),AR68*MAX(0,PTCCredit*(1+Infl)^(AR$3-PTCBase)-0.8*MAX(0,(AR73+AR74+AR76)*1000000/MAX(1,AR68)-PTCThresh*(1+Infl)^(AR$3-PTCBase)))/1000000,0)</f>
        <v>0</v>
      </c>
      <c r="AS84" s="8" t="n">
        <f aca="false">IF(AND(CEG_Assets!$W$3=1,AS$3&lt;=PTCLast,AS68&gt;0),AS68*MAX(0,PTCCredit*(1+Infl)^(AS$3-PTCBase)-0.8*MAX(0,(AS73+AS74+AS76)*1000000/MAX(1,AS68)-PTCThresh*(1+Infl)^(AS$3-PTCBase)))/1000000,0)</f>
        <v>0</v>
      </c>
    </row>
    <row r="85" customFormat="false" ht="15" hidden="false" customHeight="false" outlineLevel="0" collapsed="false">
      <c r="A85" s="6" t="s">
        <v>463</v>
      </c>
      <c r="B85" s="6" t="s">
        <v>464</v>
      </c>
      <c r="G85" s="8" t="n">
        <f aca="false">G75-G69*(CEG_Assets!$N$3*(1+CEG_FuelAdj)+CEG_Assets!$O$3*(1+CEG_OMAdj)+CEG_Assets!$P$3*(1+CEG_CapexAdj))*(1+CEG_Assets!$Q$3)^(G$3-2026)/1000000</f>
        <v>366.3122991</v>
      </c>
      <c r="H85" s="8" t="n">
        <f aca="false">H75-H69*(CEG_Assets!$N$3*(1+CEG_FuelAdj)+CEG_Assets!$O$3*(1+CEG_OMAdj)+CEG_Assets!$P$3*(1+CEG_CapexAdj))*(1+CEG_Assets!$Q$3)^(H$3-2026)/1000000</f>
        <v>359.4574835775</v>
      </c>
      <c r="I85" s="8" t="n">
        <f aca="false">I75-I69*(CEG_Assets!$N$3*(1+CEG_FuelAdj)+CEG_Assets!$O$3*(1+CEG_OMAdj)+CEG_Assets!$P$3*(1+CEG_CapexAdj))*(1+CEG_Assets!$Q$3)^(I$3-2026)/1000000</f>
        <v>352.431297666938</v>
      </c>
      <c r="J85" s="8" t="n">
        <f aca="false">J75-J69*(CEG_Assets!$N$3*(1+CEG_FuelAdj)+CEG_Assets!$O$3*(1+CEG_OMAdj)+CEG_Assets!$P$3*(1+CEG_CapexAdj))*(1+CEG_Assets!$Q$3)^(J$3-2026)/1000000</f>
        <v>345.229457108611</v>
      </c>
      <c r="K85" s="8" t="n">
        <f aca="false">K75-K69*(CEG_Assets!$N$3*(1+CEG_FuelAdj)+CEG_Assets!$O$3*(1+CEG_OMAdj)+CEG_Assets!$P$3*(1+CEG_CapexAdj))*(1+CEG_Assets!$Q$3)^(K$3-2026)/1000000</f>
        <v>337.847570536326</v>
      </c>
      <c r="L85" s="8" t="n">
        <f aca="false">L75-L69*(CEG_Assets!$N$3*(1+CEG_FuelAdj)+CEG_Assets!$O$3*(1+CEG_OMAdj)+CEG_Assets!$P$3*(1+CEG_CapexAdj))*(1+CEG_Assets!$Q$3)^(L$3-2026)/1000000</f>
        <v>330.281136799735</v>
      </c>
      <c r="M85" s="8" t="n">
        <f aca="false">M75-M69*(CEG_Assets!$N$3*(1+CEG_FuelAdj)+CEG_Assets!$O$3*(1+CEG_OMAdj)+CEG_Assets!$P$3*(1+CEG_CapexAdj))*(1+CEG_Assets!$Q$3)^(M$3-2026)/1000000</f>
        <v>322.525542219728</v>
      </c>
      <c r="N85" s="8" t="n">
        <f aca="false">N75-N69*(CEG_Assets!$N$3*(1+CEG_FuelAdj)+CEG_Assets!$O$3*(1+CEG_OMAdj)+CEG_Assets!$P$3*(1+CEG_CapexAdj))*(1+CEG_Assets!$Q$3)^(N$3-2026)/1000000</f>
        <v>314.576057775221</v>
      </c>
      <c r="O85" s="8" t="n">
        <f aca="false">O75-O69*(CEG_Assets!$N$3*(1+CEG_FuelAdj)+CEG_Assets!$O$3*(1+CEG_OMAdj)+CEG_Assets!$P$3*(1+CEG_CapexAdj))*(1+CEG_Assets!$Q$3)^(O$3-2026)/1000000</f>
        <v>306.427836219602</v>
      </c>
      <c r="P85" s="8" t="n">
        <f aca="false">P75-P69*(CEG_Assets!$N$3*(1+CEG_FuelAdj)+CEG_Assets!$O$3*(1+CEG_OMAdj)+CEG_Assets!$P$3*(1+CEG_CapexAdj))*(1+CEG_Assets!$Q$3)^(P$3-2026)/1000000</f>
        <v>298.075909125092</v>
      </c>
      <c r="Q85" s="8" t="n">
        <f aca="false">Q75-Q69*(CEG_Assets!$N$3*(1+CEG_FuelAdj)+CEG_Assets!$O$3*(1+CEG_OMAdj)+CEG_Assets!$P$3*(1+CEG_CapexAdj))*(1+CEG_Assets!$Q$3)^(Q$3-2026)/1000000</f>
        <v>289.515183853219</v>
      </c>
      <c r="R85" s="8" t="n">
        <f aca="false">R75-R69*(CEG_Assets!$N$3*(1+CEG_FuelAdj)+CEG_Assets!$O$3*(1+CEG_OMAdj)+CEG_Assets!$P$3*(1+CEG_CapexAdj))*(1+CEG_Assets!$Q$3)^(R$3-2026)/1000000</f>
        <v>280.74044044955</v>
      </c>
      <c r="S85" s="8" t="n">
        <f aca="false">S75-S69*(CEG_Assets!$N$3*(1+CEG_FuelAdj)+CEG_Assets!$O$3*(1+CEG_OMAdj)+CEG_Assets!$P$3*(1+CEG_CapexAdj))*(1+CEG_Assets!$Q$3)^(S$3-2026)/1000000</f>
        <v>271.746328460788</v>
      </c>
      <c r="T85" s="8" t="n">
        <f aca="false">T75-T69*(CEG_Assets!$N$3*(1+CEG_FuelAdj)+CEG_Assets!$O$3*(1+CEG_OMAdj)+CEG_Assets!$P$3*(1+CEG_CapexAdj))*(1+CEG_Assets!$Q$3)^(T$3-2026)/1000000</f>
        <v>262.527363672308</v>
      </c>
      <c r="U85" s="8" t="n">
        <f aca="false">U75-U69*(CEG_Assets!$N$3*(1+CEG_FuelAdj)+CEG_Assets!$O$3*(1+CEG_OMAdj)+CEG_Assets!$P$3*(1+CEG_CapexAdj))*(1+CEG_Assets!$Q$3)^(U$3-2026)/1000000</f>
        <v>253.077924764116</v>
      </c>
      <c r="V85" s="8" t="n">
        <f aca="false">V75-V69*(CEG_Assets!$N$3*(1+CEG_FuelAdj)+CEG_Assets!$O$3*(1+CEG_OMAdj)+CEG_Assets!$P$3*(1+CEG_CapexAdj))*(1+CEG_Assets!$Q$3)^(V$3-2026)/1000000</f>
        <v>243.392249883219</v>
      </c>
      <c r="W85" s="8" t="n">
        <f aca="false">W75-W69*(CEG_Assets!$N$3*(1+CEG_FuelAdj)+CEG_Assets!$O$3*(1+CEG_OMAdj)+CEG_Assets!$P$3*(1+CEG_CapexAdj))*(1+CEG_Assets!$Q$3)^(W$3-2026)/1000000</f>
        <v>233.464433130299</v>
      </c>
      <c r="X85" s="8" t="n">
        <f aca="false">X75-X69*(CEG_Assets!$N$3*(1+CEG_FuelAdj)+CEG_Assets!$O$3*(1+CEG_OMAdj)+CEG_Assets!$P$3*(1+CEG_CapexAdj))*(1+CEG_Assets!$Q$3)^(X$3-2026)/1000000</f>
        <v>223.288420958557</v>
      </c>
      <c r="Y85" s="8" t="n">
        <f aca="false">Y75-Y69*(CEG_Assets!$N$3*(1+CEG_FuelAdj)+CEG_Assets!$O$3*(1+CEG_OMAdj)+CEG_Assets!$P$3*(1+CEG_CapexAdj))*(1+CEG_Assets!$Q$3)^(Y$3-2026)/1000000</f>
        <v>212.858008482521</v>
      </c>
      <c r="Z85" s="8" t="n">
        <f aca="false">Z75-Z69*(CEG_Assets!$N$3*(1+CEG_FuelAdj)+CEG_Assets!$O$3*(1+CEG_OMAdj)+CEG_Assets!$P$3*(1+CEG_CapexAdj))*(1+CEG_Assets!$Q$3)^(Z$3-2026)/1000000</f>
        <v>202.166835694584</v>
      </c>
      <c r="AA85" s="8" t="n">
        <f aca="false">AA75-AA69*(CEG_Assets!$N$3*(1+CEG_FuelAdj)+CEG_Assets!$O$3*(1+CEG_OMAdj)+CEG_Assets!$P$3*(1+CEG_CapexAdj))*(1+CEG_Assets!$Q$3)^(AA$3-2026)/1000000</f>
        <v>0</v>
      </c>
      <c r="AB85" s="8" t="n">
        <f aca="false">AB75-AB69*(CEG_Assets!$N$3*(1+CEG_FuelAdj)+CEG_Assets!$O$3*(1+CEG_OMAdj)+CEG_Assets!$P$3*(1+CEG_CapexAdj))*(1+CEG_Assets!$Q$3)^(AB$3-2026)/1000000</f>
        <v>0</v>
      </c>
      <c r="AC85" s="8" t="n">
        <f aca="false">AC75-AC69*(CEG_Assets!$N$3*(1+CEG_FuelAdj)+CEG_Assets!$O$3*(1+CEG_OMAdj)+CEG_Assets!$P$3*(1+CEG_CapexAdj))*(1+CEG_Assets!$Q$3)^(AC$3-2026)/1000000</f>
        <v>0</v>
      </c>
      <c r="AD85" s="8" t="n">
        <f aca="false">AD75-AD69*(CEG_Assets!$N$3*(1+CEG_FuelAdj)+CEG_Assets!$O$3*(1+CEG_OMAdj)+CEG_Assets!$P$3*(1+CEG_CapexAdj))*(1+CEG_Assets!$Q$3)^(AD$3-2026)/1000000</f>
        <v>0</v>
      </c>
      <c r="AE85" s="8" t="n">
        <f aca="false">AE75-AE69*(CEG_Assets!$N$3*(1+CEG_FuelAdj)+CEG_Assets!$O$3*(1+CEG_OMAdj)+CEG_Assets!$P$3*(1+CEG_CapexAdj))*(1+CEG_Assets!$Q$3)^(AE$3-2026)/1000000</f>
        <v>0</v>
      </c>
      <c r="AF85" s="8" t="n">
        <f aca="false">AF75-AF69*(CEG_Assets!$N$3*(1+CEG_FuelAdj)+CEG_Assets!$O$3*(1+CEG_OMAdj)+CEG_Assets!$P$3*(1+CEG_CapexAdj))*(1+CEG_Assets!$Q$3)^(AF$3-2026)/1000000</f>
        <v>0</v>
      </c>
      <c r="AG85" s="8" t="n">
        <f aca="false">AG75-AG69*(CEG_Assets!$N$3*(1+CEG_FuelAdj)+CEG_Assets!$O$3*(1+CEG_OMAdj)+CEG_Assets!$P$3*(1+CEG_CapexAdj))*(1+CEG_Assets!$Q$3)^(AG$3-2026)/1000000</f>
        <v>0</v>
      </c>
      <c r="AH85" s="8" t="n">
        <f aca="false">AH75-AH69*(CEG_Assets!$N$3*(1+CEG_FuelAdj)+CEG_Assets!$O$3*(1+CEG_OMAdj)+CEG_Assets!$P$3*(1+CEG_CapexAdj))*(1+CEG_Assets!$Q$3)^(AH$3-2026)/1000000</f>
        <v>0</v>
      </c>
      <c r="AI85" s="8" t="n">
        <f aca="false">AI75-AI69*(CEG_Assets!$N$3*(1+CEG_FuelAdj)+CEG_Assets!$O$3*(1+CEG_OMAdj)+CEG_Assets!$P$3*(1+CEG_CapexAdj))*(1+CEG_Assets!$Q$3)^(AI$3-2026)/1000000</f>
        <v>0</v>
      </c>
      <c r="AJ85" s="8" t="n">
        <f aca="false">AJ75-AJ69*(CEG_Assets!$N$3*(1+CEG_FuelAdj)+CEG_Assets!$O$3*(1+CEG_OMAdj)+CEG_Assets!$P$3*(1+CEG_CapexAdj))*(1+CEG_Assets!$Q$3)^(AJ$3-2026)/1000000</f>
        <v>0</v>
      </c>
      <c r="AK85" s="8" t="n">
        <f aca="false">AK75-AK69*(CEG_Assets!$N$3*(1+CEG_FuelAdj)+CEG_Assets!$O$3*(1+CEG_OMAdj)+CEG_Assets!$P$3*(1+CEG_CapexAdj))*(1+CEG_Assets!$Q$3)^(AK$3-2026)/1000000</f>
        <v>0</v>
      </c>
      <c r="AL85" s="8" t="n">
        <f aca="false">AL75-AL69*(CEG_Assets!$N$3*(1+CEG_FuelAdj)+CEG_Assets!$O$3*(1+CEG_OMAdj)+CEG_Assets!$P$3*(1+CEG_CapexAdj))*(1+CEG_Assets!$Q$3)^(AL$3-2026)/1000000</f>
        <v>0</v>
      </c>
      <c r="AM85" s="8" t="n">
        <f aca="false">AM75-AM69*(CEG_Assets!$N$3*(1+CEG_FuelAdj)+CEG_Assets!$O$3*(1+CEG_OMAdj)+CEG_Assets!$P$3*(1+CEG_CapexAdj))*(1+CEG_Assets!$Q$3)^(AM$3-2026)/1000000</f>
        <v>0</v>
      </c>
      <c r="AN85" s="8" t="n">
        <f aca="false">AN75-AN69*(CEG_Assets!$N$3*(1+CEG_FuelAdj)+CEG_Assets!$O$3*(1+CEG_OMAdj)+CEG_Assets!$P$3*(1+CEG_CapexAdj))*(1+CEG_Assets!$Q$3)^(AN$3-2026)/1000000</f>
        <v>0</v>
      </c>
      <c r="AO85" s="8" t="n">
        <f aca="false">AO75-AO69*(CEG_Assets!$N$3*(1+CEG_FuelAdj)+CEG_Assets!$O$3*(1+CEG_OMAdj)+CEG_Assets!$P$3*(1+CEG_CapexAdj))*(1+CEG_Assets!$Q$3)^(AO$3-2026)/1000000</f>
        <v>0</v>
      </c>
      <c r="AP85" s="8" t="n">
        <f aca="false">AP75-AP69*(CEG_Assets!$N$3*(1+CEG_FuelAdj)+CEG_Assets!$O$3*(1+CEG_OMAdj)+CEG_Assets!$P$3*(1+CEG_CapexAdj))*(1+CEG_Assets!$Q$3)^(AP$3-2026)/1000000</f>
        <v>0</v>
      </c>
      <c r="AQ85" s="8" t="n">
        <f aca="false">AQ75-AQ69*(CEG_Assets!$N$3*(1+CEG_FuelAdj)+CEG_Assets!$O$3*(1+CEG_OMAdj)+CEG_Assets!$P$3*(1+CEG_CapexAdj))*(1+CEG_Assets!$Q$3)^(AQ$3-2026)/1000000</f>
        <v>0</v>
      </c>
      <c r="AR85" s="8" t="n">
        <f aca="false">AR75-AR69*(CEG_Assets!$N$3*(1+CEG_FuelAdj)+CEG_Assets!$O$3*(1+CEG_OMAdj)+CEG_Assets!$P$3*(1+CEG_CapexAdj))*(1+CEG_Assets!$Q$3)^(AR$3-2026)/1000000</f>
        <v>0</v>
      </c>
      <c r="AS85" s="8" t="n">
        <f aca="false">AS75-AS69*(CEG_Assets!$N$3*(1+CEG_FuelAdj)+CEG_Assets!$O$3*(1+CEG_OMAdj)+CEG_Assets!$P$3*(1+CEG_CapexAdj))*(1+CEG_Assets!$Q$3)^(AS$3-2026)/1000000</f>
        <v>0</v>
      </c>
    </row>
    <row r="86" customFormat="false" ht="15" hidden="false" customHeight="false" outlineLevel="0" collapsed="false">
      <c r="A86" s="6" t="s">
        <v>465</v>
      </c>
      <c r="B86" s="6" t="s">
        <v>466</v>
      </c>
      <c r="G86" s="8" t="n">
        <f aca="false">G83-G85</f>
        <v>2938.000976414</v>
      </c>
      <c r="H86" s="8" t="n">
        <f aca="false">H83-H85</f>
        <v>2922.54938179225</v>
      </c>
      <c r="I86" s="8" t="n">
        <f aca="false">I83-I85</f>
        <v>2295.1578169259</v>
      </c>
      <c r="J86" s="8" t="n">
        <f aca="false">J83-J85</f>
        <v>2013.75817378543</v>
      </c>
      <c r="K86" s="8" t="n">
        <f aca="false">K83-K85</f>
        <v>2038.98070768548</v>
      </c>
      <c r="L86" s="8" t="n">
        <f aca="false">L83-L85</f>
        <v>2064.33137652414</v>
      </c>
      <c r="M86" s="8" t="n">
        <f aca="false">M83-M85</f>
        <v>2089.8033351067</v>
      </c>
      <c r="N86" s="8" t="n">
        <f aca="false">N83-N85</f>
        <v>2115.38936613721</v>
      </c>
      <c r="O86" s="8" t="n">
        <f aca="false">O83-O85</f>
        <v>2141.08186689654</v>
      </c>
      <c r="P86" s="8" t="n">
        <f aca="false">P83-P85</f>
        <v>2166.87283550697</v>
      </c>
      <c r="Q86" s="8" t="n">
        <f aca="false">Q83-Q85</f>
        <v>2192.75385677142</v>
      </c>
      <c r="R86" s="8" t="n">
        <f aca="false">R83-R85</f>
        <v>2218.71608757502</v>
      </c>
      <c r="S86" s="8" t="n">
        <f aca="false">S83-S85</f>
        <v>2244.75024183639</v>
      </c>
      <c r="T86" s="8" t="n">
        <f aca="false">T83-T85</f>
        <v>2270.84657499574</v>
      </c>
      <c r="U86" s="8" t="n">
        <f aca="false">U83-U85</f>
        <v>2296.99486802634</v>
      </c>
      <c r="V86" s="8" t="n">
        <f aca="false">V83-V85</f>
        <v>2323.18441095582</v>
      </c>
      <c r="W86" s="8" t="n">
        <f aca="false">W83-W85</f>
        <v>2349.40398588312</v>
      </c>
      <c r="X86" s="8" t="n">
        <f aca="false">X83-X85</f>
        <v>2375.64184947666</v>
      </c>
      <c r="Y86" s="8" t="n">
        <f aca="false">Y83-Y85</f>
        <v>2401.88571493898</v>
      </c>
      <c r="Z86" s="8" t="n">
        <f aca="false">Z83-Z85</f>
        <v>2428.12273342235</v>
      </c>
      <c r="AA86" s="8" t="n">
        <f aca="false">AA83-AA85</f>
        <v>2695.06360248018</v>
      </c>
      <c r="AB86" s="8" t="n">
        <f aca="false">AB83-AB85</f>
        <v>2723.81403580667</v>
      </c>
      <c r="AC86" s="8" t="n">
        <f aca="false">AC83-AC85</f>
        <v>2752.5107068316</v>
      </c>
      <c r="AD86" s="8" t="n">
        <f aca="false">AD83-AD85</f>
        <v>2781.13682103475</v>
      </c>
      <c r="AE86" s="8" t="n">
        <f aca="false">AE83-AE85</f>
        <v>2809.67485502363</v>
      </c>
      <c r="AF86" s="8" t="n">
        <f aca="false">AF83-AF85</f>
        <v>2838.1065321315</v>
      </c>
      <c r="AG86" s="8" t="n">
        <f aca="false">AG83-AG85</f>
        <v>2866.4127972817</v>
      </c>
      <c r="AH86" s="8" t="n">
        <f aca="false">AH83-AH85</f>
        <v>2894.57379109759</v>
      </c>
      <c r="AI86" s="8" t="n">
        <f aca="false">AI83-AI85</f>
        <v>2922.56882323656</v>
      </c>
      <c r="AJ86" s="8" t="n">
        <f aca="false">AJ83-AJ85</f>
        <v>0</v>
      </c>
      <c r="AK86" s="8" t="n">
        <f aca="false">AK83-AK85</f>
        <v>0</v>
      </c>
      <c r="AL86" s="8" t="n">
        <f aca="false">AL83-AL85</f>
        <v>0</v>
      </c>
      <c r="AM86" s="8" t="n">
        <f aca="false">AM83-AM85</f>
        <v>0</v>
      </c>
      <c r="AN86" s="8" t="n">
        <f aca="false">AN83-AN85</f>
        <v>0</v>
      </c>
      <c r="AO86" s="8" t="n">
        <f aca="false">AO83-AO85</f>
        <v>0</v>
      </c>
      <c r="AP86" s="8" t="n">
        <f aca="false">AP83-AP85</f>
        <v>0</v>
      </c>
      <c r="AQ86" s="8" t="n">
        <f aca="false">AQ83-AQ85</f>
        <v>0</v>
      </c>
      <c r="AR86" s="8" t="n">
        <f aca="false">AR83-AR85</f>
        <v>0</v>
      </c>
      <c r="AS86" s="8" t="n">
        <f aca="false">AS83-AS85</f>
        <v>0</v>
      </c>
    </row>
    <row r="87" customFormat="false" ht="15" hidden="false" customHeight="false" outlineLevel="0" collapsed="false">
      <c r="A87" s="6" t="s">
        <v>467</v>
      </c>
      <c r="B87" s="6" t="s">
        <v>468</v>
      </c>
      <c r="G87" s="8" t="n">
        <f aca="false">G86*(1-TaxRate)+G84</f>
        <v>2350.4007811312</v>
      </c>
      <c r="H87" s="8" t="n">
        <f aca="false">H86*(1-TaxRate)+H84</f>
        <v>2338.0395054338</v>
      </c>
      <c r="I87" s="8" t="n">
        <f aca="false">I86*(1-TaxRate)+I84</f>
        <v>1836.12625354072</v>
      </c>
      <c r="J87" s="8" t="n">
        <f aca="false">J86*(1-TaxRate)+J84</f>
        <v>1611.00653902835</v>
      </c>
      <c r="K87" s="8" t="n">
        <f aca="false">K86*(1-TaxRate)+K84</f>
        <v>1631.18456614839</v>
      </c>
      <c r="L87" s="8" t="n">
        <f aca="false">L86*(1-TaxRate)+L84</f>
        <v>1651.46510121931</v>
      </c>
      <c r="M87" s="8" t="n">
        <f aca="false">M86*(1-TaxRate)+M84</f>
        <v>1671.84266808536</v>
      </c>
      <c r="N87" s="8" t="n">
        <f aca="false">N86*(1-TaxRate)+N84</f>
        <v>1692.31149290977</v>
      </c>
      <c r="O87" s="8" t="n">
        <f aca="false">O86*(1-TaxRate)+O84</f>
        <v>1712.86549351723</v>
      </c>
      <c r="P87" s="8" t="n">
        <f aca="false">P86*(1-TaxRate)+P84</f>
        <v>1733.49826840558</v>
      </c>
      <c r="Q87" s="8" t="n">
        <f aca="false">Q86*(1-TaxRate)+Q84</f>
        <v>1754.20308541714</v>
      </c>
      <c r="R87" s="8" t="n">
        <f aca="false">R86*(1-TaxRate)+R84</f>
        <v>1774.97287006001</v>
      </c>
      <c r="S87" s="8" t="n">
        <f aca="false">S86*(1-TaxRate)+S84</f>
        <v>1795.80019346912</v>
      </c>
      <c r="T87" s="8" t="n">
        <f aca="false">T86*(1-TaxRate)+T84</f>
        <v>1816.67725999659</v>
      </c>
      <c r="U87" s="8" t="n">
        <f aca="false">U86*(1-TaxRate)+U84</f>
        <v>1837.59589442108</v>
      </c>
      <c r="V87" s="8" t="n">
        <f aca="false">V86*(1-TaxRate)+V84</f>
        <v>1858.54752876466</v>
      </c>
      <c r="W87" s="8" t="n">
        <f aca="false">W86*(1-TaxRate)+W84</f>
        <v>1879.5231887065</v>
      </c>
      <c r="X87" s="8" t="n">
        <f aca="false">X86*(1-TaxRate)+X84</f>
        <v>1900.51347958133</v>
      </c>
      <c r="Y87" s="8" t="n">
        <f aca="false">Y86*(1-TaxRate)+Y84</f>
        <v>1921.50857195118</v>
      </c>
      <c r="Z87" s="8" t="n">
        <f aca="false">Z86*(1-TaxRate)+Z84</f>
        <v>1942.49818673788</v>
      </c>
      <c r="AA87" s="8" t="n">
        <f aca="false">AA86*(1-TaxRate)+AA84</f>
        <v>2156.05088198415</v>
      </c>
      <c r="AB87" s="8" t="n">
        <f aca="false">AB86*(1-TaxRate)+AB84</f>
        <v>2179.05122864533</v>
      </c>
      <c r="AC87" s="8" t="n">
        <f aca="false">AC86*(1-TaxRate)+AC84</f>
        <v>2202.00856546528</v>
      </c>
      <c r="AD87" s="8" t="n">
        <f aca="false">AD86*(1-TaxRate)+AD84</f>
        <v>2224.9094568278</v>
      </c>
      <c r="AE87" s="8" t="n">
        <f aca="false">AE86*(1-TaxRate)+AE84</f>
        <v>2247.73988401891</v>
      </c>
      <c r="AF87" s="8" t="n">
        <f aca="false">AF86*(1-TaxRate)+AF84</f>
        <v>2270.4852257052</v>
      </c>
      <c r="AG87" s="8" t="n">
        <f aca="false">AG86*(1-TaxRate)+AG84</f>
        <v>2293.13023782536</v>
      </c>
      <c r="AH87" s="8" t="n">
        <f aca="false">AH86*(1-TaxRate)+AH84</f>
        <v>2315.65903287807</v>
      </c>
      <c r="AI87" s="8" t="n">
        <f aca="false">AI86*(1-TaxRate)+AI84</f>
        <v>2338.05505858925</v>
      </c>
      <c r="AJ87" s="8" t="n">
        <f aca="false">AJ86*(1-TaxRate)+AJ84</f>
        <v>0</v>
      </c>
      <c r="AK87" s="8" t="n">
        <f aca="false">AK86*(1-TaxRate)+AK84</f>
        <v>0</v>
      </c>
      <c r="AL87" s="8" t="n">
        <f aca="false">AL86*(1-TaxRate)+AL84</f>
        <v>0</v>
      </c>
      <c r="AM87" s="8" t="n">
        <f aca="false">AM86*(1-TaxRate)+AM84</f>
        <v>0</v>
      </c>
      <c r="AN87" s="8" t="n">
        <f aca="false">AN86*(1-TaxRate)+AN84</f>
        <v>0</v>
      </c>
      <c r="AO87" s="8" t="n">
        <f aca="false">AO86*(1-TaxRate)+AO84</f>
        <v>0</v>
      </c>
      <c r="AP87" s="8" t="n">
        <f aca="false">AP86*(1-TaxRate)+AP84</f>
        <v>0</v>
      </c>
      <c r="AQ87" s="8" t="n">
        <f aca="false">AQ86*(1-TaxRate)+AQ84</f>
        <v>0</v>
      </c>
      <c r="AR87" s="8" t="n">
        <f aca="false">AR86*(1-TaxRate)+AR84</f>
        <v>0</v>
      </c>
      <c r="AS87" s="8" t="n">
        <f aca="false">AS86*(1-TaxRate)+AS84</f>
        <v>0</v>
      </c>
    </row>
    <row r="88" customFormat="false" ht="15" hidden="false" customHeight="false" outlineLevel="0" collapsed="false">
      <c r="A88" s="6" t="s">
        <v>469</v>
      </c>
      <c r="B88" s="6" t="s">
        <v>470</v>
      </c>
      <c r="G88" s="8" t="n">
        <f aca="false">G85*(1-TaxRate)</f>
        <v>293.04983928</v>
      </c>
      <c r="H88" s="8" t="n">
        <f aca="false">H85*(1-TaxRate)</f>
        <v>287.565986862</v>
      </c>
      <c r="I88" s="8" t="n">
        <f aca="false">I85*(1-TaxRate)</f>
        <v>281.94503813355</v>
      </c>
      <c r="J88" s="8" t="n">
        <f aca="false">J85*(1-TaxRate)</f>
        <v>276.183565686889</v>
      </c>
      <c r="K88" s="8" t="n">
        <f aca="false">K85*(1-TaxRate)</f>
        <v>270.278056429061</v>
      </c>
      <c r="L88" s="8" t="n">
        <f aca="false">L85*(1-TaxRate)</f>
        <v>264.224909439788</v>
      </c>
      <c r="M88" s="8" t="n">
        <f aca="false">M85*(1-TaxRate)</f>
        <v>258.020433775782</v>
      </c>
      <c r="N88" s="8" t="n">
        <f aca="false">N85*(1-TaxRate)</f>
        <v>251.660846220177</v>
      </c>
      <c r="O88" s="8" t="n">
        <f aca="false">O85*(1-TaxRate)</f>
        <v>245.142268975681</v>
      </c>
      <c r="P88" s="8" t="n">
        <f aca="false">P85*(1-TaxRate)</f>
        <v>238.460727300073</v>
      </c>
      <c r="Q88" s="8" t="n">
        <f aca="false">Q85*(1-TaxRate)</f>
        <v>231.612147082575</v>
      </c>
      <c r="R88" s="8" t="n">
        <f aca="false">R85*(1-TaxRate)</f>
        <v>224.59235235964</v>
      </c>
      <c r="S88" s="8" t="n">
        <f aca="false">S85*(1-TaxRate)</f>
        <v>217.397062768631</v>
      </c>
      <c r="T88" s="8" t="n">
        <f aca="false">T85*(1-TaxRate)</f>
        <v>210.021890937846</v>
      </c>
      <c r="U88" s="8" t="n">
        <f aca="false">U85*(1-TaxRate)</f>
        <v>202.462339811293</v>
      </c>
      <c r="V88" s="8" t="n">
        <f aca="false">V85*(1-TaxRate)</f>
        <v>194.713799906575</v>
      </c>
      <c r="W88" s="8" t="n">
        <f aca="false">W85*(1-TaxRate)</f>
        <v>186.771546504239</v>
      </c>
      <c r="X88" s="8" t="n">
        <f aca="false">X85*(1-TaxRate)</f>
        <v>178.630736766845</v>
      </c>
      <c r="Y88" s="8" t="n">
        <f aca="false">Y85*(1-TaxRate)</f>
        <v>170.286406786017</v>
      </c>
      <c r="Z88" s="8" t="n">
        <f aca="false">Z85*(1-TaxRate)</f>
        <v>161.733468555667</v>
      </c>
      <c r="AA88" s="8" t="n">
        <f aca="false">AA85*(1-TaxRate)</f>
        <v>0</v>
      </c>
      <c r="AB88" s="8" t="n">
        <f aca="false">AB85*(1-TaxRate)</f>
        <v>0</v>
      </c>
      <c r="AC88" s="8" t="n">
        <f aca="false">AC85*(1-TaxRate)</f>
        <v>0</v>
      </c>
      <c r="AD88" s="8" t="n">
        <f aca="false">AD85*(1-TaxRate)</f>
        <v>0</v>
      </c>
      <c r="AE88" s="8" t="n">
        <f aca="false">AE85*(1-TaxRate)</f>
        <v>0</v>
      </c>
      <c r="AF88" s="8" t="n">
        <f aca="false">AF85*(1-TaxRate)</f>
        <v>0</v>
      </c>
      <c r="AG88" s="8" t="n">
        <f aca="false">AG85*(1-TaxRate)</f>
        <v>0</v>
      </c>
      <c r="AH88" s="8" t="n">
        <f aca="false">AH85*(1-TaxRate)</f>
        <v>0</v>
      </c>
      <c r="AI88" s="8" t="n">
        <f aca="false">AI85*(1-TaxRate)</f>
        <v>0</v>
      </c>
      <c r="AJ88" s="8" t="n">
        <f aca="false">AJ85*(1-TaxRate)</f>
        <v>0</v>
      </c>
      <c r="AK88" s="8" t="n">
        <f aca="false">AK85*(1-TaxRate)</f>
        <v>0</v>
      </c>
      <c r="AL88" s="8" t="n">
        <f aca="false">AL85*(1-TaxRate)</f>
        <v>0</v>
      </c>
      <c r="AM88" s="8" t="n">
        <f aca="false">AM85*(1-TaxRate)</f>
        <v>0</v>
      </c>
      <c r="AN88" s="8" t="n">
        <f aca="false">AN85*(1-TaxRate)</f>
        <v>0</v>
      </c>
      <c r="AO88" s="8" t="n">
        <f aca="false">AO85*(1-TaxRate)</f>
        <v>0</v>
      </c>
      <c r="AP88" s="8" t="n">
        <f aca="false">AP85*(1-TaxRate)</f>
        <v>0</v>
      </c>
      <c r="AQ88" s="8" t="n">
        <f aca="false">AQ85*(1-TaxRate)</f>
        <v>0</v>
      </c>
      <c r="AR88" s="8" t="n">
        <f aca="false">AR85*(1-TaxRate)</f>
        <v>0</v>
      </c>
      <c r="AS88" s="8" t="n">
        <f aca="false">AS85*(1-TaxRate)</f>
        <v>0</v>
      </c>
    </row>
    <row r="89" customFormat="false" ht="15" hidden="false" customHeight="false" outlineLevel="0" collapsed="false">
      <c r="A89" s="6" t="s">
        <v>471</v>
      </c>
      <c r="B89" s="6" t="s">
        <v>472</v>
      </c>
      <c r="G89" s="42" t="n">
        <f aca="false">(1+CEG_Assets!$AE$3)^-(G$3+0.5-ValDate)</f>
        <v>0.943913469359513</v>
      </c>
      <c r="H89" s="42" t="n">
        <f aca="false">(1+CEG_Assets!$AE$3)^-(H$3+0.5-ValDate)</f>
        <v>0.87399395311066</v>
      </c>
      <c r="I89" s="42" t="n">
        <f aca="false">(1+CEG_Assets!$AE$3)^-(I$3+0.5-ValDate)</f>
        <v>0.809253660287648</v>
      </c>
      <c r="J89" s="42" t="n">
        <f aca="false">(1+CEG_Assets!$AE$3)^-(J$3+0.5-ValDate)</f>
        <v>0.749308944710785</v>
      </c>
      <c r="K89" s="42" t="n">
        <f aca="false">(1+CEG_Assets!$AE$3)^-(K$3+0.5-ValDate)</f>
        <v>0.693804578435912</v>
      </c>
      <c r="L89" s="42" t="n">
        <f aca="false">(1+CEG_Assets!$AE$3)^-(L$3+0.5-ValDate)</f>
        <v>0.642411646699918</v>
      </c>
      <c r="M89" s="42" t="n">
        <f aca="false">(1+CEG_Assets!$AE$3)^-(M$3+0.5-ValDate)</f>
        <v>0.594825598796221</v>
      </c>
      <c r="N89" s="42" t="n">
        <f aca="false">(1+CEG_Assets!$AE$3)^-(N$3+0.5-ValDate)</f>
        <v>0.550764443329834</v>
      </c>
      <c r="O89" s="42" t="n">
        <f aca="false">(1+CEG_Assets!$AE$3)^-(O$3+0.5-ValDate)</f>
        <v>0.509967077157254</v>
      </c>
      <c r="P89" s="42" t="n">
        <f aca="false">(1+CEG_Assets!$AE$3)^-(P$3+0.5-ValDate)</f>
        <v>0.472191738108568</v>
      </c>
      <c r="Q89" s="42" t="n">
        <f aca="false">(1+CEG_Assets!$AE$3)^-(Q$3+0.5-ValDate)</f>
        <v>0.437214572322748</v>
      </c>
      <c r="R89" s="42" t="n">
        <f aca="false">(1+CEG_Assets!$AE$3)^-(R$3+0.5-ValDate)</f>
        <v>0.404828307706248</v>
      </c>
      <c r="S89" s="42" t="n">
        <f aca="false">(1+CEG_Assets!$AE$3)^-(S$3+0.5-ValDate)</f>
        <v>0.374841025653934</v>
      </c>
      <c r="T89" s="42" t="n">
        <f aca="false">(1+CEG_Assets!$AE$3)^-(T$3+0.5-ValDate)</f>
        <v>0.347075023753642</v>
      </c>
      <c r="U89" s="42" t="n">
        <f aca="false">(1+CEG_Assets!$AE$3)^-(U$3+0.5-ValDate)</f>
        <v>0.321365762734854</v>
      </c>
      <c r="V89" s="42" t="n">
        <f aca="false">(1+CEG_Assets!$AE$3)^-(V$3+0.5-ValDate)</f>
        <v>0.297560891421161</v>
      </c>
      <c r="W89" s="42" t="n">
        <f aca="false">(1+CEG_Assets!$AE$3)^-(W$3+0.5-ValDate)</f>
        <v>0.275519343908482</v>
      </c>
      <c r="X89" s="42" t="n">
        <f aca="false">(1+CEG_Assets!$AE$3)^-(X$3+0.5-ValDate)</f>
        <v>0.255110503618965</v>
      </c>
      <c r="Y89" s="42" t="n">
        <f aca="false">(1+CEG_Assets!$AE$3)^-(Y$3+0.5-ValDate)</f>
        <v>0.23621342927682</v>
      </c>
      <c r="Z89" s="42" t="n">
        <f aca="false">(1+CEG_Assets!$AE$3)^-(Z$3+0.5-ValDate)</f>
        <v>0.218716138219277</v>
      </c>
      <c r="AA89" s="42" t="n">
        <f aca="false">(1+CEG_Assets!$AE$3)^-(AA$3+0.5-ValDate)</f>
        <v>0.202514942795627</v>
      </c>
      <c r="AB89" s="42" t="n">
        <f aca="false">(1+CEG_Assets!$AE$3)^-(AB$3+0.5-ValDate)</f>
        <v>0.187513835921877</v>
      </c>
      <c r="AC89" s="42" t="n">
        <f aca="false">(1+CEG_Assets!$AE$3)^-(AC$3+0.5-ValDate)</f>
        <v>0.173623922149886</v>
      </c>
      <c r="AD89" s="42" t="n">
        <f aca="false">(1+CEG_Assets!$AE$3)^-(AD$3+0.5-ValDate)</f>
        <v>0.160762890879524</v>
      </c>
      <c r="AE89" s="42" t="n">
        <f aca="false">(1+CEG_Assets!$AE$3)^-(AE$3+0.5-ValDate)</f>
        <v>0.148854528592152</v>
      </c>
      <c r="AF89" s="42" t="n">
        <f aca="false">(1+CEG_Assets!$AE$3)^-(AF$3+0.5-ValDate)</f>
        <v>0.137828267214956</v>
      </c>
      <c r="AG89" s="42" t="n">
        <f aca="false">(1+CEG_Assets!$AE$3)^-(AG$3+0.5-ValDate)</f>
        <v>0.127618765939774</v>
      </c>
      <c r="AH89" s="42" t="n">
        <f aca="false">(1+CEG_Assets!$AE$3)^-(AH$3+0.5-ValDate)</f>
        <v>0.118165524018309</v>
      </c>
      <c r="AI89" s="42" t="n">
        <f aca="false">(1+CEG_Assets!$AE$3)^-(AI$3+0.5-ValDate)</f>
        <v>0.109412522239175</v>
      </c>
      <c r="AJ89" s="42" t="n">
        <f aca="false">(1+CEG_Assets!$AE$3)^-(AJ$3+0.5-ValDate)</f>
        <v>0.101307890962199</v>
      </c>
      <c r="AK89" s="42" t="n">
        <f aca="false">(1+CEG_Assets!$AE$3)^-(AK$3+0.5-ValDate)</f>
        <v>0.0938036027427768</v>
      </c>
      <c r="AL89" s="42" t="n">
        <f aca="false">(1+CEG_Assets!$AE$3)^-(AL$3+0.5-ValDate)</f>
        <v>0.0868551877247934</v>
      </c>
      <c r="AM89" s="42" t="n">
        <f aca="false">(1+CEG_Assets!$AE$3)^-(AM$3+0.5-ValDate)</f>
        <v>0.0804214701155494</v>
      </c>
      <c r="AN89" s="42" t="n">
        <f aca="false">(1+CEG_Assets!$AE$3)^-(AN$3+0.5-ValDate)</f>
        <v>0.0744643241810643</v>
      </c>
      <c r="AO89" s="42" t="n">
        <f aca="false">(1+CEG_Assets!$AE$3)^-(AO$3+0.5-ValDate)</f>
        <v>0.0689484483158002</v>
      </c>
      <c r="AP89" s="42" t="n">
        <f aca="false">(1+CEG_Assets!$AE$3)^-(AP$3+0.5-ValDate)</f>
        <v>0.0638411558479632</v>
      </c>
      <c r="AQ89" s="42" t="n">
        <f aca="false">(1+CEG_Assets!$AE$3)^-(AQ$3+0.5-ValDate)</f>
        <v>0.0591121813407066</v>
      </c>
      <c r="AR89" s="42" t="n">
        <f aca="false">(1+CEG_Assets!$AE$3)^-(AR$3+0.5-ValDate)</f>
        <v>0.054733501241395</v>
      </c>
      <c r="AS89" s="42" t="n">
        <f aca="false">(1+CEG_Assets!$AE$3)^-(AS$3+0.5-ValDate)</f>
        <v>0.0506791678161065</v>
      </c>
    </row>
    <row r="90" customFormat="false" ht="15" hidden="false" customHeight="false" outlineLevel="0" collapsed="false">
      <c r="A90" s="6" t="s">
        <v>473</v>
      </c>
      <c r="B90" s="6" t="s">
        <v>474</v>
      </c>
      <c r="G90" s="42" t="n">
        <f aca="false">(1+CEG_Assets!$AF$3)^-(G$3+0.5-ValDate)</f>
        <v>0.952191032823687</v>
      </c>
      <c r="H90" s="42" t="n">
        <f aca="false">(1+CEG_Assets!$AF$3)^-(H$3+0.5-ValDate)</f>
        <v>0.891982232153337</v>
      </c>
      <c r="I90" s="42" t="n">
        <f aca="false">(1+CEG_Assets!$AF$3)^-(I$3+0.5-ValDate)</f>
        <v>0.835580545342705</v>
      </c>
      <c r="J90" s="42" t="n">
        <f aca="false">(1+CEG_Assets!$AF$3)^-(J$3+0.5-ValDate)</f>
        <v>0.782745241538834</v>
      </c>
      <c r="K90" s="42" t="n">
        <f aca="false">(1+CEG_Assets!$AF$3)^-(K$3+0.5-ValDate)</f>
        <v>0.73325081174598</v>
      </c>
      <c r="L90" s="42" t="n">
        <f aca="false">(1+CEG_Assets!$AF$3)^-(L$3+0.5-ValDate)</f>
        <v>0.686886006319419</v>
      </c>
      <c r="M90" s="42" t="n">
        <f aca="false">(1+CEG_Assets!$AF$3)^-(M$3+0.5-ValDate)</f>
        <v>0.643452933320299</v>
      </c>
      <c r="N90" s="42" t="n">
        <f aca="false">(1+CEG_Assets!$AF$3)^-(N$3+0.5-ValDate)</f>
        <v>0.602766213883184</v>
      </c>
      <c r="O90" s="42" t="n">
        <f aca="false">(1+CEG_Assets!$AF$3)^-(O$3+0.5-ValDate)</f>
        <v>0.564652190991273</v>
      </c>
      <c r="P90" s="42" t="n">
        <f aca="false">(1+CEG_Assets!$AF$3)^-(P$3+0.5-ValDate)</f>
        <v>0.528948188282223</v>
      </c>
      <c r="Q90" s="42" t="n">
        <f aca="false">(1+CEG_Assets!$AF$3)^-(Q$3+0.5-ValDate)</f>
        <v>0.495501815721052</v>
      </c>
      <c r="R90" s="42" t="n">
        <f aca="false">(1+CEG_Assets!$AF$3)^-(R$3+0.5-ValDate)</f>
        <v>0.46417031917663</v>
      </c>
      <c r="S90" s="42" t="n">
        <f aca="false">(1+CEG_Assets!$AF$3)^-(S$3+0.5-ValDate)</f>
        <v>0.434819971125649</v>
      </c>
      <c r="T90" s="42" t="n">
        <f aca="false">(1+CEG_Assets!$AF$3)^-(T$3+0.5-ValDate)</f>
        <v>0.407325499883512</v>
      </c>
      <c r="U90" s="42" t="n">
        <f aca="false">(1+CEG_Assets!$AF$3)^-(U$3+0.5-ValDate)</f>
        <v>0.381569554926006</v>
      </c>
      <c r="V90" s="42" t="n">
        <f aca="false">(1+CEG_Assets!$AF$3)^-(V$3+0.5-ValDate)</f>
        <v>0.357442206019678</v>
      </c>
      <c r="W90" s="42" t="n">
        <f aca="false">(1+CEG_Assets!$AF$3)^-(W$3+0.5-ValDate)</f>
        <v>0.334840474023118</v>
      </c>
      <c r="X90" s="42" t="n">
        <f aca="false">(1+CEG_Assets!$AF$3)^-(X$3+0.5-ValDate)</f>
        <v>0.313667891356551</v>
      </c>
      <c r="Y90" s="42" t="n">
        <f aca="false">(1+CEG_Assets!$AF$3)^-(Y$3+0.5-ValDate)</f>
        <v>0.293834090263748</v>
      </c>
      <c r="Z90" s="42" t="n">
        <f aca="false">(1+CEG_Assets!$AF$3)^-(Z$3+0.5-ValDate)</f>
        <v>0.275254417108897</v>
      </c>
      <c r="AA90" s="42" t="n">
        <f aca="false">(1+CEG_Assets!$AF$3)^-(AA$3+0.5-ValDate)</f>
        <v>0.257849571062199</v>
      </c>
      <c r="AB90" s="42" t="n">
        <f aca="false">(1+CEG_Assets!$AF$3)^-(AB$3+0.5-ValDate)</f>
        <v>0.241545265632036</v>
      </c>
      <c r="AC90" s="42" t="n">
        <f aca="false">(1+CEG_Assets!$AF$3)^-(AC$3+0.5-ValDate)</f>
        <v>0.226271911599097</v>
      </c>
      <c r="AD90" s="42" t="n">
        <f aca="false">(1+CEG_Assets!$AF$3)^-(AD$3+0.5-ValDate)</f>
        <v>0.211964319999154</v>
      </c>
      <c r="AE90" s="42" t="n">
        <f aca="false">(1+CEG_Assets!$AF$3)^-(AE$3+0.5-ValDate)</f>
        <v>0.198561423886796</v>
      </c>
      <c r="AF90" s="42" t="n">
        <f aca="false">(1+CEG_Assets!$AF$3)^-(AF$3+0.5-ValDate)</f>
        <v>0.186006017692549</v>
      </c>
      <c r="AG90" s="42" t="n">
        <f aca="false">(1+CEG_Assets!$AF$3)^-(AG$3+0.5-ValDate)</f>
        <v>0.174244513060936</v>
      </c>
      <c r="AH90" s="42" t="n">
        <f aca="false">(1+CEG_Assets!$AF$3)^-(AH$3+0.5-ValDate)</f>
        <v>0.16322671012734</v>
      </c>
      <c r="AI90" s="42" t="n">
        <f aca="false">(1+CEG_Assets!$AF$3)^-(AI$3+0.5-ValDate)</f>
        <v>0.152905583257461</v>
      </c>
      <c r="AJ90" s="42" t="n">
        <f aca="false">(1+CEG_Assets!$AF$3)^-(AJ$3+0.5-ValDate)</f>
        <v>0.143237080334859</v>
      </c>
      <c r="AK90" s="42" t="n">
        <f aca="false">(1+CEG_Assets!$AF$3)^-(AK$3+0.5-ValDate)</f>
        <v>0.134179934739914</v>
      </c>
      <c r="AL90" s="42" t="n">
        <f aca="false">(1+CEG_Assets!$AF$3)^-(AL$3+0.5-ValDate)</f>
        <v>0.125695489217718</v>
      </c>
      <c r="AM90" s="42" t="n">
        <f aca="false">(1+CEG_Assets!$AF$3)^-(AM$3+0.5-ValDate)</f>
        <v>0.117747530883109</v>
      </c>
      <c r="AN90" s="42" t="n">
        <f aca="false">(1+CEG_Assets!$AF$3)^-(AN$3+0.5-ValDate)</f>
        <v>0.11030213665865</v>
      </c>
      <c r="AO90" s="42" t="n">
        <f aca="false">(1+CEG_Assets!$AF$3)^-(AO$3+0.5-ValDate)</f>
        <v>0.103327528485855</v>
      </c>
      <c r="AP90" s="42" t="n">
        <f aca="false">(1+CEG_Assets!$AF$3)^-(AP$3+0.5-ValDate)</f>
        <v>0.096793937691667</v>
      </c>
      <c r="AQ90" s="42" t="n">
        <f aca="false">(1+CEG_Assets!$AF$3)^-(AQ$3+0.5-ValDate)</f>
        <v>0.090673477931304</v>
      </c>
      <c r="AR90" s="42" t="n">
        <f aca="false">(1+CEG_Assets!$AF$3)^-(AR$3+0.5-ValDate)</f>
        <v>0.084940026165156</v>
      </c>
      <c r="AS90" s="42" t="n">
        <f aca="false">(1+CEG_Assets!$AF$3)^-(AS$3+0.5-ValDate)</f>
        <v>0.0795691111617386</v>
      </c>
    </row>
    <row r="91" customFormat="false" ht="15" hidden="false" customHeight="false" outlineLevel="0" collapsed="false">
      <c r="A91" s="6" t="s">
        <v>475</v>
      </c>
      <c r="B91" s="6" t="s">
        <v>476</v>
      </c>
      <c r="C91" s="43" t="n">
        <f aca="false">SUM(G91:AS91)</f>
        <v>21635.2898491994</v>
      </c>
      <c r="D91" s="8" t="n">
        <f aca="false">SUMIF($G$3:$AS$3,"&lt;="&amp;Horizon,G91:AS91)</f>
        <v>6955.04084669541</v>
      </c>
      <c r="E91" s="8" t="n">
        <f aca="false">(C91-D91)*(1+CEG_Assets!$AE$3)^(Horizon+1-ValDate)</f>
        <v>20360.3098451575</v>
      </c>
      <c r="G91" s="8" t="n">
        <f aca="false">G87*G89</f>
        <v>2218.57495570286</v>
      </c>
      <c r="H91" s="8" t="n">
        <f aca="false">H87*H89</f>
        <v>2043.43238988298</v>
      </c>
      <c r="I91" s="8" t="n">
        <f aca="false">I87*I89</f>
        <v>1485.89189142807</v>
      </c>
      <c r="J91" s="8" t="n">
        <f aca="false">J87*J89</f>
        <v>1207.1416096815</v>
      </c>
      <c r="K91" s="8" t="n">
        <f aca="false">K87*K89</f>
        <v>1131.72332026775</v>
      </c>
      <c r="L91" s="8" t="n">
        <f aca="false">L87*L89</f>
        <v>1060.92041514175</v>
      </c>
      <c r="M91" s="8" t="n">
        <f aca="false">M87*M89</f>
        <v>994.454816136945</v>
      </c>
      <c r="N91" s="8" t="n">
        <f aca="false">N87*N89</f>
        <v>932.064997333128</v>
      </c>
      <c r="O91" s="8" t="n">
        <f aca="false">O87*O89</f>
        <v>873.505009292499</v>
      </c>
      <c r="P91" s="8" t="n">
        <f aca="false">P87*P89</f>
        <v>818.543560366622</v>
      </c>
      <c r="Q91" s="8" t="n">
        <f aca="false">Q87*Q89</f>
        <v>766.963151757899</v>
      </c>
      <c r="R91" s="8" t="n">
        <f aca="false">R87*R89</f>
        <v>718.559263210898</v>
      </c>
      <c r="S91" s="8" t="n">
        <f aca="false">S87*S89</f>
        <v>673.139586389496</v>
      </c>
      <c r="T91" s="8" t="n">
        <f aca="false">T87*T89</f>
        <v>630.523303166019</v>
      </c>
      <c r="U91" s="8" t="n">
        <f aca="false">U87*U89</f>
        <v>590.540406209065</v>
      </c>
      <c r="V91" s="8" t="n">
        <f aca="false">V87*V89</f>
        <v>553.031059407807</v>
      </c>
      <c r="W91" s="8" t="n">
        <f aca="false">W87*W89</f>
        <v>517.844995813192</v>
      </c>
      <c r="X91" s="8" t="n">
        <f aca="false">X87*X89</f>
        <v>484.840950910625</v>
      </c>
      <c r="Y91" s="8" t="n">
        <f aca="false">Y87*Y89</f>
        <v>453.886129165393</v>
      </c>
      <c r="Z91" s="8" t="n">
        <f aca="false">Z87*Z89</f>
        <v>424.855701901259</v>
      </c>
      <c r="AA91" s="8" t="n">
        <f aca="false">AA87*AA89</f>
        <v>436.632521029481</v>
      </c>
      <c r="AB91" s="8" t="n">
        <f aca="false">AB87*AB89</f>
        <v>408.602254553566</v>
      </c>
      <c r="AC91" s="8" t="n">
        <f aca="false">AC87*AC89</f>
        <v>382.321363743726</v>
      </c>
      <c r="AD91" s="8" t="n">
        <f aca="false">AD87*AD89</f>
        <v>357.68287622483</v>
      </c>
      <c r="AE91" s="8" t="n">
        <f aca="false">AE87*AE89</f>
        <v>334.586260833413</v>
      </c>
      <c r="AF91" s="8" t="n">
        <f aca="false">AF87*AF89</f>
        <v>312.937044396104</v>
      </c>
      <c r="AG91" s="8" t="n">
        <f aca="false">AG87*AG89</f>
        <v>292.646451090452</v>
      </c>
      <c r="AH91" s="8" t="n">
        <f aca="false">AH87*AH89</f>
        <v>273.631063067768</v>
      </c>
      <c r="AI91" s="8" t="n">
        <f aca="false">AI87*AI89</f>
        <v>255.812501094312</v>
      </c>
      <c r="AJ91" s="8" t="n">
        <f aca="false">AJ87*AJ89</f>
        <v>0</v>
      </c>
      <c r="AK91" s="8" t="n">
        <f aca="false">AK87*AK89</f>
        <v>0</v>
      </c>
      <c r="AL91" s="8" t="n">
        <f aca="false">AL87*AL89</f>
        <v>0</v>
      </c>
      <c r="AM91" s="8" t="n">
        <f aca="false">AM87*AM89</f>
        <v>0</v>
      </c>
      <c r="AN91" s="8" t="n">
        <f aca="false">AN87*AN89</f>
        <v>0</v>
      </c>
      <c r="AO91" s="8" t="n">
        <f aca="false">AO87*AO89</f>
        <v>0</v>
      </c>
      <c r="AP91" s="8" t="n">
        <f aca="false">AP87*AP89</f>
        <v>0</v>
      </c>
      <c r="AQ91" s="8" t="n">
        <f aca="false">AQ87*AQ89</f>
        <v>0</v>
      </c>
      <c r="AR91" s="8" t="n">
        <f aca="false">AR87*AR89</f>
        <v>0</v>
      </c>
      <c r="AS91" s="8" t="n">
        <f aca="false">AS87*AS89</f>
        <v>0</v>
      </c>
    </row>
    <row r="92" customFormat="false" ht="15" hidden="false" customHeight="false" outlineLevel="0" collapsed="false">
      <c r="A92" s="6" t="s">
        <v>477</v>
      </c>
      <c r="B92" s="6" t="s">
        <v>478</v>
      </c>
      <c r="C92" s="43" t="n">
        <f aca="false">SUM(G92:AS92)</f>
        <v>2708.32128439696</v>
      </c>
      <c r="D92" s="8" t="n">
        <f aca="false">SUMIF($G$3:$AS$3,"&lt;="&amp;Horizon,G92:AS92)</f>
        <v>987.312340538324</v>
      </c>
      <c r="E92" s="8" t="n">
        <f aca="false">(C92-D92)*(1+CEG_Assets!$AF$3)^(Horizon+1-ValDate)</f>
        <v>2271.67727229575</v>
      </c>
      <c r="G92" s="8" t="n">
        <f aca="false">G88*G90</f>
        <v>279.039429132839</v>
      </c>
      <c r="H92" s="8" t="n">
        <f aca="false">H88*H90</f>
        <v>256.503750852544</v>
      </c>
      <c r="I92" s="8" t="n">
        <f aca="false">I88*I90</f>
        <v>235.587788720301</v>
      </c>
      <c r="J92" s="8" t="n">
        <f aca="false">J88*J90</f>
        <v>216.18137183264</v>
      </c>
      <c r="K92" s="8" t="n">
        <f aca="false">K88*K90</f>
        <v>198.181604273735</v>
      </c>
      <c r="L92" s="8" t="n">
        <f aca="false">L88*L90</f>
        <v>181.492392815206</v>
      </c>
      <c r="M92" s="8" t="n">
        <f aca="false">M88*M90</f>
        <v>166.024004969603</v>
      </c>
      <c r="N92" s="8" t="n">
        <f aca="false">N88*N90</f>
        <v>151.692655458774</v>
      </c>
      <c r="O92" s="8" t="n">
        <f aca="false">O88*O90</f>
        <v>138.420119281691</v>
      </c>
      <c r="P92" s="8" t="n">
        <f aca="false">P88*P90</f>
        <v>126.133369681835</v>
      </c>
      <c r="Q92" s="8" t="n">
        <f aca="false">Q88*Q90</f>
        <v>114.764239422467</v>
      </c>
      <c r="R92" s="8" t="n">
        <f aca="false">R88*R90</f>
        <v>104.249103879404</v>
      </c>
      <c r="S92" s="8" t="n">
        <f aca="false">S88*S90</f>
        <v>94.5285845558568</v>
      </c>
      <c r="T92" s="8" t="n">
        <f aca="false">T88*T90</f>
        <v>85.5472717127387</v>
      </c>
      <c r="U92" s="8" t="n">
        <f aca="false">U88*U90</f>
        <v>77.2534648910728</v>
      </c>
      <c r="V92" s="8" t="n">
        <f aca="false">V88*V90</f>
        <v>69.5989301810803</v>
      </c>
      <c r="W92" s="8" t="n">
        <f aca="false">W88*W90</f>
        <v>62.5386731655103</v>
      </c>
      <c r="X92" s="8" t="n">
        <f aca="false">X88*X90</f>
        <v>56.0307265331235</v>
      </c>
      <c r="Y92" s="8" t="n">
        <f aca="false">Y88*Y90</f>
        <v>50.0359514222516</v>
      </c>
      <c r="Z92" s="8" t="n">
        <f aca="false">Z88*Z90</f>
        <v>44.5178516142903</v>
      </c>
      <c r="AA92" s="8" t="n">
        <f aca="false">AA88*AA90</f>
        <v>0</v>
      </c>
      <c r="AB92" s="8" t="n">
        <f aca="false">AB88*AB90</f>
        <v>0</v>
      </c>
      <c r="AC92" s="8" t="n">
        <f aca="false">AC88*AC90</f>
        <v>0</v>
      </c>
      <c r="AD92" s="8" t="n">
        <f aca="false">AD88*AD90</f>
        <v>0</v>
      </c>
      <c r="AE92" s="8" t="n">
        <f aca="false">AE88*AE90</f>
        <v>0</v>
      </c>
      <c r="AF92" s="8" t="n">
        <f aca="false">AF88*AF90</f>
        <v>0</v>
      </c>
      <c r="AG92" s="8" t="n">
        <f aca="false">AG88*AG90</f>
        <v>0</v>
      </c>
      <c r="AH92" s="8" t="n">
        <f aca="false">AH88*AH90</f>
        <v>0</v>
      </c>
      <c r="AI92" s="8" t="n">
        <f aca="false">AI88*AI90</f>
        <v>0</v>
      </c>
      <c r="AJ92" s="8" t="n">
        <f aca="false">AJ88*AJ90</f>
        <v>0</v>
      </c>
      <c r="AK92" s="8" t="n">
        <f aca="false">AK88*AK90</f>
        <v>0</v>
      </c>
      <c r="AL92" s="8" t="n">
        <f aca="false">AL88*AL90</f>
        <v>0</v>
      </c>
      <c r="AM92" s="8" t="n">
        <f aca="false">AM88*AM90</f>
        <v>0</v>
      </c>
      <c r="AN92" s="8" t="n">
        <f aca="false">AN88*AN90</f>
        <v>0</v>
      </c>
      <c r="AO92" s="8" t="n">
        <f aca="false">AO88*AO90</f>
        <v>0</v>
      </c>
      <c r="AP92" s="8" t="n">
        <f aca="false">AP88*AP90</f>
        <v>0</v>
      </c>
      <c r="AQ92" s="8" t="n">
        <f aca="false">AQ88*AQ90</f>
        <v>0</v>
      </c>
      <c r="AR92" s="8" t="n">
        <f aca="false">AR88*AR90</f>
        <v>0</v>
      </c>
      <c r="AS92" s="8" t="n">
        <f aca="false">AS88*AS90</f>
        <v>0</v>
      </c>
    </row>
    <row r="93" customFormat="false" ht="15" hidden="false" customHeight="false" outlineLevel="0" collapsed="false">
      <c r="A93" s="6" t="s">
        <v>479</v>
      </c>
      <c r="B93" s="6" t="s">
        <v>480</v>
      </c>
      <c r="C93" s="43" t="n">
        <f aca="false">IF(CEG_Assets!$H$3="$/kW",CEG_Assets!$D$3*CEG_Assets!$AI$3*(1+0.4*(PJMWLR/PJMWLRBase-1))/1000,0)</f>
        <v>0</v>
      </c>
      <c r="E93" s="8" t="n">
        <f aca="false">C93</f>
        <v>0</v>
      </c>
      <c r="G93" s="8" t="n">
        <f aca="false">0</f>
        <v>0</v>
      </c>
      <c r="H93" s="8" t="n">
        <f aca="false">0</f>
        <v>0</v>
      </c>
      <c r="I93" s="8" t="n">
        <f aca="false">0</f>
        <v>0</v>
      </c>
      <c r="J93" s="8" t="n">
        <f aca="false">0</f>
        <v>0</v>
      </c>
      <c r="K93" s="8" t="n">
        <f aca="false">0</f>
        <v>0</v>
      </c>
      <c r="L93" s="8" t="n">
        <f aca="false">0</f>
        <v>0</v>
      </c>
      <c r="M93" s="8" t="n">
        <f aca="false">0</f>
        <v>0</v>
      </c>
      <c r="N93" s="8" t="n">
        <f aca="false">0</f>
        <v>0</v>
      </c>
      <c r="O93" s="8" t="n">
        <f aca="false">0</f>
        <v>0</v>
      </c>
      <c r="P93" s="8" t="n">
        <f aca="false">0</f>
        <v>0</v>
      </c>
      <c r="Q93" s="8" t="n">
        <f aca="false">0</f>
        <v>0</v>
      </c>
      <c r="R93" s="8" t="n">
        <f aca="false">0</f>
        <v>0</v>
      </c>
      <c r="S93" s="8" t="n">
        <f aca="false">0</f>
        <v>0</v>
      </c>
      <c r="T93" s="8" t="n">
        <f aca="false">0</f>
        <v>0</v>
      </c>
      <c r="U93" s="8" t="n">
        <f aca="false">0</f>
        <v>0</v>
      </c>
      <c r="V93" s="8" t="n">
        <f aca="false">0</f>
        <v>0</v>
      </c>
      <c r="W93" s="8" t="n">
        <f aca="false">0</f>
        <v>0</v>
      </c>
      <c r="X93" s="8" t="n">
        <f aca="false">0</f>
        <v>0</v>
      </c>
      <c r="Y93" s="8" t="n">
        <f aca="false">0</f>
        <v>0</v>
      </c>
      <c r="Z93" s="8" t="n">
        <f aca="false">0</f>
        <v>0</v>
      </c>
      <c r="AA93" s="8" t="n">
        <f aca="false">0</f>
        <v>0</v>
      </c>
      <c r="AB93" s="8" t="n">
        <f aca="false">0</f>
        <v>0</v>
      </c>
      <c r="AC93" s="8" t="n">
        <f aca="false">0</f>
        <v>0</v>
      </c>
      <c r="AD93" s="8" t="n">
        <f aca="false">0</f>
        <v>0</v>
      </c>
      <c r="AE93" s="8" t="n">
        <f aca="false">0</f>
        <v>0</v>
      </c>
      <c r="AF93" s="8" t="n">
        <f aca="false">0</f>
        <v>0</v>
      </c>
      <c r="AG93" s="8" t="n">
        <f aca="false">0</f>
        <v>0</v>
      </c>
      <c r="AH93" s="8" t="n">
        <f aca="false">0</f>
        <v>0</v>
      </c>
      <c r="AI93" s="8" t="n">
        <f aca="false">0</f>
        <v>0</v>
      </c>
      <c r="AJ93" s="8" t="n">
        <f aca="false">0</f>
        <v>0</v>
      </c>
      <c r="AK93" s="8" t="n">
        <f aca="false">0</f>
        <v>0</v>
      </c>
      <c r="AL93" s="8" t="n">
        <f aca="false">0</f>
        <v>0</v>
      </c>
      <c r="AM93" s="8" t="n">
        <f aca="false">0</f>
        <v>0</v>
      </c>
      <c r="AN93" s="8" t="n">
        <f aca="false">0</f>
        <v>0</v>
      </c>
      <c r="AO93" s="8" t="n">
        <f aca="false">0</f>
        <v>0</v>
      </c>
      <c r="AP93" s="8" t="n">
        <f aca="false">0</f>
        <v>0</v>
      </c>
      <c r="AQ93" s="8" t="n">
        <f aca="false">0</f>
        <v>0</v>
      </c>
      <c r="AR93" s="8" t="n">
        <f aca="false">0</f>
        <v>0</v>
      </c>
      <c r="AS93" s="8" t="n">
        <f aca="false">0</f>
        <v>0</v>
      </c>
    </row>
    <row r="95" customFormat="false" ht="15" hidden="false" customHeight="false" outlineLevel="0" collapsed="false">
      <c r="A95" s="54" t="str">
        <f aca="false">CEG_Assets!$A$4</f>
        <v>Nuclear - Clinton (MISO) - Meta 20-yr PPA</v>
      </c>
    </row>
    <row r="96" customFormat="false" ht="15" hidden="false" customHeight="false" outlineLevel="0" collapsed="false">
      <c r="A96" s="6" t="s">
        <v>425</v>
      </c>
      <c r="B96" s="6" t="s">
        <v>426</v>
      </c>
      <c r="G96" s="47" t="n">
        <f aca="false">IF(AND(G$3&gt;=CEG_Assets!$E$4,G$3&lt;=CEG_Assets!$F$4,CEG_Assets!$H$4="Cashflow"),1,0)</f>
        <v>1</v>
      </c>
      <c r="H96" s="47" t="n">
        <f aca="false">IF(AND(H$3&gt;=CEG_Assets!$E$4,H$3&lt;=CEG_Assets!$F$4,CEG_Assets!$H$4="Cashflow"),1,0)</f>
        <v>1</v>
      </c>
      <c r="I96" s="47" t="n">
        <f aca="false">IF(AND(I$3&gt;=CEG_Assets!$E$4,I$3&lt;=CEG_Assets!$F$4,CEG_Assets!$H$4="Cashflow"),1,0)</f>
        <v>1</v>
      </c>
      <c r="J96" s="47" t="n">
        <f aca="false">IF(AND(J$3&gt;=CEG_Assets!$E$4,J$3&lt;=CEG_Assets!$F$4,CEG_Assets!$H$4="Cashflow"),1,0)</f>
        <v>1</v>
      </c>
      <c r="K96" s="47" t="n">
        <f aca="false">IF(AND(K$3&gt;=CEG_Assets!$E$4,K$3&lt;=CEG_Assets!$F$4,CEG_Assets!$H$4="Cashflow"),1,0)</f>
        <v>1</v>
      </c>
      <c r="L96" s="47" t="n">
        <f aca="false">IF(AND(L$3&gt;=CEG_Assets!$E$4,L$3&lt;=CEG_Assets!$F$4,CEG_Assets!$H$4="Cashflow"),1,0)</f>
        <v>1</v>
      </c>
      <c r="M96" s="47" t="n">
        <f aca="false">IF(AND(M$3&gt;=CEG_Assets!$E$4,M$3&lt;=CEG_Assets!$F$4,CEG_Assets!$H$4="Cashflow"),1,0)</f>
        <v>1</v>
      </c>
      <c r="N96" s="47" t="n">
        <f aca="false">IF(AND(N$3&gt;=CEG_Assets!$E$4,N$3&lt;=CEG_Assets!$F$4,CEG_Assets!$H$4="Cashflow"),1,0)</f>
        <v>1</v>
      </c>
      <c r="O96" s="47" t="n">
        <f aca="false">IF(AND(O$3&gt;=CEG_Assets!$E$4,O$3&lt;=CEG_Assets!$F$4,CEG_Assets!$H$4="Cashflow"),1,0)</f>
        <v>1</v>
      </c>
      <c r="P96" s="47" t="n">
        <f aca="false">IF(AND(P$3&gt;=CEG_Assets!$E$4,P$3&lt;=CEG_Assets!$F$4,CEG_Assets!$H$4="Cashflow"),1,0)</f>
        <v>1</v>
      </c>
      <c r="Q96" s="47" t="n">
        <f aca="false">IF(AND(Q$3&gt;=CEG_Assets!$E$4,Q$3&lt;=CEG_Assets!$F$4,CEG_Assets!$H$4="Cashflow"),1,0)</f>
        <v>1</v>
      </c>
      <c r="R96" s="47" t="n">
        <f aca="false">IF(AND(R$3&gt;=CEG_Assets!$E$4,R$3&lt;=CEG_Assets!$F$4,CEG_Assets!$H$4="Cashflow"),1,0)</f>
        <v>1</v>
      </c>
      <c r="S96" s="47" t="n">
        <f aca="false">IF(AND(S$3&gt;=CEG_Assets!$E$4,S$3&lt;=CEG_Assets!$F$4,CEG_Assets!$H$4="Cashflow"),1,0)</f>
        <v>1</v>
      </c>
      <c r="T96" s="47" t="n">
        <f aca="false">IF(AND(T$3&gt;=CEG_Assets!$E$4,T$3&lt;=CEG_Assets!$F$4,CEG_Assets!$H$4="Cashflow"),1,0)</f>
        <v>1</v>
      </c>
      <c r="U96" s="47" t="n">
        <f aca="false">IF(AND(U$3&gt;=CEG_Assets!$E$4,U$3&lt;=CEG_Assets!$F$4,CEG_Assets!$H$4="Cashflow"),1,0)</f>
        <v>1</v>
      </c>
      <c r="V96" s="47" t="n">
        <f aca="false">IF(AND(V$3&gt;=CEG_Assets!$E$4,V$3&lt;=CEG_Assets!$F$4,CEG_Assets!$H$4="Cashflow"),1,0)</f>
        <v>1</v>
      </c>
      <c r="W96" s="47" t="n">
        <f aca="false">IF(AND(W$3&gt;=CEG_Assets!$E$4,W$3&lt;=CEG_Assets!$F$4,CEG_Assets!$H$4="Cashflow"),1,0)</f>
        <v>1</v>
      </c>
      <c r="X96" s="47" t="n">
        <f aca="false">IF(AND(X$3&gt;=CEG_Assets!$E$4,X$3&lt;=CEG_Assets!$F$4,CEG_Assets!$H$4="Cashflow"),1,0)</f>
        <v>1</v>
      </c>
      <c r="Y96" s="47" t="n">
        <f aca="false">IF(AND(Y$3&gt;=CEG_Assets!$E$4,Y$3&lt;=CEG_Assets!$F$4,CEG_Assets!$H$4="Cashflow"),1,0)</f>
        <v>1</v>
      </c>
      <c r="Z96" s="47" t="n">
        <f aca="false">IF(AND(Z$3&gt;=CEG_Assets!$E$4,Z$3&lt;=CEG_Assets!$F$4,CEG_Assets!$H$4="Cashflow"),1,0)</f>
        <v>1</v>
      </c>
      <c r="AA96" s="47" t="n">
        <f aca="false">IF(AND(AA$3&gt;=CEG_Assets!$E$4,AA$3&lt;=CEG_Assets!$F$4,CEG_Assets!$H$4="Cashflow"),1,0)</f>
        <v>1</v>
      </c>
      <c r="AB96" s="47" t="n">
        <f aca="false">IF(AND(AB$3&gt;=CEG_Assets!$E$4,AB$3&lt;=CEG_Assets!$F$4,CEG_Assets!$H$4="Cashflow"),1,0)</f>
        <v>1</v>
      </c>
      <c r="AC96" s="47" t="n">
        <f aca="false">IF(AND(AC$3&gt;=CEG_Assets!$E$4,AC$3&lt;=CEG_Assets!$F$4,CEG_Assets!$H$4="Cashflow"),1,0)</f>
        <v>1</v>
      </c>
      <c r="AD96" s="47" t="n">
        <f aca="false">IF(AND(AD$3&gt;=CEG_Assets!$E$4,AD$3&lt;=CEG_Assets!$F$4,CEG_Assets!$H$4="Cashflow"),1,0)</f>
        <v>1</v>
      </c>
      <c r="AE96" s="47" t="n">
        <f aca="false">IF(AND(AE$3&gt;=CEG_Assets!$E$4,AE$3&lt;=CEG_Assets!$F$4,CEG_Assets!$H$4="Cashflow"),1,0)</f>
        <v>1</v>
      </c>
      <c r="AF96" s="47" t="n">
        <f aca="false">IF(AND(AF$3&gt;=CEG_Assets!$E$4,AF$3&lt;=CEG_Assets!$F$4,CEG_Assets!$H$4="Cashflow"),1,0)</f>
        <v>1</v>
      </c>
      <c r="AG96" s="47" t="n">
        <f aca="false">IF(AND(AG$3&gt;=CEG_Assets!$E$4,AG$3&lt;=CEG_Assets!$F$4,CEG_Assets!$H$4="Cashflow"),1,0)</f>
        <v>1</v>
      </c>
      <c r="AH96" s="47" t="n">
        <f aca="false">IF(AND(AH$3&gt;=CEG_Assets!$E$4,AH$3&lt;=CEG_Assets!$F$4,CEG_Assets!$H$4="Cashflow"),1,0)</f>
        <v>1</v>
      </c>
      <c r="AI96" s="47" t="n">
        <f aca="false">IF(AND(AI$3&gt;=CEG_Assets!$E$4,AI$3&lt;=CEG_Assets!$F$4,CEG_Assets!$H$4="Cashflow"),1,0)</f>
        <v>1</v>
      </c>
      <c r="AJ96" s="47" t="n">
        <f aca="false">IF(AND(AJ$3&gt;=CEG_Assets!$E$4,AJ$3&lt;=CEG_Assets!$F$4,CEG_Assets!$H$4="Cashflow"),1,0)</f>
        <v>0</v>
      </c>
      <c r="AK96" s="47" t="n">
        <f aca="false">IF(AND(AK$3&gt;=CEG_Assets!$E$4,AK$3&lt;=CEG_Assets!$F$4,CEG_Assets!$H$4="Cashflow"),1,0)</f>
        <v>0</v>
      </c>
      <c r="AL96" s="47" t="n">
        <f aca="false">IF(AND(AL$3&gt;=CEG_Assets!$E$4,AL$3&lt;=CEG_Assets!$F$4,CEG_Assets!$H$4="Cashflow"),1,0)</f>
        <v>0</v>
      </c>
      <c r="AM96" s="47" t="n">
        <f aca="false">IF(AND(AM$3&gt;=CEG_Assets!$E$4,AM$3&lt;=CEG_Assets!$F$4,CEG_Assets!$H$4="Cashflow"),1,0)</f>
        <v>0</v>
      </c>
      <c r="AN96" s="47" t="n">
        <f aca="false">IF(AND(AN$3&gt;=CEG_Assets!$E$4,AN$3&lt;=CEG_Assets!$F$4,CEG_Assets!$H$4="Cashflow"),1,0)</f>
        <v>0</v>
      </c>
      <c r="AO96" s="47" t="n">
        <f aca="false">IF(AND(AO$3&gt;=CEG_Assets!$E$4,AO$3&lt;=CEG_Assets!$F$4,CEG_Assets!$H$4="Cashflow"),1,0)</f>
        <v>0</v>
      </c>
      <c r="AP96" s="47" t="n">
        <f aca="false">IF(AND(AP$3&gt;=CEG_Assets!$E$4,AP$3&lt;=CEG_Assets!$F$4,CEG_Assets!$H$4="Cashflow"),1,0)</f>
        <v>0</v>
      </c>
      <c r="AQ96" s="47" t="n">
        <f aca="false">IF(AND(AQ$3&gt;=CEG_Assets!$E$4,AQ$3&lt;=CEG_Assets!$F$4,CEG_Assets!$H$4="Cashflow"),1,0)</f>
        <v>0</v>
      </c>
      <c r="AR96" s="47" t="n">
        <f aca="false">IF(AND(AR$3&gt;=CEG_Assets!$E$4,AR$3&lt;=CEG_Assets!$F$4,CEG_Assets!$H$4="Cashflow"),1,0)</f>
        <v>0</v>
      </c>
      <c r="AS96" s="47" t="n">
        <f aca="false">IF(AND(AS$3&gt;=CEG_Assets!$E$4,AS$3&lt;=CEG_Assets!$F$4,CEG_Assets!$H$4="Cashflow"),1,0)</f>
        <v>0</v>
      </c>
    </row>
    <row r="97" customFormat="false" ht="15" hidden="false" customHeight="false" outlineLevel="0" collapsed="false">
      <c r="A97" s="6" t="s">
        <v>427</v>
      </c>
      <c r="B97" s="6" t="s">
        <v>428</v>
      </c>
      <c r="G97" s="9" t="n">
        <f aca="false">IF(AND(G$3&gt;=CEG_Assets!$AA$4,G$3&lt;=CEG_Assets!$AB$4),MIN(CEG_Assets!$D$4,CEG_Assets!$Z$4*MIN(1,(G$3-CEG_Assets!$AA$4+1)/MAX(1,CEG_Assets!$AC$4))),0)*G96</f>
        <v>1080</v>
      </c>
      <c r="H97" s="9" t="n">
        <f aca="false">IF(AND(H$3&gt;=CEG_Assets!$AA$4,H$3&lt;=CEG_Assets!$AB$4),MIN(CEG_Assets!$D$4,CEG_Assets!$Z$4*MIN(1,(H$3-CEG_Assets!$AA$4+1)/MAX(1,CEG_Assets!$AC$4))),0)*H96</f>
        <v>1080</v>
      </c>
      <c r="I97" s="9" t="n">
        <f aca="false">IF(AND(I$3&gt;=CEG_Assets!$AA$4,I$3&lt;=CEG_Assets!$AB$4),MIN(CEG_Assets!$D$4,CEG_Assets!$Z$4*MIN(1,(I$3-CEG_Assets!$AA$4+1)/MAX(1,CEG_Assets!$AC$4))),0)*I96</f>
        <v>1080</v>
      </c>
      <c r="J97" s="9" t="n">
        <f aca="false">IF(AND(J$3&gt;=CEG_Assets!$AA$4,J$3&lt;=CEG_Assets!$AB$4),MIN(CEG_Assets!$D$4,CEG_Assets!$Z$4*MIN(1,(J$3-CEG_Assets!$AA$4+1)/MAX(1,CEG_Assets!$AC$4))),0)*J96</f>
        <v>1080</v>
      </c>
      <c r="K97" s="9" t="n">
        <f aca="false">IF(AND(K$3&gt;=CEG_Assets!$AA$4,K$3&lt;=CEG_Assets!$AB$4),MIN(CEG_Assets!$D$4,CEG_Assets!$Z$4*MIN(1,(K$3-CEG_Assets!$AA$4+1)/MAX(1,CEG_Assets!$AC$4))),0)*K96</f>
        <v>1080</v>
      </c>
      <c r="L97" s="9" t="n">
        <f aca="false">IF(AND(L$3&gt;=CEG_Assets!$AA$4,L$3&lt;=CEG_Assets!$AB$4),MIN(CEG_Assets!$D$4,CEG_Assets!$Z$4*MIN(1,(L$3-CEG_Assets!$AA$4+1)/MAX(1,CEG_Assets!$AC$4))),0)*L96</f>
        <v>1080</v>
      </c>
      <c r="M97" s="9" t="n">
        <f aca="false">IF(AND(M$3&gt;=CEG_Assets!$AA$4,M$3&lt;=CEG_Assets!$AB$4),MIN(CEG_Assets!$D$4,CEG_Assets!$Z$4*MIN(1,(M$3-CEG_Assets!$AA$4+1)/MAX(1,CEG_Assets!$AC$4))),0)*M96</f>
        <v>1080</v>
      </c>
      <c r="N97" s="9" t="n">
        <f aca="false">IF(AND(N$3&gt;=CEG_Assets!$AA$4,N$3&lt;=CEG_Assets!$AB$4),MIN(CEG_Assets!$D$4,CEG_Assets!$Z$4*MIN(1,(N$3-CEG_Assets!$AA$4+1)/MAX(1,CEG_Assets!$AC$4))),0)*N96</f>
        <v>1080</v>
      </c>
      <c r="O97" s="9" t="n">
        <f aca="false">IF(AND(O$3&gt;=CEG_Assets!$AA$4,O$3&lt;=CEG_Assets!$AB$4),MIN(CEG_Assets!$D$4,CEG_Assets!$Z$4*MIN(1,(O$3-CEG_Assets!$AA$4+1)/MAX(1,CEG_Assets!$AC$4))),0)*O96</f>
        <v>1080</v>
      </c>
      <c r="P97" s="9" t="n">
        <f aca="false">IF(AND(P$3&gt;=CEG_Assets!$AA$4,P$3&lt;=CEG_Assets!$AB$4),MIN(CEG_Assets!$D$4,CEG_Assets!$Z$4*MIN(1,(P$3-CEG_Assets!$AA$4+1)/MAX(1,CEG_Assets!$AC$4))),0)*P96</f>
        <v>1080</v>
      </c>
      <c r="Q97" s="9" t="n">
        <f aca="false">IF(AND(Q$3&gt;=CEG_Assets!$AA$4,Q$3&lt;=CEG_Assets!$AB$4),MIN(CEG_Assets!$D$4,CEG_Assets!$Z$4*MIN(1,(Q$3-CEG_Assets!$AA$4+1)/MAX(1,CEG_Assets!$AC$4))),0)*Q96</f>
        <v>1080</v>
      </c>
      <c r="R97" s="9" t="n">
        <f aca="false">IF(AND(R$3&gt;=CEG_Assets!$AA$4,R$3&lt;=CEG_Assets!$AB$4),MIN(CEG_Assets!$D$4,CEG_Assets!$Z$4*MIN(1,(R$3-CEG_Assets!$AA$4+1)/MAX(1,CEG_Assets!$AC$4))),0)*R96</f>
        <v>1080</v>
      </c>
      <c r="S97" s="9" t="n">
        <f aca="false">IF(AND(S$3&gt;=CEG_Assets!$AA$4,S$3&lt;=CEG_Assets!$AB$4),MIN(CEG_Assets!$D$4,CEG_Assets!$Z$4*MIN(1,(S$3-CEG_Assets!$AA$4+1)/MAX(1,CEG_Assets!$AC$4))),0)*S96</f>
        <v>1080</v>
      </c>
      <c r="T97" s="9" t="n">
        <f aca="false">IF(AND(T$3&gt;=CEG_Assets!$AA$4,T$3&lt;=CEG_Assets!$AB$4),MIN(CEG_Assets!$D$4,CEG_Assets!$Z$4*MIN(1,(T$3-CEG_Assets!$AA$4+1)/MAX(1,CEG_Assets!$AC$4))),0)*T96</f>
        <v>1080</v>
      </c>
      <c r="U97" s="9" t="n">
        <f aca="false">IF(AND(U$3&gt;=CEG_Assets!$AA$4,U$3&lt;=CEG_Assets!$AB$4),MIN(CEG_Assets!$D$4,CEG_Assets!$Z$4*MIN(1,(U$3-CEG_Assets!$AA$4+1)/MAX(1,CEG_Assets!$AC$4))),0)*U96</f>
        <v>1080</v>
      </c>
      <c r="V97" s="9" t="n">
        <f aca="false">IF(AND(V$3&gt;=CEG_Assets!$AA$4,V$3&lt;=CEG_Assets!$AB$4),MIN(CEG_Assets!$D$4,CEG_Assets!$Z$4*MIN(1,(V$3-CEG_Assets!$AA$4+1)/MAX(1,CEG_Assets!$AC$4))),0)*V96</f>
        <v>1080</v>
      </c>
      <c r="W97" s="9" t="n">
        <f aca="false">IF(AND(W$3&gt;=CEG_Assets!$AA$4,W$3&lt;=CEG_Assets!$AB$4),MIN(CEG_Assets!$D$4,CEG_Assets!$Z$4*MIN(1,(W$3-CEG_Assets!$AA$4+1)/MAX(1,CEG_Assets!$AC$4))),0)*W96</f>
        <v>1080</v>
      </c>
      <c r="X97" s="9" t="n">
        <f aca="false">IF(AND(X$3&gt;=CEG_Assets!$AA$4,X$3&lt;=CEG_Assets!$AB$4),MIN(CEG_Assets!$D$4,CEG_Assets!$Z$4*MIN(1,(X$3-CEG_Assets!$AA$4+1)/MAX(1,CEG_Assets!$AC$4))),0)*X96</f>
        <v>1080</v>
      </c>
      <c r="Y97" s="9" t="n">
        <f aca="false">IF(AND(Y$3&gt;=CEG_Assets!$AA$4,Y$3&lt;=CEG_Assets!$AB$4),MIN(CEG_Assets!$D$4,CEG_Assets!$Z$4*MIN(1,(Y$3-CEG_Assets!$AA$4+1)/MAX(1,CEG_Assets!$AC$4))),0)*Y96</f>
        <v>1080</v>
      </c>
      <c r="Z97" s="9" t="n">
        <f aca="false">IF(AND(Z$3&gt;=CEG_Assets!$AA$4,Z$3&lt;=CEG_Assets!$AB$4),MIN(CEG_Assets!$D$4,CEG_Assets!$Z$4*MIN(1,(Z$3-CEG_Assets!$AA$4+1)/MAX(1,CEG_Assets!$AC$4))),0)*Z96</f>
        <v>1080</v>
      </c>
      <c r="AA97" s="9" t="n">
        <f aca="false">IF(AND(AA$3&gt;=CEG_Assets!$AA$4,AA$3&lt;=CEG_Assets!$AB$4),MIN(CEG_Assets!$D$4,CEG_Assets!$Z$4*MIN(1,(AA$3-CEG_Assets!$AA$4+1)/MAX(1,CEG_Assets!$AC$4))),0)*AA96</f>
        <v>0</v>
      </c>
      <c r="AB97" s="9" t="n">
        <f aca="false">IF(AND(AB$3&gt;=CEG_Assets!$AA$4,AB$3&lt;=CEG_Assets!$AB$4),MIN(CEG_Assets!$D$4,CEG_Assets!$Z$4*MIN(1,(AB$3-CEG_Assets!$AA$4+1)/MAX(1,CEG_Assets!$AC$4))),0)*AB96</f>
        <v>0</v>
      </c>
      <c r="AC97" s="9" t="n">
        <f aca="false">IF(AND(AC$3&gt;=CEG_Assets!$AA$4,AC$3&lt;=CEG_Assets!$AB$4),MIN(CEG_Assets!$D$4,CEG_Assets!$Z$4*MIN(1,(AC$3-CEG_Assets!$AA$4+1)/MAX(1,CEG_Assets!$AC$4))),0)*AC96</f>
        <v>0</v>
      </c>
      <c r="AD97" s="9" t="n">
        <f aca="false">IF(AND(AD$3&gt;=CEG_Assets!$AA$4,AD$3&lt;=CEG_Assets!$AB$4),MIN(CEG_Assets!$D$4,CEG_Assets!$Z$4*MIN(1,(AD$3-CEG_Assets!$AA$4+1)/MAX(1,CEG_Assets!$AC$4))),0)*AD96</f>
        <v>0</v>
      </c>
      <c r="AE97" s="9" t="n">
        <f aca="false">IF(AND(AE$3&gt;=CEG_Assets!$AA$4,AE$3&lt;=CEG_Assets!$AB$4),MIN(CEG_Assets!$D$4,CEG_Assets!$Z$4*MIN(1,(AE$3-CEG_Assets!$AA$4+1)/MAX(1,CEG_Assets!$AC$4))),0)*AE96</f>
        <v>0</v>
      </c>
      <c r="AF97" s="9" t="n">
        <f aca="false">IF(AND(AF$3&gt;=CEG_Assets!$AA$4,AF$3&lt;=CEG_Assets!$AB$4),MIN(CEG_Assets!$D$4,CEG_Assets!$Z$4*MIN(1,(AF$3-CEG_Assets!$AA$4+1)/MAX(1,CEG_Assets!$AC$4))),0)*AF96</f>
        <v>0</v>
      </c>
      <c r="AG97" s="9" t="n">
        <f aca="false">IF(AND(AG$3&gt;=CEG_Assets!$AA$4,AG$3&lt;=CEG_Assets!$AB$4),MIN(CEG_Assets!$D$4,CEG_Assets!$Z$4*MIN(1,(AG$3-CEG_Assets!$AA$4+1)/MAX(1,CEG_Assets!$AC$4))),0)*AG96</f>
        <v>0</v>
      </c>
      <c r="AH97" s="9" t="n">
        <f aca="false">IF(AND(AH$3&gt;=CEG_Assets!$AA$4,AH$3&lt;=CEG_Assets!$AB$4),MIN(CEG_Assets!$D$4,CEG_Assets!$Z$4*MIN(1,(AH$3-CEG_Assets!$AA$4+1)/MAX(1,CEG_Assets!$AC$4))),0)*AH96</f>
        <v>0</v>
      </c>
      <c r="AI97" s="9" t="n">
        <f aca="false">IF(AND(AI$3&gt;=CEG_Assets!$AA$4,AI$3&lt;=CEG_Assets!$AB$4),MIN(CEG_Assets!$D$4,CEG_Assets!$Z$4*MIN(1,(AI$3-CEG_Assets!$AA$4+1)/MAX(1,CEG_Assets!$AC$4))),0)*AI96</f>
        <v>0</v>
      </c>
      <c r="AJ97" s="9" t="n">
        <f aca="false">IF(AND(AJ$3&gt;=CEG_Assets!$AA$4,AJ$3&lt;=CEG_Assets!$AB$4),MIN(CEG_Assets!$D$4,CEG_Assets!$Z$4*MIN(1,(AJ$3-CEG_Assets!$AA$4+1)/MAX(1,CEG_Assets!$AC$4))),0)*AJ96</f>
        <v>0</v>
      </c>
      <c r="AK97" s="9" t="n">
        <f aca="false">IF(AND(AK$3&gt;=CEG_Assets!$AA$4,AK$3&lt;=CEG_Assets!$AB$4),MIN(CEG_Assets!$D$4,CEG_Assets!$Z$4*MIN(1,(AK$3-CEG_Assets!$AA$4+1)/MAX(1,CEG_Assets!$AC$4))),0)*AK96</f>
        <v>0</v>
      </c>
      <c r="AL97" s="9" t="n">
        <f aca="false">IF(AND(AL$3&gt;=CEG_Assets!$AA$4,AL$3&lt;=CEG_Assets!$AB$4),MIN(CEG_Assets!$D$4,CEG_Assets!$Z$4*MIN(1,(AL$3-CEG_Assets!$AA$4+1)/MAX(1,CEG_Assets!$AC$4))),0)*AL96</f>
        <v>0</v>
      </c>
      <c r="AM97" s="9" t="n">
        <f aca="false">IF(AND(AM$3&gt;=CEG_Assets!$AA$4,AM$3&lt;=CEG_Assets!$AB$4),MIN(CEG_Assets!$D$4,CEG_Assets!$Z$4*MIN(1,(AM$3-CEG_Assets!$AA$4+1)/MAX(1,CEG_Assets!$AC$4))),0)*AM96</f>
        <v>0</v>
      </c>
      <c r="AN97" s="9" t="n">
        <f aca="false">IF(AND(AN$3&gt;=CEG_Assets!$AA$4,AN$3&lt;=CEG_Assets!$AB$4),MIN(CEG_Assets!$D$4,CEG_Assets!$Z$4*MIN(1,(AN$3-CEG_Assets!$AA$4+1)/MAX(1,CEG_Assets!$AC$4))),0)*AN96</f>
        <v>0</v>
      </c>
      <c r="AO97" s="9" t="n">
        <f aca="false">IF(AND(AO$3&gt;=CEG_Assets!$AA$4,AO$3&lt;=CEG_Assets!$AB$4),MIN(CEG_Assets!$D$4,CEG_Assets!$Z$4*MIN(1,(AO$3-CEG_Assets!$AA$4+1)/MAX(1,CEG_Assets!$AC$4))),0)*AO96</f>
        <v>0</v>
      </c>
      <c r="AP97" s="9" t="n">
        <f aca="false">IF(AND(AP$3&gt;=CEG_Assets!$AA$4,AP$3&lt;=CEG_Assets!$AB$4),MIN(CEG_Assets!$D$4,CEG_Assets!$Z$4*MIN(1,(AP$3-CEG_Assets!$AA$4+1)/MAX(1,CEG_Assets!$AC$4))),0)*AP96</f>
        <v>0</v>
      </c>
      <c r="AQ97" s="9" t="n">
        <f aca="false">IF(AND(AQ$3&gt;=CEG_Assets!$AA$4,AQ$3&lt;=CEG_Assets!$AB$4),MIN(CEG_Assets!$D$4,CEG_Assets!$Z$4*MIN(1,(AQ$3-CEG_Assets!$AA$4+1)/MAX(1,CEG_Assets!$AC$4))),0)*AQ96</f>
        <v>0</v>
      </c>
      <c r="AR97" s="9" t="n">
        <f aca="false">IF(AND(AR$3&gt;=CEG_Assets!$AA$4,AR$3&lt;=CEG_Assets!$AB$4),MIN(CEG_Assets!$D$4,CEG_Assets!$Z$4*MIN(1,(AR$3-CEG_Assets!$AA$4+1)/MAX(1,CEG_Assets!$AC$4))),0)*AR96</f>
        <v>0</v>
      </c>
      <c r="AS97" s="9" t="n">
        <f aca="false">IF(AND(AS$3&gt;=CEG_Assets!$AA$4,AS$3&lt;=CEG_Assets!$AB$4),MIN(CEG_Assets!$D$4,CEG_Assets!$Z$4*MIN(1,(AS$3-CEG_Assets!$AA$4+1)/MAX(1,CEG_Assets!$AC$4))),0)*AS96</f>
        <v>0</v>
      </c>
    </row>
    <row r="98" customFormat="false" ht="15" hidden="false" customHeight="false" outlineLevel="0" collapsed="false">
      <c r="A98" s="6" t="s">
        <v>429</v>
      </c>
      <c r="B98" s="6" t="s">
        <v>430</v>
      </c>
      <c r="G98" s="9" t="n">
        <f aca="false">(CEG_Assets!$D$4-G97)*8760*CEG_Assets!$I$4*G96</f>
        <v>0</v>
      </c>
      <c r="H98" s="9" t="n">
        <f aca="false">(CEG_Assets!$D$4-H97)*8760*CEG_Assets!$I$4*H96</f>
        <v>0</v>
      </c>
      <c r="I98" s="9" t="n">
        <f aca="false">(CEG_Assets!$D$4-I97)*8760*CEG_Assets!$I$4*I96</f>
        <v>0</v>
      </c>
      <c r="J98" s="9" t="n">
        <f aca="false">(CEG_Assets!$D$4-J97)*8760*CEG_Assets!$I$4*J96</f>
        <v>0</v>
      </c>
      <c r="K98" s="9" t="n">
        <f aca="false">(CEG_Assets!$D$4-K97)*8760*CEG_Assets!$I$4*K96</f>
        <v>0</v>
      </c>
      <c r="L98" s="9" t="n">
        <f aca="false">(CEG_Assets!$D$4-L97)*8760*CEG_Assets!$I$4*L96</f>
        <v>0</v>
      </c>
      <c r="M98" s="9" t="n">
        <f aca="false">(CEG_Assets!$D$4-M97)*8760*CEG_Assets!$I$4*M96</f>
        <v>0</v>
      </c>
      <c r="N98" s="9" t="n">
        <f aca="false">(CEG_Assets!$D$4-N97)*8760*CEG_Assets!$I$4*N96</f>
        <v>0</v>
      </c>
      <c r="O98" s="9" t="n">
        <f aca="false">(CEG_Assets!$D$4-O97)*8760*CEG_Assets!$I$4*O96</f>
        <v>0</v>
      </c>
      <c r="P98" s="9" t="n">
        <f aca="false">(CEG_Assets!$D$4-P97)*8760*CEG_Assets!$I$4*P96</f>
        <v>0</v>
      </c>
      <c r="Q98" s="9" t="n">
        <f aca="false">(CEG_Assets!$D$4-Q97)*8760*CEG_Assets!$I$4*Q96</f>
        <v>0</v>
      </c>
      <c r="R98" s="9" t="n">
        <f aca="false">(CEG_Assets!$D$4-R97)*8760*CEG_Assets!$I$4*R96</f>
        <v>0</v>
      </c>
      <c r="S98" s="9" t="n">
        <f aca="false">(CEG_Assets!$D$4-S97)*8760*CEG_Assets!$I$4*S96</f>
        <v>0</v>
      </c>
      <c r="T98" s="9" t="n">
        <f aca="false">(CEG_Assets!$D$4-T97)*8760*CEG_Assets!$I$4*T96</f>
        <v>0</v>
      </c>
      <c r="U98" s="9" t="n">
        <f aca="false">(CEG_Assets!$D$4-U97)*8760*CEG_Assets!$I$4*U96</f>
        <v>0</v>
      </c>
      <c r="V98" s="9" t="n">
        <f aca="false">(CEG_Assets!$D$4-V97)*8760*CEG_Assets!$I$4*V96</f>
        <v>0</v>
      </c>
      <c r="W98" s="9" t="n">
        <f aca="false">(CEG_Assets!$D$4-W97)*8760*CEG_Assets!$I$4*W96</f>
        <v>0</v>
      </c>
      <c r="X98" s="9" t="n">
        <f aca="false">(CEG_Assets!$D$4-X97)*8760*CEG_Assets!$I$4*X96</f>
        <v>0</v>
      </c>
      <c r="Y98" s="9" t="n">
        <f aca="false">(CEG_Assets!$D$4-Y97)*8760*CEG_Assets!$I$4*Y96</f>
        <v>0</v>
      </c>
      <c r="Z98" s="9" t="n">
        <f aca="false">(CEG_Assets!$D$4-Z97)*8760*CEG_Assets!$I$4*Z96</f>
        <v>0</v>
      </c>
      <c r="AA98" s="9" t="n">
        <f aca="false">(CEG_Assets!$D$4-AA97)*8760*CEG_Assets!$I$4*AA96</f>
        <v>8845848</v>
      </c>
      <c r="AB98" s="9" t="n">
        <f aca="false">(CEG_Assets!$D$4-AB97)*8760*CEG_Assets!$I$4*AB96</f>
        <v>8845848</v>
      </c>
      <c r="AC98" s="9" t="n">
        <f aca="false">(CEG_Assets!$D$4-AC97)*8760*CEG_Assets!$I$4*AC96</f>
        <v>8845848</v>
      </c>
      <c r="AD98" s="9" t="n">
        <f aca="false">(CEG_Assets!$D$4-AD97)*8760*CEG_Assets!$I$4*AD96</f>
        <v>8845848</v>
      </c>
      <c r="AE98" s="9" t="n">
        <f aca="false">(CEG_Assets!$D$4-AE97)*8760*CEG_Assets!$I$4*AE96</f>
        <v>8845848</v>
      </c>
      <c r="AF98" s="9" t="n">
        <f aca="false">(CEG_Assets!$D$4-AF97)*8760*CEG_Assets!$I$4*AF96</f>
        <v>8845848</v>
      </c>
      <c r="AG98" s="9" t="n">
        <f aca="false">(CEG_Assets!$D$4-AG97)*8760*CEG_Assets!$I$4*AG96</f>
        <v>8845848</v>
      </c>
      <c r="AH98" s="9" t="n">
        <f aca="false">(CEG_Assets!$D$4-AH97)*8760*CEG_Assets!$I$4*AH96</f>
        <v>8845848</v>
      </c>
      <c r="AI98" s="9" t="n">
        <f aca="false">(CEG_Assets!$D$4-AI97)*8760*CEG_Assets!$I$4*AI96</f>
        <v>8845848</v>
      </c>
      <c r="AJ98" s="9" t="n">
        <f aca="false">(CEG_Assets!$D$4-AJ97)*8760*CEG_Assets!$I$4*AJ96</f>
        <v>0</v>
      </c>
      <c r="AK98" s="9" t="n">
        <f aca="false">(CEG_Assets!$D$4-AK97)*8760*CEG_Assets!$I$4*AK96</f>
        <v>0</v>
      </c>
      <c r="AL98" s="9" t="n">
        <f aca="false">(CEG_Assets!$D$4-AL97)*8760*CEG_Assets!$I$4*AL96</f>
        <v>0</v>
      </c>
      <c r="AM98" s="9" t="n">
        <f aca="false">(CEG_Assets!$D$4-AM97)*8760*CEG_Assets!$I$4*AM96</f>
        <v>0</v>
      </c>
      <c r="AN98" s="9" t="n">
        <f aca="false">(CEG_Assets!$D$4-AN97)*8760*CEG_Assets!$I$4*AN96</f>
        <v>0</v>
      </c>
      <c r="AO98" s="9" t="n">
        <f aca="false">(CEG_Assets!$D$4-AO97)*8760*CEG_Assets!$I$4*AO96</f>
        <v>0</v>
      </c>
      <c r="AP98" s="9" t="n">
        <f aca="false">(CEG_Assets!$D$4-AP97)*8760*CEG_Assets!$I$4*AP96</f>
        <v>0</v>
      </c>
      <c r="AQ98" s="9" t="n">
        <f aca="false">(CEG_Assets!$D$4-AQ97)*8760*CEG_Assets!$I$4*AQ96</f>
        <v>0</v>
      </c>
      <c r="AR98" s="9" t="n">
        <f aca="false">(CEG_Assets!$D$4-AR97)*8760*CEG_Assets!$I$4*AR96</f>
        <v>0</v>
      </c>
      <c r="AS98" s="9" t="n">
        <f aca="false">(CEG_Assets!$D$4-AS97)*8760*CEG_Assets!$I$4*AS96</f>
        <v>0</v>
      </c>
    </row>
    <row r="99" customFormat="false" ht="15" hidden="false" customHeight="false" outlineLevel="0" collapsed="false">
      <c r="A99" s="6" t="s">
        <v>431</v>
      </c>
      <c r="B99" s="6" t="s">
        <v>432</v>
      </c>
      <c r="G99" s="9" t="n">
        <f aca="false">G97*8760*CEG_Assets!$I$4*G96</f>
        <v>8845848</v>
      </c>
      <c r="H99" s="9" t="n">
        <f aca="false">H97*8760*CEG_Assets!$I$4*H96</f>
        <v>8845848</v>
      </c>
      <c r="I99" s="9" t="n">
        <f aca="false">I97*8760*CEG_Assets!$I$4*I96</f>
        <v>8845848</v>
      </c>
      <c r="J99" s="9" t="n">
        <f aca="false">J97*8760*CEG_Assets!$I$4*J96</f>
        <v>8845848</v>
      </c>
      <c r="K99" s="9" t="n">
        <f aca="false">K97*8760*CEG_Assets!$I$4*K96</f>
        <v>8845848</v>
      </c>
      <c r="L99" s="9" t="n">
        <f aca="false">L97*8760*CEG_Assets!$I$4*L96</f>
        <v>8845848</v>
      </c>
      <c r="M99" s="9" t="n">
        <f aca="false">M97*8760*CEG_Assets!$I$4*M96</f>
        <v>8845848</v>
      </c>
      <c r="N99" s="9" t="n">
        <f aca="false">N97*8760*CEG_Assets!$I$4*N96</f>
        <v>8845848</v>
      </c>
      <c r="O99" s="9" t="n">
        <f aca="false">O97*8760*CEG_Assets!$I$4*O96</f>
        <v>8845848</v>
      </c>
      <c r="P99" s="9" t="n">
        <f aca="false">P97*8760*CEG_Assets!$I$4*P96</f>
        <v>8845848</v>
      </c>
      <c r="Q99" s="9" t="n">
        <f aca="false">Q97*8760*CEG_Assets!$I$4*Q96</f>
        <v>8845848</v>
      </c>
      <c r="R99" s="9" t="n">
        <f aca="false">R97*8760*CEG_Assets!$I$4*R96</f>
        <v>8845848</v>
      </c>
      <c r="S99" s="9" t="n">
        <f aca="false">S97*8760*CEG_Assets!$I$4*S96</f>
        <v>8845848</v>
      </c>
      <c r="T99" s="9" t="n">
        <f aca="false">T97*8760*CEG_Assets!$I$4*T96</f>
        <v>8845848</v>
      </c>
      <c r="U99" s="9" t="n">
        <f aca="false">U97*8760*CEG_Assets!$I$4*U96</f>
        <v>8845848</v>
      </c>
      <c r="V99" s="9" t="n">
        <f aca="false">V97*8760*CEG_Assets!$I$4*V96</f>
        <v>8845848</v>
      </c>
      <c r="W99" s="9" t="n">
        <f aca="false">W97*8760*CEG_Assets!$I$4*W96</f>
        <v>8845848</v>
      </c>
      <c r="X99" s="9" t="n">
        <f aca="false">X97*8760*CEG_Assets!$I$4*X96</f>
        <v>8845848</v>
      </c>
      <c r="Y99" s="9" t="n">
        <f aca="false">Y97*8760*CEG_Assets!$I$4*Y96</f>
        <v>8845848</v>
      </c>
      <c r="Z99" s="9" t="n">
        <f aca="false">Z97*8760*CEG_Assets!$I$4*Z96</f>
        <v>8845848</v>
      </c>
      <c r="AA99" s="9" t="n">
        <f aca="false">AA97*8760*CEG_Assets!$I$4*AA96</f>
        <v>0</v>
      </c>
      <c r="AB99" s="9" t="n">
        <f aca="false">AB97*8760*CEG_Assets!$I$4*AB96</f>
        <v>0</v>
      </c>
      <c r="AC99" s="9" t="n">
        <f aca="false">AC97*8760*CEG_Assets!$I$4*AC96</f>
        <v>0</v>
      </c>
      <c r="AD99" s="9" t="n">
        <f aca="false">AD97*8760*CEG_Assets!$I$4*AD96</f>
        <v>0</v>
      </c>
      <c r="AE99" s="9" t="n">
        <f aca="false">AE97*8760*CEG_Assets!$I$4*AE96</f>
        <v>0</v>
      </c>
      <c r="AF99" s="9" t="n">
        <f aca="false">AF97*8760*CEG_Assets!$I$4*AF96</f>
        <v>0</v>
      </c>
      <c r="AG99" s="9" t="n">
        <f aca="false">AG97*8760*CEG_Assets!$I$4*AG96</f>
        <v>0</v>
      </c>
      <c r="AH99" s="9" t="n">
        <f aca="false">AH97*8760*CEG_Assets!$I$4*AH96</f>
        <v>0</v>
      </c>
      <c r="AI99" s="9" t="n">
        <f aca="false">AI97*8760*CEG_Assets!$I$4*AI96</f>
        <v>0</v>
      </c>
      <c r="AJ99" s="9" t="n">
        <f aca="false">AJ97*8760*CEG_Assets!$I$4*AJ96</f>
        <v>0</v>
      </c>
      <c r="AK99" s="9" t="n">
        <f aca="false">AK97*8760*CEG_Assets!$I$4*AK96</f>
        <v>0</v>
      </c>
      <c r="AL99" s="9" t="n">
        <f aca="false">AL97*8760*CEG_Assets!$I$4*AL96</f>
        <v>0</v>
      </c>
      <c r="AM99" s="9" t="n">
        <f aca="false">AM97*8760*CEG_Assets!$I$4*AM96</f>
        <v>0</v>
      </c>
      <c r="AN99" s="9" t="n">
        <f aca="false">AN97*8760*CEG_Assets!$I$4*AN96</f>
        <v>0</v>
      </c>
      <c r="AO99" s="9" t="n">
        <f aca="false">AO97*8760*CEG_Assets!$I$4*AO96</f>
        <v>0</v>
      </c>
      <c r="AP99" s="9" t="n">
        <f aca="false">AP97*8760*CEG_Assets!$I$4*AP96</f>
        <v>0</v>
      </c>
      <c r="AQ99" s="9" t="n">
        <f aca="false">AQ97*8760*CEG_Assets!$I$4*AQ96</f>
        <v>0</v>
      </c>
      <c r="AR99" s="9" t="n">
        <f aca="false">AR97*8760*CEG_Assets!$I$4*AR96</f>
        <v>0</v>
      </c>
      <c r="AS99" s="9" t="n">
        <f aca="false">AS97*8760*CEG_Assets!$I$4*AS96</f>
        <v>0</v>
      </c>
    </row>
    <row r="100" customFormat="false" ht="15" hidden="false" customHeight="false" outlineLevel="0" collapsed="false">
      <c r="A100" s="6" t="s">
        <v>433</v>
      </c>
      <c r="B100" s="6" t="s">
        <v>434</v>
      </c>
      <c r="G100" s="7" t="n">
        <f aca="false">IF(ISNUMBER(CEG_Assets!$L$4),CEG_Assets!$L$4*G$4,INDEX(Prices!G:G,CEG_Assets!$AO$4)+FuelAdder*G$4)</f>
        <v>4.08</v>
      </c>
      <c r="H100" s="7" t="n">
        <f aca="false">IF(ISNUMBER(CEG_Assets!$L$4),CEG_Assets!$L$4*H$4,INDEX(Prices!H:H,CEG_Assets!$AO$4)+FuelAdder*H$4)</f>
        <v>4.1616</v>
      </c>
      <c r="I100" s="7" t="n">
        <f aca="false">IF(ISNUMBER(CEG_Assets!$L$4),CEG_Assets!$L$4*I$4,INDEX(Prices!I:I,CEG_Assets!$AO$4)+FuelAdder*I$4)</f>
        <v>4.3509528</v>
      </c>
      <c r="J100" s="7" t="n">
        <f aca="false">IF(ISNUMBER(CEG_Assets!$L$4),CEG_Assets!$L$4*J$4,INDEX(Prices!J:J,CEG_Assets!$AO$4)+FuelAdder*J$4)</f>
        <v>4.437971856</v>
      </c>
      <c r="K100" s="7" t="n">
        <f aca="false">IF(ISNUMBER(CEG_Assets!$L$4),CEG_Assets!$L$4*K$4,INDEX(Prices!K:K,CEG_Assets!$AO$4)+FuelAdder*K$4)</f>
        <v>4.52673129312</v>
      </c>
      <c r="L100" s="7" t="n">
        <f aca="false">IF(ISNUMBER(CEG_Assets!$L$4),CEG_Assets!$L$4*L$4,INDEX(Prices!L:L,CEG_Assets!$AO$4)+FuelAdder*L$4)</f>
        <v>4.6172659189824</v>
      </c>
      <c r="M100" s="7" t="n">
        <f aca="false">IF(ISNUMBER(CEG_Assets!$L$4),CEG_Assets!$L$4*M$4,INDEX(Prices!M:M,CEG_Assets!$AO$4)+FuelAdder*M$4)</f>
        <v>4.70961123736205</v>
      </c>
      <c r="N100" s="7" t="n">
        <f aca="false">IF(ISNUMBER(CEG_Assets!$L$4),CEG_Assets!$L$4*N$4,INDEX(Prices!N:N,CEG_Assets!$AO$4)+FuelAdder*N$4)</f>
        <v>4.80380346210929</v>
      </c>
      <c r="O100" s="7" t="n">
        <f aca="false">IF(ISNUMBER(CEG_Assets!$L$4),CEG_Assets!$L$4*O$4,INDEX(Prices!O:O,CEG_Assets!$AO$4)+FuelAdder*O$4)</f>
        <v>4.89987953135148</v>
      </c>
      <c r="P100" s="7" t="n">
        <f aca="false">IF(ISNUMBER(CEG_Assets!$L$4),CEG_Assets!$L$4*P$4,INDEX(Prices!P:P,CEG_Assets!$AO$4)+FuelAdder*P$4)</f>
        <v>4.99787712197851</v>
      </c>
      <c r="Q100" s="7" t="n">
        <f aca="false">IF(ISNUMBER(CEG_Assets!$L$4),CEG_Assets!$L$4*Q$4,INDEX(Prices!Q:Q,CEG_Assets!$AO$4)+FuelAdder*Q$4)</f>
        <v>5.09783466441808</v>
      </c>
      <c r="R100" s="7" t="n">
        <f aca="false">IF(ISNUMBER(CEG_Assets!$L$4),CEG_Assets!$L$4*R$4,INDEX(Prices!R:R,CEG_Assets!$AO$4)+FuelAdder*R$4)</f>
        <v>5.19979135770644</v>
      </c>
      <c r="S100" s="7" t="n">
        <f aca="false">IF(ISNUMBER(CEG_Assets!$L$4),CEG_Assets!$L$4*S$4,INDEX(Prices!S:S,CEG_Assets!$AO$4)+FuelAdder*S$4)</f>
        <v>5.30378718486057</v>
      </c>
      <c r="T100" s="7" t="n">
        <f aca="false">IF(ISNUMBER(CEG_Assets!$L$4),CEG_Assets!$L$4*T$4,INDEX(Prices!T:T,CEG_Assets!$AO$4)+FuelAdder*T$4)</f>
        <v>5.40986292855778</v>
      </c>
      <c r="U100" s="7" t="n">
        <f aca="false">IF(ISNUMBER(CEG_Assets!$L$4),CEG_Assets!$L$4*U$4,INDEX(Prices!U:U,CEG_Assets!$AO$4)+FuelAdder*U$4)</f>
        <v>5.51806018712893</v>
      </c>
      <c r="V100" s="7" t="n">
        <f aca="false">IF(ISNUMBER(CEG_Assets!$L$4),CEG_Assets!$L$4*V$4,INDEX(Prices!V:V,CEG_Assets!$AO$4)+FuelAdder*V$4)</f>
        <v>5.62842139087151</v>
      </c>
      <c r="W100" s="7" t="n">
        <f aca="false">IF(ISNUMBER(CEG_Assets!$L$4),CEG_Assets!$L$4*W$4,INDEX(Prices!W:W,CEG_Assets!$AO$4)+FuelAdder*W$4)</f>
        <v>5.74098981868894</v>
      </c>
      <c r="X100" s="7" t="n">
        <f aca="false">IF(ISNUMBER(CEG_Assets!$L$4),CEG_Assets!$L$4*X$4,INDEX(Prices!X:X,CEG_Assets!$AO$4)+FuelAdder*X$4)</f>
        <v>5.85580961506272</v>
      </c>
      <c r="Y100" s="7" t="n">
        <f aca="false">IF(ISNUMBER(CEG_Assets!$L$4),CEG_Assets!$L$4*Y$4,INDEX(Prices!Y:Y,CEG_Assets!$AO$4)+FuelAdder*Y$4)</f>
        <v>5.97292580736398</v>
      </c>
      <c r="Z100" s="7" t="n">
        <f aca="false">IF(ISNUMBER(CEG_Assets!$L$4),CEG_Assets!$L$4*Z$4,INDEX(Prices!Z:Z,CEG_Assets!$AO$4)+FuelAdder*Z$4)</f>
        <v>6.09238432351126</v>
      </c>
      <c r="AA100" s="7" t="n">
        <f aca="false">IF(ISNUMBER(CEG_Assets!$L$4),CEG_Assets!$L$4*AA$4,INDEX(Prices!AA:AA,CEG_Assets!$AO$4)+FuelAdder*AA$4)</f>
        <v>6.21423200998148</v>
      </c>
      <c r="AB100" s="7" t="n">
        <f aca="false">IF(ISNUMBER(CEG_Assets!$L$4),CEG_Assets!$L$4*AB$4,INDEX(Prices!AB:AB,CEG_Assets!$AO$4)+FuelAdder*AB$4)</f>
        <v>6.33851665018111</v>
      </c>
      <c r="AC100" s="7" t="n">
        <f aca="false">IF(ISNUMBER(CEG_Assets!$L$4),CEG_Assets!$L$4*AC$4,INDEX(Prices!AC:AC,CEG_Assets!$AO$4)+FuelAdder*AC$4)</f>
        <v>6.46528698318473</v>
      </c>
      <c r="AD100" s="7" t="n">
        <f aca="false">IF(ISNUMBER(CEG_Assets!$L$4),CEG_Assets!$L$4*AD$4,INDEX(Prices!AD:AD,CEG_Assets!$AO$4)+FuelAdder*AD$4)</f>
        <v>6.59459272284843</v>
      </c>
      <c r="AE100" s="7" t="n">
        <f aca="false">IF(ISNUMBER(CEG_Assets!$L$4),CEG_Assets!$L$4*AE$4,INDEX(Prices!AE:AE,CEG_Assets!$AO$4)+FuelAdder*AE$4)</f>
        <v>6.7264845773054</v>
      </c>
      <c r="AF100" s="7" t="n">
        <f aca="false">IF(ISNUMBER(CEG_Assets!$L$4),CEG_Assets!$L$4*AF$4,INDEX(Prices!AF:AF,CEG_Assets!$AO$4)+FuelAdder*AF$4)</f>
        <v>6.8610142688515</v>
      </c>
      <c r="AG100" s="7" t="n">
        <f aca="false">IF(ISNUMBER(CEG_Assets!$L$4),CEG_Assets!$L$4*AG$4,INDEX(Prices!AG:AG,CEG_Assets!$AO$4)+FuelAdder*AG$4)</f>
        <v>6.99823455422853</v>
      </c>
      <c r="AH100" s="7" t="n">
        <f aca="false">IF(ISNUMBER(CEG_Assets!$L$4),CEG_Assets!$L$4*AH$4,INDEX(Prices!AH:AH,CEG_Assets!$AO$4)+FuelAdder*AH$4)</f>
        <v>7.13819924531311</v>
      </c>
      <c r="AI100" s="7" t="n">
        <f aca="false">IF(ISNUMBER(CEG_Assets!$L$4),CEG_Assets!$L$4*AI$4,INDEX(Prices!AI:AI,CEG_Assets!$AO$4)+FuelAdder*AI$4)</f>
        <v>7.28096323021937</v>
      </c>
      <c r="AJ100" s="7" t="n">
        <f aca="false">IF(ISNUMBER(CEG_Assets!$L$4),CEG_Assets!$L$4*AJ$4,INDEX(Prices!AJ:AJ,CEG_Assets!$AO$4)+FuelAdder*AJ$4)</f>
        <v>7.42658249482376</v>
      </c>
      <c r="AK100" s="7" t="n">
        <f aca="false">IF(ISNUMBER(CEG_Assets!$L$4),CEG_Assets!$L$4*AK$4,INDEX(Prices!AK:AK,CEG_Assets!$AO$4)+FuelAdder*AK$4)</f>
        <v>7.57511414472023</v>
      </c>
      <c r="AL100" s="7" t="n">
        <f aca="false">IF(ISNUMBER(CEG_Assets!$L$4),CEG_Assets!$L$4*AL$4,INDEX(Prices!AL:AL,CEG_Assets!$AO$4)+FuelAdder*AL$4)</f>
        <v>7.72661642761463</v>
      </c>
      <c r="AM100" s="7" t="n">
        <f aca="false">IF(ISNUMBER(CEG_Assets!$L$4),CEG_Assets!$L$4*AM$4,INDEX(Prices!AM:AM,CEG_Assets!$AO$4)+FuelAdder*AM$4)</f>
        <v>7.88114875616693</v>
      </c>
      <c r="AN100" s="7" t="n">
        <f aca="false">IF(ISNUMBER(CEG_Assets!$L$4),CEG_Assets!$L$4*AN$4,INDEX(Prices!AN:AN,CEG_Assets!$AO$4)+FuelAdder*AN$4)</f>
        <v>8.03877173129026</v>
      </c>
      <c r="AO100" s="7" t="n">
        <f aca="false">IF(ISNUMBER(CEG_Assets!$L$4),CEG_Assets!$L$4*AO$4,INDEX(Prices!AO:AO,CEG_Assets!$AO$4)+FuelAdder*AO$4)</f>
        <v>8.19954716591607</v>
      </c>
      <c r="AP100" s="7" t="n">
        <f aca="false">IF(ISNUMBER(CEG_Assets!$L$4),CEG_Assets!$L$4*AP$4,INDEX(Prices!AP:AP,CEG_Assets!$AO$4)+FuelAdder*AP$4)</f>
        <v>8.36353810923439</v>
      </c>
      <c r="AQ100" s="7" t="n">
        <f aca="false">IF(ISNUMBER(CEG_Assets!$L$4),CEG_Assets!$L$4*AQ$4,INDEX(Prices!AQ:AQ,CEG_Assets!$AO$4)+FuelAdder*AQ$4)</f>
        <v>8.53080887141908</v>
      </c>
      <c r="AR100" s="7" t="n">
        <f aca="false">IF(ISNUMBER(CEG_Assets!$L$4),CEG_Assets!$L$4*AR$4,INDEX(Prices!AR:AR,CEG_Assets!$AO$4)+FuelAdder*AR$4)</f>
        <v>8.70142504884746</v>
      </c>
      <c r="AS100" s="7" t="n">
        <f aca="false">IF(ISNUMBER(CEG_Assets!$L$4),CEG_Assets!$L$4*AS$4,INDEX(Prices!AS:AS,CEG_Assets!$AO$4)+FuelAdder*AS$4)</f>
        <v>8.87545354982441</v>
      </c>
    </row>
    <row r="101" customFormat="false" ht="15" hidden="false" customHeight="false" outlineLevel="0" collapsed="false">
      <c r="A101" s="6" t="s">
        <v>435</v>
      </c>
      <c r="B101" s="6" t="s">
        <v>436</v>
      </c>
      <c r="G101" s="7" t="n">
        <f aca="false">INDEX(Prices!G:G,CEG_Assets!$AN$4)*CEG_Assets!$J$4-CEG_Assets!$K$4*G100-CEG_Assets!$M$4*G$4</f>
        <v>59.1624</v>
      </c>
      <c r="H101" s="7" t="n">
        <f aca="false">INDEX(Prices!H:H,CEG_Assets!$AN$4)*CEG_Assets!$J$4-CEG_Assets!$K$4*H100-CEG_Assets!$M$4*H$4</f>
        <v>59.9841</v>
      </c>
      <c r="I101" s="7" t="n">
        <f aca="false">INDEX(Prices!I:I,CEG_Assets!$AN$4)*CEG_Assets!$J$4-CEG_Assets!$K$4*I100-CEG_Assets!$M$4*I$4</f>
        <v>55.01743780203</v>
      </c>
      <c r="J101" s="7" t="n">
        <f aca="false">INDEX(Prices!J:J,CEG_Assets!$AN$4)*CEG_Assets!$J$4-CEG_Assets!$K$4*J100-CEG_Assets!$M$4*J$4</f>
        <v>53.5661931161412</v>
      </c>
      <c r="K101" s="7" t="n">
        <f aca="false">INDEX(Prices!K:K,CEG_Assets!$AN$4)*CEG_Assets!$J$4-CEG_Assets!$K$4*K100-CEG_Assets!$M$4*K$4</f>
        <v>54.637516978464</v>
      </c>
      <c r="L101" s="7" t="n">
        <f aca="false">INDEX(Prices!L:L,CEG_Assets!$AN$4)*CEG_Assets!$J$4-CEG_Assets!$K$4*L100-CEG_Assets!$M$4*L$4</f>
        <v>55.7302673180333</v>
      </c>
      <c r="M101" s="7" t="n">
        <f aca="false">INDEX(Prices!M:M,CEG_Assets!$AN$4)*CEG_Assets!$J$4-CEG_Assets!$K$4*M100-CEG_Assets!$M$4*M$4</f>
        <v>56.844872664394</v>
      </c>
      <c r="N101" s="7" t="n">
        <f aca="false">INDEX(Prices!N:N,CEG_Assets!$AN$4)*CEG_Assets!$J$4-CEG_Assets!$K$4*N100-CEG_Assets!$M$4*N$4</f>
        <v>57.9817701176819</v>
      </c>
      <c r="O101" s="7" t="n">
        <f aca="false">INDEX(Prices!O:O,CEG_Assets!$AN$4)*CEG_Assets!$J$4-CEG_Assets!$K$4*O100-CEG_Assets!$M$4*O$4</f>
        <v>59.1414055200355</v>
      </c>
      <c r="P101" s="7" t="n">
        <f aca="false">INDEX(Prices!P:P,CEG_Assets!$AN$4)*CEG_Assets!$J$4-CEG_Assets!$K$4*P100-CEG_Assets!$M$4*P$4</f>
        <v>60.3242336304362</v>
      </c>
      <c r="Q101" s="7" t="n">
        <f aca="false">INDEX(Prices!Q:Q,CEG_Assets!$AN$4)*CEG_Assets!$J$4-CEG_Assets!$K$4*Q100-CEG_Assets!$M$4*Q$4</f>
        <v>61.5307183030449</v>
      </c>
      <c r="R101" s="7" t="n">
        <f aca="false">INDEX(Prices!R:R,CEG_Assets!$AN$4)*CEG_Assets!$J$4-CEG_Assets!$K$4*R100-CEG_Assets!$M$4*R$4</f>
        <v>62.7613326691058</v>
      </c>
      <c r="S101" s="7" t="n">
        <f aca="false">INDEX(Prices!S:S,CEG_Assets!$AN$4)*CEG_Assets!$J$4-CEG_Assets!$K$4*S100-CEG_Assets!$M$4*S$4</f>
        <v>64.016559322488</v>
      </c>
      <c r="T101" s="7" t="n">
        <f aca="false">INDEX(Prices!T:T,CEG_Assets!$AN$4)*CEG_Assets!$J$4-CEG_Assets!$K$4*T100-CEG_Assets!$M$4*T$4</f>
        <v>65.2968905089377</v>
      </c>
      <c r="U101" s="7" t="n">
        <f aca="false">INDEX(Prices!U:U,CEG_Assets!$AN$4)*CEG_Assets!$J$4-CEG_Assets!$K$4*U100-CEG_Assets!$M$4*U$4</f>
        <v>66.6028283191165</v>
      </c>
      <c r="V101" s="7" t="n">
        <f aca="false">INDEX(Prices!V:V,CEG_Assets!$AN$4)*CEG_Assets!$J$4-CEG_Assets!$K$4*V100-CEG_Assets!$M$4*V$4</f>
        <v>67.9348848854988</v>
      </c>
      <c r="W101" s="7" t="n">
        <f aca="false">INDEX(Prices!W:W,CEG_Assets!$AN$4)*CEG_Assets!$J$4-CEG_Assets!$K$4*W100-CEG_Assets!$M$4*W$4</f>
        <v>69.2935825832088</v>
      </c>
      <c r="X101" s="7" t="n">
        <f aca="false">INDEX(Prices!X:X,CEG_Assets!$AN$4)*CEG_Assets!$J$4-CEG_Assets!$K$4*X100-CEG_Assets!$M$4*X$4</f>
        <v>70.679454234873</v>
      </c>
      <c r="Y101" s="7" t="n">
        <f aca="false">INDEX(Prices!Y:Y,CEG_Assets!$AN$4)*CEG_Assets!$J$4-CEG_Assets!$K$4*Y100-CEG_Assets!$M$4*Y$4</f>
        <v>72.0930433195704</v>
      </c>
      <c r="Z101" s="7" t="n">
        <f aca="false">INDEX(Prices!Z:Z,CEG_Assets!$AN$4)*CEG_Assets!$J$4-CEG_Assets!$K$4*Z100-CEG_Assets!$M$4*Z$4</f>
        <v>73.5349041859618</v>
      </c>
      <c r="AA101" s="7" t="n">
        <f aca="false">INDEX(Prices!AA:AA,CEG_Assets!$AN$4)*CEG_Assets!$J$4-CEG_Assets!$K$4*AA100-CEG_Assets!$M$4*AA$4</f>
        <v>75.0056022696811</v>
      </c>
      <c r="AB101" s="7" t="n">
        <f aca="false">INDEX(Prices!AB:AB,CEG_Assets!$AN$4)*CEG_Assets!$J$4-CEG_Assets!$K$4*AB100-CEG_Assets!$M$4*AB$4</f>
        <v>76.5057143150747</v>
      </c>
      <c r="AC101" s="7" t="n">
        <f aca="false">INDEX(Prices!AC:AC,CEG_Assets!$AN$4)*CEG_Assets!$J$4-CEG_Assets!$K$4*AC100-CEG_Assets!$M$4*AC$4</f>
        <v>78.0358286013762</v>
      </c>
      <c r="AD101" s="7" t="n">
        <f aca="false">INDEX(Prices!AD:AD,CEG_Assets!$AN$4)*CEG_Assets!$J$4-CEG_Assets!$K$4*AD100-CEG_Assets!$M$4*AD$4</f>
        <v>79.5965451734037</v>
      </c>
      <c r="AE101" s="7" t="n">
        <f aca="false">INDEX(Prices!AE:AE,CEG_Assets!$AN$4)*CEG_Assets!$J$4-CEG_Assets!$K$4*AE100-CEG_Assets!$M$4*AE$4</f>
        <v>81.1884760768718</v>
      </c>
      <c r="AF101" s="7" t="n">
        <f aca="false">INDEX(Prices!AF:AF,CEG_Assets!$AN$4)*CEG_Assets!$J$4-CEG_Assets!$K$4*AF100-CEG_Assets!$M$4*AF$4</f>
        <v>82.8122455984092</v>
      </c>
      <c r="AG101" s="7" t="n">
        <f aca="false">INDEX(Prices!AG:AG,CEG_Assets!$AN$4)*CEG_Assets!$J$4-CEG_Assets!$K$4*AG100-CEG_Assets!$M$4*AG$4</f>
        <v>84.4684905103774</v>
      </c>
      <c r="AH101" s="7" t="n">
        <f aca="false">INDEX(Prices!AH:AH,CEG_Assets!$AN$4)*CEG_Assets!$J$4-CEG_Assets!$K$4*AH100-CEG_Assets!$M$4*AH$4</f>
        <v>86.157860320585</v>
      </c>
      <c r="AI101" s="7" t="n">
        <f aca="false">INDEX(Prices!AI:AI,CEG_Assets!$AN$4)*CEG_Assets!$J$4-CEG_Assets!$K$4*AI100-CEG_Assets!$M$4*AI$4</f>
        <v>87.8810175269967</v>
      </c>
      <c r="AJ101" s="7" t="n">
        <f aca="false">INDEX(Prices!AJ:AJ,CEG_Assets!$AN$4)*CEG_Assets!$J$4-CEG_Assets!$K$4*AJ100-CEG_Assets!$M$4*AJ$4</f>
        <v>89.6386378775366</v>
      </c>
      <c r="AK101" s="7" t="n">
        <f aca="false">INDEX(Prices!AK:AK,CEG_Assets!$AN$4)*CEG_Assets!$J$4-CEG_Assets!$K$4*AK100-CEG_Assets!$M$4*AK$4</f>
        <v>91.4314106350873</v>
      </c>
      <c r="AL101" s="7" t="n">
        <f aca="false">INDEX(Prices!AL:AL,CEG_Assets!$AN$4)*CEG_Assets!$J$4-CEG_Assets!$K$4*AL100-CEG_Assets!$M$4*AL$4</f>
        <v>93.2600388477891</v>
      </c>
      <c r="AM101" s="7" t="n">
        <f aca="false">INDEX(Prices!AM:AM,CEG_Assets!$AN$4)*CEG_Assets!$J$4-CEG_Assets!$K$4*AM100-CEG_Assets!$M$4*AM$4</f>
        <v>95.1252396247449</v>
      </c>
      <c r="AN101" s="7" t="n">
        <f aca="false">INDEX(Prices!AN:AN,CEG_Assets!$AN$4)*CEG_Assets!$J$4-CEG_Assets!$K$4*AN100-CEG_Assets!$M$4*AN$4</f>
        <v>97.0277444172398</v>
      </c>
      <c r="AO101" s="7" t="n">
        <f aca="false">INDEX(Prices!AO:AO,CEG_Assets!$AN$4)*CEG_Assets!$J$4-CEG_Assets!$K$4*AO100-CEG_Assets!$M$4*AO$4</f>
        <v>98.9682993055846</v>
      </c>
      <c r="AP101" s="7" t="n">
        <f aca="false">INDEX(Prices!AP:AP,CEG_Assets!$AN$4)*CEG_Assets!$J$4-CEG_Assets!$K$4*AP100-CEG_Assets!$M$4*AP$4</f>
        <v>100.947665291696</v>
      </c>
      <c r="AQ101" s="7" t="n">
        <f aca="false">INDEX(Prices!AQ:AQ,CEG_Assets!$AN$4)*CEG_Assets!$J$4-CEG_Assets!$K$4*AQ100-CEG_Assets!$M$4*AQ$4</f>
        <v>102.96661859753</v>
      </c>
      <c r="AR101" s="7" t="n">
        <f aca="false">INDEX(Prices!AR:AR,CEG_Assets!$AN$4)*CEG_Assets!$J$4-CEG_Assets!$K$4*AR100-CEG_Assets!$M$4*AR$4</f>
        <v>105.025950969481</v>
      </c>
      <c r="AS101" s="7" t="n">
        <f aca="false">INDEX(Prices!AS:AS,CEG_Assets!$AN$4)*CEG_Assets!$J$4-CEG_Assets!$K$4*AS100-CEG_Assets!$M$4*AS$4</f>
        <v>107.12646998887</v>
      </c>
    </row>
    <row r="102" customFormat="false" ht="15" hidden="false" customHeight="false" outlineLevel="0" collapsed="false">
      <c r="A102" s="6" t="s">
        <v>437</v>
      </c>
      <c r="B102" s="6" t="s">
        <v>438</v>
      </c>
      <c r="G102" s="47" t="n">
        <f aca="false">IF(CEG_Assets!$X$4=1,IF(G101&gt;0,1,0),1)</f>
        <v>1</v>
      </c>
      <c r="H102" s="47" t="n">
        <f aca="false">IF(CEG_Assets!$X$4=1,IF(H101&gt;0,1,0),1)</f>
        <v>1</v>
      </c>
      <c r="I102" s="47" t="n">
        <f aca="false">IF(CEG_Assets!$X$4=1,IF(I101&gt;0,1,0),1)</f>
        <v>1</v>
      </c>
      <c r="J102" s="47" t="n">
        <f aca="false">IF(CEG_Assets!$X$4=1,IF(J101&gt;0,1,0),1)</f>
        <v>1</v>
      </c>
      <c r="K102" s="47" t="n">
        <f aca="false">IF(CEG_Assets!$X$4=1,IF(K101&gt;0,1,0),1)</f>
        <v>1</v>
      </c>
      <c r="L102" s="47" t="n">
        <f aca="false">IF(CEG_Assets!$X$4=1,IF(L101&gt;0,1,0),1)</f>
        <v>1</v>
      </c>
      <c r="M102" s="47" t="n">
        <f aca="false">IF(CEG_Assets!$X$4=1,IF(M101&gt;0,1,0),1)</f>
        <v>1</v>
      </c>
      <c r="N102" s="47" t="n">
        <f aca="false">IF(CEG_Assets!$X$4=1,IF(N101&gt;0,1,0),1)</f>
        <v>1</v>
      </c>
      <c r="O102" s="47" t="n">
        <f aca="false">IF(CEG_Assets!$X$4=1,IF(O101&gt;0,1,0),1)</f>
        <v>1</v>
      </c>
      <c r="P102" s="47" t="n">
        <f aca="false">IF(CEG_Assets!$X$4=1,IF(P101&gt;0,1,0),1)</f>
        <v>1</v>
      </c>
      <c r="Q102" s="47" t="n">
        <f aca="false">IF(CEG_Assets!$X$4=1,IF(Q101&gt;0,1,0),1)</f>
        <v>1</v>
      </c>
      <c r="R102" s="47" t="n">
        <f aca="false">IF(CEG_Assets!$X$4=1,IF(R101&gt;0,1,0),1)</f>
        <v>1</v>
      </c>
      <c r="S102" s="47" t="n">
        <f aca="false">IF(CEG_Assets!$X$4=1,IF(S101&gt;0,1,0),1)</f>
        <v>1</v>
      </c>
      <c r="T102" s="47" t="n">
        <f aca="false">IF(CEG_Assets!$X$4=1,IF(T101&gt;0,1,0),1)</f>
        <v>1</v>
      </c>
      <c r="U102" s="47" t="n">
        <f aca="false">IF(CEG_Assets!$X$4=1,IF(U101&gt;0,1,0),1)</f>
        <v>1</v>
      </c>
      <c r="V102" s="47" t="n">
        <f aca="false">IF(CEG_Assets!$X$4=1,IF(V101&gt;0,1,0),1)</f>
        <v>1</v>
      </c>
      <c r="W102" s="47" t="n">
        <f aca="false">IF(CEG_Assets!$X$4=1,IF(W101&gt;0,1,0),1)</f>
        <v>1</v>
      </c>
      <c r="X102" s="47" t="n">
        <f aca="false">IF(CEG_Assets!$X$4=1,IF(X101&gt;0,1,0),1)</f>
        <v>1</v>
      </c>
      <c r="Y102" s="47" t="n">
        <f aca="false">IF(CEG_Assets!$X$4=1,IF(Y101&gt;0,1,0),1)</f>
        <v>1</v>
      </c>
      <c r="Z102" s="47" t="n">
        <f aca="false">IF(CEG_Assets!$X$4=1,IF(Z101&gt;0,1,0),1)</f>
        <v>1</v>
      </c>
      <c r="AA102" s="47" t="n">
        <f aca="false">IF(CEG_Assets!$X$4=1,IF(AA101&gt;0,1,0),1)</f>
        <v>1</v>
      </c>
      <c r="AB102" s="47" t="n">
        <f aca="false">IF(CEG_Assets!$X$4=1,IF(AB101&gt;0,1,0),1)</f>
        <v>1</v>
      </c>
      <c r="AC102" s="47" t="n">
        <f aca="false">IF(CEG_Assets!$X$4=1,IF(AC101&gt;0,1,0),1)</f>
        <v>1</v>
      </c>
      <c r="AD102" s="47" t="n">
        <f aca="false">IF(CEG_Assets!$X$4=1,IF(AD101&gt;0,1,0),1)</f>
        <v>1</v>
      </c>
      <c r="AE102" s="47" t="n">
        <f aca="false">IF(CEG_Assets!$X$4=1,IF(AE101&gt;0,1,0),1)</f>
        <v>1</v>
      </c>
      <c r="AF102" s="47" t="n">
        <f aca="false">IF(CEG_Assets!$X$4=1,IF(AF101&gt;0,1,0),1)</f>
        <v>1</v>
      </c>
      <c r="AG102" s="47" t="n">
        <f aca="false">IF(CEG_Assets!$X$4=1,IF(AG101&gt;0,1,0),1)</f>
        <v>1</v>
      </c>
      <c r="AH102" s="47" t="n">
        <f aca="false">IF(CEG_Assets!$X$4=1,IF(AH101&gt;0,1,0),1)</f>
        <v>1</v>
      </c>
      <c r="AI102" s="47" t="n">
        <f aca="false">IF(CEG_Assets!$X$4=1,IF(AI101&gt;0,1,0),1)</f>
        <v>1</v>
      </c>
      <c r="AJ102" s="47" t="n">
        <f aca="false">IF(CEG_Assets!$X$4=1,IF(AJ101&gt;0,1,0),1)</f>
        <v>1</v>
      </c>
      <c r="AK102" s="47" t="n">
        <f aca="false">IF(CEG_Assets!$X$4=1,IF(AK101&gt;0,1,0),1)</f>
        <v>1</v>
      </c>
      <c r="AL102" s="47" t="n">
        <f aca="false">IF(CEG_Assets!$X$4=1,IF(AL101&gt;0,1,0),1)</f>
        <v>1</v>
      </c>
      <c r="AM102" s="47" t="n">
        <f aca="false">IF(CEG_Assets!$X$4=1,IF(AM101&gt;0,1,0),1)</f>
        <v>1</v>
      </c>
      <c r="AN102" s="47" t="n">
        <f aca="false">IF(CEG_Assets!$X$4=1,IF(AN101&gt;0,1,0),1)</f>
        <v>1</v>
      </c>
      <c r="AO102" s="47" t="n">
        <f aca="false">IF(CEG_Assets!$X$4=1,IF(AO101&gt;0,1,0),1)</f>
        <v>1</v>
      </c>
      <c r="AP102" s="47" t="n">
        <f aca="false">IF(CEG_Assets!$X$4=1,IF(AP101&gt;0,1,0),1)</f>
        <v>1</v>
      </c>
      <c r="AQ102" s="47" t="n">
        <f aca="false">IF(CEG_Assets!$X$4=1,IF(AQ101&gt;0,1,0),1)</f>
        <v>1</v>
      </c>
      <c r="AR102" s="47" t="n">
        <f aca="false">IF(CEG_Assets!$X$4=1,IF(AR101&gt;0,1,0),1)</f>
        <v>1</v>
      </c>
      <c r="AS102" s="47" t="n">
        <f aca="false">IF(CEG_Assets!$X$4=1,IF(AS101&gt;0,1,0),1)</f>
        <v>1</v>
      </c>
    </row>
    <row r="103" customFormat="false" ht="15" hidden="false" customHeight="false" outlineLevel="0" collapsed="false">
      <c r="A103" s="6" t="s">
        <v>439</v>
      </c>
      <c r="B103" s="6" t="s">
        <v>440</v>
      </c>
      <c r="C103" s="9" t="n">
        <f aca="false">SUM(G103:AS103)</f>
        <v>6472.08043828387</v>
      </c>
      <c r="G103" s="8" t="n">
        <f aca="false">G98*INDEX(Prices!G:G,CEG_Assets!$AN$4)*CEG_Assets!$J$4*G102/1000000*(1+CEG_RevAdj)</f>
        <v>0</v>
      </c>
      <c r="H103" s="8" t="n">
        <f aca="false">H98*INDEX(Prices!H:H,CEG_Assets!$AN$4)*CEG_Assets!$J$4*H102/1000000*(1+CEG_RevAdj)</f>
        <v>0</v>
      </c>
      <c r="I103" s="8" t="n">
        <f aca="false">I98*INDEX(Prices!I:I,CEG_Assets!$AN$4)*CEG_Assets!$J$4*I102/1000000*(1+CEG_RevAdj)</f>
        <v>0</v>
      </c>
      <c r="J103" s="8" t="n">
        <f aca="false">J98*INDEX(Prices!J:J,CEG_Assets!$AN$4)*CEG_Assets!$J$4*J102/1000000*(1+CEG_RevAdj)</f>
        <v>0</v>
      </c>
      <c r="K103" s="8" t="n">
        <f aca="false">K98*INDEX(Prices!K:K,CEG_Assets!$AN$4)*CEG_Assets!$J$4*K102/1000000*(1+CEG_RevAdj)</f>
        <v>0</v>
      </c>
      <c r="L103" s="8" t="n">
        <f aca="false">L98*INDEX(Prices!L:L,CEG_Assets!$AN$4)*CEG_Assets!$J$4*L102/1000000*(1+CEG_RevAdj)</f>
        <v>0</v>
      </c>
      <c r="M103" s="8" t="n">
        <f aca="false">M98*INDEX(Prices!M:M,CEG_Assets!$AN$4)*CEG_Assets!$J$4*M102/1000000*(1+CEG_RevAdj)</f>
        <v>0</v>
      </c>
      <c r="N103" s="8" t="n">
        <f aca="false">N98*INDEX(Prices!N:N,CEG_Assets!$AN$4)*CEG_Assets!$J$4*N102/1000000*(1+CEG_RevAdj)</f>
        <v>0</v>
      </c>
      <c r="O103" s="8" t="n">
        <f aca="false">O98*INDEX(Prices!O:O,CEG_Assets!$AN$4)*CEG_Assets!$J$4*O102/1000000*(1+CEG_RevAdj)</f>
        <v>0</v>
      </c>
      <c r="P103" s="8" t="n">
        <f aca="false">P98*INDEX(Prices!P:P,CEG_Assets!$AN$4)*CEG_Assets!$J$4*P102/1000000*(1+CEG_RevAdj)</f>
        <v>0</v>
      </c>
      <c r="Q103" s="8" t="n">
        <f aca="false">Q98*INDEX(Prices!Q:Q,CEG_Assets!$AN$4)*CEG_Assets!$J$4*Q102/1000000*(1+CEG_RevAdj)</f>
        <v>0</v>
      </c>
      <c r="R103" s="8" t="n">
        <f aca="false">R98*INDEX(Prices!R:R,CEG_Assets!$AN$4)*CEG_Assets!$J$4*R102/1000000*(1+CEG_RevAdj)</f>
        <v>0</v>
      </c>
      <c r="S103" s="8" t="n">
        <f aca="false">S98*INDEX(Prices!S:S,CEG_Assets!$AN$4)*CEG_Assets!$J$4*S102/1000000*(1+CEG_RevAdj)</f>
        <v>0</v>
      </c>
      <c r="T103" s="8" t="n">
        <f aca="false">T98*INDEX(Prices!T:T,CEG_Assets!$AN$4)*CEG_Assets!$J$4*T102/1000000*(1+CEG_RevAdj)</f>
        <v>0</v>
      </c>
      <c r="U103" s="8" t="n">
        <f aca="false">U98*INDEX(Prices!U:U,CEG_Assets!$AN$4)*CEG_Assets!$J$4*U102/1000000*(1+CEG_RevAdj)</f>
        <v>0</v>
      </c>
      <c r="V103" s="8" t="n">
        <f aca="false">V98*INDEX(Prices!V:V,CEG_Assets!$AN$4)*CEG_Assets!$J$4*V102/1000000*(1+CEG_RevAdj)</f>
        <v>0</v>
      </c>
      <c r="W103" s="8" t="n">
        <f aca="false">W98*INDEX(Prices!W:W,CEG_Assets!$AN$4)*CEG_Assets!$J$4*W102/1000000*(1+CEG_RevAdj)</f>
        <v>0</v>
      </c>
      <c r="X103" s="8" t="n">
        <f aca="false">X98*INDEX(Prices!X:X,CEG_Assets!$AN$4)*CEG_Assets!$J$4*X102/1000000*(1+CEG_RevAdj)</f>
        <v>0</v>
      </c>
      <c r="Y103" s="8" t="n">
        <f aca="false">Y98*INDEX(Prices!Y:Y,CEG_Assets!$AN$4)*CEG_Assets!$J$4*Y102/1000000*(1+CEG_RevAdj)</f>
        <v>0</v>
      </c>
      <c r="Z103" s="8" t="n">
        <f aca="false">Z98*INDEX(Prices!Z:Z,CEG_Assets!$AN$4)*CEG_Assets!$J$4*Z102/1000000*(1+CEG_RevAdj)</f>
        <v>0</v>
      </c>
      <c r="AA103" s="8" t="n">
        <f aca="false">AA98*INDEX(Prices!AA:AA,CEG_Assets!$AN$4)*CEG_Assets!$J$4*AA102/1000000*(1+CEG_RevAdj)</f>
        <v>663.488156826054</v>
      </c>
      <c r="AB103" s="8" t="n">
        <f aca="false">AB98*INDEX(Prices!AB:AB,CEG_Assets!$AN$4)*CEG_Assets!$J$4*AB102/1000000*(1+CEG_RevAdj)</f>
        <v>676.757919962575</v>
      </c>
      <c r="AC103" s="8" t="n">
        <f aca="false">AC98*INDEX(Prices!AC:AC,CEG_Assets!$AN$4)*CEG_Assets!$J$4*AC102/1000000*(1+CEG_RevAdj)</f>
        <v>690.293078361826</v>
      </c>
      <c r="AD103" s="8" t="n">
        <f aca="false">AD98*INDEX(Prices!AD:AD,CEG_Assets!$AN$4)*CEG_Assets!$J$4*AD102/1000000*(1+CEG_RevAdj)</f>
        <v>704.098939929063</v>
      </c>
      <c r="AE103" s="8" t="n">
        <f aca="false">AE98*INDEX(Prices!AE:AE,CEG_Assets!$AN$4)*CEG_Assets!$J$4*AE102/1000000*(1+CEG_RevAdj)</f>
        <v>718.180918727644</v>
      </c>
      <c r="AF103" s="8" t="n">
        <f aca="false">AF98*INDEX(Prices!AF:AF,CEG_Assets!$AN$4)*CEG_Assets!$J$4*AF102/1000000*(1+CEG_RevAdj)</f>
        <v>732.544537102197</v>
      </c>
      <c r="AG103" s="8" t="n">
        <f aca="false">AG98*INDEX(Prices!AG:AG,CEG_Assets!$AN$4)*CEG_Assets!$J$4*AG102/1000000*(1+CEG_RevAdj)</f>
        <v>747.195427844241</v>
      </c>
      <c r="AH103" s="8" t="n">
        <f aca="false">AH98*INDEX(Prices!AH:AH,CEG_Assets!$AN$4)*CEG_Assets!$J$4*AH102/1000000*(1+CEG_RevAdj)</f>
        <v>762.139336401126</v>
      </c>
      <c r="AI103" s="8" t="n">
        <f aca="false">AI98*INDEX(Prices!AI:AI,CEG_Assets!$AN$4)*CEG_Assets!$J$4*AI102/1000000*(1+CEG_RevAdj)</f>
        <v>777.382123129148</v>
      </c>
      <c r="AJ103" s="8" t="n">
        <f aca="false">AJ98*INDEX(Prices!AJ:AJ,CEG_Assets!$AN$4)*CEG_Assets!$J$4*AJ102/1000000*(1+CEG_RevAdj)</f>
        <v>0</v>
      </c>
      <c r="AK103" s="8" t="n">
        <f aca="false">AK98*INDEX(Prices!AK:AK,CEG_Assets!$AN$4)*CEG_Assets!$J$4*AK102/1000000*(1+CEG_RevAdj)</f>
        <v>0</v>
      </c>
      <c r="AL103" s="8" t="n">
        <f aca="false">AL98*INDEX(Prices!AL:AL,CEG_Assets!$AN$4)*CEG_Assets!$J$4*AL102/1000000*(1+CEG_RevAdj)</f>
        <v>0</v>
      </c>
      <c r="AM103" s="8" t="n">
        <f aca="false">AM98*INDEX(Prices!AM:AM,CEG_Assets!$AN$4)*CEG_Assets!$J$4*AM102/1000000*(1+CEG_RevAdj)</f>
        <v>0</v>
      </c>
      <c r="AN103" s="8" t="n">
        <f aca="false">AN98*INDEX(Prices!AN:AN,CEG_Assets!$AN$4)*CEG_Assets!$J$4*AN102/1000000*(1+CEG_RevAdj)</f>
        <v>0</v>
      </c>
      <c r="AO103" s="8" t="n">
        <f aca="false">AO98*INDEX(Prices!AO:AO,CEG_Assets!$AN$4)*CEG_Assets!$J$4*AO102/1000000*(1+CEG_RevAdj)</f>
        <v>0</v>
      </c>
      <c r="AP103" s="8" t="n">
        <f aca="false">AP98*INDEX(Prices!AP:AP,CEG_Assets!$AN$4)*CEG_Assets!$J$4*AP102/1000000*(1+CEG_RevAdj)</f>
        <v>0</v>
      </c>
      <c r="AQ103" s="8" t="n">
        <f aca="false">AQ98*INDEX(Prices!AQ:AQ,CEG_Assets!$AN$4)*CEG_Assets!$J$4*AQ102/1000000*(1+CEG_RevAdj)</f>
        <v>0</v>
      </c>
      <c r="AR103" s="8" t="n">
        <f aca="false">AR98*INDEX(Prices!AR:AR,CEG_Assets!$AN$4)*CEG_Assets!$J$4*AR102/1000000*(1+CEG_RevAdj)</f>
        <v>0</v>
      </c>
      <c r="AS103" s="8" t="n">
        <f aca="false">AS98*INDEX(Prices!AS:AS,CEG_Assets!$AN$4)*CEG_Assets!$J$4*AS102/1000000*(1+CEG_RevAdj)</f>
        <v>0</v>
      </c>
    </row>
    <row r="104" customFormat="false" ht="15" hidden="false" customHeight="false" outlineLevel="0" collapsed="false">
      <c r="A104" s="6" t="s">
        <v>441</v>
      </c>
      <c r="B104" s="6" t="s">
        <v>442</v>
      </c>
      <c r="C104" s="9" t="n">
        <f aca="false">SUM(G104:AS104)</f>
        <v>609.042007774928</v>
      </c>
      <c r="G104" s="8" t="n">
        <f aca="false">(CEG_Assets!$D$4-G97)*INDEX(Prices!G:G,CEG_Assets!$AP$4)*365*CEG_Assets!$T$4*G96/1000000*(1+CEG_RevAdj)</f>
        <v>0</v>
      </c>
      <c r="H104" s="8" t="n">
        <f aca="false">(CEG_Assets!$D$4-H97)*INDEX(Prices!H:H,CEG_Assets!$AP$4)*365*CEG_Assets!$T$4*H96/1000000*(1+CEG_RevAdj)</f>
        <v>0</v>
      </c>
      <c r="I104" s="8" t="n">
        <f aca="false">(CEG_Assets!$D$4-I97)*INDEX(Prices!I:I,CEG_Assets!$AP$4)*365*CEG_Assets!$T$4*I96/1000000*(1+CEG_RevAdj)</f>
        <v>0</v>
      </c>
      <c r="J104" s="8" t="n">
        <f aca="false">(CEG_Assets!$D$4-J97)*INDEX(Prices!J:J,CEG_Assets!$AP$4)*365*CEG_Assets!$T$4*J96/1000000*(1+CEG_RevAdj)</f>
        <v>0</v>
      </c>
      <c r="K104" s="8" t="n">
        <f aca="false">(CEG_Assets!$D$4-K97)*INDEX(Prices!K:K,CEG_Assets!$AP$4)*365*CEG_Assets!$T$4*K96/1000000*(1+CEG_RevAdj)</f>
        <v>0</v>
      </c>
      <c r="L104" s="8" t="n">
        <f aca="false">(CEG_Assets!$D$4-L97)*INDEX(Prices!L:L,CEG_Assets!$AP$4)*365*CEG_Assets!$T$4*L96/1000000*(1+CEG_RevAdj)</f>
        <v>0</v>
      </c>
      <c r="M104" s="8" t="n">
        <f aca="false">(CEG_Assets!$D$4-M97)*INDEX(Prices!M:M,CEG_Assets!$AP$4)*365*CEG_Assets!$T$4*M96/1000000*(1+CEG_RevAdj)</f>
        <v>0</v>
      </c>
      <c r="N104" s="8" t="n">
        <f aca="false">(CEG_Assets!$D$4-N97)*INDEX(Prices!N:N,CEG_Assets!$AP$4)*365*CEG_Assets!$T$4*N96/1000000*(1+CEG_RevAdj)</f>
        <v>0</v>
      </c>
      <c r="O104" s="8" t="n">
        <f aca="false">(CEG_Assets!$D$4-O97)*INDEX(Prices!O:O,CEG_Assets!$AP$4)*365*CEG_Assets!$T$4*O96/1000000*(1+CEG_RevAdj)</f>
        <v>0</v>
      </c>
      <c r="P104" s="8" t="n">
        <f aca="false">(CEG_Assets!$D$4-P97)*INDEX(Prices!P:P,CEG_Assets!$AP$4)*365*CEG_Assets!$T$4*P96/1000000*(1+CEG_RevAdj)</f>
        <v>0</v>
      </c>
      <c r="Q104" s="8" t="n">
        <f aca="false">(CEG_Assets!$D$4-Q97)*INDEX(Prices!Q:Q,CEG_Assets!$AP$4)*365*CEG_Assets!$T$4*Q96/1000000*(1+CEG_RevAdj)</f>
        <v>0</v>
      </c>
      <c r="R104" s="8" t="n">
        <f aca="false">(CEG_Assets!$D$4-R97)*INDEX(Prices!R:R,CEG_Assets!$AP$4)*365*CEG_Assets!$T$4*R96/1000000*(1+CEG_RevAdj)</f>
        <v>0</v>
      </c>
      <c r="S104" s="8" t="n">
        <f aca="false">(CEG_Assets!$D$4-S97)*INDEX(Prices!S:S,CEG_Assets!$AP$4)*365*CEG_Assets!$T$4*S96/1000000*(1+CEG_RevAdj)</f>
        <v>0</v>
      </c>
      <c r="T104" s="8" t="n">
        <f aca="false">(CEG_Assets!$D$4-T97)*INDEX(Prices!T:T,CEG_Assets!$AP$4)*365*CEG_Assets!$T$4*T96/1000000*(1+CEG_RevAdj)</f>
        <v>0</v>
      </c>
      <c r="U104" s="8" t="n">
        <f aca="false">(CEG_Assets!$D$4-U97)*INDEX(Prices!U:U,CEG_Assets!$AP$4)*365*CEG_Assets!$T$4*U96/1000000*(1+CEG_RevAdj)</f>
        <v>0</v>
      </c>
      <c r="V104" s="8" t="n">
        <f aca="false">(CEG_Assets!$D$4-V97)*INDEX(Prices!V:V,CEG_Assets!$AP$4)*365*CEG_Assets!$T$4*V96/1000000*(1+CEG_RevAdj)</f>
        <v>0</v>
      </c>
      <c r="W104" s="8" t="n">
        <f aca="false">(CEG_Assets!$D$4-W97)*INDEX(Prices!W:W,CEG_Assets!$AP$4)*365*CEG_Assets!$T$4*W96/1000000*(1+CEG_RevAdj)</f>
        <v>0</v>
      </c>
      <c r="X104" s="8" t="n">
        <f aca="false">(CEG_Assets!$D$4-X97)*INDEX(Prices!X:X,CEG_Assets!$AP$4)*365*CEG_Assets!$T$4*X96/1000000*(1+CEG_RevAdj)</f>
        <v>0</v>
      </c>
      <c r="Y104" s="8" t="n">
        <f aca="false">(CEG_Assets!$D$4-Y97)*INDEX(Prices!Y:Y,CEG_Assets!$AP$4)*365*CEG_Assets!$T$4*Y96/1000000*(1+CEG_RevAdj)</f>
        <v>0</v>
      </c>
      <c r="Z104" s="8" t="n">
        <f aca="false">(CEG_Assets!$D$4-Z97)*INDEX(Prices!Z:Z,CEG_Assets!$AP$4)*365*CEG_Assets!$T$4*Z96/1000000*(1+CEG_RevAdj)</f>
        <v>0</v>
      </c>
      <c r="AA104" s="8" t="n">
        <f aca="false">(CEG_Assets!$D$4-AA97)*INDEX(Prices!AA:AA,CEG_Assets!$AP$4)*365*CEG_Assets!$T$4*AA96/1000000*(1+CEG_RevAdj)</f>
        <v>62.4362078038966</v>
      </c>
      <c r="AB104" s="8" t="n">
        <f aca="false">(CEG_Assets!$D$4-AB97)*INDEX(Prices!AB:AB,CEG_Assets!$AP$4)*365*CEG_Assets!$T$4*AB96/1000000*(1+CEG_RevAdj)</f>
        <v>63.6849319599745</v>
      </c>
      <c r="AC104" s="8" t="n">
        <f aca="false">(CEG_Assets!$D$4-AC97)*INDEX(Prices!AC:AC,CEG_Assets!$AP$4)*365*CEG_Assets!$T$4*AC96/1000000*(1+CEG_RevAdj)</f>
        <v>64.958630599174</v>
      </c>
      <c r="AD104" s="8" t="n">
        <f aca="false">(CEG_Assets!$D$4-AD97)*INDEX(Prices!AD:AD,CEG_Assets!$AP$4)*365*CEG_Assets!$T$4*AD96/1000000*(1+CEG_RevAdj)</f>
        <v>66.2578032111575</v>
      </c>
      <c r="AE104" s="8" t="n">
        <f aca="false">(CEG_Assets!$D$4-AE97)*INDEX(Prices!AE:AE,CEG_Assets!$AP$4)*365*CEG_Assets!$T$4*AE96/1000000*(1+CEG_RevAdj)</f>
        <v>67.5829592753807</v>
      </c>
      <c r="AF104" s="8" t="n">
        <f aca="false">(CEG_Assets!$D$4-AF97)*INDEX(Prices!AF:AF,CEG_Assets!$AP$4)*365*CEG_Assets!$T$4*AF96/1000000*(1+CEG_RevAdj)</f>
        <v>68.9346184608883</v>
      </c>
      <c r="AG104" s="8" t="n">
        <f aca="false">(CEG_Assets!$D$4-AG97)*INDEX(Prices!AG:AG,CEG_Assets!$AP$4)*365*CEG_Assets!$T$4*AG96/1000000*(1+CEG_RevAdj)</f>
        <v>70.3133108301061</v>
      </c>
      <c r="AH104" s="8" t="n">
        <f aca="false">(CEG_Assets!$D$4-AH97)*INDEX(Prices!AH:AH,CEG_Assets!$AP$4)*365*CEG_Assets!$T$4*AH96/1000000*(1+CEG_RevAdj)</f>
        <v>71.7195770467082</v>
      </c>
      <c r="AI104" s="8" t="n">
        <f aca="false">(CEG_Assets!$D$4-AI97)*INDEX(Prices!AI:AI,CEG_Assets!$AP$4)*365*CEG_Assets!$T$4*AI96/1000000*(1+CEG_RevAdj)</f>
        <v>73.1539685876423</v>
      </c>
      <c r="AJ104" s="8" t="n">
        <f aca="false">(CEG_Assets!$D$4-AJ97)*INDEX(Prices!AJ:AJ,CEG_Assets!$AP$4)*365*CEG_Assets!$T$4*AJ96/1000000*(1+CEG_RevAdj)</f>
        <v>0</v>
      </c>
      <c r="AK104" s="8" t="n">
        <f aca="false">(CEG_Assets!$D$4-AK97)*INDEX(Prices!AK:AK,CEG_Assets!$AP$4)*365*CEG_Assets!$T$4*AK96/1000000*(1+CEG_RevAdj)</f>
        <v>0</v>
      </c>
      <c r="AL104" s="8" t="n">
        <f aca="false">(CEG_Assets!$D$4-AL97)*INDEX(Prices!AL:AL,CEG_Assets!$AP$4)*365*CEG_Assets!$T$4*AL96/1000000*(1+CEG_RevAdj)</f>
        <v>0</v>
      </c>
      <c r="AM104" s="8" t="n">
        <f aca="false">(CEG_Assets!$D$4-AM97)*INDEX(Prices!AM:AM,CEG_Assets!$AP$4)*365*CEG_Assets!$T$4*AM96/1000000*(1+CEG_RevAdj)</f>
        <v>0</v>
      </c>
      <c r="AN104" s="8" t="n">
        <f aca="false">(CEG_Assets!$D$4-AN97)*INDEX(Prices!AN:AN,CEG_Assets!$AP$4)*365*CEG_Assets!$T$4*AN96/1000000*(1+CEG_RevAdj)</f>
        <v>0</v>
      </c>
      <c r="AO104" s="8" t="n">
        <f aca="false">(CEG_Assets!$D$4-AO97)*INDEX(Prices!AO:AO,CEG_Assets!$AP$4)*365*CEG_Assets!$T$4*AO96/1000000*(1+CEG_RevAdj)</f>
        <v>0</v>
      </c>
      <c r="AP104" s="8" t="n">
        <f aca="false">(CEG_Assets!$D$4-AP97)*INDEX(Prices!AP:AP,CEG_Assets!$AP$4)*365*CEG_Assets!$T$4*AP96/1000000*(1+CEG_RevAdj)</f>
        <v>0</v>
      </c>
      <c r="AQ104" s="8" t="n">
        <f aca="false">(CEG_Assets!$D$4-AQ97)*INDEX(Prices!AQ:AQ,CEG_Assets!$AP$4)*365*CEG_Assets!$T$4*AQ96/1000000*(1+CEG_RevAdj)</f>
        <v>0</v>
      </c>
      <c r="AR104" s="8" t="n">
        <f aca="false">(CEG_Assets!$D$4-AR97)*INDEX(Prices!AR:AR,CEG_Assets!$AP$4)*365*CEG_Assets!$T$4*AR96/1000000*(1+CEG_RevAdj)</f>
        <v>0</v>
      </c>
      <c r="AS104" s="8" t="n">
        <f aca="false">(CEG_Assets!$D$4-AS97)*INDEX(Prices!AS:AS,CEG_Assets!$AP$4)*365*CEG_Assets!$T$4*AS96/1000000*(1+CEG_RevAdj)</f>
        <v>0</v>
      </c>
    </row>
    <row r="105" customFormat="false" ht="15" hidden="false" customHeight="false" outlineLevel="0" collapsed="false">
      <c r="A105" s="6" t="s">
        <v>443</v>
      </c>
      <c r="B105" s="6" t="s">
        <v>444</v>
      </c>
      <c r="C105" s="9" t="n">
        <f aca="false">SUM(G105:AS105)</f>
        <v>14153.3568</v>
      </c>
      <c r="G105" s="8" t="n">
        <f aca="false">G99*(CEG_Assets!$AD$4+CEG_PPAAdj)/1000000*(1+CEG_RevAdj)</f>
        <v>707.66784</v>
      </c>
      <c r="H105" s="8" t="n">
        <f aca="false">H99*(CEG_Assets!$AD$4+CEG_PPAAdj)/1000000*(1+CEG_RevAdj)</f>
        <v>707.66784</v>
      </c>
      <c r="I105" s="8" t="n">
        <f aca="false">I99*(CEG_Assets!$AD$4+CEG_PPAAdj)/1000000*(1+CEG_RevAdj)</f>
        <v>707.66784</v>
      </c>
      <c r="J105" s="8" t="n">
        <f aca="false">J99*(CEG_Assets!$AD$4+CEG_PPAAdj)/1000000*(1+CEG_RevAdj)</f>
        <v>707.66784</v>
      </c>
      <c r="K105" s="8" t="n">
        <f aca="false">K99*(CEG_Assets!$AD$4+CEG_PPAAdj)/1000000*(1+CEG_RevAdj)</f>
        <v>707.66784</v>
      </c>
      <c r="L105" s="8" t="n">
        <f aca="false">L99*(CEG_Assets!$AD$4+CEG_PPAAdj)/1000000*(1+CEG_RevAdj)</f>
        <v>707.66784</v>
      </c>
      <c r="M105" s="8" t="n">
        <f aca="false">M99*(CEG_Assets!$AD$4+CEG_PPAAdj)/1000000*(1+CEG_RevAdj)</f>
        <v>707.66784</v>
      </c>
      <c r="N105" s="8" t="n">
        <f aca="false">N99*(CEG_Assets!$AD$4+CEG_PPAAdj)/1000000*(1+CEG_RevAdj)</f>
        <v>707.66784</v>
      </c>
      <c r="O105" s="8" t="n">
        <f aca="false">O99*(CEG_Assets!$AD$4+CEG_PPAAdj)/1000000*(1+CEG_RevAdj)</f>
        <v>707.66784</v>
      </c>
      <c r="P105" s="8" t="n">
        <f aca="false">P99*(CEG_Assets!$AD$4+CEG_PPAAdj)/1000000*(1+CEG_RevAdj)</f>
        <v>707.66784</v>
      </c>
      <c r="Q105" s="8" t="n">
        <f aca="false">Q99*(CEG_Assets!$AD$4+CEG_PPAAdj)/1000000*(1+CEG_RevAdj)</f>
        <v>707.66784</v>
      </c>
      <c r="R105" s="8" t="n">
        <f aca="false">R99*(CEG_Assets!$AD$4+CEG_PPAAdj)/1000000*(1+CEG_RevAdj)</f>
        <v>707.66784</v>
      </c>
      <c r="S105" s="8" t="n">
        <f aca="false">S99*(CEG_Assets!$AD$4+CEG_PPAAdj)/1000000*(1+CEG_RevAdj)</f>
        <v>707.66784</v>
      </c>
      <c r="T105" s="8" t="n">
        <f aca="false">T99*(CEG_Assets!$AD$4+CEG_PPAAdj)/1000000*(1+CEG_RevAdj)</f>
        <v>707.66784</v>
      </c>
      <c r="U105" s="8" t="n">
        <f aca="false">U99*(CEG_Assets!$AD$4+CEG_PPAAdj)/1000000*(1+CEG_RevAdj)</f>
        <v>707.66784</v>
      </c>
      <c r="V105" s="8" t="n">
        <f aca="false">V99*(CEG_Assets!$AD$4+CEG_PPAAdj)/1000000*(1+CEG_RevAdj)</f>
        <v>707.66784</v>
      </c>
      <c r="W105" s="8" t="n">
        <f aca="false">W99*(CEG_Assets!$AD$4+CEG_PPAAdj)/1000000*(1+CEG_RevAdj)</f>
        <v>707.66784</v>
      </c>
      <c r="X105" s="8" t="n">
        <f aca="false">X99*(CEG_Assets!$AD$4+CEG_PPAAdj)/1000000*(1+CEG_RevAdj)</f>
        <v>707.66784</v>
      </c>
      <c r="Y105" s="8" t="n">
        <f aca="false">Y99*(CEG_Assets!$AD$4+CEG_PPAAdj)/1000000*(1+CEG_RevAdj)</f>
        <v>707.66784</v>
      </c>
      <c r="Z105" s="8" t="n">
        <f aca="false">Z99*(CEG_Assets!$AD$4+CEG_PPAAdj)/1000000*(1+CEG_RevAdj)</f>
        <v>707.66784</v>
      </c>
      <c r="AA105" s="8" t="n">
        <f aca="false">AA99*(CEG_Assets!$AD$4+CEG_PPAAdj)/1000000*(1+CEG_RevAdj)</f>
        <v>0</v>
      </c>
      <c r="AB105" s="8" t="n">
        <f aca="false">AB99*(CEG_Assets!$AD$4+CEG_PPAAdj)/1000000*(1+CEG_RevAdj)</f>
        <v>0</v>
      </c>
      <c r="AC105" s="8" t="n">
        <f aca="false">AC99*(CEG_Assets!$AD$4+CEG_PPAAdj)/1000000*(1+CEG_RevAdj)</f>
        <v>0</v>
      </c>
      <c r="AD105" s="8" t="n">
        <f aca="false">AD99*(CEG_Assets!$AD$4+CEG_PPAAdj)/1000000*(1+CEG_RevAdj)</f>
        <v>0</v>
      </c>
      <c r="AE105" s="8" t="n">
        <f aca="false">AE99*(CEG_Assets!$AD$4+CEG_PPAAdj)/1000000*(1+CEG_RevAdj)</f>
        <v>0</v>
      </c>
      <c r="AF105" s="8" t="n">
        <f aca="false">AF99*(CEG_Assets!$AD$4+CEG_PPAAdj)/1000000*(1+CEG_RevAdj)</f>
        <v>0</v>
      </c>
      <c r="AG105" s="8" t="n">
        <f aca="false">AG99*(CEG_Assets!$AD$4+CEG_PPAAdj)/1000000*(1+CEG_RevAdj)</f>
        <v>0</v>
      </c>
      <c r="AH105" s="8" t="n">
        <f aca="false">AH99*(CEG_Assets!$AD$4+CEG_PPAAdj)/1000000*(1+CEG_RevAdj)</f>
        <v>0</v>
      </c>
      <c r="AI105" s="8" t="n">
        <f aca="false">AI99*(CEG_Assets!$AD$4+CEG_PPAAdj)/1000000*(1+CEG_RevAdj)</f>
        <v>0</v>
      </c>
      <c r="AJ105" s="8" t="n">
        <f aca="false">AJ99*(CEG_Assets!$AD$4+CEG_PPAAdj)/1000000*(1+CEG_RevAdj)</f>
        <v>0</v>
      </c>
      <c r="AK105" s="8" t="n">
        <f aca="false">AK99*(CEG_Assets!$AD$4+CEG_PPAAdj)/1000000*(1+CEG_RevAdj)</f>
        <v>0</v>
      </c>
      <c r="AL105" s="8" t="n">
        <f aca="false">AL99*(CEG_Assets!$AD$4+CEG_PPAAdj)/1000000*(1+CEG_RevAdj)</f>
        <v>0</v>
      </c>
      <c r="AM105" s="8" t="n">
        <f aca="false">AM99*(CEG_Assets!$AD$4+CEG_PPAAdj)/1000000*(1+CEG_RevAdj)</f>
        <v>0</v>
      </c>
      <c r="AN105" s="8" t="n">
        <f aca="false">AN99*(CEG_Assets!$AD$4+CEG_PPAAdj)/1000000*(1+CEG_RevAdj)</f>
        <v>0</v>
      </c>
      <c r="AO105" s="8" t="n">
        <f aca="false">AO99*(CEG_Assets!$AD$4+CEG_PPAAdj)/1000000*(1+CEG_RevAdj)</f>
        <v>0</v>
      </c>
      <c r="AP105" s="8" t="n">
        <f aca="false">AP99*(CEG_Assets!$AD$4+CEG_PPAAdj)/1000000*(1+CEG_RevAdj)</f>
        <v>0</v>
      </c>
      <c r="AQ105" s="8" t="n">
        <f aca="false">AQ99*(CEG_Assets!$AD$4+CEG_PPAAdj)/1000000*(1+CEG_RevAdj)</f>
        <v>0</v>
      </c>
      <c r="AR105" s="8" t="n">
        <f aca="false">AR99*(CEG_Assets!$AD$4+CEG_PPAAdj)/1000000*(1+CEG_RevAdj)</f>
        <v>0</v>
      </c>
      <c r="AS105" s="8" t="n">
        <f aca="false">AS99*(CEG_Assets!$AD$4+CEG_PPAAdj)/1000000*(1+CEG_RevAdj)</f>
        <v>0</v>
      </c>
    </row>
    <row r="106" customFormat="false" ht="15" hidden="false" customHeight="false" outlineLevel="0" collapsed="false">
      <c r="A106" s="6" t="s">
        <v>445</v>
      </c>
      <c r="B106" s="6" t="s">
        <v>446</v>
      </c>
      <c r="C106" s="9" t="n">
        <f aca="false">SUM(G106:AS106)</f>
        <v>0</v>
      </c>
      <c r="G106" s="8" t="n">
        <f aca="false">IF(G$3&lt;=CEG_Assets!$V$4,G98*CEG_Assets!$U$4,0)/1000000*(1+CEG_RevAdj)</f>
        <v>0</v>
      </c>
      <c r="H106" s="8" t="n">
        <f aca="false">IF(H$3&lt;=CEG_Assets!$V$4,H98*CEG_Assets!$U$4,0)/1000000*(1+CEG_RevAdj)</f>
        <v>0</v>
      </c>
      <c r="I106" s="8" t="n">
        <f aca="false">IF(I$3&lt;=CEG_Assets!$V$4,I98*CEG_Assets!$U$4,0)/1000000*(1+CEG_RevAdj)</f>
        <v>0</v>
      </c>
      <c r="J106" s="8" t="n">
        <f aca="false">IF(J$3&lt;=CEG_Assets!$V$4,J98*CEG_Assets!$U$4,0)/1000000*(1+CEG_RevAdj)</f>
        <v>0</v>
      </c>
      <c r="K106" s="8" t="n">
        <f aca="false">IF(K$3&lt;=CEG_Assets!$V$4,K98*CEG_Assets!$U$4,0)/1000000*(1+CEG_RevAdj)</f>
        <v>0</v>
      </c>
      <c r="L106" s="8" t="n">
        <f aca="false">IF(L$3&lt;=CEG_Assets!$V$4,L98*CEG_Assets!$U$4,0)/1000000*(1+CEG_RevAdj)</f>
        <v>0</v>
      </c>
      <c r="M106" s="8" t="n">
        <f aca="false">IF(M$3&lt;=CEG_Assets!$V$4,M98*CEG_Assets!$U$4,0)/1000000*(1+CEG_RevAdj)</f>
        <v>0</v>
      </c>
      <c r="N106" s="8" t="n">
        <f aca="false">IF(N$3&lt;=CEG_Assets!$V$4,N98*CEG_Assets!$U$4,0)/1000000*(1+CEG_RevAdj)</f>
        <v>0</v>
      </c>
      <c r="O106" s="8" t="n">
        <f aca="false">IF(O$3&lt;=CEG_Assets!$V$4,O98*CEG_Assets!$U$4,0)/1000000*(1+CEG_RevAdj)</f>
        <v>0</v>
      </c>
      <c r="P106" s="8" t="n">
        <f aca="false">IF(P$3&lt;=CEG_Assets!$V$4,P98*CEG_Assets!$U$4,0)/1000000*(1+CEG_RevAdj)</f>
        <v>0</v>
      </c>
      <c r="Q106" s="8" t="n">
        <f aca="false">IF(Q$3&lt;=CEG_Assets!$V$4,Q98*CEG_Assets!$U$4,0)/1000000*(1+CEG_RevAdj)</f>
        <v>0</v>
      </c>
      <c r="R106" s="8" t="n">
        <f aca="false">IF(R$3&lt;=CEG_Assets!$V$4,R98*CEG_Assets!$U$4,0)/1000000*(1+CEG_RevAdj)</f>
        <v>0</v>
      </c>
      <c r="S106" s="8" t="n">
        <f aca="false">IF(S$3&lt;=CEG_Assets!$V$4,S98*CEG_Assets!$U$4,0)/1000000*(1+CEG_RevAdj)</f>
        <v>0</v>
      </c>
      <c r="T106" s="8" t="n">
        <f aca="false">IF(T$3&lt;=CEG_Assets!$V$4,T98*CEG_Assets!$U$4,0)/1000000*(1+CEG_RevAdj)</f>
        <v>0</v>
      </c>
      <c r="U106" s="8" t="n">
        <f aca="false">IF(U$3&lt;=CEG_Assets!$V$4,U98*CEG_Assets!$U$4,0)/1000000*(1+CEG_RevAdj)</f>
        <v>0</v>
      </c>
      <c r="V106" s="8" t="n">
        <f aca="false">IF(V$3&lt;=CEG_Assets!$V$4,V98*CEG_Assets!$U$4,0)/1000000*(1+CEG_RevAdj)</f>
        <v>0</v>
      </c>
      <c r="W106" s="8" t="n">
        <f aca="false">IF(W$3&lt;=CEG_Assets!$V$4,W98*CEG_Assets!$U$4,0)/1000000*(1+CEG_RevAdj)</f>
        <v>0</v>
      </c>
      <c r="X106" s="8" t="n">
        <f aca="false">IF(X$3&lt;=CEG_Assets!$V$4,X98*CEG_Assets!$U$4,0)/1000000*(1+CEG_RevAdj)</f>
        <v>0</v>
      </c>
      <c r="Y106" s="8" t="n">
        <f aca="false">IF(Y$3&lt;=CEG_Assets!$V$4,Y98*CEG_Assets!$U$4,0)/1000000*(1+CEG_RevAdj)</f>
        <v>0</v>
      </c>
      <c r="Z106" s="8" t="n">
        <f aca="false">IF(Z$3&lt;=CEG_Assets!$V$4,Z98*CEG_Assets!$U$4,0)/1000000*(1+CEG_RevAdj)</f>
        <v>0</v>
      </c>
      <c r="AA106" s="8" t="n">
        <f aca="false">IF(AA$3&lt;=CEG_Assets!$V$4,AA98*CEG_Assets!$U$4,0)/1000000*(1+CEG_RevAdj)</f>
        <v>0</v>
      </c>
      <c r="AB106" s="8" t="n">
        <f aca="false">IF(AB$3&lt;=CEG_Assets!$V$4,AB98*CEG_Assets!$U$4,0)/1000000*(1+CEG_RevAdj)</f>
        <v>0</v>
      </c>
      <c r="AC106" s="8" t="n">
        <f aca="false">IF(AC$3&lt;=CEG_Assets!$V$4,AC98*CEG_Assets!$U$4,0)/1000000*(1+CEG_RevAdj)</f>
        <v>0</v>
      </c>
      <c r="AD106" s="8" t="n">
        <f aca="false">IF(AD$3&lt;=CEG_Assets!$V$4,AD98*CEG_Assets!$U$4,0)/1000000*(1+CEG_RevAdj)</f>
        <v>0</v>
      </c>
      <c r="AE106" s="8" t="n">
        <f aca="false">IF(AE$3&lt;=CEG_Assets!$V$4,AE98*CEG_Assets!$U$4,0)/1000000*(1+CEG_RevAdj)</f>
        <v>0</v>
      </c>
      <c r="AF106" s="8" t="n">
        <f aca="false">IF(AF$3&lt;=CEG_Assets!$V$4,AF98*CEG_Assets!$U$4,0)/1000000*(1+CEG_RevAdj)</f>
        <v>0</v>
      </c>
      <c r="AG106" s="8" t="n">
        <f aca="false">IF(AG$3&lt;=CEG_Assets!$V$4,AG98*CEG_Assets!$U$4,0)/1000000*(1+CEG_RevAdj)</f>
        <v>0</v>
      </c>
      <c r="AH106" s="8" t="n">
        <f aca="false">IF(AH$3&lt;=CEG_Assets!$V$4,AH98*CEG_Assets!$U$4,0)/1000000*(1+CEG_RevAdj)</f>
        <v>0</v>
      </c>
      <c r="AI106" s="8" t="n">
        <f aca="false">IF(AI$3&lt;=CEG_Assets!$V$4,AI98*CEG_Assets!$U$4,0)/1000000*(1+CEG_RevAdj)</f>
        <v>0</v>
      </c>
      <c r="AJ106" s="8" t="n">
        <f aca="false">IF(AJ$3&lt;=CEG_Assets!$V$4,AJ98*CEG_Assets!$U$4,0)/1000000*(1+CEG_RevAdj)</f>
        <v>0</v>
      </c>
      <c r="AK106" s="8" t="n">
        <f aca="false">IF(AK$3&lt;=CEG_Assets!$V$4,AK98*CEG_Assets!$U$4,0)/1000000*(1+CEG_RevAdj)</f>
        <v>0</v>
      </c>
      <c r="AL106" s="8" t="n">
        <f aca="false">IF(AL$3&lt;=CEG_Assets!$V$4,AL98*CEG_Assets!$U$4,0)/1000000*(1+CEG_RevAdj)</f>
        <v>0</v>
      </c>
      <c r="AM106" s="8" t="n">
        <f aca="false">IF(AM$3&lt;=CEG_Assets!$V$4,AM98*CEG_Assets!$U$4,0)/1000000*(1+CEG_RevAdj)</f>
        <v>0</v>
      </c>
      <c r="AN106" s="8" t="n">
        <f aca="false">IF(AN$3&lt;=CEG_Assets!$V$4,AN98*CEG_Assets!$U$4,0)/1000000*(1+CEG_RevAdj)</f>
        <v>0</v>
      </c>
      <c r="AO106" s="8" t="n">
        <f aca="false">IF(AO$3&lt;=CEG_Assets!$V$4,AO98*CEG_Assets!$U$4,0)/1000000*(1+CEG_RevAdj)</f>
        <v>0</v>
      </c>
      <c r="AP106" s="8" t="n">
        <f aca="false">IF(AP$3&lt;=CEG_Assets!$V$4,AP98*CEG_Assets!$U$4,0)/1000000*(1+CEG_RevAdj)</f>
        <v>0</v>
      </c>
      <c r="AQ106" s="8" t="n">
        <f aca="false">IF(AQ$3&lt;=CEG_Assets!$V$4,AQ98*CEG_Assets!$U$4,0)/1000000*(1+CEG_RevAdj)</f>
        <v>0</v>
      </c>
      <c r="AR106" s="8" t="n">
        <f aca="false">IF(AR$3&lt;=CEG_Assets!$V$4,AR98*CEG_Assets!$U$4,0)/1000000*(1+CEG_RevAdj)</f>
        <v>0</v>
      </c>
      <c r="AS106" s="8" t="n">
        <f aca="false">IF(AS$3&lt;=CEG_Assets!$V$4,AS98*CEG_Assets!$U$4,0)/1000000*(1+CEG_RevAdj)</f>
        <v>0</v>
      </c>
    </row>
    <row r="107" customFormat="false" ht="15" hidden="false" customHeight="false" outlineLevel="0" collapsed="false">
      <c r="A107" s="6" t="s">
        <v>447</v>
      </c>
      <c r="B107" s="6" t="s">
        <v>448</v>
      </c>
      <c r="C107" s="9" t="n">
        <f aca="false">SUM(G107:AS107)</f>
        <v>21234.4792460588</v>
      </c>
      <c r="G107" s="8" t="n">
        <f aca="false">G103+G104+G105+G106</f>
        <v>707.66784</v>
      </c>
      <c r="H107" s="8" t="n">
        <f aca="false">H103+H104+H105+H106</f>
        <v>707.66784</v>
      </c>
      <c r="I107" s="8" t="n">
        <f aca="false">I103+I104+I105+I106</f>
        <v>707.66784</v>
      </c>
      <c r="J107" s="8" t="n">
        <f aca="false">J103+J104+J105+J106</f>
        <v>707.66784</v>
      </c>
      <c r="K107" s="8" t="n">
        <f aca="false">K103+K104+K105+K106</f>
        <v>707.66784</v>
      </c>
      <c r="L107" s="8" t="n">
        <f aca="false">L103+L104+L105+L106</f>
        <v>707.66784</v>
      </c>
      <c r="M107" s="8" t="n">
        <f aca="false">M103+M104+M105+M106</f>
        <v>707.66784</v>
      </c>
      <c r="N107" s="8" t="n">
        <f aca="false">N103+N104+N105+N106</f>
        <v>707.66784</v>
      </c>
      <c r="O107" s="8" t="n">
        <f aca="false">O103+O104+O105+O106</f>
        <v>707.66784</v>
      </c>
      <c r="P107" s="8" t="n">
        <f aca="false">P103+P104+P105+P106</f>
        <v>707.66784</v>
      </c>
      <c r="Q107" s="8" t="n">
        <f aca="false">Q103+Q104+Q105+Q106</f>
        <v>707.66784</v>
      </c>
      <c r="R107" s="8" t="n">
        <f aca="false">R103+R104+R105+R106</f>
        <v>707.66784</v>
      </c>
      <c r="S107" s="8" t="n">
        <f aca="false">S103+S104+S105+S106</f>
        <v>707.66784</v>
      </c>
      <c r="T107" s="8" t="n">
        <f aca="false">T103+T104+T105+T106</f>
        <v>707.66784</v>
      </c>
      <c r="U107" s="8" t="n">
        <f aca="false">U103+U104+U105+U106</f>
        <v>707.66784</v>
      </c>
      <c r="V107" s="8" t="n">
        <f aca="false">V103+V104+V105+V106</f>
        <v>707.66784</v>
      </c>
      <c r="W107" s="8" t="n">
        <f aca="false">W103+W104+W105+W106</f>
        <v>707.66784</v>
      </c>
      <c r="X107" s="8" t="n">
        <f aca="false">X103+X104+X105+X106</f>
        <v>707.66784</v>
      </c>
      <c r="Y107" s="8" t="n">
        <f aca="false">Y103+Y104+Y105+Y106</f>
        <v>707.66784</v>
      </c>
      <c r="Z107" s="8" t="n">
        <f aca="false">Z103+Z104+Z105+Z106</f>
        <v>707.66784</v>
      </c>
      <c r="AA107" s="8" t="n">
        <f aca="false">AA103+AA104+AA105+AA106</f>
        <v>725.92436462995</v>
      </c>
      <c r="AB107" s="8" t="n">
        <f aca="false">AB103+AB104+AB105+AB106</f>
        <v>740.442851922549</v>
      </c>
      <c r="AC107" s="8" t="n">
        <f aca="false">AC103+AC104+AC105+AC106</f>
        <v>755.251708961</v>
      </c>
      <c r="AD107" s="8" t="n">
        <f aca="false">AD103+AD104+AD105+AD106</f>
        <v>770.35674314022</v>
      </c>
      <c r="AE107" s="8" t="n">
        <f aca="false">AE103+AE104+AE105+AE106</f>
        <v>785.763878003025</v>
      </c>
      <c r="AF107" s="8" t="n">
        <f aca="false">AF103+AF104+AF105+AF106</f>
        <v>801.479155563085</v>
      </c>
      <c r="AG107" s="8" t="n">
        <f aca="false">AG103+AG104+AG105+AG106</f>
        <v>817.508738674347</v>
      </c>
      <c r="AH107" s="8" t="n">
        <f aca="false">AH103+AH104+AH105+AH106</f>
        <v>833.858913447834</v>
      </c>
      <c r="AI107" s="8" t="n">
        <f aca="false">AI103+AI104+AI105+AI106</f>
        <v>850.536091716791</v>
      </c>
      <c r="AJ107" s="8" t="n">
        <f aca="false">AJ103+AJ104+AJ105+AJ106</f>
        <v>0</v>
      </c>
      <c r="AK107" s="8" t="n">
        <f aca="false">AK103+AK104+AK105+AK106</f>
        <v>0</v>
      </c>
      <c r="AL107" s="8" t="n">
        <f aca="false">AL103+AL104+AL105+AL106</f>
        <v>0</v>
      </c>
      <c r="AM107" s="8" t="n">
        <f aca="false">AM103+AM104+AM105+AM106</f>
        <v>0</v>
      </c>
      <c r="AN107" s="8" t="n">
        <f aca="false">AN103+AN104+AN105+AN106</f>
        <v>0</v>
      </c>
      <c r="AO107" s="8" t="n">
        <f aca="false">AO103+AO104+AO105+AO106</f>
        <v>0</v>
      </c>
      <c r="AP107" s="8" t="n">
        <f aca="false">AP103+AP104+AP105+AP106</f>
        <v>0</v>
      </c>
      <c r="AQ107" s="8" t="n">
        <f aca="false">AQ103+AQ104+AQ105+AQ106</f>
        <v>0</v>
      </c>
      <c r="AR107" s="8" t="n">
        <f aca="false">AR103+AR104+AR105+AR106</f>
        <v>0</v>
      </c>
      <c r="AS107" s="8" t="n">
        <f aca="false">AS103+AS104+AS105+AS106</f>
        <v>0</v>
      </c>
    </row>
    <row r="108" customFormat="false" ht="15" hidden="false" customHeight="false" outlineLevel="0" collapsed="false">
      <c r="A108" s="6" t="s">
        <v>449</v>
      </c>
      <c r="B108" s="6" t="s">
        <v>450</v>
      </c>
      <c r="C108" s="9" t="n">
        <f aca="false">SUM(G108:AS108)</f>
        <v>2087.30935034281</v>
      </c>
      <c r="G108" s="8" t="n">
        <f aca="false">((CEG_Assets!$K$4*G100+CEG_Assets!$M$4*G$4)*G98*G102+CEG_Assets!$N$4*(1+CEG_Assets!$Q$4)^(G$3-2026)*(G98+G99))/1000000*(1+CEG_FuelAdj)</f>
        <v>49.8684681</v>
      </c>
      <c r="H108" s="8" t="n">
        <f aca="false">((CEG_Assets!$K$4*H100+CEG_Assets!$M$4*H$4)*H98*H102+CEG_Assets!$N$4*(1+CEG_Assets!$Q$4)^(H$3-2026)*(H98+H99))/1000000*(1+CEG_FuelAdj)</f>
        <v>51.1151798025</v>
      </c>
      <c r="I108" s="8" t="n">
        <f aca="false">((CEG_Assets!$K$4*I100+CEG_Assets!$M$4*I$4)*I98*I102+CEG_Assets!$N$4*(1+CEG_Assets!$Q$4)^(I$3-2026)*(I98+I99))/1000000*(1+CEG_FuelAdj)</f>
        <v>52.3930592975625</v>
      </c>
      <c r="J108" s="8" t="n">
        <f aca="false">((CEG_Assets!$K$4*J100+CEG_Assets!$M$4*J$4)*J98*J102+CEG_Assets!$N$4*(1+CEG_Assets!$Q$4)^(J$3-2026)*(J98+J99))/1000000*(1+CEG_FuelAdj)</f>
        <v>53.7028857800015</v>
      </c>
      <c r="K108" s="8" t="n">
        <f aca="false">((CEG_Assets!$K$4*K100+CEG_Assets!$M$4*K$4)*K98*K102+CEG_Assets!$N$4*(1+CEG_Assets!$Q$4)^(K$3-2026)*(K98+K99))/1000000*(1+CEG_FuelAdj)</f>
        <v>55.0454579245016</v>
      </c>
      <c r="L108" s="8" t="n">
        <f aca="false">((CEG_Assets!$K$4*L100+CEG_Assets!$M$4*L$4)*L98*L102+CEG_Assets!$N$4*(1+CEG_Assets!$Q$4)^(L$3-2026)*(L98+L99))/1000000*(1+CEG_FuelAdj)</f>
        <v>56.4215943726141</v>
      </c>
      <c r="M108" s="8" t="n">
        <f aca="false">((CEG_Assets!$K$4*M100+CEG_Assets!$M$4*M$4)*M98*M102+CEG_Assets!$N$4*(1+CEG_Assets!$Q$4)^(M$3-2026)*(M98+M99))/1000000*(1+CEG_FuelAdj)</f>
        <v>57.8321342319295</v>
      </c>
      <c r="N108" s="8" t="n">
        <f aca="false">((CEG_Assets!$K$4*N100+CEG_Assets!$M$4*N$4)*N98*N102+CEG_Assets!$N$4*(1+CEG_Assets!$Q$4)^(N$3-2026)*(N98+N99))/1000000*(1+CEG_FuelAdj)</f>
        <v>59.2779375877277</v>
      </c>
      <c r="O108" s="8" t="n">
        <f aca="false">((CEG_Assets!$K$4*O100+CEG_Assets!$M$4*O$4)*O98*O102+CEG_Assets!$N$4*(1+CEG_Assets!$Q$4)^(O$3-2026)*(O98+O99))/1000000*(1+CEG_FuelAdj)</f>
        <v>60.7598860274209</v>
      </c>
      <c r="P108" s="8" t="n">
        <f aca="false">((CEG_Assets!$K$4*P100+CEG_Assets!$M$4*P$4)*P98*P102+CEG_Assets!$N$4*(1+CEG_Assets!$Q$4)^(P$3-2026)*(P98+P99))/1000000*(1+CEG_FuelAdj)</f>
        <v>62.2788831781064</v>
      </c>
      <c r="Q108" s="8" t="n">
        <f aca="false">((CEG_Assets!$K$4*Q100+CEG_Assets!$M$4*Q$4)*Q98*Q102+CEG_Assets!$N$4*(1+CEG_Assets!$Q$4)^(Q$3-2026)*(Q98+Q99))/1000000*(1+CEG_FuelAdj)</f>
        <v>63.8358552575591</v>
      </c>
      <c r="R108" s="8" t="n">
        <f aca="false">((CEG_Assets!$K$4*R100+CEG_Assets!$M$4*R$4)*R98*R102+CEG_Assets!$N$4*(1+CEG_Assets!$Q$4)^(R$3-2026)*(R98+R99))/1000000*(1+CEG_FuelAdj)</f>
        <v>65.431751638998</v>
      </c>
      <c r="S108" s="8" t="n">
        <f aca="false">((CEG_Assets!$K$4*S100+CEG_Assets!$M$4*S$4)*S98*S102+CEG_Assets!$N$4*(1+CEG_Assets!$Q$4)^(S$3-2026)*(S98+S99))/1000000*(1+CEG_FuelAdj)</f>
        <v>67.067545429973</v>
      </c>
      <c r="T108" s="8" t="n">
        <f aca="false">((CEG_Assets!$K$4*T100+CEG_Assets!$M$4*T$4)*T98*T102+CEG_Assets!$N$4*(1+CEG_Assets!$Q$4)^(T$3-2026)*(T98+T99))/1000000*(1+CEG_FuelAdj)</f>
        <v>68.7442340657223</v>
      </c>
      <c r="U108" s="8" t="n">
        <f aca="false">((CEG_Assets!$K$4*U100+CEG_Assets!$M$4*U$4)*U98*U102+CEG_Assets!$N$4*(1+CEG_Assets!$Q$4)^(U$3-2026)*(U98+U99))/1000000*(1+CEG_FuelAdj)</f>
        <v>70.4628399173653</v>
      </c>
      <c r="V108" s="8" t="n">
        <f aca="false">((CEG_Assets!$K$4*V100+CEG_Assets!$M$4*V$4)*V98*V102+CEG_Assets!$N$4*(1+CEG_Assets!$Q$4)^(V$3-2026)*(V98+V99))/1000000*(1+CEG_FuelAdj)</f>
        <v>72.2244109152995</v>
      </c>
      <c r="W108" s="8" t="n">
        <f aca="false">((CEG_Assets!$K$4*W100+CEG_Assets!$M$4*W$4)*W98*W102+CEG_Assets!$N$4*(1+CEG_Assets!$Q$4)^(W$3-2026)*(W98+W99))/1000000*(1+CEG_FuelAdj)</f>
        <v>74.0300211881819</v>
      </c>
      <c r="X108" s="8" t="n">
        <f aca="false">((CEG_Assets!$K$4*X100+CEG_Assets!$M$4*X$4)*X98*X102+CEG_Assets!$N$4*(1+CEG_Assets!$Q$4)^(X$3-2026)*(X98+X99))/1000000*(1+CEG_FuelAdj)</f>
        <v>75.8807717178865</v>
      </c>
      <c r="Y108" s="8" t="n">
        <f aca="false">((CEG_Assets!$K$4*Y100+CEG_Assets!$M$4*Y$4)*Y98*Y102+CEG_Assets!$N$4*(1+CEG_Assets!$Q$4)^(Y$3-2026)*(Y98+Y99))/1000000*(1+CEG_FuelAdj)</f>
        <v>77.7777910108336</v>
      </c>
      <c r="Z108" s="8" t="n">
        <f aca="false">((CEG_Assets!$K$4*Z100+CEG_Assets!$M$4*Z$4)*Z98*Z102+CEG_Assets!$N$4*(1+CEG_Assets!$Q$4)^(Z$3-2026)*(Z98+Z99))/1000000*(1+CEG_FuelAdj)</f>
        <v>79.7222357861045</v>
      </c>
      <c r="AA108" s="8" t="n">
        <f aca="false">((CEG_Assets!$K$4*AA100+CEG_Assets!$M$4*AA$4)*AA98*AA102+CEG_Assets!$N$4*(1+CEG_Assets!$Q$4)^(AA$3-2026)*(AA98+AA99))/1000000*(1+CEG_FuelAdj)</f>
        <v>81.7152916807571</v>
      </c>
      <c r="AB108" s="8" t="n">
        <f aca="false">((CEG_Assets!$K$4*AB100+CEG_Assets!$M$4*AB$4)*AB98*AB102+CEG_Assets!$N$4*(1+CEG_Assets!$Q$4)^(AB$3-2026)*(AB98+AB99))/1000000*(1+CEG_FuelAdj)</f>
        <v>83.758173972776</v>
      </c>
      <c r="AC108" s="8" t="n">
        <f aca="false">((CEG_Assets!$K$4*AC100+CEG_Assets!$M$4*AC$4)*AC98*AC102+CEG_Assets!$N$4*(1+CEG_Assets!$Q$4)^(AC$3-2026)*(AC98+AC99))/1000000*(1+CEG_FuelAdj)</f>
        <v>85.8521283220954</v>
      </c>
      <c r="AD108" s="8" t="n">
        <f aca="false">((CEG_Assets!$K$4*AD100+CEG_Assets!$M$4*AD$4)*AD98*AD102+CEG_Assets!$N$4*(1+CEG_Assets!$Q$4)^(AD$3-2026)*(AD98+AD99))/1000000*(1+CEG_FuelAdj)</f>
        <v>87.9984315301478</v>
      </c>
      <c r="AE108" s="8" t="n">
        <f aca="false">((CEG_Assets!$K$4*AE100+CEG_Assets!$M$4*AE$4)*AE98*AE102+CEG_Assets!$N$4*(1+CEG_Assets!$Q$4)^(AE$3-2026)*(AE98+AE99))/1000000*(1+CEG_FuelAdj)</f>
        <v>90.1983923184015</v>
      </c>
      <c r="AF108" s="8" t="n">
        <f aca="false">((CEG_Assets!$K$4*AF100+CEG_Assets!$M$4*AF$4)*AF98*AF102+CEG_Assets!$N$4*(1+CEG_Assets!$Q$4)^(AF$3-2026)*(AF98+AF99))/1000000*(1+CEG_FuelAdj)</f>
        <v>92.4533521263615</v>
      </c>
      <c r="AG108" s="8" t="n">
        <f aca="false">((CEG_Assets!$K$4*AG100+CEG_Assets!$M$4*AG$4)*AG98*AG102+CEG_Assets!$N$4*(1+CEG_Assets!$Q$4)^(AG$3-2026)*(AG98+AG99))/1000000*(1+CEG_FuelAdj)</f>
        <v>94.7646859295205</v>
      </c>
      <c r="AH108" s="8" t="n">
        <f aca="false">((CEG_Assets!$K$4*AH100+CEG_Assets!$M$4*AH$4)*AH98*AH102+CEG_Assets!$N$4*(1+CEG_Assets!$Q$4)^(AH$3-2026)*(AH98+AH99))/1000000*(1+CEG_FuelAdj)</f>
        <v>97.1338030777585</v>
      </c>
      <c r="AI108" s="8" t="n">
        <f aca="false">((CEG_Assets!$K$4*AI100+CEG_Assets!$M$4*AI$4)*AI98*AI102+CEG_Assets!$N$4*(1+CEG_Assets!$Q$4)^(AI$3-2026)*(AI98+AI99))/1000000*(1+CEG_FuelAdj)</f>
        <v>99.5621481547025</v>
      </c>
      <c r="AJ108" s="8" t="n">
        <f aca="false">((CEG_Assets!$K$4*AJ100+CEG_Assets!$M$4*AJ$4)*AJ98*AJ102+CEG_Assets!$N$4*(1+CEG_Assets!$Q$4)^(AJ$3-2026)*(AJ98+AJ99))/1000000*(1+CEG_FuelAdj)</f>
        <v>0</v>
      </c>
      <c r="AK108" s="8" t="n">
        <f aca="false">((CEG_Assets!$K$4*AK100+CEG_Assets!$M$4*AK$4)*AK98*AK102+CEG_Assets!$N$4*(1+CEG_Assets!$Q$4)^(AK$3-2026)*(AK98+AK99))/1000000*(1+CEG_FuelAdj)</f>
        <v>0</v>
      </c>
      <c r="AL108" s="8" t="n">
        <f aca="false">((CEG_Assets!$K$4*AL100+CEG_Assets!$M$4*AL$4)*AL98*AL102+CEG_Assets!$N$4*(1+CEG_Assets!$Q$4)^(AL$3-2026)*(AL98+AL99))/1000000*(1+CEG_FuelAdj)</f>
        <v>0</v>
      </c>
      <c r="AM108" s="8" t="n">
        <f aca="false">((CEG_Assets!$K$4*AM100+CEG_Assets!$M$4*AM$4)*AM98*AM102+CEG_Assets!$N$4*(1+CEG_Assets!$Q$4)^(AM$3-2026)*(AM98+AM99))/1000000*(1+CEG_FuelAdj)</f>
        <v>0</v>
      </c>
      <c r="AN108" s="8" t="n">
        <f aca="false">((CEG_Assets!$K$4*AN100+CEG_Assets!$M$4*AN$4)*AN98*AN102+CEG_Assets!$N$4*(1+CEG_Assets!$Q$4)^(AN$3-2026)*(AN98+AN99))/1000000*(1+CEG_FuelAdj)</f>
        <v>0</v>
      </c>
      <c r="AO108" s="8" t="n">
        <f aca="false">((CEG_Assets!$K$4*AO100+CEG_Assets!$M$4*AO$4)*AO98*AO102+CEG_Assets!$N$4*(1+CEG_Assets!$Q$4)^(AO$3-2026)*(AO98+AO99))/1000000*(1+CEG_FuelAdj)</f>
        <v>0</v>
      </c>
      <c r="AP108" s="8" t="n">
        <f aca="false">((CEG_Assets!$K$4*AP100+CEG_Assets!$M$4*AP$4)*AP98*AP102+CEG_Assets!$N$4*(1+CEG_Assets!$Q$4)^(AP$3-2026)*(AP98+AP99))/1000000*(1+CEG_FuelAdj)</f>
        <v>0</v>
      </c>
      <c r="AQ108" s="8" t="n">
        <f aca="false">((CEG_Assets!$K$4*AQ100+CEG_Assets!$M$4*AQ$4)*AQ98*AQ102+CEG_Assets!$N$4*(1+CEG_Assets!$Q$4)^(AQ$3-2026)*(AQ98+AQ99))/1000000*(1+CEG_FuelAdj)</f>
        <v>0</v>
      </c>
      <c r="AR108" s="8" t="n">
        <f aca="false">((CEG_Assets!$K$4*AR100+CEG_Assets!$M$4*AR$4)*AR98*AR102+CEG_Assets!$N$4*(1+CEG_Assets!$Q$4)^(AR$3-2026)*(AR98+AR99))/1000000*(1+CEG_FuelAdj)</f>
        <v>0</v>
      </c>
      <c r="AS108" s="8" t="n">
        <f aca="false">((CEG_Assets!$K$4*AS100+CEG_Assets!$M$4*AS$4)*AS98*AS102+CEG_Assets!$N$4*(1+CEG_Assets!$Q$4)^(AS$3-2026)*(AS98+AS99))/1000000*(1+CEG_FuelAdj)</f>
        <v>0</v>
      </c>
    </row>
    <row r="109" customFormat="false" ht="15" hidden="false" customHeight="false" outlineLevel="0" collapsed="false">
      <c r="A109" s="6" t="s">
        <v>451</v>
      </c>
      <c r="B109" s="6" t="s">
        <v>452</v>
      </c>
      <c r="C109" s="9" t="n">
        <f aca="false">SUM(G109:AS109)</f>
        <v>19147.169895716</v>
      </c>
      <c r="G109" s="8" t="n">
        <f aca="false">G107-G108</f>
        <v>657.7993719</v>
      </c>
      <c r="H109" s="8" t="n">
        <f aca="false">H107-H108</f>
        <v>656.5526601975</v>
      </c>
      <c r="I109" s="8" t="n">
        <f aca="false">I107-I108</f>
        <v>655.274780702438</v>
      </c>
      <c r="J109" s="8" t="n">
        <f aca="false">J107-J108</f>
        <v>653.964954219998</v>
      </c>
      <c r="K109" s="8" t="n">
        <f aca="false">K107-K108</f>
        <v>652.622382075498</v>
      </c>
      <c r="L109" s="8" t="n">
        <f aca="false">L107-L108</f>
        <v>651.246245627386</v>
      </c>
      <c r="M109" s="8" t="n">
        <f aca="false">M107-M108</f>
        <v>649.835705768071</v>
      </c>
      <c r="N109" s="8" t="n">
        <f aca="false">N107-N108</f>
        <v>648.389902412272</v>
      </c>
      <c r="O109" s="8" t="n">
        <f aca="false">O107-O108</f>
        <v>646.907953972579</v>
      </c>
      <c r="P109" s="8" t="n">
        <f aca="false">P107-P108</f>
        <v>645.388956821894</v>
      </c>
      <c r="Q109" s="8" t="n">
        <f aca="false">Q107-Q108</f>
        <v>643.831984742441</v>
      </c>
      <c r="R109" s="8" t="n">
        <f aca="false">R107-R108</f>
        <v>642.236088361002</v>
      </c>
      <c r="S109" s="8" t="n">
        <f aca="false">S107-S108</f>
        <v>640.600294570027</v>
      </c>
      <c r="T109" s="8" t="n">
        <f aca="false">T107-T108</f>
        <v>638.923605934278</v>
      </c>
      <c r="U109" s="8" t="n">
        <f aca="false">U107-U108</f>
        <v>637.205000082635</v>
      </c>
      <c r="V109" s="8" t="n">
        <f aca="false">V107-V108</f>
        <v>635.443429084701</v>
      </c>
      <c r="W109" s="8" t="n">
        <f aca="false">W107-W108</f>
        <v>633.637818811818</v>
      </c>
      <c r="X109" s="8" t="n">
        <f aca="false">X107-X108</f>
        <v>631.787068282114</v>
      </c>
      <c r="Y109" s="8" t="n">
        <f aca="false">Y107-Y108</f>
        <v>629.890048989166</v>
      </c>
      <c r="Z109" s="8" t="n">
        <f aca="false">Z107-Z108</f>
        <v>627.945604213895</v>
      </c>
      <c r="AA109" s="8" t="n">
        <f aca="false">AA107-AA108</f>
        <v>644.209072949193</v>
      </c>
      <c r="AB109" s="8" t="n">
        <f aca="false">AB107-AB108</f>
        <v>656.684677949773</v>
      </c>
      <c r="AC109" s="8" t="n">
        <f aca="false">AC107-AC108</f>
        <v>669.399580638905</v>
      </c>
      <c r="AD109" s="8" t="n">
        <f aca="false">AD107-AD108</f>
        <v>682.358311610073</v>
      </c>
      <c r="AE109" s="8" t="n">
        <f aca="false">AE107-AE108</f>
        <v>695.565485684623</v>
      </c>
      <c r="AF109" s="8" t="n">
        <f aca="false">AF107-AF108</f>
        <v>709.025803436724</v>
      </c>
      <c r="AG109" s="8" t="n">
        <f aca="false">AG107-AG108</f>
        <v>722.744052744827</v>
      </c>
      <c r="AH109" s="8" t="n">
        <f aca="false">AH107-AH108</f>
        <v>736.725110370075</v>
      </c>
      <c r="AI109" s="8" t="n">
        <f aca="false">AI107-AI108</f>
        <v>750.973943562088</v>
      </c>
      <c r="AJ109" s="8" t="n">
        <f aca="false">AJ107-AJ108</f>
        <v>0</v>
      </c>
      <c r="AK109" s="8" t="n">
        <f aca="false">AK107-AK108</f>
        <v>0</v>
      </c>
      <c r="AL109" s="8" t="n">
        <f aca="false">AL107-AL108</f>
        <v>0</v>
      </c>
      <c r="AM109" s="8" t="n">
        <f aca="false">AM107-AM108</f>
        <v>0</v>
      </c>
      <c r="AN109" s="8" t="n">
        <f aca="false">AN107-AN108</f>
        <v>0</v>
      </c>
      <c r="AO109" s="8" t="n">
        <f aca="false">AO107-AO108</f>
        <v>0</v>
      </c>
      <c r="AP109" s="8" t="n">
        <f aca="false">AP107-AP108</f>
        <v>0</v>
      </c>
      <c r="AQ109" s="8" t="n">
        <f aca="false">AQ107-AQ108</f>
        <v>0</v>
      </c>
      <c r="AR109" s="8" t="n">
        <f aca="false">AR107-AR108</f>
        <v>0</v>
      </c>
      <c r="AS109" s="8" t="n">
        <f aca="false">AS107-AS108</f>
        <v>0</v>
      </c>
    </row>
    <row r="110" customFormat="false" ht="15" hidden="false" customHeight="false" outlineLevel="0" collapsed="false">
      <c r="A110" s="6" t="s">
        <v>453</v>
      </c>
      <c r="B110" s="6" t="s">
        <v>454</v>
      </c>
      <c r="C110" s="9" t="n">
        <f aca="false">SUM(G110:AS110)</f>
        <v>8463.09063866266</v>
      </c>
      <c r="G110" s="8" t="n">
        <f aca="false">(CEG_Assets!$R$4*CEG_Assets!$D$4*1000*G$4*G96+CEG_Assets!$O$4*(1+CEG_Assets!$Q$4)^(G$3-2026)*(G98+G99))/1000000*(1+CEG_OMAdj)</f>
        <v>202.19397066</v>
      </c>
      <c r="H110" s="8" t="n">
        <f aca="false">(CEG_Assets!$R$4*CEG_Assets!$D$4*1000*H$4*H96+CEG_Assets!$O$4*(1+CEG_Assets!$Q$4)^(H$3-2026)*(H98+H99))/1000000*(1+CEG_OMAdj)</f>
        <v>207.2488199265</v>
      </c>
      <c r="I110" s="8" t="n">
        <f aca="false">(CEG_Assets!$R$4*CEG_Assets!$D$4*1000*I$4*I96+CEG_Assets!$O$4*(1+CEG_Assets!$Q$4)^(I$3-2026)*(I98+I99))/1000000*(1+CEG_OMAdj)</f>
        <v>212.430040424662</v>
      </c>
      <c r="J110" s="8" t="n">
        <f aca="false">(CEG_Assets!$R$4*CEG_Assets!$D$4*1000*J$4*J96+CEG_Assets!$O$4*(1+CEG_Assets!$Q$4)^(J$3-2026)*(J98+J99))/1000000*(1+CEG_OMAdj)</f>
        <v>217.740791435279</v>
      </c>
      <c r="K110" s="8" t="n">
        <f aca="false">(CEG_Assets!$R$4*CEG_Assets!$D$4*1000*K$4*K96+CEG_Assets!$O$4*(1+CEG_Assets!$Q$4)^(K$3-2026)*(K98+K99))/1000000*(1+CEG_OMAdj)</f>
        <v>223.184311221161</v>
      </c>
      <c r="L110" s="8" t="n">
        <f aca="false">(CEG_Assets!$R$4*CEG_Assets!$D$4*1000*L$4*L96+CEG_Assets!$O$4*(1+CEG_Assets!$Q$4)^(L$3-2026)*(L98+L99))/1000000*(1+CEG_OMAdj)</f>
        <v>228.76391900169</v>
      </c>
      <c r="M110" s="8" t="n">
        <f aca="false">(CEG_Assets!$R$4*CEG_Assets!$D$4*1000*M$4*M96+CEG_Assets!$O$4*(1+CEG_Assets!$Q$4)^(M$3-2026)*(M98+M99))/1000000*(1+CEG_OMAdj)</f>
        <v>234.483016976732</v>
      </c>
      <c r="N110" s="8" t="n">
        <f aca="false">(CEG_Assets!$R$4*CEG_Assets!$D$4*1000*N$4*N96+CEG_Assets!$O$4*(1+CEG_Assets!$Q$4)^(N$3-2026)*(N98+N99))/1000000*(1+CEG_OMAdj)</f>
        <v>240.34509240115</v>
      </c>
      <c r="O110" s="8" t="n">
        <f aca="false">(CEG_Assets!$R$4*CEG_Assets!$D$4*1000*O$4*O96+CEG_Assets!$O$4*(1+CEG_Assets!$Q$4)^(O$3-2026)*(O98+O99))/1000000*(1+CEG_OMAdj)</f>
        <v>246.353719711179</v>
      </c>
      <c r="P110" s="8" t="n">
        <f aca="false">(CEG_Assets!$R$4*CEG_Assets!$D$4*1000*P$4*P96+CEG_Assets!$O$4*(1+CEG_Assets!$Q$4)^(P$3-2026)*(P98+P99))/1000000*(1+CEG_OMAdj)</f>
        <v>252.512562703959</v>
      </c>
      <c r="Q110" s="8" t="n">
        <f aca="false">(CEG_Assets!$R$4*CEG_Assets!$D$4*1000*Q$4*Q96+CEG_Assets!$O$4*(1+CEG_Assets!$Q$4)^(Q$3-2026)*(Q98+Q99))/1000000*(1+CEG_OMAdj)</f>
        <v>258.825376771558</v>
      </c>
      <c r="R110" s="8" t="n">
        <f aca="false">(CEG_Assets!$R$4*CEG_Assets!$D$4*1000*R$4*R96+CEG_Assets!$O$4*(1+CEG_Assets!$Q$4)^(R$3-2026)*(R98+R99))/1000000*(1+CEG_OMAdj)</f>
        <v>265.296011190847</v>
      </c>
      <c r="S110" s="8" t="n">
        <f aca="false">(CEG_Assets!$R$4*CEG_Assets!$D$4*1000*S$4*S96+CEG_Assets!$O$4*(1+CEG_Assets!$Q$4)^(S$3-2026)*(S98+S99))/1000000*(1+CEG_OMAdj)</f>
        <v>271.928411470618</v>
      </c>
      <c r="T110" s="8" t="n">
        <f aca="false">(CEG_Assets!$R$4*CEG_Assets!$D$4*1000*T$4*T96+CEG_Assets!$O$4*(1+CEG_Assets!$Q$4)^(T$3-2026)*(T98+T99))/1000000*(1+CEG_OMAdj)</f>
        <v>278.726621757383</v>
      </c>
      <c r="U110" s="8" t="n">
        <f aca="false">(CEG_Assets!$R$4*CEG_Assets!$D$4*1000*U$4*U96+CEG_Assets!$O$4*(1+CEG_Assets!$Q$4)^(U$3-2026)*(U98+U99))/1000000*(1+CEG_OMAdj)</f>
        <v>285.694787301318</v>
      </c>
      <c r="V110" s="8" t="n">
        <f aca="false">(CEG_Assets!$R$4*CEG_Assets!$D$4*1000*V$4*V96+CEG_Assets!$O$4*(1+CEG_Assets!$Q$4)^(V$3-2026)*(V98+V99))/1000000*(1+CEG_OMAdj)</f>
        <v>292.837156983851</v>
      </c>
      <c r="W110" s="8" t="n">
        <f aca="false">(CEG_Assets!$R$4*CEG_Assets!$D$4*1000*W$4*W96+CEG_Assets!$O$4*(1+CEG_Assets!$Q$4)^(W$3-2026)*(W98+W99))/1000000*(1+CEG_OMAdj)</f>
        <v>300.158085908447</v>
      </c>
      <c r="X110" s="8" t="n">
        <f aca="false">(CEG_Assets!$R$4*CEG_Assets!$D$4*1000*X$4*X96+CEG_Assets!$O$4*(1+CEG_Assets!$Q$4)^(X$3-2026)*(X98+X99))/1000000*(1+CEG_OMAdj)</f>
        <v>307.662038056158</v>
      </c>
      <c r="Y110" s="8" t="n">
        <f aca="false">(CEG_Assets!$R$4*CEG_Assets!$D$4*1000*Y$4*Y96+CEG_Assets!$O$4*(1+CEG_Assets!$Q$4)^(Y$3-2026)*(Y98+Y99))/1000000*(1+CEG_OMAdj)</f>
        <v>315.353589007562</v>
      </c>
      <c r="Z110" s="8" t="n">
        <f aca="false">(CEG_Assets!$R$4*CEG_Assets!$D$4*1000*Z$4*Z96+CEG_Assets!$O$4*(1+CEG_Assets!$Q$4)^(Z$3-2026)*(Z98+Z99))/1000000*(1+CEG_OMAdj)</f>
        <v>323.237428732751</v>
      </c>
      <c r="AA110" s="8" t="n">
        <f aca="false">(CEG_Assets!$R$4*CEG_Assets!$D$4*1000*AA$4*AA96+CEG_Assets!$O$4*(1+CEG_Assets!$Q$4)^(AA$3-2026)*(AA98+AA99))/1000000*(1+CEG_OMAdj)</f>
        <v>331.31836445107</v>
      </c>
      <c r="AB110" s="8" t="n">
        <f aca="false">(CEG_Assets!$R$4*CEG_Assets!$D$4*1000*AB$4*AB96+CEG_Assets!$O$4*(1+CEG_Assets!$Q$4)^(AB$3-2026)*(AB98+AB99))/1000000*(1+CEG_OMAdj)</f>
        <v>339.601323562346</v>
      </c>
      <c r="AC110" s="8" t="n">
        <f aca="false">(CEG_Assets!$R$4*CEG_Assets!$D$4*1000*AC$4*AC96+CEG_Assets!$O$4*(1+CEG_Assets!$Q$4)^(AC$3-2026)*(AC98+AC99))/1000000*(1+CEG_OMAdj)</f>
        <v>348.091356651405</v>
      </c>
      <c r="AD110" s="8" t="n">
        <f aca="false">(CEG_Assets!$R$4*CEG_Assets!$D$4*1000*AD$4*AD96+CEG_Assets!$O$4*(1+CEG_Assets!$Q$4)^(AD$3-2026)*(AD98+AD99))/1000000*(1+CEG_OMAdj)</f>
        <v>356.79364056769</v>
      </c>
      <c r="AE110" s="8" t="n">
        <f aca="false">(CEG_Assets!$R$4*CEG_Assets!$D$4*1000*AE$4*AE96+CEG_Assets!$O$4*(1+CEG_Assets!$Q$4)^(AE$3-2026)*(AE98+AE99))/1000000*(1+CEG_OMAdj)</f>
        <v>365.713481581882</v>
      </c>
      <c r="AF110" s="8" t="n">
        <f aca="false">(CEG_Assets!$R$4*CEG_Assets!$D$4*1000*AF$4*AF96+CEG_Assets!$O$4*(1+CEG_Assets!$Q$4)^(AF$3-2026)*(AF98+AF99))/1000000*(1+CEG_OMAdj)</f>
        <v>374.856318621429</v>
      </c>
      <c r="AG110" s="8" t="n">
        <f aca="false">(CEG_Assets!$R$4*CEG_Assets!$D$4*1000*AG$4*AG96+CEG_Assets!$O$4*(1+CEG_Assets!$Q$4)^(AG$3-2026)*(AG98+AG99))/1000000*(1+CEG_OMAdj)</f>
        <v>384.227726586965</v>
      </c>
      <c r="AH110" s="8" t="n">
        <f aca="false">(CEG_Assets!$R$4*CEG_Assets!$D$4*1000*AH$4*AH96+CEG_Assets!$O$4*(1+CEG_Assets!$Q$4)^(AH$3-2026)*(AH98+AH99))/1000000*(1+CEG_OMAdj)</f>
        <v>393.833419751639</v>
      </c>
      <c r="AI110" s="8" t="n">
        <f aca="false">(CEG_Assets!$R$4*CEG_Assets!$D$4*1000*AI$4*AI96+CEG_Assets!$O$4*(1+CEG_Assets!$Q$4)^(AI$3-2026)*(AI98+AI99))/1000000*(1+CEG_OMAdj)</f>
        <v>403.67925524543</v>
      </c>
      <c r="AJ110" s="8" t="n">
        <f aca="false">(CEG_Assets!$R$4*CEG_Assets!$D$4*1000*AJ$4*AJ96+CEG_Assets!$O$4*(1+CEG_Assets!$Q$4)^(AJ$3-2026)*(AJ98+AJ99))/1000000*(1+CEG_OMAdj)</f>
        <v>0</v>
      </c>
      <c r="AK110" s="8" t="n">
        <f aca="false">(CEG_Assets!$R$4*CEG_Assets!$D$4*1000*AK$4*AK96+CEG_Assets!$O$4*(1+CEG_Assets!$Q$4)^(AK$3-2026)*(AK98+AK99))/1000000*(1+CEG_OMAdj)</f>
        <v>0</v>
      </c>
      <c r="AL110" s="8" t="n">
        <f aca="false">(CEG_Assets!$R$4*CEG_Assets!$D$4*1000*AL$4*AL96+CEG_Assets!$O$4*(1+CEG_Assets!$Q$4)^(AL$3-2026)*(AL98+AL99))/1000000*(1+CEG_OMAdj)</f>
        <v>0</v>
      </c>
      <c r="AM110" s="8" t="n">
        <f aca="false">(CEG_Assets!$R$4*CEG_Assets!$D$4*1000*AM$4*AM96+CEG_Assets!$O$4*(1+CEG_Assets!$Q$4)^(AM$3-2026)*(AM98+AM99))/1000000*(1+CEG_OMAdj)</f>
        <v>0</v>
      </c>
      <c r="AN110" s="8" t="n">
        <f aca="false">(CEG_Assets!$R$4*CEG_Assets!$D$4*1000*AN$4*AN96+CEG_Assets!$O$4*(1+CEG_Assets!$Q$4)^(AN$3-2026)*(AN98+AN99))/1000000*(1+CEG_OMAdj)</f>
        <v>0</v>
      </c>
      <c r="AO110" s="8" t="n">
        <f aca="false">(CEG_Assets!$R$4*CEG_Assets!$D$4*1000*AO$4*AO96+CEG_Assets!$O$4*(1+CEG_Assets!$Q$4)^(AO$3-2026)*(AO98+AO99))/1000000*(1+CEG_OMAdj)</f>
        <v>0</v>
      </c>
      <c r="AP110" s="8" t="n">
        <f aca="false">(CEG_Assets!$R$4*CEG_Assets!$D$4*1000*AP$4*AP96+CEG_Assets!$O$4*(1+CEG_Assets!$Q$4)^(AP$3-2026)*(AP98+AP99))/1000000*(1+CEG_OMAdj)</f>
        <v>0</v>
      </c>
      <c r="AQ110" s="8" t="n">
        <f aca="false">(CEG_Assets!$R$4*CEG_Assets!$D$4*1000*AQ$4*AQ96+CEG_Assets!$O$4*(1+CEG_Assets!$Q$4)^(AQ$3-2026)*(AQ98+AQ99))/1000000*(1+CEG_OMAdj)</f>
        <v>0</v>
      </c>
      <c r="AR110" s="8" t="n">
        <f aca="false">(CEG_Assets!$R$4*CEG_Assets!$D$4*1000*AR$4*AR96+CEG_Assets!$O$4*(1+CEG_Assets!$Q$4)^(AR$3-2026)*(AR98+AR99))/1000000*(1+CEG_OMAdj)</f>
        <v>0</v>
      </c>
      <c r="AS110" s="8" t="n">
        <f aca="false">(CEG_Assets!$R$4*CEG_Assets!$D$4*1000*AS$4*AS96+CEG_Assets!$O$4*(1+CEG_Assets!$Q$4)^(AS$3-2026)*(AS98+AS99))/1000000*(1+CEG_OMAdj)</f>
        <v>0</v>
      </c>
    </row>
    <row r="111" customFormat="false" ht="15" hidden="false" customHeight="false" outlineLevel="0" collapsed="false">
      <c r="A111" s="6" t="s">
        <v>455</v>
      </c>
      <c r="B111" s="6" t="s">
        <v>456</v>
      </c>
      <c r="C111" s="9" t="n">
        <f aca="false">SUM(G111:AS111)</f>
        <v>10684.0792570533</v>
      </c>
      <c r="G111" s="8" t="n">
        <f aca="false">G109-G110</f>
        <v>455.60540124</v>
      </c>
      <c r="H111" s="8" t="n">
        <f aca="false">H109-H110</f>
        <v>449.303840271</v>
      </c>
      <c r="I111" s="8" t="n">
        <f aca="false">I109-I110</f>
        <v>442.844740277775</v>
      </c>
      <c r="J111" s="8" t="n">
        <f aca="false">J109-J110</f>
        <v>436.224162784719</v>
      </c>
      <c r="K111" s="8" t="n">
        <f aca="false">K109-K110</f>
        <v>429.438070854337</v>
      </c>
      <c r="L111" s="8" t="n">
        <f aca="false">L109-L110</f>
        <v>422.482326625696</v>
      </c>
      <c r="M111" s="8" t="n">
        <f aca="false">M109-M110</f>
        <v>415.352688791338</v>
      </c>
      <c r="N111" s="8" t="n">
        <f aca="false">N109-N110</f>
        <v>408.044810011122</v>
      </c>
      <c r="O111" s="8" t="n">
        <f aca="false">O109-O110</f>
        <v>400.5542342614</v>
      </c>
      <c r="P111" s="8" t="n">
        <f aca="false">P109-P110</f>
        <v>392.876394117935</v>
      </c>
      <c r="Q111" s="8" t="n">
        <f aca="false">Q109-Q110</f>
        <v>385.006607970883</v>
      </c>
      <c r="R111" s="8" t="n">
        <f aca="false">R109-R110</f>
        <v>376.940077170155</v>
      </c>
      <c r="S111" s="8" t="n">
        <f aca="false">S109-S110</f>
        <v>368.671883099409</v>
      </c>
      <c r="T111" s="8" t="n">
        <f aca="false">T109-T110</f>
        <v>360.196984176895</v>
      </c>
      <c r="U111" s="8" t="n">
        <f aca="false">U109-U110</f>
        <v>351.510212781317</v>
      </c>
      <c r="V111" s="8" t="n">
        <f aca="false">V109-V110</f>
        <v>342.60627210085</v>
      </c>
      <c r="W111" s="8" t="n">
        <f aca="false">W109-W110</f>
        <v>333.479732903371</v>
      </c>
      <c r="X111" s="8" t="n">
        <f aca="false">X109-X110</f>
        <v>324.125030225956</v>
      </c>
      <c r="Y111" s="8" t="n">
        <f aca="false">Y109-Y110</f>
        <v>314.536459981605</v>
      </c>
      <c r="Z111" s="8" t="n">
        <f aca="false">Z109-Z110</f>
        <v>304.708175481145</v>
      </c>
      <c r="AA111" s="8" t="n">
        <f aca="false">AA109-AA110</f>
        <v>312.890708498123</v>
      </c>
      <c r="AB111" s="8" t="n">
        <f aca="false">AB109-AB110</f>
        <v>317.083354387427</v>
      </c>
      <c r="AC111" s="8" t="n">
        <f aca="false">AC109-AC110</f>
        <v>321.3082239875</v>
      </c>
      <c r="AD111" s="8" t="n">
        <f aca="false">AD109-AD110</f>
        <v>325.564671042383</v>
      </c>
      <c r="AE111" s="8" t="n">
        <f aca="false">AE109-AE110</f>
        <v>329.852004102741</v>
      </c>
      <c r="AF111" s="8" t="n">
        <f aca="false">AF109-AF110</f>
        <v>334.169484815295</v>
      </c>
      <c r="AG111" s="8" t="n">
        <f aca="false">AG109-AG110</f>
        <v>338.516326157861</v>
      </c>
      <c r="AH111" s="8" t="n">
        <f aca="false">AH109-AH110</f>
        <v>342.891690618436</v>
      </c>
      <c r="AI111" s="8" t="n">
        <f aca="false">AI109-AI110</f>
        <v>347.294688316658</v>
      </c>
      <c r="AJ111" s="8" t="n">
        <f aca="false">AJ109-AJ110</f>
        <v>0</v>
      </c>
      <c r="AK111" s="8" t="n">
        <f aca="false">AK109-AK110</f>
        <v>0</v>
      </c>
      <c r="AL111" s="8" t="n">
        <f aca="false">AL109-AL110</f>
        <v>0</v>
      </c>
      <c r="AM111" s="8" t="n">
        <f aca="false">AM109-AM110</f>
        <v>0</v>
      </c>
      <c r="AN111" s="8" t="n">
        <f aca="false">AN109-AN110</f>
        <v>0</v>
      </c>
      <c r="AO111" s="8" t="n">
        <f aca="false">AO109-AO110</f>
        <v>0</v>
      </c>
      <c r="AP111" s="8" t="n">
        <f aca="false">AP109-AP110</f>
        <v>0</v>
      </c>
      <c r="AQ111" s="8" t="n">
        <f aca="false">AQ109-AQ110</f>
        <v>0</v>
      </c>
      <c r="AR111" s="8" t="n">
        <f aca="false">AR109-AR110</f>
        <v>0</v>
      </c>
      <c r="AS111" s="8" t="n">
        <f aca="false">AS109-AS110</f>
        <v>0</v>
      </c>
    </row>
    <row r="112" customFormat="false" ht="15" hidden="false" customHeight="false" outlineLevel="0" collapsed="false">
      <c r="A112" s="6" t="s">
        <v>457</v>
      </c>
      <c r="B112" s="6" t="s">
        <v>458</v>
      </c>
      <c r="C112" s="9" t="n">
        <f aca="false">SUM(G112:AS112)</f>
        <v>2922.23309047993</v>
      </c>
      <c r="G112" s="8" t="n">
        <f aca="false">((CEG_Assets!$S$4*CEG_Assets!$D$4*1000*G$4*G96+CEG_Assets!$P$4*(1+CEG_Assets!$Q$4)^(G$3-2026)*(G98+G99))/1000000+IF(G$3=CEG_Assets!$AH$4,CEG_Assets!$AG$4,0))*(1+CEG_CapexAdj)</f>
        <v>69.81585534</v>
      </c>
      <c r="H112" s="8" t="n">
        <f aca="false">((CEG_Assets!$S$4*CEG_Assets!$D$4*1000*H$4*H96+CEG_Assets!$P$4*(1+CEG_Assets!$Q$4)^(H$3-2026)*(H98+H99))/1000000+IF(H$3=CEG_Assets!$AH$4,CEG_Assets!$AG$4,0))*(1+CEG_CapexAdj)</f>
        <v>71.5612517235</v>
      </c>
      <c r="I112" s="8" t="n">
        <f aca="false">((CEG_Assets!$S$4*CEG_Assets!$D$4*1000*I$4*I96+CEG_Assets!$P$4*(1+CEG_Assets!$Q$4)^(I$3-2026)*(I98+I99))/1000000+IF(I$3=CEG_Assets!$AH$4,CEG_Assets!$AG$4,0))*(1+CEG_CapexAdj)</f>
        <v>73.3502830165875</v>
      </c>
      <c r="J112" s="8" t="n">
        <f aca="false">((CEG_Assets!$S$4*CEG_Assets!$D$4*1000*J$4*J96+CEG_Assets!$P$4*(1+CEG_Assets!$Q$4)^(J$3-2026)*(J98+J99))/1000000+IF(J$3=CEG_Assets!$AH$4,CEG_Assets!$AG$4,0))*(1+CEG_CapexAdj)</f>
        <v>75.1840400920022</v>
      </c>
      <c r="K112" s="8" t="n">
        <f aca="false">((CEG_Assets!$S$4*CEG_Assets!$D$4*1000*K$4*K96+CEG_Assets!$P$4*(1+CEG_Assets!$Q$4)^(K$3-2026)*(K98+K99))/1000000+IF(K$3=CEG_Assets!$AH$4,CEG_Assets!$AG$4,0))*(1+CEG_CapexAdj)</f>
        <v>77.0636410943022</v>
      </c>
      <c r="L112" s="8" t="n">
        <f aca="false">((CEG_Assets!$S$4*CEG_Assets!$D$4*1000*L$4*L96+CEG_Assets!$P$4*(1+CEG_Assets!$Q$4)^(L$3-2026)*(L98+L99))/1000000+IF(L$3=CEG_Assets!$AH$4,CEG_Assets!$AG$4,0))*(1+CEG_CapexAdj)</f>
        <v>78.9902321216598</v>
      </c>
      <c r="M112" s="8" t="n">
        <f aca="false">((CEG_Assets!$S$4*CEG_Assets!$D$4*1000*M$4*M96+CEG_Assets!$P$4*(1+CEG_Assets!$Q$4)^(M$3-2026)*(M98+M99))/1000000+IF(M$3=CEG_Assets!$AH$4,CEG_Assets!$AG$4,0))*(1+CEG_CapexAdj)</f>
        <v>80.9649879247013</v>
      </c>
      <c r="N112" s="8" t="n">
        <f aca="false">((CEG_Assets!$S$4*CEG_Assets!$D$4*1000*N$4*N96+CEG_Assets!$P$4*(1+CEG_Assets!$Q$4)^(N$3-2026)*(N98+N99))/1000000+IF(N$3=CEG_Assets!$AH$4,CEG_Assets!$AG$4,0))*(1+CEG_CapexAdj)</f>
        <v>82.9891126228188</v>
      </c>
      <c r="O112" s="8" t="n">
        <f aca="false">((CEG_Assets!$S$4*CEG_Assets!$D$4*1000*O$4*O96+CEG_Assets!$P$4*(1+CEG_Assets!$Q$4)^(O$3-2026)*(O98+O99))/1000000+IF(O$3=CEG_Assets!$AH$4,CEG_Assets!$AG$4,0))*(1+CEG_CapexAdj)</f>
        <v>85.0638404383892</v>
      </c>
      <c r="P112" s="8" t="n">
        <f aca="false">((CEG_Assets!$S$4*CEG_Assets!$D$4*1000*P$4*P96+CEG_Assets!$P$4*(1+CEG_Assets!$Q$4)^(P$3-2026)*(P98+P99))/1000000+IF(P$3=CEG_Assets!$AH$4,CEG_Assets!$AG$4,0))*(1+CEG_CapexAdj)</f>
        <v>87.190436449349</v>
      </c>
      <c r="Q112" s="8" t="n">
        <f aca="false">((CEG_Assets!$S$4*CEG_Assets!$D$4*1000*Q$4*Q96+CEG_Assets!$P$4*(1+CEG_Assets!$Q$4)^(Q$3-2026)*(Q98+Q99))/1000000+IF(Q$3=CEG_Assets!$AH$4,CEG_Assets!$AG$4,0))*(1+CEG_CapexAdj)</f>
        <v>89.3701973605827</v>
      </c>
      <c r="R112" s="8" t="n">
        <f aca="false">((CEG_Assets!$S$4*CEG_Assets!$D$4*1000*R$4*R96+CEG_Assets!$P$4*(1+CEG_Assets!$Q$4)^(R$3-2026)*(R98+R99))/1000000+IF(R$3=CEG_Assets!$AH$4,CEG_Assets!$AG$4,0))*(1+CEG_CapexAdj)</f>
        <v>91.6044522945972</v>
      </c>
      <c r="S112" s="8" t="n">
        <f aca="false">((CEG_Assets!$S$4*CEG_Assets!$D$4*1000*S$4*S96+CEG_Assets!$P$4*(1+CEG_Assets!$Q$4)^(S$3-2026)*(S98+S99))/1000000+IF(S$3=CEG_Assets!$AH$4,CEG_Assets!$AG$4,0))*(1+CEG_CapexAdj)</f>
        <v>93.8945636019622</v>
      </c>
      <c r="T112" s="8" t="n">
        <f aca="false">((CEG_Assets!$S$4*CEG_Assets!$D$4*1000*T$4*T96+CEG_Assets!$P$4*(1+CEG_Assets!$Q$4)^(T$3-2026)*(T98+T99))/1000000+IF(T$3=CEG_Assets!$AH$4,CEG_Assets!$AG$4,0))*(1+CEG_CapexAdj)</f>
        <v>96.2419276920112</v>
      </c>
      <c r="U112" s="8" t="n">
        <f aca="false">((CEG_Assets!$S$4*CEG_Assets!$D$4*1000*U$4*U96+CEG_Assets!$P$4*(1+CEG_Assets!$Q$4)^(U$3-2026)*(U98+U99))/1000000+IF(U$3=CEG_Assets!$AH$4,CEG_Assets!$AG$4,0))*(1+CEG_CapexAdj)</f>
        <v>98.6479758843115</v>
      </c>
      <c r="V112" s="8" t="n">
        <f aca="false">((CEG_Assets!$S$4*CEG_Assets!$D$4*1000*V$4*V96+CEG_Assets!$P$4*(1+CEG_Assets!$Q$4)^(V$3-2026)*(V98+V99))/1000000+IF(V$3=CEG_Assets!$AH$4,CEG_Assets!$AG$4,0))*(1+CEG_CapexAdj)</f>
        <v>101.114175281419</v>
      </c>
      <c r="W112" s="8" t="n">
        <f aca="false">((CEG_Assets!$S$4*CEG_Assets!$D$4*1000*W$4*W96+CEG_Assets!$P$4*(1+CEG_Assets!$Q$4)^(W$3-2026)*(W98+W99))/1000000+IF(W$3=CEG_Assets!$AH$4,CEG_Assets!$AG$4,0))*(1+CEG_CapexAdj)</f>
        <v>103.642029663455</v>
      </c>
      <c r="X112" s="8" t="n">
        <f aca="false">((CEG_Assets!$S$4*CEG_Assets!$D$4*1000*X$4*X96+CEG_Assets!$P$4*(1+CEG_Assets!$Q$4)^(X$3-2026)*(X98+X99))/1000000+IF(X$3=CEG_Assets!$AH$4,CEG_Assets!$AG$4,0))*(1+CEG_CapexAdj)</f>
        <v>106.233080405041</v>
      </c>
      <c r="Y112" s="8" t="n">
        <f aca="false">((CEG_Assets!$S$4*CEG_Assets!$D$4*1000*Y$4*Y96+CEG_Assets!$P$4*(1+CEG_Assets!$Q$4)^(Y$3-2026)*(Y98+Y99))/1000000+IF(Y$3=CEG_Assets!$AH$4,CEG_Assets!$AG$4,0))*(1+CEG_CapexAdj)</f>
        <v>108.888907415167</v>
      </c>
      <c r="Z112" s="8" t="n">
        <f aca="false">((CEG_Assets!$S$4*CEG_Assets!$D$4*1000*Z$4*Z96+CEG_Assets!$P$4*(1+CEG_Assets!$Q$4)^(Z$3-2026)*(Z98+Z99))/1000000+IF(Z$3=CEG_Assets!$AH$4,CEG_Assets!$AG$4,0))*(1+CEG_CapexAdj)</f>
        <v>111.611130100546</v>
      </c>
      <c r="AA112" s="8" t="n">
        <f aca="false">((CEG_Assets!$S$4*CEG_Assets!$D$4*1000*AA$4*AA96+CEG_Assets!$P$4*(1+CEG_Assets!$Q$4)^(AA$3-2026)*(AA98+AA99))/1000000+IF(AA$3=CEG_Assets!$AH$4,CEG_Assets!$AG$4,0))*(1+CEG_CapexAdj)</f>
        <v>114.40140835306</v>
      </c>
      <c r="AB112" s="8" t="n">
        <f aca="false">((CEG_Assets!$S$4*CEG_Assets!$D$4*1000*AB$4*AB96+CEG_Assets!$P$4*(1+CEG_Assets!$Q$4)^(AB$3-2026)*(AB98+AB99))/1000000+IF(AB$3=CEG_Assets!$AH$4,CEG_Assets!$AG$4,0))*(1+CEG_CapexAdj)</f>
        <v>117.261443561886</v>
      </c>
      <c r="AC112" s="8" t="n">
        <f aca="false">((CEG_Assets!$S$4*CEG_Assets!$D$4*1000*AC$4*AC96+CEG_Assets!$P$4*(1+CEG_Assets!$Q$4)^(AC$3-2026)*(AC98+AC99))/1000000+IF(AC$3=CEG_Assets!$AH$4,CEG_Assets!$AG$4,0))*(1+CEG_CapexAdj)</f>
        <v>120.192979650934</v>
      </c>
      <c r="AD112" s="8" t="n">
        <f aca="false">((CEG_Assets!$S$4*CEG_Assets!$D$4*1000*AD$4*AD96+CEG_Assets!$P$4*(1+CEG_Assets!$Q$4)^(AD$3-2026)*(AD98+AD99))/1000000+IF(AD$3=CEG_Assets!$AH$4,CEG_Assets!$AG$4,0))*(1+CEG_CapexAdj)</f>
        <v>123.197804142207</v>
      </c>
      <c r="AE112" s="8" t="n">
        <f aca="false">((CEG_Assets!$S$4*CEG_Assets!$D$4*1000*AE$4*AE96+CEG_Assets!$P$4*(1+CEG_Assets!$Q$4)^(AE$3-2026)*(AE98+AE99))/1000000+IF(AE$3=CEG_Assets!$AH$4,CEG_Assets!$AG$4,0))*(1+CEG_CapexAdj)</f>
        <v>126.277749245762</v>
      </c>
      <c r="AF112" s="8" t="n">
        <f aca="false">((CEG_Assets!$S$4*CEG_Assets!$D$4*1000*AF$4*AF96+CEG_Assets!$P$4*(1+CEG_Assets!$Q$4)^(AF$3-2026)*(AF98+AF99))/1000000+IF(AF$3=CEG_Assets!$AH$4,CEG_Assets!$AG$4,0))*(1+CEG_CapexAdj)</f>
        <v>129.434692976906</v>
      </c>
      <c r="AG112" s="8" t="n">
        <f aca="false">((CEG_Assets!$S$4*CEG_Assets!$D$4*1000*AG$4*AG96+CEG_Assets!$P$4*(1+CEG_Assets!$Q$4)^(AG$3-2026)*(AG98+AG99))/1000000+IF(AG$3=CEG_Assets!$AH$4,CEG_Assets!$AG$4,0))*(1+CEG_CapexAdj)</f>
        <v>132.670560301329</v>
      </c>
      <c r="AH112" s="8" t="n">
        <f aca="false">((CEG_Assets!$S$4*CEG_Assets!$D$4*1000*AH$4*AH96+CEG_Assets!$P$4*(1+CEG_Assets!$Q$4)^(AH$3-2026)*(AH98+AH99))/1000000+IF(AH$3=CEG_Assets!$AH$4,CEG_Assets!$AG$4,0))*(1+CEG_CapexAdj)</f>
        <v>135.987324308862</v>
      </c>
      <c r="AI112" s="8" t="n">
        <f aca="false">((CEG_Assets!$S$4*CEG_Assets!$D$4*1000*AI$4*AI96+CEG_Assets!$P$4*(1+CEG_Assets!$Q$4)^(AI$3-2026)*(AI98+AI99))/1000000+IF(AI$3=CEG_Assets!$AH$4,CEG_Assets!$AG$4,0))*(1+CEG_CapexAdj)</f>
        <v>139.387007416583</v>
      </c>
      <c r="AJ112" s="8" t="n">
        <f aca="false">((CEG_Assets!$S$4*CEG_Assets!$D$4*1000*AJ$4*AJ96+CEG_Assets!$P$4*(1+CEG_Assets!$Q$4)^(AJ$3-2026)*(AJ98+AJ99))/1000000+IF(AJ$3=CEG_Assets!$AH$4,CEG_Assets!$AG$4,0))*(1+CEG_CapexAdj)</f>
        <v>0</v>
      </c>
      <c r="AK112" s="8" t="n">
        <f aca="false">((CEG_Assets!$S$4*CEG_Assets!$D$4*1000*AK$4*AK96+CEG_Assets!$P$4*(1+CEG_Assets!$Q$4)^(AK$3-2026)*(AK98+AK99))/1000000+IF(AK$3=CEG_Assets!$AH$4,CEG_Assets!$AG$4,0))*(1+CEG_CapexAdj)</f>
        <v>0</v>
      </c>
      <c r="AL112" s="8" t="n">
        <f aca="false">((CEG_Assets!$S$4*CEG_Assets!$D$4*1000*AL$4*AL96+CEG_Assets!$P$4*(1+CEG_Assets!$Q$4)^(AL$3-2026)*(AL98+AL99))/1000000+IF(AL$3=CEG_Assets!$AH$4,CEG_Assets!$AG$4,0))*(1+CEG_CapexAdj)</f>
        <v>0</v>
      </c>
      <c r="AM112" s="8" t="n">
        <f aca="false">((CEG_Assets!$S$4*CEG_Assets!$D$4*1000*AM$4*AM96+CEG_Assets!$P$4*(1+CEG_Assets!$Q$4)^(AM$3-2026)*(AM98+AM99))/1000000+IF(AM$3=CEG_Assets!$AH$4,CEG_Assets!$AG$4,0))*(1+CEG_CapexAdj)</f>
        <v>0</v>
      </c>
      <c r="AN112" s="8" t="n">
        <f aca="false">((CEG_Assets!$S$4*CEG_Assets!$D$4*1000*AN$4*AN96+CEG_Assets!$P$4*(1+CEG_Assets!$Q$4)^(AN$3-2026)*(AN98+AN99))/1000000+IF(AN$3=CEG_Assets!$AH$4,CEG_Assets!$AG$4,0))*(1+CEG_CapexAdj)</f>
        <v>0</v>
      </c>
      <c r="AO112" s="8" t="n">
        <f aca="false">((CEG_Assets!$S$4*CEG_Assets!$D$4*1000*AO$4*AO96+CEG_Assets!$P$4*(1+CEG_Assets!$Q$4)^(AO$3-2026)*(AO98+AO99))/1000000+IF(AO$3=CEG_Assets!$AH$4,CEG_Assets!$AG$4,0))*(1+CEG_CapexAdj)</f>
        <v>0</v>
      </c>
      <c r="AP112" s="8" t="n">
        <f aca="false">((CEG_Assets!$S$4*CEG_Assets!$D$4*1000*AP$4*AP96+CEG_Assets!$P$4*(1+CEG_Assets!$Q$4)^(AP$3-2026)*(AP98+AP99))/1000000+IF(AP$3=CEG_Assets!$AH$4,CEG_Assets!$AG$4,0))*(1+CEG_CapexAdj)</f>
        <v>0</v>
      </c>
      <c r="AQ112" s="8" t="n">
        <f aca="false">((CEG_Assets!$S$4*CEG_Assets!$D$4*1000*AQ$4*AQ96+CEG_Assets!$P$4*(1+CEG_Assets!$Q$4)^(AQ$3-2026)*(AQ98+AQ99))/1000000+IF(AQ$3=CEG_Assets!$AH$4,CEG_Assets!$AG$4,0))*(1+CEG_CapexAdj)</f>
        <v>0</v>
      </c>
      <c r="AR112" s="8" t="n">
        <f aca="false">((CEG_Assets!$S$4*CEG_Assets!$D$4*1000*AR$4*AR96+CEG_Assets!$P$4*(1+CEG_Assets!$Q$4)^(AR$3-2026)*(AR98+AR99))/1000000+IF(AR$3=CEG_Assets!$AH$4,CEG_Assets!$AG$4,0))*(1+CEG_CapexAdj)</f>
        <v>0</v>
      </c>
      <c r="AS112" s="8" t="n">
        <f aca="false">((CEG_Assets!$S$4*CEG_Assets!$D$4*1000*AS$4*AS96+CEG_Assets!$P$4*(1+CEG_Assets!$Q$4)^(AS$3-2026)*(AS98+AS99))/1000000+IF(AS$3=CEG_Assets!$AH$4,CEG_Assets!$AG$4,0))*(1+CEG_CapexAdj)</f>
        <v>0</v>
      </c>
    </row>
    <row r="113" customFormat="false" ht="15" hidden="false" customHeight="false" outlineLevel="0" collapsed="false">
      <c r="A113" s="6" t="s">
        <v>459</v>
      </c>
      <c r="B113" s="6" t="s">
        <v>460</v>
      </c>
      <c r="C113" s="9" t="n">
        <f aca="false">SUM(G113:AS113)</f>
        <v>7761.8461665734</v>
      </c>
      <c r="G113" s="8" t="n">
        <f aca="false">IF(CEG_Assets!$Y$4=1,MAX(0,G111-G112),G111-G112)</f>
        <v>385.7895459</v>
      </c>
      <c r="H113" s="8" t="n">
        <f aca="false">IF(CEG_Assets!$Y$4=1,MAX(0,H111-H112),H111-H112)</f>
        <v>377.7425885475</v>
      </c>
      <c r="I113" s="8" t="n">
        <f aca="false">IF(CEG_Assets!$Y$4=1,MAX(0,I111-I112),I111-I112)</f>
        <v>369.494457261188</v>
      </c>
      <c r="J113" s="8" t="n">
        <f aca="false">IF(CEG_Assets!$Y$4=1,MAX(0,J111-J112),J111-J112)</f>
        <v>361.040122692717</v>
      </c>
      <c r="K113" s="8" t="n">
        <f aca="false">IF(CEG_Assets!$Y$4=1,MAX(0,K111-K112),K111-K112)</f>
        <v>352.374429760035</v>
      </c>
      <c r="L113" s="8" t="n">
        <f aca="false">IF(CEG_Assets!$Y$4=1,MAX(0,L111-L112),L111-L112)</f>
        <v>343.492094504036</v>
      </c>
      <c r="M113" s="8" t="n">
        <f aca="false">IF(CEG_Assets!$Y$4=1,MAX(0,M111-M112),M111-M112)</f>
        <v>334.387700866637</v>
      </c>
      <c r="N113" s="8" t="n">
        <f aca="false">IF(CEG_Assets!$Y$4=1,MAX(0,N111-N112),N111-N112)</f>
        <v>325.055697388303</v>
      </c>
      <c r="O113" s="8" t="n">
        <f aca="false">IF(CEG_Assets!$Y$4=1,MAX(0,O111-O112),O111-O112)</f>
        <v>315.490393823011</v>
      </c>
      <c r="P113" s="8" t="n">
        <f aca="false">IF(CEG_Assets!$Y$4=1,MAX(0,P111-P112),P111-P112)</f>
        <v>305.685957668586</v>
      </c>
      <c r="Q113" s="8" t="n">
        <f aca="false">IF(CEG_Assets!$Y$4=1,MAX(0,Q111-Q112),Q111-Q112)</f>
        <v>295.636410610301</v>
      </c>
      <c r="R113" s="8" t="n">
        <f aca="false">IF(CEG_Assets!$Y$4=1,MAX(0,R111-R112),R111-R112)</f>
        <v>285.335624875558</v>
      </c>
      <c r="S113" s="8" t="n">
        <f aca="false">IF(CEG_Assets!$Y$4=1,MAX(0,S111-S112),S111-S112)</f>
        <v>274.777319497447</v>
      </c>
      <c r="T113" s="8" t="n">
        <f aca="false">IF(CEG_Assets!$Y$4=1,MAX(0,T111-T112),T111-T112)</f>
        <v>263.955056484883</v>
      </c>
      <c r="U113" s="8" t="n">
        <f aca="false">IF(CEG_Assets!$Y$4=1,MAX(0,U111-U112),U111-U112)</f>
        <v>252.862236897005</v>
      </c>
      <c r="V113" s="8" t="n">
        <f aca="false">IF(CEG_Assets!$Y$4=1,MAX(0,V111-V112),V111-V112)</f>
        <v>241.492096819431</v>
      </c>
      <c r="W113" s="8" t="n">
        <f aca="false">IF(CEG_Assets!$Y$4=1,MAX(0,W111-W112),W111-W112)</f>
        <v>229.837703239917</v>
      </c>
      <c r="X113" s="8" t="n">
        <f aca="false">IF(CEG_Assets!$Y$4=1,MAX(0,X111-X112),X111-X112)</f>
        <v>217.891949820915</v>
      </c>
      <c r="Y113" s="8" t="n">
        <f aca="false">IF(CEG_Assets!$Y$4=1,MAX(0,Y111-Y112),Y111-Y112)</f>
        <v>205.647552566437</v>
      </c>
      <c r="Z113" s="8" t="n">
        <f aca="false">IF(CEG_Assets!$Y$4=1,MAX(0,Z111-Z112),Z111-Z112)</f>
        <v>193.097045380598</v>
      </c>
      <c r="AA113" s="8" t="n">
        <f aca="false">IF(CEG_Assets!$Y$4=1,MAX(0,AA111-AA112),AA111-AA112)</f>
        <v>198.489300145064</v>
      </c>
      <c r="AB113" s="8" t="n">
        <f aca="false">IF(CEG_Assets!$Y$4=1,MAX(0,AB111-AB112),AB111-AB112)</f>
        <v>199.821910825541</v>
      </c>
      <c r="AC113" s="8" t="n">
        <f aca="false">IF(CEG_Assets!$Y$4=1,MAX(0,AC111-AC112),AC111-AC112)</f>
        <v>201.115244336566</v>
      </c>
      <c r="AD113" s="8" t="n">
        <f aca="false">IF(CEG_Assets!$Y$4=1,MAX(0,AD111-AD112),AD111-AD112)</f>
        <v>202.366866900176</v>
      </c>
      <c r="AE113" s="8" t="n">
        <f aca="false">IF(CEG_Assets!$Y$4=1,MAX(0,AE111-AE112),AE111-AE112)</f>
        <v>203.574254856979</v>
      </c>
      <c r="AF113" s="8" t="n">
        <f aca="false">IF(CEG_Assets!$Y$4=1,MAX(0,AF111-AF112),AF111-AF112)</f>
        <v>204.734791838388</v>
      </c>
      <c r="AG113" s="8" t="n">
        <f aca="false">IF(CEG_Assets!$Y$4=1,MAX(0,AG111-AG112),AG111-AG112)</f>
        <v>205.845765856533</v>
      </c>
      <c r="AH113" s="8" t="n">
        <f aca="false">IF(CEG_Assets!$Y$4=1,MAX(0,AH111-AH112),AH111-AH112)</f>
        <v>206.904366309574</v>
      </c>
      <c r="AI113" s="8" t="n">
        <f aca="false">IF(CEG_Assets!$Y$4=1,MAX(0,AI111-AI112),AI111-AI112)</f>
        <v>207.907680900075</v>
      </c>
      <c r="AJ113" s="8" t="n">
        <f aca="false">IF(CEG_Assets!$Y$4=1,MAX(0,AJ111-AJ112),AJ111-AJ112)</f>
        <v>0</v>
      </c>
      <c r="AK113" s="8" t="n">
        <f aca="false">IF(CEG_Assets!$Y$4=1,MAX(0,AK111-AK112),AK111-AK112)</f>
        <v>0</v>
      </c>
      <c r="AL113" s="8" t="n">
        <f aca="false">IF(CEG_Assets!$Y$4=1,MAX(0,AL111-AL112),AL111-AL112)</f>
        <v>0</v>
      </c>
      <c r="AM113" s="8" t="n">
        <f aca="false">IF(CEG_Assets!$Y$4=1,MAX(0,AM111-AM112),AM111-AM112)</f>
        <v>0</v>
      </c>
      <c r="AN113" s="8" t="n">
        <f aca="false">IF(CEG_Assets!$Y$4=1,MAX(0,AN111-AN112),AN111-AN112)</f>
        <v>0</v>
      </c>
      <c r="AO113" s="8" t="n">
        <f aca="false">IF(CEG_Assets!$Y$4=1,MAX(0,AO111-AO112),AO111-AO112)</f>
        <v>0</v>
      </c>
      <c r="AP113" s="8" t="n">
        <f aca="false">IF(CEG_Assets!$Y$4=1,MAX(0,AP111-AP112),AP111-AP112)</f>
        <v>0</v>
      </c>
      <c r="AQ113" s="8" t="n">
        <f aca="false">IF(CEG_Assets!$Y$4=1,MAX(0,AQ111-AQ112),AQ111-AQ112)</f>
        <v>0</v>
      </c>
      <c r="AR113" s="8" t="n">
        <f aca="false">IF(CEG_Assets!$Y$4=1,MAX(0,AR111-AR112),AR111-AR112)</f>
        <v>0</v>
      </c>
      <c r="AS113" s="8" t="n">
        <f aca="false">IF(CEG_Assets!$Y$4=1,MAX(0,AS111-AS112),AS111-AS112)</f>
        <v>0</v>
      </c>
    </row>
    <row r="114" customFormat="false" ht="15" hidden="false" customHeight="false" outlineLevel="0" collapsed="false">
      <c r="A114" s="6" t="s">
        <v>461</v>
      </c>
      <c r="B114" s="6" t="s">
        <v>462</v>
      </c>
      <c r="C114" s="9" t="n">
        <f aca="false">SUM(G114:AS114)</f>
        <v>0</v>
      </c>
      <c r="G114" s="8" t="n">
        <f aca="false">IF(AND(CEG_Assets!$W$4=1,G$3&lt;=PTCLast,G98&gt;0),G98*MAX(0,PTCCredit*(1+Infl)^(G$3-PTCBase)-0.8*MAX(0,(G103+G104+G106)*1000000/MAX(1,G98)-PTCThresh*(1+Infl)^(G$3-PTCBase)))/1000000,0)</f>
        <v>0</v>
      </c>
      <c r="H114" s="8" t="n">
        <f aca="false">IF(AND(CEG_Assets!$W$4=1,H$3&lt;=PTCLast,H98&gt;0),H98*MAX(0,PTCCredit*(1+Infl)^(H$3-PTCBase)-0.8*MAX(0,(H103+H104+H106)*1000000/MAX(1,H98)-PTCThresh*(1+Infl)^(H$3-PTCBase)))/1000000,0)</f>
        <v>0</v>
      </c>
      <c r="I114" s="8" t="n">
        <f aca="false">IF(AND(CEG_Assets!$W$4=1,I$3&lt;=PTCLast,I98&gt;0),I98*MAX(0,PTCCredit*(1+Infl)^(I$3-PTCBase)-0.8*MAX(0,(I103+I104+I106)*1000000/MAX(1,I98)-PTCThresh*(1+Infl)^(I$3-PTCBase)))/1000000,0)</f>
        <v>0</v>
      </c>
      <c r="J114" s="8" t="n">
        <f aca="false">IF(AND(CEG_Assets!$W$4=1,J$3&lt;=PTCLast,J98&gt;0),J98*MAX(0,PTCCredit*(1+Infl)^(J$3-PTCBase)-0.8*MAX(0,(J103+J104+J106)*1000000/MAX(1,J98)-PTCThresh*(1+Infl)^(J$3-PTCBase)))/1000000,0)</f>
        <v>0</v>
      </c>
      <c r="K114" s="8" t="n">
        <f aca="false">IF(AND(CEG_Assets!$W$4=1,K$3&lt;=PTCLast,K98&gt;0),K98*MAX(0,PTCCredit*(1+Infl)^(K$3-PTCBase)-0.8*MAX(0,(K103+K104+K106)*1000000/MAX(1,K98)-PTCThresh*(1+Infl)^(K$3-PTCBase)))/1000000,0)</f>
        <v>0</v>
      </c>
      <c r="L114" s="8" t="n">
        <f aca="false">IF(AND(CEG_Assets!$W$4=1,L$3&lt;=PTCLast,L98&gt;0),L98*MAX(0,PTCCredit*(1+Infl)^(L$3-PTCBase)-0.8*MAX(0,(L103+L104+L106)*1000000/MAX(1,L98)-PTCThresh*(1+Infl)^(L$3-PTCBase)))/1000000,0)</f>
        <v>0</v>
      </c>
      <c r="M114" s="8" t="n">
        <f aca="false">IF(AND(CEG_Assets!$W$4=1,M$3&lt;=PTCLast,M98&gt;0),M98*MAX(0,PTCCredit*(1+Infl)^(M$3-PTCBase)-0.8*MAX(0,(M103+M104+M106)*1000000/MAX(1,M98)-PTCThresh*(1+Infl)^(M$3-PTCBase)))/1000000,0)</f>
        <v>0</v>
      </c>
      <c r="N114" s="8" t="n">
        <f aca="false">IF(AND(CEG_Assets!$W$4=1,N$3&lt;=PTCLast,N98&gt;0),N98*MAX(0,PTCCredit*(1+Infl)^(N$3-PTCBase)-0.8*MAX(0,(N103+N104+N106)*1000000/MAX(1,N98)-PTCThresh*(1+Infl)^(N$3-PTCBase)))/1000000,0)</f>
        <v>0</v>
      </c>
      <c r="O114" s="8" t="n">
        <f aca="false">IF(AND(CEG_Assets!$W$4=1,O$3&lt;=PTCLast,O98&gt;0),O98*MAX(0,PTCCredit*(1+Infl)^(O$3-PTCBase)-0.8*MAX(0,(O103+O104+O106)*1000000/MAX(1,O98)-PTCThresh*(1+Infl)^(O$3-PTCBase)))/1000000,0)</f>
        <v>0</v>
      </c>
      <c r="P114" s="8" t="n">
        <f aca="false">IF(AND(CEG_Assets!$W$4=1,P$3&lt;=PTCLast,P98&gt;0),P98*MAX(0,PTCCredit*(1+Infl)^(P$3-PTCBase)-0.8*MAX(0,(P103+P104+P106)*1000000/MAX(1,P98)-PTCThresh*(1+Infl)^(P$3-PTCBase)))/1000000,0)</f>
        <v>0</v>
      </c>
      <c r="Q114" s="8" t="n">
        <f aca="false">IF(AND(CEG_Assets!$W$4=1,Q$3&lt;=PTCLast,Q98&gt;0),Q98*MAX(0,PTCCredit*(1+Infl)^(Q$3-PTCBase)-0.8*MAX(0,(Q103+Q104+Q106)*1000000/MAX(1,Q98)-PTCThresh*(1+Infl)^(Q$3-PTCBase)))/1000000,0)</f>
        <v>0</v>
      </c>
      <c r="R114" s="8" t="n">
        <f aca="false">IF(AND(CEG_Assets!$W$4=1,R$3&lt;=PTCLast,R98&gt;0),R98*MAX(0,PTCCredit*(1+Infl)^(R$3-PTCBase)-0.8*MAX(0,(R103+R104+R106)*1000000/MAX(1,R98)-PTCThresh*(1+Infl)^(R$3-PTCBase)))/1000000,0)</f>
        <v>0</v>
      </c>
      <c r="S114" s="8" t="n">
        <f aca="false">IF(AND(CEG_Assets!$W$4=1,S$3&lt;=PTCLast,S98&gt;0),S98*MAX(0,PTCCredit*(1+Infl)^(S$3-PTCBase)-0.8*MAX(0,(S103+S104+S106)*1000000/MAX(1,S98)-PTCThresh*(1+Infl)^(S$3-PTCBase)))/1000000,0)</f>
        <v>0</v>
      </c>
      <c r="T114" s="8" t="n">
        <f aca="false">IF(AND(CEG_Assets!$W$4=1,T$3&lt;=PTCLast,T98&gt;0),T98*MAX(0,PTCCredit*(1+Infl)^(T$3-PTCBase)-0.8*MAX(0,(T103+T104+T106)*1000000/MAX(1,T98)-PTCThresh*(1+Infl)^(T$3-PTCBase)))/1000000,0)</f>
        <v>0</v>
      </c>
      <c r="U114" s="8" t="n">
        <f aca="false">IF(AND(CEG_Assets!$W$4=1,U$3&lt;=PTCLast,U98&gt;0),U98*MAX(0,PTCCredit*(1+Infl)^(U$3-PTCBase)-0.8*MAX(0,(U103+U104+U106)*1000000/MAX(1,U98)-PTCThresh*(1+Infl)^(U$3-PTCBase)))/1000000,0)</f>
        <v>0</v>
      </c>
      <c r="V114" s="8" t="n">
        <f aca="false">IF(AND(CEG_Assets!$W$4=1,V$3&lt;=PTCLast,V98&gt;0),V98*MAX(0,PTCCredit*(1+Infl)^(V$3-PTCBase)-0.8*MAX(0,(V103+V104+V106)*1000000/MAX(1,V98)-PTCThresh*(1+Infl)^(V$3-PTCBase)))/1000000,0)</f>
        <v>0</v>
      </c>
      <c r="W114" s="8" t="n">
        <f aca="false">IF(AND(CEG_Assets!$W$4=1,W$3&lt;=PTCLast,W98&gt;0),W98*MAX(0,PTCCredit*(1+Infl)^(W$3-PTCBase)-0.8*MAX(0,(W103+W104+W106)*1000000/MAX(1,W98)-PTCThresh*(1+Infl)^(W$3-PTCBase)))/1000000,0)</f>
        <v>0</v>
      </c>
      <c r="X114" s="8" t="n">
        <f aca="false">IF(AND(CEG_Assets!$W$4=1,X$3&lt;=PTCLast,X98&gt;0),X98*MAX(0,PTCCredit*(1+Infl)^(X$3-PTCBase)-0.8*MAX(0,(X103+X104+X106)*1000000/MAX(1,X98)-PTCThresh*(1+Infl)^(X$3-PTCBase)))/1000000,0)</f>
        <v>0</v>
      </c>
      <c r="Y114" s="8" t="n">
        <f aca="false">IF(AND(CEG_Assets!$W$4=1,Y$3&lt;=PTCLast,Y98&gt;0),Y98*MAX(0,PTCCredit*(1+Infl)^(Y$3-PTCBase)-0.8*MAX(0,(Y103+Y104+Y106)*1000000/MAX(1,Y98)-PTCThresh*(1+Infl)^(Y$3-PTCBase)))/1000000,0)</f>
        <v>0</v>
      </c>
      <c r="Z114" s="8" t="n">
        <f aca="false">IF(AND(CEG_Assets!$W$4=1,Z$3&lt;=PTCLast,Z98&gt;0),Z98*MAX(0,PTCCredit*(1+Infl)^(Z$3-PTCBase)-0.8*MAX(0,(Z103+Z104+Z106)*1000000/MAX(1,Z98)-PTCThresh*(1+Infl)^(Z$3-PTCBase)))/1000000,0)</f>
        <v>0</v>
      </c>
      <c r="AA114" s="8" t="n">
        <f aca="false">IF(AND(CEG_Assets!$W$4=1,AA$3&lt;=PTCLast,AA98&gt;0),AA98*MAX(0,PTCCredit*(1+Infl)^(AA$3-PTCBase)-0.8*MAX(0,(AA103+AA104+AA106)*1000000/MAX(1,AA98)-PTCThresh*(1+Infl)^(AA$3-PTCBase)))/1000000,0)</f>
        <v>0</v>
      </c>
      <c r="AB114" s="8" t="n">
        <f aca="false">IF(AND(CEG_Assets!$W$4=1,AB$3&lt;=PTCLast,AB98&gt;0),AB98*MAX(0,PTCCredit*(1+Infl)^(AB$3-PTCBase)-0.8*MAX(0,(AB103+AB104+AB106)*1000000/MAX(1,AB98)-PTCThresh*(1+Infl)^(AB$3-PTCBase)))/1000000,0)</f>
        <v>0</v>
      </c>
      <c r="AC114" s="8" t="n">
        <f aca="false">IF(AND(CEG_Assets!$W$4=1,AC$3&lt;=PTCLast,AC98&gt;0),AC98*MAX(0,PTCCredit*(1+Infl)^(AC$3-PTCBase)-0.8*MAX(0,(AC103+AC104+AC106)*1000000/MAX(1,AC98)-PTCThresh*(1+Infl)^(AC$3-PTCBase)))/1000000,0)</f>
        <v>0</v>
      </c>
      <c r="AD114" s="8" t="n">
        <f aca="false">IF(AND(CEG_Assets!$W$4=1,AD$3&lt;=PTCLast,AD98&gt;0),AD98*MAX(0,PTCCredit*(1+Infl)^(AD$3-PTCBase)-0.8*MAX(0,(AD103+AD104+AD106)*1000000/MAX(1,AD98)-PTCThresh*(1+Infl)^(AD$3-PTCBase)))/1000000,0)</f>
        <v>0</v>
      </c>
      <c r="AE114" s="8" t="n">
        <f aca="false">IF(AND(CEG_Assets!$W$4=1,AE$3&lt;=PTCLast,AE98&gt;0),AE98*MAX(0,PTCCredit*(1+Infl)^(AE$3-PTCBase)-0.8*MAX(0,(AE103+AE104+AE106)*1000000/MAX(1,AE98)-PTCThresh*(1+Infl)^(AE$3-PTCBase)))/1000000,0)</f>
        <v>0</v>
      </c>
      <c r="AF114" s="8" t="n">
        <f aca="false">IF(AND(CEG_Assets!$W$4=1,AF$3&lt;=PTCLast,AF98&gt;0),AF98*MAX(0,PTCCredit*(1+Infl)^(AF$3-PTCBase)-0.8*MAX(0,(AF103+AF104+AF106)*1000000/MAX(1,AF98)-PTCThresh*(1+Infl)^(AF$3-PTCBase)))/1000000,0)</f>
        <v>0</v>
      </c>
      <c r="AG114" s="8" t="n">
        <f aca="false">IF(AND(CEG_Assets!$W$4=1,AG$3&lt;=PTCLast,AG98&gt;0),AG98*MAX(0,PTCCredit*(1+Infl)^(AG$3-PTCBase)-0.8*MAX(0,(AG103+AG104+AG106)*1000000/MAX(1,AG98)-PTCThresh*(1+Infl)^(AG$3-PTCBase)))/1000000,0)</f>
        <v>0</v>
      </c>
      <c r="AH114" s="8" t="n">
        <f aca="false">IF(AND(CEG_Assets!$W$4=1,AH$3&lt;=PTCLast,AH98&gt;0),AH98*MAX(0,PTCCredit*(1+Infl)^(AH$3-PTCBase)-0.8*MAX(0,(AH103+AH104+AH106)*1000000/MAX(1,AH98)-PTCThresh*(1+Infl)^(AH$3-PTCBase)))/1000000,0)</f>
        <v>0</v>
      </c>
      <c r="AI114" s="8" t="n">
        <f aca="false">IF(AND(CEG_Assets!$W$4=1,AI$3&lt;=PTCLast,AI98&gt;0),AI98*MAX(0,PTCCredit*(1+Infl)^(AI$3-PTCBase)-0.8*MAX(0,(AI103+AI104+AI106)*1000000/MAX(1,AI98)-PTCThresh*(1+Infl)^(AI$3-PTCBase)))/1000000,0)</f>
        <v>0</v>
      </c>
      <c r="AJ114" s="8" t="n">
        <f aca="false">IF(AND(CEG_Assets!$W$4=1,AJ$3&lt;=PTCLast,AJ98&gt;0),AJ98*MAX(0,PTCCredit*(1+Infl)^(AJ$3-PTCBase)-0.8*MAX(0,(AJ103+AJ104+AJ106)*1000000/MAX(1,AJ98)-PTCThresh*(1+Infl)^(AJ$3-PTCBase)))/1000000,0)</f>
        <v>0</v>
      </c>
      <c r="AK114" s="8" t="n">
        <f aca="false">IF(AND(CEG_Assets!$W$4=1,AK$3&lt;=PTCLast,AK98&gt;0),AK98*MAX(0,PTCCredit*(1+Infl)^(AK$3-PTCBase)-0.8*MAX(0,(AK103+AK104+AK106)*1000000/MAX(1,AK98)-PTCThresh*(1+Infl)^(AK$3-PTCBase)))/1000000,0)</f>
        <v>0</v>
      </c>
      <c r="AL114" s="8" t="n">
        <f aca="false">IF(AND(CEG_Assets!$W$4=1,AL$3&lt;=PTCLast,AL98&gt;0),AL98*MAX(0,PTCCredit*(1+Infl)^(AL$3-PTCBase)-0.8*MAX(0,(AL103+AL104+AL106)*1000000/MAX(1,AL98)-PTCThresh*(1+Infl)^(AL$3-PTCBase)))/1000000,0)</f>
        <v>0</v>
      </c>
      <c r="AM114" s="8" t="n">
        <f aca="false">IF(AND(CEG_Assets!$W$4=1,AM$3&lt;=PTCLast,AM98&gt;0),AM98*MAX(0,PTCCredit*(1+Infl)^(AM$3-PTCBase)-0.8*MAX(0,(AM103+AM104+AM106)*1000000/MAX(1,AM98)-PTCThresh*(1+Infl)^(AM$3-PTCBase)))/1000000,0)</f>
        <v>0</v>
      </c>
      <c r="AN114" s="8" t="n">
        <f aca="false">IF(AND(CEG_Assets!$W$4=1,AN$3&lt;=PTCLast,AN98&gt;0),AN98*MAX(0,PTCCredit*(1+Infl)^(AN$3-PTCBase)-0.8*MAX(0,(AN103+AN104+AN106)*1000000/MAX(1,AN98)-PTCThresh*(1+Infl)^(AN$3-PTCBase)))/1000000,0)</f>
        <v>0</v>
      </c>
      <c r="AO114" s="8" t="n">
        <f aca="false">IF(AND(CEG_Assets!$W$4=1,AO$3&lt;=PTCLast,AO98&gt;0),AO98*MAX(0,PTCCredit*(1+Infl)^(AO$3-PTCBase)-0.8*MAX(0,(AO103+AO104+AO106)*1000000/MAX(1,AO98)-PTCThresh*(1+Infl)^(AO$3-PTCBase)))/1000000,0)</f>
        <v>0</v>
      </c>
      <c r="AP114" s="8" t="n">
        <f aca="false">IF(AND(CEG_Assets!$W$4=1,AP$3&lt;=PTCLast,AP98&gt;0),AP98*MAX(0,PTCCredit*(1+Infl)^(AP$3-PTCBase)-0.8*MAX(0,(AP103+AP104+AP106)*1000000/MAX(1,AP98)-PTCThresh*(1+Infl)^(AP$3-PTCBase)))/1000000,0)</f>
        <v>0</v>
      </c>
      <c r="AQ114" s="8" t="n">
        <f aca="false">IF(AND(CEG_Assets!$W$4=1,AQ$3&lt;=PTCLast,AQ98&gt;0),AQ98*MAX(0,PTCCredit*(1+Infl)^(AQ$3-PTCBase)-0.8*MAX(0,(AQ103+AQ104+AQ106)*1000000/MAX(1,AQ98)-PTCThresh*(1+Infl)^(AQ$3-PTCBase)))/1000000,0)</f>
        <v>0</v>
      </c>
      <c r="AR114" s="8" t="n">
        <f aca="false">IF(AND(CEG_Assets!$W$4=1,AR$3&lt;=PTCLast,AR98&gt;0),AR98*MAX(0,PTCCredit*(1+Infl)^(AR$3-PTCBase)-0.8*MAX(0,(AR103+AR104+AR106)*1000000/MAX(1,AR98)-PTCThresh*(1+Infl)^(AR$3-PTCBase)))/1000000,0)</f>
        <v>0</v>
      </c>
      <c r="AS114" s="8" t="n">
        <f aca="false">IF(AND(CEG_Assets!$W$4=1,AS$3&lt;=PTCLast,AS98&gt;0),AS98*MAX(0,PTCCredit*(1+Infl)^(AS$3-PTCBase)-0.8*MAX(0,(AS103+AS104+AS106)*1000000/MAX(1,AS98)-PTCThresh*(1+Infl)^(AS$3-PTCBase)))/1000000,0)</f>
        <v>0</v>
      </c>
    </row>
    <row r="115" customFormat="false" ht="15" hidden="false" customHeight="false" outlineLevel="0" collapsed="false">
      <c r="A115" s="6" t="s">
        <v>463</v>
      </c>
      <c r="B115" s="6" t="s">
        <v>464</v>
      </c>
      <c r="G115" s="8" t="n">
        <f aca="false">G105-G99*(CEG_Assets!$N$4*(1+CEG_FuelAdj)+CEG_Assets!$O$4*(1+CEG_OMAdj)+CEG_Assets!$P$4*(1+CEG_CapexAdj))*(1+CEG_Assets!$Q$4)^(G$3-2026)/1000000</f>
        <v>385.7895459</v>
      </c>
      <c r="H115" s="8" t="n">
        <f aca="false">H105-H99*(CEG_Assets!$N$4*(1+CEG_FuelAdj)+CEG_Assets!$O$4*(1+CEG_OMAdj)+CEG_Assets!$P$4*(1+CEG_CapexAdj))*(1+CEG_Assets!$Q$4)^(H$3-2026)/1000000</f>
        <v>377.7425885475</v>
      </c>
      <c r="I115" s="8" t="n">
        <f aca="false">I105-I99*(CEG_Assets!$N$4*(1+CEG_FuelAdj)+CEG_Assets!$O$4*(1+CEG_OMAdj)+CEG_Assets!$P$4*(1+CEG_CapexAdj))*(1+CEG_Assets!$Q$4)^(I$3-2026)/1000000</f>
        <v>369.494457261188</v>
      </c>
      <c r="J115" s="8" t="n">
        <f aca="false">J105-J99*(CEG_Assets!$N$4*(1+CEG_FuelAdj)+CEG_Assets!$O$4*(1+CEG_OMAdj)+CEG_Assets!$P$4*(1+CEG_CapexAdj))*(1+CEG_Assets!$Q$4)^(J$3-2026)/1000000</f>
        <v>361.040122692717</v>
      </c>
      <c r="K115" s="8" t="n">
        <f aca="false">K105-K99*(CEG_Assets!$N$4*(1+CEG_FuelAdj)+CEG_Assets!$O$4*(1+CEG_OMAdj)+CEG_Assets!$P$4*(1+CEG_CapexAdj))*(1+CEG_Assets!$Q$4)^(K$3-2026)/1000000</f>
        <v>352.374429760035</v>
      </c>
      <c r="L115" s="8" t="n">
        <f aca="false">L105-L99*(CEG_Assets!$N$4*(1+CEG_FuelAdj)+CEG_Assets!$O$4*(1+CEG_OMAdj)+CEG_Assets!$P$4*(1+CEG_CapexAdj))*(1+CEG_Assets!$Q$4)^(L$3-2026)/1000000</f>
        <v>343.492094504036</v>
      </c>
      <c r="M115" s="8" t="n">
        <f aca="false">M105-M99*(CEG_Assets!$N$4*(1+CEG_FuelAdj)+CEG_Assets!$O$4*(1+CEG_OMAdj)+CEG_Assets!$P$4*(1+CEG_CapexAdj))*(1+CEG_Assets!$Q$4)^(M$3-2026)/1000000</f>
        <v>334.387700866637</v>
      </c>
      <c r="N115" s="8" t="n">
        <f aca="false">N105-N99*(CEG_Assets!$N$4*(1+CEG_FuelAdj)+CEG_Assets!$O$4*(1+CEG_OMAdj)+CEG_Assets!$P$4*(1+CEG_CapexAdj))*(1+CEG_Assets!$Q$4)^(N$3-2026)/1000000</f>
        <v>325.055697388303</v>
      </c>
      <c r="O115" s="8" t="n">
        <f aca="false">O105-O99*(CEG_Assets!$N$4*(1+CEG_FuelAdj)+CEG_Assets!$O$4*(1+CEG_OMAdj)+CEG_Assets!$P$4*(1+CEG_CapexAdj))*(1+CEG_Assets!$Q$4)^(O$3-2026)/1000000</f>
        <v>315.490393823011</v>
      </c>
      <c r="P115" s="8" t="n">
        <f aca="false">P105-P99*(CEG_Assets!$N$4*(1+CEG_FuelAdj)+CEG_Assets!$O$4*(1+CEG_OMAdj)+CEG_Assets!$P$4*(1+CEG_CapexAdj))*(1+CEG_Assets!$Q$4)^(P$3-2026)/1000000</f>
        <v>305.685957668586</v>
      </c>
      <c r="Q115" s="8" t="n">
        <f aca="false">Q105-Q99*(CEG_Assets!$N$4*(1+CEG_FuelAdj)+CEG_Assets!$O$4*(1+CEG_OMAdj)+CEG_Assets!$P$4*(1+CEG_CapexAdj))*(1+CEG_Assets!$Q$4)^(Q$3-2026)/1000000</f>
        <v>295.636410610301</v>
      </c>
      <c r="R115" s="8" t="n">
        <f aca="false">R105-R99*(CEG_Assets!$N$4*(1+CEG_FuelAdj)+CEG_Assets!$O$4*(1+CEG_OMAdj)+CEG_Assets!$P$4*(1+CEG_CapexAdj))*(1+CEG_Assets!$Q$4)^(R$3-2026)/1000000</f>
        <v>285.335624875558</v>
      </c>
      <c r="S115" s="8" t="n">
        <f aca="false">S105-S99*(CEG_Assets!$N$4*(1+CEG_FuelAdj)+CEG_Assets!$O$4*(1+CEG_OMAdj)+CEG_Assets!$P$4*(1+CEG_CapexAdj))*(1+CEG_Assets!$Q$4)^(S$3-2026)/1000000</f>
        <v>274.777319497447</v>
      </c>
      <c r="T115" s="8" t="n">
        <f aca="false">T105-T99*(CEG_Assets!$N$4*(1+CEG_FuelAdj)+CEG_Assets!$O$4*(1+CEG_OMAdj)+CEG_Assets!$P$4*(1+CEG_CapexAdj))*(1+CEG_Assets!$Q$4)^(T$3-2026)/1000000</f>
        <v>263.955056484883</v>
      </c>
      <c r="U115" s="8" t="n">
        <f aca="false">U105-U99*(CEG_Assets!$N$4*(1+CEG_FuelAdj)+CEG_Assets!$O$4*(1+CEG_OMAdj)+CEG_Assets!$P$4*(1+CEG_CapexAdj))*(1+CEG_Assets!$Q$4)^(U$3-2026)/1000000</f>
        <v>252.862236897006</v>
      </c>
      <c r="V115" s="8" t="n">
        <f aca="false">V105-V99*(CEG_Assets!$N$4*(1+CEG_FuelAdj)+CEG_Assets!$O$4*(1+CEG_OMAdj)+CEG_Assets!$P$4*(1+CEG_CapexAdj))*(1+CEG_Assets!$Q$4)^(V$3-2026)/1000000</f>
        <v>241.492096819431</v>
      </c>
      <c r="W115" s="8" t="n">
        <f aca="false">W105-W99*(CEG_Assets!$N$4*(1+CEG_FuelAdj)+CEG_Assets!$O$4*(1+CEG_OMAdj)+CEG_Assets!$P$4*(1+CEG_CapexAdj))*(1+CEG_Assets!$Q$4)^(W$3-2026)/1000000</f>
        <v>229.837703239917</v>
      </c>
      <c r="X115" s="8" t="n">
        <f aca="false">X105-X99*(CEG_Assets!$N$4*(1+CEG_FuelAdj)+CEG_Assets!$O$4*(1+CEG_OMAdj)+CEG_Assets!$P$4*(1+CEG_CapexAdj))*(1+CEG_Assets!$Q$4)^(X$3-2026)/1000000</f>
        <v>217.891949820914</v>
      </c>
      <c r="Y115" s="8" t="n">
        <f aca="false">Y105-Y99*(CEG_Assets!$N$4*(1+CEG_FuelAdj)+CEG_Assets!$O$4*(1+CEG_OMAdj)+CEG_Assets!$P$4*(1+CEG_CapexAdj))*(1+CEG_Assets!$Q$4)^(Y$3-2026)/1000000</f>
        <v>205.647552566437</v>
      </c>
      <c r="Z115" s="8" t="n">
        <f aca="false">Z105-Z99*(CEG_Assets!$N$4*(1+CEG_FuelAdj)+CEG_Assets!$O$4*(1+CEG_OMAdj)+CEG_Assets!$P$4*(1+CEG_CapexAdj))*(1+CEG_Assets!$Q$4)^(Z$3-2026)/1000000</f>
        <v>193.097045380598</v>
      </c>
      <c r="AA115" s="8" t="n">
        <f aca="false">AA105-AA99*(CEG_Assets!$N$4*(1+CEG_FuelAdj)+CEG_Assets!$O$4*(1+CEG_OMAdj)+CEG_Assets!$P$4*(1+CEG_CapexAdj))*(1+CEG_Assets!$Q$4)^(AA$3-2026)/1000000</f>
        <v>0</v>
      </c>
      <c r="AB115" s="8" t="n">
        <f aca="false">AB105-AB99*(CEG_Assets!$N$4*(1+CEG_FuelAdj)+CEG_Assets!$O$4*(1+CEG_OMAdj)+CEG_Assets!$P$4*(1+CEG_CapexAdj))*(1+CEG_Assets!$Q$4)^(AB$3-2026)/1000000</f>
        <v>0</v>
      </c>
      <c r="AC115" s="8" t="n">
        <f aca="false">AC105-AC99*(CEG_Assets!$N$4*(1+CEG_FuelAdj)+CEG_Assets!$O$4*(1+CEG_OMAdj)+CEG_Assets!$P$4*(1+CEG_CapexAdj))*(1+CEG_Assets!$Q$4)^(AC$3-2026)/1000000</f>
        <v>0</v>
      </c>
      <c r="AD115" s="8" t="n">
        <f aca="false">AD105-AD99*(CEG_Assets!$N$4*(1+CEG_FuelAdj)+CEG_Assets!$O$4*(1+CEG_OMAdj)+CEG_Assets!$P$4*(1+CEG_CapexAdj))*(1+CEG_Assets!$Q$4)^(AD$3-2026)/1000000</f>
        <v>0</v>
      </c>
      <c r="AE115" s="8" t="n">
        <f aca="false">AE105-AE99*(CEG_Assets!$N$4*(1+CEG_FuelAdj)+CEG_Assets!$O$4*(1+CEG_OMAdj)+CEG_Assets!$P$4*(1+CEG_CapexAdj))*(1+CEG_Assets!$Q$4)^(AE$3-2026)/1000000</f>
        <v>0</v>
      </c>
      <c r="AF115" s="8" t="n">
        <f aca="false">AF105-AF99*(CEG_Assets!$N$4*(1+CEG_FuelAdj)+CEG_Assets!$O$4*(1+CEG_OMAdj)+CEG_Assets!$P$4*(1+CEG_CapexAdj))*(1+CEG_Assets!$Q$4)^(AF$3-2026)/1000000</f>
        <v>0</v>
      </c>
      <c r="AG115" s="8" t="n">
        <f aca="false">AG105-AG99*(CEG_Assets!$N$4*(1+CEG_FuelAdj)+CEG_Assets!$O$4*(1+CEG_OMAdj)+CEG_Assets!$P$4*(1+CEG_CapexAdj))*(1+CEG_Assets!$Q$4)^(AG$3-2026)/1000000</f>
        <v>0</v>
      </c>
      <c r="AH115" s="8" t="n">
        <f aca="false">AH105-AH99*(CEG_Assets!$N$4*(1+CEG_FuelAdj)+CEG_Assets!$O$4*(1+CEG_OMAdj)+CEG_Assets!$P$4*(1+CEG_CapexAdj))*(1+CEG_Assets!$Q$4)^(AH$3-2026)/1000000</f>
        <v>0</v>
      </c>
      <c r="AI115" s="8" t="n">
        <f aca="false">AI105-AI99*(CEG_Assets!$N$4*(1+CEG_FuelAdj)+CEG_Assets!$O$4*(1+CEG_OMAdj)+CEG_Assets!$P$4*(1+CEG_CapexAdj))*(1+CEG_Assets!$Q$4)^(AI$3-2026)/1000000</f>
        <v>0</v>
      </c>
      <c r="AJ115" s="8" t="n">
        <f aca="false">AJ105-AJ99*(CEG_Assets!$N$4*(1+CEG_FuelAdj)+CEG_Assets!$O$4*(1+CEG_OMAdj)+CEG_Assets!$P$4*(1+CEG_CapexAdj))*(1+CEG_Assets!$Q$4)^(AJ$3-2026)/1000000</f>
        <v>0</v>
      </c>
      <c r="AK115" s="8" t="n">
        <f aca="false">AK105-AK99*(CEG_Assets!$N$4*(1+CEG_FuelAdj)+CEG_Assets!$O$4*(1+CEG_OMAdj)+CEG_Assets!$P$4*(1+CEG_CapexAdj))*(1+CEG_Assets!$Q$4)^(AK$3-2026)/1000000</f>
        <v>0</v>
      </c>
      <c r="AL115" s="8" t="n">
        <f aca="false">AL105-AL99*(CEG_Assets!$N$4*(1+CEG_FuelAdj)+CEG_Assets!$O$4*(1+CEG_OMAdj)+CEG_Assets!$P$4*(1+CEG_CapexAdj))*(1+CEG_Assets!$Q$4)^(AL$3-2026)/1000000</f>
        <v>0</v>
      </c>
      <c r="AM115" s="8" t="n">
        <f aca="false">AM105-AM99*(CEG_Assets!$N$4*(1+CEG_FuelAdj)+CEG_Assets!$O$4*(1+CEG_OMAdj)+CEG_Assets!$P$4*(1+CEG_CapexAdj))*(1+CEG_Assets!$Q$4)^(AM$3-2026)/1000000</f>
        <v>0</v>
      </c>
      <c r="AN115" s="8" t="n">
        <f aca="false">AN105-AN99*(CEG_Assets!$N$4*(1+CEG_FuelAdj)+CEG_Assets!$O$4*(1+CEG_OMAdj)+CEG_Assets!$P$4*(1+CEG_CapexAdj))*(1+CEG_Assets!$Q$4)^(AN$3-2026)/1000000</f>
        <v>0</v>
      </c>
      <c r="AO115" s="8" t="n">
        <f aca="false">AO105-AO99*(CEG_Assets!$N$4*(1+CEG_FuelAdj)+CEG_Assets!$O$4*(1+CEG_OMAdj)+CEG_Assets!$P$4*(1+CEG_CapexAdj))*(1+CEG_Assets!$Q$4)^(AO$3-2026)/1000000</f>
        <v>0</v>
      </c>
      <c r="AP115" s="8" t="n">
        <f aca="false">AP105-AP99*(CEG_Assets!$N$4*(1+CEG_FuelAdj)+CEG_Assets!$O$4*(1+CEG_OMAdj)+CEG_Assets!$P$4*(1+CEG_CapexAdj))*(1+CEG_Assets!$Q$4)^(AP$3-2026)/1000000</f>
        <v>0</v>
      </c>
      <c r="AQ115" s="8" t="n">
        <f aca="false">AQ105-AQ99*(CEG_Assets!$N$4*(1+CEG_FuelAdj)+CEG_Assets!$O$4*(1+CEG_OMAdj)+CEG_Assets!$P$4*(1+CEG_CapexAdj))*(1+CEG_Assets!$Q$4)^(AQ$3-2026)/1000000</f>
        <v>0</v>
      </c>
      <c r="AR115" s="8" t="n">
        <f aca="false">AR105-AR99*(CEG_Assets!$N$4*(1+CEG_FuelAdj)+CEG_Assets!$O$4*(1+CEG_OMAdj)+CEG_Assets!$P$4*(1+CEG_CapexAdj))*(1+CEG_Assets!$Q$4)^(AR$3-2026)/1000000</f>
        <v>0</v>
      </c>
      <c r="AS115" s="8" t="n">
        <f aca="false">AS105-AS99*(CEG_Assets!$N$4*(1+CEG_FuelAdj)+CEG_Assets!$O$4*(1+CEG_OMAdj)+CEG_Assets!$P$4*(1+CEG_CapexAdj))*(1+CEG_Assets!$Q$4)^(AS$3-2026)/1000000</f>
        <v>0</v>
      </c>
    </row>
    <row r="116" customFormat="false" ht="15" hidden="false" customHeight="false" outlineLevel="0" collapsed="false">
      <c r="A116" s="6" t="s">
        <v>465</v>
      </c>
      <c r="B116" s="6" t="s">
        <v>466</v>
      </c>
      <c r="G116" s="8" t="n">
        <f aca="false">G113-G115</f>
        <v>0</v>
      </c>
      <c r="H116" s="8" t="n">
        <f aca="false">H113-H115</f>
        <v>0</v>
      </c>
      <c r="I116" s="8" t="n">
        <f aca="false">I113-I115</f>
        <v>0</v>
      </c>
      <c r="J116" s="8" t="n">
        <f aca="false">J113-J115</f>
        <v>0</v>
      </c>
      <c r="K116" s="8" t="n">
        <f aca="false">K113-K115</f>
        <v>0</v>
      </c>
      <c r="L116" s="8" t="n">
        <f aca="false">L113-L115</f>
        <v>0</v>
      </c>
      <c r="M116" s="8" t="n">
        <f aca="false">M113-M115</f>
        <v>0</v>
      </c>
      <c r="N116" s="8" t="n">
        <f aca="false">N113-N115</f>
        <v>0</v>
      </c>
      <c r="O116" s="8" t="n">
        <f aca="false">O113-O115</f>
        <v>0</v>
      </c>
      <c r="P116" s="8" t="n">
        <f aca="false">P113-P115</f>
        <v>0</v>
      </c>
      <c r="Q116" s="8" t="n">
        <f aca="false">Q113-Q115</f>
        <v>0</v>
      </c>
      <c r="R116" s="8" t="n">
        <f aca="false">R113-R115</f>
        <v>0</v>
      </c>
      <c r="S116" s="8" t="n">
        <f aca="false">S113-S115</f>
        <v>0</v>
      </c>
      <c r="T116" s="8" t="n">
        <f aca="false">T113-T115</f>
        <v>0</v>
      </c>
      <c r="U116" s="8" t="n">
        <f aca="false">U113-U115</f>
        <v>0</v>
      </c>
      <c r="V116" s="8" t="n">
        <f aca="false">V113-V115</f>
        <v>0</v>
      </c>
      <c r="W116" s="8" t="n">
        <f aca="false">W113-W115</f>
        <v>0</v>
      </c>
      <c r="X116" s="8" t="n">
        <f aca="false">X113-X115</f>
        <v>0</v>
      </c>
      <c r="Y116" s="8" t="n">
        <f aca="false">Y113-Y115</f>
        <v>0</v>
      </c>
      <c r="Z116" s="8" t="n">
        <f aca="false">Z113-Z115</f>
        <v>0</v>
      </c>
      <c r="AA116" s="8" t="n">
        <f aca="false">AA113-AA115</f>
        <v>198.489300145064</v>
      </c>
      <c r="AB116" s="8" t="n">
        <f aca="false">AB113-AB115</f>
        <v>199.821910825541</v>
      </c>
      <c r="AC116" s="8" t="n">
        <f aca="false">AC113-AC115</f>
        <v>201.115244336566</v>
      </c>
      <c r="AD116" s="8" t="n">
        <f aca="false">AD113-AD115</f>
        <v>202.366866900176</v>
      </c>
      <c r="AE116" s="8" t="n">
        <f aca="false">AE113-AE115</f>
        <v>203.574254856979</v>
      </c>
      <c r="AF116" s="8" t="n">
        <f aca="false">AF113-AF115</f>
        <v>204.734791838388</v>
      </c>
      <c r="AG116" s="8" t="n">
        <f aca="false">AG113-AG115</f>
        <v>205.845765856533</v>
      </c>
      <c r="AH116" s="8" t="n">
        <f aca="false">AH113-AH115</f>
        <v>206.904366309574</v>
      </c>
      <c r="AI116" s="8" t="n">
        <f aca="false">AI113-AI115</f>
        <v>207.907680900075</v>
      </c>
      <c r="AJ116" s="8" t="n">
        <f aca="false">AJ113-AJ115</f>
        <v>0</v>
      </c>
      <c r="AK116" s="8" t="n">
        <f aca="false">AK113-AK115</f>
        <v>0</v>
      </c>
      <c r="AL116" s="8" t="n">
        <f aca="false">AL113-AL115</f>
        <v>0</v>
      </c>
      <c r="AM116" s="8" t="n">
        <f aca="false">AM113-AM115</f>
        <v>0</v>
      </c>
      <c r="AN116" s="8" t="n">
        <f aca="false">AN113-AN115</f>
        <v>0</v>
      </c>
      <c r="AO116" s="8" t="n">
        <f aca="false">AO113-AO115</f>
        <v>0</v>
      </c>
      <c r="AP116" s="8" t="n">
        <f aca="false">AP113-AP115</f>
        <v>0</v>
      </c>
      <c r="AQ116" s="8" t="n">
        <f aca="false">AQ113-AQ115</f>
        <v>0</v>
      </c>
      <c r="AR116" s="8" t="n">
        <f aca="false">AR113-AR115</f>
        <v>0</v>
      </c>
      <c r="AS116" s="8" t="n">
        <f aca="false">AS113-AS115</f>
        <v>0</v>
      </c>
    </row>
    <row r="117" customFormat="false" ht="15" hidden="false" customHeight="false" outlineLevel="0" collapsed="false">
      <c r="A117" s="6" t="s">
        <v>467</v>
      </c>
      <c r="B117" s="6" t="s">
        <v>468</v>
      </c>
      <c r="G117" s="8" t="n">
        <f aca="false">G116*(1-TaxRate)+G114</f>
        <v>0</v>
      </c>
      <c r="H117" s="8" t="n">
        <f aca="false">H116*(1-TaxRate)+H114</f>
        <v>0</v>
      </c>
      <c r="I117" s="8" t="n">
        <f aca="false">I116*(1-TaxRate)+I114</f>
        <v>0</v>
      </c>
      <c r="J117" s="8" t="n">
        <f aca="false">J116*(1-TaxRate)+J114</f>
        <v>0</v>
      </c>
      <c r="K117" s="8" t="n">
        <f aca="false">K116*(1-TaxRate)+K114</f>
        <v>0</v>
      </c>
      <c r="L117" s="8" t="n">
        <f aca="false">L116*(1-TaxRate)+L114</f>
        <v>0</v>
      </c>
      <c r="M117" s="8" t="n">
        <f aca="false">M116*(1-TaxRate)+M114</f>
        <v>0</v>
      </c>
      <c r="N117" s="8" t="n">
        <f aca="false">N116*(1-TaxRate)+N114</f>
        <v>0</v>
      </c>
      <c r="O117" s="8" t="n">
        <f aca="false">O116*(1-TaxRate)+O114</f>
        <v>0</v>
      </c>
      <c r="P117" s="8" t="n">
        <f aca="false">P116*(1-TaxRate)+P114</f>
        <v>0</v>
      </c>
      <c r="Q117" s="8" t="n">
        <f aca="false">Q116*(1-TaxRate)+Q114</f>
        <v>0</v>
      </c>
      <c r="R117" s="8" t="n">
        <f aca="false">R116*(1-TaxRate)+R114</f>
        <v>0</v>
      </c>
      <c r="S117" s="8" t="n">
        <f aca="false">S116*(1-TaxRate)+S114</f>
        <v>0</v>
      </c>
      <c r="T117" s="8" t="n">
        <f aca="false">T116*(1-TaxRate)+T114</f>
        <v>0</v>
      </c>
      <c r="U117" s="8" t="n">
        <f aca="false">U116*(1-TaxRate)+U114</f>
        <v>0</v>
      </c>
      <c r="V117" s="8" t="n">
        <f aca="false">V116*(1-TaxRate)+V114</f>
        <v>0</v>
      </c>
      <c r="W117" s="8" t="n">
        <f aca="false">W116*(1-TaxRate)+W114</f>
        <v>0</v>
      </c>
      <c r="X117" s="8" t="n">
        <f aca="false">X116*(1-TaxRate)+X114</f>
        <v>0</v>
      </c>
      <c r="Y117" s="8" t="n">
        <f aca="false">Y116*(1-TaxRate)+Y114</f>
        <v>0</v>
      </c>
      <c r="Z117" s="8" t="n">
        <f aca="false">Z116*(1-TaxRate)+Z114</f>
        <v>0</v>
      </c>
      <c r="AA117" s="8" t="n">
        <f aca="false">AA116*(1-TaxRate)+AA114</f>
        <v>158.791440116051</v>
      </c>
      <c r="AB117" s="8" t="n">
        <f aca="false">AB116*(1-TaxRate)+AB114</f>
        <v>159.857528660432</v>
      </c>
      <c r="AC117" s="8" t="n">
        <f aca="false">AC116*(1-TaxRate)+AC114</f>
        <v>160.892195469253</v>
      </c>
      <c r="AD117" s="8" t="n">
        <f aca="false">AD116*(1-TaxRate)+AD114</f>
        <v>161.893493520141</v>
      </c>
      <c r="AE117" s="8" t="n">
        <f aca="false">AE116*(1-TaxRate)+AE114</f>
        <v>162.859403885583</v>
      </c>
      <c r="AF117" s="8" t="n">
        <f aca="false">AF116*(1-TaxRate)+AF114</f>
        <v>163.787833470711</v>
      </c>
      <c r="AG117" s="8" t="n">
        <f aca="false">AG116*(1-TaxRate)+AG114</f>
        <v>164.676612685226</v>
      </c>
      <c r="AH117" s="8" t="n">
        <f aca="false">AH116*(1-TaxRate)+AH114</f>
        <v>165.523493047659</v>
      </c>
      <c r="AI117" s="8" t="n">
        <f aca="false">AI116*(1-TaxRate)+AI114</f>
        <v>166.32614472006</v>
      </c>
      <c r="AJ117" s="8" t="n">
        <f aca="false">AJ116*(1-TaxRate)+AJ114</f>
        <v>0</v>
      </c>
      <c r="AK117" s="8" t="n">
        <f aca="false">AK116*(1-TaxRate)+AK114</f>
        <v>0</v>
      </c>
      <c r="AL117" s="8" t="n">
        <f aca="false">AL116*(1-TaxRate)+AL114</f>
        <v>0</v>
      </c>
      <c r="AM117" s="8" t="n">
        <f aca="false">AM116*(1-TaxRate)+AM114</f>
        <v>0</v>
      </c>
      <c r="AN117" s="8" t="n">
        <f aca="false">AN116*(1-TaxRate)+AN114</f>
        <v>0</v>
      </c>
      <c r="AO117" s="8" t="n">
        <f aca="false">AO116*(1-TaxRate)+AO114</f>
        <v>0</v>
      </c>
      <c r="AP117" s="8" t="n">
        <f aca="false">AP116*(1-TaxRate)+AP114</f>
        <v>0</v>
      </c>
      <c r="AQ117" s="8" t="n">
        <f aca="false">AQ116*(1-TaxRate)+AQ114</f>
        <v>0</v>
      </c>
      <c r="AR117" s="8" t="n">
        <f aca="false">AR116*(1-TaxRate)+AR114</f>
        <v>0</v>
      </c>
      <c r="AS117" s="8" t="n">
        <f aca="false">AS116*(1-TaxRate)+AS114</f>
        <v>0</v>
      </c>
    </row>
    <row r="118" customFormat="false" ht="15" hidden="false" customHeight="false" outlineLevel="0" collapsed="false">
      <c r="A118" s="6" t="s">
        <v>469</v>
      </c>
      <c r="B118" s="6" t="s">
        <v>470</v>
      </c>
      <c r="G118" s="8" t="n">
        <f aca="false">G115*(1-TaxRate)</f>
        <v>308.63163672</v>
      </c>
      <c r="H118" s="8" t="n">
        <f aca="false">H115*(1-TaxRate)</f>
        <v>302.194070838</v>
      </c>
      <c r="I118" s="8" t="n">
        <f aca="false">I115*(1-TaxRate)</f>
        <v>295.59556580895</v>
      </c>
      <c r="J118" s="8" t="n">
        <f aca="false">J115*(1-TaxRate)</f>
        <v>288.832098154174</v>
      </c>
      <c r="K118" s="8" t="n">
        <f aca="false">K115*(1-TaxRate)</f>
        <v>281.899543808028</v>
      </c>
      <c r="L118" s="8" t="n">
        <f aca="false">L115*(1-TaxRate)</f>
        <v>274.793675603229</v>
      </c>
      <c r="M118" s="8" t="n">
        <f aca="false">M115*(1-TaxRate)</f>
        <v>267.51016069331</v>
      </c>
      <c r="N118" s="8" t="n">
        <f aca="false">N115*(1-TaxRate)</f>
        <v>260.044557910642</v>
      </c>
      <c r="O118" s="8" t="n">
        <f aca="false">O115*(1-TaxRate)</f>
        <v>252.392315058409</v>
      </c>
      <c r="P118" s="8" t="n">
        <f aca="false">P115*(1-TaxRate)</f>
        <v>244.548766134869</v>
      </c>
      <c r="Q118" s="8" t="n">
        <f aca="false">Q115*(1-TaxRate)</f>
        <v>236.509128488241</v>
      </c>
      <c r="R118" s="8" t="n">
        <f aca="false">R115*(1-TaxRate)</f>
        <v>228.268499900447</v>
      </c>
      <c r="S118" s="8" t="n">
        <f aca="false">S115*(1-TaxRate)</f>
        <v>219.821855597958</v>
      </c>
      <c r="T118" s="8" t="n">
        <f aca="false">T115*(1-TaxRate)</f>
        <v>211.164045187907</v>
      </c>
      <c r="U118" s="8" t="n">
        <f aca="false">U115*(1-TaxRate)</f>
        <v>202.289789517604</v>
      </c>
      <c r="V118" s="8" t="n">
        <f aca="false">V115*(1-TaxRate)</f>
        <v>193.193677455545</v>
      </c>
      <c r="W118" s="8" t="n">
        <f aca="false">W115*(1-TaxRate)</f>
        <v>183.870162591933</v>
      </c>
      <c r="X118" s="8" t="n">
        <f aca="false">X115*(1-TaxRate)</f>
        <v>174.313559856732</v>
      </c>
      <c r="Y118" s="8" t="n">
        <f aca="false">Y115*(1-TaxRate)</f>
        <v>164.51804205315</v>
      </c>
      <c r="Z118" s="8" t="n">
        <f aca="false">Z115*(1-TaxRate)</f>
        <v>154.477636304479</v>
      </c>
      <c r="AA118" s="8" t="n">
        <f aca="false">AA115*(1-TaxRate)</f>
        <v>0</v>
      </c>
      <c r="AB118" s="8" t="n">
        <f aca="false">AB115*(1-TaxRate)</f>
        <v>0</v>
      </c>
      <c r="AC118" s="8" t="n">
        <f aca="false">AC115*(1-TaxRate)</f>
        <v>0</v>
      </c>
      <c r="AD118" s="8" t="n">
        <f aca="false">AD115*(1-TaxRate)</f>
        <v>0</v>
      </c>
      <c r="AE118" s="8" t="n">
        <f aca="false">AE115*(1-TaxRate)</f>
        <v>0</v>
      </c>
      <c r="AF118" s="8" t="n">
        <f aca="false">AF115*(1-TaxRate)</f>
        <v>0</v>
      </c>
      <c r="AG118" s="8" t="n">
        <f aca="false">AG115*(1-TaxRate)</f>
        <v>0</v>
      </c>
      <c r="AH118" s="8" t="n">
        <f aca="false">AH115*(1-TaxRate)</f>
        <v>0</v>
      </c>
      <c r="AI118" s="8" t="n">
        <f aca="false">AI115*(1-TaxRate)</f>
        <v>0</v>
      </c>
      <c r="AJ118" s="8" t="n">
        <f aca="false">AJ115*(1-TaxRate)</f>
        <v>0</v>
      </c>
      <c r="AK118" s="8" t="n">
        <f aca="false">AK115*(1-TaxRate)</f>
        <v>0</v>
      </c>
      <c r="AL118" s="8" t="n">
        <f aca="false">AL115*(1-TaxRate)</f>
        <v>0</v>
      </c>
      <c r="AM118" s="8" t="n">
        <f aca="false">AM115*(1-TaxRate)</f>
        <v>0</v>
      </c>
      <c r="AN118" s="8" t="n">
        <f aca="false">AN115*(1-TaxRate)</f>
        <v>0</v>
      </c>
      <c r="AO118" s="8" t="n">
        <f aca="false">AO115*(1-TaxRate)</f>
        <v>0</v>
      </c>
      <c r="AP118" s="8" t="n">
        <f aca="false">AP115*(1-TaxRate)</f>
        <v>0</v>
      </c>
      <c r="AQ118" s="8" t="n">
        <f aca="false">AQ115*(1-TaxRate)</f>
        <v>0</v>
      </c>
      <c r="AR118" s="8" t="n">
        <f aca="false">AR115*(1-TaxRate)</f>
        <v>0</v>
      </c>
      <c r="AS118" s="8" t="n">
        <f aca="false">AS115*(1-TaxRate)</f>
        <v>0</v>
      </c>
    </row>
    <row r="119" customFormat="false" ht="15" hidden="false" customHeight="false" outlineLevel="0" collapsed="false">
      <c r="A119" s="6" t="s">
        <v>471</v>
      </c>
      <c r="B119" s="6" t="s">
        <v>472</v>
      </c>
      <c r="G119" s="42" t="n">
        <f aca="false">(1+CEG_Assets!$AE$4)^-(G$3+0.5-ValDate)</f>
        <v>0.943913469359513</v>
      </c>
      <c r="H119" s="42" t="n">
        <f aca="false">(1+CEG_Assets!$AE$4)^-(H$3+0.5-ValDate)</f>
        <v>0.87399395311066</v>
      </c>
      <c r="I119" s="42" t="n">
        <f aca="false">(1+CEG_Assets!$AE$4)^-(I$3+0.5-ValDate)</f>
        <v>0.809253660287648</v>
      </c>
      <c r="J119" s="42" t="n">
        <f aca="false">(1+CEG_Assets!$AE$4)^-(J$3+0.5-ValDate)</f>
        <v>0.749308944710785</v>
      </c>
      <c r="K119" s="42" t="n">
        <f aca="false">(1+CEG_Assets!$AE$4)^-(K$3+0.5-ValDate)</f>
        <v>0.693804578435912</v>
      </c>
      <c r="L119" s="42" t="n">
        <f aca="false">(1+CEG_Assets!$AE$4)^-(L$3+0.5-ValDate)</f>
        <v>0.642411646699918</v>
      </c>
      <c r="M119" s="42" t="n">
        <f aca="false">(1+CEG_Assets!$AE$4)^-(M$3+0.5-ValDate)</f>
        <v>0.594825598796221</v>
      </c>
      <c r="N119" s="42" t="n">
        <f aca="false">(1+CEG_Assets!$AE$4)^-(N$3+0.5-ValDate)</f>
        <v>0.550764443329834</v>
      </c>
      <c r="O119" s="42" t="n">
        <f aca="false">(1+CEG_Assets!$AE$4)^-(O$3+0.5-ValDate)</f>
        <v>0.509967077157254</v>
      </c>
      <c r="P119" s="42" t="n">
        <f aca="false">(1+CEG_Assets!$AE$4)^-(P$3+0.5-ValDate)</f>
        <v>0.472191738108568</v>
      </c>
      <c r="Q119" s="42" t="n">
        <f aca="false">(1+CEG_Assets!$AE$4)^-(Q$3+0.5-ValDate)</f>
        <v>0.437214572322748</v>
      </c>
      <c r="R119" s="42" t="n">
        <f aca="false">(1+CEG_Assets!$AE$4)^-(R$3+0.5-ValDate)</f>
        <v>0.404828307706248</v>
      </c>
      <c r="S119" s="42" t="n">
        <f aca="false">(1+CEG_Assets!$AE$4)^-(S$3+0.5-ValDate)</f>
        <v>0.374841025653934</v>
      </c>
      <c r="T119" s="42" t="n">
        <f aca="false">(1+CEG_Assets!$AE$4)^-(T$3+0.5-ValDate)</f>
        <v>0.347075023753642</v>
      </c>
      <c r="U119" s="42" t="n">
        <f aca="false">(1+CEG_Assets!$AE$4)^-(U$3+0.5-ValDate)</f>
        <v>0.321365762734854</v>
      </c>
      <c r="V119" s="42" t="n">
        <f aca="false">(1+CEG_Assets!$AE$4)^-(V$3+0.5-ValDate)</f>
        <v>0.297560891421161</v>
      </c>
      <c r="W119" s="42" t="n">
        <f aca="false">(1+CEG_Assets!$AE$4)^-(W$3+0.5-ValDate)</f>
        <v>0.275519343908482</v>
      </c>
      <c r="X119" s="42" t="n">
        <f aca="false">(1+CEG_Assets!$AE$4)^-(X$3+0.5-ValDate)</f>
        <v>0.255110503618965</v>
      </c>
      <c r="Y119" s="42" t="n">
        <f aca="false">(1+CEG_Assets!$AE$4)^-(Y$3+0.5-ValDate)</f>
        <v>0.23621342927682</v>
      </c>
      <c r="Z119" s="42" t="n">
        <f aca="false">(1+CEG_Assets!$AE$4)^-(Z$3+0.5-ValDate)</f>
        <v>0.218716138219277</v>
      </c>
      <c r="AA119" s="42" t="n">
        <f aca="false">(1+CEG_Assets!$AE$4)^-(AA$3+0.5-ValDate)</f>
        <v>0.202514942795627</v>
      </c>
      <c r="AB119" s="42" t="n">
        <f aca="false">(1+CEG_Assets!$AE$4)^-(AB$3+0.5-ValDate)</f>
        <v>0.187513835921877</v>
      </c>
      <c r="AC119" s="42" t="n">
        <f aca="false">(1+CEG_Assets!$AE$4)^-(AC$3+0.5-ValDate)</f>
        <v>0.173623922149886</v>
      </c>
      <c r="AD119" s="42" t="n">
        <f aca="false">(1+CEG_Assets!$AE$4)^-(AD$3+0.5-ValDate)</f>
        <v>0.160762890879524</v>
      </c>
      <c r="AE119" s="42" t="n">
        <f aca="false">(1+CEG_Assets!$AE$4)^-(AE$3+0.5-ValDate)</f>
        <v>0.148854528592152</v>
      </c>
      <c r="AF119" s="42" t="n">
        <f aca="false">(1+CEG_Assets!$AE$4)^-(AF$3+0.5-ValDate)</f>
        <v>0.137828267214956</v>
      </c>
      <c r="AG119" s="42" t="n">
        <f aca="false">(1+CEG_Assets!$AE$4)^-(AG$3+0.5-ValDate)</f>
        <v>0.127618765939774</v>
      </c>
      <c r="AH119" s="42" t="n">
        <f aca="false">(1+CEG_Assets!$AE$4)^-(AH$3+0.5-ValDate)</f>
        <v>0.118165524018309</v>
      </c>
      <c r="AI119" s="42" t="n">
        <f aca="false">(1+CEG_Assets!$AE$4)^-(AI$3+0.5-ValDate)</f>
        <v>0.109412522239175</v>
      </c>
      <c r="AJ119" s="42" t="n">
        <f aca="false">(1+CEG_Assets!$AE$4)^-(AJ$3+0.5-ValDate)</f>
        <v>0.101307890962199</v>
      </c>
      <c r="AK119" s="42" t="n">
        <f aca="false">(1+CEG_Assets!$AE$4)^-(AK$3+0.5-ValDate)</f>
        <v>0.0938036027427768</v>
      </c>
      <c r="AL119" s="42" t="n">
        <f aca="false">(1+CEG_Assets!$AE$4)^-(AL$3+0.5-ValDate)</f>
        <v>0.0868551877247934</v>
      </c>
      <c r="AM119" s="42" t="n">
        <f aca="false">(1+CEG_Assets!$AE$4)^-(AM$3+0.5-ValDate)</f>
        <v>0.0804214701155494</v>
      </c>
      <c r="AN119" s="42" t="n">
        <f aca="false">(1+CEG_Assets!$AE$4)^-(AN$3+0.5-ValDate)</f>
        <v>0.0744643241810643</v>
      </c>
      <c r="AO119" s="42" t="n">
        <f aca="false">(1+CEG_Assets!$AE$4)^-(AO$3+0.5-ValDate)</f>
        <v>0.0689484483158002</v>
      </c>
      <c r="AP119" s="42" t="n">
        <f aca="false">(1+CEG_Assets!$AE$4)^-(AP$3+0.5-ValDate)</f>
        <v>0.0638411558479632</v>
      </c>
      <c r="AQ119" s="42" t="n">
        <f aca="false">(1+CEG_Assets!$AE$4)^-(AQ$3+0.5-ValDate)</f>
        <v>0.0591121813407066</v>
      </c>
      <c r="AR119" s="42" t="n">
        <f aca="false">(1+CEG_Assets!$AE$4)^-(AR$3+0.5-ValDate)</f>
        <v>0.054733501241395</v>
      </c>
      <c r="AS119" s="42" t="n">
        <f aca="false">(1+CEG_Assets!$AE$4)^-(AS$3+0.5-ValDate)</f>
        <v>0.0506791678161065</v>
      </c>
    </row>
    <row r="120" customFormat="false" ht="15" hidden="false" customHeight="false" outlineLevel="0" collapsed="false">
      <c r="A120" s="6" t="s">
        <v>473</v>
      </c>
      <c r="B120" s="6" t="s">
        <v>474</v>
      </c>
      <c r="G120" s="42" t="n">
        <f aca="false">(1+CEG_Assets!$AF$4)^-(G$3+0.5-ValDate)</f>
        <v>0.952191032823687</v>
      </c>
      <c r="H120" s="42" t="n">
        <f aca="false">(1+CEG_Assets!$AF$4)^-(H$3+0.5-ValDate)</f>
        <v>0.891982232153337</v>
      </c>
      <c r="I120" s="42" t="n">
        <f aca="false">(1+CEG_Assets!$AF$4)^-(I$3+0.5-ValDate)</f>
        <v>0.835580545342705</v>
      </c>
      <c r="J120" s="42" t="n">
        <f aca="false">(1+CEG_Assets!$AF$4)^-(J$3+0.5-ValDate)</f>
        <v>0.782745241538834</v>
      </c>
      <c r="K120" s="42" t="n">
        <f aca="false">(1+CEG_Assets!$AF$4)^-(K$3+0.5-ValDate)</f>
        <v>0.73325081174598</v>
      </c>
      <c r="L120" s="42" t="n">
        <f aca="false">(1+CEG_Assets!$AF$4)^-(L$3+0.5-ValDate)</f>
        <v>0.686886006319419</v>
      </c>
      <c r="M120" s="42" t="n">
        <f aca="false">(1+CEG_Assets!$AF$4)^-(M$3+0.5-ValDate)</f>
        <v>0.643452933320299</v>
      </c>
      <c r="N120" s="42" t="n">
        <f aca="false">(1+CEG_Assets!$AF$4)^-(N$3+0.5-ValDate)</f>
        <v>0.602766213883184</v>
      </c>
      <c r="O120" s="42" t="n">
        <f aca="false">(1+CEG_Assets!$AF$4)^-(O$3+0.5-ValDate)</f>
        <v>0.564652190991273</v>
      </c>
      <c r="P120" s="42" t="n">
        <f aca="false">(1+CEG_Assets!$AF$4)^-(P$3+0.5-ValDate)</f>
        <v>0.528948188282223</v>
      </c>
      <c r="Q120" s="42" t="n">
        <f aca="false">(1+CEG_Assets!$AF$4)^-(Q$3+0.5-ValDate)</f>
        <v>0.495501815721052</v>
      </c>
      <c r="R120" s="42" t="n">
        <f aca="false">(1+CEG_Assets!$AF$4)^-(R$3+0.5-ValDate)</f>
        <v>0.46417031917663</v>
      </c>
      <c r="S120" s="42" t="n">
        <f aca="false">(1+CEG_Assets!$AF$4)^-(S$3+0.5-ValDate)</f>
        <v>0.434819971125649</v>
      </c>
      <c r="T120" s="42" t="n">
        <f aca="false">(1+CEG_Assets!$AF$4)^-(T$3+0.5-ValDate)</f>
        <v>0.407325499883512</v>
      </c>
      <c r="U120" s="42" t="n">
        <f aca="false">(1+CEG_Assets!$AF$4)^-(U$3+0.5-ValDate)</f>
        <v>0.381569554926006</v>
      </c>
      <c r="V120" s="42" t="n">
        <f aca="false">(1+CEG_Assets!$AF$4)^-(V$3+0.5-ValDate)</f>
        <v>0.357442206019678</v>
      </c>
      <c r="W120" s="42" t="n">
        <f aca="false">(1+CEG_Assets!$AF$4)^-(W$3+0.5-ValDate)</f>
        <v>0.334840474023118</v>
      </c>
      <c r="X120" s="42" t="n">
        <f aca="false">(1+CEG_Assets!$AF$4)^-(X$3+0.5-ValDate)</f>
        <v>0.313667891356551</v>
      </c>
      <c r="Y120" s="42" t="n">
        <f aca="false">(1+CEG_Assets!$AF$4)^-(Y$3+0.5-ValDate)</f>
        <v>0.293834090263748</v>
      </c>
      <c r="Z120" s="42" t="n">
        <f aca="false">(1+CEG_Assets!$AF$4)^-(Z$3+0.5-ValDate)</f>
        <v>0.275254417108897</v>
      </c>
      <c r="AA120" s="42" t="n">
        <f aca="false">(1+CEG_Assets!$AF$4)^-(AA$3+0.5-ValDate)</f>
        <v>0.257849571062199</v>
      </c>
      <c r="AB120" s="42" t="n">
        <f aca="false">(1+CEG_Assets!$AF$4)^-(AB$3+0.5-ValDate)</f>
        <v>0.241545265632036</v>
      </c>
      <c r="AC120" s="42" t="n">
        <f aca="false">(1+CEG_Assets!$AF$4)^-(AC$3+0.5-ValDate)</f>
        <v>0.226271911599097</v>
      </c>
      <c r="AD120" s="42" t="n">
        <f aca="false">(1+CEG_Assets!$AF$4)^-(AD$3+0.5-ValDate)</f>
        <v>0.211964319999154</v>
      </c>
      <c r="AE120" s="42" t="n">
        <f aca="false">(1+CEG_Assets!$AF$4)^-(AE$3+0.5-ValDate)</f>
        <v>0.198561423886796</v>
      </c>
      <c r="AF120" s="42" t="n">
        <f aca="false">(1+CEG_Assets!$AF$4)^-(AF$3+0.5-ValDate)</f>
        <v>0.186006017692549</v>
      </c>
      <c r="AG120" s="42" t="n">
        <f aca="false">(1+CEG_Assets!$AF$4)^-(AG$3+0.5-ValDate)</f>
        <v>0.174244513060936</v>
      </c>
      <c r="AH120" s="42" t="n">
        <f aca="false">(1+CEG_Assets!$AF$4)^-(AH$3+0.5-ValDate)</f>
        <v>0.16322671012734</v>
      </c>
      <c r="AI120" s="42" t="n">
        <f aca="false">(1+CEG_Assets!$AF$4)^-(AI$3+0.5-ValDate)</f>
        <v>0.152905583257461</v>
      </c>
      <c r="AJ120" s="42" t="n">
        <f aca="false">(1+CEG_Assets!$AF$4)^-(AJ$3+0.5-ValDate)</f>
        <v>0.143237080334859</v>
      </c>
      <c r="AK120" s="42" t="n">
        <f aca="false">(1+CEG_Assets!$AF$4)^-(AK$3+0.5-ValDate)</f>
        <v>0.134179934739914</v>
      </c>
      <c r="AL120" s="42" t="n">
        <f aca="false">(1+CEG_Assets!$AF$4)^-(AL$3+0.5-ValDate)</f>
        <v>0.125695489217718</v>
      </c>
      <c r="AM120" s="42" t="n">
        <f aca="false">(1+CEG_Assets!$AF$4)^-(AM$3+0.5-ValDate)</f>
        <v>0.117747530883109</v>
      </c>
      <c r="AN120" s="42" t="n">
        <f aca="false">(1+CEG_Assets!$AF$4)^-(AN$3+0.5-ValDate)</f>
        <v>0.11030213665865</v>
      </c>
      <c r="AO120" s="42" t="n">
        <f aca="false">(1+CEG_Assets!$AF$4)^-(AO$3+0.5-ValDate)</f>
        <v>0.103327528485855</v>
      </c>
      <c r="AP120" s="42" t="n">
        <f aca="false">(1+CEG_Assets!$AF$4)^-(AP$3+0.5-ValDate)</f>
        <v>0.096793937691667</v>
      </c>
      <c r="AQ120" s="42" t="n">
        <f aca="false">(1+CEG_Assets!$AF$4)^-(AQ$3+0.5-ValDate)</f>
        <v>0.090673477931304</v>
      </c>
      <c r="AR120" s="42" t="n">
        <f aca="false">(1+CEG_Assets!$AF$4)^-(AR$3+0.5-ValDate)</f>
        <v>0.084940026165156</v>
      </c>
      <c r="AS120" s="42" t="n">
        <f aca="false">(1+CEG_Assets!$AF$4)^-(AS$3+0.5-ValDate)</f>
        <v>0.0795691111617386</v>
      </c>
    </row>
    <row r="121" customFormat="false" ht="15" hidden="false" customHeight="false" outlineLevel="0" collapsed="false">
      <c r="A121" s="6" t="s">
        <v>475</v>
      </c>
      <c r="B121" s="6" t="s">
        <v>476</v>
      </c>
      <c r="C121" s="43" t="n">
        <f aca="false">SUM(G121:AS121)</f>
        <v>221.684450327043</v>
      </c>
      <c r="D121" s="8" t="n">
        <f aca="false">SUMIF($G$3:$AS$3,"&lt;="&amp;Horizon,G121:AS121)</f>
        <v>0</v>
      </c>
      <c r="E121" s="8" t="n">
        <f aca="false">(C121-D121)*(1+CEG_Assets!$AE$4)^(Horizon+1-ValDate)</f>
        <v>307.458279198271</v>
      </c>
      <c r="G121" s="8" t="n">
        <f aca="false">G117*G119</f>
        <v>0</v>
      </c>
      <c r="H121" s="8" t="n">
        <f aca="false">H117*H119</f>
        <v>0</v>
      </c>
      <c r="I121" s="8" t="n">
        <f aca="false">I117*I119</f>
        <v>0</v>
      </c>
      <c r="J121" s="8" t="n">
        <f aca="false">J117*J119</f>
        <v>0</v>
      </c>
      <c r="K121" s="8" t="n">
        <f aca="false">K117*K119</f>
        <v>0</v>
      </c>
      <c r="L121" s="8" t="n">
        <f aca="false">L117*L119</f>
        <v>0</v>
      </c>
      <c r="M121" s="8" t="n">
        <f aca="false">M117*M119</f>
        <v>0</v>
      </c>
      <c r="N121" s="8" t="n">
        <f aca="false">N117*N119</f>
        <v>0</v>
      </c>
      <c r="O121" s="8" t="n">
        <f aca="false">O117*O119</f>
        <v>0</v>
      </c>
      <c r="P121" s="8" t="n">
        <f aca="false">P117*P119</f>
        <v>0</v>
      </c>
      <c r="Q121" s="8" t="n">
        <f aca="false">Q117*Q119</f>
        <v>0</v>
      </c>
      <c r="R121" s="8" t="n">
        <f aca="false">R117*R119</f>
        <v>0</v>
      </c>
      <c r="S121" s="8" t="n">
        <f aca="false">S117*S119</f>
        <v>0</v>
      </c>
      <c r="T121" s="8" t="n">
        <f aca="false">T117*T119</f>
        <v>0</v>
      </c>
      <c r="U121" s="8" t="n">
        <f aca="false">U117*U119</f>
        <v>0</v>
      </c>
      <c r="V121" s="8" t="n">
        <f aca="false">V117*V119</f>
        <v>0</v>
      </c>
      <c r="W121" s="8" t="n">
        <f aca="false">W117*W119</f>
        <v>0</v>
      </c>
      <c r="X121" s="8" t="n">
        <f aca="false">X117*X119</f>
        <v>0</v>
      </c>
      <c r="Y121" s="8" t="n">
        <f aca="false">Y117*Y119</f>
        <v>0</v>
      </c>
      <c r="Z121" s="8" t="n">
        <f aca="false">Z117*Z119</f>
        <v>0</v>
      </c>
      <c r="AA121" s="8" t="n">
        <f aca="false">AA117*AA119</f>
        <v>32.1576394115373</v>
      </c>
      <c r="AB121" s="8" t="n">
        <f aca="false">AB117*AB119</f>
        <v>29.9754984001091</v>
      </c>
      <c r="AC121" s="8" t="n">
        <f aca="false">AC117*AC119</f>
        <v>27.9347340206779</v>
      </c>
      <c r="AD121" s="8" t="n">
        <f aca="false">AD117*AD119</f>
        <v>26.0264660328833</v>
      </c>
      <c r="AE121" s="8" t="n">
        <f aca="false">AE117*AE119</f>
        <v>24.2423597921874</v>
      </c>
      <c r="AF121" s="8" t="n">
        <f aca="false">AF117*AF119</f>
        <v>22.5745932781598</v>
      </c>
      <c r="AG121" s="8" t="n">
        <f aca="false">AG117*AG119</f>
        <v>21.0158260900306</v>
      </c>
      <c r="AH121" s="8" t="n">
        <f aca="false">AH117*AH119</f>
        <v>19.5591702933176</v>
      </c>
      <c r="AI121" s="8" t="n">
        <f aca="false">AI117*AI119</f>
        <v>18.1981630081398</v>
      </c>
      <c r="AJ121" s="8" t="n">
        <f aca="false">AJ117*AJ119</f>
        <v>0</v>
      </c>
      <c r="AK121" s="8" t="n">
        <f aca="false">AK117*AK119</f>
        <v>0</v>
      </c>
      <c r="AL121" s="8" t="n">
        <f aca="false">AL117*AL119</f>
        <v>0</v>
      </c>
      <c r="AM121" s="8" t="n">
        <f aca="false">AM117*AM119</f>
        <v>0</v>
      </c>
      <c r="AN121" s="8" t="n">
        <f aca="false">AN117*AN119</f>
        <v>0</v>
      </c>
      <c r="AO121" s="8" t="n">
        <f aca="false">AO117*AO119</f>
        <v>0</v>
      </c>
      <c r="AP121" s="8" t="n">
        <f aca="false">AP117*AP119</f>
        <v>0</v>
      </c>
      <c r="AQ121" s="8" t="n">
        <f aca="false">AQ117*AQ119</f>
        <v>0</v>
      </c>
      <c r="AR121" s="8" t="n">
        <f aca="false">AR117*AR119</f>
        <v>0</v>
      </c>
      <c r="AS121" s="8" t="n">
        <f aca="false">AS117*AS119</f>
        <v>0</v>
      </c>
    </row>
    <row r="122" customFormat="false" ht="15" hidden="false" customHeight="false" outlineLevel="0" collapsed="false">
      <c r="A122" s="6" t="s">
        <v>477</v>
      </c>
      <c r="B122" s="6" t="s">
        <v>478</v>
      </c>
      <c r="C122" s="43" t="n">
        <f aca="false">SUM(G122:AS122)</f>
        <v>2790.792842251</v>
      </c>
      <c r="D122" s="8" t="n">
        <f aca="false">SUMIF($G$3:$AS$3,"&lt;="&amp;Horizon,G122:AS122)</f>
        <v>1036.50387329345</v>
      </c>
      <c r="E122" s="8" t="n">
        <f aca="false">(C122-D122)*(1+CEG_Assets!$AF$4)^(Horizon+1-ValDate)</f>
        <v>2315.6058508824</v>
      </c>
      <c r="G122" s="8" t="n">
        <f aca="false">G118*G120</f>
        <v>293.876276930482</v>
      </c>
      <c r="H122" s="8" t="n">
        <f aca="false">H118*H120</f>
        <v>269.551741849583</v>
      </c>
      <c r="I122" s="8" t="n">
        <f aca="false">I118*I120</f>
        <v>246.993904079528</v>
      </c>
      <c r="J122" s="8" t="n">
        <f aca="false">J118*J120</f>
        <v>226.081950433857</v>
      </c>
      <c r="K122" s="8" t="n">
        <f aca="false">K118*K120</f>
        <v>206.703069328058</v>
      </c>
      <c r="L122" s="8" t="n">
        <f aca="false">L118*L120</f>
        <v>188.751930396936</v>
      </c>
      <c r="M122" s="8" t="n">
        <f aca="false">M118*M120</f>
        <v>172.130197591095</v>
      </c>
      <c r="N122" s="8" t="n">
        <f aca="false">N118*N120</f>
        <v>156.746073612724</v>
      </c>
      <c r="O122" s="8" t="n">
        <f aca="false">O118*O120</f>
        <v>142.51387368709</v>
      </c>
      <c r="P122" s="8" t="n">
        <f aca="false">P118*P120</f>
        <v>129.353626793692</v>
      </c>
      <c r="Q122" s="8" t="n">
        <f aca="false">Q118*Q120</f>
        <v>117.190702600527</v>
      </c>
      <c r="R122" s="8" t="n">
        <f aca="false">R118*R120</f>
        <v>105.955462456761</v>
      </c>
      <c r="S122" s="8" t="n">
        <f aca="false">S118*S120</f>
        <v>95.5829329038905</v>
      </c>
      <c r="T122" s="8" t="n">
        <f aca="false">T118*T120</f>
        <v>86.0125002635885</v>
      </c>
      <c r="U122" s="8" t="n">
        <f aca="false">U118*U120</f>
        <v>77.1876249523078</v>
      </c>
      <c r="V122" s="8" t="n">
        <f aca="false">V118*V120</f>
        <v>69.055574258764</v>
      </c>
      <c r="W122" s="8" t="n">
        <f aca="false">W118*W120</f>
        <v>61.5671724009906</v>
      </c>
      <c r="X122" s="8" t="n">
        <f aca="false">X118*X120</f>
        <v>54.6765667551148</v>
      </c>
      <c r="Y122" s="8" t="n">
        <f aca="false">Y118*Y120</f>
        <v>48.3410092186603</v>
      </c>
      <c r="Z122" s="8" t="n">
        <f aca="false">Z118*Z120</f>
        <v>42.5206517373495</v>
      </c>
      <c r="AA122" s="8" t="n">
        <f aca="false">AA118*AA120</f>
        <v>0</v>
      </c>
      <c r="AB122" s="8" t="n">
        <f aca="false">AB118*AB120</f>
        <v>0</v>
      </c>
      <c r="AC122" s="8" t="n">
        <f aca="false">AC118*AC120</f>
        <v>0</v>
      </c>
      <c r="AD122" s="8" t="n">
        <f aca="false">AD118*AD120</f>
        <v>0</v>
      </c>
      <c r="AE122" s="8" t="n">
        <f aca="false">AE118*AE120</f>
        <v>0</v>
      </c>
      <c r="AF122" s="8" t="n">
        <f aca="false">AF118*AF120</f>
        <v>0</v>
      </c>
      <c r="AG122" s="8" t="n">
        <f aca="false">AG118*AG120</f>
        <v>0</v>
      </c>
      <c r="AH122" s="8" t="n">
        <f aca="false">AH118*AH120</f>
        <v>0</v>
      </c>
      <c r="AI122" s="8" t="n">
        <f aca="false">AI118*AI120</f>
        <v>0</v>
      </c>
      <c r="AJ122" s="8" t="n">
        <f aca="false">AJ118*AJ120</f>
        <v>0</v>
      </c>
      <c r="AK122" s="8" t="n">
        <f aca="false">AK118*AK120</f>
        <v>0</v>
      </c>
      <c r="AL122" s="8" t="n">
        <f aca="false">AL118*AL120</f>
        <v>0</v>
      </c>
      <c r="AM122" s="8" t="n">
        <f aca="false">AM118*AM120</f>
        <v>0</v>
      </c>
      <c r="AN122" s="8" t="n">
        <f aca="false">AN118*AN120</f>
        <v>0</v>
      </c>
      <c r="AO122" s="8" t="n">
        <f aca="false">AO118*AO120</f>
        <v>0</v>
      </c>
      <c r="AP122" s="8" t="n">
        <f aca="false">AP118*AP120</f>
        <v>0</v>
      </c>
      <c r="AQ122" s="8" t="n">
        <f aca="false">AQ118*AQ120</f>
        <v>0</v>
      </c>
      <c r="AR122" s="8" t="n">
        <f aca="false">AR118*AR120</f>
        <v>0</v>
      </c>
      <c r="AS122" s="8" t="n">
        <f aca="false">AS118*AS120</f>
        <v>0</v>
      </c>
    </row>
    <row r="123" customFormat="false" ht="15" hidden="false" customHeight="false" outlineLevel="0" collapsed="false">
      <c r="A123" s="6" t="s">
        <v>479</v>
      </c>
      <c r="B123" s="6" t="s">
        <v>480</v>
      </c>
      <c r="C123" s="43" t="n">
        <f aca="false">IF(CEG_Assets!$H$4="$/kW",CEG_Assets!$D$4*CEG_Assets!$AI$4*(1+0.4*(PJMWLR/PJMWLRBase-1))/1000,0)</f>
        <v>0</v>
      </c>
      <c r="E123" s="8" t="n">
        <f aca="false">C123</f>
        <v>0</v>
      </c>
      <c r="G123" s="8" t="n">
        <f aca="false">0</f>
        <v>0</v>
      </c>
      <c r="H123" s="8" t="n">
        <f aca="false">0</f>
        <v>0</v>
      </c>
      <c r="I123" s="8" t="n">
        <f aca="false">0</f>
        <v>0</v>
      </c>
      <c r="J123" s="8" t="n">
        <f aca="false">0</f>
        <v>0</v>
      </c>
      <c r="K123" s="8" t="n">
        <f aca="false">0</f>
        <v>0</v>
      </c>
      <c r="L123" s="8" t="n">
        <f aca="false">0</f>
        <v>0</v>
      </c>
      <c r="M123" s="8" t="n">
        <f aca="false">0</f>
        <v>0</v>
      </c>
      <c r="N123" s="8" t="n">
        <f aca="false">0</f>
        <v>0</v>
      </c>
      <c r="O123" s="8" t="n">
        <f aca="false">0</f>
        <v>0</v>
      </c>
      <c r="P123" s="8" t="n">
        <f aca="false">0</f>
        <v>0</v>
      </c>
      <c r="Q123" s="8" t="n">
        <f aca="false">0</f>
        <v>0</v>
      </c>
      <c r="R123" s="8" t="n">
        <f aca="false">0</f>
        <v>0</v>
      </c>
      <c r="S123" s="8" t="n">
        <f aca="false">0</f>
        <v>0</v>
      </c>
      <c r="T123" s="8" t="n">
        <f aca="false">0</f>
        <v>0</v>
      </c>
      <c r="U123" s="8" t="n">
        <f aca="false">0</f>
        <v>0</v>
      </c>
      <c r="V123" s="8" t="n">
        <f aca="false">0</f>
        <v>0</v>
      </c>
      <c r="W123" s="8" t="n">
        <f aca="false">0</f>
        <v>0</v>
      </c>
      <c r="X123" s="8" t="n">
        <f aca="false">0</f>
        <v>0</v>
      </c>
      <c r="Y123" s="8" t="n">
        <f aca="false">0</f>
        <v>0</v>
      </c>
      <c r="Z123" s="8" t="n">
        <f aca="false">0</f>
        <v>0</v>
      </c>
      <c r="AA123" s="8" t="n">
        <f aca="false">0</f>
        <v>0</v>
      </c>
      <c r="AB123" s="8" t="n">
        <f aca="false">0</f>
        <v>0</v>
      </c>
      <c r="AC123" s="8" t="n">
        <f aca="false">0</f>
        <v>0</v>
      </c>
      <c r="AD123" s="8" t="n">
        <f aca="false">0</f>
        <v>0</v>
      </c>
      <c r="AE123" s="8" t="n">
        <f aca="false">0</f>
        <v>0</v>
      </c>
      <c r="AF123" s="8" t="n">
        <f aca="false">0</f>
        <v>0</v>
      </c>
      <c r="AG123" s="8" t="n">
        <f aca="false">0</f>
        <v>0</v>
      </c>
      <c r="AH123" s="8" t="n">
        <f aca="false">0</f>
        <v>0</v>
      </c>
      <c r="AI123" s="8" t="n">
        <f aca="false">0</f>
        <v>0</v>
      </c>
      <c r="AJ123" s="8" t="n">
        <f aca="false">0</f>
        <v>0</v>
      </c>
      <c r="AK123" s="8" t="n">
        <f aca="false">0</f>
        <v>0</v>
      </c>
      <c r="AL123" s="8" t="n">
        <f aca="false">0</f>
        <v>0</v>
      </c>
      <c r="AM123" s="8" t="n">
        <f aca="false">0</f>
        <v>0</v>
      </c>
      <c r="AN123" s="8" t="n">
        <f aca="false">0</f>
        <v>0</v>
      </c>
      <c r="AO123" s="8" t="n">
        <f aca="false">0</f>
        <v>0</v>
      </c>
      <c r="AP123" s="8" t="n">
        <f aca="false">0</f>
        <v>0</v>
      </c>
      <c r="AQ123" s="8" t="n">
        <f aca="false">0</f>
        <v>0</v>
      </c>
      <c r="AR123" s="8" t="n">
        <f aca="false">0</f>
        <v>0</v>
      </c>
      <c r="AS123" s="8" t="n">
        <f aca="false">0</f>
        <v>0</v>
      </c>
    </row>
    <row r="125" customFormat="false" ht="15" hidden="false" customHeight="false" outlineLevel="0" collapsed="false">
      <c r="A125" s="54" t="str">
        <f aca="false">CEG_Assets!$A$5</f>
        <v>Nuclear - New York (Nine Mile Pt, Ginna, FitzPatrick)</v>
      </c>
    </row>
    <row r="126" customFormat="false" ht="15" hidden="false" customHeight="false" outlineLevel="0" collapsed="false">
      <c r="A126" s="6" t="s">
        <v>425</v>
      </c>
      <c r="B126" s="6" t="s">
        <v>426</v>
      </c>
      <c r="G126" s="47" t="n">
        <f aca="false">IF(AND(G$3&gt;=CEG_Assets!$E$5,G$3&lt;=CEG_Assets!$F$5,CEG_Assets!$H$5="Cashflow"),1,0)</f>
        <v>1</v>
      </c>
      <c r="H126" s="47" t="n">
        <f aca="false">IF(AND(H$3&gt;=CEG_Assets!$E$5,H$3&lt;=CEG_Assets!$F$5,CEG_Assets!$H$5="Cashflow"),1,0)</f>
        <v>1</v>
      </c>
      <c r="I126" s="47" t="n">
        <f aca="false">IF(AND(I$3&gt;=CEG_Assets!$E$5,I$3&lt;=CEG_Assets!$F$5,CEG_Assets!$H$5="Cashflow"),1,0)</f>
        <v>1</v>
      </c>
      <c r="J126" s="47" t="n">
        <f aca="false">IF(AND(J$3&gt;=CEG_Assets!$E$5,J$3&lt;=CEG_Assets!$F$5,CEG_Assets!$H$5="Cashflow"),1,0)</f>
        <v>1</v>
      </c>
      <c r="K126" s="47" t="n">
        <f aca="false">IF(AND(K$3&gt;=CEG_Assets!$E$5,K$3&lt;=CEG_Assets!$F$5,CEG_Assets!$H$5="Cashflow"),1,0)</f>
        <v>1</v>
      </c>
      <c r="L126" s="47" t="n">
        <f aca="false">IF(AND(L$3&gt;=CEG_Assets!$E$5,L$3&lt;=CEG_Assets!$F$5,CEG_Assets!$H$5="Cashflow"),1,0)</f>
        <v>1</v>
      </c>
      <c r="M126" s="47" t="n">
        <f aca="false">IF(AND(M$3&gt;=CEG_Assets!$E$5,M$3&lt;=CEG_Assets!$F$5,CEG_Assets!$H$5="Cashflow"),1,0)</f>
        <v>1</v>
      </c>
      <c r="N126" s="47" t="n">
        <f aca="false">IF(AND(N$3&gt;=CEG_Assets!$E$5,N$3&lt;=CEG_Assets!$F$5,CEG_Assets!$H$5="Cashflow"),1,0)</f>
        <v>1</v>
      </c>
      <c r="O126" s="47" t="n">
        <f aca="false">IF(AND(O$3&gt;=CEG_Assets!$E$5,O$3&lt;=CEG_Assets!$F$5,CEG_Assets!$H$5="Cashflow"),1,0)</f>
        <v>1</v>
      </c>
      <c r="P126" s="47" t="n">
        <f aca="false">IF(AND(P$3&gt;=CEG_Assets!$E$5,P$3&lt;=CEG_Assets!$F$5,CEG_Assets!$H$5="Cashflow"),1,0)</f>
        <v>1</v>
      </c>
      <c r="Q126" s="47" t="n">
        <f aca="false">IF(AND(Q$3&gt;=CEG_Assets!$E$5,Q$3&lt;=CEG_Assets!$F$5,CEG_Assets!$H$5="Cashflow"),1,0)</f>
        <v>1</v>
      </c>
      <c r="R126" s="47" t="n">
        <f aca="false">IF(AND(R$3&gt;=CEG_Assets!$E$5,R$3&lt;=CEG_Assets!$F$5,CEG_Assets!$H$5="Cashflow"),1,0)</f>
        <v>1</v>
      </c>
      <c r="S126" s="47" t="n">
        <f aca="false">IF(AND(S$3&gt;=CEG_Assets!$E$5,S$3&lt;=CEG_Assets!$F$5,CEG_Assets!$H$5="Cashflow"),1,0)</f>
        <v>1</v>
      </c>
      <c r="T126" s="47" t="n">
        <f aca="false">IF(AND(T$3&gt;=CEG_Assets!$E$5,T$3&lt;=CEG_Assets!$F$5,CEG_Assets!$H$5="Cashflow"),1,0)</f>
        <v>1</v>
      </c>
      <c r="U126" s="47" t="n">
        <f aca="false">IF(AND(U$3&gt;=CEG_Assets!$E$5,U$3&lt;=CEG_Assets!$F$5,CEG_Assets!$H$5="Cashflow"),1,0)</f>
        <v>1</v>
      </c>
      <c r="V126" s="47" t="n">
        <f aca="false">IF(AND(V$3&gt;=CEG_Assets!$E$5,V$3&lt;=CEG_Assets!$F$5,CEG_Assets!$H$5="Cashflow"),1,0)</f>
        <v>1</v>
      </c>
      <c r="W126" s="47" t="n">
        <f aca="false">IF(AND(W$3&gt;=CEG_Assets!$E$5,W$3&lt;=CEG_Assets!$F$5,CEG_Assets!$H$5="Cashflow"),1,0)</f>
        <v>1</v>
      </c>
      <c r="X126" s="47" t="n">
        <f aca="false">IF(AND(X$3&gt;=CEG_Assets!$E$5,X$3&lt;=CEG_Assets!$F$5,CEG_Assets!$H$5="Cashflow"),1,0)</f>
        <v>1</v>
      </c>
      <c r="Y126" s="47" t="n">
        <f aca="false">IF(AND(Y$3&gt;=CEG_Assets!$E$5,Y$3&lt;=CEG_Assets!$F$5,CEG_Assets!$H$5="Cashflow"),1,0)</f>
        <v>1</v>
      </c>
      <c r="Z126" s="47" t="n">
        <f aca="false">IF(AND(Z$3&gt;=CEG_Assets!$E$5,Z$3&lt;=CEG_Assets!$F$5,CEG_Assets!$H$5="Cashflow"),1,0)</f>
        <v>1</v>
      </c>
      <c r="AA126" s="47" t="n">
        <f aca="false">IF(AND(AA$3&gt;=CEG_Assets!$E$5,AA$3&lt;=CEG_Assets!$F$5,CEG_Assets!$H$5="Cashflow"),1,0)</f>
        <v>1</v>
      </c>
      <c r="AB126" s="47" t="n">
        <f aca="false">IF(AND(AB$3&gt;=CEG_Assets!$E$5,AB$3&lt;=CEG_Assets!$F$5,CEG_Assets!$H$5="Cashflow"),1,0)</f>
        <v>1</v>
      </c>
      <c r="AC126" s="47" t="n">
        <f aca="false">IF(AND(AC$3&gt;=CEG_Assets!$E$5,AC$3&lt;=CEG_Assets!$F$5,CEG_Assets!$H$5="Cashflow"),1,0)</f>
        <v>1</v>
      </c>
      <c r="AD126" s="47" t="n">
        <f aca="false">IF(AND(AD$3&gt;=CEG_Assets!$E$5,AD$3&lt;=CEG_Assets!$F$5,CEG_Assets!$H$5="Cashflow"),1,0)</f>
        <v>1</v>
      </c>
      <c r="AE126" s="47" t="n">
        <f aca="false">IF(AND(AE$3&gt;=CEG_Assets!$E$5,AE$3&lt;=CEG_Assets!$F$5,CEG_Assets!$H$5="Cashflow"),1,0)</f>
        <v>1</v>
      </c>
      <c r="AF126" s="47" t="n">
        <f aca="false">IF(AND(AF$3&gt;=CEG_Assets!$E$5,AF$3&lt;=CEG_Assets!$F$5,CEG_Assets!$H$5="Cashflow"),1,0)</f>
        <v>1</v>
      </c>
      <c r="AG126" s="47" t="n">
        <f aca="false">IF(AND(AG$3&gt;=CEG_Assets!$E$5,AG$3&lt;=CEG_Assets!$F$5,CEG_Assets!$H$5="Cashflow"),1,0)</f>
        <v>1</v>
      </c>
      <c r="AH126" s="47" t="n">
        <f aca="false">IF(AND(AH$3&gt;=CEG_Assets!$E$5,AH$3&lt;=CEG_Assets!$F$5,CEG_Assets!$H$5="Cashflow"),1,0)</f>
        <v>1</v>
      </c>
      <c r="AI126" s="47" t="n">
        <f aca="false">IF(AND(AI$3&gt;=CEG_Assets!$E$5,AI$3&lt;=CEG_Assets!$F$5,CEG_Assets!$H$5="Cashflow"),1,0)</f>
        <v>1</v>
      </c>
      <c r="AJ126" s="47" t="n">
        <f aca="false">IF(AND(AJ$3&gt;=CEG_Assets!$E$5,AJ$3&lt;=CEG_Assets!$F$5,CEG_Assets!$H$5="Cashflow"),1,0)</f>
        <v>0</v>
      </c>
      <c r="AK126" s="47" t="n">
        <f aca="false">IF(AND(AK$3&gt;=CEG_Assets!$E$5,AK$3&lt;=CEG_Assets!$F$5,CEG_Assets!$H$5="Cashflow"),1,0)</f>
        <v>0</v>
      </c>
      <c r="AL126" s="47" t="n">
        <f aca="false">IF(AND(AL$3&gt;=CEG_Assets!$E$5,AL$3&lt;=CEG_Assets!$F$5,CEG_Assets!$H$5="Cashflow"),1,0)</f>
        <v>0</v>
      </c>
      <c r="AM126" s="47" t="n">
        <f aca="false">IF(AND(AM$3&gt;=CEG_Assets!$E$5,AM$3&lt;=CEG_Assets!$F$5,CEG_Assets!$H$5="Cashflow"),1,0)</f>
        <v>0</v>
      </c>
      <c r="AN126" s="47" t="n">
        <f aca="false">IF(AND(AN$3&gt;=CEG_Assets!$E$5,AN$3&lt;=CEG_Assets!$F$5,CEG_Assets!$H$5="Cashflow"),1,0)</f>
        <v>0</v>
      </c>
      <c r="AO126" s="47" t="n">
        <f aca="false">IF(AND(AO$3&gt;=CEG_Assets!$E$5,AO$3&lt;=CEG_Assets!$F$5,CEG_Assets!$H$5="Cashflow"),1,0)</f>
        <v>0</v>
      </c>
      <c r="AP126" s="47" t="n">
        <f aca="false">IF(AND(AP$3&gt;=CEG_Assets!$E$5,AP$3&lt;=CEG_Assets!$F$5,CEG_Assets!$H$5="Cashflow"),1,0)</f>
        <v>0</v>
      </c>
      <c r="AQ126" s="47" t="n">
        <f aca="false">IF(AND(AQ$3&gt;=CEG_Assets!$E$5,AQ$3&lt;=CEG_Assets!$F$5,CEG_Assets!$H$5="Cashflow"),1,0)</f>
        <v>0</v>
      </c>
      <c r="AR126" s="47" t="n">
        <f aca="false">IF(AND(AR$3&gt;=CEG_Assets!$E$5,AR$3&lt;=CEG_Assets!$F$5,CEG_Assets!$H$5="Cashflow"),1,0)</f>
        <v>0</v>
      </c>
      <c r="AS126" s="47" t="n">
        <f aca="false">IF(AND(AS$3&gt;=CEG_Assets!$E$5,AS$3&lt;=CEG_Assets!$F$5,CEG_Assets!$H$5="Cashflow"),1,0)</f>
        <v>0</v>
      </c>
    </row>
    <row r="127" customFormat="false" ht="15" hidden="false" customHeight="false" outlineLevel="0" collapsed="false">
      <c r="A127" s="6" t="s">
        <v>427</v>
      </c>
      <c r="B127" s="6" t="s">
        <v>428</v>
      </c>
      <c r="G127" s="9" t="n">
        <f aca="false">IF(AND(G$3&gt;=CEG_Assets!$AA$5,G$3&lt;=CEG_Assets!$AB$5),MIN(CEG_Assets!$D$5,CEG_Assets!$Z$5*MIN(1,(G$3-CEG_Assets!$AA$5+1)/MAX(1,CEG_Assets!$AC$5))),0)*G126</f>
        <v>0</v>
      </c>
      <c r="H127" s="9" t="n">
        <f aca="false">IF(AND(H$3&gt;=CEG_Assets!$AA$5,H$3&lt;=CEG_Assets!$AB$5),MIN(CEG_Assets!$D$5,CEG_Assets!$Z$5*MIN(1,(H$3-CEG_Assets!$AA$5+1)/MAX(1,CEG_Assets!$AC$5))),0)*H126</f>
        <v>0</v>
      </c>
      <c r="I127" s="9" t="n">
        <f aca="false">IF(AND(I$3&gt;=CEG_Assets!$AA$5,I$3&lt;=CEG_Assets!$AB$5),MIN(CEG_Assets!$D$5,CEG_Assets!$Z$5*MIN(1,(I$3-CEG_Assets!$AA$5+1)/MAX(1,CEG_Assets!$AC$5))),0)*I126</f>
        <v>0</v>
      </c>
      <c r="J127" s="9" t="n">
        <f aca="false">IF(AND(J$3&gt;=CEG_Assets!$AA$5,J$3&lt;=CEG_Assets!$AB$5),MIN(CEG_Assets!$D$5,CEG_Assets!$Z$5*MIN(1,(J$3-CEG_Assets!$AA$5+1)/MAX(1,CEG_Assets!$AC$5))),0)*J126</f>
        <v>0</v>
      </c>
      <c r="K127" s="9" t="n">
        <f aca="false">IF(AND(K$3&gt;=CEG_Assets!$AA$5,K$3&lt;=CEG_Assets!$AB$5),MIN(CEG_Assets!$D$5,CEG_Assets!$Z$5*MIN(1,(K$3-CEG_Assets!$AA$5+1)/MAX(1,CEG_Assets!$AC$5))),0)*K126</f>
        <v>0</v>
      </c>
      <c r="L127" s="9" t="n">
        <f aca="false">IF(AND(L$3&gt;=CEG_Assets!$AA$5,L$3&lt;=CEG_Assets!$AB$5),MIN(CEG_Assets!$D$5,CEG_Assets!$Z$5*MIN(1,(L$3-CEG_Assets!$AA$5+1)/MAX(1,CEG_Assets!$AC$5))),0)*L126</f>
        <v>0</v>
      </c>
      <c r="M127" s="9" t="n">
        <f aca="false">IF(AND(M$3&gt;=CEG_Assets!$AA$5,M$3&lt;=CEG_Assets!$AB$5),MIN(CEG_Assets!$D$5,CEG_Assets!$Z$5*MIN(1,(M$3-CEG_Assets!$AA$5+1)/MAX(1,CEG_Assets!$AC$5))),0)*M126</f>
        <v>0</v>
      </c>
      <c r="N127" s="9" t="n">
        <f aca="false">IF(AND(N$3&gt;=CEG_Assets!$AA$5,N$3&lt;=CEG_Assets!$AB$5),MIN(CEG_Assets!$D$5,CEG_Assets!$Z$5*MIN(1,(N$3-CEG_Assets!$AA$5+1)/MAX(1,CEG_Assets!$AC$5))),0)*N126</f>
        <v>0</v>
      </c>
      <c r="O127" s="9" t="n">
        <f aca="false">IF(AND(O$3&gt;=CEG_Assets!$AA$5,O$3&lt;=CEG_Assets!$AB$5),MIN(CEG_Assets!$D$5,CEG_Assets!$Z$5*MIN(1,(O$3-CEG_Assets!$AA$5+1)/MAX(1,CEG_Assets!$AC$5))),0)*O126</f>
        <v>0</v>
      </c>
      <c r="P127" s="9" t="n">
        <f aca="false">IF(AND(P$3&gt;=CEG_Assets!$AA$5,P$3&lt;=CEG_Assets!$AB$5),MIN(CEG_Assets!$D$5,CEG_Assets!$Z$5*MIN(1,(P$3-CEG_Assets!$AA$5+1)/MAX(1,CEG_Assets!$AC$5))),0)*P126</f>
        <v>0</v>
      </c>
      <c r="Q127" s="9" t="n">
        <f aca="false">IF(AND(Q$3&gt;=CEG_Assets!$AA$5,Q$3&lt;=CEG_Assets!$AB$5),MIN(CEG_Assets!$D$5,CEG_Assets!$Z$5*MIN(1,(Q$3-CEG_Assets!$AA$5+1)/MAX(1,CEG_Assets!$AC$5))),0)*Q126</f>
        <v>0</v>
      </c>
      <c r="R127" s="9" t="n">
        <f aca="false">IF(AND(R$3&gt;=CEG_Assets!$AA$5,R$3&lt;=CEG_Assets!$AB$5),MIN(CEG_Assets!$D$5,CEG_Assets!$Z$5*MIN(1,(R$3-CEG_Assets!$AA$5+1)/MAX(1,CEG_Assets!$AC$5))),0)*R126</f>
        <v>0</v>
      </c>
      <c r="S127" s="9" t="n">
        <f aca="false">IF(AND(S$3&gt;=CEG_Assets!$AA$5,S$3&lt;=CEG_Assets!$AB$5),MIN(CEG_Assets!$D$5,CEG_Assets!$Z$5*MIN(1,(S$3-CEG_Assets!$AA$5+1)/MAX(1,CEG_Assets!$AC$5))),0)*S126</f>
        <v>0</v>
      </c>
      <c r="T127" s="9" t="n">
        <f aca="false">IF(AND(T$3&gt;=CEG_Assets!$AA$5,T$3&lt;=CEG_Assets!$AB$5),MIN(CEG_Assets!$D$5,CEG_Assets!$Z$5*MIN(1,(T$3-CEG_Assets!$AA$5+1)/MAX(1,CEG_Assets!$AC$5))),0)*T126</f>
        <v>0</v>
      </c>
      <c r="U127" s="9" t="n">
        <f aca="false">IF(AND(U$3&gt;=CEG_Assets!$AA$5,U$3&lt;=CEG_Assets!$AB$5),MIN(CEG_Assets!$D$5,CEG_Assets!$Z$5*MIN(1,(U$3-CEG_Assets!$AA$5+1)/MAX(1,CEG_Assets!$AC$5))),0)*U126</f>
        <v>0</v>
      </c>
      <c r="V127" s="9" t="n">
        <f aca="false">IF(AND(V$3&gt;=CEG_Assets!$AA$5,V$3&lt;=CEG_Assets!$AB$5),MIN(CEG_Assets!$D$5,CEG_Assets!$Z$5*MIN(1,(V$3-CEG_Assets!$AA$5+1)/MAX(1,CEG_Assets!$AC$5))),0)*V126</f>
        <v>0</v>
      </c>
      <c r="W127" s="9" t="n">
        <f aca="false">IF(AND(W$3&gt;=CEG_Assets!$AA$5,W$3&lt;=CEG_Assets!$AB$5),MIN(CEG_Assets!$D$5,CEG_Assets!$Z$5*MIN(1,(W$3-CEG_Assets!$AA$5+1)/MAX(1,CEG_Assets!$AC$5))),0)*W126</f>
        <v>0</v>
      </c>
      <c r="X127" s="9" t="n">
        <f aca="false">IF(AND(X$3&gt;=CEG_Assets!$AA$5,X$3&lt;=CEG_Assets!$AB$5),MIN(CEG_Assets!$D$5,CEG_Assets!$Z$5*MIN(1,(X$3-CEG_Assets!$AA$5+1)/MAX(1,CEG_Assets!$AC$5))),0)*X126</f>
        <v>0</v>
      </c>
      <c r="Y127" s="9" t="n">
        <f aca="false">IF(AND(Y$3&gt;=CEG_Assets!$AA$5,Y$3&lt;=CEG_Assets!$AB$5),MIN(CEG_Assets!$D$5,CEG_Assets!$Z$5*MIN(1,(Y$3-CEG_Assets!$AA$5+1)/MAX(1,CEG_Assets!$AC$5))),0)*Y126</f>
        <v>0</v>
      </c>
      <c r="Z127" s="9" t="n">
        <f aca="false">IF(AND(Z$3&gt;=CEG_Assets!$AA$5,Z$3&lt;=CEG_Assets!$AB$5),MIN(CEG_Assets!$D$5,CEG_Assets!$Z$5*MIN(1,(Z$3-CEG_Assets!$AA$5+1)/MAX(1,CEG_Assets!$AC$5))),0)*Z126</f>
        <v>0</v>
      </c>
      <c r="AA127" s="9" t="n">
        <f aca="false">IF(AND(AA$3&gt;=CEG_Assets!$AA$5,AA$3&lt;=CEG_Assets!$AB$5),MIN(CEG_Assets!$D$5,CEG_Assets!$Z$5*MIN(1,(AA$3-CEG_Assets!$AA$5+1)/MAX(1,CEG_Assets!$AC$5))),0)*AA126</f>
        <v>0</v>
      </c>
      <c r="AB127" s="9" t="n">
        <f aca="false">IF(AND(AB$3&gt;=CEG_Assets!$AA$5,AB$3&lt;=CEG_Assets!$AB$5),MIN(CEG_Assets!$D$5,CEG_Assets!$Z$5*MIN(1,(AB$3-CEG_Assets!$AA$5+1)/MAX(1,CEG_Assets!$AC$5))),0)*AB126</f>
        <v>0</v>
      </c>
      <c r="AC127" s="9" t="n">
        <f aca="false">IF(AND(AC$3&gt;=CEG_Assets!$AA$5,AC$3&lt;=CEG_Assets!$AB$5),MIN(CEG_Assets!$D$5,CEG_Assets!$Z$5*MIN(1,(AC$3-CEG_Assets!$AA$5+1)/MAX(1,CEG_Assets!$AC$5))),0)*AC126</f>
        <v>0</v>
      </c>
      <c r="AD127" s="9" t="n">
        <f aca="false">IF(AND(AD$3&gt;=CEG_Assets!$AA$5,AD$3&lt;=CEG_Assets!$AB$5),MIN(CEG_Assets!$D$5,CEG_Assets!$Z$5*MIN(1,(AD$3-CEG_Assets!$AA$5+1)/MAX(1,CEG_Assets!$AC$5))),0)*AD126</f>
        <v>0</v>
      </c>
      <c r="AE127" s="9" t="n">
        <f aca="false">IF(AND(AE$3&gt;=CEG_Assets!$AA$5,AE$3&lt;=CEG_Assets!$AB$5),MIN(CEG_Assets!$D$5,CEG_Assets!$Z$5*MIN(1,(AE$3-CEG_Assets!$AA$5+1)/MAX(1,CEG_Assets!$AC$5))),0)*AE126</f>
        <v>0</v>
      </c>
      <c r="AF127" s="9" t="n">
        <f aca="false">IF(AND(AF$3&gt;=CEG_Assets!$AA$5,AF$3&lt;=CEG_Assets!$AB$5),MIN(CEG_Assets!$D$5,CEG_Assets!$Z$5*MIN(1,(AF$3-CEG_Assets!$AA$5+1)/MAX(1,CEG_Assets!$AC$5))),0)*AF126</f>
        <v>0</v>
      </c>
      <c r="AG127" s="9" t="n">
        <f aca="false">IF(AND(AG$3&gt;=CEG_Assets!$AA$5,AG$3&lt;=CEG_Assets!$AB$5),MIN(CEG_Assets!$D$5,CEG_Assets!$Z$5*MIN(1,(AG$3-CEG_Assets!$AA$5+1)/MAX(1,CEG_Assets!$AC$5))),0)*AG126</f>
        <v>0</v>
      </c>
      <c r="AH127" s="9" t="n">
        <f aca="false">IF(AND(AH$3&gt;=CEG_Assets!$AA$5,AH$3&lt;=CEG_Assets!$AB$5),MIN(CEG_Assets!$D$5,CEG_Assets!$Z$5*MIN(1,(AH$3-CEG_Assets!$AA$5+1)/MAX(1,CEG_Assets!$AC$5))),0)*AH126</f>
        <v>0</v>
      </c>
      <c r="AI127" s="9" t="n">
        <f aca="false">IF(AND(AI$3&gt;=CEG_Assets!$AA$5,AI$3&lt;=CEG_Assets!$AB$5),MIN(CEG_Assets!$D$5,CEG_Assets!$Z$5*MIN(1,(AI$3-CEG_Assets!$AA$5+1)/MAX(1,CEG_Assets!$AC$5))),0)*AI126</f>
        <v>0</v>
      </c>
      <c r="AJ127" s="9" t="n">
        <f aca="false">IF(AND(AJ$3&gt;=CEG_Assets!$AA$5,AJ$3&lt;=CEG_Assets!$AB$5),MIN(CEG_Assets!$D$5,CEG_Assets!$Z$5*MIN(1,(AJ$3-CEG_Assets!$AA$5+1)/MAX(1,CEG_Assets!$AC$5))),0)*AJ126</f>
        <v>0</v>
      </c>
      <c r="AK127" s="9" t="n">
        <f aca="false">IF(AND(AK$3&gt;=CEG_Assets!$AA$5,AK$3&lt;=CEG_Assets!$AB$5),MIN(CEG_Assets!$D$5,CEG_Assets!$Z$5*MIN(1,(AK$3-CEG_Assets!$AA$5+1)/MAX(1,CEG_Assets!$AC$5))),0)*AK126</f>
        <v>0</v>
      </c>
      <c r="AL127" s="9" t="n">
        <f aca="false">IF(AND(AL$3&gt;=CEG_Assets!$AA$5,AL$3&lt;=CEG_Assets!$AB$5),MIN(CEG_Assets!$D$5,CEG_Assets!$Z$5*MIN(1,(AL$3-CEG_Assets!$AA$5+1)/MAX(1,CEG_Assets!$AC$5))),0)*AL126</f>
        <v>0</v>
      </c>
      <c r="AM127" s="9" t="n">
        <f aca="false">IF(AND(AM$3&gt;=CEG_Assets!$AA$5,AM$3&lt;=CEG_Assets!$AB$5),MIN(CEG_Assets!$D$5,CEG_Assets!$Z$5*MIN(1,(AM$3-CEG_Assets!$AA$5+1)/MAX(1,CEG_Assets!$AC$5))),0)*AM126</f>
        <v>0</v>
      </c>
      <c r="AN127" s="9" t="n">
        <f aca="false">IF(AND(AN$3&gt;=CEG_Assets!$AA$5,AN$3&lt;=CEG_Assets!$AB$5),MIN(CEG_Assets!$D$5,CEG_Assets!$Z$5*MIN(1,(AN$3-CEG_Assets!$AA$5+1)/MAX(1,CEG_Assets!$AC$5))),0)*AN126</f>
        <v>0</v>
      </c>
      <c r="AO127" s="9" t="n">
        <f aca="false">IF(AND(AO$3&gt;=CEG_Assets!$AA$5,AO$3&lt;=CEG_Assets!$AB$5),MIN(CEG_Assets!$D$5,CEG_Assets!$Z$5*MIN(1,(AO$3-CEG_Assets!$AA$5+1)/MAX(1,CEG_Assets!$AC$5))),0)*AO126</f>
        <v>0</v>
      </c>
      <c r="AP127" s="9" t="n">
        <f aca="false">IF(AND(AP$3&gt;=CEG_Assets!$AA$5,AP$3&lt;=CEG_Assets!$AB$5),MIN(CEG_Assets!$D$5,CEG_Assets!$Z$5*MIN(1,(AP$3-CEG_Assets!$AA$5+1)/MAX(1,CEG_Assets!$AC$5))),0)*AP126</f>
        <v>0</v>
      </c>
      <c r="AQ127" s="9" t="n">
        <f aca="false">IF(AND(AQ$3&gt;=CEG_Assets!$AA$5,AQ$3&lt;=CEG_Assets!$AB$5),MIN(CEG_Assets!$D$5,CEG_Assets!$Z$5*MIN(1,(AQ$3-CEG_Assets!$AA$5+1)/MAX(1,CEG_Assets!$AC$5))),0)*AQ126</f>
        <v>0</v>
      </c>
      <c r="AR127" s="9" t="n">
        <f aca="false">IF(AND(AR$3&gt;=CEG_Assets!$AA$5,AR$3&lt;=CEG_Assets!$AB$5),MIN(CEG_Assets!$D$5,CEG_Assets!$Z$5*MIN(1,(AR$3-CEG_Assets!$AA$5+1)/MAX(1,CEG_Assets!$AC$5))),0)*AR126</f>
        <v>0</v>
      </c>
      <c r="AS127" s="9" t="n">
        <f aca="false">IF(AND(AS$3&gt;=CEG_Assets!$AA$5,AS$3&lt;=CEG_Assets!$AB$5),MIN(CEG_Assets!$D$5,CEG_Assets!$Z$5*MIN(1,(AS$3-CEG_Assets!$AA$5+1)/MAX(1,CEG_Assets!$AC$5))),0)*AS126</f>
        <v>0</v>
      </c>
    </row>
    <row r="128" customFormat="false" ht="15" hidden="false" customHeight="false" outlineLevel="0" collapsed="false">
      <c r="A128" s="6" t="s">
        <v>429</v>
      </c>
      <c r="B128" s="6" t="s">
        <v>430</v>
      </c>
      <c r="G128" s="9" t="n">
        <f aca="false">(CEG_Assets!$D$5-G127)*8760*CEG_Assets!$I$5*G126</f>
        <v>24571800</v>
      </c>
      <c r="H128" s="9" t="n">
        <f aca="false">(CEG_Assets!$D$5-H127)*8760*CEG_Assets!$I$5*H126</f>
        <v>24571800</v>
      </c>
      <c r="I128" s="9" t="n">
        <f aca="false">(CEG_Assets!$D$5-I127)*8760*CEG_Assets!$I$5*I126</f>
        <v>24571800</v>
      </c>
      <c r="J128" s="9" t="n">
        <f aca="false">(CEG_Assets!$D$5-J127)*8760*CEG_Assets!$I$5*J126</f>
        <v>24571800</v>
      </c>
      <c r="K128" s="9" t="n">
        <f aca="false">(CEG_Assets!$D$5-K127)*8760*CEG_Assets!$I$5*K126</f>
        <v>24571800</v>
      </c>
      <c r="L128" s="9" t="n">
        <f aca="false">(CEG_Assets!$D$5-L127)*8760*CEG_Assets!$I$5*L126</f>
        <v>24571800</v>
      </c>
      <c r="M128" s="9" t="n">
        <f aca="false">(CEG_Assets!$D$5-M127)*8760*CEG_Assets!$I$5*M126</f>
        <v>24571800</v>
      </c>
      <c r="N128" s="9" t="n">
        <f aca="false">(CEG_Assets!$D$5-N127)*8760*CEG_Assets!$I$5*N126</f>
        <v>24571800</v>
      </c>
      <c r="O128" s="9" t="n">
        <f aca="false">(CEG_Assets!$D$5-O127)*8760*CEG_Assets!$I$5*O126</f>
        <v>24571800</v>
      </c>
      <c r="P128" s="9" t="n">
        <f aca="false">(CEG_Assets!$D$5-P127)*8760*CEG_Assets!$I$5*P126</f>
        <v>24571800</v>
      </c>
      <c r="Q128" s="9" t="n">
        <f aca="false">(CEG_Assets!$D$5-Q127)*8760*CEG_Assets!$I$5*Q126</f>
        <v>24571800</v>
      </c>
      <c r="R128" s="9" t="n">
        <f aca="false">(CEG_Assets!$D$5-R127)*8760*CEG_Assets!$I$5*R126</f>
        <v>24571800</v>
      </c>
      <c r="S128" s="9" t="n">
        <f aca="false">(CEG_Assets!$D$5-S127)*8760*CEG_Assets!$I$5*S126</f>
        <v>24571800</v>
      </c>
      <c r="T128" s="9" t="n">
        <f aca="false">(CEG_Assets!$D$5-T127)*8760*CEG_Assets!$I$5*T126</f>
        <v>24571800</v>
      </c>
      <c r="U128" s="9" t="n">
        <f aca="false">(CEG_Assets!$D$5-U127)*8760*CEG_Assets!$I$5*U126</f>
        <v>24571800</v>
      </c>
      <c r="V128" s="9" t="n">
        <f aca="false">(CEG_Assets!$D$5-V127)*8760*CEG_Assets!$I$5*V126</f>
        <v>24571800</v>
      </c>
      <c r="W128" s="9" t="n">
        <f aca="false">(CEG_Assets!$D$5-W127)*8760*CEG_Assets!$I$5*W126</f>
        <v>24571800</v>
      </c>
      <c r="X128" s="9" t="n">
        <f aca="false">(CEG_Assets!$D$5-X127)*8760*CEG_Assets!$I$5*X126</f>
        <v>24571800</v>
      </c>
      <c r="Y128" s="9" t="n">
        <f aca="false">(CEG_Assets!$D$5-Y127)*8760*CEG_Assets!$I$5*Y126</f>
        <v>24571800</v>
      </c>
      <c r="Z128" s="9" t="n">
        <f aca="false">(CEG_Assets!$D$5-Z127)*8760*CEG_Assets!$I$5*Z126</f>
        <v>24571800</v>
      </c>
      <c r="AA128" s="9" t="n">
        <f aca="false">(CEG_Assets!$D$5-AA127)*8760*CEG_Assets!$I$5*AA126</f>
        <v>24571800</v>
      </c>
      <c r="AB128" s="9" t="n">
        <f aca="false">(CEG_Assets!$D$5-AB127)*8760*CEG_Assets!$I$5*AB126</f>
        <v>24571800</v>
      </c>
      <c r="AC128" s="9" t="n">
        <f aca="false">(CEG_Assets!$D$5-AC127)*8760*CEG_Assets!$I$5*AC126</f>
        <v>24571800</v>
      </c>
      <c r="AD128" s="9" t="n">
        <f aca="false">(CEG_Assets!$D$5-AD127)*8760*CEG_Assets!$I$5*AD126</f>
        <v>24571800</v>
      </c>
      <c r="AE128" s="9" t="n">
        <f aca="false">(CEG_Assets!$D$5-AE127)*8760*CEG_Assets!$I$5*AE126</f>
        <v>24571800</v>
      </c>
      <c r="AF128" s="9" t="n">
        <f aca="false">(CEG_Assets!$D$5-AF127)*8760*CEG_Assets!$I$5*AF126</f>
        <v>24571800</v>
      </c>
      <c r="AG128" s="9" t="n">
        <f aca="false">(CEG_Assets!$D$5-AG127)*8760*CEG_Assets!$I$5*AG126</f>
        <v>24571800</v>
      </c>
      <c r="AH128" s="9" t="n">
        <f aca="false">(CEG_Assets!$D$5-AH127)*8760*CEG_Assets!$I$5*AH126</f>
        <v>24571800</v>
      </c>
      <c r="AI128" s="9" t="n">
        <f aca="false">(CEG_Assets!$D$5-AI127)*8760*CEG_Assets!$I$5*AI126</f>
        <v>24571800</v>
      </c>
      <c r="AJ128" s="9" t="n">
        <f aca="false">(CEG_Assets!$D$5-AJ127)*8760*CEG_Assets!$I$5*AJ126</f>
        <v>0</v>
      </c>
      <c r="AK128" s="9" t="n">
        <f aca="false">(CEG_Assets!$D$5-AK127)*8760*CEG_Assets!$I$5*AK126</f>
        <v>0</v>
      </c>
      <c r="AL128" s="9" t="n">
        <f aca="false">(CEG_Assets!$D$5-AL127)*8760*CEG_Assets!$I$5*AL126</f>
        <v>0</v>
      </c>
      <c r="AM128" s="9" t="n">
        <f aca="false">(CEG_Assets!$D$5-AM127)*8760*CEG_Assets!$I$5*AM126</f>
        <v>0</v>
      </c>
      <c r="AN128" s="9" t="n">
        <f aca="false">(CEG_Assets!$D$5-AN127)*8760*CEG_Assets!$I$5*AN126</f>
        <v>0</v>
      </c>
      <c r="AO128" s="9" t="n">
        <f aca="false">(CEG_Assets!$D$5-AO127)*8760*CEG_Assets!$I$5*AO126</f>
        <v>0</v>
      </c>
      <c r="AP128" s="9" t="n">
        <f aca="false">(CEG_Assets!$D$5-AP127)*8760*CEG_Assets!$I$5*AP126</f>
        <v>0</v>
      </c>
      <c r="AQ128" s="9" t="n">
        <f aca="false">(CEG_Assets!$D$5-AQ127)*8760*CEG_Assets!$I$5*AQ126</f>
        <v>0</v>
      </c>
      <c r="AR128" s="9" t="n">
        <f aca="false">(CEG_Assets!$D$5-AR127)*8760*CEG_Assets!$I$5*AR126</f>
        <v>0</v>
      </c>
      <c r="AS128" s="9" t="n">
        <f aca="false">(CEG_Assets!$D$5-AS127)*8760*CEG_Assets!$I$5*AS126</f>
        <v>0</v>
      </c>
    </row>
    <row r="129" customFormat="false" ht="15" hidden="false" customHeight="false" outlineLevel="0" collapsed="false">
      <c r="A129" s="6" t="s">
        <v>431</v>
      </c>
      <c r="B129" s="6" t="s">
        <v>432</v>
      </c>
      <c r="G129" s="9" t="n">
        <f aca="false">G127*8760*CEG_Assets!$I$5*G126</f>
        <v>0</v>
      </c>
      <c r="H129" s="9" t="n">
        <f aca="false">H127*8760*CEG_Assets!$I$5*H126</f>
        <v>0</v>
      </c>
      <c r="I129" s="9" t="n">
        <f aca="false">I127*8760*CEG_Assets!$I$5*I126</f>
        <v>0</v>
      </c>
      <c r="J129" s="9" t="n">
        <f aca="false">J127*8760*CEG_Assets!$I$5*J126</f>
        <v>0</v>
      </c>
      <c r="K129" s="9" t="n">
        <f aca="false">K127*8760*CEG_Assets!$I$5*K126</f>
        <v>0</v>
      </c>
      <c r="L129" s="9" t="n">
        <f aca="false">L127*8760*CEG_Assets!$I$5*L126</f>
        <v>0</v>
      </c>
      <c r="M129" s="9" t="n">
        <f aca="false">M127*8760*CEG_Assets!$I$5*M126</f>
        <v>0</v>
      </c>
      <c r="N129" s="9" t="n">
        <f aca="false">N127*8760*CEG_Assets!$I$5*N126</f>
        <v>0</v>
      </c>
      <c r="O129" s="9" t="n">
        <f aca="false">O127*8760*CEG_Assets!$I$5*O126</f>
        <v>0</v>
      </c>
      <c r="P129" s="9" t="n">
        <f aca="false">P127*8760*CEG_Assets!$I$5*P126</f>
        <v>0</v>
      </c>
      <c r="Q129" s="9" t="n">
        <f aca="false">Q127*8760*CEG_Assets!$I$5*Q126</f>
        <v>0</v>
      </c>
      <c r="R129" s="9" t="n">
        <f aca="false">R127*8760*CEG_Assets!$I$5*R126</f>
        <v>0</v>
      </c>
      <c r="S129" s="9" t="n">
        <f aca="false">S127*8760*CEG_Assets!$I$5*S126</f>
        <v>0</v>
      </c>
      <c r="T129" s="9" t="n">
        <f aca="false">T127*8760*CEG_Assets!$I$5*T126</f>
        <v>0</v>
      </c>
      <c r="U129" s="9" t="n">
        <f aca="false">U127*8760*CEG_Assets!$I$5*U126</f>
        <v>0</v>
      </c>
      <c r="V129" s="9" t="n">
        <f aca="false">V127*8760*CEG_Assets!$I$5*V126</f>
        <v>0</v>
      </c>
      <c r="W129" s="9" t="n">
        <f aca="false">W127*8760*CEG_Assets!$I$5*W126</f>
        <v>0</v>
      </c>
      <c r="X129" s="9" t="n">
        <f aca="false">X127*8760*CEG_Assets!$I$5*X126</f>
        <v>0</v>
      </c>
      <c r="Y129" s="9" t="n">
        <f aca="false">Y127*8760*CEG_Assets!$I$5*Y126</f>
        <v>0</v>
      </c>
      <c r="Z129" s="9" t="n">
        <f aca="false">Z127*8760*CEG_Assets!$I$5*Z126</f>
        <v>0</v>
      </c>
      <c r="AA129" s="9" t="n">
        <f aca="false">AA127*8760*CEG_Assets!$I$5*AA126</f>
        <v>0</v>
      </c>
      <c r="AB129" s="9" t="n">
        <f aca="false">AB127*8760*CEG_Assets!$I$5*AB126</f>
        <v>0</v>
      </c>
      <c r="AC129" s="9" t="n">
        <f aca="false">AC127*8760*CEG_Assets!$I$5*AC126</f>
        <v>0</v>
      </c>
      <c r="AD129" s="9" t="n">
        <f aca="false">AD127*8760*CEG_Assets!$I$5*AD126</f>
        <v>0</v>
      </c>
      <c r="AE129" s="9" t="n">
        <f aca="false">AE127*8760*CEG_Assets!$I$5*AE126</f>
        <v>0</v>
      </c>
      <c r="AF129" s="9" t="n">
        <f aca="false">AF127*8760*CEG_Assets!$I$5*AF126</f>
        <v>0</v>
      </c>
      <c r="AG129" s="9" t="n">
        <f aca="false">AG127*8760*CEG_Assets!$I$5*AG126</f>
        <v>0</v>
      </c>
      <c r="AH129" s="9" t="n">
        <f aca="false">AH127*8760*CEG_Assets!$I$5*AH126</f>
        <v>0</v>
      </c>
      <c r="AI129" s="9" t="n">
        <f aca="false">AI127*8760*CEG_Assets!$I$5*AI126</f>
        <v>0</v>
      </c>
      <c r="AJ129" s="9" t="n">
        <f aca="false">AJ127*8760*CEG_Assets!$I$5*AJ126</f>
        <v>0</v>
      </c>
      <c r="AK129" s="9" t="n">
        <f aca="false">AK127*8760*CEG_Assets!$I$5*AK126</f>
        <v>0</v>
      </c>
      <c r="AL129" s="9" t="n">
        <f aca="false">AL127*8760*CEG_Assets!$I$5*AL126</f>
        <v>0</v>
      </c>
      <c r="AM129" s="9" t="n">
        <f aca="false">AM127*8760*CEG_Assets!$I$5*AM126</f>
        <v>0</v>
      </c>
      <c r="AN129" s="9" t="n">
        <f aca="false">AN127*8760*CEG_Assets!$I$5*AN126</f>
        <v>0</v>
      </c>
      <c r="AO129" s="9" t="n">
        <f aca="false">AO127*8760*CEG_Assets!$I$5*AO126</f>
        <v>0</v>
      </c>
      <c r="AP129" s="9" t="n">
        <f aca="false">AP127*8760*CEG_Assets!$I$5*AP126</f>
        <v>0</v>
      </c>
      <c r="AQ129" s="9" t="n">
        <f aca="false">AQ127*8760*CEG_Assets!$I$5*AQ126</f>
        <v>0</v>
      </c>
      <c r="AR129" s="9" t="n">
        <f aca="false">AR127*8760*CEG_Assets!$I$5*AR126</f>
        <v>0</v>
      </c>
      <c r="AS129" s="9" t="n">
        <f aca="false">AS127*8760*CEG_Assets!$I$5*AS126</f>
        <v>0</v>
      </c>
    </row>
    <row r="130" customFormat="false" ht="15" hidden="false" customHeight="false" outlineLevel="0" collapsed="false">
      <c r="A130" s="6" t="s">
        <v>433</v>
      </c>
      <c r="B130" s="6" t="s">
        <v>434</v>
      </c>
      <c r="G130" s="7" t="n">
        <f aca="false">IF(ISNUMBER(CEG_Assets!$L$5),CEG_Assets!$L$5*G$4,INDEX(Prices!G:G,CEG_Assets!$AO$5)+FuelAdder*G$4)</f>
        <v>4.284</v>
      </c>
      <c r="H130" s="7" t="n">
        <f aca="false">IF(ISNUMBER(CEG_Assets!$L$5),CEG_Assets!$L$5*H$4,INDEX(Prices!H:H,CEG_Assets!$AO$5)+FuelAdder*H$4)</f>
        <v>4.36968</v>
      </c>
      <c r="I130" s="7" t="n">
        <f aca="false">IF(ISNUMBER(CEG_Assets!$L$5),CEG_Assets!$L$5*I$4,INDEX(Prices!I:I,CEG_Assets!$AO$5)+FuelAdder*I$4)</f>
        <v>4.5631944</v>
      </c>
      <c r="J130" s="7" t="n">
        <f aca="false">IF(ISNUMBER(CEG_Assets!$L$5),CEG_Assets!$L$5*J$4,INDEX(Prices!J:J,CEG_Assets!$AO$5)+FuelAdder*J$4)</f>
        <v>4.654458288</v>
      </c>
      <c r="K130" s="7" t="n">
        <f aca="false">IF(ISNUMBER(CEG_Assets!$L$5),CEG_Assets!$L$5*K$4,INDEX(Prices!K:K,CEG_Assets!$AO$5)+FuelAdder*K$4)</f>
        <v>4.74754745376</v>
      </c>
      <c r="L130" s="7" t="n">
        <f aca="false">IF(ISNUMBER(CEG_Assets!$L$5),CEG_Assets!$L$5*L$4,INDEX(Prices!L:L,CEG_Assets!$AO$5)+FuelAdder*L$4)</f>
        <v>4.8424984028352</v>
      </c>
      <c r="M130" s="7" t="n">
        <f aca="false">IF(ISNUMBER(CEG_Assets!$L$5),CEG_Assets!$L$5*M$4,INDEX(Prices!M:M,CEG_Assets!$AO$5)+FuelAdder*M$4)</f>
        <v>4.93934837089191</v>
      </c>
      <c r="N130" s="7" t="n">
        <f aca="false">IF(ISNUMBER(CEG_Assets!$L$5),CEG_Assets!$L$5*N$4,INDEX(Prices!N:N,CEG_Assets!$AO$5)+FuelAdder*N$4)</f>
        <v>5.03813533830974</v>
      </c>
      <c r="O130" s="7" t="n">
        <f aca="false">IF(ISNUMBER(CEG_Assets!$L$5),CEG_Assets!$L$5*O$4,INDEX(Prices!O:O,CEG_Assets!$AO$5)+FuelAdder*O$4)</f>
        <v>5.13889804507594</v>
      </c>
      <c r="P130" s="7" t="n">
        <f aca="false">IF(ISNUMBER(CEG_Assets!$L$5),CEG_Assets!$L$5*P$4,INDEX(Prices!P:P,CEG_Assets!$AO$5)+FuelAdder*P$4)</f>
        <v>5.24167600597746</v>
      </c>
      <c r="Q130" s="7" t="n">
        <f aca="false">IF(ISNUMBER(CEG_Assets!$L$5),CEG_Assets!$L$5*Q$4,INDEX(Prices!Q:Q,CEG_Assets!$AO$5)+FuelAdder*Q$4)</f>
        <v>5.34650952609701</v>
      </c>
      <c r="R130" s="7" t="n">
        <f aca="false">IF(ISNUMBER(CEG_Assets!$L$5),CEG_Assets!$L$5*R$4,INDEX(Prices!R:R,CEG_Assets!$AO$5)+FuelAdder*R$4)</f>
        <v>5.45343971661895</v>
      </c>
      <c r="S130" s="7" t="n">
        <f aca="false">IF(ISNUMBER(CEG_Assets!$L$5),CEG_Assets!$L$5*S$4,INDEX(Prices!S:S,CEG_Assets!$AO$5)+FuelAdder*S$4)</f>
        <v>5.56250851095133</v>
      </c>
      <c r="T130" s="7" t="n">
        <f aca="false">IF(ISNUMBER(CEG_Assets!$L$5),CEG_Assets!$L$5*T$4,INDEX(Prices!T:T,CEG_Assets!$AO$5)+FuelAdder*T$4)</f>
        <v>5.67375868117035</v>
      </c>
      <c r="U130" s="7" t="n">
        <f aca="false">IF(ISNUMBER(CEG_Assets!$L$5),CEG_Assets!$L$5*U$4,INDEX(Prices!U:U,CEG_Assets!$AO$5)+FuelAdder*U$4)</f>
        <v>5.78723385479376</v>
      </c>
      <c r="V130" s="7" t="n">
        <f aca="false">IF(ISNUMBER(CEG_Assets!$L$5),CEG_Assets!$L$5*V$4,INDEX(Prices!V:V,CEG_Assets!$AO$5)+FuelAdder*V$4)</f>
        <v>5.90297853188963</v>
      </c>
      <c r="W130" s="7" t="n">
        <f aca="false">IF(ISNUMBER(CEG_Assets!$L$5),CEG_Assets!$L$5*W$4,INDEX(Prices!W:W,CEG_Assets!$AO$5)+FuelAdder*W$4)</f>
        <v>6.02103810252743</v>
      </c>
      <c r="X130" s="7" t="n">
        <f aca="false">IF(ISNUMBER(CEG_Assets!$L$5),CEG_Assets!$L$5*X$4,INDEX(Prices!X:X,CEG_Assets!$AO$5)+FuelAdder*X$4)</f>
        <v>6.14145886457798</v>
      </c>
      <c r="Y130" s="7" t="n">
        <f aca="false">IF(ISNUMBER(CEG_Assets!$L$5),CEG_Assets!$L$5*Y$4,INDEX(Prices!Y:Y,CEG_Assets!$AO$5)+FuelAdder*Y$4)</f>
        <v>6.26428804186954</v>
      </c>
      <c r="Z130" s="7" t="n">
        <f aca="false">IF(ISNUMBER(CEG_Assets!$L$5),CEG_Assets!$L$5*Z$4,INDEX(Prices!Z:Z,CEG_Assets!$AO$5)+FuelAdder*Z$4)</f>
        <v>6.38957380270693</v>
      </c>
      <c r="AA130" s="7" t="n">
        <f aca="false">IF(ISNUMBER(CEG_Assets!$L$5),CEG_Assets!$L$5*AA$4,INDEX(Prices!AA:AA,CEG_Assets!$AO$5)+FuelAdder*AA$4)</f>
        <v>6.51736527876106</v>
      </c>
      <c r="AB130" s="7" t="n">
        <f aca="false">IF(ISNUMBER(CEG_Assets!$L$5),CEG_Assets!$L$5*AB$4,INDEX(Prices!AB:AB,CEG_Assets!$AO$5)+FuelAdder*AB$4)</f>
        <v>6.64771258433629</v>
      </c>
      <c r="AC130" s="7" t="n">
        <f aca="false">IF(ISNUMBER(CEG_Assets!$L$5),CEG_Assets!$L$5*AC$4,INDEX(Prices!AC:AC,CEG_Assets!$AO$5)+FuelAdder*AC$4)</f>
        <v>6.78066683602301</v>
      </c>
      <c r="AD130" s="7" t="n">
        <f aca="false">IF(ISNUMBER(CEG_Assets!$L$5),CEG_Assets!$L$5*AD$4,INDEX(Prices!AD:AD,CEG_Assets!$AO$5)+FuelAdder*AD$4)</f>
        <v>6.91628017274347</v>
      </c>
      <c r="AE130" s="7" t="n">
        <f aca="false">IF(ISNUMBER(CEG_Assets!$L$5),CEG_Assets!$L$5*AE$4,INDEX(Prices!AE:AE,CEG_Assets!$AO$5)+FuelAdder*AE$4)</f>
        <v>7.05460577619834</v>
      </c>
      <c r="AF130" s="7" t="n">
        <f aca="false">IF(ISNUMBER(CEG_Assets!$L$5),CEG_Assets!$L$5*AF$4,INDEX(Prices!AF:AF,CEG_Assets!$AO$5)+FuelAdder*AF$4)</f>
        <v>7.19569789172231</v>
      </c>
      <c r="AG130" s="7" t="n">
        <f aca="false">IF(ISNUMBER(CEG_Assets!$L$5),CEG_Assets!$L$5*AG$4,INDEX(Prices!AG:AG,CEG_Assets!$AO$5)+FuelAdder*AG$4)</f>
        <v>7.33961184955676</v>
      </c>
      <c r="AH130" s="7" t="n">
        <f aca="false">IF(ISNUMBER(CEG_Assets!$L$5),CEG_Assets!$L$5*AH$4,INDEX(Prices!AH:AH,CEG_Assets!$AO$5)+FuelAdder*AH$4)</f>
        <v>7.48640408654789</v>
      </c>
      <c r="AI130" s="7" t="n">
        <f aca="false">IF(ISNUMBER(CEG_Assets!$L$5),CEG_Assets!$L$5*AI$4,INDEX(Prices!AI:AI,CEG_Assets!$AO$5)+FuelAdder*AI$4)</f>
        <v>7.63613216827885</v>
      </c>
      <c r="AJ130" s="7" t="n">
        <f aca="false">IF(ISNUMBER(CEG_Assets!$L$5),CEG_Assets!$L$5*AJ$4,INDEX(Prices!AJ:AJ,CEG_Assets!$AO$5)+FuelAdder*AJ$4)</f>
        <v>7.78885481164443</v>
      </c>
      <c r="AK130" s="7" t="n">
        <f aca="false">IF(ISNUMBER(CEG_Assets!$L$5),CEG_Assets!$L$5*AK$4,INDEX(Prices!AK:AK,CEG_Assets!$AO$5)+FuelAdder*AK$4)</f>
        <v>7.94463190787731</v>
      </c>
      <c r="AL130" s="7" t="n">
        <f aca="false">IF(ISNUMBER(CEG_Assets!$L$5),CEG_Assets!$L$5*AL$4,INDEX(Prices!AL:AL,CEG_Assets!$AO$5)+FuelAdder*AL$4)</f>
        <v>8.10352454603486</v>
      </c>
      <c r="AM130" s="7" t="n">
        <f aca="false">IF(ISNUMBER(CEG_Assets!$L$5),CEG_Assets!$L$5*AM$4,INDEX(Prices!AM:AM,CEG_Assets!$AO$5)+FuelAdder*AM$4)</f>
        <v>8.26559503695556</v>
      </c>
      <c r="AN130" s="7" t="n">
        <f aca="false">IF(ISNUMBER(CEG_Assets!$L$5),CEG_Assets!$L$5*AN$4,INDEX(Prices!AN:AN,CEG_Assets!$AO$5)+FuelAdder*AN$4)</f>
        <v>8.43090693769467</v>
      </c>
      <c r="AO130" s="7" t="n">
        <f aca="false">IF(ISNUMBER(CEG_Assets!$L$5),CEG_Assets!$L$5*AO$4,INDEX(Prices!AO:AO,CEG_Assets!$AO$5)+FuelAdder*AO$4)</f>
        <v>8.59952507644856</v>
      </c>
      <c r="AP130" s="7" t="n">
        <f aca="false">IF(ISNUMBER(CEG_Assets!$L$5),CEG_Assets!$L$5*AP$4,INDEX(Prices!AP:AP,CEG_Assets!$AO$5)+FuelAdder*AP$4)</f>
        <v>8.77151557797753</v>
      </c>
      <c r="AQ130" s="7" t="n">
        <f aca="false">IF(ISNUMBER(CEG_Assets!$L$5),CEG_Assets!$L$5*AQ$4,INDEX(Prices!AQ:AQ,CEG_Assets!$AO$5)+FuelAdder*AQ$4)</f>
        <v>8.94694588953709</v>
      </c>
      <c r="AR130" s="7" t="n">
        <f aca="false">IF(ISNUMBER(CEG_Assets!$L$5),CEG_Assets!$L$5*AR$4,INDEX(Prices!AR:AR,CEG_Assets!$AO$5)+FuelAdder*AR$4)</f>
        <v>9.12588480732783</v>
      </c>
      <c r="AS130" s="7" t="n">
        <f aca="false">IF(ISNUMBER(CEG_Assets!$L$5),CEG_Assets!$L$5*AS$4,INDEX(Prices!AS:AS,CEG_Assets!$AO$5)+FuelAdder*AS$4)</f>
        <v>9.30840250347438</v>
      </c>
    </row>
    <row r="131" customFormat="false" ht="15" hidden="false" customHeight="false" outlineLevel="0" collapsed="false">
      <c r="A131" s="6" t="s">
        <v>435</v>
      </c>
      <c r="B131" s="6" t="s">
        <v>436</v>
      </c>
      <c r="G131" s="7" t="n">
        <f aca="false">INDEX(Prices!G:G,CEG_Assets!$AN$5)*CEG_Assets!$J$5-CEG_Assets!$K$5*G130-CEG_Assets!$M$5*G$4</f>
        <v>64.152</v>
      </c>
      <c r="H131" s="7" t="n">
        <f aca="false">INDEX(Prices!H:H,CEG_Assets!$AN$5)*CEG_Assets!$J$5-CEG_Assets!$K$5*H130-CEG_Assets!$M$5*H$4</f>
        <v>65.043</v>
      </c>
      <c r="I131" s="7" t="n">
        <f aca="false">INDEX(Prices!I:I,CEG_Assets!$AN$5)*CEG_Assets!$J$5-CEG_Assets!$K$5*I130-CEG_Assets!$M$5*I$4</f>
        <v>59.6574626769</v>
      </c>
      <c r="J131" s="7" t="n">
        <f aca="false">INDEX(Prices!J:J,CEG_Assets!$AN$5)*CEG_Assets!$J$5-CEG_Assets!$K$5*J130-CEG_Assets!$M$5*J$4</f>
        <v>58.083823860876</v>
      </c>
      <c r="K131" s="7" t="n">
        <f aca="false">INDEX(Prices!K:K,CEG_Assets!$AN$5)*CEG_Assets!$J$5-CEG_Assets!$K$5*K130-CEG_Assets!$M$5*K$4</f>
        <v>59.2455003380935</v>
      </c>
      <c r="L131" s="7" t="n">
        <f aca="false">INDEX(Prices!L:L,CEG_Assets!$AN$5)*CEG_Assets!$J$5-CEG_Assets!$K$5*L130-CEG_Assets!$M$5*L$4</f>
        <v>60.4304103448554</v>
      </c>
      <c r="M131" s="7" t="n">
        <f aca="false">INDEX(Prices!M:M,CEG_Assets!$AN$5)*CEG_Assets!$J$5-CEG_Assets!$K$5*M130-CEG_Assets!$M$5*M$4</f>
        <v>61.6390185517525</v>
      </c>
      <c r="N131" s="7" t="n">
        <f aca="false">INDEX(Prices!N:N,CEG_Assets!$AN$5)*CEG_Assets!$J$5-CEG_Assets!$K$5*N130-CEG_Assets!$M$5*N$4</f>
        <v>62.8717989227876</v>
      </c>
      <c r="O131" s="7" t="n">
        <f aca="false">INDEX(Prices!O:O,CEG_Assets!$AN$5)*CEG_Assets!$J$5-CEG_Assets!$K$5*O130-CEG_Assets!$M$5*O$4</f>
        <v>64.1292349012433</v>
      </c>
      <c r="P131" s="7" t="n">
        <f aca="false">INDEX(Prices!P:P,CEG_Assets!$AN$5)*CEG_Assets!$J$5-CEG_Assets!$K$5*P130-CEG_Assets!$M$5*P$4</f>
        <v>65.4118195992682</v>
      </c>
      <c r="Q131" s="7" t="n">
        <f aca="false">INDEX(Prices!Q:Q,CEG_Assets!$AN$5)*CEG_Assets!$J$5-CEG_Assets!$K$5*Q130-CEG_Assets!$M$5*Q$4</f>
        <v>66.7200559912536</v>
      </c>
      <c r="R131" s="7" t="n">
        <f aca="false">INDEX(Prices!R:R,CEG_Assets!$AN$5)*CEG_Assets!$J$5-CEG_Assets!$K$5*R130-CEG_Assets!$M$5*R$4</f>
        <v>68.0544571110786</v>
      </c>
      <c r="S131" s="7" t="n">
        <f aca="false">INDEX(Prices!S:S,CEG_Assets!$AN$5)*CEG_Assets!$J$5-CEG_Assets!$K$5*S130-CEG_Assets!$M$5*S$4</f>
        <v>69.4155462533002</v>
      </c>
      <c r="T131" s="7" t="n">
        <f aca="false">INDEX(Prices!T:T,CEG_Assets!$AN$5)*CEG_Assets!$J$5-CEG_Assets!$K$5*T130-CEG_Assets!$M$5*T$4</f>
        <v>70.8038571783662</v>
      </c>
      <c r="U131" s="7" t="n">
        <f aca="false">INDEX(Prices!U:U,CEG_Assets!$AN$5)*CEG_Assets!$J$5-CEG_Assets!$K$5*U130-CEG_Assets!$M$5*U$4</f>
        <v>72.2199343219335</v>
      </c>
      <c r="V131" s="7" t="n">
        <f aca="false">INDEX(Prices!V:V,CEG_Assets!$AN$5)*CEG_Assets!$J$5-CEG_Assets!$K$5*V130-CEG_Assets!$M$5*V$4</f>
        <v>73.6643330083722</v>
      </c>
      <c r="W131" s="7" t="n">
        <f aca="false">INDEX(Prices!W:W,CEG_Assets!$AN$5)*CEG_Assets!$J$5-CEG_Assets!$K$5*W130-CEG_Assets!$M$5*W$4</f>
        <v>75.1376196685396</v>
      </c>
      <c r="X131" s="7" t="n">
        <f aca="false">INDEX(Prices!X:X,CEG_Assets!$AN$5)*CEG_Assets!$J$5-CEG_Assets!$K$5*X130-CEG_Assets!$M$5*X$4</f>
        <v>76.6403720619104</v>
      </c>
      <c r="Y131" s="7" t="n">
        <f aca="false">INDEX(Prices!Y:Y,CEG_Assets!$AN$5)*CEG_Assets!$J$5-CEG_Assets!$K$5*Y130-CEG_Assets!$M$5*Y$4</f>
        <v>78.1731795031486</v>
      </c>
      <c r="Z131" s="7" t="n">
        <f aca="false">INDEX(Prices!Z:Z,CEG_Assets!$AN$5)*CEG_Assets!$J$5-CEG_Assets!$K$5*Z130-CEG_Assets!$M$5*Z$4</f>
        <v>79.7366430932116</v>
      </c>
      <c r="AA131" s="7" t="n">
        <f aca="false">INDEX(Prices!AA:AA,CEG_Assets!$AN$5)*CEG_Assets!$J$5-CEG_Assets!$K$5*AA130-CEG_Assets!$M$5*AA$4</f>
        <v>81.3313759550758</v>
      </c>
      <c r="AB131" s="7" t="n">
        <f aca="false">INDEX(Prices!AB:AB,CEG_Assets!$AN$5)*CEG_Assets!$J$5-CEG_Assets!$K$5*AB130-CEG_Assets!$M$5*AB$4</f>
        <v>82.9580034741774</v>
      </c>
      <c r="AC131" s="7" t="n">
        <f aca="false">INDEX(Prices!AC:AC,CEG_Assets!$AN$5)*CEG_Assets!$J$5-CEG_Assets!$K$5*AC130-CEG_Assets!$M$5*AC$4</f>
        <v>84.6171635436609</v>
      </c>
      <c r="AD131" s="7" t="n">
        <f aca="false">INDEX(Prices!AD:AD,CEG_Assets!$AN$5)*CEG_Assets!$J$5-CEG_Assets!$K$5*AD130-CEG_Assets!$M$5*AD$4</f>
        <v>86.3095068145342</v>
      </c>
      <c r="AE131" s="7" t="n">
        <f aca="false">INDEX(Prices!AE:AE,CEG_Assets!$AN$5)*CEG_Assets!$J$5-CEG_Assets!$K$5*AE130-CEG_Assets!$M$5*AE$4</f>
        <v>88.0356969508248</v>
      </c>
      <c r="AF131" s="7" t="n">
        <f aca="false">INDEX(Prices!AF:AF,CEG_Assets!$AN$5)*CEG_Assets!$J$5-CEG_Assets!$K$5*AF130-CEG_Assets!$M$5*AF$4</f>
        <v>89.7964108898413</v>
      </c>
      <c r="AG131" s="7" t="n">
        <f aca="false">INDEX(Prices!AG:AG,CEG_Assets!$AN$5)*CEG_Assets!$J$5-CEG_Assets!$K$5*AG130-CEG_Assets!$M$5*AG$4</f>
        <v>91.5923391076381</v>
      </c>
      <c r="AH131" s="7" t="n">
        <f aca="false">INDEX(Prices!AH:AH,CEG_Assets!$AN$5)*CEG_Assets!$J$5-CEG_Assets!$K$5*AH130-CEG_Assets!$M$5*AH$4</f>
        <v>93.4241858897909</v>
      </c>
      <c r="AI131" s="7" t="n">
        <f aca="false">INDEX(Prices!AI:AI,CEG_Assets!$AN$5)*CEG_Assets!$J$5-CEG_Assets!$K$5*AI130-CEG_Assets!$M$5*AI$4</f>
        <v>95.2926696075867</v>
      </c>
      <c r="AJ131" s="7" t="n">
        <f aca="false">INDEX(Prices!AJ:AJ,CEG_Assets!$AN$5)*CEG_Assets!$J$5-CEG_Assets!$K$5*AJ130-CEG_Assets!$M$5*AJ$4</f>
        <v>97.1985229997385</v>
      </c>
      <c r="AK131" s="7" t="n">
        <f aca="false">INDEX(Prices!AK:AK,CEG_Assets!$AN$5)*CEG_Assets!$J$5-CEG_Assets!$K$5*AK130-CEG_Assets!$M$5*AK$4</f>
        <v>99.1424934597332</v>
      </c>
      <c r="AL131" s="7" t="n">
        <f aca="false">INDEX(Prices!AL:AL,CEG_Assets!$AN$5)*CEG_Assets!$J$5-CEG_Assets!$K$5*AL130-CEG_Assets!$M$5*AL$4</f>
        <v>101.125343328928</v>
      </c>
      <c r="AM131" s="7" t="n">
        <f aca="false">INDEX(Prices!AM:AM,CEG_Assets!$AN$5)*CEG_Assets!$J$5-CEG_Assets!$K$5*AM130-CEG_Assets!$M$5*AM$4</f>
        <v>103.147850195506</v>
      </c>
      <c r="AN131" s="7" t="n">
        <f aca="false">INDEX(Prices!AN:AN,CEG_Assets!$AN$5)*CEG_Assets!$J$5-CEG_Assets!$K$5*AN130-CEG_Assets!$M$5*AN$4</f>
        <v>105.210807199417</v>
      </c>
      <c r="AO131" s="7" t="n">
        <f aca="false">INDEX(Prices!AO:AO,CEG_Assets!$AN$5)*CEG_Assets!$J$5-CEG_Assets!$K$5*AO130-CEG_Assets!$M$5*AO$4</f>
        <v>107.315023343405</v>
      </c>
      <c r="AP131" s="7" t="n">
        <f aca="false">INDEX(Prices!AP:AP,CEG_Assets!$AN$5)*CEG_Assets!$J$5-CEG_Assets!$K$5*AP130-CEG_Assets!$M$5*AP$4</f>
        <v>109.461323810273</v>
      </c>
      <c r="AQ131" s="7" t="n">
        <f aca="false">INDEX(Prices!AQ:AQ,CEG_Assets!$AN$5)*CEG_Assets!$J$5-CEG_Assets!$K$5*AQ130-CEG_Assets!$M$5*AQ$4</f>
        <v>111.650550286478</v>
      </c>
      <c r="AR131" s="7" t="n">
        <f aca="false">INDEX(Prices!AR:AR,CEG_Assets!$AN$5)*CEG_Assets!$J$5-CEG_Assets!$K$5*AR130-CEG_Assets!$M$5*AR$4</f>
        <v>113.883561292208</v>
      </c>
      <c r="AS131" s="7" t="n">
        <f aca="false">INDEX(Prices!AS:AS,CEG_Assets!$AN$5)*CEG_Assets!$J$5-CEG_Assets!$K$5*AS130-CEG_Assets!$M$5*AS$4</f>
        <v>116.161232518052</v>
      </c>
    </row>
    <row r="132" customFormat="false" ht="15" hidden="false" customHeight="false" outlineLevel="0" collapsed="false">
      <c r="A132" s="6" t="s">
        <v>437</v>
      </c>
      <c r="B132" s="6" t="s">
        <v>438</v>
      </c>
      <c r="G132" s="47" t="n">
        <f aca="false">IF(CEG_Assets!$X$5=1,IF(G131&gt;0,1,0),1)</f>
        <v>1</v>
      </c>
      <c r="H132" s="47" t="n">
        <f aca="false">IF(CEG_Assets!$X$5=1,IF(H131&gt;0,1,0),1)</f>
        <v>1</v>
      </c>
      <c r="I132" s="47" t="n">
        <f aca="false">IF(CEG_Assets!$X$5=1,IF(I131&gt;0,1,0),1)</f>
        <v>1</v>
      </c>
      <c r="J132" s="47" t="n">
        <f aca="false">IF(CEG_Assets!$X$5=1,IF(J131&gt;0,1,0),1)</f>
        <v>1</v>
      </c>
      <c r="K132" s="47" t="n">
        <f aca="false">IF(CEG_Assets!$X$5=1,IF(K131&gt;0,1,0),1)</f>
        <v>1</v>
      </c>
      <c r="L132" s="47" t="n">
        <f aca="false">IF(CEG_Assets!$X$5=1,IF(L131&gt;0,1,0),1)</f>
        <v>1</v>
      </c>
      <c r="M132" s="47" t="n">
        <f aca="false">IF(CEG_Assets!$X$5=1,IF(M131&gt;0,1,0),1)</f>
        <v>1</v>
      </c>
      <c r="N132" s="47" t="n">
        <f aca="false">IF(CEG_Assets!$X$5=1,IF(N131&gt;0,1,0),1)</f>
        <v>1</v>
      </c>
      <c r="O132" s="47" t="n">
        <f aca="false">IF(CEG_Assets!$X$5=1,IF(O131&gt;0,1,0),1)</f>
        <v>1</v>
      </c>
      <c r="P132" s="47" t="n">
        <f aca="false">IF(CEG_Assets!$X$5=1,IF(P131&gt;0,1,0),1)</f>
        <v>1</v>
      </c>
      <c r="Q132" s="47" t="n">
        <f aca="false">IF(CEG_Assets!$X$5=1,IF(Q131&gt;0,1,0),1)</f>
        <v>1</v>
      </c>
      <c r="R132" s="47" t="n">
        <f aca="false">IF(CEG_Assets!$X$5=1,IF(R131&gt;0,1,0),1)</f>
        <v>1</v>
      </c>
      <c r="S132" s="47" t="n">
        <f aca="false">IF(CEG_Assets!$X$5=1,IF(S131&gt;0,1,0),1)</f>
        <v>1</v>
      </c>
      <c r="T132" s="47" t="n">
        <f aca="false">IF(CEG_Assets!$X$5=1,IF(T131&gt;0,1,0),1)</f>
        <v>1</v>
      </c>
      <c r="U132" s="47" t="n">
        <f aca="false">IF(CEG_Assets!$X$5=1,IF(U131&gt;0,1,0),1)</f>
        <v>1</v>
      </c>
      <c r="V132" s="47" t="n">
        <f aca="false">IF(CEG_Assets!$X$5=1,IF(V131&gt;0,1,0),1)</f>
        <v>1</v>
      </c>
      <c r="W132" s="47" t="n">
        <f aca="false">IF(CEG_Assets!$X$5=1,IF(W131&gt;0,1,0),1)</f>
        <v>1</v>
      </c>
      <c r="X132" s="47" t="n">
        <f aca="false">IF(CEG_Assets!$X$5=1,IF(X131&gt;0,1,0),1)</f>
        <v>1</v>
      </c>
      <c r="Y132" s="47" t="n">
        <f aca="false">IF(CEG_Assets!$X$5=1,IF(Y131&gt;0,1,0),1)</f>
        <v>1</v>
      </c>
      <c r="Z132" s="47" t="n">
        <f aca="false">IF(CEG_Assets!$X$5=1,IF(Z131&gt;0,1,0),1)</f>
        <v>1</v>
      </c>
      <c r="AA132" s="47" t="n">
        <f aca="false">IF(CEG_Assets!$X$5=1,IF(AA131&gt;0,1,0),1)</f>
        <v>1</v>
      </c>
      <c r="AB132" s="47" t="n">
        <f aca="false">IF(CEG_Assets!$X$5=1,IF(AB131&gt;0,1,0),1)</f>
        <v>1</v>
      </c>
      <c r="AC132" s="47" t="n">
        <f aca="false">IF(CEG_Assets!$X$5=1,IF(AC131&gt;0,1,0),1)</f>
        <v>1</v>
      </c>
      <c r="AD132" s="47" t="n">
        <f aca="false">IF(CEG_Assets!$X$5=1,IF(AD131&gt;0,1,0),1)</f>
        <v>1</v>
      </c>
      <c r="AE132" s="47" t="n">
        <f aca="false">IF(CEG_Assets!$X$5=1,IF(AE131&gt;0,1,0),1)</f>
        <v>1</v>
      </c>
      <c r="AF132" s="47" t="n">
        <f aca="false">IF(CEG_Assets!$X$5=1,IF(AF131&gt;0,1,0),1)</f>
        <v>1</v>
      </c>
      <c r="AG132" s="47" t="n">
        <f aca="false">IF(CEG_Assets!$X$5=1,IF(AG131&gt;0,1,0),1)</f>
        <v>1</v>
      </c>
      <c r="AH132" s="47" t="n">
        <f aca="false">IF(CEG_Assets!$X$5=1,IF(AH131&gt;0,1,0),1)</f>
        <v>1</v>
      </c>
      <c r="AI132" s="47" t="n">
        <f aca="false">IF(CEG_Assets!$X$5=1,IF(AI131&gt;0,1,0),1)</f>
        <v>1</v>
      </c>
      <c r="AJ132" s="47" t="n">
        <f aca="false">IF(CEG_Assets!$X$5=1,IF(AJ131&gt;0,1,0),1)</f>
        <v>1</v>
      </c>
      <c r="AK132" s="47" t="n">
        <f aca="false">IF(CEG_Assets!$X$5=1,IF(AK131&gt;0,1,0),1)</f>
        <v>1</v>
      </c>
      <c r="AL132" s="47" t="n">
        <f aca="false">IF(CEG_Assets!$X$5=1,IF(AL131&gt;0,1,0),1)</f>
        <v>1</v>
      </c>
      <c r="AM132" s="47" t="n">
        <f aca="false">IF(CEG_Assets!$X$5=1,IF(AM131&gt;0,1,0),1)</f>
        <v>1</v>
      </c>
      <c r="AN132" s="47" t="n">
        <f aca="false">IF(CEG_Assets!$X$5=1,IF(AN131&gt;0,1,0),1)</f>
        <v>1</v>
      </c>
      <c r="AO132" s="47" t="n">
        <f aca="false">IF(CEG_Assets!$X$5=1,IF(AO131&gt;0,1,0),1)</f>
        <v>1</v>
      </c>
      <c r="AP132" s="47" t="n">
        <f aca="false">IF(CEG_Assets!$X$5=1,IF(AP131&gt;0,1,0),1)</f>
        <v>1</v>
      </c>
      <c r="AQ132" s="47" t="n">
        <f aca="false">IF(CEG_Assets!$X$5=1,IF(AQ131&gt;0,1,0),1)</f>
        <v>1</v>
      </c>
      <c r="AR132" s="47" t="n">
        <f aca="false">IF(CEG_Assets!$X$5=1,IF(AR131&gt;0,1,0),1)</f>
        <v>1</v>
      </c>
      <c r="AS132" s="47" t="n">
        <f aca="false">IF(CEG_Assets!$X$5=1,IF(AS131&gt;0,1,0),1)</f>
        <v>1</v>
      </c>
    </row>
    <row r="133" customFormat="false" ht="15" hidden="false" customHeight="false" outlineLevel="0" collapsed="false">
      <c r="A133" s="6" t="s">
        <v>439</v>
      </c>
      <c r="B133" s="6" t="s">
        <v>440</v>
      </c>
      <c r="C133" s="9" t="n">
        <f aca="false">SUM(G133:AS133)</f>
        <v>52696.3731574192</v>
      </c>
      <c r="G133" s="8" t="n">
        <f aca="false">G128*INDEX(Prices!G:G,CEG_Assets!$AN$5)*CEG_Assets!$J$5*G132/1000000*(1+CEG_RevAdj)</f>
        <v>1576.3301136</v>
      </c>
      <c r="H133" s="8" t="n">
        <f aca="false">H128*INDEX(Prices!H:H,CEG_Assets!$AN$5)*CEG_Assets!$J$5*H132/1000000*(1+CEG_RevAdj)</f>
        <v>1598.2235874</v>
      </c>
      <c r="I133" s="8" t="n">
        <f aca="false">I128*INDEX(Prices!I:I,CEG_Assets!$AN$5)*CEG_Assets!$J$5*I132/1000000*(1+CEG_RevAdj)</f>
        <v>1465.89124140425</v>
      </c>
      <c r="J133" s="8" t="n">
        <f aca="false">J128*INDEX(Prices!J:J,CEG_Assets!$AN$5)*CEG_Assets!$J$5*J132/1000000*(1+CEG_RevAdj)</f>
        <v>1427.22410314467</v>
      </c>
      <c r="K133" s="8" t="n">
        <f aca="false">K128*INDEX(Prices!K:K,CEG_Assets!$AN$5)*CEG_Assets!$J$5*K132/1000000*(1+CEG_RevAdj)</f>
        <v>1455.76858520757</v>
      </c>
      <c r="L133" s="8" t="n">
        <f aca="false">L128*INDEX(Prices!L:L,CEG_Assets!$AN$5)*CEG_Assets!$J$5*L132/1000000*(1+CEG_RevAdj)</f>
        <v>1484.88395691172</v>
      </c>
      <c r="M133" s="8" t="n">
        <f aca="false">M128*INDEX(Prices!M:M,CEG_Assets!$AN$5)*CEG_Assets!$J$5*M132/1000000*(1+CEG_RevAdj)</f>
        <v>1514.58163604995</v>
      </c>
      <c r="N133" s="8" t="n">
        <f aca="false">N128*INDEX(Prices!N:N,CEG_Assets!$AN$5)*CEG_Assets!$J$5*N132/1000000*(1+CEG_RevAdj)</f>
        <v>1544.87326877095</v>
      </c>
      <c r="O133" s="8" t="n">
        <f aca="false">O128*INDEX(Prices!O:O,CEG_Assets!$AN$5)*CEG_Assets!$J$5*O132/1000000*(1+CEG_RevAdj)</f>
        <v>1575.77073414637</v>
      </c>
      <c r="P133" s="8" t="n">
        <f aca="false">P128*INDEX(Prices!P:P,CEG_Assets!$AN$5)*CEG_Assets!$J$5*P132/1000000*(1+CEG_RevAdj)</f>
        <v>1607.2861488293</v>
      </c>
      <c r="Q133" s="8" t="n">
        <f aca="false">Q128*INDEX(Prices!Q:Q,CEG_Assets!$AN$5)*CEG_Assets!$J$5*Q132/1000000*(1+CEG_RevAdj)</f>
        <v>1639.43187180588</v>
      </c>
      <c r="R133" s="8" t="n">
        <f aca="false">R128*INDEX(Prices!R:R,CEG_Assets!$AN$5)*CEG_Assets!$J$5*R132/1000000*(1+CEG_RevAdj)</f>
        <v>1672.220509242</v>
      </c>
      <c r="S133" s="8" t="n">
        <f aca="false">S128*INDEX(Prices!S:S,CEG_Assets!$AN$5)*CEG_Assets!$J$5*S132/1000000*(1+CEG_RevAdj)</f>
        <v>1705.66491942684</v>
      </c>
      <c r="T133" s="8" t="n">
        <f aca="false">T128*INDEX(Prices!T:T,CEG_Assets!$AN$5)*CEG_Assets!$J$5*T132/1000000*(1+CEG_RevAdj)</f>
        <v>1739.77821781538</v>
      </c>
      <c r="U133" s="8" t="n">
        <f aca="false">U128*INDEX(Prices!U:U,CEG_Assets!$AN$5)*CEG_Assets!$J$5*U132/1000000*(1+CEG_RevAdj)</f>
        <v>1774.57378217169</v>
      </c>
      <c r="V133" s="8" t="n">
        <f aca="false">V128*INDEX(Prices!V:V,CEG_Assets!$AN$5)*CEG_Assets!$J$5*V132/1000000*(1+CEG_RevAdj)</f>
        <v>1810.06525781512</v>
      </c>
      <c r="W133" s="8" t="n">
        <f aca="false">W128*INDEX(Prices!W:W,CEG_Assets!$AN$5)*CEG_Assets!$J$5*W132/1000000*(1+CEG_RevAdj)</f>
        <v>1846.26656297142</v>
      </c>
      <c r="X133" s="8" t="n">
        <f aca="false">X128*INDEX(Prices!X:X,CEG_Assets!$AN$5)*CEG_Assets!$J$5*X132/1000000*(1+CEG_RevAdj)</f>
        <v>1883.19189423085</v>
      </c>
      <c r="Y133" s="8" t="n">
        <f aca="false">Y128*INDEX(Prices!Y:Y,CEG_Assets!$AN$5)*CEG_Assets!$J$5*Y132/1000000*(1+CEG_RevAdj)</f>
        <v>1920.85573211547</v>
      </c>
      <c r="Z133" s="8" t="n">
        <f aca="false">Z128*INDEX(Prices!Z:Z,CEG_Assets!$AN$5)*CEG_Assets!$J$5*Z132/1000000*(1+CEG_RevAdj)</f>
        <v>1959.27284675778</v>
      </c>
      <c r="AA133" s="8" t="n">
        <f aca="false">AA128*INDEX(Prices!AA:AA,CEG_Assets!$AN$5)*CEG_Assets!$J$5*AA132/1000000*(1+CEG_RevAdj)</f>
        <v>1998.45830369293</v>
      </c>
      <c r="AB133" s="8" t="n">
        <f aca="false">AB128*INDEX(Prices!AB:AB,CEG_Assets!$AN$5)*CEG_Assets!$J$5*AB132/1000000*(1+CEG_RevAdj)</f>
        <v>2038.42746976679</v>
      </c>
      <c r="AC133" s="8" t="n">
        <f aca="false">AC128*INDEX(Prices!AC:AC,CEG_Assets!$AN$5)*CEG_Assets!$J$5*AC132/1000000*(1+CEG_RevAdj)</f>
        <v>2079.19601916213</v>
      </c>
      <c r="AD133" s="8" t="n">
        <f aca="false">AD128*INDEX(Prices!AD:AD,CEG_Assets!$AN$5)*CEG_Assets!$J$5*AD132/1000000*(1+CEG_RevAdj)</f>
        <v>2120.77993954537</v>
      </c>
      <c r="AE133" s="8" t="n">
        <f aca="false">AE128*INDEX(Prices!AE:AE,CEG_Assets!$AN$5)*CEG_Assets!$J$5*AE132/1000000*(1+CEG_RevAdj)</f>
        <v>2163.19553833628</v>
      </c>
      <c r="AF133" s="8" t="n">
        <f aca="false">AF128*INDEX(Prices!AF:AF,CEG_Assets!$AN$5)*CEG_Assets!$J$5*AF132/1000000*(1+CEG_RevAdj)</f>
        <v>2206.459449103</v>
      </c>
      <c r="AG133" s="8" t="n">
        <f aca="false">AG128*INDEX(Prices!AG:AG,CEG_Assets!$AN$5)*CEG_Assets!$J$5*AG132/1000000*(1+CEG_RevAdj)</f>
        <v>2250.58863808506</v>
      </c>
      <c r="AH133" s="8" t="n">
        <f aca="false">AH128*INDEX(Prices!AH:AH,CEG_Assets!$AN$5)*CEG_Assets!$J$5*AH132/1000000*(1+CEG_RevAdj)</f>
        <v>2295.60041084676</v>
      </c>
      <c r="AI133" s="8" t="n">
        <f aca="false">AI128*INDEX(Prices!AI:AI,CEG_Assets!$AN$5)*CEG_Assets!$J$5*AI132/1000000*(1+CEG_RevAdj)</f>
        <v>2341.5124190637</v>
      </c>
      <c r="AJ133" s="8" t="n">
        <f aca="false">AJ128*INDEX(Prices!AJ:AJ,CEG_Assets!$AN$5)*CEG_Assets!$J$5*AJ132/1000000*(1+CEG_RevAdj)</f>
        <v>0</v>
      </c>
      <c r="AK133" s="8" t="n">
        <f aca="false">AK128*INDEX(Prices!AK:AK,CEG_Assets!$AN$5)*CEG_Assets!$J$5*AK132/1000000*(1+CEG_RevAdj)</f>
        <v>0</v>
      </c>
      <c r="AL133" s="8" t="n">
        <f aca="false">AL128*INDEX(Prices!AL:AL,CEG_Assets!$AN$5)*CEG_Assets!$J$5*AL132/1000000*(1+CEG_RevAdj)</f>
        <v>0</v>
      </c>
      <c r="AM133" s="8" t="n">
        <f aca="false">AM128*INDEX(Prices!AM:AM,CEG_Assets!$AN$5)*CEG_Assets!$J$5*AM132/1000000*(1+CEG_RevAdj)</f>
        <v>0</v>
      </c>
      <c r="AN133" s="8" t="n">
        <f aca="false">AN128*INDEX(Prices!AN:AN,CEG_Assets!$AN$5)*CEG_Assets!$J$5*AN132/1000000*(1+CEG_RevAdj)</f>
        <v>0</v>
      </c>
      <c r="AO133" s="8" t="n">
        <f aca="false">AO128*INDEX(Prices!AO:AO,CEG_Assets!$AN$5)*CEG_Assets!$J$5*AO132/1000000*(1+CEG_RevAdj)</f>
        <v>0</v>
      </c>
      <c r="AP133" s="8" t="n">
        <f aca="false">AP128*INDEX(Prices!AP:AP,CEG_Assets!$AN$5)*CEG_Assets!$J$5*AP132/1000000*(1+CEG_RevAdj)</f>
        <v>0</v>
      </c>
      <c r="AQ133" s="8" t="n">
        <f aca="false">AQ128*INDEX(Prices!AQ:AQ,CEG_Assets!$AN$5)*CEG_Assets!$J$5*AQ132/1000000*(1+CEG_RevAdj)</f>
        <v>0</v>
      </c>
      <c r="AR133" s="8" t="n">
        <f aca="false">AR128*INDEX(Prices!AR:AR,CEG_Assets!$AN$5)*CEG_Assets!$J$5*AR132/1000000*(1+CEG_RevAdj)</f>
        <v>0</v>
      </c>
      <c r="AS133" s="8" t="n">
        <f aca="false">AS128*INDEX(Prices!AS:AS,CEG_Assets!$AN$5)*CEG_Assets!$J$5*AS132/1000000*(1+CEG_RevAdj)</f>
        <v>0</v>
      </c>
    </row>
    <row r="134" customFormat="false" ht="15" hidden="false" customHeight="false" outlineLevel="0" collapsed="false">
      <c r="A134" s="6" t="s">
        <v>441</v>
      </c>
      <c r="B134" s="6" t="s">
        <v>442</v>
      </c>
      <c r="C134" s="9" t="n">
        <f aca="false">SUM(G134:AS134)</f>
        <v>4527.67638324933</v>
      </c>
      <c r="G134" s="8" t="n">
        <f aca="false">(CEG_Assets!$D$5-G127)*INDEX(Prices!G:G,CEG_Assets!$AP$5)*365*CEG_Assets!$T$5*G126/1000000*(1+CEG_RevAdj)</f>
        <v>116.71605</v>
      </c>
      <c r="H134" s="8" t="n">
        <f aca="false">(CEG_Assets!$D$5-H127)*INDEX(Prices!H:H,CEG_Assets!$AP$5)*365*CEG_Assets!$T$5*H126/1000000*(1+CEG_RevAdj)</f>
        <v>119.050371</v>
      </c>
      <c r="I134" s="8" t="n">
        <f aca="false">(CEG_Assets!$D$5-I127)*INDEX(Prices!I:I,CEG_Assets!$AP$5)*365*CEG_Assets!$T$5*I126/1000000*(1+CEG_RevAdj)</f>
        <v>121.43137842</v>
      </c>
      <c r="J134" s="8" t="n">
        <f aca="false">(CEG_Assets!$D$5-J127)*INDEX(Prices!J:J,CEG_Assets!$AP$5)*365*CEG_Assets!$T$5*J126/1000000*(1+CEG_RevAdj)</f>
        <v>123.8600059884</v>
      </c>
      <c r="K134" s="8" t="n">
        <f aca="false">(CEG_Assets!$D$5-K127)*INDEX(Prices!K:K,CEG_Assets!$AP$5)*365*CEG_Assets!$T$5*K126/1000000*(1+CEG_RevAdj)</f>
        <v>126.337206108168</v>
      </c>
      <c r="L134" s="8" t="n">
        <f aca="false">(CEG_Assets!$D$5-L127)*INDEX(Prices!L:L,CEG_Assets!$AP$5)*365*CEG_Assets!$T$5*L126/1000000*(1+CEG_RevAdj)</f>
        <v>128.863950230331</v>
      </c>
      <c r="M134" s="8" t="n">
        <f aca="false">(CEG_Assets!$D$5-M127)*INDEX(Prices!M:M,CEG_Assets!$AP$5)*365*CEG_Assets!$T$5*M126/1000000*(1+CEG_RevAdj)</f>
        <v>131.441229234938</v>
      </c>
      <c r="N134" s="8" t="n">
        <f aca="false">(CEG_Assets!$D$5-N127)*INDEX(Prices!N:N,CEG_Assets!$AP$5)*365*CEG_Assets!$T$5*N126/1000000*(1+CEG_RevAdj)</f>
        <v>134.070053819637</v>
      </c>
      <c r="O134" s="8" t="n">
        <f aca="false">(CEG_Assets!$D$5-O127)*INDEX(Prices!O:O,CEG_Assets!$AP$5)*365*CEG_Assets!$T$5*O126/1000000*(1+CEG_RevAdj)</f>
        <v>136.75145489603</v>
      </c>
      <c r="P134" s="8" t="n">
        <f aca="false">(CEG_Assets!$D$5-P127)*INDEX(Prices!P:P,CEG_Assets!$AP$5)*365*CEG_Assets!$T$5*P126/1000000*(1+CEG_RevAdj)</f>
        <v>139.48648399395</v>
      </c>
      <c r="Q134" s="8" t="n">
        <f aca="false">(CEG_Assets!$D$5-Q127)*INDEX(Prices!Q:Q,CEG_Assets!$AP$5)*365*CEG_Assets!$T$5*Q126/1000000*(1+CEG_RevAdj)</f>
        <v>142.276213673829</v>
      </c>
      <c r="R134" s="8" t="n">
        <f aca="false">(CEG_Assets!$D$5-R127)*INDEX(Prices!R:R,CEG_Assets!$AP$5)*365*CEG_Assets!$T$5*R126/1000000*(1+CEG_RevAdj)</f>
        <v>145.121737947306</v>
      </c>
      <c r="S134" s="8" t="n">
        <f aca="false">(CEG_Assets!$D$5-S127)*INDEX(Prices!S:S,CEG_Assets!$AP$5)*365*CEG_Assets!$T$5*S126/1000000*(1+CEG_RevAdj)</f>
        <v>148.024172706252</v>
      </c>
      <c r="T134" s="8" t="n">
        <f aca="false">(CEG_Assets!$D$5-T127)*INDEX(Prices!T:T,CEG_Assets!$AP$5)*365*CEG_Assets!$T$5*T126/1000000*(1+CEG_RevAdj)</f>
        <v>150.984656160377</v>
      </c>
      <c r="U134" s="8" t="n">
        <f aca="false">(CEG_Assets!$D$5-U127)*INDEX(Prices!U:U,CEG_Assets!$AP$5)*365*CEG_Assets!$T$5*U126/1000000*(1+CEG_RevAdj)</f>
        <v>154.004349283584</v>
      </c>
      <c r="V134" s="8" t="n">
        <f aca="false">(CEG_Assets!$D$5-V127)*INDEX(Prices!V:V,CEG_Assets!$AP$5)*365*CEG_Assets!$T$5*V126/1000000*(1+CEG_RevAdj)</f>
        <v>157.084436269256</v>
      </c>
      <c r="W134" s="8" t="n">
        <f aca="false">(CEG_Assets!$D$5-W127)*INDEX(Prices!W:W,CEG_Assets!$AP$5)*365*CEG_Assets!$T$5*W126/1000000*(1+CEG_RevAdj)</f>
        <v>160.226124994641</v>
      </c>
      <c r="X134" s="8" t="n">
        <f aca="false">(CEG_Assets!$D$5-X127)*INDEX(Prices!X:X,CEG_Assets!$AP$5)*365*CEG_Assets!$T$5*X126/1000000*(1+CEG_RevAdj)</f>
        <v>163.430647494534</v>
      </c>
      <c r="Y134" s="8" t="n">
        <f aca="false">(CEG_Assets!$D$5-Y127)*INDEX(Prices!Y:Y,CEG_Assets!$AP$5)*365*CEG_Assets!$T$5*Y126/1000000*(1+CEG_RevAdj)</f>
        <v>166.699260444425</v>
      </c>
      <c r="Z134" s="8" t="n">
        <f aca="false">(CEG_Assets!$D$5-Z127)*INDEX(Prices!Z:Z,CEG_Assets!$AP$5)*365*CEG_Assets!$T$5*Z126/1000000*(1+CEG_RevAdj)</f>
        <v>170.033245653313</v>
      </c>
      <c r="AA134" s="8" t="n">
        <f aca="false">(CEG_Assets!$D$5-AA127)*INDEX(Prices!AA:AA,CEG_Assets!$AP$5)*365*CEG_Assets!$T$5*AA126/1000000*(1+CEG_RevAdj)</f>
        <v>173.433910566379</v>
      </c>
      <c r="AB134" s="8" t="n">
        <f aca="false">(CEG_Assets!$D$5-AB127)*INDEX(Prices!AB:AB,CEG_Assets!$AP$5)*365*CEG_Assets!$T$5*AB126/1000000*(1+CEG_RevAdj)</f>
        <v>176.902588777707</v>
      </c>
      <c r="AC134" s="8" t="n">
        <f aca="false">(CEG_Assets!$D$5-AC127)*INDEX(Prices!AC:AC,CEG_Assets!$AP$5)*365*CEG_Assets!$T$5*AC126/1000000*(1+CEG_RevAdj)</f>
        <v>180.440640553261</v>
      </c>
      <c r="AD134" s="8" t="n">
        <f aca="false">(CEG_Assets!$D$5-AD127)*INDEX(Prices!AD:AD,CEG_Assets!$AP$5)*365*CEG_Assets!$T$5*AD126/1000000*(1+CEG_RevAdj)</f>
        <v>184.049453364326</v>
      </c>
      <c r="AE134" s="8" t="n">
        <f aca="false">(CEG_Assets!$D$5-AE127)*INDEX(Prices!AE:AE,CEG_Assets!$AP$5)*365*CEG_Assets!$T$5*AE126/1000000*(1+CEG_RevAdj)</f>
        <v>187.730442431613</v>
      </c>
      <c r="AF134" s="8" t="n">
        <f aca="false">(CEG_Assets!$D$5-AF127)*INDEX(Prices!AF:AF,CEG_Assets!$AP$5)*365*CEG_Assets!$T$5*AF126/1000000*(1+CEG_RevAdj)</f>
        <v>191.485051280245</v>
      </c>
      <c r="AG134" s="8" t="n">
        <f aca="false">(CEG_Assets!$D$5-AG127)*INDEX(Prices!AG:AG,CEG_Assets!$AP$5)*365*CEG_Assets!$T$5*AG126/1000000*(1+CEG_RevAdj)</f>
        <v>195.31475230585</v>
      </c>
      <c r="AH134" s="8" t="n">
        <f aca="false">(CEG_Assets!$D$5-AH127)*INDEX(Prices!AH:AH,CEG_Assets!$AP$5)*365*CEG_Assets!$T$5*AH126/1000000*(1+CEG_RevAdj)</f>
        <v>199.221047351967</v>
      </c>
      <c r="AI134" s="8" t="n">
        <f aca="false">(CEG_Assets!$D$5-AI127)*INDEX(Prices!AI:AI,CEG_Assets!$AP$5)*365*CEG_Assets!$T$5*AI126/1000000*(1+CEG_RevAdj)</f>
        <v>203.205468299007</v>
      </c>
      <c r="AJ134" s="8" t="n">
        <f aca="false">(CEG_Assets!$D$5-AJ127)*INDEX(Prices!AJ:AJ,CEG_Assets!$AP$5)*365*CEG_Assets!$T$5*AJ126/1000000*(1+CEG_RevAdj)</f>
        <v>0</v>
      </c>
      <c r="AK134" s="8" t="n">
        <f aca="false">(CEG_Assets!$D$5-AK127)*INDEX(Prices!AK:AK,CEG_Assets!$AP$5)*365*CEG_Assets!$T$5*AK126/1000000*(1+CEG_RevAdj)</f>
        <v>0</v>
      </c>
      <c r="AL134" s="8" t="n">
        <f aca="false">(CEG_Assets!$D$5-AL127)*INDEX(Prices!AL:AL,CEG_Assets!$AP$5)*365*CEG_Assets!$T$5*AL126/1000000*(1+CEG_RevAdj)</f>
        <v>0</v>
      </c>
      <c r="AM134" s="8" t="n">
        <f aca="false">(CEG_Assets!$D$5-AM127)*INDEX(Prices!AM:AM,CEG_Assets!$AP$5)*365*CEG_Assets!$T$5*AM126/1000000*(1+CEG_RevAdj)</f>
        <v>0</v>
      </c>
      <c r="AN134" s="8" t="n">
        <f aca="false">(CEG_Assets!$D$5-AN127)*INDEX(Prices!AN:AN,CEG_Assets!$AP$5)*365*CEG_Assets!$T$5*AN126/1000000*(1+CEG_RevAdj)</f>
        <v>0</v>
      </c>
      <c r="AO134" s="8" t="n">
        <f aca="false">(CEG_Assets!$D$5-AO127)*INDEX(Prices!AO:AO,CEG_Assets!$AP$5)*365*CEG_Assets!$T$5*AO126/1000000*(1+CEG_RevAdj)</f>
        <v>0</v>
      </c>
      <c r="AP134" s="8" t="n">
        <f aca="false">(CEG_Assets!$D$5-AP127)*INDEX(Prices!AP:AP,CEG_Assets!$AP$5)*365*CEG_Assets!$T$5*AP126/1000000*(1+CEG_RevAdj)</f>
        <v>0</v>
      </c>
      <c r="AQ134" s="8" t="n">
        <f aca="false">(CEG_Assets!$D$5-AQ127)*INDEX(Prices!AQ:AQ,CEG_Assets!$AP$5)*365*CEG_Assets!$T$5*AQ126/1000000*(1+CEG_RevAdj)</f>
        <v>0</v>
      </c>
      <c r="AR134" s="8" t="n">
        <f aca="false">(CEG_Assets!$D$5-AR127)*INDEX(Prices!AR:AR,CEG_Assets!$AP$5)*365*CEG_Assets!$T$5*AR126/1000000*(1+CEG_RevAdj)</f>
        <v>0</v>
      </c>
      <c r="AS134" s="8" t="n">
        <f aca="false">(CEG_Assets!$D$5-AS127)*INDEX(Prices!AS:AS,CEG_Assets!$AP$5)*365*CEG_Assets!$T$5*AS126/1000000*(1+CEG_RevAdj)</f>
        <v>0</v>
      </c>
    </row>
    <row r="135" customFormat="false" ht="15" hidden="false" customHeight="false" outlineLevel="0" collapsed="false">
      <c r="A135" s="6" t="s">
        <v>443</v>
      </c>
      <c r="B135" s="6" t="s">
        <v>444</v>
      </c>
      <c r="C135" s="9" t="n">
        <f aca="false">SUM(G135:AS135)</f>
        <v>0</v>
      </c>
      <c r="G135" s="8" t="n">
        <f aca="false">G129*(CEG_Assets!$AD$5+CEG_PPAAdj)/1000000*(1+CEG_RevAdj)</f>
        <v>0</v>
      </c>
      <c r="H135" s="8" t="n">
        <f aca="false">H129*(CEG_Assets!$AD$5+CEG_PPAAdj)/1000000*(1+CEG_RevAdj)</f>
        <v>0</v>
      </c>
      <c r="I135" s="8" t="n">
        <f aca="false">I129*(CEG_Assets!$AD$5+CEG_PPAAdj)/1000000*(1+CEG_RevAdj)</f>
        <v>0</v>
      </c>
      <c r="J135" s="8" t="n">
        <f aca="false">J129*(CEG_Assets!$AD$5+CEG_PPAAdj)/1000000*(1+CEG_RevAdj)</f>
        <v>0</v>
      </c>
      <c r="K135" s="8" t="n">
        <f aca="false">K129*(CEG_Assets!$AD$5+CEG_PPAAdj)/1000000*(1+CEG_RevAdj)</f>
        <v>0</v>
      </c>
      <c r="L135" s="8" t="n">
        <f aca="false">L129*(CEG_Assets!$AD$5+CEG_PPAAdj)/1000000*(1+CEG_RevAdj)</f>
        <v>0</v>
      </c>
      <c r="M135" s="8" t="n">
        <f aca="false">M129*(CEG_Assets!$AD$5+CEG_PPAAdj)/1000000*(1+CEG_RevAdj)</f>
        <v>0</v>
      </c>
      <c r="N135" s="8" t="n">
        <f aca="false">N129*(CEG_Assets!$AD$5+CEG_PPAAdj)/1000000*(1+CEG_RevAdj)</f>
        <v>0</v>
      </c>
      <c r="O135" s="8" t="n">
        <f aca="false">O129*(CEG_Assets!$AD$5+CEG_PPAAdj)/1000000*(1+CEG_RevAdj)</f>
        <v>0</v>
      </c>
      <c r="P135" s="8" t="n">
        <f aca="false">P129*(CEG_Assets!$AD$5+CEG_PPAAdj)/1000000*(1+CEG_RevAdj)</f>
        <v>0</v>
      </c>
      <c r="Q135" s="8" t="n">
        <f aca="false">Q129*(CEG_Assets!$AD$5+CEG_PPAAdj)/1000000*(1+CEG_RevAdj)</f>
        <v>0</v>
      </c>
      <c r="R135" s="8" t="n">
        <f aca="false">R129*(CEG_Assets!$AD$5+CEG_PPAAdj)/1000000*(1+CEG_RevAdj)</f>
        <v>0</v>
      </c>
      <c r="S135" s="8" t="n">
        <f aca="false">S129*(CEG_Assets!$AD$5+CEG_PPAAdj)/1000000*(1+CEG_RevAdj)</f>
        <v>0</v>
      </c>
      <c r="T135" s="8" t="n">
        <f aca="false">T129*(CEG_Assets!$AD$5+CEG_PPAAdj)/1000000*(1+CEG_RevAdj)</f>
        <v>0</v>
      </c>
      <c r="U135" s="8" t="n">
        <f aca="false">U129*(CEG_Assets!$AD$5+CEG_PPAAdj)/1000000*(1+CEG_RevAdj)</f>
        <v>0</v>
      </c>
      <c r="V135" s="8" t="n">
        <f aca="false">V129*(CEG_Assets!$AD$5+CEG_PPAAdj)/1000000*(1+CEG_RevAdj)</f>
        <v>0</v>
      </c>
      <c r="W135" s="8" t="n">
        <f aca="false">W129*(CEG_Assets!$AD$5+CEG_PPAAdj)/1000000*(1+CEG_RevAdj)</f>
        <v>0</v>
      </c>
      <c r="X135" s="8" t="n">
        <f aca="false">X129*(CEG_Assets!$AD$5+CEG_PPAAdj)/1000000*(1+CEG_RevAdj)</f>
        <v>0</v>
      </c>
      <c r="Y135" s="8" t="n">
        <f aca="false">Y129*(CEG_Assets!$AD$5+CEG_PPAAdj)/1000000*(1+CEG_RevAdj)</f>
        <v>0</v>
      </c>
      <c r="Z135" s="8" t="n">
        <f aca="false">Z129*(CEG_Assets!$AD$5+CEG_PPAAdj)/1000000*(1+CEG_RevAdj)</f>
        <v>0</v>
      </c>
      <c r="AA135" s="8" t="n">
        <f aca="false">AA129*(CEG_Assets!$AD$5+CEG_PPAAdj)/1000000*(1+CEG_RevAdj)</f>
        <v>0</v>
      </c>
      <c r="AB135" s="8" t="n">
        <f aca="false">AB129*(CEG_Assets!$AD$5+CEG_PPAAdj)/1000000*(1+CEG_RevAdj)</f>
        <v>0</v>
      </c>
      <c r="AC135" s="8" t="n">
        <f aca="false">AC129*(CEG_Assets!$AD$5+CEG_PPAAdj)/1000000*(1+CEG_RevAdj)</f>
        <v>0</v>
      </c>
      <c r="AD135" s="8" t="n">
        <f aca="false">AD129*(CEG_Assets!$AD$5+CEG_PPAAdj)/1000000*(1+CEG_RevAdj)</f>
        <v>0</v>
      </c>
      <c r="AE135" s="8" t="n">
        <f aca="false">AE129*(CEG_Assets!$AD$5+CEG_PPAAdj)/1000000*(1+CEG_RevAdj)</f>
        <v>0</v>
      </c>
      <c r="AF135" s="8" t="n">
        <f aca="false">AF129*(CEG_Assets!$AD$5+CEG_PPAAdj)/1000000*(1+CEG_RevAdj)</f>
        <v>0</v>
      </c>
      <c r="AG135" s="8" t="n">
        <f aca="false">AG129*(CEG_Assets!$AD$5+CEG_PPAAdj)/1000000*(1+CEG_RevAdj)</f>
        <v>0</v>
      </c>
      <c r="AH135" s="8" t="n">
        <f aca="false">AH129*(CEG_Assets!$AD$5+CEG_PPAAdj)/1000000*(1+CEG_RevAdj)</f>
        <v>0</v>
      </c>
      <c r="AI135" s="8" t="n">
        <f aca="false">AI129*(CEG_Assets!$AD$5+CEG_PPAAdj)/1000000*(1+CEG_RevAdj)</f>
        <v>0</v>
      </c>
      <c r="AJ135" s="8" t="n">
        <f aca="false">AJ129*(CEG_Assets!$AD$5+CEG_PPAAdj)/1000000*(1+CEG_RevAdj)</f>
        <v>0</v>
      </c>
      <c r="AK135" s="8" t="n">
        <f aca="false">AK129*(CEG_Assets!$AD$5+CEG_PPAAdj)/1000000*(1+CEG_RevAdj)</f>
        <v>0</v>
      </c>
      <c r="AL135" s="8" t="n">
        <f aca="false">AL129*(CEG_Assets!$AD$5+CEG_PPAAdj)/1000000*(1+CEG_RevAdj)</f>
        <v>0</v>
      </c>
      <c r="AM135" s="8" t="n">
        <f aca="false">AM129*(CEG_Assets!$AD$5+CEG_PPAAdj)/1000000*(1+CEG_RevAdj)</f>
        <v>0</v>
      </c>
      <c r="AN135" s="8" t="n">
        <f aca="false">AN129*(CEG_Assets!$AD$5+CEG_PPAAdj)/1000000*(1+CEG_RevAdj)</f>
        <v>0</v>
      </c>
      <c r="AO135" s="8" t="n">
        <f aca="false">AO129*(CEG_Assets!$AD$5+CEG_PPAAdj)/1000000*(1+CEG_RevAdj)</f>
        <v>0</v>
      </c>
      <c r="AP135" s="8" t="n">
        <f aca="false">AP129*(CEG_Assets!$AD$5+CEG_PPAAdj)/1000000*(1+CEG_RevAdj)</f>
        <v>0</v>
      </c>
      <c r="AQ135" s="8" t="n">
        <f aca="false">AQ129*(CEG_Assets!$AD$5+CEG_PPAAdj)/1000000*(1+CEG_RevAdj)</f>
        <v>0</v>
      </c>
      <c r="AR135" s="8" t="n">
        <f aca="false">AR129*(CEG_Assets!$AD$5+CEG_PPAAdj)/1000000*(1+CEG_RevAdj)</f>
        <v>0</v>
      </c>
      <c r="AS135" s="8" t="n">
        <f aca="false">AS129*(CEG_Assets!$AD$5+CEG_PPAAdj)/1000000*(1+CEG_RevAdj)</f>
        <v>0</v>
      </c>
    </row>
    <row r="136" customFormat="false" ht="15" hidden="false" customHeight="false" outlineLevel="0" collapsed="false">
      <c r="A136" s="6" t="s">
        <v>445</v>
      </c>
      <c r="B136" s="6" t="s">
        <v>446</v>
      </c>
      <c r="C136" s="9" t="n">
        <f aca="false">SUM(G136:AS136)</f>
        <v>1326.8772</v>
      </c>
      <c r="G136" s="8" t="n">
        <f aca="false">IF(G$3&lt;=CEG_Assets!$V$5,G128*CEG_Assets!$U$5,0)/1000000*(1+CEG_RevAdj)</f>
        <v>442.2924</v>
      </c>
      <c r="H136" s="8" t="n">
        <f aca="false">IF(H$3&lt;=CEG_Assets!$V$5,H128*CEG_Assets!$U$5,0)/1000000*(1+CEG_RevAdj)</f>
        <v>442.2924</v>
      </c>
      <c r="I136" s="8" t="n">
        <f aca="false">IF(I$3&lt;=CEG_Assets!$V$5,I128*CEG_Assets!$U$5,0)/1000000*(1+CEG_RevAdj)</f>
        <v>442.2924</v>
      </c>
      <c r="J136" s="8" t="n">
        <f aca="false">IF(J$3&lt;=CEG_Assets!$V$5,J128*CEG_Assets!$U$5,0)/1000000*(1+CEG_RevAdj)</f>
        <v>0</v>
      </c>
      <c r="K136" s="8" t="n">
        <f aca="false">IF(K$3&lt;=CEG_Assets!$V$5,K128*CEG_Assets!$U$5,0)/1000000*(1+CEG_RevAdj)</f>
        <v>0</v>
      </c>
      <c r="L136" s="8" t="n">
        <f aca="false">IF(L$3&lt;=CEG_Assets!$V$5,L128*CEG_Assets!$U$5,0)/1000000*(1+CEG_RevAdj)</f>
        <v>0</v>
      </c>
      <c r="M136" s="8" t="n">
        <f aca="false">IF(M$3&lt;=CEG_Assets!$V$5,M128*CEG_Assets!$U$5,0)/1000000*(1+CEG_RevAdj)</f>
        <v>0</v>
      </c>
      <c r="N136" s="8" t="n">
        <f aca="false">IF(N$3&lt;=CEG_Assets!$V$5,N128*CEG_Assets!$U$5,0)/1000000*(1+CEG_RevAdj)</f>
        <v>0</v>
      </c>
      <c r="O136" s="8" t="n">
        <f aca="false">IF(O$3&lt;=CEG_Assets!$V$5,O128*CEG_Assets!$U$5,0)/1000000*(1+CEG_RevAdj)</f>
        <v>0</v>
      </c>
      <c r="P136" s="8" t="n">
        <f aca="false">IF(P$3&lt;=CEG_Assets!$V$5,P128*CEG_Assets!$U$5,0)/1000000*(1+CEG_RevAdj)</f>
        <v>0</v>
      </c>
      <c r="Q136" s="8" t="n">
        <f aca="false">IF(Q$3&lt;=CEG_Assets!$V$5,Q128*CEG_Assets!$U$5,0)/1000000*(1+CEG_RevAdj)</f>
        <v>0</v>
      </c>
      <c r="R136" s="8" t="n">
        <f aca="false">IF(R$3&lt;=CEG_Assets!$V$5,R128*CEG_Assets!$U$5,0)/1000000*(1+CEG_RevAdj)</f>
        <v>0</v>
      </c>
      <c r="S136" s="8" t="n">
        <f aca="false">IF(S$3&lt;=CEG_Assets!$V$5,S128*CEG_Assets!$U$5,0)/1000000*(1+CEG_RevAdj)</f>
        <v>0</v>
      </c>
      <c r="T136" s="8" t="n">
        <f aca="false">IF(T$3&lt;=CEG_Assets!$V$5,T128*CEG_Assets!$U$5,0)/1000000*(1+CEG_RevAdj)</f>
        <v>0</v>
      </c>
      <c r="U136" s="8" t="n">
        <f aca="false">IF(U$3&lt;=CEG_Assets!$V$5,U128*CEG_Assets!$U$5,0)/1000000*(1+CEG_RevAdj)</f>
        <v>0</v>
      </c>
      <c r="V136" s="8" t="n">
        <f aca="false">IF(V$3&lt;=CEG_Assets!$V$5,V128*CEG_Assets!$U$5,0)/1000000*(1+CEG_RevAdj)</f>
        <v>0</v>
      </c>
      <c r="W136" s="8" t="n">
        <f aca="false">IF(W$3&lt;=CEG_Assets!$V$5,W128*CEG_Assets!$U$5,0)/1000000*(1+CEG_RevAdj)</f>
        <v>0</v>
      </c>
      <c r="X136" s="8" t="n">
        <f aca="false">IF(X$3&lt;=CEG_Assets!$V$5,X128*CEG_Assets!$U$5,0)/1000000*(1+CEG_RevAdj)</f>
        <v>0</v>
      </c>
      <c r="Y136" s="8" t="n">
        <f aca="false">IF(Y$3&lt;=CEG_Assets!$V$5,Y128*CEG_Assets!$U$5,0)/1000000*(1+CEG_RevAdj)</f>
        <v>0</v>
      </c>
      <c r="Z136" s="8" t="n">
        <f aca="false">IF(Z$3&lt;=CEG_Assets!$V$5,Z128*CEG_Assets!$U$5,0)/1000000*(1+CEG_RevAdj)</f>
        <v>0</v>
      </c>
      <c r="AA136" s="8" t="n">
        <f aca="false">IF(AA$3&lt;=CEG_Assets!$V$5,AA128*CEG_Assets!$U$5,0)/1000000*(1+CEG_RevAdj)</f>
        <v>0</v>
      </c>
      <c r="AB136" s="8" t="n">
        <f aca="false">IF(AB$3&lt;=CEG_Assets!$V$5,AB128*CEG_Assets!$U$5,0)/1000000*(1+CEG_RevAdj)</f>
        <v>0</v>
      </c>
      <c r="AC136" s="8" t="n">
        <f aca="false">IF(AC$3&lt;=CEG_Assets!$V$5,AC128*CEG_Assets!$U$5,0)/1000000*(1+CEG_RevAdj)</f>
        <v>0</v>
      </c>
      <c r="AD136" s="8" t="n">
        <f aca="false">IF(AD$3&lt;=CEG_Assets!$V$5,AD128*CEG_Assets!$U$5,0)/1000000*(1+CEG_RevAdj)</f>
        <v>0</v>
      </c>
      <c r="AE136" s="8" t="n">
        <f aca="false">IF(AE$3&lt;=CEG_Assets!$V$5,AE128*CEG_Assets!$U$5,0)/1000000*(1+CEG_RevAdj)</f>
        <v>0</v>
      </c>
      <c r="AF136" s="8" t="n">
        <f aca="false">IF(AF$3&lt;=CEG_Assets!$V$5,AF128*CEG_Assets!$U$5,0)/1000000*(1+CEG_RevAdj)</f>
        <v>0</v>
      </c>
      <c r="AG136" s="8" t="n">
        <f aca="false">IF(AG$3&lt;=CEG_Assets!$V$5,AG128*CEG_Assets!$U$5,0)/1000000*(1+CEG_RevAdj)</f>
        <v>0</v>
      </c>
      <c r="AH136" s="8" t="n">
        <f aca="false">IF(AH$3&lt;=CEG_Assets!$V$5,AH128*CEG_Assets!$U$5,0)/1000000*(1+CEG_RevAdj)</f>
        <v>0</v>
      </c>
      <c r="AI136" s="8" t="n">
        <f aca="false">IF(AI$3&lt;=CEG_Assets!$V$5,AI128*CEG_Assets!$U$5,0)/1000000*(1+CEG_RevAdj)</f>
        <v>0</v>
      </c>
      <c r="AJ136" s="8" t="n">
        <f aca="false">IF(AJ$3&lt;=CEG_Assets!$V$5,AJ128*CEG_Assets!$U$5,0)/1000000*(1+CEG_RevAdj)</f>
        <v>0</v>
      </c>
      <c r="AK136" s="8" t="n">
        <f aca="false">IF(AK$3&lt;=CEG_Assets!$V$5,AK128*CEG_Assets!$U$5,0)/1000000*(1+CEG_RevAdj)</f>
        <v>0</v>
      </c>
      <c r="AL136" s="8" t="n">
        <f aca="false">IF(AL$3&lt;=CEG_Assets!$V$5,AL128*CEG_Assets!$U$5,0)/1000000*(1+CEG_RevAdj)</f>
        <v>0</v>
      </c>
      <c r="AM136" s="8" t="n">
        <f aca="false">IF(AM$3&lt;=CEG_Assets!$V$5,AM128*CEG_Assets!$U$5,0)/1000000*(1+CEG_RevAdj)</f>
        <v>0</v>
      </c>
      <c r="AN136" s="8" t="n">
        <f aca="false">IF(AN$3&lt;=CEG_Assets!$V$5,AN128*CEG_Assets!$U$5,0)/1000000*(1+CEG_RevAdj)</f>
        <v>0</v>
      </c>
      <c r="AO136" s="8" t="n">
        <f aca="false">IF(AO$3&lt;=CEG_Assets!$V$5,AO128*CEG_Assets!$U$5,0)/1000000*(1+CEG_RevAdj)</f>
        <v>0</v>
      </c>
      <c r="AP136" s="8" t="n">
        <f aca="false">IF(AP$3&lt;=CEG_Assets!$V$5,AP128*CEG_Assets!$U$5,0)/1000000*(1+CEG_RevAdj)</f>
        <v>0</v>
      </c>
      <c r="AQ136" s="8" t="n">
        <f aca="false">IF(AQ$3&lt;=CEG_Assets!$V$5,AQ128*CEG_Assets!$U$5,0)/1000000*(1+CEG_RevAdj)</f>
        <v>0</v>
      </c>
      <c r="AR136" s="8" t="n">
        <f aca="false">IF(AR$3&lt;=CEG_Assets!$V$5,AR128*CEG_Assets!$U$5,0)/1000000*(1+CEG_RevAdj)</f>
        <v>0</v>
      </c>
      <c r="AS136" s="8" t="n">
        <f aca="false">IF(AS$3&lt;=CEG_Assets!$V$5,AS128*CEG_Assets!$U$5,0)/1000000*(1+CEG_RevAdj)</f>
        <v>0</v>
      </c>
    </row>
    <row r="137" customFormat="false" ht="15" hidden="false" customHeight="false" outlineLevel="0" collapsed="false">
      <c r="A137" s="6" t="s">
        <v>447</v>
      </c>
      <c r="B137" s="6" t="s">
        <v>448</v>
      </c>
      <c r="C137" s="9" t="n">
        <f aca="false">SUM(G137:AS137)</f>
        <v>58550.9267406686</v>
      </c>
      <c r="G137" s="8" t="n">
        <f aca="false">G133+G134+G135+G136</f>
        <v>2135.3385636</v>
      </c>
      <c r="H137" s="8" t="n">
        <f aca="false">H133+H134+H135+H136</f>
        <v>2159.5663584</v>
      </c>
      <c r="I137" s="8" t="n">
        <f aca="false">I133+I134+I135+I136</f>
        <v>2029.61501982425</v>
      </c>
      <c r="J137" s="8" t="n">
        <f aca="false">J133+J134+J135+J136</f>
        <v>1551.08410913307</v>
      </c>
      <c r="K137" s="8" t="n">
        <f aca="false">K133+K134+K135+K136</f>
        <v>1582.10579131573</v>
      </c>
      <c r="L137" s="8" t="n">
        <f aca="false">L133+L134+L135+L136</f>
        <v>1613.74790714205</v>
      </c>
      <c r="M137" s="8" t="n">
        <f aca="false">M133+M134+M135+M136</f>
        <v>1646.02286528489</v>
      </c>
      <c r="N137" s="8" t="n">
        <f aca="false">N133+N134+N135+N136</f>
        <v>1678.94332259059</v>
      </c>
      <c r="O137" s="8" t="n">
        <f aca="false">O133+O134+O135+O136</f>
        <v>1712.5221890424</v>
      </c>
      <c r="P137" s="8" t="n">
        <f aca="false">P133+P134+P135+P136</f>
        <v>1746.77263282325</v>
      </c>
      <c r="Q137" s="8" t="n">
        <f aca="false">Q133+Q134+Q135+Q136</f>
        <v>1781.70808547971</v>
      </c>
      <c r="R137" s="8" t="n">
        <f aca="false">R133+R134+R135+R136</f>
        <v>1817.34224718931</v>
      </c>
      <c r="S137" s="8" t="n">
        <f aca="false">S133+S134+S135+S136</f>
        <v>1853.68909213309</v>
      </c>
      <c r="T137" s="8" t="n">
        <f aca="false">T133+T134+T135+T136</f>
        <v>1890.76287397576</v>
      </c>
      <c r="U137" s="8" t="n">
        <f aca="false">U133+U134+U135+U136</f>
        <v>1928.57813145527</v>
      </c>
      <c r="V137" s="8" t="n">
        <f aca="false">V133+V134+V135+V136</f>
        <v>1967.14969408438</v>
      </c>
      <c r="W137" s="8" t="n">
        <f aca="false">W133+W134+W135+W136</f>
        <v>2006.49268796606</v>
      </c>
      <c r="X137" s="8" t="n">
        <f aca="false">X133+X134+X135+X136</f>
        <v>2046.62254172538</v>
      </c>
      <c r="Y137" s="8" t="n">
        <f aca="false">Y133+Y134+Y135+Y136</f>
        <v>2087.55499255989</v>
      </c>
      <c r="Z137" s="8" t="n">
        <f aca="false">Z133+Z134+Z135+Z136</f>
        <v>2129.30609241109</v>
      </c>
      <c r="AA137" s="8" t="n">
        <f aca="false">AA133+AA134+AA135+AA136</f>
        <v>2171.89221425931</v>
      </c>
      <c r="AB137" s="8" t="n">
        <f aca="false">AB133+AB134+AB135+AB136</f>
        <v>2215.3300585445</v>
      </c>
      <c r="AC137" s="8" t="n">
        <f aca="false">AC133+AC134+AC135+AC136</f>
        <v>2259.63665971539</v>
      </c>
      <c r="AD137" s="8" t="n">
        <f aca="false">AD133+AD134+AD135+AD136</f>
        <v>2304.8293929097</v>
      </c>
      <c r="AE137" s="8" t="n">
        <f aca="false">AE133+AE134+AE135+AE136</f>
        <v>2350.92598076789</v>
      </c>
      <c r="AF137" s="8" t="n">
        <f aca="false">AF133+AF134+AF135+AF136</f>
        <v>2397.94450038325</v>
      </c>
      <c r="AG137" s="8" t="n">
        <f aca="false">AG133+AG134+AG135+AG136</f>
        <v>2445.90339039091</v>
      </c>
      <c r="AH137" s="8" t="n">
        <f aca="false">AH133+AH134+AH135+AH136</f>
        <v>2494.82145819873</v>
      </c>
      <c r="AI137" s="8" t="n">
        <f aca="false">AI133+AI134+AI135+AI136</f>
        <v>2544.71788736271</v>
      </c>
      <c r="AJ137" s="8" t="n">
        <f aca="false">AJ133+AJ134+AJ135+AJ136</f>
        <v>0</v>
      </c>
      <c r="AK137" s="8" t="n">
        <f aca="false">AK133+AK134+AK135+AK136</f>
        <v>0</v>
      </c>
      <c r="AL137" s="8" t="n">
        <f aca="false">AL133+AL134+AL135+AL136</f>
        <v>0</v>
      </c>
      <c r="AM137" s="8" t="n">
        <f aca="false">AM133+AM134+AM135+AM136</f>
        <v>0</v>
      </c>
      <c r="AN137" s="8" t="n">
        <f aca="false">AN133+AN134+AN135+AN136</f>
        <v>0</v>
      </c>
      <c r="AO137" s="8" t="n">
        <f aca="false">AO133+AO134+AO135+AO136</f>
        <v>0</v>
      </c>
      <c r="AP137" s="8" t="n">
        <f aca="false">AP133+AP134+AP135+AP136</f>
        <v>0</v>
      </c>
      <c r="AQ137" s="8" t="n">
        <f aca="false">AQ133+AQ134+AQ135+AQ136</f>
        <v>0</v>
      </c>
      <c r="AR137" s="8" t="n">
        <f aca="false">AR133+AR134+AR135+AR136</f>
        <v>0</v>
      </c>
      <c r="AS137" s="8" t="n">
        <f aca="false">AS133+AS134+AS135+AS136</f>
        <v>0</v>
      </c>
    </row>
    <row r="138" customFormat="false" ht="15" hidden="false" customHeight="false" outlineLevel="0" collapsed="false">
      <c r="A138" s="6" t="s">
        <v>449</v>
      </c>
      <c r="B138" s="6" t="s">
        <v>450</v>
      </c>
      <c r="C138" s="9" t="n">
        <f aca="false">SUM(G138:AS138)</f>
        <v>5798.08152873002</v>
      </c>
      <c r="G138" s="8" t="n">
        <f aca="false">((CEG_Assets!$K$5*G130+CEG_Assets!$M$5*G$4)*G128*G132+CEG_Assets!$N$5*(1+CEG_Assets!$Q$5)^(G$3-2026)*(G128+G129))/1000000*(1+CEG_FuelAdj)</f>
        <v>138.5235225</v>
      </c>
      <c r="H138" s="8" t="n">
        <f aca="false">((CEG_Assets!$K$5*H130+CEG_Assets!$M$5*H$4)*H128*H132+CEG_Assets!$N$5*(1+CEG_Assets!$Q$5)^(H$3-2026)*(H128+H129))/1000000*(1+CEG_FuelAdj)</f>
        <v>141.9866105625</v>
      </c>
      <c r="I138" s="8" t="n">
        <f aca="false">((CEG_Assets!$K$5*I130+CEG_Assets!$M$5*I$4)*I128*I132+CEG_Assets!$N$5*(1+CEG_Assets!$Q$5)^(I$3-2026)*(I128+I129))/1000000*(1+CEG_FuelAdj)</f>
        <v>145.536275826562</v>
      </c>
      <c r="J138" s="8" t="n">
        <f aca="false">((CEG_Assets!$K$5*J130+CEG_Assets!$M$5*J$4)*J128*J132+CEG_Assets!$N$5*(1+CEG_Assets!$Q$5)^(J$3-2026)*(J128+J129))/1000000*(1+CEG_FuelAdj)</f>
        <v>149.174682722227</v>
      </c>
      <c r="K138" s="8" t="n">
        <f aca="false">((CEG_Assets!$K$5*K130+CEG_Assets!$M$5*K$4)*K128*K132+CEG_Assets!$N$5*(1+CEG_Assets!$Q$5)^(K$3-2026)*(K128+K129))/1000000*(1+CEG_FuelAdj)</f>
        <v>152.904049790282</v>
      </c>
      <c r="L138" s="8" t="n">
        <f aca="false">((CEG_Assets!$K$5*L130+CEG_Assets!$M$5*L$4)*L128*L132+CEG_Assets!$N$5*(1+CEG_Assets!$Q$5)^(L$3-2026)*(L128+L129))/1000000*(1+CEG_FuelAdj)</f>
        <v>156.726651035039</v>
      </c>
      <c r="M138" s="8" t="n">
        <f aca="false">((CEG_Assets!$K$5*M130+CEG_Assets!$M$5*M$4)*M128*M132+CEG_Assets!$N$5*(1+CEG_Assets!$Q$5)^(M$3-2026)*(M128+M129))/1000000*(1+CEG_FuelAdj)</f>
        <v>160.644817310915</v>
      </c>
      <c r="N138" s="8" t="n">
        <f aca="false">((CEG_Assets!$K$5*N130+CEG_Assets!$M$5*N$4)*N128*N132+CEG_Assets!$N$5*(1+CEG_Assets!$Q$5)^(N$3-2026)*(N128+N129))/1000000*(1+CEG_FuelAdj)</f>
        <v>164.660937743688</v>
      </c>
      <c r="O138" s="8" t="n">
        <f aca="false">((CEG_Assets!$K$5*O130+CEG_Assets!$M$5*O$4)*O128*O132+CEG_Assets!$N$5*(1+CEG_Assets!$Q$5)^(O$3-2026)*(O128+O129))/1000000*(1+CEG_FuelAdj)</f>
        <v>168.77746118728</v>
      </c>
      <c r="P138" s="8" t="n">
        <f aca="false">((CEG_Assets!$K$5*P130+CEG_Assets!$M$5*P$4)*P128*P132+CEG_Assets!$N$5*(1+CEG_Assets!$Q$5)^(P$3-2026)*(P128+P129))/1000000*(1+CEG_FuelAdj)</f>
        <v>172.996897716962</v>
      </c>
      <c r="Q138" s="8" t="n">
        <f aca="false">((CEG_Assets!$K$5*Q130+CEG_Assets!$M$5*Q$4)*Q128*Q132+CEG_Assets!$N$5*(1+CEG_Assets!$Q$5)^(Q$3-2026)*(Q128+Q129))/1000000*(1+CEG_FuelAdj)</f>
        <v>177.321820159886</v>
      </c>
      <c r="R138" s="8" t="n">
        <f aca="false">((CEG_Assets!$K$5*R130+CEG_Assets!$M$5*R$4)*R128*R132+CEG_Assets!$N$5*(1+CEG_Assets!$Q$5)^(R$3-2026)*(R128+R129))/1000000*(1+CEG_FuelAdj)</f>
        <v>181.754865663883</v>
      </c>
      <c r="S138" s="8" t="n">
        <f aca="false">((CEG_Assets!$K$5*S130+CEG_Assets!$M$5*S$4)*S128*S132+CEG_Assets!$N$5*(1+CEG_Assets!$Q$5)^(S$3-2026)*(S128+S129))/1000000*(1+CEG_FuelAdj)</f>
        <v>186.29873730548</v>
      </c>
      <c r="T138" s="8" t="n">
        <f aca="false">((CEG_Assets!$K$5*T130+CEG_Assets!$M$5*T$4)*T128*T132+CEG_Assets!$N$5*(1+CEG_Assets!$Q$5)^(T$3-2026)*(T128+T129))/1000000*(1+CEG_FuelAdj)</f>
        <v>190.956205738117</v>
      </c>
      <c r="U138" s="8" t="n">
        <f aca="false">((CEG_Assets!$K$5*U130+CEG_Assets!$M$5*U$4)*U128*U132+CEG_Assets!$N$5*(1+CEG_Assets!$Q$5)^(U$3-2026)*(U128+U129))/1000000*(1+CEG_FuelAdj)</f>
        <v>195.73011088157</v>
      </c>
      <c r="V138" s="8" t="n">
        <f aca="false">((CEG_Assets!$K$5*V130+CEG_Assets!$M$5*V$4)*V128*V132+CEG_Assets!$N$5*(1+CEG_Assets!$Q$5)^(V$3-2026)*(V128+V129))/1000000*(1+CEG_FuelAdj)</f>
        <v>200.62336365361</v>
      </c>
      <c r="W138" s="8" t="n">
        <f aca="false">((CEG_Assets!$K$5*W130+CEG_Assets!$M$5*W$4)*W128*W132+CEG_Assets!$N$5*(1+CEG_Assets!$Q$5)^(W$3-2026)*(W128+W129))/1000000*(1+CEG_FuelAdj)</f>
        <v>205.63894774495</v>
      </c>
      <c r="X138" s="8" t="n">
        <f aca="false">((CEG_Assets!$K$5*X130+CEG_Assets!$M$5*X$4)*X128*X132+CEG_Assets!$N$5*(1+CEG_Assets!$Q$5)^(X$3-2026)*(X128+X129))/1000000*(1+CEG_FuelAdj)</f>
        <v>210.779921438574</v>
      </c>
      <c r="Y138" s="8" t="n">
        <f aca="false">((CEG_Assets!$K$5*Y130+CEG_Assets!$M$5*Y$4)*Y128*Y132+CEG_Assets!$N$5*(1+CEG_Assets!$Q$5)^(Y$3-2026)*(Y128+Y129))/1000000*(1+CEG_FuelAdj)</f>
        <v>216.049419474538</v>
      </c>
      <c r="Z138" s="8" t="n">
        <f aca="false">((CEG_Assets!$K$5*Z130+CEG_Assets!$M$5*Z$4)*Z128*Z132+CEG_Assets!$N$5*(1+CEG_Assets!$Q$5)^(Z$3-2026)*(Z128+Z129))/1000000*(1+CEG_FuelAdj)</f>
        <v>221.450654961401</v>
      </c>
      <c r="AA138" s="8" t="n">
        <f aca="false">((CEG_Assets!$K$5*AA130+CEG_Assets!$M$5*AA$4)*AA128*AA132+CEG_Assets!$N$5*(1+CEG_Assets!$Q$5)^(AA$3-2026)*(AA128+AA129))/1000000*(1+CEG_FuelAdj)</f>
        <v>226.986921335436</v>
      </c>
      <c r="AB138" s="8" t="n">
        <f aca="false">((CEG_Assets!$K$5*AB130+CEG_Assets!$M$5*AB$4)*AB128*AB132+CEG_Assets!$N$5*(1+CEG_Assets!$Q$5)^(AB$3-2026)*(AB128+AB129))/1000000*(1+CEG_FuelAdj)</f>
        <v>232.661594368822</v>
      </c>
      <c r="AC138" s="8" t="n">
        <f aca="false">((CEG_Assets!$K$5*AC130+CEG_Assets!$M$5*AC$4)*AC128*AC132+CEG_Assets!$N$5*(1+CEG_Assets!$Q$5)^(AC$3-2026)*(AC128+AC129))/1000000*(1+CEG_FuelAdj)</f>
        <v>238.478134228043</v>
      </c>
      <c r="AD138" s="8" t="n">
        <f aca="false">((CEG_Assets!$K$5*AD130+CEG_Assets!$M$5*AD$4)*AD128*AD132+CEG_Assets!$N$5*(1+CEG_Assets!$Q$5)^(AD$3-2026)*(AD128+AD129))/1000000*(1+CEG_FuelAdj)</f>
        <v>244.440087583744</v>
      </c>
      <c r="AE138" s="8" t="n">
        <f aca="false">((CEG_Assets!$K$5*AE130+CEG_Assets!$M$5*AE$4)*AE128*AE132+CEG_Assets!$N$5*(1+CEG_Assets!$Q$5)^(AE$3-2026)*(AE128+AE129))/1000000*(1+CEG_FuelAdj)</f>
        <v>250.551089773337</v>
      </c>
      <c r="AF138" s="8" t="n">
        <f aca="false">((CEG_Assets!$K$5*AF130+CEG_Assets!$M$5*AF$4)*AF128*AF132+CEG_Assets!$N$5*(1+CEG_Assets!$Q$5)^(AF$3-2026)*(AF128+AF129))/1000000*(1+CEG_FuelAdj)</f>
        <v>256.814867017671</v>
      </c>
      <c r="AG138" s="8" t="n">
        <f aca="false">((CEG_Assets!$K$5*AG130+CEG_Assets!$M$5*AG$4)*AG128*AG132+CEG_Assets!$N$5*(1+CEG_Assets!$Q$5)^(AG$3-2026)*(AG128+AG129))/1000000*(1+CEG_FuelAdj)</f>
        <v>263.235238693113</v>
      </c>
      <c r="AH138" s="8" t="n">
        <f aca="false">((CEG_Assets!$K$5*AH130+CEG_Assets!$M$5*AH$4)*AH128*AH132+CEG_Assets!$N$5*(1+CEG_Assets!$Q$5)^(AH$3-2026)*(AH128+AH129))/1000000*(1+CEG_FuelAdj)</f>
        <v>269.81611966044</v>
      </c>
      <c r="AI138" s="8" t="n">
        <f aca="false">((CEG_Assets!$K$5*AI130+CEG_Assets!$M$5*AI$4)*AI128*AI132+CEG_Assets!$N$5*(1+CEG_Assets!$Q$5)^(AI$3-2026)*(AI128+AI129))/1000000*(1+CEG_FuelAdj)</f>
        <v>276.561522651951</v>
      </c>
      <c r="AJ138" s="8" t="n">
        <f aca="false">((CEG_Assets!$K$5*AJ130+CEG_Assets!$M$5*AJ$4)*AJ128*AJ132+CEG_Assets!$N$5*(1+CEG_Assets!$Q$5)^(AJ$3-2026)*(AJ128+AJ129))/1000000*(1+CEG_FuelAdj)</f>
        <v>0</v>
      </c>
      <c r="AK138" s="8" t="n">
        <f aca="false">((CEG_Assets!$K$5*AK130+CEG_Assets!$M$5*AK$4)*AK128*AK132+CEG_Assets!$N$5*(1+CEG_Assets!$Q$5)^(AK$3-2026)*(AK128+AK129))/1000000*(1+CEG_FuelAdj)</f>
        <v>0</v>
      </c>
      <c r="AL138" s="8" t="n">
        <f aca="false">((CEG_Assets!$K$5*AL130+CEG_Assets!$M$5*AL$4)*AL128*AL132+CEG_Assets!$N$5*(1+CEG_Assets!$Q$5)^(AL$3-2026)*(AL128+AL129))/1000000*(1+CEG_FuelAdj)</f>
        <v>0</v>
      </c>
      <c r="AM138" s="8" t="n">
        <f aca="false">((CEG_Assets!$K$5*AM130+CEG_Assets!$M$5*AM$4)*AM128*AM132+CEG_Assets!$N$5*(1+CEG_Assets!$Q$5)^(AM$3-2026)*(AM128+AM129))/1000000*(1+CEG_FuelAdj)</f>
        <v>0</v>
      </c>
      <c r="AN138" s="8" t="n">
        <f aca="false">((CEG_Assets!$K$5*AN130+CEG_Assets!$M$5*AN$4)*AN128*AN132+CEG_Assets!$N$5*(1+CEG_Assets!$Q$5)^(AN$3-2026)*(AN128+AN129))/1000000*(1+CEG_FuelAdj)</f>
        <v>0</v>
      </c>
      <c r="AO138" s="8" t="n">
        <f aca="false">((CEG_Assets!$K$5*AO130+CEG_Assets!$M$5*AO$4)*AO128*AO132+CEG_Assets!$N$5*(1+CEG_Assets!$Q$5)^(AO$3-2026)*(AO128+AO129))/1000000*(1+CEG_FuelAdj)</f>
        <v>0</v>
      </c>
      <c r="AP138" s="8" t="n">
        <f aca="false">((CEG_Assets!$K$5*AP130+CEG_Assets!$M$5*AP$4)*AP128*AP132+CEG_Assets!$N$5*(1+CEG_Assets!$Q$5)^(AP$3-2026)*(AP128+AP129))/1000000*(1+CEG_FuelAdj)</f>
        <v>0</v>
      </c>
      <c r="AQ138" s="8" t="n">
        <f aca="false">((CEG_Assets!$K$5*AQ130+CEG_Assets!$M$5*AQ$4)*AQ128*AQ132+CEG_Assets!$N$5*(1+CEG_Assets!$Q$5)^(AQ$3-2026)*(AQ128+AQ129))/1000000*(1+CEG_FuelAdj)</f>
        <v>0</v>
      </c>
      <c r="AR138" s="8" t="n">
        <f aca="false">((CEG_Assets!$K$5*AR130+CEG_Assets!$M$5*AR$4)*AR128*AR132+CEG_Assets!$N$5*(1+CEG_Assets!$Q$5)^(AR$3-2026)*(AR128+AR129))/1000000*(1+CEG_FuelAdj)</f>
        <v>0</v>
      </c>
      <c r="AS138" s="8" t="n">
        <f aca="false">((CEG_Assets!$K$5*AS130+CEG_Assets!$M$5*AS$4)*AS128*AS132+CEG_Assets!$N$5*(1+CEG_Assets!$Q$5)^(AS$3-2026)*(AS128+AS129))/1000000*(1+CEG_FuelAdj)</f>
        <v>0</v>
      </c>
    </row>
    <row r="139" customFormat="false" ht="15" hidden="false" customHeight="false" outlineLevel="0" collapsed="false">
      <c r="A139" s="6" t="s">
        <v>451</v>
      </c>
      <c r="B139" s="6" t="s">
        <v>452</v>
      </c>
      <c r="C139" s="9" t="n">
        <f aca="false">SUM(G139:AS139)</f>
        <v>52752.8452119385</v>
      </c>
      <c r="G139" s="8" t="n">
        <f aca="false">G137-G138</f>
        <v>1996.8150411</v>
      </c>
      <c r="H139" s="8" t="n">
        <f aca="false">H137-H138</f>
        <v>2017.5797478375</v>
      </c>
      <c r="I139" s="8" t="n">
        <f aca="false">I137-I138</f>
        <v>1884.07874399769</v>
      </c>
      <c r="J139" s="8" t="n">
        <f aca="false">J137-J138</f>
        <v>1401.90942641085</v>
      </c>
      <c r="K139" s="8" t="n">
        <f aca="false">K137-K138</f>
        <v>1429.20174152545</v>
      </c>
      <c r="L139" s="8" t="n">
        <f aca="false">L137-L138</f>
        <v>1457.02125610701</v>
      </c>
      <c r="M139" s="8" t="n">
        <f aca="false">M137-M138</f>
        <v>1485.37804797397</v>
      </c>
      <c r="N139" s="8" t="n">
        <f aca="false">N137-N138</f>
        <v>1514.2823848469</v>
      </c>
      <c r="O139" s="8" t="n">
        <f aca="false">O137-O138</f>
        <v>1543.74472785512</v>
      </c>
      <c r="P139" s="8" t="n">
        <f aca="false">P137-P138</f>
        <v>1573.77573510629</v>
      </c>
      <c r="Q139" s="8" t="n">
        <f aca="false">Q137-Q138</f>
        <v>1604.38626531983</v>
      </c>
      <c r="R139" s="8" t="n">
        <f aca="false">R137-R138</f>
        <v>1635.58738152542</v>
      </c>
      <c r="S139" s="8" t="n">
        <f aca="false">S137-S138</f>
        <v>1667.39035482761</v>
      </c>
      <c r="T139" s="8" t="n">
        <f aca="false">T137-T138</f>
        <v>1699.80666823764</v>
      </c>
      <c r="U139" s="8" t="n">
        <f aca="false">U137-U138</f>
        <v>1732.8480205737</v>
      </c>
      <c r="V139" s="8" t="n">
        <f aca="false">V137-V138</f>
        <v>1766.52633043077</v>
      </c>
      <c r="W139" s="8" t="n">
        <f aca="false">W137-W138</f>
        <v>1800.85374022111</v>
      </c>
      <c r="X139" s="8" t="n">
        <f aca="false">X137-X138</f>
        <v>1835.84262028681</v>
      </c>
      <c r="Y139" s="8" t="n">
        <f aca="false">Y137-Y138</f>
        <v>1871.50557308535</v>
      </c>
      <c r="Z139" s="8" t="n">
        <f aca="false">Z137-Z138</f>
        <v>1907.85543744969</v>
      </c>
      <c r="AA139" s="8" t="n">
        <f aca="false">AA137-AA138</f>
        <v>1944.90529292388</v>
      </c>
      <c r="AB139" s="8" t="n">
        <f aca="false">AB137-AB138</f>
        <v>1982.66846417568</v>
      </c>
      <c r="AC139" s="8" t="n">
        <f aca="false">AC137-AC138</f>
        <v>2021.15852548735</v>
      </c>
      <c r="AD139" s="8" t="n">
        <f aca="false">AD137-AD138</f>
        <v>2060.38930532595</v>
      </c>
      <c r="AE139" s="8" t="n">
        <f aca="false">AE137-AE138</f>
        <v>2100.37489099455</v>
      </c>
      <c r="AF139" s="8" t="n">
        <f aca="false">AF137-AF138</f>
        <v>2141.12963336558</v>
      </c>
      <c r="AG139" s="8" t="n">
        <f aca="false">AG137-AG138</f>
        <v>2182.6681516978</v>
      </c>
      <c r="AH139" s="8" t="n">
        <f aca="false">AH137-AH138</f>
        <v>2225.00533853829</v>
      </c>
      <c r="AI139" s="8" t="n">
        <f aca="false">AI137-AI138</f>
        <v>2268.15636471076</v>
      </c>
      <c r="AJ139" s="8" t="n">
        <f aca="false">AJ137-AJ138</f>
        <v>0</v>
      </c>
      <c r="AK139" s="8" t="n">
        <f aca="false">AK137-AK138</f>
        <v>0</v>
      </c>
      <c r="AL139" s="8" t="n">
        <f aca="false">AL137-AL138</f>
        <v>0</v>
      </c>
      <c r="AM139" s="8" t="n">
        <f aca="false">AM137-AM138</f>
        <v>0</v>
      </c>
      <c r="AN139" s="8" t="n">
        <f aca="false">AN137-AN138</f>
        <v>0</v>
      </c>
      <c r="AO139" s="8" t="n">
        <f aca="false">AO137-AO138</f>
        <v>0</v>
      </c>
      <c r="AP139" s="8" t="n">
        <f aca="false">AP137-AP138</f>
        <v>0</v>
      </c>
      <c r="AQ139" s="8" t="n">
        <f aca="false">AQ137-AQ138</f>
        <v>0</v>
      </c>
      <c r="AR139" s="8" t="n">
        <f aca="false">AR137-AR138</f>
        <v>0</v>
      </c>
      <c r="AS139" s="8" t="n">
        <f aca="false">AS137-AS138</f>
        <v>0</v>
      </c>
    </row>
    <row r="140" customFormat="false" ht="15" hidden="false" customHeight="false" outlineLevel="0" collapsed="false">
      <c r="A140" s="6" t="s">
        <v>453</v>
      </c>
      <c r="B140" s="6" t="s">
        <v>454</v>
      </c>
      <c r="C140" s="9" t="n">
        <f aca="false">SUM(G140:AS140)</f>
        <v>23508.5851073963</v>
      </c>
      <c r="G140" s="8" t="n">
        <f aca="false">(CEG_Assets!$R$5*CEG_Assets!$D$5*1000*G$4*G126+CEG_Assets!$O$5*(1+CEG_Assets!$Q$5)^(G$3-2026)*(G128+G129))/1000000*(1+CEG_OMAdj)</f>
        <v>561.6499185</v>
      </c>
      <c r="H140" s="8" t="n">
        <f aca="false">(CEG_Assets!$R$5*CEG_Assets!$D$5*1000*H$4*H126+CEG_Assets!$O$5*(1+CEG_Assets!$Q$5)^(H$3-2026)*(H128+H129))/1000000*(1+CEG_OMAdj)</f>
        <v>575.6911664625</v>
      </c>
      <c r="I140" s="8" t="n">
        <f aca="false">(CEG_Assets!$R$5*CEG_Assets!$D$5*1000*I$4*I126+CEG_Assets!$O$5*(1+CEG_Assets!$Q$5)^(I$3-2026)*(I128+I129))/1000000*(1+CEG_OMAdj)</f>
        <v>590.083445624062</v>
      </c>
      <c r="J140" s="8" t="n">
        <f aca="false">(CEG_Assets!$R$5*CEG_Assets!$D$5*1000*J$4*J126+CEG_Assets!$O$5*(1+CEG_Assets!$Q$5)^(J$3-2026)*(J128+J129))/1000000*(1+CEG_OMAdj)</f>
        <v>604.835531764664</v>
      </c>
      <c r="K140" s="8" t="n">
        <f aca="false">(CEG_Assets!$R$5*CEG_Assets!$D$5*1000*K$4*K126+CEG_Assets!$O$5*(1+CEG_Assets!$Q$5)^(K$3-2026)*(K128+K129))/1000000*(1+CEG_OMAdj)</f>
        <v>619.95642005878</v>
      </c>
      <c r="L140" s="8" t="n">
        <f aca="false">(CEG_Assets!$R$5*CEG_Assets!$D$5*1000*L$4*L126+CEG_Assets!$O$5*(1+CEG_Assets!$Q$5)^(L$3-2026)*(L128+L129))/1000000*(1+CEG_OMAdj)</f>
        <v>635.45533056025</v>
      </c>
      <c r="M140" s="8" t="n">
        <f aca="false">(CEG_Assets!$R$5*CEG_Assets!$D$5*1000*M$4*M126+CEG_Assets!$O$5*(1+CEG_Assets!$Q$5)^(M$3-2026)*(M128+M129))/1000000*(1+CEG_OMAdj)</f>
        <v>651.341713824256</v>
      </c>
      <c r="N140" s="8" t="n">
        <f aca="false">(CEG_Assets!$R$5*CEG_Assets!$D$5*1000*N$4*N126+CEG_Assets!$O$5*(1+CEG_Assets!$Q$5)^(N$3-2026)*(N128+N129))/1000000*(1+CEG_OMAdj)</f>
        <v>667.625256669862</v>
      </c>
      <c r="O140" s="8" t="n">
        <f aca="false">(CEG_Assets!$R$5*CEG_Assets!$D$5*1000*O$4*O126+CEG_Assets!$O$5*(1+CEG_Assets!$Q$5)^(O$3-2026)*(O128+O129))/1000000*(1+CEG_OMAdj)</f>
        <v>684.315888086609</v>
      </c>
      <c r="P140" s="8" t="n">
        <f aca="false">(CEG_Assets!$R$5*CEG_Assets!$D$5*1000*P$4*P126+CEG_Assets!$O$5*(1+CEG_Assets!$Q$5)^(P$3-2026)*(P128+P129))/1000000*(1+CEG_OMAdj)</f>
        <v>701.423785288774</v>
      </c>
      <c r="Q140" s="8" t="n">
        <f aca="false">(CEG_Assets!$R$5*CEG_Assets!$D$5*1000*Q$4*Q126+CEG_Assets!$O$5*(1+CEG_Assets!$Q$5)^(Q$3-2026)*(Q128+Q129))/1000000*(1+CEG_OMAdj)</f>
        <v>718.959379920993</v>
      </c>
      <c r="R140" s="8" t="n">
        <f aca="false">(CEG_Assets!$R$5*CEG_Assets!$D$5*1000*R$4*R126+CEG_Assets!$O$5*(1+CEG_Assets!$Q$5)^(R$3-2026)*(R128+R129))/1000000*(1+CEG_OMAdj)</f>
        <v>736.933364419018</v>
      </c>
      <c r="S140" s="8" t="n">
        <f aca="false">(CEG_Assets!$R$5*CEG_Assets!$D$5*1000*S$4*S126+CEG_Assets!$O$5*(1+CEG_Assets!$Q$5)^(S$3-2026)*(S128+S129))/1000000*(1+CEG_OMAdj)</f>
        <v>755.356698529493</v>
      </c>
      <c r="T140" s="8" t="n">
        <f aca="false">(CEG_Assets!$R$5*CEG_Assets!$D$5*1000*T$4*T126+CEG_Assets!$O$5*(1+CEG_Assets!$Q$5)^(T$3-2026)*(T128+T129))/1000000*(1+CEG_OMAdj)</f>
        <v>774.240615992731</v>
      </c>
      <c r="U140" s="8" t="n">
        <f aca="false">(CEG_Assets!$R$5*CEG_Assets!$D$5*1000*U$4*U126+CEG_Assets!$O$5*(1+CEG_Assets!$Q$5)^(U$3-2026)*(U128+U129))/1000000*(1+CEG_OMAdj)</f>
        <v>793.596631392549</v>
      </c>
      <c r="V140" s="8" t="n">
        <f aca="false">(CEG_Assets!$R$5*CEG_Assets!$D$5*1000*V$4*V126+CEG_Assets!$O$5*(1+CEG_Assets!$Q$5)^(V$3-2026)*(V128+V129))/1000000*(1+CEG_OMAdj)</f>
        <v>813.436547177363</v>
      </c>
      <c r="W140" s="8" t="n">
        <f aca="false">(CEG_Assets!$R$5*CEG_Assets!$D$5*1000*W$4*W126+CEG_Assets!$O$5*(1+CEG_Assets!$Q$5)^(W$3-2026)*(W128+W129))/1000000*(1+CEG_OMAdj)</f>
        <v>833.772460856797</v>
      </c>
      <c r="X140" s="8" t="n">
        <f aca="false">(CEG_Assets!$R$5*CEG_Assets!$D$5*1000*X$4*X126+CEG_Assets!$O$5*(1+CEG_Assets!$Q$5)^(X$3-2026)*(X128+X129))/1000000*(1+CEG_OMAdj)</f>
        <v>854.616772378217</v>
      </c>
      <c r="Y140" s="8" t="n">
        <f aca="false">(CEG_Assets!$R$5*CEG_Assets!$D$5*1000*Y$4*Y126+CEG_Assets!$O$5*(1+CEG_Assets!$Q$5)^(Y$3-2026)*(Y128+Y129))/1000000*(1+CEG_OMAdj)</f>
        <v>875.982191687672</v>
      </c>
      <c r="Z140" s="8" t="n">
        <f aca="false">(CEG_Assets!$R$5*CEG_Assets!$D$5*1000*Z$4*Z126+CEG_Assets!$O$5*(1+CEG_Assets!$Q$5)^(Z$3-2026)*(Z128+Z129))/1000000*(1+CEG_OMAdj)</f>
        <v>897.881746479864</v>
      </c>
      <c r="AA140" s="8" t="n">
        <f aca="false">(CEG_Assets!$R$5*CEG_Assets!$D$5*1000*AA$4*AA126+CEG_Assets!$O$5*(1+CEG_Assets!$Q$5)^(AA$3-2026)*(AA128+AA129))/1000000*(1+CEG_OMAdj)</f>
        <v>920.32879014186</v>
      </c>
      <c r="AB140" s="8" t="n">
        <f aca="false">(CEG_Assets!$R$5*CEG_Assets!$D$5*1000*AB$4*AB126+CEG_Assets!$O$5*(1+CEG_Assets!$Q$5)^(AB$3-2026)*(AB128+AB129))/1000000*(1+CEG_OMAdj)</f>
        <v>943.337009895406</v>
      </c>
      <c r="AC140" s="8" t="n">
        <f aca="false">(CEG_Assets!$R$5*CEG_Assets!$D$5*1000*AC$4*AC126+CEG_Assets!$O$5*(1+CEG_Assets!$Q$5)^(AC$3-2026)*(AC128+AC129))/1000000*(1+CEG_OMAdj)</f>
        <v>966.920435142792</v>
      </c>
      <c r="AD140" s="8" t="n">
        <f aca="false">(CEG_Assets!$R$5*CEG_Assets!$D$5*1000*AD$4*AD126+CEG_Assets!$O$5*(1+CEG_Assets!$Q$5)^(AD$3-2026)*(AD128+AD129))/1000000*(1+CEG_OMAdj)</f>
        <v>991.093446021361</v>
      </c>
      <c r="AE140" s="8" t="n">
        <f aca="false">(CEG_Assets!$R$5*CEG_Assets!$D$5*1000*AE$4*AE126+CEG_Assets!$O$5*(1+CEG_Assets!$Q$5)^(AE$3-2026)*(AE128+AE129))/1000000*(1+CEG_OMAdj)</f>
        <v>1015.8707821719</v>
      </c>
      <c r="AF140" s="8" t="n">
        <f aca="false">(CEG_Assets!$R$5*CEG_Assets!$D$5*1000*AF$4*AF126+CEG_Assets!$O$5*(1+CEG_Assets!$Q$5)^(AF$3-2026)*(AF128+AF129))/1000000*(1+CEG_OMAdj)</f>
        <v>1041.26755172619</v>
      </c>
      <c r="AG140" s="8" t="n">
        <f aca="false">(CEG_Assets!$R$5*CEG_Assets!$D$5*1000*AG$4*AG126+CEG_Assets!$O$5*(1+CEG_Assets!$Q$5)^(AG$3-2026)*(AG128+AG129))/1000000*(1+CEG_OMAdj)</f>
        <v>1067.29924051935</v>
      </c>
      <c r="AH140" s="8" t="n">
        <f aca="false">(CEG_Assets!$R$5*CEG_Assets!$D$5*1000*AH$4*AH126+CEG_Assets!$O$5*(1+CEG_Assets!$Q$5)^(AH$3-2026)*(AH128+AH129))/1000000*(1+CEG_OMAdj)</f>
        <v>1093.98172153233</v>
      </c>
      <c r="AI140" s="8" t="n">
        <f aca="false">(CEG_Assets!$R$5*CEG_Assets!$D$5*1000*AI$4*AI126+CEG_Assets!$O$5*(1+CEG_Assets!$Q$5)^(AI$3-2026)*(AI128+AI129))/1000000*(1+CEG_OMAdj)</f>
        <v>1121.33126457064</v>
      </c>
      <c r="AJ140" s="8" t="n">
        <f aca="false">(CEG_Assets!$R$5*CEG_Assets!$D$5*1000*AJ$4*AJ126+CEG_Assets!$O$5*(1+CEG_Assets!$Q$5)^(AJ$3-2026)*(AJ128+AJ129))/1000000*(1+CEG_OMAdj)</f>
        <v>0</v>
      </c>
      <c r="AK140" s="8" t="n">
        <f aca="false">(CEG_Assets!$R$5*CEG_Assets!$D$5*1000*AK$4*AK126+CEG_Assets!$O$5*(1+CEG_Assets!$Q$5)^(AK$3-2026)*(AK128+AK129))/1000000*(1+CEG_OMAdj)</f>
        <v>0</v>
      </c>
      <c r="AL140" s="8" t="n">
        <f aca="false">(CEG_Assets!$R$5*CEG_Assets!$D$5*1000*AL$4*AL126+CEG_Assets!$O$5*(1+CEG_Assets!$Q$5)^(AL$3-2026)*(AL128+AL129))/1000000*(1+CEG_OMAdj)</f>
        <v>0</v>
      </c>
      <c r="AM140" s="8" t="n">
        <f aca="false">(CEG_Assets!$R$5*CEG_Assets!$D$5*1000*AM$4*AM126+CEG_Assets!$O$5*(1+CEG_Assets!$Q$5)^(AM$3-2026)*(AM128+AM129))/1000000*(1+CEG_OMAdj)</f>
        <v>0</v>
      </c>
      <c r="AN140" s="8" t="n">
        <f aca="false">(CEG_Assets!$R$5*CEG_Assets!$D$5*1000*AN$4*AN126+CEG_Assets!$O$5*(1+CEG_Assets!$Q$5)^(AN$3-2026)*(AN128+AN129))/1000000*(1+CEG_OMAdj)</f>
        <v>0</v>
      </c>
      <c r="AO140" s="8" t="n">
        <f aca="false">(CEG_Assets!$R$5*CEG_Assets!$D$5*1000*AO$4*AO126+CEG_Assets!$O$5*(1+CEG_Assets!$Q$5)^(AO$3-2026)*(AO128+AO129))/1000000*(1+CEG_OMAdj)</f>
        <v>0</v>
      </c>
      <c r="AP140" s="8" t="n">
        <f aca="false">(CEG_Assets!$R$5*CEG_Assets!$D$5*1000*AP$4*AP126+CEG_Assets!$O$5*(1+CEG_Assets!$Q$5)^(AP$3-2026)*(AP128+AP129))/1000000*(1+CEG_OMAdj)</f>
        <v>0</v>
      </c>
      <c r="AQ140" s="8" t="n">
        <f aca="false">(CEG_Assets!$R$5*CEG_Assets!$D$5*1000*AQ$4*AQ126+CEG_Assets!$O$5*(1+CEG_Assets!$Q$5)^(AQ$3-2026)*(AQ128+AQ129))/1000000*(1+CEG_OMAdj)</f>
        <v>0</v>
      </c>
      <c r="AR140" s="8" t="n">
        <f aca="false">(CEG_Assets!$R$5*CEG_Assets!$D$5*1000*AR$4*AR126+CEG_Assets!$O$5*(1+CEG_Assets!$Q$5)^(AR$3-2026)*(AR128+AR129))/1000000*(1+CEG_OMAdj)</f>
        <v>0</v>
      </c>
      <c r="AS140" s="8" t="n">
        <f aca="false">(CEG_Assets!$R$5*CEG_Assets!$D$5*1000*AS$4*AS126+CEG_Assets!$O$5*(1+CEG_Assets!$Q$5)^(AS$3-2026)*(AS128+AS129))/1000000*(1+CEG_OMAdj)</f>
        <v>0</v>
      </c>
    </row>
    <row r="141" customFormat="false" ht="15" hidden="false" customHeight="false" outlineLevel="0" collapsed="false">
      <c r="A141" s="6" t="s">
        <v>455</v>
      </c>
      <c r="B141" s="6" t="s">
        <v>456</v>
      </c>
      <c r="C141" s="9" t="n">
        <f aca="false">SUM(G141:AS141)</f>
        <v>29244.2601045423</v>
      </c>
      <c r="G141" s="8" t="n">
        <f aca="false">G139-G140</f>
        <v>1435.1651226</v>
      </c>
      <c r="H141" s="8" t="n">
        <f aca="false">H139-H140</f>
        <v>1441.888581375</v>
      </c>
      <c r="I141" s="8" t="n">
        <f aca="false">I139-I140</f>
        <v>1293.99529837363</v>
      </c>
      <c r="J141" s="8" t="n">
        <f aca="false">J139-J140</f>
        <v>797.073894646183</v>
      </c>
      <c r="K141" s="8" t="n">
        <f aca="false">K139-K140</f>
        <v>809.245321466672</v>
      </c>
      <c r="L141" s="8" t="n">
        <f aca="false">L139-L140</f>
        <v>821.56592554676</v>
      </c>
      <c r="M141" s="8" t="n">
        <f aca="false">M139-M140</f>
        <v>834.036334149719</v>
      </c>
      <c r="N141" s="8" t="n">
        <f aca="false">N139-N140</f>
        <v>846.657128177038</v>
      </c>
      <c r="O141" s="8" t="n">
        <f aca="false">O139-O140</f>
        <v>859.428839768511</v>
      </c>
      <c r="P141" s="8" t="n">
        <f aca="false">P139-P140</f>
        <v>872.351949817512</v>
      </c>
      <c r="Q141" s="8" t="n">
        <f aca="false">Q139-Q140</f>
        <v>885.426885398833</v>
      </c>
      <c r="R141" s="8" t="n">
        <f aca="false">R139-R140</f>
        <v>898.654017106405</v>
      </c>
      <c r="S141" s="8" t="n">
        <f aca="false">S139-S140</f>
        <v>912.03365629812</v>
      </c>
      <c r="T141" s="8" t="n">
        <f aca="false">T139-T140</f>
        <v>925.566052244907</v>
      </c>
      <c r="U141" s="8" t="n">
        <f aca="false">U139-U140</f>
        <v>939.251389181151</v>
      </c>
      <c r="V141" s="8" t="n">
        <f aca="false">V139-V140</f>
        <v>953.089783253404</v>
      </c>
      <c r="W141" s="8" t="n">
        <f aca="false">W139-W140</f>
        <v>967.081279364317</v>
      </c>
      <c r="X141" s="8" t="n">
        <f aca="false">X139-X140</f>
        <v>981.225847908595</v>
      </c>
      <c r="Y141" s="8" t="n">
        <f aca="false">Y139-Y140</f>
        <v>995.523381397683</v>
      </c>
      <c r="Z141" s="8" t="n">
        <f aca="false">Z139-Z140</f>
        <v>1009.97369096983</v>
      </c>
      <c r="AA141" s="8" t="n">
        <f aca="false">AA139-AA140</f>
        <v>1024.57650278202</v>
      </c>
      <c r="AB141" s="8" t="n">
        <f aca="false">AB139-AB140</f>
        <v>1039.33145428027</v>
      </c>
      <c r="AC141" s="8" t="n">
        <f aca="false">AC139-AC140</f>
        <v>1054.23809034455</v>
      </c>
      <c r="AD141" s="8" t="n">
        <f aca="false">AD139-AD140</f>
        <v>1069.29585930459</v>
      </c>
      <c r="AE141" s="8" t="n">
        <f aca="false">AE139-AE140</f>
        <v>1084.50410882266</v>
      </c>
      <c r="AF141" s="8" t="n">
        <f aca="false">AF139-AF140</f>
        <v>1099.86208163939</v>
      </c>
      <c r="AG141" s="8" t="n">
        <f aca="false">AG139-AG140</f>
        <v>1115.36891117845</v>
      </c>
      <c r="AH141" s="8" t="n">
        <f aca="false">AH139-AH140</f>
        <v>1131.02361700596</v>
      </c>
      <c r="AI141" s="8" t="n">
        <f aca="false">AI139-AI140</f>
        <v>1146.82510014012</v>
      </c>
      <c r="AJ141" s="8" t="n">
        <f aca="false">AJ139-AJ140</f>
        <v>0</v>
      </c>
      <c r="AK141" s="8" t="n">
        <f aca="false">AK139-AK140</f>
        <v>0</v>
      </c>
      <c r="AL141" s="8" t="n">
        <f aca="false">AL139-AL140</f>
        <v>0</v>
      </c>
      <c r="AM141" s="8" t="n">
        <f aca="false">AM139-AM140</f>
        <v>0</v>
      </c>
      <c r="AN141" s="8" t="n">
        <f aca="false">AN139-AN140</f>
        <v>0</v>
      </c>
      <c r="AO141" s="8" t="n">
        <f aca="false">AO139-AO140</f>
        <v>0</v>
      </c>
      <c r="AP141" s="8" t="n">
        <f aca="false">AP139-AP140</f>
        <v>0</v>
      </c>
      <c r="AQ141" s="8" t="n">
        <f aca="false">AQ139-AQ140</f>
        <v>0</v>
      </c>
      <c r="AR141" s="8" t="n">
        <f aca="false">AR139-AR140</f>
        <v>0</v>
      </c>
      <c r="AS141" s="8" t="n">
        <f aca="false">AS139-AS140</f>
        <v>0</v>
      </c>
    </row>
    <row r="142" customFormat="false" ht="15" hidden="false" customHeight="false" outlineLevel="0" collapsed="false">
      <c r="A142" s="6" t="s">
        <v>457</v>
      </c>
      <c r="B142" s="6" t="s">
        <v>458</v>
      </c>
      <c r="C142" s="9" t="n">
        <f aca="false">SUM(G142:AS142)</f>
        <v>8117.31414022203</v>
      </c>
      <c r="G142" s="8" t="n">
        <f aca="false">((CEG_Assets!$S$5*CEG_Assets!$D$5*1000*G$4*G126+CEG_Assets!$P$5*(1+CEG_Assets!$Q$5)^(G$3-2026)*(G128+G129))/1000000+IF(G$3=CEG_Assets!$AH$5,CEG_Assets!$AG$5,0))*(1+CEG_CapexAdj)</f>
        <v>193.9329315</v>
      </c>
      <c r="H142" s="8" t="n">
        <f aca="false">((CEG_Assets!$S$5*CEG_Assets!$D$5*1000*H$4*H126+CEG_Assets!$P$5*(1+CEG_Assets!$Q$5)^(H$3-2026)*(H128+H129))/1000000+IF(H$3=CEG_Assets!$AH$5,CEG_Assets!$AG$5,0))*(1+CEG_CapexAdj)</f>
        <v>198.7812547875</v>
      </c>
      <c r="I142" s="8" t="n">
        <f aca="false">((CEG_Assets!$S$5*CEG_Assets!$D$5*1000*I$4*I126+CEG_Assets!$P$5*(1+CEG_Assets!$Q$5)^(I$3-2026)*(I128+I129))/1000000+IF(I$3=CEG_Assets!$AH$5,CEG_Assets!$AG$5,0))*(1+CEG_CapexAdj)</f>
        <v>203.750786157187</v>
      </c>
      <c r="J142" s="8" t="n">
        <f aca="false">((CEG_Assets!$S$5*CEG_Assets!$D$5*1000*J$4*J126+CEG_Assets!$P$5*(1+CEG_Assets!$Q$5)^(J$3-2026)*(J128+J129))/1000000+IF(J$3=CEG_Assets!$AH$5,CEG_Assets!$AG$5,0))*(1+CEG_CapexAdj)</f>
        <v>208.844555811117</v>
      </c>
      <c r="K142" s="8" t="n">
        <f aca="false">((CEG_Assets!$S$5*CEG_Assets!$D$5*1000*K$4*K126+CEG_Assets!$P$5*(1+CEG_Assets!$Q$5)^(K$3-2026)*(K128+K129))/1000000+IF(K$3=CEG_Assets!$AH$5,CEG_Assets!$AG$5,0))*(1+CEG_CapexAdj)</f>
        <v>214.065669706395</v>
      </c>
      <c r="L142" s="8" t="n">
        <f aca="false">((CEG_Assets!$S$5*CEG_Assets!$D$5*1000*L$4*L126+CEG_Assets!$P$5*(1+CEG_Assets!$Q$5)^(L$3-2026)*(L128+L129))/1000000+IF(L$3=CEG_Assets!$AH$5,CEG_Assets!$AG$5,0))*(1+CEG_CapexAdj)</f>
        <v>219.417311449055</v>
      </c>
      <c r="M142" s="8" t="n">
        <f aca="false">((CEG_Assets!$S$5*CEG_Assets!$D$5*1000*M$4*M126+CEG_Assets!$P$5*(1+CEG_Assets!$Q$5)^(M$3-2026)*(M128+M129))/1000000+IF(M$3=CEG_Assets!$AH$5,CEG_Assets!$AG$5,0))*(1+CEG_CapexAdj)</f>
        <v>224.902744235281</v>
      </c>
      <c r="N142" s="8" t="n">
        <f aca="false">((CEG_Assets!$S$5*CEG_Assets!$D$5*1000*N$4*N126+CEG_Assets!$P$5*(1+CEG_Assets!$Q$5)^(N$3-2026)*(N128+N129))/1000000+IF(N$3=CEG_Assets!$AH$5,CEG_Assets!$AG$5,0))*(1+CEG_CapexAdj)</f>
        <v>230.525312841163</v>
      </c>
      <c r="O142" s="8" t="n">
        <f aca="false">((CEG_Assets!$S$5*CEG_Assets!$D$5*1000*O$4*O126+CEG_Assets!$P$5*(1+CEG_Assets!$Q$5)^(O$3-2026)*(O128+O129))/1000000+IF(O$3=CEG_Assets!$AH$5,CEG_Assets!$AG$5,0))*(1+CEG_CapexAdj)</f>
        <v>236.288445662192</v>
      </c>
      <c r="P142" s="8" t="n">
        <f aca="false">((CEG_Assets!$S$5*CEG_Assets!$D$5*1000*P$4*P126+CEG_Assets!$P$5*(1+CEG_Assets!$Q$5)^(P$3-2026)*(P128+P129))/1000000+IF(P$3=CEG_Assets!$AH$5,CEG_Assets!$AG$5,0))*(1+CEG_CapexAdj)</f>
        <v>242.195656803747</v>
      </c>
      <c r="Q142" s="8" t="n">
        <f aca="false">((CEG_Assets!$S$5*CEG_Assets!$D$5*1000*Q$4*Q126+CEG_Assets!$P$5*(1+CEG_Assets!$Q$5)^(Q$3-2026)*(Q128+Q129))/1000000+IF(Q$3=CEG_Assets!$AH$5,CEG_Assets!$AG$5,0))*(1+CEG_CapexAdj)</f>
        <v>248.250548223841</v>
      </c>
      <c r="R142" s="8" t="n">
        <f aca="false">((CEG_Assets!$S$5*CEG_Assets!$D$5*1000*R$4*R126+CEG_Assets!$P$5*(1+CEG_Assets!$Q$5)^(R$3-2026)*(R128+R129))/1000000+IF(R$3=CEG_Assets!$AH$5,CEG_Assets!$AG$5,0))*(1+CEG_CapexAdj)</f>
        <v>254.456811929437</v>
      </c>
      <c r="S142" s="8" t="n">
        <f aca="false">((CEG_Assets!$S$5*CEG_Assets!$D$5*1000*S$4*S126+CEG_Assets!$P$5*(1+CEG_Assets!$Q$5)^(S$3-2026)*(S128+S129))/1000000+IF(S$3=CEG_Assets!$AH$5,CEG_Assets!$AG$5,0))*(1+CEG_CapexAdj)</f>
        <v>260.818232227673</v>
      </c>
      <c r="T142" s="8" t="n">
        <f aca="false">((CEG_Assets!$S$5*CEG_Assets!$D$5*1000*T$4*T126+CEG_Assets!$P$5*(1+CEG_Assets!$Q$5)^(T$3-2026)*(T128+T129))/1000000+IF(T$3=CEG_Assets!$AH$5,CEG_Assets!$AG$5,0))*(1+CEG_CapexAdj)</f>
        <v>267.338688033364</v>
      </c>
      <c r="U142" s="8" t="n">
        <f aca="false">((CEG_Assets!$S$5*CEG_Assets!$D$5*1000*U$4*U126+CEG_Assets!$P$5*(1+CEG_Assets!$Q$5)^(U$3-2026)*(U128+U129))/1000000+IF(U$3=CEG_Assets!$AH$5,CEG_Assets!$AG$5,0))*(1+CEG_CapexAdj)</f>
        <v>274.022155234199</v>
      </c>
      <c r="V142" s="8" t="n">
        <f aca="false">((CEG_Assets!$S$5*CEG_Assets!$D$5*1000*V$4*V126+CEG_Assets!$P$5*(1+CEG_Assets!$Q$5)^(V$3-2026)*(V128+V129))/1000000+IF(V$3=CEG_Assets!$AH$5,CEG_Assets!$AG$5,0))*(1+CEG_CapexAdj)</f>
        <v>280.872709115053</v>
      </c>
      <c r="W142" s="8" t="n">
        <f aca="false">((CEG_Assets!$S$5*CEG_Assets!$D$5*1000*W$4*W126+CEG_Assets!$P$5*(1+CEG_Assets!$Q$5)^(W$3-2026)*(W128+W129))/1000000+IF(W$3=CEG_Assets!$AH$5,CEG_Assets!$AG$5,0))*(1+CEG_CapexAdj)</f>
        <v>287.89452684293</v>
      </c>
      <c r="X142" s="8" t="n">
        <f aca="false">((CEG_Assets!$S$5*CEG_Assets!$D$5*1000*X$4*X126+CEG_Assets!$P$5*(1+CEG_Assets!$Q$5)^(X$3-2026)*(X128+X129))/1000000+IF(X$3=CEG_Assets!$AH$5,CEG_Assets!$AG$5,0))*(1+CEG_CapexAdj)</f>
        <v>295.091890014003</v>
      </c>
      <c r="Y142" s="8" t="n">
        <f aca="false">((CEG_Assets!$S$5*CEG_Assets!$D$5*1000*Y$4*Y126+CEG_Assets!$P$5*(1+CEG_Assets!$Q$5)^(Y$3-2026)*(Y128+Y129))/1000000+IF(Y$3=CEG_Assets!$AH$5,CEG_Assets!$AG$5,0))*(1+CEG_CapexAdj)</f>
        <v>302.469187264353</v>
      </c>
      <c r="Z142" s="8" t="n">
        <f aca="false">((CEG_Assets!$S$5*CEG_Assets!$D$5*1000*Z$4*Z126+CEG_Assets!$P$5*(1+CEG_Assets!$Q$5)^(Z$3-2026)*(Z128+Z129))/1000000+IF(Z$3=CEG_Assets!$AH$5,CEG_Assets!$AG$5,0))*(1+CEG_CapexAdj)</f>
        <v>310.030916945962</v>
      </c>
      <c r="AA142" s="8" t="n">
        <f aca="false">((CEG_Assets!$S$5*CEG_Assets!$D$5*1000*AA$4*AA126+CEG_Assets!$P$5*(1+CEG_Assets!$Q$5)^(AA$3-2026)*(AA128+AA129))/1000000+IF(AA$3=CEG_Assets!$AH$5,CEG_Assets!$AG$5,0))*(1+CEG_CapexAdj)</f>
        <v>317.781689869611</v>
      </c>
      <c r="AB142" s="8" t="n">
        <f aca="false">((CEG_Assets!$S$5*CEG_Assets!$D$5*1000*AB$4*AB126+CEG_Assets!$P$5*(1+CEG_Assets!$Q$5)^(AB$3-2026)*(AB128+AB129))/1000000+IF(AB$3=CEG_Assets!$AH$5,CEG_Assets!$AG$5,0))*(1+CEG_CapexAdj)</f>
        <v>325.726232116351</v>
      </c>
      <c r="AC142" s="8" t="n">
        <f aca="false">((CEG_Assets!$S$5*CEG_Assets!$D$5*1000*AC$4*AC126+CEG_Assets!$P$5*(1+CEG_Assets!$Q$5)^(AC$3-2026)*(AC128+AC129))/1000000+IF(AC$3=CEG_Assets!$AH$5,CEG_Assets!$AG$5,0))*(1+CEG_CapexAdj)</f>
        <v>333.86938791926</v>
      </c>
      <c r="AD142" s="8" t="n">
        <f aca="false">((CEG_Assets!$S$5*CEG_Assets!$D$5*1000*AD$4*AD126+CEG_Assets!$P$5*(1+CEG_Assets!$Q$5)^(AD$3-2026)*(AD128+AD129))/1000000+IF(AD$3=CEG_Assets!$AH$5,CEG_Assets!$AG$5,0))*(1+CEG_CapexAdj)</f>
        <v>342.216122617241</v>
      </c>
      <c r="AE142" s="8" t="n">
        <f aca="false">((CEG_Assets!$S$5*CEG_Assets!$D$5*1000*AE$4*AE126+CEG_Assets!$P$5*(1+CEG_Assets!$Q$5)^(AE$3-2026)*(AE128+AE129))/1000000+IF(AE$3=CEG_Assets!$AH$5,CEG_Assets!$AG$5,0))*(1+CEG_CapexAdj)</f>
        <v>350.771525682672</v>
      </c>
      <c r="AF142" s="8" t="n">
        <f aca="false">((CEG_Assets!$S$5*CEG_Assets!$D$5*1000*AF$4*AF126+CEG_Assets!$P$5*(1+CEG_Assets!$Q$5)^(AF$3-2026)*(AF128+AF129))/1000000+IF(AF$3=CEG_Assets!$AH$5,CEG_Assets!$AG$5,0))*(1+CEG_CapexAdj)</f>
        <v>359.540813824739</v>
      </c>
      <c r="AG142" s="8" t="n">
        <f aca="false">((CEG_Assets!$S$5*CEG_Assets!$D$5*1000*AG$4*AG126+CEG_Assets!$P$5*(1+CEG_Assets!$Q$5)^(AG$3-2026)*(AG128+AG129))/1000000+IF(AG$3=CEG_Assets!$AH$5,CEG_Assets!$AG$5,0))*(1+CEG_CapexAdj)</f>
        <v>368.529334170358</v>
      </c>
      <c r="AH142" s="8" t="n">
        <f aca="false">((CEG_Assets!$S$5*CEG_Assets!$D$5*1000*AH$4*AH126+CEG_Assets!$P$5*(1+CEG_Assets!$Q$5)^(AH$3-2026)*(AH128+AH129))/1000000+IF(AH$3=CEG_Assets!$AH$5,CEG_Assets!$AG$5,0))*(1+CEG_CapexAdj)</f>
        <v>377.742567524617</v>
      </c>
      <c r="AI142" s="8" t="n">
        <f aca="false">((CEG_Assets!$S$5*CEG_Assets!$D$5*1000*AI$4*AI126+CEG_Assets!$P$5*(1+CEG_Assets!$Q$5)^(AI$3-2026)*(AI128+AI129))/1000000+IF(AI$3=CEG_Assets!$AH$5,CEG_Assets!$AG$5,0))*(1+CEG_CapexAdj)</f>
        <v>387.186131712732</v>
      </c>
      <c r="AJ142" s="8" t="n">
        <f aca="false">((CEG_Assets!$S$5*CEG_Assets!$D$5*1000*AJ$4*AJ126+CEG_Assets!$P$5*(1+CEG_Assets!$Q$5)^(AJ$3-2026)*(AJ128+AJ129))/1000000+IF(AJ$3=CEG_Assets!$AH$5,CEG_Assets!$AG$5,0))*(1+CEG_CapexAdj)</f>
        <v>0</v>
      </c>
      <c r="AK142" s="8" t="n">
        <f aca="false">((CEG_Assets!$S$5*CEG_Assets!$D$5*1000*AK$4*AK126+CEG_Assets!$P$5*(1+CEG_Assets!$Q$5)^(AK$3-2026)*(AK128+AK129))/1000000+IF(AK$3=CEG_Assets!$AH$5,CEG_Assets!$AG$5,0))*(1+CEG_CapexAdj)</f>
        <v>0</v>
      </c>
      <c r="AL142" s="8" t="n">
        <f aca="false">((CEG_Assets!$S$5*CEG_Assets!$D$5*1000*AL$4*AL126+CEG_Assets!$P$5*(1+CEG_Assets!$Q$5)^(AL$3-2026)*(AL128+AL129))/1000000+IF(AL$3=CEG_Assets!$AH$5,CEG_Assets!$AG$5,0))*(1+CEG_CapexAdj)</f>
        <v>0</v>
      </c>
      <c r="AM142" s="8" t="n">
        <f aca="false">((CEG_Assets!$S$5*CEG_Assets!$D$5*1000*AM$4*AM126+CEG_Assets!$P$5*(1+CEG_Assets!$Q$5)^(AM$3-2026)*(AM128+AM129))/1000000+IF(AM$3=CEG_Assets!$AH$5,CEG_Assets!$AG$5,0))*(1+CEG_CapexAdj)</f>
        <v>0</v>
      </c>
      <c r="AN142" s="8" t="n">
        <f aca="false">((CEG_Assets!$S$5*CEG_Assets!$D$5*1000*AN$4*AN126+CEG_Assets!$P$5*(1+CEG_Assets!$Q$5)^(AN$3-2026)*(AN128+AN129))/1000000+IF(AN$3=CEG_Assets!$AH$5,CEG_Assets!$AG$5,0))*(1+CEG_CapexAdj)</f>
        <v>0</v>
      </c>
      <c r="AO142" s="8" t="n">
        <f aca="false">((CEG_Assets!$S$5*CEG_Assets!$D$5*1000*AO$4*AO126+CEG_Assets!$P$5*(1+CEG_Assets!$Q$5)^(AO$3-2026)*(AO128+AO129))/1000000+IF(AO$3=CEG_Assets!$AH$5,CEG_Assets!$AG$5,0))*(1+CEG_CapexAdj)</f>
        <v>0</v>
      </c>
      <c r="AP142" s="8" t="n">
        <f aca="false">((CEG_Assets!$S$5*CEG_Assets!$D$5*1000*AP$4*AP126+CEG_Assets!$P$5*(1+CEG_Assets!$Q$5)^(AP$3-2026)*(AP128+AP129))/1000000+IF(AP$3=CEG_Assets!$AH$5,CEG_Assets!$AG$5,0))*(1+CEG_CapexAdj)</f>
        <v>0</v>
      </c>
      <c r="AQ142" s="8" t="n">
        <f aca="false">((CEG_Assets!$S$5*CEG_Assets!$D$5*1000*AQ$4*AQ126+CEG_Assets!$P$5*(1+CEG_Assets!$Q$5)^(AQ$3-2026)*(AQ128+AQ129))/1000000+IF(AQ$3=CEG_Assets!$AH$5,CEG_Assets!$AG$5,0))*(1+CEG_CapexAdj)</f>
        <v>0</v>
      </c>
      <c r="AR142" s="8" t="n">
        <f aca="false">((CEG_Assets!$S$5*CEG_Assets!$D$5*1000*AR$4*AR126+CEG_Assets!$P$5*(1+CEG_Assets!$Q$5)^(AR$3-2026)*(AR128+AR129))/1000000+IF(AR$3=CEG_Assets!$AH$5,CEG_Assets!$AG$5,0))*(1+CEG_CapexAdj)</f>
        <v>0</v>
      </c>
      <c r="AS142" s="8" t="n">
        <f aca="false">((CEG_Assets!$S$5*CEG_Assets!$D$5*1000*AS$4*AS126+CEG_Assets!$P$5*(1+CEG_Assets!$Q$5)^(AS$3-2026)*(AS128+AS129))/1000000+IF(AS$3=CEG_Assets!$AH$5,CEG_Assets!$AG$5,0))*(1+CEG_CapexAdj)</f>
        <v>0</v>
      </c>
    </row>
    <row r="143" customFormat="false" ht="15" hidden="false" customHeight="false" outlineLevel="0" collapsed="false">
      <c r="A143" s="6" t="s">
        <v>459</v>
      </c>
      <c r="B143" s="6" t="s">
        <v>460</v>
      </c>
      <c r="C143" s="9" t="n">
        <f aca="false">SUM(G143:AS143)</f>
        <v>21126.9459643202</v>
      </c>
      <c r="G143" s="8" t="n">
        <f aca="false">IF(CEG_Assets!$Y$5=1,MAX(0,G141-G142),G141-G142)</f>
        <v>1241.2321911</v>
      </c>
      <c r="H143" s="8" t="n">
        <f aca="false">IF(CEG_Assets!$Y$5=1,MAX(0,H141-H142),H141-H142)</f>
        <v>1243.1073265875</v>
      </c>
      <c r="I143" s="8" t="n">
        <f aca="false">IF(CEG_Assets!$Y$5=1,MAX(0,I141-I142),I141-I142)</f>
        <v>1090.24451221644</v>
      </c>
      <c r="J143" s="8" t="n">
        <f aca="false">IF(CEG_Assets!$Y$5=1,MAX(0,J141-J142),J141-J142)</f>
        <v>588.229338835065</v>
      </c>
      <c r="K143" s="8" t="n">
        <f aca="false">IF(CEG_Assets!$Y$5=1,MAX(0,K141-K142),K141-K142)</f>
        <v>595.179651760277</v>
      </c>
      <c r="L143" s="8" t="n">
        <f aca="false">IF(CEG_Assets!$Y$5=1,MAX(0,L141-L142),L141-L142)</f>
        <v>602.148614097705</v>
      </c>
      <c r="M143" s="8" t="n">
        <f aca="false">IF(CEG_Assets!$Y$5=1,MAX(0,M141-M142),M141-M142)</f>
        <v>609.133589914437</v>
      </c>
      <c r="N143" s="8" t="n">
        <f aca="false">IF(CEG_Assets!$Y$5=1,MAX(0,N141-N142),N141-N142)</f>
        <v>616.131815335874</v>
      </c>
      <c r="O143" s="8" t="n">
        <f aca="false">IF(CEG_Assets!$Y$5=1,MAX(0,O141-O142),O141-O142)</f>
        <v>623.140394106319</v>
      </c>
      <c r="P143" s="8" t="n">
        <f aca="false">IF(CEG_Assets!$Y$5=1,MAX(0,P141-P142),P141-P142)</f>
        <v>630.156293013765</v>
      </c>
      <c r="Q143" s="8" t="n">
        <f aca="false">IF(CEG_Assets!$Y$5=1,MAX(0,Q141-Q142),Q141-Q142)</f>
        <v>637.176337174992</v>
      </c>
      <c r="R143" s="8" t="n">
        <f aca="false">IF(CEG_Assets!$Y$5=1,MAX(0,R141-R142),R141-R142)</f>
        <v>644.197205176969</v>
      </c>
      <c r="S143" s="8" t="n">
        <f aca="false">IF(CEG_Assets!$Y$5=1,MAX(0,S141-S142),S141-S142)</f>
        <v>651.215424070447</v>
      </c>
      <c r="T143" s="8" t="n">
        <f aca="false">IF(CEG_Assets!$Y$5=1,MAX(0,T141-T142),T141-T142)</f>
        <v>658.227364211542</v>
      </c>
      <c r="U143" s="8" t="n">
        <f aca="false">IF(CEG_Assets!$Y$5=1,MAX(0,U141-U142),U141-U142)</f>
        <v>665.229233946952</v>
      </c>
      <c r="V143" s="8" t="n">
        <f aca="false">IF(CEG_Assets!$Y$5=1,MAX(0,V141-V142),V141-V142)</f>
        <v>672.21707413835</v>
      </c>
      <c r="W143" s="8" t="n">
        <f aca="false">IF(CEG_Assets!$Y$5=1,MAX(0,W141-W142),W141-W142)</f>
        <v>679.186752521387</v>
      </c>
      <c r="X143" s="8" t="n">
        <f aca="false">IF(CEG_Assets!$Y$5=1,MAX(0,X141-X142),X141-X142)</f>
        <v>686.133957894592</v>
      </c>
      <c r="Y143" s="8" t="n">
        <f aca="false">IF(CEG_Assets!$Y$5=1,MAX(0,Y141-Y142),Y141-Y142)</f>
        <v>693.05419413333</v>
      </c>
      <c r="Z143" s="8" t="n">
        <f aca="false">IF(CEG_Assets!$Y$5=1,MAX(0,Z141-Z142),Z141-Z142)</f>
        <v>699.942774023864</v>
      </c>
      <c r="AA143" s="8" t="n">
        <f aca="false">IF(CEG_Assets!$Y$5=1,MAX(0,AA141-AA142),AA141-AA142)</f>
        <v>706.794812912404</v>
      </c>
      <c r="AB143" s="8" t="n">
        <f aca="false">IF(CEG_Assets!$Y$5=1,MAX(0,AB141-AB142),AB141-AB142)</f>
        <v>713.605222163919</v>
      </c>
      <c r="AC143" s="8" t="n">
        <f aca="false">IF(CEG_Assets!$Y$5=1,MAX(0,AC141-AC142),AC141-AC142)</f>
        <v>720.368702425295</v>
      </c>
      <c r="AD143" s="8" t="n">
        <f aca="false">IF(CEG_Assets!$Y$5=1,MAX(0,AD141-AD142),AD141-AD142)</f>
        <v>727.07973668735</v>
      </c>
      <c r="AE143" s="8" t="n">
        <f aca="false">IF(CEG_Assets!$Y$5=1,MAX(0,AE141-AE142),AE141-AE142)</f>
        <v>733.732583139986</v>
      </c>
      <c r="AF143" s="8" t="n">
        <f aca="false">IF(CEG_Assets!$Y$5=1,MAX(0,AF141-AF142),AF141-AF142)</f>
        <v>740.321267814646</v>
      </c>
      <c r="AG143" s="8" t="n">
        <f aca="false">IF(CEG_Assets!$Y$5=1,MAX(0,AG141-AG142),AG141-AG142)</f>
        <v>746.839577008096</v>
      </c>
      <c r="AH143" s="8" t="n">
        <f aca="false">IF(CEG_Assets!$Y$5=1,MAX(0,AH141-AH142),AH141-AH142)</f>
        <v>753.281049481343</v>
      </c>
      <c r="AI143" s="8" t="n">
        <f aca="false">IF(CEG_Assets!$Y$5=1,MAX(0,AI141-AI142),AI141-AI142)</f>
        <v>759.638968427384</v>
      </c>
      <c r="AJ143" s="8" t="n">
        <f aca="false">IF(CEG_Assets!$Y$5=1,MAX(0,AJ141-AJ142),AJ141-AJ142)</f>
        <v>0</v>
      </c>
      <c r="AK143" s="8" t="n">
        <f aca="false">IF(CEG_Assets!$Y$5=1,MAX(0,AK141-AK142),AK141-AK142)</f>
        <v>0</v>
      </c>
      <c r="AL143" s="8" t="n">
        <f aca="false">IF(CEG_Assets!$Y$5=1,MAX(0,AL141-AL142),AL141-AL142)</f>
        <v>0</v>
      </c>
      <c r="AM143" s="8" t="n">
        <f aca="false">IF(CEG_Assets!$Y$5=1,MAX(0,AM141-AM142),AM141-AM142)</f>
        <v>0</v>
      </c>
      <c r="AN143" s="8" t="n">
        <f aca="false">IF(CEG_Assets!$Y$5=1,MAX(0,AN141-AN142),AN141-AN142)</f>
        <v>0</v>
      </c>
      <c r="AO143" s="8" t="n">
        <f aca="false">IF(CEG_Assets!$Y$5=1,MAX(0,AO141-AO142),AO141-AO142)</f>
        <v>0</v>
      </c>
      <c r="AP143" s="8" t="n">
        <f aca="false">IF(CEG_Assets!$Y$5=1,MAX(0,AP141-AP142),AP141-AP142)</f>
        <v>0</v>
      </c>
      <c r="AQ143" s="8" t="n">
        <f aca="false">IF(CEG_Assets!$Y$5=1,MAX(0,AQ141-AQ142),AQ141-AQ142)</f>
        <v>0</v>
      </c>
      <c r="AR143" s="8" t="n">
        <f aca="false">IF(CEG_Assets!$Y$5=1,MAX(0,AR141-AR142),AR141-AR142)</f>
        <v>0</v>
      </c>
      <c r="AS143" s="8" t="n">
        <f aca="false">IF(CEG_Assets!$Y$5=1,MAX(0,AS141-AS142),AS141-AS142)</f>
        <v>0</v>
      </c>
    </row>
    <row r="144" customFormat="false" ht="15" hidden="false" customHeight="false" outlineLevel="0" collapsed="false">
      <c r="A144" s="6" t="s">
        <v>461</v>
      </c>
      <c r="B144" s="6" t="s">
        <v>462</v>
      </c>
      <c r="C144" s="9" t="n">
        <f aca="false">SUM(G144:AS144)</f>
        <v>0</v>
      </c>
      <c r="G144" s="8" t="n">
        <f aca="false">IF(AND(CEG_Assets!$W$5=1,G$3&lt;=PTCLast,G128&gt;0),G128*MAX(0,PTCCredit*(1+Infl)^(G$3-PTCBase)-0.8*MAX(0,(G133+G134+G136)*1000000/MAX(1,G128)-PTCThresh*(1+Infl)^(G$3-PTCBase)))/1000000,0)</f>
        <v>0</v>
      </c>
      <c r="H144" s="8" t="n">
        <f aca="false">IF(AND(CEG_Assets!$W$5=1,H$3&lt;=PTCLast,H128&gt;0),H128*MAX(0,PTCCredit*(1+Infl)^(H$3-PTCBase)-0.8*MAX(0,(H133+H134+H136)*1000000/MAX(1,H128)-PTCThresh*(1+Infl)^(H$3-PTCBase)))/1000000,0)</f>
        <v>0</v>
      </c>
      <c r="I144" s="8" t="n">
        <f aca="false">IF(AND(CEG_Assets!$W$5=1,I$3&lt;=PTCLast,I128&gt;0),I128*MAX(0,PTCCredit*(1+Infl)^(I$3-PTCBase)-0.8*MAX(0,(I133+I134+I136)*1000000/MAX(1,I128)-PTCThresh*(1+Infl)^(I$3-PTCBase)))/1000000,0)</f>
        <v>0</v>
      </c>
      <c r="J144" s="8" t="n">
        <f aca="false">IF(AND(CEG_Assets!$W$5=1,J$3&lt;=PTCLast,J128&gt;0),J128*MAX(0,PTCCredit*(1+Infl)^(J$3-PTCBase)-0.8*MAX(0,(J133+J134+J136)*1000000/MAX(1,J128)-PTCThresh*(1+Infl)^(J$3-PTCBase)))/1000000,0)</f>
        <v>0</v>
      </c>
      <c r="K144" s="8" t="n">
        <f aca="false">IF(AND(CEG_Assets!$W$5=1,K$3&lt;=PTCLast,K128&gt;0),K128*MAX(0,PTCCredit*(1+Infl)^(K$3-PTCBase)-0.8*MAX(0,(K133+K134+K136)*1000000/MAX(1,K128)-PTCThresh*(1+Infl)^(K$3-PTCBase)))/1000000,0)</f>
        <v>0</v>
      </c>
      <c r="L144" s="8" t="n">
        <f aca="false">IF(AND(CEG_Assets!$W$5=1,L$3&lt;=PTCLast,L128&gt;0),L128*MAX(0,PTCCredit*(1+Infl)^(L$3-PTCBase)-0.8*MAX(0,(L133+L134+L136)*1000000/MAX(1,L128)-PTCThresh*(1+Infl)^(L$3-PTCBase)))/1000000,0)</f>
        <v>0</v>
      </c>
      <c r="M144" s="8" t="n">
        <f aca="false">IF(AND(CEG_Assets!$W$5=1,M$3&lt;=PTCLast,M128&gt;0),M128*MAX(0,PTCCredit*(1+Infl)^(M$3-PTCBase)-0.8*MAX(0,(M133+M134+M136)*1000000/MAX(1,M128)-PTCThresh*(1+Infl)^(M$3-PTCBase)))/1000000,0)</f>
        <v>0</v>
      </c>
      <c r="N144" s="8" t="n">
        <f aca="false">IF(AND(CEG_Assets!$W$5=1,N$3&lt;=PTCLast,N128&gt;0),N128*MAX(0,PTCCredit*(1+Infl)^(N$3-PTCBase)-0.8*MAX(0,(N133+N134+N136)*1000000/MAX(1,N128)-PTCThresh*(1+Infl)^(N$3-PTCBase)))/1000000,0)</f>
        <v>0</v>
      </c>
      <c r="O144" s="8" t="n">
        <f aca="false">IF(AND(CEG_Assets!$W$5=1,O$3&lt;=PTCLast,O128&gt;0),O128*MAX(0,PTCCredit*(1+Infl)^(O$3-PTCBase)-0.8*MAX(0,(O133+O134+O136)*1000000/MAX(1,O128)-PTCThresh*(1+Infl)^(O$3-PTCBase)))/1000000,0)</f>
        <v>0</v>
      </c>
      <c r="P144" s="8" t="n">
        <f aca="false">IF(AND(CEG_Assets!$W$5=1,P$3&lt;=PTCLast,P128&gt;0),P128*MAX(0,PTCCredit*(1+Infl)^(P$3-PTCBase)-0.8*MAX(0,(P133+P134+P136)*1000000/MAX(1,P128)-PTCThresh*(1+Infl)^(P$3-PTCBase)))/1000000,0)</f>
        <v>0</v>
      </c>
      <c r="Q144" s="8" t="n">
        <f aca="false">IF(AND(CEG_Assets!$W$5=1,Q$3&lt;=PTCLast,Q128&gt;0),Q128*MAX(0,PTCCredit*(1+Infl)^(Q$3-PTCBase)-0.8*MAX(0,(Q133+Q134+Q136)*1000000/MAX(1,Q128)-PTCThresh*(1+Infl)^(Q$3-PTCBase)))/1000000,0)</f>
        <v>0</v>
      </c>
      <c r="R144" s="8" t="n">
        <f aca="false">IF(AND(CEG_Assets!$W$5=1,R$3&lt;=PTCLast,R128&gt;0),R128*MAX(0,PTCCredit*(1+Infl)^(R$3-PTCBase)-0.8*MAX(0,(R133+R134+R136)*1000000/MAX(1,R128)-PTCThresh*(1+Infl)^(R$3-PTCBase)))/1000000,0)</f>
        <v>0</v>
      </c>
      <c r="S144" s="8" t="n">
        <f aca="false">IF(AND(CEG_Assets!$W$5=1,S$3&lt;=PTCLast,S128&gt;0),S128*MAX(0,PTCCredit*(1+Infl)^(S$3-PTCBase)-0.8*MAX(0,(S133+S134+S136)*1000000/MAX(1,S128)-PTCThresh*(1+Infl)^(S$3-PTCBase)))/1000000,0)</f>
        <v>0</v>
      </c>
      <c r="T144" s="8" t="n">
        <f aca="false">IF(AND(CEG_Assets!$W$5=1,T$3&lt;=PTCLast,T128&gt;0),T128*MAX(0,PTCCredit*(1+Infl)^(T$3-PTCBase)-0.8*MAX(0,(T133+T134+T136)*1000000/MAX(1,T128)-PTCThresh*(1+Infl)^(T$3-PTCBase)))/1000000,0)</f>
        <v>0</v>
      </c>
      <c r="U144" s="8" t="n">
        <f aca="false">IF(AND(CEG_Assets!$W$5=1,U$3&lt;=PTCLast,U128&gt;0),U128*MAX(0,PTCCredit*(1+Infl)^(U$3-PTCBase)-0.8*MAX(0,(U133+U134+U136)*1000000/MAX(1,U128)-PTCThresh*(1+Infl)^(U$3-PTCBase)))/1000000,0)</f>
        <v>0</v>
      </c>
      <c r="V144" s="8" t="n">
        <f aca="false">IF(AND(CEG_Assets!$W$5=1,V$3&lt;=PTCLast,V128&gt;0),V128*MAX(0,PTCCredit*(1+Infl)^(V$3-PTCBase)-0.8*MAX(0,(V133+V134+V136)*1000000/MAX(1,V128)-PTCThresh*(1+Infl)^(V$3-PTCBase)))/1000000,0)</f>
        <v>0</v>
      </c>
      <c r="W144" s="8" t="n">
        <f aca="false">IF(AND(CEG_Assets!$W$5=1,W$3&lt;=PTCLast,W128&gt;0),W128*MAX(0,PTCCredit*(1+Infl)^(W$3-PTCBase)-0.8*MAX(0,(W133+W134+W136)*1000000/MAX(1,W128)-PTCThresh*(1+Infl)^(W$3-PTCBase)))/1000000,0)</f>
        <v>0</v>
      </c>
      <c r="X144" s="8" t="n">
        <f aca="false">IF(AND(CEG_Assets!$W$5=1,X$3&lt;=PTCLast,X128&gt;0),X128*MAX(0,PTCCredit*(1+Infl)^(X$3-PTCBase)-0.8*MAX(0,(X133+X134+X136)*1000000/MAX(1,X128)-PTCThresh*(1+Infl)^(X$3-PTCBase)))/1000000,0)</f>
        <v>0</v>
      </c>
      <c r="Y144" s="8" t="n">
        <f aca="false">IF(AND(CEG_Assets!$W$5=1,Y$3&lt;=PTCLast,Y128&gt;0),Y128*MAX(0,PTCCredit*(1+Infl)^(Y$3-PTCBase)-0.8*MAX(0,(Y133+Y134+Y136)*1000000/MAX(1,Y128)-PTCThresh*(1+Infl)^(Y$3-PTCBase)))/1000000,0)</f>
        <v>0</v>
      </c>
      <c r="Z144" s="8" t="n">
        <f aca="false">IF(AND(CEG_Assets!$W$5=1,Z$3&lt;=PTCLast,Z128&gt;0),Z128*MAX(0,PTCCredit*(1+Infl)^(Z$3-PTCBase)-0.8*MAX(0,(Z133+Z134+Z136)*1000000/MAX(1,Z128)-PTCThresh*(1+Infl)^(Z$3-PTCBase)))/1000000,0)</f>
        <v>0</v>
      </c>
      <c r="AA144" s="8" t="n">
        <f aca="false">IF(AND(CEG_Assets!$W$5=1,AA$3&lt;=PTCLast,AA128&gt;0),AA128*MAX(0,PTCCredit*(1+Infl)^(AA$3-PTCBase)-0.8*MAX(0,(AA133+AA134+AA136)*1000000/MAX(1,AA128)-PTCThresh*(1+Infl)^(AA$3-PTCBase)))/1000000,0)</f>
        <v>0</v>
      </c>
      <c r="AB144" s="8" t="n">
        <f aca="false">IF(AND(CEG_Assets!$W$5=1,AB$3&lt;=PTCLast,AB128&gt;0),AB128*MAX(0,PTCCredit*(1+Infl)^(AB$3-PTCBase)-0.8*MAX(0,(AB133+AB134+AB136)*1000000/MAX(1,AB128)-PTCThresh*(1+Infl)^(AB$3-PTCBase)))/1000000,0)</f>
        <v>0</v>
      </c>
      <c r="AC144" s="8" t="n">
        <f aca="false">IF(AND(CEG_Assets!$W$5=1,AC$3&lt;=PTCLast,AC128&gt;0),AC128*MAX(0,PTCCredit*(1+Infl)^(AC$3-PTCBase)-0.8*MAX(0,(AC133+AC134+AC136)*1000000/MAX(1,AC128)-PTCThresh*(1+Infl)^(AC$3-PTCBase)))/1000000,0)</f>
        <v>0</v>
      </c>
      <c r="AD144" s="8" t="n">
        <f aca="false">IF(AND(CEG_Assets!$W$5=1,AD$3&lt;=PTCLast,AD128&gt;0),AD128*MAX(0,PTCCredit*(1+Infl)^(AD$3-PTCBase)-0.8*MAX(0,(AD133+AD134+AD136)*1000000/MAX(1,AD128)-PTCThresh*(1+Infl)^(AD$3-PTCBase)))/1000000,0)</f>
        <v>0</v>
      </c>
      <c r="AE144" s="8" t="n">
        <f aca="false">IF(AND(CEG_Assets!$W$5=1,AE$3&lt;=PTCLast,AE128&gt;0),AE128*MAX(0,PTCCredit*(1+Infl)^(AE$3-PTCBase)-0.8*MAX(0,(AE133+AE134+AE136)*1000000/MAX(1,AE128)-PTCThresh*(1+Infl)^(AE$3-PTCBase)))/1000000,0)</f>
        <v>0</v>
      </c>
      <c r="AF144" s="8" t="n">
        <f aca="false">IF(AND(CEG_Assets!$W$5=1,AF$3&lt;=PTCLast,AF128&gt;0),AF128*MAX(0,PTCCredit*(1+Infl)^(AF$3-PTCBase)-0.8*MAX(0,(AF133+AF134+AF136)*1000000/MAX(1,AF128)-PTCThresh*(1+Infl)^(AF$3-PTCBase)))/1000000,0)</f>
        <v>0</v>
      </c>
      <c r="AG144" s="8" t="n">
        <f aca="false">IF(AND(CEG_Assets!$W$5=1,AG$3&lt;=PTCLast,AG128&gt;0),AG128*MAX(0,PTCCredit*(1+Infl)^(AG$3-PTCBase)-0.8*MAX(0,(AG133+AG134+AG136)*1000000/MAX(1,AG128)-PTCThresh*(1+Infl)^(AG$3-PTCBase)))/1000000,0)</f>
        <v>0</v>
      </c>
      <c r="AH144" s="8" t="n">
        <f aca="false">IF(AND(CEG_Assets!$W$5=1,AH$3&lt;=PTCLast,AH128&gt;0),AH128*MAX(0,PTCCredit*(1+Infl)^(AH$3-PTCBase)-0.8*MAX(0,(AH133+AH134+AH136)*1000000/MAX(1,AH128)-PTCThresh*(1+Infl)^(AH$3-PTCBase)))/1000000,0)</f>
        <v>0</v>
      </c>
      <c r="AI144" s="8" t="n">
        <f aca="false">IF(AND(CEG_Assets!$W$5=1,AI$3&lt;=PTCLast,AI128&gt;0),AI128*MAX(0,PTCCredit*(1+Infl)^(AI$3-PTCBase)-0.8*MAX(0,(AI133+AI134+AI136)*1000000/MAX(1,AI128)-PTCThresh*(1+Infl)^(AI$3-PTCBase)))/1000000,0)</f>
        <v>0</v>
      </c>
      <c r="AJ144" s="8" t="n">
        <f aca="false">IF(AND(CEG_Assets!$W$5=1,AJ$3&lt;=PTCLast,AJ128&gt;0),AJ128*MAX(0,PTCCredit*(1+Infl)^(AJ$3-PTCBase)-0.8*MAX(0,(AJ133+AJ134+AJ136)*1000000/MAX(1,AJ128)-PTCThresh*(1+Infl)^(AJ$3-PTCBase)))/1000000,0)</f>
        <v>0</v>
      </c>
      <c r="AK144" s="8" t="n">
        <f aca="false">IF(AND(CEG_Assets!$W$5=1,AK$3&lt;=PTCLast,AK128&gt;0),AK128*MAX(0,PTCCredit*(1+Infl)^(AK$3-PTCBase)-0.8*MAX(0,(AK133+AK134+AK136)*1000000/MAX(1,AK128)-PTCThresh*(1+Infl)^(AK$3-PTCBase)))/1000000,0)</f>
        <v>0</v>
      </c>
      <c r="AL144" s="8" t="n">
        <f aca="false">IF(AND(CEG_Assets!$W$5=1,AL$3&lt;=PTCLast,AL128&gt;0),AL128*MAX(0,PTCCredit*(1+Infl)^(AL$3-PTCBase)-0.8*MAX(0,(AL133+AL134+AL136)*1000000/MAX(1,AL128)-PTCThresh*(1+Infl)^(AL$3-PTCBase)))/1000000,0)</f>
        <v>0</v>
      </c>
      <c r="AM144" s="8" t="n">
        <f aca="false">IF(AND(CEG_Assets!$W$5=1,AM$3&lt;=PTCLast,AM128&gt;0),AM128*MAX(0,PTCCredit*(1+Infl)^(AM$3-PTCBase)-0.8*MAX(0,(AM133+AM134+AM136)*1000000/MAX(1,AM128)-PTCThresh*(1+Infl)^(AM$3-PTCBase)))/1000000,0)</f>
        <v>0</v>
      </c>
      <c r="AN144" s="8" t="n">
        <f aca="false">IF(AND(CEG_Assets!$W$5=1,AN$3&lt;=PTCLast,AN128&gt;0),AN128*MAX(0,PTCCredit*(1+Infl)^(AN$3-PTCBase)-0.8*MAX(0,(AN133+AN134+AN136)*1000000/MAX(1,AN128)-PTCThresh*(1+Infl)^(AN$3-PTCBase)))/1000000,0)</f>
        <v>0</v>
      </c>
      <c r="AO144" s="8" t="n">
        <f aca="false">IF(AND(CEG_Assets!$W$5=1,AO$3&lt;=PTCLast,AO128&gt;0),AO128*MAX(0,PTCCredit*(1+Infl)^(AO$3-PTCBase)-0.8*MAX(0,(AO133+AO134+AO136)*1000000/MAX(1,AO128)-PTCThresh*(1+Infl)^(AO$3-PTCBase)))/1000000,0)</f>
        <v>0</v>
      </c>
      <c r="AP144" s="8" t="n">
        <f aca="false">IF(AND(CEG_Assets!$W$5=1,AP$3&lt;=PTCLast,AP128&gt;0),AP128*MAX(0,PTCCredit*(1+Infl)^(AP$3-PTCBase)-0.8*MAX(0,(AP133+AP134+AP136)*1000000/MAX(1,AP128)-PTCThresh*(1+Infl)^(AP$3-PTCBase)))/1000000,0)</f>
        <v>0</v>
      </c>
      <c r="AQ144" s="8" t="n">
        <f aca="false">IF(AND(CEG_Assets!$W$5=1,AQ$3&lt;=PTCLast,AQ128&gt;0),AQ128*MAX(0,PTCCredit*(1+Infl)^(AQ$3-PTCBase)-0.8*MAX(0,(AQ133+AQ134+AQ136)*1000000/MAX(1,AQ128)-PTCThresh*(1+Infl)^(AQ$3-PTCBase)))/1000000,0)</f>
        <v>0</v>
      </c>
      <c r="AR144" s="8" t="n">
        <f aca="false">IF(AND(CEG_Assets!$W$5=1,AR$3&lt;=PTCLast,AR128&gt;0),AR128*MAX(0,PTCCredit*(1+Infl)^(AR$3-PTCBase)-0.8*MAX(0,(AR133+AR134+AR136)*1000000/MAX(1,AR128)-PTCThresh*(1+Infl)^(AR$3-PTCBase)))/1000000,0)</f>
        <v>0</v>
      </c>
      <c r="AS144" s="8" t="n">
        <f aca="false">IF(AND(CEG_Assets!$W$5=1,AS$3&lt;=PTCLast,AS128&gt;0),AS128*MAX(0,PTCCredit*(1+Infl)^(AS$3-PTCBase)-0.8*MAX(0,(AS133+AS134+AS136)*1000000/MAX(1,AS128)-PTCThresh*(1+Infl)^(AS$3-PTCBase)))/1000000,0)</f>
        <v>0</v>
      </c>
    </row>
    <row r="145" customFormat="false" ht="15" hidden="false" customHeight="false" outlineLevel="0" collapsed="false">
      <c r="A145" s="6" t="s">
        <v>463</v>
      </c>
      <c r="B145" s="6" t="s">
        <v>464</v>
      </c>
      <c r="G145" s="8" t="n">
        <f aca="false">G135-G129*(CEG_Assets!$N$5*(1+CEG_FuelAdj)+CEG_Assets!$O$5*(1+CEG_OMAdj)+CEG_Assets!$P$5*(1+CEG_CapexAdj))*(1+CEG_Assets!$Q$5)^(G$3-2026)/1000000</f>
        <v>0</v>
      </c>
      <c r="H145" s="8" t="n">
        <f aca="false">H135-H129*(CEG_Assets!$N$5*(1+CEG_FuelAdj)+CEG_Assets!$O$5*(1+CEG_OMAdj)+CEG_Assets!$P$5*(1+CEG_CapexAdj))*(1+CEG_Assets!$Q$5)^(H$3-2026)/1000000</f>
        <v>0</v>
      </c>
      <c r="I145" s="8" t="n">
        <f aca="false">I135-I129*(CEG_Assets!$N$5*(1+CEG_FuelAdj)+CEG_Assets!$O$5*(1+CEG_OMAdj)+CEG_Assets!$P$5*(1+CEG_CapexAdj))*(1+CEG_Assets!$Q$5)^(I$3-2026)/1000000</f>
        <v>0</v>
      </c>
      <c r="J145" s="8" t="n">
        <f aca="false">J135-J129*(CEG_Assets!$N$5*(1+CEG_FuelAdj)+CEG_Assets!$O$5*(1+CEG_OMAdj)+CEG_Assets!$P$5*(1+CEG_CapexAdj))*(1+CEG_Assets!$Q$5)^(J$3-2026)/1000000</f>
        <v>0</v>
      </c>
      <c r="K145" s="8" t="n">
        <f aca="false">K135-K129*(CEG_Assets!$N$5*(1+CEG_FuelAdj)+CEG_Assets!$O$5*(1+CEG_OMAdj)+CEG_Assets!$P$5*(1+CEG_CapexAdj))*(1+CEG_Assets!$Q$5)^(K$3-2026)/1000000</f>
        <v>0</v>
      </c>
      <c r="L145" s="8" t="n">
        <f aca="false">L135-L129*(CEG_Assets!$N$5*(1+CEG_FuelAdj)+CEG_Assets!$O$5*(1+CEG_OMAdj)+CEG_Assets!$P$5*(1+CEG_CapexAdj))*(1+CEG_Assets!$Q$5)^(L$3-2026)/1000000</f>
        <v>0</v>
      </c>
      <c r="M145" s="8" t="n">
        <f aca="false">M135-M129*(CEG_Assets!$N$5*(1+CEG_FuelAdj)+CEG_Assets!$O$5*(1+CEG_OMAdj)+CEG_Assets!$P$5*(1+CEG_CapexAdj))*(1+CEG_Assets!$Q$5)^(M$3-2026)/1000000</f>
        <v>0</v>
      </c>
      <c r="N145" s="8" t="n">
        <f aca="false">N135-N129*(CEG_Assets!$N$5*(1+CEG_FuelAdj)+CEG_Assets!$O$5*(1+CEG_OMAdj)+CEG_Assets!$P$5*(1+CEG_CapexAdj))*(1+CEG_Assets!$Q$5)^(N$3-2026)/1000000</f>
        <v>0</v>
      </c>
      <c r="O145" s="8" t="n">
        <f aca="false">O135-O129*(CEG_Assets!$N$5*(1+CEG_FuelAdj)+CEG_Assets!$O$5*(1+CEG_OMAdj)+CEG_Assets!$P$5*(1+CEG_CapexAdj))*(1+CEG_Assets!$Q$5)^(O$3-2026)/1000000</f>
        <v>0</v>
      </c>
      <c r="P145" s="8" t="n">
        <f aca="false">P135-P129*(CEG_Assets!$N$5*(1+CEG_FuelAdj)+CEG_Assets!$O$5*(1+CEG_OMAdj)+CEG_Assets!$P$5*(1+CEG_CapexAdj))*(1+CEG_Assets!$Q$5)^(P$3-2026)/1000000</f>
        <v>0</v>
      </c>
      <c r="Q145" s="8" t="n">
        <f aca="false">Q135-Q129*(CEG_Assets!$N$5*(1+CEG_FuelAdj)+CEG_Assets!$O$5*(1+CEG_OMAdj)+CEG_Assets!$P$5*(1+CEG_CapexAdj))*(1+CEG_Assets!$Q$5)^(Q$3-2026)/1000000</f>
        <v>0</v>
      </c>
      <c r="R145" s="8" t="n">
        <f aca="false">R135-R129*(CEG_Assets!$N$5*(1+CEG_FuelAdj)+CEG_Assets!$O$5*(1+CEG_OMAdj)+CEG_Assets!$P$5*(1+CEG_CapexAdj))*(1+CEG_Assets!$Q$5)^(R$3-2026)/1000000</f>
        <v>0</v>
      </c>
      <c r="S145" s="8" t="n">
        <f aca="false">S135-S129*(CEG_Assets!$N$5*(1+CEG_FuelAdj)+CEG_Assets!$O$5*(1+CEG_OMAdj)+CEG_Assets!$P$5*(1+CEG_CapexAdj))*(1+CEG_Assets!$Q$5)^(S$3-2026)/1000000</f>
        <v>0</v>
      </c>
      <c r="T145" s="8" t="n">
        <f aca="false">T135-T129*(CEG_Assets!$N$5*(1+CEG_FuelAdj)+CEG_Assets!$O$5*(1+CEG_OMAdj)+CEG_Assets!$P$5*(1+CEG_CapexAdj))*(1+CEG_Assets!$Q$5)^(T$3-2026)/1000000</f>
        <v>0</v>
      </c>
      <c r="U145" s="8" t="n">
        <f aca="false">U135-U129*(CEG_Assets!$N$5*(1+CEG_FuelAdj)+CEG_Assets!$O$5*(1+CEG_OMAdj)+CEG_Assets!$P$5*(1+CEG_CapexAdj))*(1+CEG_Assets!$Q$5)^(U$3-2026)/1000000</f>
        <v>0</v>
      </c>
      <c r="V145" s="8" t="n">
        <f aca="false">V135-V129*(CEG_Assets!$N$5*(1+CEG_FuelAdj)+CEG_Assets!$O$5*(1+CEG_OMAdj)+CEG_Assets!$P$5*(1+CEG_CapexAdj))*(1+CEG_Assets!$Q$5)^(V$3-2026)/1000000</f>
        <v>0</v>
      </c>
      <c r="W145" s="8" t="n">
        <f aca="false">W135-W129*(CEG_Assets!$N$5*(1+CEG_FuelAdj)+CEG_Assets!$O$5*(1+CEG_OMAdj)+CEG_Assets!$P$5*(1+CEG_CapexAdj))*(1+CEG_Assets!$Q$5)^(W$3-2026)/1000000</f>
        <v>0</v>
      </c>
      <c r="X145" s="8" t="n">
        <f aca="false">X135-X129*(CEG_Assets!$N$5*(1+CEG_FuelAdj)+CEG_Assets!$O$5*(1+CEG_OMAdj)+CEG_Assets!$P$5*(1+CEG_CapexAdj))*(1+CEG_Assets!$Q$5)^(X$3-2026)/1000000</f>
        <v>0</v>
      </c>
      <c r="Y145" s="8" t="n">
        <f aca="false">Y135-Y129*(CEG_Assets!$N$5*(1+CEG_FuelAdj)+CEG_Assets!$O$5*(1+CEG_OMAdj)+CEG_Assets!$P$5*(1+CEG_CapexAdj))*(1+CEG_Assets!$Q$5)^(Y$3-2026)/1000000</f>
        <v>0</v>
      </c>
      <c r="Z145" s="8" t="n">
        <f aca="false">Z135-Z129*(CEG_Assets!$N$5*(1+CEG_FuelAdj)+CEG_Assets!$O$5*(1+CEG_OMAdj)+CEG_Assets!$P$5*(1+CEG_CapexAdj))*(1+CEG_Assets!$Q$5)^(Z$3-2026)/1000000</f>
        <v>0</v>
      </c>
      <c r="AA145" s="8" t="n">
        <f aca="false">AA135-AA129*(CEG_Assets!$N$5*(1+CEG_FuelAdj)+CEG_Assets!$O$5*(1+CEG_OMAdj)+CEG_Assets!$P$5*(1+CEG_CapexAdj))*(1+CEG_Assets!$Q$5)^(AA$3-2026)/1000000</f>
        <v>0</v>
      </c>
      <c r="AB145" s="8" t="n">
        <f aca="false">AB135-AB129*(CEG_Assets!$N$5*(1+CEG_FuelAdj)+CEG_Assets!$O$5*(1+CEG_OMAdj)+CEG_Assets!$P$5*(1+CEG_CapexAdj))*(1+CEG_Assets!$Q$5)^(AB$3-2026)/1000000</f>
        <v>0</v>
      </c>
      <c r="AC145" s="8" t="n">
        <f aca="false">AC135-AC129*(CEG_Assets!$N$5*(1+CEG_FuelAdj)+CEG_Assets!$O$5*(1+CEG_OMAdj)+CEG_Assets!$P$5*(1+CEG_CapexAdj))*(1+CEG_Assets!$Q$5)^(AC$3-2026)/1000000</f>
        <v>0</v>
      </c>
      <c r="AD145" s="8" t="n">
        <f aca="false">AD135-AD129*(CEG_Assets!$N$5*(1+CEG_FuelAdj)+CEG_Assets!$O$5*(1+CEG_OMAdj)+CEG_Assets!$P$5*(1+CEG_CapexAdj))*(1+CEG_Assets!$Q$5)^(AD$3-2026)/1000000</f>
        <v>0</v>
      </c>
      <c r="AE145" s="8" t="n">
        <f aca="false">AE135-AE129*(CEG_Assets!$N$5*(1+CEG_FuelAdj)+CEG_Assets!$O$5*(1+CEG_OMAdj)+CEG_Assets!$P$5*(1+CEG_CapexAdj))*(1+CEG_Assets!$Q$5)^(AE$3-2026)/1000000</f>
        <v>0</v>
      </c>
      <c r="AF145" s="8" t="n">
        <f aca="false">AF135-AF129*(CEG_Assets!$N$5*(1+CEG_FuelAdj)+CEG_Assets!$O$5*(1+CEG_OMAdj)+CEG_Assets!$P$5*(1+CEG_CapexAdj))*(1+CEG_Assets!$Q$5)^(AF$3-2026)/1000000</f>
        <v>0</v>
      </c>
      <c r="AG145" s="8" t="n">
        <f aca="false">AG135-AG129*(CEG_Assets!$N$5*(1+CEG_FuelAdj)+CEG_Assets!$O$5*(1+CEG_OMAdj)+CEG_Assets!$P$5*(1+CEG_CapexAdj))*(1+CEG_Assets!$Q$5)^(AG$3-2026)/1000000</f>
        <v>0</v>
      </c>
      <c r="AH145" s="8" t="n">
        <f aca="false">AH135-AH129*(CEG_Assets!$N$5*(1+CEG_FuelAdj)+CEG_Assets!$O$5*(1+CEG_OMAdj)+CEG_Assets!$P$5*(1+CEG_CapexAdj))*(1+CEG_Assets!$Q$5)^(AH$3-2026)/1000000</f>
        <v>0</v>
      </c>
      <c r="AI145" s="8" t="n">
        <f aca="false">AI135-AI129*(CEG_Assets!$N$5*(1+CEG_FuelAdj)+CEG_Assets!$O$5*(1+CEG_OMAdj)+CEG_Assets!$P$5*(1+CEG_CapexAdj))*(1+CEG_Assets!$Q$5)^(AI$3-2026)/1000000</f>
        <v>0</v>
      </c>
      <c r="AJ145" s="8" t="n">
        <f aca="false">AJ135-AJ129*(CEG_Assets!$N$5*(1+CEG_FuelAdj)+CEG_Assets!$O$5*(1+CEG_OMAdj)+CEG_Assets!$P$5*(1+CEG_CapexAdj))*(1+CEG_Assets!$Q$5)^(AJ$3-2026)/1000000</f>
        <v>0</v>
      </c>
      <c r="AK145" s="8" t="n">
        <f aca="false">AK135-AK129*(CEG_Assets!$N$5*(1+CEG_FuelAdj)+CEG_Assets!$O$5*(1+CEG_OMAdj)+CEG_Assets!$P$5*(1+CEG_CapexAdj))*(1+CEG_Assets!$Q$5)^(AK$3-2026)/1000000</f>
        <v>0</v>
      </c>
      <c r="AL145" s="8" t="n">
        <f aca="false">AL135-AL129*(CEG_Assets!$N$5*(1+CEG_FuelAdj)+CEG_Assets!$O$5*(1+CEG_OMAdj)+CEG_Assets!$P$5*(1+CEG_CapexAdj))*(1+CEG_Assets!$Q$5)^(AL$3-2026)/1000000</f>
        <v>0</v>
      </c>
      <c r="AM145" s="8" t="n">
        <f aca="false">AM135-AM129*(CEG_Assets!$N$5*(1+CEG_FuelAdj)+CEG_Assets!$O$5*(1+CEG_OMAdj)+CEG_Assets!$P$5*(1+CEG_CapexAdj))*(1+CEG_Assets!$Q$5)^(AM$3-2026)/1000000</f>
        <v>0</v>
      </c>
      <c r="AN145" s="8" t="n">
        <f aca="false">AN135-AN129*(CEG_Assets!$N$5*(1+CEG_FuelAdj)+CEG_Assets!$O$5*(1+CEG_OMAdj)+CEG_Assets!$P$5*(1+CEG_CapexAdj))*(1+CEG_Assets!$Q$5)^(AN$3-2026)/1000000</f>
        <v>0</v>
      </c>
      <c r="AO145" s="8" t="n">
        <f aca="false">AO135-AO129*(CEG_Assets!$N$5*(1+CEG_FuelAdj)+CEG_Assets!$O$5*(1+CEG_OMAdj)+CEG_Assets!$P$5*(1+CEG_CapexAdj))*(1+CEG_Assets!$Q$5)^(AO$3-2026)/1000000</f>
        <v>0</v>
      </c>
      <c r="AP145" s="8" t="n">
        <f aca="false">AP135-AP129*(CEG_Assets!$N$5*(1+CEG_FuelAdj)+CEG_Assets!$O$5*(1+CEG_OMAdj)+CEG_Assets!$P$5*(1+CEG_CapexAdj))*(1+CEG_Assets!$Q$5)^(AP$3-2026)/1000000</f>
        <v>0</v>
      </c>
      <c r="AQ145" s="8" t="n">
        <f aca="false">AQ135-AQ129*(CEG_Assets!$N$5*(1+CEG_FuelAdj)+CEG_Assets!$O$5*(1+CEG_OMAdj)+CEG_Assets!$P$5*(1+CEG_CapexAdj))*(1+CEG_Assets!$Q$5)^(AQ$3-2026)/1000000</f>
        <v>0</v>
      </c>
      <c r="AR145" s="8" t="n">
        <f aca="false">AR135-AR129*(CEG_Assets!$N$5*(1+CEG_FuelAdj)+CEG_Assets!$O$5*(1+CEG_OMAdj)+CEG_Assets!$P$5*(1+CEG_CapexAdj))*(1+CEG_Assets!$Q$5)^(AR$3-2026)/1000000</f>
        <v>0</v>
      </c>
      <c r="AS145" s="8" t="n">
        <f aca="false">AS135-AS129*(CEG_Assets!$N$5*(1+CEG_FuelAdj)+CEG_Assets!$O$5*(1+CEG_OMAdj)+CEG_Assets!$P$5*(1+CEG_CapexAdj))*(1+CEG_Assets!$Q$5)^(AS$3-2026)/1000000</f>
        <v>0</v>
      </c>
    </row>
    <row r="146" customFormat="false" ht="15" hidden="false" customHeight="false" outlineLevel="0" collapsed="false">
      <c r="A146" s="6" t="s">
        <v>465</v>
      </c>
      <c r="B146" s="6" t="s">
        <v>466</v>
      </c>
      <c r="G146" s="8" t="n">
        <f aca="false">G143-G145</f>
        <v>1241.2321911</v>
      </c>
      <c r="H146" s="8" t="n">
        <f aca="false">H143-H145</f>
        <v>1243.1073265875</v>
      </c>
      <c r="I146" s="8" t="n">
        <f aca="false">I143-I145</f>
        <v>1090.24451221644</v>
      </c>
      <c r="J146" s="8" t="n">
        <f aca="false">J143-J145</f>
        <v>588.229338835065</v>
      </c>
      <c r="K146" s="8" t="n">
        <f aca="false">K143-K145</f>
        <v>595.179651760277</v>
      </c>
      <c r="L146" s="8" t="n">
        <f aca="false">L143-L145</f>
        <v>602.148614097705</v>
      </c>
      <c r="M146" s="8" t="n">
        <f aca="false">M143-M145</f>
        <v>609.133589914437</v>
      </c>
      <c r="N146" s="8" t="n">
        <f aca="false">N143-N145</f>
        <v>616.131815335874</v>
      </c>
      <c r="O146" s="8" t="n">
        <f aca="false">O143-O145</f>
        <v>623.140394106319</v>
      </c>
      <c r="P146" s="8" t="n">
        <f aca="false">P143-P145</f>
        <v>630.156293013765</v>
      </c>
      <c r="Q146" s="8" t="n">
        <f aca="false">Q143-Q145</f>
        <v>637.176337174992</v>
      </c>
      <c r="R146" s="8" t="n">
        <f aca="false">R143-R145</f>
        <v>644.197205176969</v>
      </c>
      <c r="S146" s="8" t="n">
        <f aca="false">S143-S145</f>
        <v>651.215424070447</v>
      </c>
      <c r="T146" s="8" t="n">
        <f aca="false">T143-T145</f>
        <v>658.227364211542</v>
      </c>
      <c r="U146" s="8" t="n">
        <f aca="false">U143-U145</f>
        <v>665.229233946952</v>
      </c>
      <c r="V146" s="8" t="n">
        <f aca="false">V143-V145</f>
        <v>672.21707413835</v>
      </c>
      <c r="W146" s="8" t="n">
        <f aca="false">W143-W145</f>
        <v>679.186752521387</v>
      </c>
      <c r="X146" s="8" t="n">
        <f aca="false">X143-X145</f>
        <v>686.133957894592</v>
      </c>
      <c r="Y146" s="8" t="n">
        <f aca="false">Y143-Y145</f>
        <v>693.05419413333</v>
      </c>
      <c r="Z146" s="8" t="n">
        <f aca="false">Z143-Z145</f>
        <v>699.942774023864</v>
      </c>
      <c r="AA146" s="8" t="n">
        <f aca="false">AA143-AA145</f>
        <v>706.794812912404</v>
      </c>
      <c r="AB146" s="8" t="n">
        <f aca="false">AB143-AB145</f>
        <v>713.605222163919</v>
      </c>
      <c r="AC146" s="8" t="n">
        <f aca="false">AC143-AC145</f>
        <v>720.368702425295</v>
      </c>
      <c r="AD146" s="8" t="n">
        <f aca="false">AD143-AD145</f>
        <v>727.07973668735</v>
      </c>
      <c r="AE146" s="8" t="n">
        <f aca="false">AE143-AE145</f>
        <v>733.732583139986</v>
      </c>
      <c r="AF146" s="8" t="n">
        <f aca="false">AF143-AF145</f>
        <v>740.321267814646</v>
      </c>
      <c r="AG146" s="8" t="n">
        <f aca="false">AG143-AG145</f>
        <v>746.839577008096</v>
      </c>
      <c r="AH146" s="8" t="n">
        <f aca="false">AH143-AH145</f>
        <v>753.281049481343</v>
      </c>
      <c r="AI146" s="8" t="n">
        <f aca="false">AI143-AI145</f>
        <v>759.638968427384</v>
      </c>
      <c r="AJ146" s="8" t="n">
        <f aca="false">AJ143-AJ145</f>
        <v>0</v>
      </c>
      <c r="AK146" s="8" t="n">
        <f aca="false">AK143-AK145</f>
        <v>0</v>
      </c>
      <c r="AL146" s="8" t="n">
        <f aca="false">AL143-AL145</f>
        <v>0</v>
      </c>
      <c r="AM146" s="8" t="n">
        <f aca="false">AM143-AM145</f>
        <v>0</v>
      </c>
      <c r="AN146" s="8" t="n">
        <f aca="false">AN143-AN145</f>
        <v>0</v>
      </c>
      <c r="AO146" s="8" t="n">
        <f aca="false">AO143-AO145</f>
        <v>0</v>
      </c>
      <c r="AP146" s="8" t="n">
        <f aca="false">AP143-AP145</f>
        <v>0</v>
      </c>
      <c r="AQ146" s="8" t="n">
        <f aca="false">AQ143-AQ145</f>
        <v>0</v>
      </c>
      <c r="AR146" s="8" t="n">
        <f aca="false">AR143-AR145</f>
        <v>0</v>
      </c>
      <c r="AS146" s="8" t="n">
        <f aca="false">AS143-AS145</f>
        <v>0</v>
      </c>
    </row>
    <row r="147" customFormat="false" ht="15" hidden="false" customHeight="false" outlineLevel="0" collapsed="false">
      <c r="A147" s="6" t="s">
        <v>467</v>
      </c>
      <c r="B147" s="6" t="s">
        <v>468</v>
      </c>
      <c r="G147" s="8" t="n">
        <f aca="false">G146*(1-TaxRate)+G144</f>
        <v>992.98575288</v>
      </c>
      <c r="H147" s="8" t="n">
        <f aca="false">H146*(1-TaxRate)+H144</f>
        <v>994.48586127</v>
      </c>
      <c r="I147" s="8" t="n">
        <f aca="false">I146*(1-TaxRate)+I144</f>
        <v>872.195609773152</v>
      </c>
      <c r="J147" s="8" t="n">
        <f aca="false">J146*(1-TaxRate)+J144</f>
        <v>470.583471068052</v>
      </c>
      <c r="K147" s="8" t="n">
        <f aca="false">K146*(1-TaxRate)+K144</f>
        <v>476.143721408221</v>
      </c>
      <c r="L147" s="8" t="n">
        <f aca="false">L146*(1-TaxRate)+L144</f>
        <v>481.718891278164</v>
      </c>
      <c r="M147" s="8" t="n">
        <f aca="false">M146*(1-TaxRate)+M144</f>
        <v>487.30687193155</v>
      </c>
      <c r="N147" s="8" t="n">
        <f aca="false">N146*(1-TaxRate)+N144</f>
        <v>492.9054522687</v>
      </c>
      <c r="O147" s="8" t="n">
        <f aca="false">O146*(1-TaxRate)+O144</f>
        <v>498.512315285055</v>
      </c>
      <c r="P147" s="8" t="n">
        <f aca="false">P146*(1-TaxRate)+P144</f>
        <v>504.125034411012</v>
      </c>
      <c r="Q147" s="8" t="n">
        <f aca="false">Q146*(1-TaxRate)+Q144</f>
        <v>509.741069739994</v>
      </c>
      <c r="R147" s="8" t="n">
        <f aca="false">R146*(1-TaxRate)+R144</f>
        <v>515.357764141575</v>
      </c>
      <c r="S147" s="8" t="n">
        <f aca="false">S146*(1-TaxRate)+S144</f>
        <v>520.972339256358</v>
      </c>
      <c r="T147" s="8" t="n">
        <f aca="false">T146*(1-TaxRate)+T144</f>
        <v>526.581891369234</v>
      </c>
      <c r="U147" s="8" t="n">
        <f aca="false">U146*(1-TaxRate)+U144</f>
        <v>532.183387157562</v>
      </c>
      <c r="V147" s="8" t="n">
        <f aca="false">V146*(1-TaxRate)+V144</f>
        <v>537.77365931068</v>
      </c>
      <c r="W147" s="8" t="n">
        <f aca="false">W146*(1-TaxRate)+W144</f>
        <v>543.34940201711</v>
      </c>
      <c r="X147" s="8" t="n">
        <f aca="false">X146*(1-TaxRate)+X144</f>
        <v>548.907166315673</v>
      </c>
      <c r="Y147" s="8" t="n">
        <f aca="false">Y146*(1-TaxRate)+Y144</f>
        <v>554.443355306664</v>
      </c>
      <c r="Z147" s="8" t="n">
        <f aca="false">Z146*(1-TaxRate)+Z144</f>
        <v>559.954219219091</v>
      </c>
      <c r="AA147" s="8" t="n">
        <f aca="false">AA146*(1-TaxRate)+AA144</f>
        <v>565.435850329924</v>
      </c>
      <c r="AB147" s="8" t="n">
        <f aca="false">AB146*(1-TaxRate)+AB144</f>
        <v>570.884177731135</v>
      </c>
      <c r="AC147" s="8" t="n">
        <f aca="false">AC146*(1-TaxRate)+AC144</f>
        <v>576.294961940236</v>
      </c>
      <c r="AD147" s="8" t="n">
        <f aca="false">AD146*(1-TaxRate)+AD144</f>
        <v>581.66378934988</v>
      </c>
      <c r="AE147" s="8" t="n">
        <f aca="false">AE146*(1-TaxRate)+AE144</f>
        <v>586.986066511989</v>
      </c>
      <c r="AF147" s="8" t="n">
        <f aca="false">AF146*(1-TaxRate)+AF144</f>
        <v>592.257014251717</v>
      </c>
      <c r="AG147" s="8" t="n">
        <f aca="false">AG146*(1-TaxRate)+AG144</f>
        <v>597.471661606477</v>
      </c>
      <c r="AH147" s="8" t="n">
        <f aca="false">AH146*(1-TaxRate)+AH144</f>
        <v>602.624839585075</v>
      </c>
      <c r="AI147" s="8" t="n">
        <f aca="false">AI146*(1-TaxRate)+AI144</f>
        <v>607.711174741908</v>
      </c>
      <c r="AJ147" s="8" t="n">
        <f aca="false">AJ146*(1-TaxRate)+AJ144</f>
        <v>0</v>
      </c>
      <c r="AK147" s="8" t="n">
        <f aca="false">AK146*(1-TaxRate)+AK144</f>
        <v>0</v>
      </c>
      <c r="AL147" s="8" t="n">
        <f aca="false">AL146*(1-TaxRate)+AL144</f>
        <v>0</v>
      </c>
      <c r="AM147" s="8" t="n">
        <f aca="false">AM146*(1-TaxRate)+AM144</f>
        <v>0</v>
      </c>
      <c r="AN147" s="8" t="n">
        <f aca="false">AN146*(1-TaxRate)+AN144</f>
        <v>0</v>
      </c>
      <c r="AO147" s="8" t="n">
        <f aca="false">AO146*(1-TaxRate)+AO144</f>
        <v>0</v>
      </c>
      <c r="AP147" s="8" t="n">
        <f aca="false">AP146*(1-TaxRate)+AP144</f>
        <v>0</v>
      </c>
      <c r="AQ147" s="8" t="n">
        <f aca="false">AQ146*(1-TaxRate)+AQ144</f>
        <v>0</v>
      </c>
      <c r="AR147" s="8" t="n">
        <f aca="false">AR146*(1-TaxRate)+AR144</f>
        <v>0</v>
      </c>
      <c r="AS147" s="8" t="n">
        <f aca="false">AS146*(1-TaxRate)+AS144</f>
        <v>0</v>
      </c>
    </row>
    <row r="148" customFormat="false" ht="15" hidden="false" customHeight="false" outlineLevel="0" collapsed="false">
      <c r="A148" s="6" t="s">
        <v>469</v>
      </c>
      <c r="B148" s="6" t="s">
        <v>470</v>
      </c>
      <c r="G148" s="8" t="n">
        <f aca="false">G145*(1-TaxRate)</f>
        <v>0</v>
      </c>
      <c r="H148" s="8" t="n">
        <f aca="false">H145*(1-TaxRate)</f>
        <v>0</v>
      </c>
      <c r="I148" s="8" t="n">
        <f aca="false">I145*(1-TaxRate)</f>
        <v>0</v>
      </c>
      <c r="J148" s="8" t="n">
        <f aca="false">J145*(1-TaxRate)</f>
        <v>0</v>
      </c>
      <c r="K148" s="8" t="n">
        <f aca="false">K145*(1-TaxRate)</f>
        <v>0</v>
      </c>
      <c r="L148" s="8" t="n">
        <f aca="false">L145*(1-TaxRate)</f>
        <v>0</v>
      </c>
      <c r="M148" s="8" t="n">
        <f aca="false">M145*(1-TaxRate)</f>
        <v>0</v>
      </c>
      <c r="N148" s="8" t="n">
        <f aca="false">N145*(1-TaxRate)</f>
        <v>0</v>
      </c>
      <c r="O148" s="8" t="n">
        <f aca="false">O145*(1-TaxRate)</f>
        <v>0</v>
      </c>
      <c r="P148" s="8" t="n">
        <f aca="false">P145*(1-TaxRate)</f>
        <v>0</v>
      </c>
      <c r="Q148" s="8" t="n">
        <f aca="false">Q145*(1-TaxRate)</f>
        <v>0</v>
      </c>
      <c r="R148" s="8" t="n">
        <f aca="false">R145*(1-TaxRate)</f>
        <v>0</v>
      </c>
      <c r="S148" s="8" t="n">
        <f aca="false">S145*(1-TaxRate)</f>
        <v>0</v>
      </c>
      <c r="T148" s="8" t="n">
        <f aca="false">T145*(1-TaxRate)</f>
        <v>0</v>
      </c>
      <c r="U148" s="8" t="n">
        <f aca="false">U145*(1-TaxRate)</f>
        <v>0</v>
      </c>
      <c r="V148" s="8" t="n">
        <f aca="false">V145*(1-TaxRate)</f>
        <v>0</v>
      </c>
      <c r="W148" s="8" t="n">
        <f aca="false">W145*(1-TaxRate)</f>
        <v>0</v>
      </c>
      <c r="X148" s="8" t="n">
        <f aca="false">X145*(1-TaxRate)</f>
        <v>0</v>
      </c>
      <c r="Y148" s="8" t="n">
        <f aca="false">Y145*(1-TaxRate)</f>
        <v>0</v>
      </c>
      <c r="Z148" s="8" t="n">
        <f aca="false">Z145*(1-TaxRate)</f>
        <v>0</v>
      </c>
      <c r="AA148" s="8" t="n">
        <f aca="false">AA145*(1-TaxRate)</f>
        <v>0</v>
      </c>
      <c r="AB148" s="8" t="n">
        <f aca="false">AB145*(1-TaxRate)</f>
        <v>0</v>
      </c>
      <c r="AC148" s="8" t="n">
        <f aca="false">AC145*(1-TaxRate)</f>
        <v>0</v>
      </c>
      <c r="AD148" s="8" t="n">
        <f aca="false">AD145*(1-TaxRate)</f>
        <v>0</v>
      </c>
      <c r="AE148" s="8" t="n">
        <f aca="false">AE145*(1-TaxRate)</f>
        <v>0</v>
      </c>
      <c r="AF148" s="8" t="n">
        <f aca="false">AF145*(1-TaxRate)</f>
        <v>0</v>
      </c>
      <c r="AG148" s="8" t="n">
        <f aca="false">AG145*(1-TaxRate)</f>
        <v>0</v>
      </c>
      <c r="AH148" s="8" t="n">
        <f aca="false">AH145*(1-TaxRate)</f>
        <v>0</v>
      </c>
      <c r="AI148" s="8" t="n">
        <f aca="false">AI145*(1-TaxRate)</f>
        <v>0</v>
      </c>
      <c r="AJ148" s="8" t="n">
        <f aca="false">AJ145*(1-TaxRate)</f>
        <v>0</v>
      </c>
      <c r="AK148" s="8" t="n">
        <f aca="false">AK145*(1-TaxRate)</f>
        <v>0</v>
      </c>
      <c r="AL148" s="8" t="n">
        <f aca="false">AL145*(1-TaxRate)</f>
        <v>0</v>
      </c>
      <c r="AM148" s="8" t="n">
        <f aca="false">AM145*(1-TaxRate)</f>
        <v>0</v>
      </c>
      <c r="AN148" s="8" t="n">
        <f aca="false">AN145*(1-TaxRate)</f>
        <v>0</v>
      </c>
      <c r="AO148" s="8" t="n">
        <f aca="false">AO145*(1-TaxRate)</f>
        <v>0</v>
      </c>
      <c r="AP148" s="8" t="n">
        <f aca="false">AP145*(1-TaxRate)</f>
        <v>0</v>
      </c>
      <c r="AQ148" s="8" t="n">
        <f aca="false">AQ145*(1-TaxRate)</f>
        <v>0</v>
      </c>
      <c r="AR148" s="8" t="n">
        <f aca="false">AR145*(1-TaxRate)</f>
        <v>0</v>
      </c>
      <c r="AS148" s="8" t="n">
        <f aca="false">AS145*(1-TaxRate)</f>
        <v>0</v>
      </c>
    </row>
    <row r="149" customFormat="false" ht="15" hidden="false" customHeight="false" outlineLevel="0" collapsed="false">
      <c r="A149" s="6" t="s">
        <v>471</v>
      </c>
      <c r="B149" s="6" t="s">
        <v>472</v>
      </c>
      <c r="G149" s="42" t="n">
        <f aca="false">(1+CEG_Assets!$AE$5)^-(G$3+0.5-ValDate)</f>
        <v>0.943913469359513</v>
      </c>
      <c r="H149" s="42" t="n">
        <f aca="false">(1+CEG_Assets!$AE$5)^-(H$3+0.5-ValDate)</f>
        <v>0.87399395311066</v>
      </c>
      <c r="I149" s="42" t="n">
        <f aca="false">(1+CEG_Assets!$AE$5)^-(I$3+0.5-ValDate)</f>
        <v>0.809253660287648</v>
      </c>
      <c r="J149" s="42" t="n">
        <f aca="false">(1+CEG_Assets!$AE$5)^-(J$3+0.5-ValDate)</f>
        <v>0.749308944710785</v>
      </c>
      <c r="K149" s="42" t="n">
        <f aca="false">(1+CEG_Assets!$AE$5)^-(K$3+0.5-ValDate)</f>
        <v>0.693804578435912</v>
      </c>
      <c r="L149" s="42" t="n">
        <f aca="false">(1+CEG_Assets!$AE$5)^-(L$3+0.5-ValDate)</f>
        <v>0.642411646699918</v>
      </c>
      <c r="M149" s="42" t="n">
        <f aca="false">(1+CEG_Assets!$AE$5)^-(M$3+0.5-ValDate)</f>
        <v>0.594825598796221</v>
      </c>
      <c r="N149" s="42" t="n">
        <f aca="false">(1+CEG_Assets!$AE$5)^-(N$3+0.5-ValDate)</f>
        <v>0.550764443329834</v>
      </c>
      <c r="O149" s="42" t="n">
        <f aca="false">(1+CEG_Assets!$AE$5)^-(O$3+0.5-ValDate)</f>
        <v>0.509967077157254</v>
      </c>
      <c r="P149" s="42" t="n">
        <f aca="false">(1+CEG_Assets!$AE$5)^-(P$3+0.5-ValDate)</f>
        <v>0.472191738108568</v>
      </c>
      <c r="Q149" s="42" t="n">
        <f aca="false">(1+CEG_Assets!$AE$5)^-(Q$3+0.5-ValDate)</f>
        <v>0.437214572322748</v>
      </c>
      <c r="R149" s="42" t="n">
        <f aca="false">(1+CEG_Assets!$AE$5)^-(R$3+0.5-ValDate)</f>
        <v>0.404828307706248</v>
      </c>
      <c r="S149" s="42" t="n">
        <f aca="false">(1+CEG_Assets!$AE$5)^-(S$3+0.5-ValDate)</f>
        <v>0.374841025653934</v>
      </c>
      <c r="T149" s="42" t="n">
        <f aca="false">(1+CEG_Assets!$AE$5)^-(T$3+0.5-ValDate)</f>
        <v>0.347075023753642</v>
      </c>
      <c r="U149" s="42" t="n">
        <f aca="false">(1+CEG_Assets!$AE$5)^-(U$3+0.5-ValDate)</f>
        <v>0.321365762734854</v>
      </c>
      <c r="V149" s="42" t="n">
        <f aca="false">(1+CEG_Assets!$AE$5)^-(V$3+0.5-ValDate)</f>
        <v>0.297560891421161</v>
      </c>
      <c r="W149" s="42" t="n">
        <f aca="false">(1+CEG_Assets!$AE$5)^-(W$3+0.5-ValDate)</f>
        <v>0.275519343908482</v>
      </c>
      <c r="X149" s="42" t="n">
        <f aca="false">(1+CEG_Assets!$AE$5)^-(X$3+0.5-ValDate)</f>
        <v>0.255110503618965</v>
      </c>
      <c r="Y149" s="42" t="n">
        <f aca="false">(1+CEG_Assets!$AE$5)^-(Y$3+0.5-ValDate)</f>
        <v>0.23621342927682</v>
      </c>
      <c r="Z149" s="42" t="n">
        <f aca="false">(1+CEG_Assets!$AE$5)^-(Z$3+0.5-ValDate)</f>
        <v>0.218716138219277</v>
      </c>
      <c r="AA149" s="42" t="n">
        <f aca="false">(1+CEG_Assets!$AE$5)^-(AA$3+0.5-ValDate)</f>
        <v>0.202514942795627</v>
      </c>
      <c r="AB149" s="42" t="n">
        <f aca="false">(1+CEG_Assets!$AE$5)^-(AB$3+0.5-ValDate)</f>
        <v>0.187513835921877</v>
      </c>
      <c r="AC149" s="42" t="n">
        <f aca="false">(1+CEG_Assets!$AE$5)^-(AC$3+0.5-ValDate)</f>
        <v>0.173623922149886</v>
      </c>
      <c r="AD149" s="42" t="n">
        <f aca="false">(1+CEG_Assets!$AE$5)^-(AD$3+0.5-ValDate)</f>
        <v>0.160762890879524</v>
      </c>
      <c r="AE149" s="42" t="n">
        <f aca="false">(1+CEG_Assets!$AE$5)^-(AE$3+0.5-ValDate)</f>
        <v>0.148854528592152</v>
      </c>
      <c r="AF149" s="42" t="n">
        <f aca="false">(1+CEG_Assets!$AE$5)^-(AF$3+0.5-ValDate)</f>
        <v>0.137828267214956</v>
      </c>
      <c r="AG149" s="42" t="n">
        <f aca="false">(1+CEG_Assets!$AE$5)^-(AG$3+0.5-ValDate)</f>
        <v>0.127618765939774</v>
      </c>
      <c r="AH149" s="42" t="n">
        <f aca="false">(1+CEG_Assets!$AE$5)^-(AH$3+0.5-ValDate)</f>
        <v>0.118165524018309</v>
      </c>
      <c r="AI149" s="42" t="n">
        <f aca="false">(1+CEG_Assets!$AE$5)^-(AI$3+0.5-ValDate)</f>
        <v>0.109412522239175</v>
      </c>
      <c r="AJ149" s="42" t="n">
        <f aca="false">(1+CEG_Assets!$AE$5)^-(AJ$3+0.5-ValDate)</f>
        <v>0.101307890962199</v>
      </c>
      <c r="AK149" s="42" t="n">
        <f aca="false">(1+CEG_Assets!$AE$5)^-(AK$3+0.5-ValDate)</f>
        <v>0.0938036027427768</v>
      </c>
      <c r="AL149" s="42" t="n">
        <f aca="false">(1+CEG_Assets!$AE$5)^-(AL$3+0.5-ValDate)</f>
        <v>0.0868551877247934</v>
      </c>
      <c r="AM149" s="42" t="n">
        <f aca="false">(1+CEG_Assets!$AE$5)^-(AM$3+0.5-ValDate)</f>
        <v>0.0804214701155494</v>
      </c>
      <c r="AN149" s="42" t="n">
        <f aca="false">(1+CEG_Assets!$AE$5)^-(AN$3+0.5-ValDate)</f>
        <v>0.0744643241810643</v>
      </c>
      <c r="AO149" s="42" t="n">
        <f aca="false">(1+CEG_Assets!$AE$5)^-(AO$3+0.5-ValDate)</f>
        <v>0.0689484483158002</v>
      </c>
      <c r="AP149" s="42" t="n">
        <f aca="false">(1+CEG_Assets!$AE$5)^-(AP$3+0.5-ValDate)</f>
        <v>0.0638411558479632</v>
      </c>
      <c r="AQ149" s="42" t="n">
        <f aca="false">(1+CEG_Assets!$AE$5)^-(AQ$3+0.5-ValDate)</f>
        <v>0.0591121813407066</v>
      </c>
      <c r="AR149" s="42" t="n">
        <f aca="false">(1+CEG_Assets!$AE$5)^-(AR$3+0.5-ValDate)</f>
        <v>0.054733501241395</v>
      </c>
      <c r="AS149" s="42" t="n">
        <f aca="false">(1+CEG_Assets!$AE$5)^-(AS$3+0.5-ValDate)</f>
        <v>0.0506791678161065</v>
      </c>
    </row>
    <row r="150" customFormat="false" ht="15" hidden="false" customHeight="false" outlineLevel="0" collapsed="false">
      <c r="A150" s="6" t="s">
        <v>473</v>
      </c>
      <c r="B150" s="6" t="s">
        <v>474</v>
      </c>
      <c r="G150" s="42" t="n">
        <f aca="false">(1+CEG_Assets!$AF$5)^-(G$3+0.5-ValDate)</f>
        <v>0.952191032823687</v>
      </c>
      <c r="H150" s="42" t="n">
        <f aca="false">(1+CEG_Assets!$AF$5)^-(H$3+0.5-ValDate)</f>
        <v>0.891982232153337</v>
      </c>
      <c r="I150" s="42" t="n">
        <f aca="false">(1+CEG_Assets!$AF$5)^-(I$3+0.5-ValDate)</f>
        <v>0.835580545342705</v>
      </c>
      <c r="J150" s="42" t="n">
        <f aca="false">(1+CEG_Assets!$AF$5)^-(J$3+0.5-ValDate)</f>
        <v>0.782745241538834</v>
      </c>
      <c r="K150" s="42" t="n">
        <f aca="false">(1+CEG_Assets!$AF$5)^-(K$3+0.5-ValDate)</f>
        <v>0.73325081174598</v>
      </c>
      <c r="L150" s="42" t="n">
        <f aca="false">(1+CEG_Assets!$AF$5)^-(L$3+0.5-ValDate)</f>
        <v>0.686886006319419</v>
      </c>
      <c r="M150" s="42" t="n">
        <f aca="false">(1+CEG_Assets!$AF$5)^-(M$3+0.5-ValDate)</f>
        <v>0.643452933320299</v>
      </c>
      <c r="N150" s="42" t="n">
        <f aca="false">(1+CEG_Assets!$AF$5)^-(N$3+0.5-ValDate)</f>
        <v>0.602766213883184</v>
      </c>
      <c r="O150" s="42" t="n">
        <f aca="false">(1+CEG_Assets!$AF$5)^-(O$3+0.5-ValDate)</f>
        <v>0.564652190991273</v>
      </c>
      <c r="P150" s="42" t="n">
        <f aca="false">(1+CEG_Assets!$AF$5)^-(P$3+0.5-ValDate)</f>
        <v>0.528948188282223</v>
      </c>
      <c r="Q150" s="42" t="n">
        <f aca="false">(1+CEG_Assets!$AF$5)^-(Q$3+0.5-ValDate)</f>
        <v>0.495501815721052</v>
      </c>
      <c r="R150" s="42" t="n">
        <f aca="false">(1+CEG_Assets!$AF$5)^-(R$3+0.5-ValDate)</f>
        <v>0.46417031917663</v>
      </c>
      <c r="S150" s="42" t="n">
        <f aca="false">(1+CEG_Assets!$AF$5)^-(S$3+0.5-ValDate)</f>
        <v>0.434819971125649</v>
      </c>
      <c r="T150" s="42" t="n">
        <f aca="false">(1+CEG_Assets!$AF$5)^-(T$3+0.5-ValDate)</f>
        <v>0.407325499883512</v>
      </c>
      <c r="U150" s="42" t="n">
        <f aca="false">(1+CEG_Assets!$AF$5)^-(U$3+0.5-ValDate)</f>
        <v>0.381569554926006</v>
      </c>
      <c r="V150" s="42" t="n">
        <f aca="false">(1+CEG_Assets!$AF$5)^-(V$3+0.5-ValDate)</f>
        <v>0.357442206019678</v>
      </c>
      <c r="W150" s="42" t="n">
        <f aca="false">(1+CEG_Assets!$AF$5)^-(W$3+0.5-ValDate)</f>
        <v>0.334840474023118</v>
      </c>
      <c r="X150" s="42" t="n">
        <f aca="false">(1+CEG_Assets!$AF$5)^-(X$3+0.5-ValDate)</f>
        <v>0.313667891356551</v>
      </c>
      <c r="Y150" s="42" t="n">
        <f aca="false">(1+CEG_Assets!$AF$5)^-(Y$3+0.5-ValDate)</f>
        <v>0.293834090263748</v>
      </c>
      <c r="Z150" s="42" t="n">
        <f aca="false">(1+CEG_Assets!$AF$5)^-(Z$3+0.5-ValDate)</f>
        <v>0.275254417108897</v>
      </c>
      <c r="AA150" s="42" t="n">
        <f aca="false">(1+CEG_Assets!$AF$5)^-(AA$3+0.5-ValDate)</f>
        <v>0.257849571062199</v>
      </c>
      <c r="AB150" s="42" t="n">
        <f aca="false">(1+CEG_Assets!$AF$5)^-(AB$3+0.5-ValDate)</f>
        <v>0.241545265632036</v>
      </c>
      <c r="AC150" s="42" t="n">
        <f aca="false">(1+CEG_Assets!$AF$5)^-(AC$3+0.5-ValDate)</f>
        <v>0.226271911599097</v>
      </c>
      <c r="AD150" s="42" t="n">
        <f aca="false">(1+CEG_Assets!$AF$5)^-(AD$3+0.5-ValDate)</f>
        <v>0.211964319999154</v>
      </c>
      <c r="AE150" s="42" t="n">
        <f aca="false">(1+CEG_Assets!$AF$5)^-(AE$3+0.5-ValDate)</f>
        <v>0.198561423886796</v>
      </c>
      <c r="AF150" s="42" t="n">
        <f aca="false">(1+CEG_Assets!$AF$5)^-(AF$3+0.5-ValDate)</f>
        <v>0.186006017692549</v>
      </c>
      <c r="AG150" s="42" t="n">
        <f aca="false">(1+CEG_Assets!$AF$5)^-(AG$3+0.5-ValDate)</f>
        <v>0.174244513060936</v>
      </c>
      <c r="AH150" s="42" t="n">
        <f aca="false">(1+CEG_Assets!$AF$5)^-(AH$3+0.5-ValDate)</f>
        <v>0.16322671012734</v>
      </c>
      <c r="AI150" s="42" t="n">
        <f aca="false">(1+CEG_Assets!$AF$5)^-(AI$3+0.5-ValDate)</f>
        <v>0.152905583257461</v>
      </c>
      <c r="AJ150" s="42" t="n">
        <f aca="false">(1+CEG_Assets!$AF$5)^-(AJ$3+0.5-ValDate)</f>
        <v>0.143237080334859</v>
      </c>
      <c r="AK150" s="42" t="n">
        <f aca="false">(1+CEG_Assets!$AF$5)^-(AK$3+0.5-ValDate)</f>
        <v>0.134179934739914</v>
      </c>
      <c r="AL150" s="42" t="n">
        <f aca="false">(1+CEG_Assets!$AF$5)^-(AL$3+0.5-ValDate)</f>
        <v>0.125695489217718</v>
      </c>
      <c r="AM150" s="42" t="n">
        <f aca="false">(1+CEG_Assets!$AF$5)^-(AM$3+0.5-ValDate)</f>
        <v>0.117747530883109</v>
      </c>
      <c r="AN150" s="42" t="n">
        <f aca="false">(1+CEG_Assets!$AF$5)^-(AN$3+0.5-ValDate)</f>
        <v>0.11030213665865</v>
      </c>
      <c r="AO150" s="42" t="n">
        <f aca="false">(1+CEG_Assets!$AF$5)^-(AO$3+0.5-ValDate)</f>
        <v>0.103327528485855</v>
      </c>
      <c r="AP150" s="42" t="n">
        <f aca="false">(1+CEG_Assets!$AF$5)^-(AP$3+0.5-ValDate)</f>
        <v>0.096793937691667</v>
      </c>
      <c r="AQ150" s="42" t="n">
        <f aca="false">(1+CEG_Assets!$AF$5)^-(AQ$3+0.5-ValDate)</f>
        <v>0.090673477931304</v>
      </c>
      <c r="AR150" s="42" t="n">
        <f aca="false">(1+CEG_Assets!$AF$5)^-(AR$3+0.5-ValDate)</f>
        <v>0.084940026165156</v>
      </c>
      <c r="AS150" s="42" t="n">
        <f aca="false">(1+CEG_Assets!$AF$5)^-(AS$3+0.5-ValDate)</f>
        <v>0.0795691111617386</v>
      </c>
    </row>
    <row r="151" customFormat="false" ht="15" hidden="false" customHeight="false" outlineLevel="0" collapsed="false">
      <c r="A151" s="6" t="s">
        <v>475</v>
      </c>
      <c r="B151" s="6" t="s">
        <v>476</v>
      </c>
      <c r="C151" s="43" t="n">
        <f aca="false">SUM(G151:AS151)</f>
        <v>7040.16866764609</v>
      </c>
      <c r="D151" s="8" t="n">
        <f aca="false">SUMIF($G$3:$AS$3,"&lt;="&amp;Horizon,G151:AS151)</f>
        <v>2864.90715002964</v>
      </c>
      <c r="E151" s="8" t="n">
        <f aca="false">(C151-D151)*(1+CEG_Assets!$AE$5)^(Horizon+1-ValDate)</f>
        <v>5790.74770249016</v>
      </c>
      <c r="G151" s="8" t="n">
        <f aca="false">G147*G149</f>
        <v>937.292627025528</v>
      </c>
      <c r="H151" s="8" t="n">
        <f aca="false">H147*H149</f>
        <v>869.174629204026</v>
      </c>
      <c r="I151" s="8" t="n">
        <f aca="false">I147*I149</f>
        <v>705.82748969574</v>
      </c>
      <c r="J151" s="8" t="n">
        <f aca="false">J147*J149</f>
        <v>352.612404104341</v>
      </c>
      <c r="K151" s="8" t="n">
        <f aca="false">K147*K149</f>
        <v>330.350693906537</v>
      </c>
      <c r="L151" s="8" t="n">
        <f aca="false">L147*L149</f>
        <v>309.461826192464</v>
      </c>
      <c r="M151" s="8" t="n">
        <f aca="false">M147*M149</f>
        <v>289.862601894197</v>
      </c>
      <c r="N151" s="8" t="n">
        <f aca="false">N147*N149</f>
        <v>271.47479703301</v>
      </c>
      <c r="O151" s="8" t="n">
        <f aca="false">O147*O149</f>
        <v>254.224868352815</v>
      </c>
      <c r="P151" s="8" t="n">
        <f aca="false">P147*P149</f>
        <v>238.043676222577</v>
      </c>
      <c r="Q151" s="8" t="n">
        <f aca="false">Q147*Q149</f>
        <v>222.866223801712</v>
      </c>
      <c r="R151" s="8" t="n">
        <f aca="false">R147*R149</f>
        <v>208.63141152071</v>
      </c>
      <c r="S151" s="8" t="n">
        <f aca="false">S147*S149</f>
        <v>195.281805984182</v>
      </c>
      <c r="T151" s="8" t="n">
        <f aca="false">T147*T149</f>
        <v>182.763422455215</v>
      </c>
      <c r="U151" s="8" t="n">
        <f aca="false">U147*U149</f>
        <v>171.025520128708</v>
      </c>
      <c r="V151" s="8" t="n">
        <f aca="false">V147*V149</f>
        <v>160.020409447306</v>
      </c>
      <c r="W151" s="8" t="n">
        <f aca="false">W147*W149</f>
        <v>149.70327075682</v>
      </c>
      <c r="X151" s="8" t="n">
        <f aca="false">X147*X149</f>
        <v>140.03198363885</v>
      </c>
      <c r="Y151" s="8" t="n">
        <f aca="false">Y147*Y149</f>
        <v>130.966966296733</v>
      </c>
      <c r="Z151" s="8" t="n">
        <f aca="false">Z147*Z149</f>
        <v>122.47102440719</v>
      </c>
      <c r="AA151" s="8" t="n">
        <f aca="false">AA147*AA149</f>
        <v>114.509208884161</v>
      </c>
      <c r="AB151" s="8" t="n">
        <f aca="false">AB147*AB149</f>
        <v>107.048682033472</v>
      </c>
      <c r="AC151" s="8" t="n">
        <f aca="false">AC147*AC149</f>
        <v>100.058591607283</v>
      </c>
      <c r="AD151" s="8" t="n">
        <f aca="false">AD147*AD149</f>
        <v>93.5099522958253</v>
      </c>
      <c r="AE151" s="8" t="n">
        <f aca="false">AE147*AE149</f>
        <v>87.3755342208036</v>
      </c>
      <c r="AF151" s="8" t="n">
        <f aca="false">AF147*AF149</f>
        <v>81.6297580202174</v>
      </c>
      <c r="AG151" s="8" t="n">
        <f aca="false">AG147*AG149</f>
        <v>76.2485961382046</v>
      </c>
      <c r="AH151" s="8" t="n">
        <f aca="false">AH147*AH149</f>
        <v>71.2094799560197</v>
      </c>
      <c r="AI151" s="8" t="n">
        <f aca="false">AI147*AI149</f>
        <v>66.4912124214441</v>
      </c>
      <c r="AJ151" s="8" t="n">
        <f aca="false">AJ147*AJ149</f>
        <v>0</v>
      </c>
      <c r="AK151" s="8" t="n">
        <f aca="false">AK147*AK149</f>
        <v>0</v>
      </c>
      <c r="AL151" s="8" t="n">
        <f aca="false">AL147*AL149</f>
        <v>0</v>
      </c>
      <c r="AM151" s="8" t="n">
        <f aca="false">AM147*AM149</f>
        <v>0</v>
      </c>
      <c r="AN151" s="8" t="n">
        <f aca="false">AN147*AN149</f>
        <v>0</v>
      </c>
      <c r="AO151" s="8" t="n">
        <f aca="false">AO147*AO149</f>
        <v>0</v>
      </c>
      <c r="AP151" s="8" t="n">
        <f aca="false">AP147*AP149</f>
        <v>0</v>
      </c>
      <c r="AQ151" s="8" t="n">
        <f aca="false">AQ147*AQ149</f>
        <v>0</v>
      </c>
      <c r="AR151" s="8" t="n">
        <f aca="false">AR147*AR149</f>
        <v>0</v>
      </c>
      <c r="AS151" s="8" t="n">
        <f aca="false">AS147*AS149</f>
        <v>0</v>
      </c>
    </row>
    <row r="152" customFormat="false" ht="15" hidden="false" customHeight="false" outlineLevel="0" collapsed="false">
      <c r="A152" s="6" t="s">
        <v>477</v>
      </c>
      <c r="B152" s="6" t="s">
        <v>478</v>
      </c>
      <c r="C152" s="43" t="n">
        <f aca="false">SUM(G152:AS152)</f>
        <v>0</v>
      </c>
      <c r="D152" s="8" t="n">
        <f aca="false">SUMIF($G$3:$AS$3,"&lt;="&amp;Horizon,G152:AS152)</f>
        <v>0</v>
      </c>
      <c r="E152" s="8" t="n">
        <f aca="false">(C152-D152)*(1+CEG_Assets!$AF$5)^(Horizon+1-ValDate)</f>
        <v>0</v>
      </c>
      <c r="G152" s="8" t="n">
        <f aca="false">G148*G150</f>
        <v>0</v>
      </c>
      <c r="H152" s="8" t="n">
        <f aca="false">H148*H150</f>
        <v>0</v>
      </c>
      <c r="I152" s="8" t="n">
        <f aca="false">I148*I150</f>
        <v>0</v>
      </c>
      <c r="J152" s="8" t="n">
        <f aca="false">J148*J150</f>
        <v>0</v>
      </c>
      <c r="K152" s="8" t="n">
        <f aca="false">K148*K150</f>
        <v>0</v>
      </c>
      <c r="L152" s="8" t="n">
        <f aca="false">L148*L150</f>
        <v>0</v>
      </c>
      <c r="M152" s="8" t="n">
        <f aca="false">M148*M150</f>
        <v>0</v>
      </c>
      <c r="N152" s="8" t="n">
        <f aca="false">N148*N150</f>
        <v>0</v>
      </c>
      <c r="O152" s="8" t="n">
        <f aca="false">O148*O150</f>
        <v>0</v>
      </c>
      <c r="P152" s="8" t="n">
        <f aca="false">P148*P150</f>
        <v>0</v>
      </c>
      <c r="Q152" s="8" t="n">
        <f aca="false">Q148*Q150</f>
        <v>0</v>
      </c>
      <c r="R152" s="8" t="n">
        <f aca="false">R148*R150</f>
        <v>0</v>
      </c>
      <c r="S152" s="8" t="n">
        <f aca="false">S148*S150</f>
        <v>0</v>
      </c>
      <c r="T152" s="8" t="n">
        <f aca="false">T148*T150</f>
        <v>0</v>
      </c>
      <c r="U152" s="8" t="n">
        <f aca="false">U148*U150</f>
        <v>0</v>
      </c>
      <c r="V152" s="8" t="n">
        <f aca="false">V148*V150</f>
        <v>0</v>
      </c>
      <c r="W152" s="8" t="n">
        <f aca="false">W148*W150</f>
        <v>0</v>
      </c>
      <c r="X152" s="8" t="n">
        <f aca="false">X148*X150</f>
        <v>0</v>
      </c>
      <c r="Y152" s="8" t="n">
        <f aca="false">Y148*Y150</f>
        <v>0</v>
      </c>
      <c r="Z152" s="8" t="n">
        <f aca="false">Z148*Z150</f>
        <v>0</v>
      </c>
      <c r="AA152" s="8" t="n">
        <f aca="false">AA148*AA150</f>
        <v>0</v>
      </c>
      <c r="AB152" s="8" t="n">
        <f aca="false">AB148*AB150</f>
        <v>0</v>
      </c>
      <c r="AC152" s="8" t="n">
        <f aca="false">AC148*AC150</f>
        <v>0</v>
      </c>
      <c r="AD152" s="8" t="n">
        <f aca="false">AD148*AD150</f>
        <v>0</v>
      </c>
      <c r="AE152" s="8" t="n">
        <f aca="false">AE148*AE150</f>
        <v>0</v>
      </c>
      <c r="AF152" s="8" t="n">
        <f aca="false">AF148*AF150</f>
        <v>0</v>
      </c>
      <c r="AG152" s="8" t="n">
        <f aca="false">AG148*AG150</f>
        <v>0</v>
      </c>
      <c r="AH152" s="8" t="n">
        <f aca="false">AH148*AH150</f>
        <v>0</v>
      </c>
      <c r="AI152" s="8" t="n">
        <f aca="false">AI148*AI150</f>
        <v>0</v>
      </c>
      <c r="AJ152" s="8" t="n">
        <f aca="false">AJ148*AJ150</f>
        <v>0</v>
      </c>
      <c r="AK152" s="8" t="n">
        <f aca="false">AK148*AK150</f>
        <v>0</v>
      </c>
      <c r="AL152" s="8" t="n">
        <f aca="false">AL148*AL150</f>
        <v>0</v>
      </c>
      <c r="AM152" s="8" t="n">
        <f aca="false">AM148*AM150</f>
        <v>0</v>
      </c>
      <c r="AN152" s="8" t="n">
        <f aca="false">AN148*AN150</f>
        <v>0</v>
      </c>
      <c r="AO152" s="8" t="n">
        <f aca="false">AO148*AO150</f>
        <v>0</v>
      </c>
      <c r="AP152" s="8" t="n">
        <f aca="false">AP148*AP150</f>
        <v>0</v>
      </c>
      <c r="AQ152" s="8" t="n">
        <f aca="false">AQ148*AQ150</f>
        <v>0</v>
      </c>
      <c r="AR152" s="8" t="n">
        <f aca="false">AR148*AR150</f>
        <v>0</v>
      </c>
      <c r="AS152" s="8" t="n">
        <f aca="false">AS148*AS150</f>
        <v>0</v>
      </c>
    </row>
    <row r="153" customFormat="false" ht="15" hidden="false" customHeight="false" outlineLevel="0" collapsed="false">
      <c r="A153" s="6" t="s">
        <v>479</v>
      </c>
      <c r="B153" s="6" t="s">
        <v>480</v>
      </c>
      <c r="C153" s="43" t="n">
        <f aca="false">IF(CEG_Assets!$H$5="$/kW",CEG_Assets!$D$5*CEG_Assets!$AI$5*(1+0.4*(PJMWLR/PJMWLRBase-1))/1000,0)</f>
        <v>0</v>
      </c>
      <c r="E153" s="8" t="n">
        <f aca="false">C153</f>
        <v>0</v>
      </c>
      <c r="G153" s="8" t="n">
        <f aca="false">0</f>
        <v>0</v>
      </c>
      <c r="H153" s="8" t="n">
        <f aca="false">0</f>
        <v>0</v>
      </c>
      <c r="I153" s="8" t="n">
        <f aca="false">0</f>
        <v>0</v>
      </c>
      <c r="J153" s="8" t="n">
        <f aca="false">0</f>
        <v>0</v>
      </c>
      <c r="K153" s="8" t="n">
        <f aca="false">0</f>
        <v>0</v>
      </c>
      <c r="L153" s="8" t="n">
        <f aca="false">0</f>
        <v>0</v>
      </c>
      <c r="M153" s="8" t="n">
        <f aca="false">0</f>
        <v>0</v>
      </c>
      <c r="N153" s="8" t="n">
        <f aca="false">0</f>
        <v>0</v>
      </c>
      <c r="O153" s="8" t="n">
        <f aca="false">0</f>
        <v>0</v>
      </c>
      <c r="P153" s="8" t="n">
        <f aca="false">0</f>
        <v>0</v>
      </c>
      <c r="Q153" s="8" t="n">
        <f aca="false">0</f>
        <v>0</v>
      </c>
      <c r="R153" s="8" t="n">
        <f aca="false">0</f>
        <v>0</v>
      </c>
      <c r="S153" s="8" t="n">
        <f aca="false">0</f>
        <v>0</v>
      </c>
      <c r="T153" s="8" t="n">
        <f aca="false">0</f>
        <v>0</v>
      </c>
      <c r="U153" s="8" t="n">
        <f aca="false">0</f>
        <v>0</v>
      </c>
      <c r="V153" s="8" t="n">
        <f aca="false">0</f>
        <v>0</v>
      </c>
      <c r="W153" s="8" t="n">
        <f aca="false">0</f>
        <v>0</v>
      </c>
      <c r="X153" s="8" t="n">
        <f aca="false">0</f>
        <v>0</v>
      </c>
      <c r="Y153" s="8" t="n">
        <f aca="false">0</f>
        <v>0</v>
      </c>
      <c r="Z153" s="8" t="n">
        <f aca="false">0</f>
        <v>0</v>
      </c>
      <c r="AA153" s="8" t="n">
        <f aca="false">0</f>
        <v>0</v>
      </c>
      <c r="AB153" s="8" t="n">
        <f aca="false">0</f>
        <v>0</v>
      </c>
      <c r="AC153" s="8" t="n">
        <f aca="false">0</f>
        <v>0</v>
      </c>
      <c r="AD153" s="8" t="n">
        <f aca="false">0</f>
        <v>0</v>
      </c>
      <c r="AE153" s="8" t="n">
        <f aca="false">0</f>
        <v>0</v>
      </c>
      <c r="AF153" s="8" t="n">
        <f aca="false">0</f>
        <v>0</v>
      </c>
      <c r="AG153" s="8" t="n">
        <f aca="false">0</f>
        <v>0</v>
      </c>
      <c r="AH153" s="8" t="n">
        <f aca="false">0</f>
        <v>0</v>
      </c>
      <c r="AI153" s="8" t="n">
        <f aca="false">0</f>
        <v>0</v>
      </c>
      <c r="AJ153" s="8" t="n">
        <f aca="false">0</f>
        <v>0</v>
      </c>
      <c r="AK153" s="8" t="n">
        <f aca="false">0</f>
        <v>0</v>
      </c>
      <c r="AL153" s="8" t="n">
        <f aca="false">0</f>
        <v>0</v>
      </c>
      <c r="AM153" s="8" t="n">
        <f aca="false">0</f>
        <v>0</v>
      </c>
      <c r="AN153" s="8" t="n">
        <f aca="false">0</f>
        <v>0</v>
      </c>
      <c r="AO153" s="8" t="n">
        <f aca="false">0</f>
        <v>0</v>
      </c>
      <c r="AP153" s="8" t="n">
        <f aca="false">0</f>
        <v>0</v>
      </c>
      <c r="AQ153" s="8" t="n">
        <f aca="false">0</f>
        <v>0</v>
      </c>
      <c r="AR153" s="8" t="n">
        <f aca="false">0</f>
        <v>0</v>
      </c>
      <c r="AS153" s="8" t="n">
        <f aca="false">0</f>
        <v>0</v>
      </c>
    </row>
    <row r="155" customFormat="false" ht="15" hidden="false" customHeight="false" outlineLevel="0" collapsed="false">
      <c r="A155" s="54" t="str">
        <f aca="false">CEG_Assets!$A$6</f>
        <v>Nuclear - South Texas Project 44% (ERCOT)</v>
      </c>
    </row>
    <row r="156" customFormat="false" ht="15" hidden="false" customHeight="false" outlineLevel="0" collapsed="false">
      <c r="A156" s="6" t="s">
        <v>425</v>
      </c>
      <c r="B156" s="6" t="s">
        <v>426</v>
      </c>
      <c r="G156" s="47" t="n">
        <f aca="false">IF(AND(G$3&gt;=CEG_Assets!$E$6,G$3&lt;=CEG_Assets!$F$6,CEG_Assets!$H$6="Cashflow"),1,0)</f>
        <v>1</v>
      </c>
      <c r="H156" s="47" t="n">
        <f aca="false">IF(AND(H$3&gt;=CEG_Assets!$E$6,H$3&lt;=CEG_Assets!$F$6,CEG_Assets!$H$6="Cashflow"),1,0)</f>
        <v>1</v>
      </c>
      <c r="I156" s="47" t="n">
        <f aca="false">IF(AND(I$3&gt;=CEG_Assets!$E$6,I$3&lt;=CEG_Assets!$F$6,CEG_Assets!$H$6="Cashflow"),1,0)</f>
        <v>1</v>
      </c>
      <c r="J156" s="47" t="n">
        <f aca="false">IF(AND(J$3&gt;=CEG_Assets!$E$6,J$3&lt;=CEG_Assets!$F$6,CEG_Assets!$H$6="Cashflow"),1,0)</f>
        <v>1</v>
      </c>
      <c r="K156" s="47" t="n">
        <f aca="false">IF(AND(K$3&gt;=CEG_Assets!$E$6,K$3&lt;=CEG_Assets!$F$6,CEG_Assets!$H$6="Cashflow"),1,0)</f>
        <v>1</v>
      </c>
      <c r="L156" s="47" t="n">
        <f aca="false">IF(AND(L$3&gt;=CEG_Assets!$E$6,L$3&lt;=CEG_Assets!$F$6,CEG_Assets!$H$6="Cashflow"),1,0)</f>
        <v>1</v>
      </c>
      <c r="M156" s="47" t="n">
        <f aca="false">IF(AND(M$3&gt;=CEG_Assets!$E$6,M$3&lt;=CEG_Assets!$F$6,CEG_Assets!$H$6="Cashflow"),1,0)</f>
        <v>1</v>
      </c>
      <c r="N156" s="47" t="n">
        <f aca="false">IF(AND(N$3&gt;=CEG_Assets!$E$6,N$3&lt;=CEG_Assets!$F$6,CEG_Assets!$H$6="Cashflow"),1,0)</f>
        <v>1</v>
      </c>
      <c r="O156" s="47" t="n">
        <f aca="false">IF(AND(O$3&gt;=CEG_Assets!$E$6,O$3&lt;=CEG_Assets!$F$6,CEG_Assets!$H$6="Cashflow"),1,0)</f>
        <v>1</v>
      </c>
      <c r="P156" s="47" t="n">
        <f aca="false">IF(AND(P$3&gt;=CEG_Assets!$E$6,P$3&lt;=CEG_Assets!$F$6,CEG_Assets!$H$6="Cashflow"),1,0)</f>
        <v>1</v>
      </c>
      <c r="Q156" s="47" t="n">
        <f aca="false">IF(AND(Q$3&gt;=CEG_Assets!$E$6,Q$3&lt;=CEG_Assets!$F$6,CEG_Assets!$H$6="Cashflow"),1,0)</f>
        <v>1</v>
      </c>
      <c r="R156" s="47" t="n">
        <f aca="false">IF(AND(R$3&gt;=CEG_Assets!$E$6,R$3&lt;=CEG_Assets!$F$6,CEG_Assets!$H$6="Cashflow"),1,0)</f>
        <v>1</v>
      </c>
      <c r="S156" s="47" t="n">
        <f aca="false">IF(AND(S$3&gt;=CEG_Assets!$E$6,S$3&lt;=CEG_Assets!$F$6,CEG_Assets!$H$6="Cashflow"),1,0)</f>
        <v>1</v>
      </c>
      <c r="T156" s="47" t="n">
        <f aca="false">IF(AND(T$3&gt;=CEG_Assets!$E$6,T$3&lt;=CEG_Assets!$F$6,CEG_Assets!$H$6="Cashflow"),1,0)</f>
        <v>1</v>
      </c>
      <c r="U156" s="47" t="n">
        <f aca="false">IF(AND(U$3&gt;=CEG_Assets!$E$6,U$3&lt;=CEG_Assets!$F$6,CEG_Assets!$H$6="Cashflow"),1,0)</f>
        <v>1</v>
      </c>
      <c r="V156" s="47" t="n">
        <f aca="false">IF(AND(V$3&gt;=CEG_Assets!$E$6,V$3&lt;=CEG_Assets!$F$6,CEG_Assets!$H$6="Cashflow"),1,0)</f>
        <v>1</v>
      </c>
      <c r="W156" s="47" t="n">
        <f aca="false">IF(AND(W$3&gt;=CEG_Assets!$E$6,W$3&lt;=CEG_Assets!$F$6,CEG_Assets!$H$6="Cashflow"),1,0)</f>
        <v>1</v>
      </c>
      <c r="X156" s="47" t="n">
        <f aca="false">IF(AND(X$3&gt;=CEG_Assets!$E$6,X$3&lt;=CEG_Assets!$F$6,CEG_Assets!$H$6="Cashflow"),1,0)</f>
        <v>1</v>
      </c>
      <c r="Y156" s="47" t="n">
        <f aca="false">IF(AND(Y$3&gt;=CEG_Assets!$E$6,Y$3&lt;=CEG_Assets!$F$6,CEG_Assets!$H$6="Cashflow"),1,0)</f>
        <v>1</v>
      </c>
      <c r="Z156" s="47" t="n">
        <f aca="false">IF(AND(Z$3&gt;=CEG_Assets!$E$6,Z$3&lt;=CEG_Assets!$F$6,CEG_Assets!$H$6="Cashflow"),1,0)</f>
        <v>1</v>
      </c>
      <c r="AA156" s="47" t="n">
        <f aca="false">IF(AND(AA$3&gt;=CEG_Assets!$E$6,AA$3&lt;=CEG_Assets!$F$6,CEG_Assets!$H$6="Cashflow"),1,0)</f>
        <v>1</v>
      </c>
      <c r="AB156" s="47" t="n">
        <f aca="false">IF(AND(AB$3&gt;=CEG_Assets!$E$6,AB$3&lt;=CEG_Assets!$F$6,CEG_Assets!$H$6="Cashflow"),1,0)</f>
        <v>1</v>
      </c>
      <c r="AC156" s="47" t="n">
        <f aca="false">IF(AND(AC$3&gt;=CEG_Assets!$E$6,AC$3&lt;=CEG_Assets!$F$6,CEG_Assets!$H$6="Cashflow"),1,0)</f>
        <v>1</v>
      </c>
      <c r="AD156" s="47" t="n">
        <f aca="false">IF(AND(AD$3&gt;=CEG_Assets!$E$6,AD$3&lt;=CEG_Assets!$F$6,CEG_Assets!$H$6="Cashflow"),1,0)</f>
        <v>1</v>
      </c>
      <c r="AE156" s="47" t="n">
        <f aca="false">IF(AND(AE$3&gt;=CEG_Assets!$E$6,AE$3&lt;=CEG_Assets!$F$6,CEG_Assets!$H$6="Cashflow"),1,0)</f>
        <v>1</v>
      </c>
      <c r="AF156" s="47" t="n">
        <f aca="false">IF(AND(AF$3&gt;=CEG_Assets!$E$6,AF$3&lt;=CEG_Assets!$F$6,CEG_Assets!$H$6="Cashflow"),1,0)</f>
        <v>1</v>
      </c>
      <c r="AG156" s="47" t="n">
        <f aca="false">IF(AND(AG$3&gt;=CEG_Assets!$E$6,AG$3&lt;=CEG_Assets!$F$6,CEG_Assets!$H$6="Cashflow"),1,0)</f>
        <v>1</v>
      </c>
      <c r="AH156" s="47" t="n">
        <f aca="false">IF(AND(AH$3&gt;=CEG_Assets!$E$6,AH$3&lt;=CEG_Assets!$F$6,CEG_Assets!$H$6="Cashflow"),1,0)</f>
        <v>1</v>
      </c>
      <c r="AI156" s="47" t="n">
        <f aca="false">IF(AND(AI$3&gt;=CEG_Assets!$E$6,AI$3&lt;=CEG_Assets!$F$6,CEG_Assets!$H$6="Cashflow"),1,0)</f>
        <v>1</v>
      </c>
      <c r="AJ156" s="47" t="n">
        <f aca="false">IF(AND(AJ$3&gt;=CEG_Assets!$E$6,AJ$3&lt;=CEG_Assets!$F$6,CEG_Assets!$H$6="Cashflow"),1,0)</f>
        <v>0</v>
      </c>
      <c r="AK156" s="47" t="n">
        <f aca="false">IF(AND(AK$3&gt;=CEG_Assets!$E$6,AK$3&lt;=CEG_Assets!$F$6,CEG_Assets!$H$6="Cashflow"),1,0)</f>
        <v>0</v>
      </c>
      <c r="AL156" s="47" t="n">
        <f aca="false">IF(AND(AL$3&gt;=CEG_Assets!$E$6,AL$3&lt;=CEG_Assets!$F$6,CEG_Assets!$H$6="Cashflow"),1,0)</f>
        <v>0</v>
      </c>
      <c r="AM156" s="47" t="n">
        <f aca="false">IF(AND(AM$3&gt;=CEG_Assets!$E$6,AM$3&lt;=CEG_Assets!$F$6,CEG_Assets!$H$6="Cashflow"),1,0)</f>
        <v>0</v>
      </c>
      <c r="AN156" s="47" t="n">
        <f aca="false">IF(AND(AN$3&gt;=CEG_Assets!$E$6,AN$3&lt;=CEG_Assets!$F$6,CEG_Assets!$H$6="Cashflow"),1,0)</f>
        <v>0</v>
      </c>
      <c r="AO156" s="47" t="n">
        <f aca="false">IF(AND(AO$3&gt;=CEG_Assets!$E$6,AO$3&lt;=CEG_Assets!$F$6,CEG_Assets!$H$6="Cashflow"),1,0)</f>
        <v>0</v>
      </c>
      <c r="AP156" s="47" t="n">
        <f aca="false">IF(AND(AP$3&gt;=CEG_Assets!$E$6,AP$3&lt;=CEG_Assets!$F$6,CEG_Assets!$H$6="Cashflow"),1,0)</f>
        <v>0</v>
      </c>
      <c r="AQ156" s="47" t="n">
        <f aca="false">IF(AND(AQ$3&gt;=CEG_Assets!$E$6,AQ$3&lt;=CEG_Assets!$F$6,CEG_Assets!$H$6="Cashflow"),1,0)</f>
        <v>0</v>
      </c>
      <c r="AR156" s="47" t="n">
        <f aca="false">IF(AND(AR$3&gt;=CEG_Assets!$E$6,AR$3&lt;=CEG_Assets!$F$6,CEG_Assets!$H$6="Cashflow"),1,0)</f>
        <v>0</v>
      </c>
      <c r="AS156" s="47" t="n">
        <f aca="false">IF(AND(AS$3&gt;=CEG_Assets!$E$6,AS$3&lt;=CEG_Assets!$F$6,CEG_Assets!$H$6="Cashflow"),1,0)</f>
        <v>0</v>
      </c>
    </row>
    <row r="157" customFormat="false" ht="15" hidden="false" customHeight="false" outlineLevel="0" collapsed="false">
      <c r="A157" s="6" t="s">
        <v>427</v>
      </c>
      <c r="B157" s="6" t="s">
        <v>428</v>
      </c>
      <c r="G157" s="9" t="n">
        <f aca="false">IF(AND(G$3&gt;=CEG_Assets!$AA$6,G$3&lt;=CEG_Assets!$AB$6),MIN(CEG_Assets!$D$6,CEG_Assets!$Z$6*MIN(1,(G$3-CEG_Assets!$AA$6+1)/MAX(1,CEG_Assets!$AC$6))),0)*G156</f>
        <v>0</v>
      </c>
      <c r="H157" s="9" t="n">
        <f aca="false">IF(AND(H$3&gt;=CEG_Assets!$AA$6,H$3&lt;=CEG_Assets!$AB$6),MIN(CEG_Assets!$D$6,CEG_Assets!$Z$6*MIN(1,(H$3-CEG_Assets!$AA$6+1)/MAX(1,CEG_Assets!$AC$6))),0)*H156</f>
        <v>0</v>
      </c>
      <c r="I157" s="9" t="n">
        <f aca="false">IF(AND(I$3&gt;=CEG_Assets!$AA$6,I$3&lt;=CEG_Assets!$AB$6),MIN(CEG_Assets!$D$6,CEG_Assets!$Z$6*MIN(1,(I$3-CEG_Assets!$AA$6+1)/MAX(1,CEG_Assets!$AC$6))),0)*I156</f>
        <v>0</v>
      </c>
      <c r="J157" s="9" t="n">
        <f aca="false">IF(AND(J$3&gt;=CEG_Assets!$AA$6,J$3&lt;=CEG_Assets!$AB$6),MIN(CEG_Assets!$D$6,CEG_Assets!$Z$6*MIN(1,(J$3-CEG_Assets!$AA$6+1)/MAX(1,CEG_Assets!$AC$6))),0)*J156</f>
        <v>0</v>
      </c>
      <c r="K157" s="9" t="n">
        <f aca="false">IF(AND(K$3&gt;=CEG_Assets!$AA$6,K$3&lt;=CEG_Assets!$AB$6),MIN(CEG_Assets!$D$6,CEG_Assets!$Z$6*MIN(1,(K$3-CEG_Assets!$AA$6+1)/MAX(1,CEG_Assets!$AC$6))),0)*K156</f>
        <v>0</v>
      </c>
      <c r="L157" s="9" t="n">
        <f aca="false">IF(AND(L$3&gt;=CEG_Assets!$AA$6,L$3&lt;=CEG_Assets!$AB$6),MIN(CEG_Assets!$D$6,CEG_Assets!$Z$6*MIN(1,(L$3-CEG_Assets!$AA$6+1)/MAX(1,CEG_Assets!$AC$6))),0)*L156</f>
        <v>0</v>
      </c>
      <c r="M157" s="9" t="n">
        <f aca="false">IF(AND(M$3&gt;=CEG_Assets!$AA$6,M$3&lt;=CEG_Assets!$AB$6),MIN(CEG_Assets!$D$6,CEG_Assets!$Z$6*MIN(1,(M$3-CEG_Assets!$AA$6+1)/MAX(1,CEG_Assets!$AC$6))),0)*M156</f>
        <v>0</v>
      </c>
      <c r="N157" s="9" t="n">
        <f aca="false">IF(AND(N$3&gt;=CEG_Assets!$AA$6,N$3&lt;=CEG_Assets!$AB$6),MIN(CEG_Assets!$D$6,CEG_Assets!$Z$6*MIN(1,(N$3-CEG_Assets!$AA$6+1)/MAX(1,CEG_Assets!$AC$6))),0)*N156</f>
        <v>0</v>
      </c>
      <c r="O157" s="9" t="n">
        <f aca="false">IF(AND(O$3&gt;=CEG_Assets!$AA$6,O$3&lt;=CEG_Assets!$AB$6),MIN(CEG_Assets!$D$6,CEG_Assets!$Z$6*MIN(1,(O$3-CEG_Assets!$AA$6+1)/MAX(1,CEG_Assets!$AC$6))),0)*O156</f>
        <v>0</v>
      </c>
      <c r="P157" s="9" t="n">
        <f aca="false">IF(AND(P$3&gt;=CEG_Assets!$AA$6,P$3&lt;=CEG_Assets!$AB$6),MIN(CEG_Assets!$D$6,CEG_Assets!$Z$6*MIN(1,(P$3-CEG_Assets!$AA$6+1)/MAX(1,CEG_Assets!$AC$6))),0)*P156</f>
        <v>0</v>
      </c>
      <c r="Q157" s="9" t="n">
        <f aca="false">IF(AND(Q$3&gt;=CEG_Assets!$AA$6,Q$3&lt;=CEG_Assets!$AB$6),MIN(CEG_Assets!$D$6,CEG_Assets!$Z$6*MIN(1,(Q$3-CEG_Assets!$AA$6+1)/MAX(1,CEG_Assets!$AC$6))),0)*Q156</f>
        <v>0</v>
      </c>
      <c r="R157" s="9" t="n">
        <f aca="false">IF(AND(R$3&gt;=CEG_Assets!$AA$6,R$3&lt;=CEG_Assets!$AB$6),MIN(CEG_Assets!$D$6,CEG_Assets!$Z$6*MIN(1,(R$3-CEG_Assets!$AA$6+1)/MAX(1,CEG_Assets!$AC$6))),0)*R156</f>
        <v>0</v>
      </c>
      <c r="S157" s="9" t="n">
        <f aca="false">IF(AND(S$3&gt;=CEG_Assets!$AA$6,S$3&lt;=CEG_Assets!$AB$6),MIN(CEG_Assets!$D$6,CEG_Assets!$Z$6*MIN(1,(S$3-CEG_Assets!$AA$6+1)/MAX(1,CEG_Assets!$AC$6))),0)*S156</f>
        <v>0</v>
      </c>
      <c r="T157" s="9" t="n">
        <f aca="false">IF(AND(T$3&gt;=CEG_Assets!$AA$6,T$3&lt;=CEG_Assets!$AB$6),MIN(CEG_Assets!$D$6,CEG_Assets!$Z$6*MIN(1,(T$3-CEG_Assets!$AA$6+1)/MAX(1,CEG_Assets!$AC$6))),0)*T156</f>
        <v>0</v>
      </c>
      <c r="U157" s="9" t="n">
        <f aca="false">IF(AND(U$3&gt;=CEG_Assets!$AA$6,U$3&lt;=CEG_Assets!$AB$6),MIN(CEG_Assets!$D$6,CEG_Assets!$Z$6*MIN(1,(U$3-CEG_Assets!$AA$6+1)/MAX(1,CEG_Assets!$AC$6))),0)*U156</f>
        <v>0</v>
      </c>
      <c r="V157" s="9" t="n">
        <f aca="false">IF(AND(V$3&gt;=CEG_Assets!$AA$6,V$3&lt;=CEG_Assets!$AB$6),MIN(CEG_Assets!$D$6,CEG_Assets!$Z$6*MIN(1,(V$3-CEG_Assets!$AA$6+1)/MAX(1,CEG_Assets!$AC$6))),0)*V156</f>
        <v>0</v>
      </c>
      <c r="W157" s="9" t="n">
        <f aca="false">IF(AND(W$3&gt;=CEG_Assets!$AA$6,W$3&lt;=CEG_Assets!$AB$6),MIN(CEG_Assets!$D$6,CEG_Assets!$Z$6*MIN(1,(W$3-CEG_Assets!$AA$6+1)/MAX(1,CEG_Assets!$AC$6))),0)*W156</f>
        <v>0</v>
      </c>
      <c r="X157" s="9" t="n">
        <f aca="false">IF(AND(X$3&gt;=CEG_Assets!$AA$6,X$3&lt;=CEG_Assets!$AB$6),MIN(CEG_Assets!$D$6,CEG_Assets!$Z$6*MIN(1,(X$3-CEG_Assets!$AA$6+1)/MAX(1,CEG_Assets!$AC$6))),0)*X156</f>
        <v>0</v>
      </c>
      <c r="Y157" s="9" t="n">
        <f aca="false">IF(AND(Y$3&gt;=CEG_Assets!$AA$6,Y$3&lt;=CEG_Assets!$AB$6),MIN(CEG_Assets!$D$6,CEG_Assets!$Z$6*MIN(1,(Y$3-CEG_Assets!$AA$6+1)/MAX(1,CEG_Assets!$AC$6))),0)*Y156</f>
        <v>0</v>
      </c>
      <c r="Z157" s="9" t="n">
        <f aca="false">IF(AND(Z$3&gt;=CEG_Assets!$AA$6,Z$3&lt;=CEG_Assets!$AB$6),MIN(CEG_Assets!$D$6,CEG_Assets!$Z$6*MIN(1,(Z$3-CEG_Assets!$AA$6+1)/MAX(1,CEG_Assets!$AC$6))),0)*Z156</f>
        <v>0</v>
      </c>
      <c r="AA157" s="9" t="n">
        <f aca="false">IF(AND(AA$3&gt;=CEG_Assets!$AA$6,AA$3&lt;=CEG_Assets!$AB$6),MIN(CEG_Assets!$D$6,CEG_Assets!$Z$6*MIN(1,(AA$3-CEG_Assets!$AA$6+1)/MAX(1,CEG_Assets!$AC$6))),0)*AA156</f>
        <v>0</v>
      </c>
      <c r="AB157" s="9" t="n">
        <f aca="false">IF(AND(AB$3&gt;=CEG_Assets!$AA$6,AB$3&lt;=CEG_Assets!$AB$6),MIN(CEG_Assets!$D$6,CEG_Assets!$Z$6*MIN(1,(AB$3-CEG_Assets!$AA$6+1)/MAX(1,CEG_Assets!$AC$6))),0)*AB156</f>
        <v>0</v>
      </c>
      <c r="AC157" s="9" t="n">
        <f aca="false">IF(AND(AC$3&gt;=CEG_Assets!$AA$6,AC$3&lt;=CEG_Assets!$AB$6),MIN(CEG_Assets!$D$6,CEG_Assets!$Z$6*MIN(1,(AC$3-CEG_Assets!$AA$6+1)/MAX(1,CEG_Assets!$AC$6))),0)*AC156</f>
        <v>0</v>
      </c>
      <c r="AD157" s="9" t="n">
        <f aca="false">IF(AND(AD$3&gt;=CEG_Assets!$AA$6,AD$3&lt;=CEG_Assets!$AB$6),MIN(CEG_Assets!$D$6,CEG_Assets!$Z$6*MIN(1,(AD$3-CEG_Assets!$AA$6+1)/MAX(1,CEG_Assets!$AC$6))),0)*AD156</f>
        <v>0</v>
      </c>
      <c r="AE157" s="9" t="n">
        <f aca="false">IF(AND(AE$3&gt;=CEG_Assets!$AA$6,AE$3&lt;=CEG_Assets!$AB$6),MIN(CEG_Assets!$D$6,CEG_Assets!$Z$6*MIN(1,(AE$3-CEG_Assets!$AA$6+1)/MAX(1,CEG_Assets!$AC$6))),0)*AE156</f>
        <v>0</v>
      </c>
      <c r="AF157" s="9" t="n">
        <f aca="false">IF(AND(AF$3&gt;=CEG_Assets!$AA$6,AF$3&lt;=CEG_Assets!$AB$6),MIN(CEG_Assets!$D$6,CEG_Assets!$Z$6*MIN(1,(AF$3-CEG_Assets!$AA$6+1)/MAX(1,CEG_Assets!$AC$6))),0)*AF156</f>
        <v>0</v>
      </c>
      <c r="AG157" s="9" t="n">
        <f aca="false">IF(AND(AG$3&gt;=CEG_Assets!$AA$6,AG$3&lt;=CEG_Assets!$AB$6),MIN(CEG_Assets!$D$6,CEG_Assets!$Z$6*MIN(1,(AG$3-CEG_Assets!$AA$6+1)/MAX(1,CEG_Assets!$AC$6))),0)*AG156</f>
        <v>0</v>
      </c>
      <c r="AH157" s="9" t="n">
        <f aca="false">IF(AND(AH$3&gt;=CEG_Assets!$AA$6,AH$3&lt;=CEG_Assets!$AB$6),MIN(CEG_Assets!$D$6,CEG_Assets!$Z$6*MIN(1,(AH$3-CEG_Assets!$AA$6+1)/MAX(1,CEG_Assets!$AC$6))),0)*AH156</f>
        <v>0</v>
      </c>
      <c r="AI157" s="9" t="n">
        <f aca="false">IF(AND(AI$3&gt;=CEG_Assets!$AA$6,AI$3&lt;=CEG_Assets!$AB$6),MIN(CEG_Assets!$D$6,CEG_Assets!$Z$6*MIN(1,(AI$3-CEG_Assets!$AA$6+1)/MAX(1,CEG_Assets!$AC$6))),0)*AI156</f>
        <v>0</v>
      </c>
      <c r="AJ157" s="9" t="n">
        <f aca="false">IF(AND(AJ$3&gt;=CEG_Assets!$AA$6,AJ$3&lt;=CEG_Assets!$AB$6),MIN(CEG_Assets!$D$6,CEG_Assets!$Z$6*MIN(1,(AJ$3-CEG_Assets!$AA$6+1)/MAX(1,CEG_Assets!$AC$6))),0)*AJ156</f>
        <v>0</v>
      </c>
      <c r="AK157" s="9" t="n">
        <f aca="false">IF(AND(AK$3&gt;=CEG_Assets!$AA$6,AK$3&lt;=CEG_Assets!$AB$6),MIN(CEG_Assets!$D$6,CEG_Assets!$Z$6*MIN(1,(AK$3-CEG_Assets!$AA$6+1)/MAX(1,CEG_Assets!$AC$6))),0)*AK156</f>
        <v>0</v>
      </c>
      <c r="AL157" s="9" t="n">
        <f aca="false">IF(AND(AL$3&gt;=CEG_Assets!$AA$6,AL$3&lt;=CEG_Assets!$AB$6),MIN(CEG_Assets!$D$6,CEG_Assets!$Z$6*MIN(1,(AL$3-CEG_Assets!$AA$6+1)/MAX(1,CEG_Assets!$AC$6))),0)*AL156</f>
        <v>0</v>
      </c>
      <c r="AM157" s="9" t="n">
        <f aca="false">IF(AND(AM$3&gt;=CEG_Assets!$AA$6,AM$3&lt;=CEG_Assets!$AB$6),MIN(CEG_Assets!$D$6,CEG_Assets!$Z$6*MIN(1,(AM$3-CEG_Assets!$AA$6+1)/MAX(1,CEG_Assets!$AC$6))),0)*AM156</f>
        <v>0</v>
      </c>
      <c r="AN157" s="9" t="n">
        <f aca="false">IF(AND(AN$3&gt;=CEG_Assets!$AA$6,AN$3&lt;=CEG_Assets!$AB$6),MIN(CEG_Assets!$D$6,CEG_Assets!$Z$6*MIN(1,(AN$3-CEG_Assets!$AA$6+1)/MAX(1,CEG_Assets!$AC$6))),0)*AN156</f>
        <v>0</v>
      </c>
      <c r="AO157" s="9" t="n">
        <f aca="false">IF(AND(AO$3&gt;=CEG_Assets!$AA$6,AO$3&lt;=CEG_Assets!$AB$6),MIN(CEG_Assets!$D$6,CEG_Assets!$Z$6*MIN(1,(AO$3-CEG_Assets!$AA$6+1)/MAX(1,CEG_Assets!$AC$6))),0)*AO156</f>
        <v>0</v>
      </c>
      <c r="AP157" s="9" t="n">
        <f aca="false">IF(AND(AP$3&gt;=CEG_Assets!$AA$6,AP$3&lt;=CEG_Assets!$AB$6),MIN(CEG_Assets!$D$6,CEG_Assets!$Z$6*MIN(1,(AP$3-CEG_Assets!$AA$6+1)/MAX(1,CEG_Assets!$AC$6))),0)*AP156</f>
        <v>0</v>
      </c>
      <c r="AQ157" s="9" t="n">
        <f aca="false">IF(AND(AQ$3&gt;=CEG_Assets!$AA$6,AQ$3&lt;=CEG_Assets!$AB$6),MIN(CEG_Assets!$D$6,CEG_Assets!$Z$6*MIN(1,(AQ$3-CEG_Assets!$AA$6+1)/MAX(1,CEG_Assets!$AC$6))),0)*AQ156</f>
        <v>0</v>
      </c>
      <c r="AR157" s="9" t="n">
        <f aca="false">IF(AND(AR$3&gt;=CEG_Assets!$AA$6,AR$3&lt;=CEG_Assets!$AB$6),MIN(CEG_Assets!$D$6,CEG_Assets!$Z$6*MIN(1,(AR$3-CEG_Assets!$AA$6+1)/MAX(1,CEG_Assets!$AC$6))),0)*AR156</f>
        <v>0</v>
      </c>
      <c r="AS157" s="9" t="n">
        <f aca="false">IF(AND(AS$3&gt;=CEG_Assets!$AA$6,AS$3&lt;=CEG_Assets!$AB$6),MIN(CEG_Assets!$D$6,CEG_Assets!$Z$6*MIN(1,(AS$3-CEG_Assets!$AA$6+1)/MAX(1,CEG_Assets!$AC$6))),0)*AS156</f>
        <v>0</v>
      </c>
    </row>
    <row r="158" customFormat="false" ht="15" hidden="false" customHeight="false" outlineLevel="0" collapsed="false">
      <c r="A158" s="6" t="s">
        <v>429</v>
      </c>
      <c r="B158" s="6" t="s">
        <v>430</v>
      </c>
      <c r="G158" s="9" t="n">
        <f aca="false">(CEG_Assets!$D$6-G157)*8760*CEG_Assets!$I$6*G156</f>
        <v>9542049</v>
      </c>
      <c r="H158" s="9" t="n">
        <f aca="false">(CEG_Assets!$D$6-H157)*8760*CEG_Assets!$I$6*H156</f>
        <v>9542049</v>
      </c>
      <c r="I158" s="9" t="n">
        <f aca="false">(CEG_Assets!$D$6-I157)*8760*CEG_Assets!$I$6*I156</f>
        <v>9542049</v>
      </c>
      <c r="J158" s="9" t="n">
        <f aca="false">(CEG_Assets!$D$6-J157)*8760*CEG_Assets!$I$6*J156</f>
        <v>9542049</v>
      </c>
      <c r="K158" s="9" t="n">
        <f aca="false">(CEG_Assets!$D$6-K157)*8760*CEG_Assets!$I$6*K156</f>
        <v>9542049</v>
      </c>
      <c r="L158" s="9" t="n">
        <f aca="false">(CEG_Assets!$D$6-L157)*8760*CEG_Assets!$I$6*L156</f>
        <v>9542049</v>
      </c>
      <c r="M158" s="9" t="n">
        <f aca="false">(CEG_Assets!$D$6-M157)*8760*CEG_Assets!$I$6*M156</f>
        <v>9542049</v>
      </c>
      <c r="N158" s="9" t="n">
        <f aca="false">(CEG_Assets!$D$6-N157)*8760*CEG_Assets!$I$6*N156</f>
        <v>9542049</v>
      </c>
      <c r="O158" s="9" t="n">
        <f aca="false">(CEG_Assets!$D$6-O157)*8760*CEG_Assets!$I$6*O156</f>
        <v>9542049</v>
      </c>
      <c r="P158" s="9" t="n">
        <f aca="false">(CEG_Assets!$D$6-P157)*8760*CEG_Assets!$I$6*P156</f>
        <v>9542049</v>
      </c>
      <c r="Q158" s="9" t="n">
        <f aca="false">(CEG_Assets!$D$6-Q157)*8760*CEG_Assets!$I$6*Q156</f>
        <v>9542049</v>
      </c>
      <c r="R158" s="9" t="n">
        <f aca="false">(CEG_Assets!$D$6-R157)*8760*CEG_Assets!$I$6*R156</f>
        <v>9542049</v>
      </c>
      <c r="S158" s="9" t="n">
        <f aca="false">(CEG_Assets!$D$6-S157)*8760*CEG_Assets!$I$6*S156</f>
        <v>9542049</v>
      </c>
      <c r="T158" s="9" t="n">
        <f aca="false">(CEG_Assets!$D$6-T157)*8760*CEG_Assets!$I$6*T156</f>
        <v>9542049</v>
      </c>
      <c r="U158" s="9" t="n">
        <f aca="false">(CEG_Assets!$D$6-U157)*8760*CEG_Assets!$I$6*U156</f>
        <v>9542049</v>
      </c>
      <c r="V158" s="9" t="n">
        <f aca="false">(CEG_Assets!$D$6-V157)*8760*CEG_Assets!$I$6*V156</f>
        <v>9542049</v>
      </c>
      <c r="W158" s="9" t="n">
        <f aca="false">(CEG_Assets!$D$6-W157)*8760*CEG_Assets!$I$6*W156</f>
        <v>9542049</v>
      </c>
      <c r="X158" s="9" t="n">
        <f aca="false">(CEG_Assets!$D$6-X157)*8760*CEG_Assets!$I$6*X156</f>
        <v>9542049</v>
      </c>
      <c r="Y158" s="9" t="n">
        <f aca="false">(CEG_Assets!$D$6-Y157)*8760*CEG_Assets!$I$6*Y156</f>
        <v>9542049</v>
      </c>
      <c r="Z158" s="9" t="n">
        <f aca="false">(CEG_Assets!$D$6-Z157)*8760*CEG_Assets!$I$6*Z156</f>
        <v>9542049</v>
      </c>
      <c r="AA158" s="9" t="n">
        <f aca="false">(CEG_Assets!$D$6-AA157)*8760*CEG_Assets!$I$6*AA156</f>
        <v>9542049</v>
      </c>
      <c r="AB158" s="9" t="n">
        <f aca="false">(CEG_Assets!$D$6-AB157)*8760*CEG_Assets!$I$6*AB156</f>
        <v>9542049</v>
      </c>
      <c r="AC158" s="9" t="n">
        <f aca="false">(CEG_Assets!$D$6-AC157)*8760*CEG_Assets!$I$6*AC156</f>
        <v>9542049</v>
      </c>
      <c r="AD158" s="9" t="n">
        <f aca="false">(CEG_Assets!$D$6-AD157)*8760*CEG_Assets!$I$6*AD156</f>
        <v>9542049</v>
      </c>
      <c r="AE158" s="9" t="n">
        <f aca="false">(CEG_Assets!$D$6-AE157)*8760*CEG_Assets!$I$6*AE156</f>
        <v>9542049</v>
      </c>
      <c r="AF158" s="9" t="n">
        <f aca="false">(CEG_Assets!$D$6-AF157)*8760*CEG_Assets!$I$6*AF156</f>
        <v>9542049</v>
      </c>
      <c r="AG158" s="9" t="n">
        <f aca="false">(CEG_Assets!$D$6-AG157)*8760*CEG_Assets!$I$6*AG156</f>
        <v>9542049</v>
      </c>
      <c r="AH158" s="9" t="n">
        <f aca="false">(CEG_Assets!$D$6-AH157)*8760*CEG_Assets!$I$6*AH156</f>
        <v>9542049</v>
      </c>
      <c r="AI158" s="9" t="n">
        <f aca="false">(CEG_Assets!$D$6-AI157)*8760*CEG_Assets!$I$6*AI156</f>
        <v>9542049</v>
      </c>
      <c r="AJ158" s="9" t="n">
        <f aca="false">(CEG_Assets!$D$6-AJ157)*8760*CEG_Assets!$I$6*AJ156</f>
        <v>0</v>
      </c>
      <c r="AK158" s="9" t="n">
        <f aca="false">(CEG_Assets!$D$6-AK157)*8760*CEG_Assets!$I$6*AK156</f>
        <v>0</v>
      </c>
      <c r="AL158" s="9" t="n">
        <f aca="false">(CEG_Assets!$D$6-AL157)*8760*CEG_Assets!$I$6*AL156</f>
        <v>0</v>
      </c>
      <c r="AM158" s="9" t="n">
        <f aca="false">(CEG_Assets!$D$6-AM157)*8760*CEG_Assets!$I$6*AM156</f>
        <v>0</v>
      </c>
      <c r="AN158" s="9" t="n">
        <f aca="false">(CEG_Assets!$D$6-AN157)*8760*CEG_Assets!$I$6*AN156</f>
        <v>0</v>
      </c>
      <c r="AO158" s="9" t="n">
        <f aca="false">(CEG_Assets!$D$6-AO157)*8760*CEG_Assets!$I$6*AO156</f>
        <v>0</v>
      </c>
      <c r="AP158" s="9" t="n">
        <f aca="false">(CEG_Assets!$D$6-AP157)*8760*CEG_Assets!$I$6*AP156</f>
        <v>0</v>
      </c>
      <c r="AQ158" s="9" t="n">
        <f aca="false">(CEG_Assets!$D$6-AQ157)*8760*CEG_Assets!$I$6*AQ156</f>
        <v>0</v>
      </c>
      <c r="AR158" s="9" t="n">
        <f aca="false">(CEG_Assets!$D$6-AR157)*8760*CEG_Assets!$I$6*AR156</f>
        <v>0</v>
      </c>
      <c r="AS158" s="9" t="n">
        <f aca="false">(CEG_Assets!$D$6-AS157)*8760*CEG_Assets!$I$6*AS156</f>
        <v>0</v>
      </c>
    </row>
    <row r="159" customFormat="false" ht="15" hidden="false" customHeight="false" outlineLevel="0" collapsed="false">
      <c r="A159" s="6" t="s">
        <v>431</v>
      </c>
      <c r="B159" s="6" t="s">
        <v>432</v>
      </c>
      <c r="G159" s="9" t="n">
        <f aca="false">G157*8760*CEG_Assets!$I$6*G156</f>
        <v>0</v>
      </c>
      <c r="H159" s="9" t="n">
        <f aca="false">H157*8760*CEG_Assets!$I$6*H156</f>
        <v>0</v>
      </c>
      <c r="I159" s="9" t="n">
        <f aca="false">I157*8760*CEG_Assets!$I$6*I156</f>
        <v>0</v>
      </c>
      <c r="J159" s="9" t="n">
        <f aca="false">J157*8760*CEG_Assets!$I$6*J156</f>
        <v>0</v>
      </c>
      <c r="K159" s="9" t="n">
        <f aca="false">K157*8760*CEG_Assets!$I$6*K156</f>
        <v>0</v>
      </c>
      <c r="L159" s="9" t="n">
        <f aca="false">L157*8760*CEG_Assets!$I$6*L156</f>
        <v>0</v>
      </c>
      <c r="M159" s="9" t="n">
        <f aca="false">M157*8760*CEG_Assets!$I$6*M156</f>
        <v>0</v>
      </c>
      <c r="N159" s="9" t="n">
        <f aca="false">N157*8760*CEG_Assets!$I$6*N156</f>
        <v>0</v>
      </c>
      <c r="O159" s="9" t="n">
        <f aca="false">O157*8760*CEG_Assets!$I$6*O156</f>
        <v>0</v>
      </c>
      <c r="P159" s="9" t="n">
        <f aca="false">P157*8760*CEG_Assets!$I$6*P156</f>
        <v>0</v>
      </c>
      <c r="Q159" s="9" t="n">
        <f aca="false">Q157*8760*CEG_Assets!$I$6*Q156</f>
        <v>0</v>
      </c>
      <c r="R159" s="9" t="n">
        <f aca="false">R157*8760*CEG_Assets!$I$6*R156</f>
        <v>0</v>
      </c>
      <c r="S159" s="9" t="n">
        <f aca="false">S157*8760*CEG_Assets!$I$6*S156</f>
        <v>0</v>
      </c>
      <c r="T159" s="9" t="n">
        <f aca="false">T157*8760*CEG_Assets!$I$6*T156</f>
        <v>0</v>
      </c>
      <c r="U159" s="9" t="n">
        <f aca="false">U157*8760*CEG_Assets!$I$6*U156</f>
        <v>0</v>
      </c>
      <c r="V159" s="9" t="n">
        <f aca="false">V157*8760*CEG_Assets!$I$6*V156</f>
        <v>0</v>
      </c>
      <c r="W159" s="9" t="n">
        <f aca="false">W157*8760*CEG_Assets!$I$6*W156</f>
        <v>0</v>
      </c>
      <c r="X159" s="9" t="n">
        <f aca="false">X157*8760*CEG_Assets!$I$6*X156</f>
        <v>0</v>
      </c>
      <c r="Y159" s="9" t="n">
        <f aca="false">Y157*8760*CEG_Assets!$I$6*Y156</f>
        <v>0</v>
      </c>
      <c r="Z159" s="9" t="n">
        <f aca="false">Z157*8760*CEG_Assets!$I$6*Z156</f>
        <v>0</v>
      </c>
      <c r="AA159" s="9" t="n">
        <f aca="false">AA157*8760*CEG_Assets!$I$6*AA156</f>
        <v>0</v>
      </c>
      <c r="AB159" s="9" t="n">
        <f aca="false">AB157*8760*CEG_Assets!$I$6*AB156</f>
        <v>0</v>
      </c>
      <c r="AC159" s="9" t="n">
        <f aca="false">AC157*8760*CEG_Assets!$I$6*AC156</f>
        <v>0</v>
      </c>
      <c r="AD159" s="9" t="n">
        <f aca="false">AD157*8760*CEG_Assets!$I$6*AD156</f>
        <v>0</v>
      </c>
      <c r="AE159" s="9" t="n">
        <f aca="false">AE157*8760*CEG_Assets!$I$6*AE156</f>
        <v>0</v>
      </c>
      <c r="AF159" s="9" t="n">
        <f aca="false">AF157*8760*CEG_Assets!$I$6*AF156</f>
        <v>0</v>
      </c>
      <c r="AG159" s="9" t="n">
        <f aca="false">AG157*8760*CEG_Assets!$I$6*AG156</f>
        <v>0</v>
      </c>
      <c r="AH159" s="9" t="n">
        <f aca="false">AH157*8760*CEG_Assets!$I$6*AH156</f>
        <v>0</v>
      </c>
      <c r="AI159" s="9" t="n">
        <f aca="false">AI157*8760*CEG_Assets!$I$6*AI156</f>
        <v>0</v>
      </c>
      <c r="AJ159" s="9" t="n">
        <f aca="false">AJ157*8760*CEG_Assets!$I$6*AJ156</f>
        <v>0</v>
      </c>
      <c r="AK159" s="9" t="n">
        <f aca="false">AK157*8760*CEG_Assets!$I$6*AK156</f>
        <v>0</v>
      </c>
      <c r="AL159" s="9" t="n">
        <f aca="false">AL157*8760*CEG_Assets!$I$6*AL156</f>
        <v>0</v>
      </c>
      <c r="AM159" s="9" t="n">
        <f aca="false">AM157*8760*CEG_Assets!$I$6*AM156</f>
        <v>0</v>
      </c>
      <c r="AN159" s="9" t="n">
        <f aca="false">AN157*8760*CEG_Assets!$I$6*AN156</f>
        <v>0</v>
      </c>
      <c r="AO159" s="9" t="n">
        <f aca="false">AO157*8760*CEG_Assets!$I$6*AO156</f>
        <v>0</v>
      </c>
      <c r="AP159" s="9" t="n">
        <f aca="false">AP157*8760*CEG_Assets!$I$6*AP156</f>
        <v>0</v>
      </c>
      <c r="AQ159" s="9" t="n">
        <f aca="false">AQ157*8760*CEG_Assets!$I$6*AQ156</f>
        <v>0</v>
      </c>
      <c r="AR159" s="9" t="n">
        <f aca="false">AR157*8760*CEG_Assets!$I$6*AR156</f>
        <v>0</v>
      </c>
      <c r="AS159" s="9" t="n">
        <f aca="false">AS157*8760*CEG_Assets!$I$6*AS156</f>
        <v>0</v>
      </c>
    </row>
    <row r="160" customFormat="false" ht="15" hidden="false" customHeight="false" outlineLevel="0" collapsed="false">
      <c r="A160" s="6" t="s">
        <v>433</v>
      </c>
      <c r="B160" s="6" t="s">
        <v>434</v>
      </c>
      <c r="G160" s="7" t="n">
        <f aca="false">IF(ISNUMBER(CEG_Assets!$L$6),CEG_Assets!$L$6*G$4,INDEX(Prices!G:G,CEG_Assets!$AO$6)+FuelAdder*G$4)</f>
        <v>4.131</v>
      </c>
      <c r="H160" s="7" t="n">
        <f aca="false">IF(ISNUMBER(CEG_Assets!$L$6),CEG_Assets!$L$6*H$4,INDEX(Prices!H:H,CEG_Assets!$AO$6)+FuelAdder*H$4)</f>
        <v>4.21362</v>
      </c>
      <c r="I160" s="7" t="n">
        <f aca="false">IF(ISNUMBER(CEG_Assets!$L$6),CEG_Assets!$L$6*I$4,INDEX(Prices!I:I,CEG_Assets!$AO$6)+FuelAdder*I$4)</f>
        <v>4.4040132</v>
      </c>
      <c r="J160" s="7" t="n">
        <f aca="false">IF(ISNUMBER(CEG_Assets!$L$6),CEG_Assets!$L$6*J$4,INDEX(Prices!J:J,CEG_Assets!$AO$6)+FuelAdder*J$4)</f>
        <v>4.492093464</v>
      </c>
      <c r="K160" s="7" t="n">
        <f aca="false">IF(ISNUMBER(CEG_Assets!$L$6),CEG_Assets!$L$6*K$4,INDEX(Prices!K:K,CEG_Assets!$AO$6)+FuelAdder*K$4)</f>
        <v>4.58193533328</v>
      </c>
      <c r="L160" s="7" t="n">
        <f aca="false">IF(ISNUMBER(CEG_Assets!$L$6),CEG_Assets!$L$6*L$4,INDEX(Prices!L:L,CEG_Assets!$AO$6)+FuelAdder*L$4)</f>
        <v>4.6735740399456</v>
      </c>
      <c r="M160" s="7" t="n">
        <f aca="false">IF(ISNUMBER(CEG_Assets!$L$6),CEG_Assets!$L$6*M$4,INDEX(Prices!M:M,CEG_Assets!$AO$6)+FuelAdder*M$4)</f>
        <v>4.76704552074451</v>
      </c>
      <c r="N160" s="7" t="n">
        <f aca="false">IF(ISNUMBER(CEG_Assets!$L$6),CEG_Assets!$L$6*N$4,INDEX(Prices!N:N,CEG_Assets!$AO$6)+FuelAdder*N$4)</f>
        <v>4.8623864311594</v>
      </c>
      <c r="O160" s="7" t="n">
        <f aca="false">IF(ISNUMBER(CEG_Assets!$L$6),CEG_Assets!$L$6*O$4,INDEX(Prices!O:O,CEG_Assets!$AO$6)+FuelAdder*O$4)</f>
        <v>4.95963415978259</v>
      </c>
      <c r="P160" s="7" t="n">
        <f aca="false">IF(ISNUMBER(CEG_Assets!$L$6),CEG_Assets!$L$6*P$4,INDEX(Prices!P:P,CEG_Assets!$AO$6)+FuelAdder*P$4)</f>
        <v>5.05882684297824</v>
      </c>
      <c r="Q160" s="7" t="n">
        <f aca="false">IF(ISNUMBER(CEG_Assets!$L$6),CEG_Assets!$L$6*Q$4,INDEX(Prices!Q:Q,CEG_Assets!$AO$6)+FuelAdder*Q$4)</f>
        <v>5.16000337983781</v>
      </c>
      <c r="R160" s="7" t="n">
        <f aca="false">IF(ISNUMBER(CEG_Assets!$L$6),CEG_Assets!$L$6*R$4,INDEX(Prices!R:R,CEG_Assets!$AO$6)+FuelAdder*R$4)</f>
        <v>5.26320344743456</v>
      </c>
      <c r="S160" s="7" t="n">
        <f aca="false">IF(ISNUMBER(CEG_Assets!$L$6),CEG_Assets!$L$6*S$4,INDEX(Prices!S:S,CEG_Assets!$AO$6)+FuelAdder*S$4)</f>
        <v>5.36846751638326</v>
      </c>
      <c r="T160" s="7" t="n">
        <f aca="false">IF(ISNUMBER(CEG_Assets!$L$6),CEG_Assets!$L$6*T$4,INDEX(Prices!T:T,CEG_Assets!$AO$6)+FuelAdder*T$4)</f>
        <v>5.47583686671092</v>
      </c>
      <c r="U160" s="7" t="n">
        <f aca="false">IF(ISNUMBER(CEG_Assets!$L$6),CEG_Assets!$L$6*U$4,INDEX(Prices!U:U,CEG_Assets!$AO$6)+FuelAdder*U$4)</f>
        <v>5.58535360404514</v>
      </c>
      <c r="V160" s="7" t="n">
        <f aca="false">IF(ISNUMBER(CEG_Assets!$L$6),CEG_Assets!$L$6*V$4,INDEX(Prices!V:V,CEG_Assets!$AO$6)+FuelAdder*V$4)</f>
        <v>5.69706067612604</v>
      </c>
      <c r="W160" s="7" t="n">
        <f aca="false">IF(ISNUMBER(CEG_Assets!$L$6),CEG_Assets!$L$6*W$4,INDEX(Prices!W:W,CEG_Assets!$AO$6)+FuelAdder*W$4)</f>
        <v>5.81100188964856</v>
      </c>
      <c r="X160" s="7" t="n">
        <f aca="false">IF(ISNUMBER(CEG_Assets!$L$6),CEG_Assets!$L$6*X$4,INDEX(Prices!X:X,CEG_Assets!$AO$6)+FuelAdder*X$4)</f>
        <v>5.92722192744153</v>
      </c>
      <c r="Y160" s="7" t="n">
        <f aca="false">IF(ISNUMBER(CEG_Assets!$L$6),CEG_Assets!$L$6*Y$4,INDEX(Prices!Y:Y,CEG_Assets!$AO$6)+FuelAdder*Y$4)</f>
        <v>6.04576636599037</v>
      </c>
      <c r="Z160" s="7" t="n">
        <f aca="false">IF(ISNUMBER(CEG_Assets!$L$6),CEG_Assets!$L$6*Z$4,INDEX(Prices!Z:Z,CEG_Assets!$AO$6)+FuelAdder*Z$4)</f>
        <v>6.16668169331017</v>
      </c>
      <c r="AA160" s="7" t="n">
        <f aca="false">IF(ISNUMBER(CEG_Assets!$L$6),CEG_Assets!$L$6*AA$4,INDEX(Prices!AA:AA,CEG_Assets!$AO$6)+FuelAdder*AA$4)</f>
        <v>6.29001532717638</v>
      </c>
      <c r="AB160" s="7" t="n">
        <f aca="false">IF(ISNUMBER(CEG_Assets!$L$6),CEG_Assets!$L$6*AB$4,INDEX(Prices!AB:AB,CEG_Assets!$AO$6)+FuelAdder*AB$4)</f>
        <v>6.4158156337199</v>
      </c>
      <c r="AC160" s="7" t="n">
        <f aca="false">IF(ISNUMBER(CEG_Assets!$L$6),CEG_Assets!$L$6*AC$4,INDEX(Prices!AC:AC,CEG_Assets!$AO$6)+FuelAdder*AC$4)</f>
        <v>6.5441319463943</v>
      </c>
      <c r="AD160" s="7" t="n">
        <f aca="false">IF(ISNUMBER(CEG_Assets!$L$6),CEG_Assets!$L$6*AD$4,INDEX(Prices!AD:AD,CEG_Assets!$AO$6)+FuelAdder*AD$4)</f>
        <v>6.67501458532219</v>
      </c>
      <c r="AE160" s="7" t="n">
        <f aca="false">IF(ISNUMBER(CEG_Assets!$L$6),CEG_Assets!$L$6*AE$4,INDEX(Prices!AE:AE,CEG_Assets!$AO$6)+FuelAdder*AE$4)</f>
        <v>6.80851487702863</v>
      </c>
      <c r="AF160" s="7" t="n">
        <f aca="false">IF(ISNUMBER(CEG_Assets!$L$6),CEG_Assets!$L$6*AF$4,INDEX(Prices!AF:AF,CEG_Assets!$AO$6)+FuelAdder*AF$4)</f>
        <v>6.94468517456921</v>
      </c>
      <c r="AG160" s="7" t="n">
        <f aca="false">IF(ISNUMBER(CEG_Assets!$L$6),CEG_Assets!$L$6*AG$4,INDEX(Prices!AG:AG,CEG_Assets!$AO$6)+FuelAdder*AG$4)</f>
        <v>7.08357887806059</v>
      </c>
      <c r="AH160" s="7" t="n">
        <f aca="false">IF(ISNUMBER(CEG_Assets!$L$6),CEG_Assets!$L$6*AH$4,INDEX(Prices!AH:AH,CEG_Assets!$AO$6)+FuelAdder*AH$4)</f>
        <v>7.2252504556218</v>
      </c>
      <c r="AI160" s="7" t="n">
        <f aca="false">IF(ISNUMBER(CEG_Assets!$L$6),CEG_Assets!$L$6*AI$4,INDEX(Prices!AI:AI,CEG_Assets!$AO$6)+FuelAdder*AI$4)</f>
        <v>7.36975546473424</v>
      </c>
      <c r="AJ160" s="7" t="n">
        <f aca="false">IF(ISNUMBER(CEG_Assets!$L$6),CEG_Assets!$L$6*AJ$4,INDEX(Prices!AJ:AJ,CEG_Assets!$AO$6)+FuelAdder*AJ$4)</f>
        <v>7.51715057402892</v>
      </c>
      <c r="AK160" s="7" t="n">
        <f aca="false">IF(ISNUMBER(CEG_Assets!$L$6),CEG_Assets!$L$6*AK$4,INDEX(Prices!AK:AK,CEG_Assets!$AO$6)+FuelAdder*AK$4)</f>
        <v>7.6674935855095</v>
      </c>
      <c r="AL160" s="7" t="n">
        <f aca="false">IF(ISNUMBER(CEG_Assets!$L$6),CEG_Assets!$L$6*AL$4,INDEX(Prices!AL:AL,CEG_Assets!$AO$6)+FuelAdder*AL$4)</f>
        <v>7.82084345721969</v>
      </c>
      <c r="AM160" s="7" t="n">
        <f aca="false">IF(ISNUMBER(CEG_Assets!$L$6),CEG_Assets!$L$6*AM$4,INDEX(Prices!AM:AM,CEG_Assets!$AO$6)+FuelAdder*AM$4)</f>
        <v>7.97726032636409</v>
      </c>
      <c r="AN160" s="7" t="n">
        <f aca="false">IF(ISNUMBER(CEG_Assets!$L$6),CEG_Assets!$L$6*AN$4,INDEX(Prices!AN:AN,CEG_Assets!$AO$6)+FuelAdder*AN$4)</f>
        <v>8.13680553289137</v>
      </c>
      <c r="AO160" s="7" t="n">
        <f aca="false">IF(ISNUMBER(CEG_Assets!$L$6),CEG_Assets!$L$6*AO$4,INDEX(Prices!AO:AO,CEG_Assets!$AO$6)+FuelAdder*AO$4)</f>
        <v>8.29954164354919</v>
      </c>
      <c r="AP160" s="7" t="n">
        <f aca="false">IF(ISNUMBER(CEG_Assets!$L$6),CEG_Assets!$L$6*AP$4,INDEX(Prices!AP:AP,CEG_Assets!$AO$6)+FuelAdder*AP$4)</f>
        <v>8.46553247642018</v>
      </c>
      <c r="AQ160" s="7" t="n">
        <f aca="false">IF(ISNUMBER(CEG_Assets!$L$6),CEG_Assets!$L$6*AQ$4,INDEX(Prices!AQ:AQ,CEG_Assets!$AO$6)+FuelAdder*AQ$4)</f>
        <v>8.63484312594858</v>
      </c>
      <c r="AR160" s="7" t="n">
        <f aca="false">IF(ISNUMBER(CEG_Assets!$L$6),CEG_Assets!$L$6*AR$4,INDEX(Prices!AR:AR,CEG_Assets!$AO$6)+FuelAdder*AR$4)</f>
        <v>8.80753998846755</v>
      </c>
      <c r="AS160" s="7" t="n">
        <f aca="false">IF(ISNUMBER(CEG_Assets!$L$6),CEG_Assets!$L$6*AS$4,INDEX(Prices!AS:AS,CEG_Assets!$AO$6)+FuelAdder*AS$4)</f>
        <v>8.9836907882369</v>
      </c>
    </row>
    <row r="161" customFormat="false" ht="15" hidden="false" customHeight="false" outlineLevel="0" collapsed="false">
      <c r="A161" s="6" t="s">
        <v>435</v>
      </c>
      <c r="B161" s="6" t="s">
        <v>436</v>
      </c>
      <c r="G161" s="7" t="n">
        <f aca="false">INDEX(Prices!G:G,CEG_Assets!$AN$6)*CEG_Assets!$J$6-CEG_Assets!$K$6*G160-CEG_Assets!$M$6*G$4</f>
        <v>46.55</v>
      </c>
      <c r="H161" s="7" t="n">
        <f aca="false">INDEX(Prices!H:H,CEG_Assets!$AN$6)*CEG_Assets!$J$6-CEG_Assets!$K$6*H160-CEG_Assets!$M$6*H$4</f>
        <v>48.45</v>
      </c>
      <c r="I161" s="7" t="n">
        <f aca="false">INDEX(Prices!I:I,CEG_Assets!$AN$6)*CEG_Assets!$J$6-CEG_Assets!$K$6*I160-CEG_Assets!$M$6*I$4</f>
        <v>49.92889369</v>
      </c>
      <c r="J161" s="7" t="n">
        <f aca="false">INDEX(Prices!J:J,CEG_Assets!$AN$6)*CEG_Assets!$J$6-CEG_Assets!$K$6*J160-CEG_Assets!$M$6*J$4</f>
        <v>51.4669431276</v>
      </c>
      <c r="K161" s="7" t="n">
        <f aca="false">INDEX(Prices!K:K,CEG_Assets!$AN$6)*CEG_Assets!$J$6-CEG_Assets!$K$6*K160-CEG_Assets!$M$6*K$4</f>
        <v>52.496281990152</v>
      </c>
      <c r="L161" s="7" t="n">
        <f aca="false">INDEX(Prices!L:L,CEG_Assets!$AN$6)*CEG_Assets!$J$6-CEG_Assets!$K$6*L160-CEG_Assets!$M$6*L$4</f>
        <v>53.546207629955</v>
      </c>
      <c r="M161" s="7" t="n">
        <f aca="false">INDEX(Prices!M:M,CEG_Assets!$AN$6)*CEG_Assets!$J$6-CEG_Assets!$K$6*M160-CEG_Assets!$M$6*M$4</f>
        <v>54.6171317825542</v>
      </c>
      <c r="N161" s="7" t="n">
        <f aca="false">INDEX(Prices!N:N,CEG_Assets!$AN$6)*CEG_Assets!$J$6-CEG_Assets!$K$6*N160-CEG_Assets!$M$6*N$4</f>
        <v>55.7094744182052</v>
      </c>
      <c r="O161" s="7" t="n">
        <f aca="false">INDEX(Prices!O:O,CEG_Assets!$AN$6)*CEG_Assets!$J$6-CEG_Assets!$K$6*O160-CEG_Assets!$M$6*O$4</f>
        <v>56.8236639065693</v>
      </c>
      <c r="P161" s="7" t="n">
        <f aca="false">INDEX(Prices!P:P,CEG_Assets!$AN$6)*CEG_Assets!$J$6-CEG_Assets!$K$6*P160-CEG_Assets!$M$6*P$4</f>
        <v>57.9601371847007</v>
      </c>
      <c r="Q161" s="7" t="n">
        <f aca="false">INDEX(Prices!Q:Q,CEG_Assets!$AN$6)*CEG_Assets!$J$6-CEG_Assets!$K$6*Q160-CEG_Assets!$M$6*Q$4</f>
        <v>59.1193399283947</v>
      </c>
      <c r="R161" s="7" t="n">
        <f aca="false">INDEX(Prices!R:R,CEG_Assets!$AN$6)*CEG_Assets!$J$6-CEG_Assets!$K$6*R160-CEG_Assets!$M$6*R$4</f>
        <v>60.3017267269626</v>
      </c>
      <c r="S161" s="7" t="n">
        <f aca="false">INDEX(Prices!S:S,CEG_Assets!$AN$6)*CEG_Assets!$J$6-CEG_Assets!$K$6*S160-CEG_Assets!$M$6*S$4</f>
        <v>61.5077612615019</v>
      </c>
      <c r="T161" s="7" t="n">
        <f aca="false">INDEX(Prices!T:T,CEG_Assets!$AN$6)*CEG_Assets!$J$6-CEG_Assets!$K$6*T160-CEG_Assets!$M$6*T$4</f>
        <v>62.7379164867319</v>
      </c>
      <c r="U161" s="7" t="n">
        <f aca="false">INDEX(Prices!U:U,CEG_Assets!$AN$6)*CEG_Assets!$J$6-CEG_Assets!$K$6*U160-CEG_Assets!$M$6*U$4</f>
        <v>63.9926748164666</v>
      </c>
      <c r="V161" s="7" t="n">
        <f aca="false">INDEX(Prices!V:V,CEG_Assets!$AN$6)*CEG_Assets!$J$6-CEG_Assets!$K$6*V160-CEG_Assets!$M$6*V$4</f>
        <v>65.2725283127959</v>
      </c>
      <c r="W161" s="7" t="n">
        <f aca="false">INDEX(Prices!W:W,CEG_Assets!$AN$6)*CEG_Assets!$J$6-CEG_Assets!$K$6*W160-CEG_Assets!$M$6*W$4</f>
        <v>66.5779788790518</v>
      </c>
      <c r="X161" s="7" t="n">
        <f aca="false">INDEX(Prices!X:X,CEG_Assets!$AN$6)*CEG_Assets!$J$6-CEG_Assets!$K$6*X160-CEG_Assets!$M$6*X$4</f>
        <v>67.9095384566329</v>
      </c>
      <c r="Y161" s="7" t="n">
        <f aca="false">INDEX(Prices!Y:Y,CEG_Assets!$AN$6)*CEG_Assets!$J$6-CEG_Assets!$K$6*Y160-CEG_Assets!$M$6*Y$4</f>
        <v>69.2677292257655</v>
      </c>
      <c r="Z161" s="7" t="n">
        <f aca="false">INDEX(Prices!Z:Z,CEG_Assets!$AN$6)*CEG_Assets!$J$6-CEG_Assets!$K$6*Z160-CEG_Assets!$M$6*Z$4</f>
        <v>70.6530838102808</v>
      </c>
      <c r="AA161" s="7" t="n">
        <f aca="false">INDEX(Prices!AA:AA,CEG_Assets!$AN$6)*CEG_Assets!$J$6-CEG_Assets!$K$6*AA160-CEG_Assets!$M$6*AA$4</f>
        <v>72.0661454864864</v>
      </c>
      <c r="AB161" s="7" t="n">
        <f aca="false">INDEX(Prices!AB:AB,CEG_Assets!$AN$6)*CEG_Assets!$J$6-CEG_Assets!$K$6*AB160-CEG_Assets!$M$6*AB$4</f>
        <v>73.5074683962162</v>
      </c>
      <c r="AC161" s="7" t="n">
        <f aca="false">INDEX(Prices!AC:AC,CEG_Assets!$AN$6)*CEG_Assets!$J$6-CEG_Assets!$K$6*AC160-CEG_Assets!$M$6*AC$4</f>
        <v>74.9776177641405</v>
      </c>
      <c r="AD161" s="7" t="n">
        <f aca="false">INDEX(Prices!AD:AD,CEG_Assets!$AN$6)*CEG_Assets!$J$6-CEG_Assets!$K$6*AD160-CEG_Assets!$M$6*AD$4</f>
        <v>76.4771701194233</v>
      </c>
      <c r="AE161" s="7" t="n">
        <f aca="false">INDEX(Prices!AE:AE,CEG_Assets!$AN$6)*CEG_Assets!$J$6-CEG_Assets!$K$6*AE160-CEG_Assets!$M$6*AE$4</f>
        <v>78.0067135218118</v>
      </c>
      <c r="AF161" s="7" t="n">
        <f aca="false">INDEX(Prices!AF:AF,CEG_Assets!$AN$6)*CEG_Assets!$J$6-CEG_Assets!$K$6*AF160-CEG_Assets!$M$6*AF$4</f>
        <v>79.566847792248</v>
      </c>
      <c r="AG161" s="7" t="n">
        <f aca="false">INDEX(Prices!AG:AG,CEG_Assets!$AN$6)*CEG_Assets!$J$6-CEG_Assets!$K$6*AG160-CEG_Assets!$M$6*AG$4</f>
        <v>81.158184748093</v>
      </c>
      <c r="AH161" s="7" t="n">
        <f aca="false">INDEX(Prices!AH:AH,CEG_Assets!$AN$6)*CEG_Assets!$J$6-CEG_Assets!$K$6*AH160-CEG_Assets!$M$6*AH$4</f>
        <v>82.7813484430549</v>
      </c>
      <c r="AI161" s="7" t="n">
        <f aca="false">INDEX(Prices!AI:AI,CEG_Assets!$AN$6)*CEG_Assets!$J$6-CEG_Assets!$K$6*AI160-CEG_Assets!$M$6*AI$4</f>
        <v>84.4369754119159</v>
      </c>
      <c r="AJ161" s="7" t="n">
        <f aca="false">INDEX(Prices!AJ:AJ,CEG_Assets!$AN$6)*CEG_Assets!$J$6-CEG_Assets!$K$6*AJ160-CEG_Assets!$M$6*AJ$4</f>
        <v>86.1257149201543</v>
      </c>
      <c r="AK161" s="7" t="n">
        <f aca="false">INDEX(Prices!AK:AK,CEG_Assets!$AN$6)*CEG_Assets!$J$6-CEG_Assets!$K$6*AK160-CEG_Assets!$M$6*AK$4</f>
        <v>87.8482292185574</v>
      </c>
      <c r="AL161" s="7" t="n">
        <f aca="false">INDEX(Prices!AL:AL,CEG_Assets!$AN$6)*CEG_Assets!$J$6-CEG_Assets!$K$6*AL160-CEG_Assets!$M$6*AL$4</f>
        <v>89.6051938029285</v>
      </c>
      <c r="AM161" s="7" t="n">
        <f aca="false">INDEX(Prices!AM:AM,CEG_Assets!$AN$6)*CEG_Assets!$J$6-CEG_Assets!$K$6*AM160-CEG_Assets!$M$6*AM$4</f>
        <v>91.3972976789871</v>
      </c>
      <c r="AN161" s="7" t="n">
        <f aca="false">INDEX(Prices!AN:AN,CEG_Assets!$AN$6)*CEG_Assets!$J$6-CEG_Assets!$K$6*AN160-CEG_Assets!$M$6*AN$4</f>
        <v>93.2252436325668</v>
      </c>
      <c r="AO161" s="7" t="n">
        <f aca="false">INDEX(Prices!AO:AO,CEG_Assets!$AN$6)*CEG_Assets!$J$6-CEG_Assets!$K$6*AO160-CEG_Assets!$M$6*AO$4</f>
        <v>95.0897485052182</v>
      </c>
      <c r="AP161" s="7" t="n">
        <f aca="false">INDEX(Prices!AP:AP,CEG_Assets!$AN$6)*CEG_Assets!$J$6-CEG_Assets!$K$6*AP160-CEG_Assets!$M$6*AP$4</f>
        <v>96.9915434753225</v>
      </c>
      <c r="AQ161" s="7" t="n">
        <f aca="false">INDEX(Prices!AQ:AQ,CEG_Assets!$AN$6)*CEG_Assets!$J$6-CEG_Assets!$K$6*AQ160-CEG_Assets!$M$6*AQ$4</f>
        <v>98.931374344829</v>
      </c>
      <c r="AR161" s="7" t="n">
        <f aca="false">INDEX(Prices!AR:AR,CEG_Assets!$AN$6)*CEG_Assets!$J$6-CEG_Assets!$K$6*AR160-CEG_Assets!$M$6*AR$4</f>
        <v>100.910001831726</v>
      </c>
      <c r="AS161" s="7" t="n">
        <f aca="false">INDEX(Prices!AS:AS,CEG_Assets!$AN$6)*CEG_Assets!$J$6-CEG_Assets!$K$6*AS160-CEG_Assets!$M$6*AS$4</f>
        <v>102.92820186836</v>
      </c>
    </row>
    <row r="162" customFormat="false" ht="15" hidden="false" customHeight="false" outlineLevel="0" collapsed="false">
      <c r="A162" s="6" t="s">
        <v>437</v>
      </c>
      <c r="B162" s="6" t="s">
        <v>438</v>
      </c>
      <c r="G162" s="47" t="n">
        <f aca="false">IF(CEG_Assets!$X$6=1,IF(G161&gt;0,1,0),1)</f>
        <v>1</v>
      </c>
      <c r="H162" s="47" t="n">
        <f aca="false">IF(CEG_Assets!$X$6=1,IF(H161&gt;0,1,0),1)</f>
        <v>1</v>
      </c>
      <c r="I162" s="47" t="n">
        <f aca="false">IF(CEG_Assets!$X$6=1,IF(I161&gt;0,1,0),1)</f>
        <v>1</v>
      </c>
      <c r="J162" s="47" t="n">
        <f aca="false">IF(CEG_Assets!$X$6=1,IF(J161&gt;0,1,0),1)</f>
        <v>1</v>
      </c>
      <c r="K162" s="47" t="n">
        <f aca="false">IF(CEG_Assets!$X$6=1,IF(K161&gt;0,1,0),1)</f>
        <v>1</v>
      </c>
      <c r="L162" s="47" t="n">
        <f aca="false">IF(CEG_Assets!$X$6=1,IF(L161&gt;0,1,0),1)</f>
        <v>1</v>
      </c>
      <c r="M162" s="47" t="n">
        <f aca="false">IF(CEG_Assets!$X$6=1,IF(M161&gt;0,1,0),1)</f>
        <v>1</v>
      </c>
      <c r="N162" s="47" t="n">
        <f aca="false">IF(CEG_Assets!$X$6=1,IF(N161&gt;0,1,0),1)</f>
        <v>1</v>
      </c>
      <c r="O162" s="47" t="n">
        <f aca="false">IF(CEG_Assets!$X$6=1,IF(O161&gt;0,1,0),1)</f>
        <v>1</v>
      </c>
      <c r="P162" s="47" t="n">
        <f aca="false">IF(CEG_Assets!$X$6=1,IF(P161&gt;0,1,0),1)</f>
        <v>1</v>
      </c>
      <c r="Q162" s="47" t="n">
        <f aca="false">IF(CEG_Assets!$X$6=1,IF(Q161&gt;0,1,0),1)</f>
        <v>1</v>
      </c>
      <c r="R162" s="47" t="n">
        <f aca="false">IF(CEG_Assets!$X$6=1,IF(R161&gt;0,1,0),1)</f>
        <v>1</v>
      </c>
      <c r="S162" s="47" t="n">
        <f aca="false">IF(CEG_Assets!$X$6=1,IF(S161&gt;0,1,0),1)</f>
        <v>1</v>
      </c>
      <c r="T162" s="47" t="n">
        <f aca="false">IF(CEG_Assets!$X$6=1,IF(T161&gt;0,1,0),1)</f>
        <v>1</v>
      </c>
      <c r="U162" s="47" t="n">
        <f aca="false">IF(CEG_Assets!$X$6=1,IF(U161&gt;0,1,0),1)</f>
        <v>1</v>
      </c>
      <c r="V162" s="47" t="n">
        <f aca="false">IF(CEG_Assets!$X$6=1,IF(V161&gt;0,1,0),1)</f>
        <v>1</v>
      </c>
      <c r="W162" s="47" t="n">
        <f aca="false">IF(CEG_Assets!$X$6=1,IF(W161&gt;0,1,0),1)</f>
        <v>1</v>
      </c>
      <c r="X162" s="47" t="n">
        <f aca="false">IF(CEG_Assets!$X$6=1,IF(X161&gt;0,1,0),1)</f>
        <v>1</v>
      </c>
      <c r="Y162" s="47" t="n">
        <f aca="false">IF(CEG_Assets!$X$6=1,IF(Y161&gt;0,1,0),1)</f>
        <v>1</v>
      </c>
      <c r="Z162" s="47" t="n">
        <f aca="false">IF(CEG_Assets!$X$6=1,IF(Z161&gt;0,1,0),1)</f>
        <v>1</v>
      </c>
      <c r="AA162" s="47" t="n">
        <f aca="false">IF(CEG_Assets!$X$6=1,IF(AA161&gt;0,1,0),1)</f>
        <v>1</v>
      </c>
      <c r="AB162" s="47" t="n">
        <f aca="false">IF(CEG_Assets!$X$6=1,IF(AB161&gt;0,1,0),1)</f>
        <v>1</v>
      </c>
      <c r="AC162" s="47" t="n">
        <f aca="false">IF(CEG_Assets!$X$6=1,IF(AC161&gt;0,1,0),1)</f>
        <v>1</v>
      </c>
      <c r="AD162" s="47" t="n">
        <f aca="false">IF(CEG_Assets!$X$6=1,IF(AD161&gt;0,1,0),1)</f>
        <v>1</v>
      </c>
      <c r="AE162" s="47" t="n">
        <f aca="false">IF(CEG_Assets!$X$6=1,IF(AE161&gt;0,1,0),1)</f>
        <v>1</v>
      </c>
      <c r="AF162" s="47" t="n">
        <f aca="false">IF(CEG_Assets!$X$6=1,IF(AF161&gt;0,1,0),1)</f>
        <v>1</v>
      </c>
      <c r="AG162" s="47" t="n">
        <f aca="false">IF(CEG_Assets!$X$6=1,IF(AG161&gt;0,1,0),1)</f>
        <v>1</v>
      </c>
      <c r="AH162" s="47" t="n">
        <f aca="false">IF(CEG_Assets!$X$6=1,IF(AH161&gt;0,1,0),1)</f>
        <v>1</v>
      </c>
      <c r="AI162" s="47" t="n">
        <f aca="false">IF(CEG_Assets!$X$6=1,IF(AI161&gt;0,1,0),1)</f>
        <v>1</v>
      </c>
      <c r="AJ162" s="47" t="n">
        <f aca="false">IF(CEG_Assets!$X$6=1,IF(AJ161&gt;0,1,0),1)</f>
        <v>1</v>
      </c>
      <c r="AK162" s="47" t="n">
        <f aca="false">IF(CEG_Assets!$X$6=1,IF(AK161&gt;0,1,0),1)</f>
        <v>1</v>
      </c>
      <c r="AL162" s="47" t="n">
        <f aca="false">IF(CEG_Assets!$X$6=1,IF(AL161&gt;0,1,0),1)</f>
        <v>1</v>
      </c>
      <c r="AM162" s="47" t="n">
        <f aca="false">IF(CEG_Assets!$X$6=1,IF(AM161&gt;0,1,0),1)</f>
        <v>1</v>
      </c>
      <c r="AN162" s="47" t="n">
        <f aca="false">IF(CEG_Assets!$X$6=1,IF(AN161&gt;0,1,0),1)</f>
        <v>1</v>
      </c>
      <c r="AO162" s="47" t="n">
        <f aca="false">IF(CEG_Assets!$X$6=1,IF(AO161&gt;0,1,0),1)</f>
        <v>1</v>
      </c>
      <c r="AP162" s="47" t="n">
        <f aca="false">IF(CEG_Assets!$X$6=1,IF(AP161&gt;0,1,0),1)</f>
        <v>1</v>
      </c>
      <c r="AQ162" s="47" t="n">
        <f aca="false">IF(CEG_Assets!$X$6=1,IF(AQ161&gt;0,1,0),1)</f>
        <v>1</v>
      </c>
      <c r="AR162" s="47" t="n">
        <f aca="false">IF(CEG_Assets!$X$6=1,IF(AR161&gt;0,1,0),1)</f>
        <v>1</v>
      </c>
      <c r="AS162" s="47" t="n">
        <f aca="false">IF(CEG_Assets!$X$6=1,IF(AS161&gt;0,1,0),1)</f>
        <v>1</v>
      </c>
    </row>
    <row r="163" customFormat="false" ht="15" hidden="false" customHeight="false" outlineLevel="0" collapsed="false">
      <c r="A163" s="6" t="s">
        <v>439</v>
      </c>
      <c r="B163" s="6" t="s">
        <v>440</v>
      </c>
      <c r="C163" s="9" t="n">
        <f aca="false">SUM(G163:AS163)</f>
        <v>17918.7035413243</v>
      </c>
      <c r="G163" s="8" t="n">
        <f aca="false">G158*INDEX(Prices!G:G,CEG_Assets!$AN$6)*CEG_Assets!$J$6*G162/1000000*(1+CEG_RevAdj)</f>
        <v>444.18238095</v>
      </c>
      <c r="H163" s="8" t="n">
        <f aca="false">H158*INDEX(Prices!H:H,CEG_Assets!$AN$6)*CEG_Assets!$J$6*H162/1000000*(1+CEG_RevAdj)</f>
        <v>462.31227405</v>
      </c>
      <c r="I163" s="8" t="n">
        <f aca="false">I158*INDEX(Prices!I:I,CEG_Assets!$AN$6)*CEG_Assets!$J$6*I162/1000000*(1+CEG_RevAdj)</f>
        <v>476.423950105771</v>
      </c>
      <c r="J163" s="8" t="n">
        <f aca="false">J158*INDEX(Prices!J:J,CEG_Assets!$AN$6)*CEG_Assets!$J$6*J162/1000000*(1+CEG_RevAdj)</f>
        <v>491.100093203773</v>
      </c>
      <c r="K163" s="8" t="n">
        <f aca="false">K158*INDEX(Prices!K:K,CEG_Assets!$AN$6)*CEG_Assets!$J$6*K162/1000000*(1+CEG_RevAdj)</f>
        <v>500.922095067848</v>
      </c>
      <c r="L163" s="8" t="n">
        <f aca="false">L158*INDEX(Prices!L:L,CEG_Assets!$AN$6)*CEG_Assets!$J$6*L162/1000000*(1+CEG_RevAdj)</f>
        <v>510.940536969205</v>
      </c>
      <c r="M163" s="8" t="n">
        <f aca="false">M158*INDEX(Prices!M:M,CEG_Assets!$AN$6)*CEG_Assets!$J$6*M162/1000000*(1+CEG_RevAdj)</f>
        <v>521.159347708589</v>
      </c>
      <c r="N163" s="8" t="n">
        <f aca="false">N158*INDEX(Prices!N:N,CEG_Assets!$AN$6)*CEG_Assets!$J$6*N162/1000000*(1+CEG_RevAdj)</f>
        <v>531.582534662761</v>
      </c>
      <c r="O163" s="8" t="n">
        <f aca="false">O158*INDEX(Prices!O:O,CEG_Assets!$AN$6)*CEG_Assets!$J$6*O162/1000000*(1+CEG_RevAdj)</f>
        <v>542.214185356016</v>
      </c>
      <c r="P163" s="8" t="n">
        <f aca="false">P158*INDEX(Prices!P:P,CEG_Assets!$AN$6)*CEG_Assets!$J$6*P162/1000000*(1+CEG_RevAdj)</f>
        <v>553.058469063137</v>
      </c>
      <c r="Q163" s="8" t="n">
        <f aca="false">Q158*INDEX(Prices!Q:Q,CEG_Assets!$AN$6)*CEG_Assets!$J$6*Q162/1000000*(1+CEG_RevAdj)</f>
        <v>564.119638444399</v>
      </c>
      <c r="R163" s="8" t="n">
        <f aca="false">R158*INDEX(Prices!R:R,CEG_Assets!$AN$6)*CEG_Assets!$J$6*R162/1000000*(1+CEG_RevAdj)</f>
        <v>575.402031213287</v>
      </c>
      <c r="S163" s="8" t="n">
        <f aca="false">S158*INDEX(Prices!S:S,CEG_Assets!$AN$6)*CEG_Assets!$J$6*S162/1000000*(1+CEG_RevAdj)</f>
        <v>586.910071837553</v>
      </c>
      <c r="T163" s="8" t="n">
        <f aca="false">T158*INDEX(Prices!T:T,CEG_Assets!$AN$6)*CEG_Assets!$J$6*T162/1000000*(1+CEG_RevAdj)</f>
        <v>598.648273274304</v>
      </c>
      <c r="U163" s="8" t="n">
        <f aca="false">U158*INDEX(Prices!U:U,CEG_Assets!$AN$6)*CEG_Assets!$J$6*U162/1000000*(1+CEG_RevAdj)</f>
        <v>610.62123873979</v>
      </c>
      <c r="V163" s="8" t="n">
        <f aca="false">V158*INDEX(Prices!V:V,CEG_Assets!$AN$6)*CEG_Assets!$J$6*V162/1000000*(1+CEG_RevAdj)</f>
        <v>622.833663514586</v>
      </c>
      <c r="W163" s="8" t="n">
        <f aca="false">W158*INDEX(Prices!W:W,CEG_Assets!$AN$6)*CEG_Assets!$J$6*W162/1000000*(1+CEG_RevAdj)</f>
        <v>635.290336784878</v>
      </c>
      <c r="X163" s="8" t="n">
        <f aca="false">X158*INDEX(Prices!X:X,CEG_Assets!$AN$6)*CEG_Assets!$J$6*X162/1000000*(1+CEG_RevAdj)</f>
        <v>647.996143520575</v>
      </c>
      <c r="Y163" s="8" t="n">
        <f aca="false">Y158*INDEX(Prices!Y:Y,CEG_Assets!$AN$6)*CEG_Assets!$J$6*Y162/1000000*(1+CEG_RevAdj)</f>
        <v>660.956066390987</v>
      </c>
      <c r="Z163" s="8" t="n">
        <f aca="false">Z158*INDEX(Prices!Z:Z,CEG_Assets!$AN$6)*CEG_Assets!$J$6*Z162/1000000*(1+CEG_RevAdj)</f>
        <v>674.175187718806</v>
      </c>
      <c r="AA163" s="8" t="n">
        <f aca="false">AA158*INDEX(Prices!AA:AA,CEG_Assets!$AN$6)*CEG_Assets!$J$6*AA162/1000000*(1+CEG_RevAdj)</f>
        <v>687.658691473182</v>
      </c>
      <c r="AB163" s="8" t="n">
        <f aca="false">AB158*INDEX(Prices!AB:AB,CEG_Assets!$AN$6)*CEG_Assets!$J$6*AB162/1000000*(1+CEG_RevAdj)</f>
        <v>701.411865302646</v>
      </c>
      <c r="AC163" s="8" t="n">
        <f aca="false">AC158*INDEX(Prices!AC:AC,CEG_Assets!$AN$6)*CEG_Assets!$J$6*AC162/1000000*(1+CEG_RevAdj)</f>
        <v>715.440102608699</v>
      </c>
      <c r="AD163" s="8" t="n">
        <f aca="false">AD158*INDEX(Prices!AD:AD,CEG_Assets!$AN$6)*CEG_Assets!$J$6*AD162/1000000*(1+CEG_RevAdj)</f>
        <v>729.748904660873</v>
      </c>
      <c r="AE163" s="8" t="n">
        <f aca="false">AE158*INDEX(Prices!AE:AE,CEG_Assets!$AN$6)*CEG_Assets!$J$6*AE162/1000000*(1+CEG_RevAdj)</f>
        <v>744.343882754091</v>
      </c>
      <c r="AF163" s="8" t="n">
        <f aca="false">AF158*INDEX(Prices!AF:AF,CEG_Assets!$AN$6)*CEG_Assets!$J$6*AF162/1000000*(1+CEG_RevAdj)</f>
        <v>759.230760409172</v>
      </c>
      <c r="AG163" s="8" t="n">
        <f aca="false">AG158*INDEX(Prices!AG:AG,CEG_Assets!$AN$6)*CEG_Assets!$J$6*AG162/1000000*(1+CEG_RevAdj)</f>
        <v>774.415375617356</v>
      </c>
      <c r="AH163" s="8" t="n">
        <f aca="false">AH158*INDEX(Prices!AH:AH,CEG_Assets!$AN$6)*CEG_Assets!$J$6*AH162/1000000*(1+CEG_RevAdj)</f>
        <v>789.903683129703</v>
      </c>
      <c r="AI163" s="8" t="n">
        <f aca="false">AI158*INDEX(Prices!AI:AI,CEG_Assets!$AN$6)*CEG_Assets!$J$6*AI162/1000000*(1+CEG_RevAdj)</f>
        <v>805.701756792297</v>
      </c>
      <c r="AJ163" s="8" t="n">
        <f aca="false">AJ158*INDEX(Prices!AJ:AJ,CEG_Assets!$AN$6)*CEG_Assets!$J$6*AJ162/1000000*(1+CEG_RevAdj)</f>
        <v>0</v>
      </c>
      <c r="AK163" s="8" t="n">
        <f aca="false">AK158*INDEX(Prices!AK:AK,CEG_Assets!$AN$6)*CEG_Assets!$J$6*AK162/1000000*(1+CEG_RevAdj)</f>
        <v>0</v>
      </c>
      <c r="AL163" s="8" t="n">
        <f aca="false">AL158*INDEX(Prices!AL:AL,CEG_Assets!$AN$6)*CEG_Assets!$J$6*AL162/1000000*(1+CEG_RevAdj)</f>
        <v>0</v>
      </c>
      <c r="AM163" s="8" t="n">
        <f aca="false">AM158*INDEX(Prices!AM:AM,CEG_Assets!$AN$6)*CEG_Assets!$J$6*AM162/1000000*(1+CEG_RevAdj)</f>
        <v>0</v>
      </c>
      <c r="AN163" s="8" t="n">
        <f aca="false">AN158*INDEX(Prices!AN:AN,CEG_Assets!$AN$6)*CEG_Assets!$J$6*AN162/1000000*(1+CEG_RevAdj)</f>
        <v>0</v>
      </c>
      <c r="AO163" s="8" t="n">
        <f aca="false">AO158*INDEX(Prices!AO:AO,CEG_Assets!$AN$6)*CEG_Assets!$J$6*AO162/1000000*(1+CEG_RevAdj)</f>
        <v>0</v>
      </c>
      <c r="AP163" s="8" t="n">
        <f aca="false">AP158*INDEX(Prices!AP:AP,CEG_Assets!$AN$6)*CEG_Assets!$J$6*AP162/1000000*(1+CEG_RevAdj)</f>
        <v>0</v>
      </c>
      <c r="AQ163" s="8" t="n">
        <f aca="false">AQ158*INDEX(Prices!AQ:AQ,CEG_Assets!$AN$6)*CEG_Assets!$J$6*AQ162/1000000*(1+CEG_RevAdj)</f>
        <v>0</v>
      </c>
      <c r="AR163" s="8" t="n">
        <f aca="false">AR158*INDEX(Prices!AR:AR,CEG_Assets!$AN$6)*CEG_Assets!$J$6*AR162/1000000*(1+CEG_RevAdj)</f>
        <v>0</v>
      </c>
      <c r="AS163" s="8" t="n">
        <f aca="false">AS158*INDEX(Prices!AS:AS,CEG_Assets!$AN$6)*CEG_Assets!$J$6*AS162/1000000*(1+CEG_RevAdj)</f>
        <v>0</v>
      </c>
    </row>
    <row r="164" customFormat="false" ht="15" hidden="false" customHeight="false" outlineLevel="0" collapsed="false">
      <c r="A164" s="6" t="s">
        <v>441</v>
      </c>
      <c r="B164" s="6" t="s">
        <v>442</v>
      </c>
      <c r="C164" s="9" t="n">
        <f aca="false">SUM(G164:AS164)</f>
        <v>0</v>
      </c>
      <c r="G164" s="8" t="n">
        <f aca="false">(CEG_Assets!$D$6-G157)*INDEX(Prices!G:G,CEG_Assets!$AP$6)*365*CEG_Assets!$T$6*G156/1000000*(1+CEG_RevAdj)</f>
        <v>0</v>
      </c>
      <c r="H164" s="8" t="n">
        <f aca="false">(CEG_Assets!$D$6-H157)*INDEX(Prices!H:H,CEG_Assets!$AP$6)*365*CEG_Assets!$T$6*H156/1000000*(1+CEG_RevAdj)</f>
        <v>0</v>
      </c>
      <c r="I164" s="8" t="n">
        <f aca="false">(CEG_Assets!$D$6-I157)*INDEX(Prices!I:I,CEG_Assets!$AP$6)*365*CEG_Assets!$T$6*I156/1000000*(1+CEG_RevAdj)</f>
        <v>0</v>
      </c>
      <c r="J164" s="8" t="n">
        <f aca="false">(CEG_Assets!$D$6-J157)*INDEX(Prices!J:J,CEG_Assets!$AP$6)*365*CEG_Assets!$T$6*J156/1000000*(1+CEG_RevAdj)</f>
        <v>0</v>
      </c>
      <c r="K164" s="8" t="n">
        <f aca="false">(CEG_Assets!$D$6-K157)*INDEX(Prices!K:K,CEG_Assets!$AP$6)*365*CEG_Assets!$T$6*K156/1000000*(1+CEG_RevAdj)</f>
        <v>0</v>
      </c>
      <c r="L164" s="8" t="n">
        <f aca="false">(CEG_Assets!$D$6-L157)*INDEX(Prices!L:L,CEG_Assets!$AP$6)*365*CEG_Assets!$T$6*L156/1000000*(1+CEG_RevAdj)</f>
        <v>0</v>
      </c>
      <c r="M164" s="8" t="n">
        <f aca="false">(CEG_Assets!$D$6-M157)*INDEX(Prices!M:M,CEG_Assets!$AP$6)*365*CEG_Assets!$T$6*M156/1000000*(1+CEG_RevAdj)</f>
        <v>0</v>
      </c>
      <c r="N164" s="8" t="n">
        <f aca="false">(CEG_Assets!$D$6-N157)*INDEX(Prices!N:N,CEG_Assets!$AP$6)*365*CEG_Assets!$T$6*N156/1000000*(1+CEG_RevAdj)</f>
        <v>0</v>
      </c>
      <c r="O164" s="8" t="n">
        <f aca="false">(CEG_Assets!$D$6-O157)*INDEX(Prices!O:O,CEG_Assets!$AP$6)*365*CEG_Assets!$T$6*O156/1000000*(1+CEG_RevAdj)</f>
        <v>0</v>
      </c>
      <c r="P164" s="8" t="n">
        <f aca="false">(CEG_Assets!$D$6-P157)*INDEX(Prices!P:P,CEG_Assets!$AP$6)*365*CEG_Assets!$T$6*P156/1000000*(1+CEG_RevAdj)</f>
        <v>0</v>
      </c>
      <c r="Q164" s="8" t="n">
        <f aca="false">(CEG_Assets!$D$6-Q157)*INDEX(Prices!Q:Q,CEG_Assets!$AP$6)*365*CEG_Assets!$T$6*Q156/1000000*(1+CEG_RevAdj)</f>
        <v>0</v>
      </c>
      <c r="R164" s="8" t="n">
        <f aca="false">(CEG_Assets!$D$6-R157)*INDEX(Prices!R:R,CEG_Assets!$AP$6)*365*CEG_Assets!$T$6*R156/1000000*(1+CEG_RevAdj)</f>
        <v>0</v>
      </c>
      <c r="S164" s="8" t="n">
        <f aca="false">(CEG_Assets!$D$6-S157)*INDEX(Prices!S:S,CEG_Assets!$AP$6)*365*CEG_Assets!$T$6*S156/1000000*(1+CEG_RevAdj)</f>
        <v>0</v>
      </c>
      <c r="T164" s="8" t="n">
        <f aca="false">(CEG_Assets!$D$6-T157)*INDEX(Prices!T:T,CEG_Assets!$AP$6)*365*CEG_Assets!$T$6*T156/1000000*(1+CEG_RevAdj)</f>
        <v>0</v>
      </c>
      <c r="U164" s="8" t="n">
        <f aca="false">(CEG_Assets!$D$6-U157)*INDEX(Prices!U:U,CEG_Assets!$AP$6)*365*CEG_Assets!$T$6*U156/1000000*(1+CEG_RevAdj)</f>
        <v>0</v>
      </c>
      <c r="V164" s="8" t="n">
        <f aca="false">(CEG_Assets!$D$6-V157)*INDEX(Prices!V:V,CEG_Assets!$AP$6)*365*CEG_Assets!$T$6*V156/1000000*(1+CEG_RevAdj)</f>
        <v>0</v>
      </c>
      <c r="W164" s="8" t="n">
        <f aca="false">(CEG_Assets!$D$6-W157)*INDEX(Prices!W:W,CEG_Assets!$AP$6)*365*CEG_Assets!$T$6*W156/1000000*(1+CEG_RevAdj)</f>
        <v>0</v>
      </c>
      <c r="X164" s="8" t="n">
        <f aca="false">(CEG_Assets!$D$6-X157)*INDEX(Prices!X:X,CEG_Assets!$AP$6)*365*CEG_Assets!$T$6*X156/1000000*(1+CEG_RevAdj)</f>
        <v>0</v>
      </c>
      <c r="Y164" s="8" t="n">
        <f aca="false">(CEG_Assets!$D$6-Y157)*INDEX(Prices!Y:Y,CEG_Assets!$AP$6)*365*CEG_Assets!$T$6*Y156/1000000*(1+CEG_RevAdj)</f>
        <v>0</v>
      </c>
      <c r="Z164" s="8" t="n">
        <f aca="false">(CEG_Assets!$D$6-Z157)*INDEX(Prices!Z:Z,CEG_Assets!$AP$6)*365*CEG_Assets!$T$6*Z156/1000000*(1+CEG_RevAdj)</f>
        <v>0</v>
      </c>
      <c r="AA164" s="8" t="n">
        <f aca="false">(CEG_Assets!$D$6-AA157)*INDEX(Prices!AA:AA,CEG_Assets!$AP$6)*365*CEG_Assets!$T$6*AA156/1000000*(1+CEG_RevAdj)</f>
        <v>0</v>
      </c>
      <c r="AB164" s="8" t="n">
        <f aca="false">(CEG_Assets!$D$6-AB157)*INDEX(Prices!AB:AB,CEG_Assets!$AP$6)*365*CEG_Assets!$T$6*AB156/1000000*(1+CEG_RevAdj)</f>
        <v>0</v>
      </c>
      <c r="AC164" s="8" t="n">
        <f aca="false">(CEG_Assets!$D$6-AC157)*INDEX(Prices!AC:AC,CEG_Assets!$AP$6)*365*CEG_Assets!$T$6*AC156/1000000*(1+CEG_RevAdj)</f>
        <v>0</v>
      </c>
      <c r="AD164" s="8" t="n">
        <f aca="false">(CEG_Assets!$D$6-AD157)*INDEX(Prices!AD:AD,CEG_Assets!$AP$6)*365*CEG_Assets!$T$6*AD156/1000000*(1+CEG_RevAdj)</f>
        <v>0</v>
      </c>
      <c r="AE164" s="8" t="n">
        <f aca="false">(CEG_Assets!$D$6-AE157)*INDEX(Prices!AE:AE,CEG_Assets!$AP$6)*365*CEG_Assets!$T$6*AE156/1000000*(1+CEG_RevAdj)</f>
        <v>0</v>
      </c>
      <c r="AF164" s="8" t="n">
        <f aca="false">(CEG_Assets!$D$6-AF157)*INDEX(Prices!AF:AF,CEG_Assets!$AP$6)*365*CEG_Assets!$T$6*AF156/1000000*(1+CEG_RevAdj)</f>
        <v>0</v>
      </c>
      <c r="AG164" s="8" t="n">
        <f aca="false">(CEG_Assets!$D$6-AG157)*INDEX(Prices!AG:AG,CEG_Assets!$AP$6)*365*CEG_Assets!$T$6*AG156/1000000*(1+CEG_RevAdj)</f>
        <v>0</v>
      </c>
      <c r="AH164" s="8" t="n">
        <f aca="false">(CEG_Assets!$D$6-AH157)*INDEX(Prices!AH:AH,CEG_Assets!$AP$6)*365*CEG_Assets!$T$6*AH156/1000000*(1+CEG_RevAdj)</f>
        <v>0</v>
      </c>
      <c r="AI164" s="8" t="n">
        <f aca="false">(CEG_Assets!$D$6-AI157)*INDEX(Prices!AI:AI,CEG_Assets!$AP$6)*365*CEG_Assets!$T$6*AI156/1000000*(1+CEG_RevAdj)</f>
        <v>0</v>
      </c>
      <c r="AJ164" s="8" t="n">
        <f aca="false">(CEG_Assets!$D$6-AJ157)*INDEX(Prices!AJ:AJ,CEG_Assets!$AP$6)*365*CEG_Assets!$T$6*AJ156/1000000*(1+CEG_RevAdj)</f>
        <v>0</v>
      </c>
      <c r="AK164" s="8" t="n">
        <f aca="false">(CEG_Assets!$D$6-AK157)*INDEX(Prices!AK:AK,CEG_Assets!$AP$6)*365*CEG_Assets!$T$6*AK156/1000000*(1+CEG_RevAdj)</f>
        <v>0</v>
      </c>
      <c r="AL164" s="8" t="n">
        <f aca="false">(CEG_Assets!$D$6-AL157)*INDEX(Prices!AL:AL,CEG_Assets!$AP$6)*365*CEG_Assets!$T$6*AL156/1000000*(1+CEG_RevAdj)</f>
        <v>0</v>
      </c>
      <c r="AM164" s="8" t="n">
        <f aca="false">(CEG_Assets!$D$6-AM157)*INDEX(Prices!AM:AM,CEG_Assets!$AP$6)*365*CEG_Assets!$T$6*AM156/1000000*(1+CEG_RevAdj)</f>
        <v>0</v>
      </c>
      <c r="AN164" s="8" t="n">
        <f aca="false">(CEG_Assets!$D$6-AN157)*INDEX(Prices!AN:AN,CEG_Assets!$AP$6)*365*CEG_Assets!$T$6*AN156/1000000*(1+CEG_RevAdj)</f>
        <v>0</v>
      </c>
      <c r="AO164" s="8" t="n">
        <f aca="false">(CEG_Assets!$D$6-AO157)*INDEX(Prices!AO:AO,CEG_Assets!$AP$6)*365*CEG_Assets!$T$6*AO156/1000000*(1+CEG_RevAdj)</f>
        <v>0</v>
      </c>
      <c r="AP164" s="8" t="n">
        <f aca="false">(CEG_Assets!$D$6-AP157)*INDEX(Prices!AP:AP,CEG_Assets!$AP$6)*365*CEG_Assets!$T$6*AP156/1000000*(1+CEG_RevAdj)</f>
        <v>0</v>
      </c>
      <c r="AQ164" s="8" t="n">
        <f aca="false">(CEG_Assets!$D$6-AQ157)*INDEX(Prices!AQ:AQ,CEG_Assets!$AP$6)*365*CEG_Assets!$T$6*AQ156/1000000*(1+CEG_RevAdj)</f>
        <v>0</v>
      </c>
      <c r="AR164" s="8" t="n">
        <f aca="false">(CEG_Assets!$D$6-AR157)*INDEX(Prices!AR:AR,CEG_Assets!$AP$6)*365*CEG_Assets!$T$6*AR156/1000000*(1+CEG_RevAdj)</f>
        <v>0</v>
      </c>
      <c r="AS164" s="8" t="n">
        <f aca="false">(CEG_Assets!$D$6-AS157)*INDEX(Prices!AS:AS,CEG_Assets!$AP$6)*365*CEG_Assets!$T$6*AS156/1000000*(1+CEG_RevAdj)</f>
        <v>0</v>
      </c>
    </row>
    <row r="165" customFormat="false" ht="15" hidden="false" customHeight="false" outlineLevel="0" collapsed="false">
      <c r="A165" s="6" t="s">
        <v>443</v>
      </c>
      <c r="B165" s="6" t="s">
        <v>444</v>
      </c>
      <c r="C165" s="9" t="n">
        <f aca="false">SUM(G165:AS165)</f>
        <v>0</v>
      </c>
      <c r="G165" s="8" t="n">
        <f aca="false">G159*(CEG_Assets!$AD$6+CEG_PPAAdj)/1000000*(1+CEG_RevAdj)</f>
        <v>0</v>
      </c>
      <c r="H165" s="8" t="n">
        <f aca="false">H159*(CEG_Assets!$AD$6+CEG_PPAAdj)/1000000*(1+CEG_RevAdj)</f>
        <v>0</v>
      </c>
      <c r="I165" s="8" t="n">
        <f aca="false">I159*(CEG_Assets!$AD$6+CEG_PPAAdj)/1000000*(1+CEG_RevAdj)</f>
        <v>0</v>
      </c>
      <c r="J165" s="8" t="n">
        <f aca="false">J159*(CEG_Assets!$AD$6+CEG_PPAAdj)/1000000*(1+CEG_RevAdj)</f>
        <v>0</v>
      </c>
      <c r="K165" s="8" t="n">
        <f aca="false">K159*(CEG_Assets!$AD$6+CEG_PPAAdj)/1000000*(1+CEG_RevAdj)</f>
        <v>0</v>
      </c>
      <c r="L165" s="8" t="n">
        <f aca="false">L159*(CEG_Assets!$AD$6+CEG_PPAAdj)/1000000*(1+CEG_RevAdj)</f>
        <v>0</v>
      </c>
      <c r="M165" s="8" t="n">
        <f aca="false">M159*(CEG_Assets!$AD$6+CEG_PPAAdj)/1000000*(1+CEG_RevAdj)</f>
        <v>0</v>
      </c>
      <c r="N165" s="8" t="n">
        <f aca="false">N159*(CEG_Assets!$AD$6+CEG_PPAAdj)/1000000*(1+CEG_RevAdj)</f>
        <v>0</v>
      </c>
      <c r="O165" s="8" t="n">
        <f aca="false">O159*(CEG_Assets!$AD$6+CEG_PPAAdj)/1000000*(1+CEG_RevAdj)</f>
        <v>0</v>
      </c>
      <c r="P165" s="8" t="n">
        <f aca="false">P159*(CEG_Assets!$AD$6+CEG_PPAAdj)/1000000*(1+CEG_RevAdj)</f>
        <v>0</v>
      </c>
      <c r="Q165" s="8" t="n">
        <f aca="false">Q159*(CEG_Assets!$AD$6+CEG_PPAAdj)/1000000*(1+CEG_RevAdj)</f>
        <v>0</v>
      </c>
      <c r="R165" s="8" t="n">
        <f aca="false">R159*(CEG_Assets!$AD$6+CEG_PPAAdj)/1000000*(1+CEG_RevAdj)</f>
        <v>0</v>
      </c>
      <c r="S165" s="8" t="n">
        <f aca="false">S159*(CEG_Assets!$AD$6+CEG_PPAAdj)/1000000*(1+CEG_RevAdj)</f>
        <v>0</v>
      </c>
      <c r="T165" s="8" t="n">
        <f aca="false">T159*(CEG_Assets!$AD$6+CEG_PPAAdj)/1000000*(1+CEG_RevAdj)</f>
        <v>0</v>
      </c>
      <c r="U165" s="8" t="n">
        <f aca="false">U159*(CEG_Assets!$AD$6+CEG_PPAAdj)/1000000*(1+CEG_RevAdj)</f>
        <v>0</v>
      </c>
      <c r="V165" s="8" t="n">
        <f aca="false">V159*(CEG_Assets!$AD$6+CEG_PPAAdj)/1000000*(1+CEG_RevAdj)</f>
        <v>0</v>
      </c>
      <c r="W165" s="8" t="n">
        <f aca="false">W159*(CEG_Assets!$AD$6+CEG_PPAAdj)/1000000*(1+CEG_RevAdj)</f>
        <v>0</v>
      </c>
      <c r="X165" s="8" t="n">
        <f aca="false">X159*(CEG_Assets!$AD$6+CEG_PPAAdj)/1000000*(1+CEG_RevAdj)</f>
        <v>0</v>
      </c>
      <c r="Y165" s="8" t="n">
        <f aca="false">Y159*(CEG_Assets!$AD$6+CEG_PPAAdj)/1000000*(1+CEG_RevAdj)</f>
        <v>0</v>
      </c>
      <c r="Z165" s="8" t="n">
        <f aca="false">Z159*(CEG_Assets!$AD$6+CEG_PPAAdj)/1000000*(1+CEG_RevAdj)</f>
        <v>0</v>
      </c>
      <c r="AA165" s="8" t="n">
        <f aca="false">AA159*(CEG_Assets!$AD$6+CEG_PPAAdj)/1000000*(1+CEG_RevAdj)</f>
        <v>0</v>
      </c>
      <c r="AB165" s="8" t="n">
        <f aca="false">AB159*(CEG_Assets!$AD$6+CEG_PPAAdj)/1000000*(1+CEG_RevAdj)</f>
        <v>0</v>
      </c>
      <c r="AC165" s="8" t="n">
        <f aca="false">AC159*(CEG_Assets!$AD$6+CEG_PPAAdj)/1000000*(1+CEG_RevAdj)</f>
        <v>0</v>
      </c>
      <c r="AD165" s="8" t="n">
        <f aca="false">AD159*(CEG_Assets!$AD$6+CEG_PPAAdj)/1000000*(1+CEG_RevAdj)</f>
        <v>0</v>
      </c>
      <c r="AE165" s="8" t="n">
        <f aca="false">AE159*(CEG_Assets!$AD$6+CEG_PPAAdj)/1000000*(1+CEG_RevAdj)</f>
        <v>0</v>
      </c>
      <c r="AF165" s="8" t="n">
        <f aca="false">AF159*(CEG_Assets!$AD$6+CEG_PPAAdj)/1000000*(1+CEG_RevAdj)</f>
        <v>0</v>
      </c>
      <c r="AG165" s="8" t="n">
        <f aca="false">AG159*(CEG_Assets!$AD$6+CEG_PPAAdj)/1000000*(1+CEG_RevAdj)</f>
        <v>0</v>
      </c>
      <c r="AH165" s="8" t="n">
        <f aca="false">AH159*(CEG_Assets!$AD$6+CEG_PPAAdj)/1000000*(1+CEG_RevAdj)</f>
        <v>0</v>
      </c>
      <c r="AI165" s="8" t="n">
        <f aca="false">AI159*(CEG_Assets!$AD$6+CEG_PPAAdj)/1000000*(1+CEG_RevAdj)</f>
        <v>0</v>
      </c>
      <c r="AJ165" s="8" t="n">
        <f aca="false">AJ159*(CEG_Assets!$AD$6+CEG_PPAAdj)/1000000*(1+CEG_RevAdj)</f>
        <v>0</v>
      </c>
      <c r="AK165" s="8" t="n">
        <f aca="false">AK159*(CEG_Assets!$AD$6+CEG_PPAAdj)/1000000*(1+CEG_RevAdj)</f>
        <v>0</v>
      </c>
      <c r="AL165" s="8" t="n">
        <f aca="false">AL159*(CEG_Assets!$AD$6+CEG_PPAAdj)/1000000*(1+CEG_RevAdj)</f>
        <v>0</v>
      </c>
      <c r="AM165" s="8" t="n">
        <f aca="false">AM159*(CEG_Assets!$AD$6+CEG_PPAAdj)/1000000*(1+CEG_RevAdj)</f>
        <v>0</v>
      </c>
      <c r="AN165" s="8" t="n">
        <f aca="false">AN159*(CEG_Assets!$AD$6+CEG_PPAAdj)/1000000*(1+CEG_RevAdj)</f>
        <v>0</v>
      </c>
      <c r="AO165" s="8" t="n">
        <f aca="false">AO159*(CEG_Assets!$AD$6+CEG_PPAAdj)/1000000*(1+CEG_RevAdj)</f>
        <v>0</v>
      </c>
      <c r="AP165" s="8" t="n">
        <f aca="false">AP159*(CEG_Assets!$AD$6+CEG_PPAAdj)/1000000*(1+CEG_RevAdj)</f>
        <v>0</v>
      </c>
      <c r="AQ165" s="8" t="n">
        <f aca="false">AQ159*(CEG_Assets!$AD$6+CEG_PPAAdj)/1000000*(1+CEG_RevAdj)</f>
        <v>0</v>
      </c>
      <c r="AR165" s="8" t="n">
        <f aca="false">AR159*(CEG_Assets!$AD$6+CEG_PPAAdj)/1000000*(1+CEG_RevAdj)</f>
        <v>0</v>
      </c>
      <c r="AS165" s="8" t="n">
        <f aca="false">AS159*(CEG_Assets!$AD$6+CEG_PPAAdj)/1000000*(1+CEG_RevAdj)</f>
        <v>0</v>
      </c>
    </row>
    <row r="166" customFormat="false" ht="15" hidden="false" customHeight="false" outlineLevel="0" collapsed="false">
      <c r="A166" s="6" t="s">
        <v>445</v>
      </c>
      <c r="B166" s="6" t="s">
        <v>446</v>
      </c>
      <c r="C166" s="9" t="n">
        <f aca="false">SUM(G166:AS166)</f>
        <v>0</v>
      </c>
      <c r="G166" s="8" t="n">
        <f aca="false">IF(G$3&lt;=CEG_Assets!$V$6,G158*CEG_Assets!$U$6,0)/1000000*(1+CEG_RevAdj)</f>
        <v>0</v>
      </c>
      <c r="H166" s="8" t="n">
        <f aca="false">IF(H$3&lt;=CEG_Assets!$V$6,H158*CEG_Assets!$U$6,0)/1000000*(1+CEG_RevAdj)</f>
        <v>0</v>
      </c>
      <c r="I166" s="8" t="n">
        <f aca="false">IF(I$3&lt;=CEG_Assets!$V$6,I158*CEG_Assets!$U$6,0)/1000000*(1+CEG_RevAdj)</f>
        <v>0</v>
      </c>
      <c r="J166" s="8" t="n">
        <f aca="false">IF(J$3&lt;=CEG_Assets!$V$6,J158*CEG_Assets!$U$6,0)/1000000*(1+CEG_RevAdj)</f>
        <v>0</v>
      </c>
      <c r="K166" s="8" t="n">
        <f aca="false">IF(K$3&lt;=CEG_Assets!$V$6,K158*CEG_Assets!$U$6,0)/1000000*(1+CEG_RevAdj)</f>
        <v>0</v>
      </c>
      <c r="L166" s="8" t="n">
        <f aca="false">IF(L$3&lt;=CEG_Assets!$V$6,L158*CEG_Assets!$U$6,0)/1000000*(1+CEG_RevAdj)</f>
        <v>0</v>
      </c>
      <c r="M166" s="8" t="n">
        <f aca="false">IF(M$3&lt;=CEG_Assets!$V$6,M158*CEG_Assets!$U$6,0)/1000000*(1+CEG_RevAdj)</f>
        <v>0</v>
      </c>
      <c r="N166" s="8" t="n">
        <f aca="false">IF(N$3&lt;=CEG_Assets!$V$6,N158*CEG_Assets!$U$6,0)/1000000*(1+CEG_RevAdj)</f>
        <v>0</v>
      </c>
      <c r="O166" s="8" t="n">
        <f aca="false">IF(O$3&lt;=CEG_Assets!$V$6,O158*CEG_Assets!$U$6,0)/1000000*(1+CEG_RevAdj)</f>
        <v>0</v>
      </c>
      <c r="P166" s="8" t="n">
        <f aca="false">IF(P$3&lt;=CEG_Assets!$V$6,P158*CEG_Assets!$U$6,0)/1000000*(1+CEG_RevAdj)</f>
        <v>0</v>
      </c>
      <c r="Q166" s="8" t="n">
        <f aca="false">IF(Q$3&lt;=CEG_Assets!$V$6,Q158*CEG_Assets!$U$6,0)/1000000*(1+CEG_RevAdj)</f>
        <v>0</v>
      </c>
      <c r="R166" s="8" t="n">
        <f aca="false">IF(R$3&lt;=CEG_Assets!$V$6,R158*CEG_Assets!$U$6,0)/1000000*(1+CEG_RevAdj)</f>
        <v>0</v>
      </c>
      <c r="S166" s="8" t="n">
        <f aca="false">IF(S$3&lt;=CEG_Assets!$V$6,S158*CEG_Assets!$U$6,0)/1000000*(1+CEG_RevAdj)</f>
        <v>0</v>
      </c>
      <c r="T166" s="8" t="n">
        <f aca="false">IF(T$3&lt;=CEG_Assets!$V$6,T158*CEG_Assets!$U$6,0)/1000000*(1+CEG_RevAdj)</f>
        <v>0</v>
      </c>
      <c r="U166" s="8" t="n">
        <f aca="false">IF(U$3&lt;=CEG_Assets!$V$6,U158*CEG_Assets!$U$6,0)/1000000*(1+CEG_RevAdj)</f>
        <v>0</v>
      </c>
      <c r="V166" s="8" t="n">
        <f aca="false">IF(V$3&lt;=CEG_Assets!$V$6,V158*CEG_Assets!$U$6,0)/1000000*(1+CEG_RevAdj)</f>
        <v>0</v>
      </c>
      <c r="W166" s="8" t="n">
        <f aca="false">IF(W$3&lt;=CEG_Assets!$V$6,W158*CEG_Assets!$U$6,0)/1000000*(1+CEG_RevAdj)</f>
        <v>0</v>
      </c>
      <c r="X166" s="8" t="n">
        <f aca="false">IF(X$3&lt;=CEG_Assets!$V$6,X158*CEG_Assets!$U$6,0)/1000000*(1+CEG_RevAdj)</f>
        <v>0</v>
      </c>
      <c r="Y166" s="8" t="n">
        <f aca="false">IF(Y$3&lt;=CEG_Assets!$V$6,Y158*CEG_Assets!$U$6,0)/1000000*(1+CEG_RevAdj)</f>
        <v>0</v>
      </c>
      <c r="Z166" s="8" t="n">
        <f aca="false">IF(Z$3&lt;=CEG_Assets!$V$6,Z158*CEG_Assets!$U$6,0)/1000000*(1+CEG_RevAdj)</f>
        <v>0</v>
      </c>
      <c r="AA166" s="8" t="n">
        <f aca="false">IF(AA$3&lt;=CEG_Assets!$V$6,AA158*CEG_Assets!$U$6,0)/1000000*(1+CEG_RevAdj)</f>
        <v>0</v>
      </c>
      <c r="AB166" s="8" t="n">
        <f aca="false">IF(AB$3&lt;=CEG_Assets!$V$6,AB158*CEG_Assets!$U$6,0)/1000000*(1+CEG_RevAdj)</f>
        <v>0</v>
      </c>
      <c r="AC166" s="8" t="n">
        <f aca="false">IF(AC$3&lt;=CEG_Assets!$V$6,AC158*CEG_Assets!$U$6,0)/1000000*(1+CEG_RevAdj)</f>
        <v>0</v>
      </c>
      <c r="AD166" s="8" t="n">
        <f aca="false">IF(AD$3&lt;=CEG_Assets!$V$6,AD158*CEG_Assets!$U$6,0)/1000000*(1+CEG_RevAdj)</f>
        <v>0</v>
      </c>
      <c r="AE166" s="8" t="n">
        <f aca="false">IF(AE$3&lt;=CEG_Assets!$V$6,AE158*CEG_Assets!$U$6,0)/1000000*(1+CEG_RevAdj)</f>
        <v>0</v>
      </c>
      <c r="AF166" s="8" t="n">
        <f aca="false">IF(AF$3&lt;=CEG_Assets!$V$6,AF158*CEG_Assets!$U$6,0)/1000000*(1+CEG_RevAdj)</f>
        <v>0</v>
      </c>
      <c r="AG166" s="8" t="n">
        <f aca="false">IF(AG$3&lt;=CEG_Assets!$V$6,AG158*CEG_Assets!$U$6,0)/1000000*(1+CEG_RevAdj)</f>
        <v>0</v>
      </c>
      <c r="AH166" s="8" t="n">
        <f aca="false">IF(AH$3&lt;=CEG_Assets!$V$6,AH158*CEG_Assets!$U$6,0)/1000000*(1+CEG_RevAdj)</f>
        <v>0</v>
      </c>
      <c r="AI166" s="8" t="n">
        <f aca="false">IF(AI$3&lt;=CEG_Assets!$V$6,AI158*CEG_Assets!$U$6,0)/1000000*(1+CEG_RevAdj)</f>
        <v>0</v>
      </c>
      <c r="AJ166" s="8" t="n">
        <f aca="false">IF(AJ$3&lt;=CEG_Assets!$V$6,AJ158*CEG_Assets!$U$6,0)/1000000*(1+CEG_RevAdj)</f>
        <v>0</v>
      </c>
      <c r="AK166" s="8" t="n">
        <f aca="false">IF(AK$3&lt;=CEG_Assets!$V$6,AK158*CEG_Assets!$U$6,0)/1000000*(1+CEG_RevAdj)</f>
        <v>0</v>
      </c>
      <c r="AL166" s="8" t="n">
        <f aca="false">IF(AL$3&lt;=CEG_Assets!$V$6,AL158*CEG_Assets!$U$6,0)/1000000*(1+CEG_RevAdj)</f>
        <v>0</v>
      </c>
      <c r="AM166" s="8" t="n">
        <f aca="false">IF(AM$3&lt;=CEG_Assets!$V$6,AM158*CEG_Assets!$U$6,0)/1000000*(1+CEG_RevAdj)</f>
        <v>0</v>
      </c>
      <c r="AN166" s="8" t="n">
        <f aca="false">IF(AN$3&lt;=CEG_Assets!$V$6,AN158*CEG_Assets!$U$6,0)/1000000*(1+CEG_RevAdj)</f>
        <v>0</v>
      </c>
      <c r="AO166" s="8" t="n">
        <f aca="false">IF(AO$3&lt;=CEG_Assets!$V$6,AO158*CEG_Assets!$U$6,0)/1000000*(1+CEG_RevAdj)</f>
        <v>0</v>
      </c>
      <c r="AP166" s="8" t="n">
        <f aca="false">IF(AP$3&lt;=CEG_Assets!$V$6,AP158*CEG_Assets!$U$6,0)/1000000*(1+CEG_RevAdj)</f>
        <v>0</v>
      </c>
      <c r="AQ166" s="8" t="n">
        <f aca="false">IF(AQ$3&lt;=CEG_Assets!$V$6,AQ158*CEG_Assets!$U$6,0)/1000000*(1+CEG_RevAdj)</f>
        <v>0</v>
      </c>
      <c r="AR166" s="8" t="n">
        <f aca="false">IF(AR$3&lt;=CEG_Assets!$V$6,AR158*CEG_Assets!$U$6,0)/1000000*(1+CEG_RevAdj)</f>
        <v>0</v>
      </c>
      <c r="AS166" s="8" t="n">
        <f aca="false">IF(AS$3&lt;=CEG_Assets!$V$6,AS158*CEG_Assets!$U$6,0)/1000000*(1+CEG_RevAdj)</f>
        <v>0</v>
      </c>
    </row>
    <row r="167" customFormat="false" ht="15" hidden="false" customHeight="false" outlineLevel="0" collapsed="false">
      <c r="A167" s="6" t="s">
        <v>447</v>
      </c>
      <c r="B167" s="6" t="s">
        <v>448</v>
      </c>
      <c r="C167" s="9" t="n">
        <f aca="false">SUM(G167:AS167)</f>
        <v>17918.7035413243</v>
      </c>
      <c r="G167" s="8" t="n">
        <f aca="false">G163+G164+G165+G166</f>
        <v>444.18238095</v>
      </c>
      <c r="H167" s="8" t="n">
        <f aca="false">H163+H164+H165+H166</f>
        <v>462.31227405</v>
      </c>
      <c r="I167" s="8" t="n">
        <f aca="false">I163+I164+I165+I166</f>
        <v>476.423950105771</v>
      </c>
      <c r="J167" s="8" t="n">
        <f aca="false">J163+J164+J165+J166</f>
        <v>491.100093203773</v>
      </c>
      <c r="K167" s="8" t="n">
        <f aca="false">K163+K164+K165+K166</f>
        <v>500.922095067848</v>
      </c>
      <c r="L167" s="8" t="n">
        <f aca="false">L163+L164+L165+L166</f>
        <v>510.940536969205</v>
      </c>
      <c r="M167" s="8" t="n">
        <f aca="false">M163+M164+M165+M166</f>
        <v>521.159347708589</v>
      </c>
      <c r="N167" s="8" t="n">
        <f aca="false">N163+N164+N165+N166</f>
        <v>531.582534662761</v>
      </c>
      <c r="O167" s="8" t="n">
        <f aca="false">O163+O164+O165+O166</f>
        <v>542.214185356016</v>
      </c>
      <c r="P167" s="8" t="n">
        <f aca="false">P163+P164+P165+P166</f>
        <v>553.058469063137</v>
      </c>
      <c r="Q167" s="8" t="n">
        <f aca="false">Q163+Q164+Q165+Q166</f>
        <v>564.119638444399</v>
      </c>
      <c r="R167" s="8" t="n">
        <f aca="false">R163+R164+R165+R166</f>
        <v>575.402031213287</v>
      </c>
      <c r="S167" s="8" t="n">
        <f aca="false">S163+S164+S165+S166</f>
        <v>586.910071837553</v>
      </c>
      <c r="T167" s="8" t="n">
        <f aca="false">T163+T164+T165+T166</f>
        <v>598.648273274304</v>
      </c>
      <c r="U167" s="8" t="n">
        <f aca="false">U163+U164+U165+U166</f>
        <v>610.62123873979</v>
      </c>
      <c r="V167" s="8" t="n">
        <f aca="false">V163+V164+V165+V166</f>
        <v>622.833663514586</v>
      </c>
      <c r="W167" s="8" t="n">
        <f aca="false">W163+W164+W165+W166</f>
        <v>635.290336784878</v>
      </c>
      <c r="X167" s="8" t="n">
        <f aca="false">X163+X164+X165+X166</f>
        <v>647.996143520575</v>
      </c>
      <c r="Y167" s="8" t="n">
        <f aca="false">Y163+Y164+Y165+Y166</f>
        <v>660.956066390987</v>
      </c>
      <c r="Z167" s="8" t="n">
        <f aca="false">Z163+Z164+Z165+Z166</f>
        <v>674.175187718806</v>
      </c>
      <c r="AA167" s="8" t="n">
        <f aca="false">AA163+AA164+AA165+AA166</f>
        <v>687.658691473182</v>
      </c>
      <c r="AB167" s="8" t="n">
        <f aca="false">AB163+AB164+AB165+AB166</f>
        <v>701.411865302646</v>
      </c>
      <c r="AC167" s="8" t="n">
        <f aca="false">AC163+AC164+AC165+AC166</f>
        <v>715.440102608699</v>
      </c>
      <c r="AD167" s="8" t="n">
        <f aca="false">AD163+AD164+AD165+AD166</f>
        <v>729.748904660873</v>
      </c>
      <c r="AE167" s="8" t="n">
        <f aca="false">AE163+AE164+AE165+AE166</f>
        <v>744.343882754091</v>
      </c>
      <c r="AF167" s="8" t="n">
        <f aca="false">AF163+AF164+AF165+AF166</f>
        <v>759.230760409172</v>
      </c>
      <c r="AG167" s="8" t="n">
        <f aca="false">AG163+AG164+AG165+AG166</f>
        <v>774.415375617356</v>
      </c>
      <c r="AH167" s="8" t="n">
        <f aca="false">AH163+AH164+AH165+AH166</f>
        <v>789.903683129703</v>
      </c>
      <c r="AI167" s="8" t="n">
        <f aca="false">AI163+AI164+AI165+AI166</f>
        <v>805.701756792297</v>
      </c>
      <c r="AJ167" s="8" t="n">
        <f aca="false">AJ163+AJ164+AJ165+AJ166</f>
        <v>0</v>
      </c>
      <c r="AK167" s="8" t="n">
        <f aca="false">AK163+AK164+AK165+AK166</f>
        <v>0</v>
      </c>
      <c r="AL167" s="8" t="n">
        <f aca="false">AL163+AL164+AL165+AL166</f>
        <v>0</v>
      </c>
      <c r="AM167" s="8" t="n">
        <f aca="false">AM163+AM164+AM165+AM166</f>
        <v>0</v>
      </c>
      <c r="AN167" s="8" t="n">
        <f aca="false">AN163+AN164+AN165+AN166</f>
        <v>0</v>
      </c>
      <c r="AO167" s="8" t="n">
        <f aca="false">AO163+AO164+AO165+AO166</f>
        <v>0</v>
      </c>
      <c r="AP167" s="8" t="n">
        <f aca="false">AP163+AP164+AP165+AP166</f>
        <v>0</v>
      </c>
      <c r="AQ167" s="8" t="n">
        <f aca="false">AQ163+AQ164+AQ165+AQ166</f>
        <v>0</v>
      </c>
      <c r="AR167" s="8" t="n">
        <f aca="false">AR163+AR164+AR165+AR166</f>
        <v>0</v>
      </c>
      <c r="AS167" s="8" t="n">
        <f aca="false">AS163+AS164+AS165+AS166</f>
        <v>0</v>
      </c>
    </row>
    <row r="168" customFormat="false" ht="15" hidden="false" customHeight="false" outlineLevel="0" collapsed="false">
      <c r="A168" s="6" t="s">
        <v>449</v>
      </c>
      <c r="B168" s="6" t="s">
        <v>450</v>
      </c>
      <c r="C168" s="9" t="n">
        <f aca="false">SUM(G168:AS168)</f>
        <v>2251.58832699016</v>
      </c>
      <c r="G168" s="8" t="n">
        <f aca="false">((CEG_Assets!$K$6*G160+CEG_Assets!$M$6*G$4)*G158*G162+CEG_Assets!$N$6*(1+CEG_Assets!$Q$6)^(G$3-2026)*(G158+G159))/1000000*(1+CEG_FuelAdj)</f>
        <v>53.7933012375</v>
      </c>
      <c r="H168" s="8" t="n">
        <f aca="false">((CEG_Assets!$K$6*H160+CEG_Assets!$M$6*H$4)*H158*H162+CEG_Assets!$N$6*(1+CEG_Assets!$Q$6)^(H$3-2026)*(H158+H159))/1000000*(1+CEG_FuelAdj)</f>
        <v>55.1381337684375</v>
      </c>
      <c r="I168" s="8" t="n">
        <f aca="false">((CEG_Assets!$K$6*I160+CEG_Assets!$M$6*I$4)*I158*I162+CEG_Assets!$N$6*(1+CEG_Assets!$Q$6)^(I$3-2026)*(I158+I159))/1000000*(1+CEG_FuelAdj)</f>
        <v>56.5165871126484</v>
      </c>
      <c r="J168" s="8" t="n">
        <f aca="false">((CEG_Assets!$K$6*J160+CEG_Assets!$M$6*J$4)*J158*J162+CEG_Assets!$N$6*(1+CEG_Assets!$Q$6)^(J$3-2026)*(J158+J159))/1000000*(1+CEG_FuelAdj)</f>
        <v>57.9295017904646</v>
      </c>
      <c r="K168" s="8" t="n">
        <f aca="false">((CEG_Assets!$K$6*K160+CEG_Assets!$M$6*K$4)*K158*K162+CEG_Assets!$N$6*(1+CEG_Assets!$Q$6)^(K$3-2026)*(K158+K159))/1000000*(1+CEG_FuelAdj)</f>
        <v>59.3777393352262</v>
      </c>
      <c r="L168" s="8" t="n">
        <f aca="false">((CEG_Assets!$K$6*L160+CEG_Assets!$M$6*L$4)*L158*L162+CEG_Assets!$N$6*(1+CEG_Assets!$Q$6)^(L$3-2026)*(L158+L159))/1000000*(1+CEG_FuelAdj)</f>
        <v>60.8621828186069</v>
      </c>
      <c r="M168" s="8" t="n">
        <f aca="false">((CEG_Assets!$K$6*M160+CEG_Assets!$M$6*M$4)*M158*M162+CEG_Assets!$N$6*(1+CEG_Assets!$Q$6)^(M$3-2026)*(M158+M159))/1000000*(1+CEG_FuelAdj)</f>
        <v>62.3837373890721</v>
      </c>
      <c r="N168" s="8" t="n">
        <f aca="false">((CEG_Assets!$K$6*N160+CEG_Assets!$M$6*N$4)*N158*N162+CEG_Assets!$N$6*(1+CEG_Assets!$Q$6)^(N$3-2026)*(N158+N159))/1000000*(1+CEG_FuelAdj)</f>
        <v>63.9433308237988</v>
      </c>
      <c r="O168" s="8" t="n">
        <f aca="false">((CEG_Assets!$K$6*O160+CEG_Assets!$M$6*O$4)*O158*O162+CEG_Assets!$N$6*(1+CEG_Assets!$Q$6)^(O$3-2026)*(O158+O159))/1000000*(1+CEG_FuelAdj)</f>
        <v>65.5419140943938</v>
      </c>
      <c r="P168" s="8" t="n">
        <f aca="false">((CEG_Assets!$K$6*P160+CEG_Assets!$M$6*P$4)*P158*P162+CEG_Assets!$N$6*(1+CEG_Assets!$Q$6)^(P$3-2026)*(P158+P159))/1000000*(1+CEG_FuelAdj)</f>
        <v>67.1804619467537</v>
      </c>
      <c r="Q168" s="8" t="n">
        <f aca="false">((CEG_Assets!$K$6*Q160+CEG_Assets!$M$6*Q$4)*Q158*Q162+CEG_Assets!$N$6*(1+CEG_Assets!$Q$6)^(Q$3-2026)*(Q158+Q159))/1000000*(1+CEG_FuelAdj)</f>
        <v>68.8599734954225</v>
      </c>
      <c r="R168" s="8" t="n">
        <f aca="false">((CEG_Assets!$K$6*R160+CEG_Assets!$M$6*R$4)*R158*R162+CEG_Assets!$N$6*(1+CEG_Assets!$Q$6)^(R$3-2026)*(R158+R159))/1000000*(1+CEG_FuelAdj)</f>
        <v>70.5814728328081</v>
      </c>
      <c r="S168" s="8" t="n">
        <f aca="false">((CEG_Assets!$K$6*S160+CEG_Assets!$M$6*S$4)*S158*S162+CEG_Assets!$N$6*(1+CEG_Assets!$Q$6)^(S$3-2026)*(S158+S159))/1000000*(1+CEG_FuelAdj)</f>
        <v>72.3460096536282</v>
      </c>
      <c r="T168" s="8" t="n">
        <f aca="false">((CEG_Assets!$K$6*T160+CEG_Assets!$M$6*T$4)*T158*T162+CEG_Assets!$N$6*(1+CEG_Assets!$Q$6)^(T$3-2026)*(T158+T159))/1000000*(1+CEG_FuelAdj)</f>
        <v>74.154659894969</v>
      </c>
      <c r="U168" s="8" t="n">
        <f aca="false">((CEG_Assets!$K$6*U160+CEG_Assets!$M$6*U$4)*U158*U162+CEG_Assets!$N$6*(1+CEG_Assets!$Q$6)^(U$3-2026)*(U158+U159))/1000000*(1+CEG_FuelAdj)</f>
        <v>76.0085263923432</v>
      </c>
      <c r="V168" s="8" t="n">
        <f aca="false">((CEG_Assets!$K$6*V160+CEG_Assets!$M$6*V$4)*V158*V162+CEG_Assets!$N$6*(1+CEG_Assets!$Q$6)^(V$3-2026)*(V158+V159))/1000000*(1+CEG_FuelAdj)</f>
        <v>77.9087395521517</v>
      </c>
      <c r="W168" s="8" t="n">
        <f aca="false">((CEG_Assets!$K$6*W160+CEG_Assets!$M$6*W$4)*W158*W162+CEG_Assets!$N$6*(1+CEG_Assets!$Q$6)^(W$3-2026)*(W158+W159))/1000000*(1+CEG_FuelAdj)</f>
        <v>79.8564580409555</v>
      </c>
      <c r="X168" s="8" t="n">
        <f aca="false">((CEG_Assets!$K$6*X160+CEG_Assets!$M$6*X$4)*X158*X162+CEG_Assets!$N$6*(1+CEG_Assets!$Q$6)^(X$3-2026)*(X158+X159))/1000000*(1+CEG_FuelAdj)</f>
        <v>81.8528694919794</v>
      </c>
      <c r="Y168" s="8" t="n">
        <f aca="false">((CEG_Assets!$K$6*Y160+CEG_Assets!$M$6*Y$4)*Y158*Y162+CEG_Assets!$N$6*(1+CEG_Assets!$Q$6)^(Y$3-2026)*(Y158+Y159))/1000000*(1+CEG_FuelAdj)</f>
        <v>83.8991912292789</v>
      </c>
      <c r="Z168" s="8" t="n">
        <f aca="false">((CEG_Assets!$K$6*Z160+CEG_Assets!$M$6*Z$4)*Z158*Z162+CEG_Assets!$N$6*(1+CEG_Assets!$Q$6)^(Z$3-2026)*(Z158+Z159))/1000000*(1+CEG_FuelAdj)</f>
        <v>85.9966710100108</v>
      </c>
      <c r="AA168" s="8" t="n">
        <f aca="false">((CEG_Assets!$K$6*AA160+CEG_Assets!$M$6*AA$4)*AA158*AA162+CEG_Assets!$N$6*(1+CEG_Assets!$Q$6)^(AA$3-2026)*(AA158+AA159))/1000000*(1+CEG_FuelAdj)</f>
        <v>88.1465877852611</v>
      </c>
      <c r="AB168" s="8" t="n">
        <f aca="false">((CEG_Assets!$K$6*AB160+CEG_Assets!$M$6*AB$4)*AB158*AB162+CEG_Assets!$N$6*(1+CEG_Assets!$Q$6)^(AB$3-2026)*(AB158+AB159))/1000000*(1+CEG_FuelAdj)</f>
        <v>90.3502524798926</v>
      </c>
      <c r="AC168" s="8" t="n">
        <f aca="false">((CEG_Assets!$K$6*AC160+CEG_Assets!$M$6*AC$4)*AC158*AC162+CEG_Assets!$N$6*(1+CEG_Assets!$Q$6)^(AC$3-2026)*(AC158+AC159))/1000000*(1+CEG_FuelAdj)</f>
        <v>92.60900879189</v>
      </c>
      <c r="AD168" s="8" t="n">
        <f aca="false">((CEG_Assets!$K$6*AD160+CEG_Assets!$M$6*AD$4)*AD158*AD162+CEG_Assets!$N$6*(1+CEG_Assets!$Q$6)^(AD$3-2026)*(AD158+AD159))/1000000*(1+CEG_FuelAdj)</f>
        <v>94.9242340116872</v>
      </c>
      <c r="AE168" s="8" t="n">
        <f aca="false">((CEG_Assets!$K$6*AE160+CEG_Assets!$M$6*AE$4)*AE158*AE162+CEG_Assets!$N$6*(1+CEG_Assets!$Q$6)^(AE$3-2026)*(AE158+AE159))/1000000*(1+CEG_FuelAdj)</f>
        <v>97.2973398619794</v>
      </c>
      <c r="AF168" s="8" t="n">
        <f aca="false">((CEG_Assets!$K$6*AF160+CEG_Assets!$M$6*AF$4)*AF158*AF162+CEG_Assets!$N$6*(1+CEG_Assets!$Q$6)^(AF$3-2026)*(AF158+AF159))/1000000*(1+CEG_FuelAdj)</f>
        <v>99.7297733585288</v>
      </c>
      <c r="AG168" s="8" t="n">
        <f aca="false">((CEG_Assets!$K$6*AG160+CEG_Assets!$M$6*AG$4)*AG158*AG162+CEG_Assets!$N$6*(1+CEG_Assets!$Q$6)^(AG$3-2026)*(AG158+AG159))/1000000*(1+CEG_FuelAdj)</f>
        <v>102.223017692492</v>
      </c>
      <c r="AH168" s="8" t="n">
        <f aca="false">((CEG_Assets!$K$6*AH160+CEG_Assets!$M$6*AH$4)*AH158*AH162+CEG_Assets!$N$6*(1+CEG_Assets!$Q$6)^(AH$3-2026)*(AH158+AH159))/1000000*(1+CEG_FuelAdj)</f>
        <v>104.778593134804</v>
      </c>
      <c r="AI168" s="8" t="n">
        <f aca="false">((CEG_Assets!$K$6*AI160+CEG_Assets!$M$6*AI$4)*AI158*AI162+CEG_Assets!$N$6*(1+CEG_Assets!$Q$6)^(AI$3-2026)*(AI158+AI159))/1000000*(1+CEG_FuelAdj)</f>
        <v>107.398057963174</v>
      </c>
      <c r="AJ168" s="8" t="n">
        <f aca="false">((CEG_Assets!$K$6*AJ160+CEG_Assets!$M$6*AJ$4)*AJ158*AJ162+CEG_Assets!$N$6*(1+CEG_Assets!$Q$6)^(AJ$3-2026)*(AJ158+AJ159))/1000000*(1+CEG_FuelAdj)</f>
        <v>0</v>
      </c>
      <c r="AK168" s="8" t="n">
        <f aca="false">((CEG_Assets!$K$6*AK160+CEG_Assets!$M$6*AK$4)*AK158*AK162+CEG_Assets!$N$6*(1+CEG_Assets!$Q$6)^(AK$3-2026)*(AK158+AK159))/1000000*(1+CEG_FuelAdj)</f>
        <v>0</v>
      </c>
      <c r="AL168" s="8" t="n">
        <f aca="false">((CEG_Assets!$K$6*AL160+CEG_Assets!$M$6*AL$4)*AL158*AL162+CEG_Assets!$N$6*(1+CEG_Assets!$Q$6)^(AL$3-2026)*(AL158+AL159))/1000000*(1+CEG_FuelAdj)</f>
        <v>0</v>
      </c>
      <c r="AM168" s="8" t="n">
        <f aca="false">((CEG_Assets!$K$6*AM160+CEG_Assets!$M$6*AM$4)*AM158*AM162+CEG_Assets!$N$6*(1+CEG_Assets!$Q$6)^(AM$3-2026)*(AM158+AM159))/1000000*(1+CEG_FuelAdj)</f>
        <v>0</v>
      </c>
      <c r="AN168" s="8" t="n">
        <f aca="false">((CEG_Assets!$K$6*AN160+CEG_Assets!$M$6*AN$4)*AN158*AN162+CEG_Assets!$N$6*(1+CEG_Assets!$Q$6)^(AN$3-2026)*(AN158+AN159))/1000000*(1+CEG_FuelAdj)</f>
        <v>0</v>
      </c>
      <c r="AO168" s="8" t="n">
        <f aca="false">((CEG_Assets!$K$6*AO160+CEG_Assets!$M$6*AO$4)*AO158*AO162+CEG_Assets!$N$6*(1+CEG_Assets!$Q$6)^(AO$3-2026)*(AO158+AO159))/1000000*(1+CEG_FuelAdj)</f>
        <v>0</v>
      </c>
      <c r="AP168" s="8" t="n">
        <f aca="false">((CEG_Assets!$K$6*AP160+CEG_Assets!$M$6*AP$4)*AP158*AP162+CEG_Assets!$N$6*(1+CEG_Assets!$Q$6)^(AP$3-2026)*(AP158+AP159))/1000000*(1+CEG_FuelAdj)</f>
        <v>0</v>
      </c>
      <c r="AQ168" s="8" t="n">
        <f aca="false">((CEG_Assets!$K$6*AQ160+CEG_Assets!$M$6*AQ$4)*AQ158*AQ162+CEG_Assets!$N$6*(1+CEG_Assets!$Q$6)^(AQ$3-2026)*(AQ158+AQ159))/1000000*(1+CEG_FuelAdj)</f>
        <v>0</v>
      </c>
      <c r="AR168" s="8" t="n">
        <f aca="false">((CEG_Assets!$K$6*AR160+CEG_Assets!$M$6*AR$4)*AR158*AR162+CEG_Assets!$N$6*(1+CEG_Assets!$Q$6)^(AR$3-2026)*(AR158+AR159))/1000000*(1+CEG_FuelAdj)</f>
        <v>0</v>
      </c>
      <c r="AS168" s="8" t="n">
        <f aca="false">((CEG_Assets!$K$6*AS160+CEG_Assets!$M$6*AS$4)*AS158*AS162+CEG_Assets!$N$6*(1+CEG_Assets!$Q$6)^(AS$3-2026)*(AS158+AS159))/1000000*(1+CEG_FuelAdj)</f>
        <v>0</v>
      </c>
    </row>
    <row r="169" customFormat="false" ht="15" hidden="false" customHeight="false" outlineLevel="0" collapsed="false">
      <c r="A169" s="6" t="s">
        <v>451</v>
      </c>
      <c r="B169" s="6" t="s">
        <v>452</v>
      </c>
      <c r="C169" s="9" t="n">
        <f aca="false">SUM(G169:AS169)</f>
        <v>15667.1152143341</v>
      </c>
      <c r="G169" s="8" t="n">
        <f aca="false">G167-G168</f>
        <v>390.3890797125</v>
      </c>
      <c r="H169" s="8" t="n">
        <f aca="false">H167-H168</f>
        <v>407.174140281562</v>
      </c>
      <c r="I169" s="8" t="n">
        <f aca="false">I167-I168</f>
        <v>419.907362993122</v>
      </c>
      <c r="J169" s="8" t="n">
        <f aca="false">J167-J168</f>
        <v>433.170591413308</v>
      </c>
      <c r="K169" s="8" t="n">
        <f aca="false">K167-K168</f>
        <v>441.544355732622</v>
      </c>
      <c r="L169" s="8" t="n">
        <f aca="false">L167-L168</f>
        <v>450.078354150598</v>
      </c>
      <c r="M169" s="8" t="n">
        <f aca="false">M167-M168</f>
        <v>458.775610319517</v>
      </c>
      <c r="N169" s="8" t="n">
        <f aca="false">N167-N168</f>
        <v>467.639203838962</v>
      </c>
      <c r="O169" s="8" t="n">
        <f aca="false">O167-O168</f>
        <v>476.672271261622</v>
      </c>
      <c r="P169" s="8" t="n">
        <f aca="false">P167-P168</f>
        <v>485.878007116383</v>
      </c>
      <c r="Q169" s="8" t="n">
        <f aca="false">Q167-Q168</f>
        <v>495.259664948977</v>
      </c>
      <c r="R169" s="8" t="n">
        <f aca="false">R167-R168</f>
        <v>504.820558380479</v>
      </c>
      <c r="S169" s="8" t="n">
        <f aca="false">S167-S168</f>
        <v>514.564062183925</v>
      </c>
      <c r="T169" s="8" t="n">
        <f aca="false">T167-T168</f>
        <v>524.493613379335</v>
      </c>
      <c r="U169" s="8" t="n">
        <f aca="false">U167-U168</f>
        <v>534.612712347447</v>
      </c>
      <c r="V169" s="8" t="n">
        <f aca="false">V167-V168</f>
        <v>544.924923962434</v>
      </c>
      <c r="W169" s="8" t="n">
        <f aca="false">W167-W168</f>
        <v>555.433878743922</v>
      </c>
      <c r="X169" s="8" t="n">
        <f aca="false">X167-X168</f>
        <v>566.143274028596</v>
      </c>
      <c r="Y169" s="8" t="n">
        <f aca="false">Y167-Y168</f>
        <v>577.056875161708</v>
      </c>
      <c r="Z169" s="8" t="n">
        <f aca="false">Z167-Z168</f>
        <v>588.178516708796</v>
      </c>
      <c r="AA169" s="8" t="n">
        <f aca="false">AA167-AA168</f>
        <v>599.512103687921</v>
      </c>
      <c r="AB169" s="8" t="n">
        <f aca="false">AB167-AB168</f>
        <v>611.061612822753</v>
      </c>
      <c r="AC169" s="8" t="n">
        <f aca="false">AC167-AC168</f>
        <v>622.831093816809</v>
      </c>
      <c r="AD169" s="8" t="n">
        <f aca="false">AD167-AD168</f>
        <v>634.824670649186</v>
      </c>
      <c r="AE169" s="8" t="n">
        <f aca="false">AE167-AE168</f>
        <v>647.046542892111</v>
      </c>
      <c r="AF169" s="8" t="n">
        <f aca="false">AF167-AF168</f>
        <v>659.500987050644</v>
      </c>
      <c r="AG169" s="8" t="n">
        <f aca="false">AG167-AG168</f>
        <v>672.192357924864</v>
      </c>
      <c r="AH169" s="8" t="n">
        <f aca="false">AH167-AH168</f>
        <v>685.125089994899</v>
      </c>
      <c r="AI169" s="8" t="n">
        <f aca="false">AI167-AI168</f>
        <v>698.303698829123</v>
      </c>
      <c r="AJ169" s="8" t="n">
        <f aca="false">AJ167-AJ168</f>
        <v>0</v>
      </c>
      <c r="AK169" s="8" t="n">
        <f aca="false">AK167-AK168</f>
        <v>0</v>
      </c>
      <c r="AL169" s="8" t="n">
        <f aca="false">AL167-AL168</f>
        <v>0</v>
      </c>
      <c r="AM169" s="8" t="n">
        <f aca="false">AM167-AM168</f>
        <v>0</v>
      </c>
      <c r="AN169" s="8" t="n">
        <f aca="false">AN167-AN168</f>
        <v>0</v>
      </c>
      <c r="AO169" s="8" t="n">
        <f aca="false">AO167-AO168</f>
        <v>0</v>
      </c>
      <c r="AP169" s="8" t="n">
        <f aca="false">AP167-AP168</f>
        <v>0</v>
      </c>
      <c r="AQ169" s="8" t="n">
        <f aca="false">AQ167-AQ168</f>
        <v>0</v>
      </c>
      <c r="AR169" s="8" t="n">
        <f aca="false">AR167-AR168</f>
        <v>0</v>
      </c>
      <c r="AS169" s="8" t="n">
        <f aca="false">AS167-AS168</f>
        <v>0</v>
      </c>
    </row>
    <row r="170" customFormat="false" ht="15" hidden="false" customHeight="false" outlineLevel="0" collapsed="false">
      <c r="A170" s="6" t="s">
        <v>453</v>
      </c>
      <c r="B170" s="6" t="s">
        <v>454</v>
      </c>
      <c r="C170" s="9" t="n">
        <f aca="false">SUM(G170:AS170)</f>
        <v>9129.16721670555</v>
      </c>
      <c r="G170" s="8" t="n">
        <f aca="false">(CEG_Assets!$R$6*CEG_Assets!$D$6*1000*G$4*G156+CEG_Assets!$O$6*(1+CEG_Assets!$Q$6)^(G$3-2026)*(G158+G159))/1000000*(1+CEG_OMAdj)</f>
        <v>218.1073850175</v>
      </c>
      <c r="H170" s="8" t="n">
        <f aca="false">(CEG_Assets!$R$6*CEG_Assets!$D$6*1000*H$4*H156+CEG_Assets!$O$6*(1+CEG_Assets!$Q$6)^(H$3-2026)*(H158+H159))/1000000*(1+CEG_OMAdj)</f>
        <v>223.560069642938</v>
      </c>
      <c r="I170" s="8" t="n">
        <f aca="false">(CEG_Assets!$R$6*CEG_Assets!$D$6*1000*I$4*I156+CEG_Assets!$O$6*(1+CEG_Assets!$Q$6)^(I$3-2026)*(I158+I159))/1000000*(1+CEG_OMAdj)</f>
        <v>229.149071384011</v>
      </c>
      <c r="J170" s="8" t="n">
        <f aca="false">(CEG_Assets!$R$6*CEG_Assets!$D$6*1000*J$4*J156+CEG_Assets!$O$6*(1+CEG_Assets!$Q$6)^(J$3-2026)*(J158+J159))/1000000*(1+CEG_OMAdj)</f>
        <v>234.877798168611</v>
      </c>
      <c r="K170" s="8" t="n">
        <f aca="false">(CEG_Assets!$R$6*CEG_Assets!$D$6*1000*K$4*K156+CEG_Assets!$O$6*(1+CEG_Assets!$Q$6)^(K$3-2026)*(K158+K159))/1000000*(1+CEG_OMAdj)</f>
        <v>240.749743122826</v>
      </c>
      <c r="L170" s="8" t="n">
        <f aca="false">(CEG_Assets!$R$6*CEG_Assets!$D$6*1000*L$4*L156+CEG_Assets!$O$6*(1+CEG_Assets!$Q$6)^(L$3-2026)*(L158+L159))/1000000*(1+CEG_OMAdj)</f>
        <v>246.768486700897</v>
      </c>
      <c r="M170" s="8" t="n">
        <f aca="false">(CEG_Assets!$R$6*CEG_Assets!$D$6*1000*M$4*M156+CEG_Assets!$O$6*(1+CEG_Assets!$Q$6)^(M$3-2026)*(M158+M159))/1000000*(1+CEG_OMAdj)</f>
        <v>252.937698868419</v>
      </c>
      <c r="N170" s="8" t="n">
        <f aca="false">(CEG_Assets!$R$6*CEG_Assets!$D$6*1000*N$4*N156+CEG_Assets!$O$6*(1+CEG_Assets!$Q$6)^(N$3-2026)*(N158+N159))/1000000*(1+CEG_OMAdj)</f>
        <v>259.26114134013</v>
      </c>
      <c r="O170" s="8" t="n">
        <f aca="false">(CEG_Assets!$R$6*CEG_Assets!$D$6*1000*O$4*O156+CEG_Assets!$O$6*(1+CEG_Assets!$Q$6)^(O$3-2026)*(O158+O159))/1000000*(1+CEG_OMAdj)</f>
        <v>265.742669873633</v>
      </c>
      <c r="P170" s="8" t="n">
        <f aca="false">(CEG_Assets!$R$6*CEG_Assets!$D$6*1000*P$4*P156+CEG_Assets!$O$6*(1+CEG_Assets!$Q$6)^(P$3-2026)*(P158+P159))/1000000*(1+CEG_OMAdj)</f>
        <v>272.386236620474</v>
      </c>
      <c r="Q170" s="8" t="n">
        <f aca="false">(CEG_Assets!$R$6*CEG_Assets!$D$6*1000*Q$4*Q156+CEG_Assets!$O$6*(1+CEG_Assets!$Q$6)^(Q$3-2026)*(Q158+Q159))/1000000*(1+CEG_OMAdj)</f>
        <v>279.195892535986</v>
      </c>
      <c r="R170" s="8" t="n">
        <f aca="false">(CEG_Assets!$R$6*CEG_Assets!$D$6*1000*R$4*R156+CEG_Assets!$O$6*(1+CEG_Assets!$Q$6)^(R$3-2026)*(R158+R159))/1000000*(1+CEG_OMAdj)</f>
        <v>286.175789849385</v>
      </c>
      <c r="S170" s="8" t="n">
        <f aca="false">(CEG_Assets!$R$6*CEG_Assets!$D$6*1000*S$4*S156+CEG_Assets!$O$6*(1+CEG_Assets!$Q$6)^(S$3-2026)*(S158+S159))/1000000*(1+CEG_OMAdj)</f>
        <v>293.33018459562</v>
      </c>
      <c r="T170" s="8" t="n">
        <f aca="false">(CEG_Assets!$R$6*CEG_Assets!$D$6*1000*T$4*T156+CEG_Assets!$O$6*(1+CEG_Assets!$Q$6)^(T$3-2026)*(T158+T159))/1000000*(1+CEG_OMAdj)</f>
        <v>300.66343921051</v>
      </c>
      <c r="U170" s="8" t="n">
        <f aca="false">(CEG_Assets!$R$6*CEG_Assets!$D$6*1000*U$4*U156+CEG_Assets!$O$6*(1+CEG_Assets!$Q$6)^(U$3-2026)*(U158+U159))/1000000*(1+CEG_OMAdj)</f>
        <v>308.180025190773</v>
      </c>
      <c r="V170" s="8" t="n">
        <f aca="false">(CEG_Assets!$R$6*CEG_Assets!$D$6*1000*V$4*V156+CEG_Assets!$O$6*(1+CEG_Assets!$Q$6)^(V$3-2026)*(V158+V159))/1000000*(1+CEG_OMAdj)</f>
        <v>315.884525820543</v>
      </c>
      <c r="W170" s="8" t="n">
        <f aca="false">(CEG_Assets!$R$6*CEG_Assets!$D$6*1000*W$4*W156+CEG_Assets!$O$6*(1+CEG_Assets!$Q$6)^(W$3-2026)*(W158+W159))/1000000*(1+CEG_OMAdj)</f>
        <v>323.781638966056</v>
      </c>
      <c r="X170" s="8" t="n">
        <f aca="false">(CEG_Assets!$R$6*CEG_Assets!$D$6*1000*X$4*X156+CEG_Assets!$O$6*(1+CEG_Assets!$Q$6)^(X$3-2026)*(X158+X159))/1000000*(1+CEG_OMAdj)</f>
        <v>331.876179940207</v>
      </c>
      <c r="Y170" s="8" t="n">
        <f aca="false">(CEG_Assets!$R$6*CEG_Assets!$D$6*1000*Y$4*Y156+CEG_Assets!$O$6*(1+CEG_Assets!$Q$6)^(Y$3-2026)*(Y158+Y159))/1000000*(1+CEG_OMAdj)</f>
        <v>340.173084438713</v>
      </c>
      <c r="Z170" s="8" t="n">
        <f aca="false">(CEG_Assets!$R$6*CEG_Assets!$D$6*1000*Z$4*Z156+CEG_Assets!$O$6*(1+CEG_Assets!$Q$6)^(Z$3-2026)*(Z158+Z159))/1000000*(1+CEG_OMAdj)</f>
        <v>348.67741154968</v>
      </c>
      <c r="AA170" s="8" t="n">
        <f aca="false">(CEG_Assets!$R$6*CEG_Assets!$D$6*1000*AA$4*AA156+CEG_Assets!$O$6*(1+CEG_Assets!$Q$6)^(AA$3-2026)*(AA158+AA159))/1000000*(1+CEG_OMAdj)</f>
        <v>357.394346838422</v>
      </c>
      <c r="AB170" s="8" t="n">
        <f aca="false">(CEG_Assets!$R$6*CEG_Assets!$D$6*1000*AB$4*AB156+CEG_Assets!$O$6*(1+CEG_Assets!$Q$6)^(AB$3-2026)*(AB158+AB159))/1000000*(1+CEG_OMAdj)</f>
        <v>366.329205509383</v>
      </c>
      <c r="AC170" s="8" t="n">
        <f aca="false">(CEG_Assets!$R$6*CEG_Assets!$D$6*1000*AC$4*AC156+CEG_Assets!$O$6*(1+CEG_Assets!$Q$6)^(AC$3-2026)*(AC158+AC159))/1000000*(1+CEG_OMAdj)</f>
        <v>375.487435647117</v>
      </c>
      <c r="AD170" s="8" t="n">
        <f aca="false">(CEG_Assets!$R$6*CEG_Assets!$D$6*1000*AD$4*AD156+CEG_Assets!$O$6*(1+CEG_Assets!$Q$6)^(AD$3-2026)*(AD158+AD159))/1000000*(1+CEG_OMAdj)</f>
        <v>384.874621538295</v>
      </c>
      <c r="AE170" s="8" t="n">
        <f aca="false">(CEG_Assets!$R$6*CEG_Assets!$D$6*1000*AE$4*AE156+CEG_Assets!$O$6*(1+CEG_Assets!$Q$6)^(AE$3-2026)*(AE158+AE159))/1000000*(1+CEG_OMAdj)</f>
        <v>394.496487076753</v>
      </c>
      <c r="AF170" s="8" t="n">
        <f aca="false">(CEG_Assets!$R$6*CEG_Assets!$D$6*1000*AF$4*AF156+CEG_Assets!$O$6*(1+CEG_Assets!$Q$6)^(AF$3-2026)*(AF158+AF159))/1000000*(1+CEG_OMAdj)</f>
        <v>404.358899253671</v>
      </c>
      <c r="AG170" s="8" t="n">
        <f aca="false">(CEG_Assets!$R$6*CEG_Assets!$D$6*1000*AG$4*AG156+CEG_Assets!$O$6*(1+CEG_Assets!$Q$6)^(AG$3-2026)*(AG158+AG159))/1000000*(1+CEG_OMAdj)</f>
        <v>414.467871735013</v>
      </c>
      <c r="AH170" s="8" t="n">
        <f aca="false">(CEG_Assets!$R$6*CEG_Assets!$D$6*1000*AH$4*AH156+CEG_Assets!$O$6*(1+CEG_Assets!$Q$6)^(AH$3-2026)*(AH158+AH159))/1000000*(1+CEG_OMAdj)</f>
        <v>424.829568528389</v>
      </c>
      <c r="AI170" s="8" t="n">
        <f aca="false">(CEG_Assets!$R$6*CEG_Assets!$D$6*1000*AI$4*AI156+CEG_Assets!$O$6*(1+CEG_Assets!$Q$6)^(AI$3-2026)*(AI158+AI159))/1000000*(1+CEG_OMAdj)</f>
        <v>435.450307741598</v>
      </c>
      <c r="AJ170" s="8" t="n">
        <f aca="false">(CEG_Assets!$R$6*CEG_Assets!$D$6*1000*AJ$4*AJ156+CEG_Assets!$O$6*(1+CEG_Assets!$Q$6)^(AJ$3-2026)*(AJ158+AJ159))/1000000*(1+CEG_OMAdj)</f>
        <v>0</v>
      </c>
      <c r="AK170" s="8" t="n">
        <f aca="false">(CEG_Assets!$R$6*CEG_Assets!$D$6*1000*AK$4*AK156+CEG_Assets!$O$6*(1+CEG_Assets!$Q$6)^(AK$3-2026)*(AK158+AK159))/1000000*(1+CEG_OMAdj)</f>
        <v>0</v>
      </c>
      <c r="AL170" s="8" t="n">
        <f aca="false">(CEG_Assets!$R$6*CEG_Assets!$D$6*1000*AL$4*AL156+CEG_Assets!$O$6*(1+CEG_Assets!$Q$6)^(AL$3-2026)*(AL158+AL159))/1000000*(1+CEG_OMAdj)</f>
        <v>0</v>
      </c>
      <c r="AM170" s="8" t="n">
        <f aca="false">(CEG_Assets!$R$6*CEG_Assets!$D$6*1000*AM$4*AM156+CEG_Assets!$O$6*(1+CEG_Assets!$Q$6)^(AM$3-2026)*(AM158+AM159))/1000000*(1+CEG_OMAdj)</f>
        <v>0</v>
      </c>
      <c r="AN170" s="8" t="n">
        <f aca="false">(CEG_Assets!$R$6*CEG_Assets!$D$6*1000*AN$4*AN156+CEG_Assets!$O$6*(1+CEG_Assets!$Q$6)^(AN$3-2026)*(AN158+AN159))/1000000*(1+CEG_OMAdj)</f>
        <v>0</v>
      </c>
      <c r="AO170" s="8" t="n">
        <f aca="false">(CEG_Assets!$R$6*CEG_Assets!$D$6*1000*AO$4*AO156+CEG_Assets!$O$6*(1+CEG_Assets!$Q$6)^(AO$3-2026)*(AO158+AO159))/1000000*(1+CEG_OMAdj)</f>
        <v>0</v>
      </c>
      <c r="AP170" s="8" t="n">
        <f aca="false">(CEG_Assets!$R$6*CEG_Assets!$D$6*1000*AP$4*AP156+CEG_Assets!$O$6*(1+CEG_Assets!$Q$6)^(AP$3-2026)*(AP158+AP159))/1000000*(1+CEG_OMAdj)</f>
        <v>0</v>
      </c>
      <c r="AQ170" s="8" t="n">
        <f aca="false">(CEG_Assets!$R$6*CEG_Assets!$D$6*1000*AQ$4*AQ156+CEG_Assets!$O$6*(1+CEG_Assets!$Q$6)^(AQ$3-2026)*(AQ158+AQ159))/1000000*(1+CEG_OMAdj)</f>
        <v>0</v>
      </c>
      <c r="AR170" s="8" t="n">
        <f aca="false">(CEG_Assets!$R$6*CEG_Assets!$D$6*1000*AR$4*AR156+CEG_Assets!$O$6*(1+CEG_Assets!$Q$6)^(AR$3-2026)*(AR158+AR159))/1000000*(1+CEG_OMAdj)</f>
        <v>0</v>
      </c>
      <c r="AS170" s="8" t="n">
        <f aca="false">(CEG_Assets!$R$6*CEG_Assets!$D$6*1000*AS$4*AS156+CEG_Assets!$O$6*(1+CEG_Assets!$Q$6)^(AS$3-2026)*(AS158+AS159))/1000000*(1+CEG_OMAdj)</f>
        <v>0</v>
      </c>
    </row>
    <row r="171" customFormat="false" ht="15" hidden="false" customHeight="false" outlineLevel="0" collapsed="false">
      <c r="A171" s="6" t="s">
        <v>455</v>
      </c>
      <c r="B171" s="6" t="s">
        <v>456</v>
      </c>
      <c r="C171" s="9" t="n">
        <f aca="false">SUM(G171:AS171)</f>
        <v>6537.94799762857</v>
      </c>
      <c r="G171" s="8" t="n">
        <f aca="false">G169-G170</f>
        <v>172.281694695</v>
      </c>
      <c r="H171" s="8" t="n">
        <f aca="false">H169-H170</f>
        <v>183.614070638625</v>
      </c>
      <c r="I171" s="8" t="n">
        <f aca="false">I169-I170</f>
        <v>190.758291609112</v>
      </c>
      <c r="J171" s="8" t="n">
        <f aca="false">J169-J170</f>
        <v>198.292793244697</v>
      </c>
      <c r="K171" s="8" t="n">
        <f aca="false">K169-K170</f>
        <v>200.794612609795</v>
      </c>
      <c r="L171" s="8" t="n">
        <f aca="false">L169-L170</f>
        <v>203.309867449701</v>
      </c>
      <c r="M171" s="8" t="n">
        <f aca="false">M169-M170</f>
        <v>205.837911451098</v>
      </c>
      <c r="N171" s="8" t="n">
        <f aca="false">N169-N170</f>
        <v>208.378062498832</v>
      </c>
      <c r="O171" s="8" t="n">
        <f aca="false">O169-O170</f>
        <v>210.929601387989</v>
      </c>
      <c r="P171" s="8" t="n">
        <f aca="false">P169-P170</f>
        <v>213.491770495909</v>
      </c>
      <c r="Q171" s="8" t="n">
        <f aca="false">Q169-Q170</f>
        <v>216.063772412991</v>
      </c>
      <c r="R171" s="8" t="n">
        <f aca="false">R169-R170</f>
        <v>218.644768531094</v>
      </c>
      <c r="S171" s="8" t="n">
        <f aca="false">S169-S170</f>
        <v>221.233877588305</v>
      </c>
      <c r="T171" s="8" t="n">
        <f aca="false">T169-T170</f>
        <v>223.830174168825</v>
      </c>
      <c r="U171" s="8" t="n">
        <f aca="false">U169-U170</f>
        <v>226.432687156674</v>
      </c>
      <c r="V171" s="8" t="n">
        <f aca="false">V169-V170</f>
        <v>229.040398141892</v>
      </c>
      <c r="W171" s="8" t="n">
        <f aca="false">W169-W170</f>
        <v>231.652239777866</v>
      </c>
      <c r="X171" s="8" t="n">
        <f aca="false">X169-X170</f>
        <v>234.267094088388</v>
      </c>
      <c r="Y171" s="8" t="n">
        <f aca="false">Y169-Y170</f>
        <v>236.883790722995</v>
      </c>
      <c r="Z171" s="8" t="n">
        <f aca="false">Z169-Z170</f>
        <v>239.501105159115</v>
      </c>
      <c r="AA171" s="8" t="n">
        <f aca="false">AA169-AA170</f>
        <v>242.117756849499</v>
      </c>
      <c r="AB171" s="8" t="n">
        <f aca="false">AB169-AB170</f>
        <v>244.73240731337</v>
      </c>
      <c r="AC171" s="8" t="n">
        <f aca="false">AC169-AC170</f>
        <v>247.343658169692</v>
      </c>
      <c r="AD171" s="8" t="n">
        <f aca="false">AD169-AD170</f>
        <v>249.950049110891</v>
      </c>
      <c r="AE171" s="8" t="n">
        <f aca="false">AE169-AE170</f>
        <v>252.550055815359</v>
      </c>
      <c r="AF171" s="8" t="n">
        <f aca="false">AF169-AF170</f>
        <v>255.142087796972</v>
      </c>
      <c r="AG171" s="8" t="n">
        <f aca="false">AG169-AG170</f>
        <v>257.724486189851</v>
      </c>
      <c r="AH171" s="8" t="n">
        <f aca="false">AH169-AH170</f>
        <v>260.29552146651</v>
      </c>
      <c r="AI171" s="8" t="n">
        <f aca="false">AI169-AI170</f>
        <v>262.853391087524</v>
      </c>
      <c r="AJ171" s="8" t="n">
        <f aca="false">AJ169-AJ170</f>
        <v>0</v>
      </c>
      <c r="AK171" s="8" t="n">
        <f aca="false">AK169-AK170</f>
        <v>0</v>
      </c>
      <c r="AL171" s="8" t="n">
        <f aca="false">AL169-AL170</f>
        <v>0</v>
      </c>
      <c r="AM171" s="8" t="n">
        <f aca="false">AM169-AM170</f>
        <v>0</v>
      </c>
      <c r="AN171" s="8" t="n">
        <f aca="false">AN169-AN170</f>
        <v>0</v>
      </c>
      <c r="AO171" s="8" t="n">
        <f aca="false">AO169-AO170</f>
        <v>0</v>
      </c>
      <c r="AP171" s="8" t="n">
        <f aca="false">AP169-AP170</f>
        <v>0</v>
      </c>
      <c r="AQ171" s="8" t="n">
        <f aca="false">AQ169-AQ170</f>
        <v>0</v>
      </c>
      <c r="AR171" s="8" t="n">
        <f aca="false">AR169-AR170</f>
        <v>0</v>
      </c>
      <c r="AS171" s="8" t="n">
        <f aca="false">AS169-AS170</f>
        <v>0</v>
      </c>
    </row>
    <row r="172" customFormat="false" ht="15" hidden="false" customHeight="false" outlineLevel="0" collapsed="false">
      <c r="A172" s="6" t="s">
        <v>457</v>
      </c>
      <c r="B172" s="6" t="s">
        <v>458</v>
      </c>
      <c r="C172" s="9" t="n">
        <f aca="false">SUM(G172:AS172)</f>
        <v>3152.22365778622</v>
      </c>
      <c r="G172" s="8" t="n">
        <f aca="false">((CEG_Assets!$S$6*CEG_Assets!$D$6*1000*G$4*G156+CEG_Assets!$P$6*(1+CEG_Assets!$Q$6)^(G$3-2026)*(G158+G159))/1000000+IF(G$3=CEG_Assets!$AH$6,CEG_Assets!$AG$6,0))*(1+CEG_CapexAdj)</f>
        <v>75.3106217325</v>
      </c>
      <c r="H172" s="8" t="n">
        <f aca="false">((CEG_Assets!$S$6*CEG_Assets!$D$6*1000*H$4*H156+CEG_Assets!$P$6*(1+CEG_Assets!$Q$6)^(H$3-2026)*(H158+H159))/1000000+IF(H$3=CEG_Assets!$AH$6,CEG_Assets!$AG$6,0))*(1+CEG_CapexAdj)</f>
        <v>77.1933872758125</v>
      </c>
      <c r="I172" s="8" t="n">
        <f aca="false">((CEG_Assets!$S$6*CEG_Assets!$D$6*1000*I$4*I156+CEG_Assets!$P$6*(1+CEG_Assets!$Q$6)^(I$3-2026)*(I158+I159))/1000000+IF(I$3=CEG_Assets!$AH$6,CEG_Assets!$AG$6,0))*(1+CEG_CapexAdj)</f>
        <v>79.1232219577078</v>
      </c>
      <c r="J172" s="8" t="n">
        <f aca="false">((CEG_Assets!$S$6*CEG_Assets!$D$6*1000*J$4*J156+CEG_Assets!$P$6*(1+CEG_Assets!$Q$6)^(J$3-2026)*(J158+J159))/1000000+IF(J$3=CEG_Assets!$AH$6,CEG_Assets!$AG$6,0))*(1+CEG_CapexAdj)</f>
        <v>81.1013025066505</v>
      </c>
      <c r="K172" s="8" t="n">
        <f aca="false">((CEG_Assets!$S$6*CEG_Assets!$D$6*1000*K$4*K156+CEG_Assets!$P$6*(1+CEG_Assets!$Q$6)^(K$3-2026)*(K158+K159))/1000000+IF(K$3=CEG_Assets!$AH$6,CEG_Assets!$AG$6,0))*(1+CEG_CapexAdj)</f>
        <v>83.1288350693167</v>
      </c>
      <c r="L172" s="8" t="n">
        <f aca="false">((CEG_Assets!$S$6*CEG_Assets!$D$6*1000*L$4*L156+CEG_Assets!$P$6*(1+CEG_Assets!$Q$6)^(L$3-2026)*(L158+L159))/1000000+IF(L$3=CEG_Assets!$AH$6,CEG_Assets!$AG$6,0))*(1+CEG_CapexAdj)</f>
        <v>85.2070559460497</v>
      </c>
      <c r="M172" s="8" t="n">
        <f aca="false">((CEG_Assets!$S$6*CEG_Assets!$D$6*1000*M$4*M156+CEG_Assets!$P$6*(1+CEG_Assets!$Q$6)^(M$3-2026)*(M158+M159))/1000000+IF(M$3=CEG_Assets!$AH$6,CEG_Assets!$AG$6,0))*(1+CEG_CapexAdj)</f>
        <v>87.3372323447009</v>
      </c>
      <c r="N172" s="8" t="n">
        <f aca="false">((CEG_Assets!$S$6*CEG_Assets!$D$6*1000*N$4*N156+CEG_Assets!$P$6*(1+CEG_Assets!$Q$6)^(N$3-2026)*(N158+N159))/1000000+IF(N$3=CEG_Assets!$AH$6,CEG_Assets!$AG$6,0))*(1+CEG_CapexAdj)</f>
        <v>89.5206631533184</v>
      </c>
      <c r="O172" s="8" t="n">
        <f aca="false">((CEG_Assets!$S$6*CEG_Assets!$D$6*1000*O$4*O156+CEG_Assets!$P$6*(1+CEG_Assets!$Q$6)^(O$3-2026)*(O158+O159))/1000000+IF(O$3=CEG_Assets!$AH$6,CEG_Assets!$AG$6,0))*(1+CEG_CapexAdj)</f>
        <v>91.7586797321514</v>
      </c>
      <c r="P172" s="8" t="n">
        <f aca="false">((CEG_Assets!$S$6*CEG_Assets!$D$6*1000*P$4*P156+CEG_Assets!$P$6*(1+CEG_Assets!$Q$6)^(P$3-2026)*(P158+P159))/1000000+IF(P$3=CEG_Assets!$AH$6,CEG_Assets!$AG$6,0))*(1+CEG_CapexAdj)</f>
        <v>94.0526467254551</v>
      </c>
      <c r="Q172" s="8" t="n">
        <f aca="false">((CEG_Assets!$S$6*CEG_Assets!$D$6*1000*Q$4*Q156+CEG_Assets!$P$6*(1+CEG_Assets!$Q$6)^(Q$3-2026)*(Q158+Q159))/1000000+IF(Q$3=CEG_Assets!$AH$6,CEG_Assets!$AG$6,0))*(1+CEG_CapexAdj)</f>
        <v>96.4039628935915</v>
      </c>
      <c r="R172" s="8" t="n">
        <f aca="false">((CEG_Assets!$S$6*CEG_Assets!$D$6*1000*R$4*R156+CEG_Assets!$P$6*(1+CEG_Assets!$Q$6)^(R$3-2026)*(R158+R159))/1000000+IF(R$3=CEG_Assets!$AH$6,CEG_Assets!$AG$6,0))*(1+CEG_CapexAdj)</f>
        <v>98.8140619659313</v>
      </c>
      <c r="S172" s="8" t="n">
        <f aca="false">((CEG_Assets!$S$6*CEG_Assets!$D$6*1000*S$4*S156+CEG_Assets!$P$6*(1+CEG_Assets!$Q$6)^(S$3-2026)*(S158+S159))/1000000+IF(S$3=CEG_Assets!$AH$6,CEG_Assets!$AG$6,0))*(1+CEG_CapexAdj)</f>
        <v>101.28441351508</v>
      </c>
      <c r="T172" s="8" t="n">
        <f aca="false">((CEG_Assets!$S$6*CEG_Assets!$D$6*1000*T$4*T156+CEG_Assets!$P$6*(1+CEG_Assets!$Q$6)^(T$3-2026)*(T158+T159))/1000000+IF(T$3=CEG_Assets!$AH$6,CEG_Assets!$AG$6,0))*(1+CEG_CapexAdj)</f>
        <v>103.816523852957</v>
      </c>
      <c r="U172" s="8" t="n">
        <f aca="false">((CEG_Assets!$S$6*CEG_Assets!$D$6*1000*U$4*U156+CEG_Assets!$P$6*(1+CEG_Assets!$Q$6)^(U$3-2026)*(U158+U159))/1000000+IF(U$3=CEG_Assets!$AH$6,CEG_Assets!$AG$6,0))*(1+CEG_CapexAdj)</f>
        <v>106.41193694928</v>
      </c>
      <c r="V172" s="8" t="n">
        <f aca="false">((CEG_Assets!$S$6*CEG_Assets!$D$6*1000*V$4*V156+CEG_Assets!$P$6*(1+CEG_Assets!$Q$6)^(V$3-2026)*(V158+V159))/1000000+IF(V$3=CEG_Assets!$AH$6,CEG_Assets!$AG$6,0))*(1+CEG_CapexAdj)</f>
        <v>109.072235373012</v>
      </c>
      <c r="W172" s="8" t="n">
        <f aca="false">((CEG_Assets!$S$6*CEG_Assets!$D$6*1000*W$4*W156+CEG_Assets!$P$6*(1+CEG_Assets!$Q$6)^(W$3-2026)*(W158+W159))/1000000+IF(W$3=CEG_Assets!$AH$6,CEG_Assets!$AG$6,0))*(1+CEG_CapexAdj)</f>
        <v>111.799041257338</v>
      </c>
      <c r="X172" s="8" t="n">
        <f aca="false">((CEG_Assets!$S$6*CEG_Assets!$D$6*1000*X$4*X156+CEG_Assets!$P$6*(1+CEG_Assets!$Q$6)^(X$3-2026)*(X158+X159))/1000000+IF(X$3=CEG_Assets!$AH$6,CEG_Assets!$AG$6,0))*(1+CEG_CapexAdj)</f>
        <v>114.594017288771</v>
      </c>
      <c r="Y172" s="8" t="n">
        <f aca="false">((CEG_Assets!$S$6*CEG_Assets!$D$6*1000*Y$4*Y156+CEG_Assets!$P$6*(1+CEG_Assets!$Q$6)^(Y$3-2026)*(Y158+Y159))/1000000+IF(Y$3=CEG_Assets!$AH$6,CEG_Assets!$AG$6,0))*(1+CEG_CapexAdj)</f>
        <v>117.45886772099</v>
      </c>
      <c r="Z172" s="8" t="n">
        <f aca="false">((CEG_Assets!$S$6*CEG_Assets!$D$6*1000*Z$4*Z156+CEG_Assets!$P$6*(1+CEG_Assets!$Q$6)^(Z$3-2026)*(Z158+Z159))/1000000+IF(Z$3=CEG_Assets!$AH$6,CEG_Assets!$AG$6,0))*(1+CEG_CapexAdj)</f>
        <v>120.395339414015</v>
      </c>
      <c r="AA172" s="8" t="n">
        <f aca="false">((CEG_Assets!$S$6*CEG_Assets!$D$6*1000*AA$4*AA156+CEG_Assets!$P$6*(1+CEG_Assets!$Q$6)^(AA$3-2026)*(AA158+AA159))/1000000+IF(AA$3=CEG_Assets!$AH$6,CEG_Assets!$AG$6,0))*(1+CEG_CapexAdj)</f>
        <v>123.405222899366</v>
      </c>
      <c r="AB172" s="8" t="n">
        <f aca="false">((CEG_Assets!$S$6*CEG_Assets!$D$6*1000*AB$4*AB156+CEG_Assets!$P$6*(1+CEG_Assets!$Q$6)^(AB$3-2026)*(AB158+AB159))/1000000+IF(AB$3=CEG_Assets!$AH$6,CEG_Assets!$AG$6,0))*(1+CEG_CapexAdj)</f>
        <v>126.49035347185</v>
      </c>
      <c r="AC172" s="8" t="n">
        <f aca="false">((CEG_Assets!$S$6*CEG_Assets!$D$6*1000*AC$4*AC156+CEG_Assets!$P$6*(1+CEG_Assets!$Q$6)^(AC$3-2026)*(AC158+AC159))/1000000+IF(AC$3=CEG_Assets!$AH$6,CEG_Assets!$AG$6,0))*(1+CEG_CapexAdj)</f>
        <v>129.652612308646</v>
      </c>
      <c r="AD172" s="8" t="n">
        <f aca="false">((CEG_Assets!$S$6*CEG_Assets!$D$6*1000*AD$4*AD156+CEG_Assets!$P$6*(1+CEG_Assets!$Q$6)^(AD$3-2026)*(AD158+AD159))/1000000+IF(AD$3=CEG_Assets!$AH$6,CEG_Assets!$AG$6,0))*(1+CEG_CapexAdj)</f>
        <v>132.893927616362</v>
      </c>
      <c r="AE172" s="8" t="n">
        <f aca="false">((CEG_Assets!$S$6*CEG_Assets!$D$6*1000*AE$4*AE156+CEG_Assets!$P$6*(1+CEG_Assets!$Q$6)^(AE$3-2026)*(AE158+AE159))/1000000+IF(AE$3=CEG_Assets!$AH$6,CEG_Assets!$AG$6,0))*(1+CEG_CapexAdj)</f>
        <v>136.216275806771</v>
      </c>
      <c r="AF172" s="8" t="n">
        <f aca="false">((CEG_Assets!$S$6*CEG_Assets!$D$6*1000*AF$4*AF156+CEG_Assets!$P$6*(1+CEG_Assets!$Q$6)^(AF$3-2026)*(AF158+AF159))/1000000+IF(AF$3=CEG_Assets!$AH$6,CEG_Assets!$AG$6,0))*(1+CEG_CapexAdj)</f>
        <v>139.62168270194</v>
      </c>
      <c r="AG172" s="8" t="n">
        <f aca="false">((CEG_Assets!$S$6*CEG_Assets!$D$6*1000*AG$4*AG156+CEG_Assets!$P$6*(1+CEG_Assets!$Q$6)^(AG$3-2026)*(AG158+AG159))/1000000+IF(AG$3=CEG_Assets!$AH$6,CEG_Assets!$AG$6,0))*(1+CEG_CapexAdj)</f>
        <v>143.112224769489</v>
      </c>
      <c r="AH172" s="8" t="n">
        <f aca="false">((CEG_Assets!$S$6*CEG_Assets!$D$6*1000*AH$4*AH156+CEG_Assets!$P$6*(1+CEG_Assets!$Q$6)^(AH$3-2026)*(AH158+AH159))/1000000+IF(AH$3=CEG_Assets!$AH$6,CEG_Assets!$AG$6,0))*(1+CEG_CapexAdj)</f>
        <v>146.690030388726</v>
      </c>
      <c r="AI172" s="8" t="n">
        <f aca="false">((CEG_Assets!$S$6*CEG_Assets!$D$6*1000*AI$4*AI156+CEG_Assets!$P$6*(1+CEG_Assets!$Q$6)^(AI$3-2026)*(AI158+AI159))/1000000+IF(AI$3=CEG_Assets!$AH$6,CEG_Assets!$AG$6,0))*(1+CEG_CapexAdj)</f>
        <v>150.357281148444</v>
      </c>
      <c r="AJ172" s="8" t="n">
        <f aca="false">((CEG_Assets!$S$6*CEG_Assets!$D$6*1000*AJ$4*AJ156+CEG_Assets!$P$6*(1+CEG_Assets!$Q$6)^(AJ$3-2026)*(AJ158+AJ159))/1000000+IF(AJ$3=CEG_Assets!$AH$6,CEG_Assets!$AG$6,0))*(1+CEG_CapexAdj)</f>
        <v>0</v>
      </c>
      <c r="AK172" s="8" t="n">
        <f aca="false">((CEG_Assets!$S$6*CEG_Assets!$D$6*1000*AK$4*AK156+CEG_Assets!$P$6*(1+CEG_Assets!$Q$6)^(AK$3-2026)*(AK158+AK159))/1000000+IF(AK$3=CEG_Assets!$AH$6,CEG_Assets!$AG$6,0))*(1+CEG_CapexAdj)</f>
        <v>0</v>
      </c>
      <c r="AL172" s="8" t="n">
        <f aca="false">((CEG_Assets!$S$6*CEG_Assets!$D$6*1000*AL$4*AL156+CEG_Assets!$P$6*(1+CEG_Assets!$Q$6)^(AL$3-2026)*(AL158+AL159))/1000000+IF(AL$3=CEG_Assets!$AH$6,CEG_Assets!$AG$6,0))*(1+CEG_CapexAdj)</f>
        <v>0</v>
      </c>
      <c r="AM172" s="8" t="n">
        <f aca="false">((CEG_Assets!$S$6*CEG_Assets!$D$6*1000*AM$4*AM156+CEG_Assets!$P$6*(1+CEG_Assets!$Q$6)^(AM$3-2026)*(AM158+AM159))/1000000+IF(AM$3=CEG_Assets!$AH$6,CEG_Assets!$AG$6,0))*(1+CEG_CapexAdj)</f>
        <v>0</v>
      </c>
      <c r="AN172" s="8" t="n">
        <f aca="false">((CEG_Assets!$S$6*CEG_Assets!$D$6*1000*AN$4*AN156+CEG_Assets!$P$6*(1+CEG_Assets!$Q$6)^(AN$3-2026)*(AN158+AN159))/1000000+IF(AN$3=CEG_Assets!$AH$6,CEG_Assets!$AG$6,0))*(1+CEG_CapexAdj)</f>
        <v>0</v>
      </c>
      <c r="AO172" s="8" t="n">
        <f aca="false">((CEG_Assets!$S$6*CEG_Assets!$D$6*1000*AO$4*AO156+CEG_Assets!$P$6*(1+CEG_Assets!$Q$6)^(AO$3-2026)*(AO158+AO159))/1000000+IF(AO$3=CEG_Assets!$AH$6,CEG_Assets!$AG$6,0))*(1+CEG_CapexAdj)</f>
        <v>0</v>
      </c>
      <c r="AP172" s="8" t="n">
        <f aca="false">((CEG_Assets!$S$6*CEG_Assets!$D$6*1000*AP$4*AP156+CEG_Assets!$P$6*(1+CEG_Assets!$Q$6)^(AP$3-2026)*(AP158+AP159))/1000000+IF(AP$3=CEG_Assets!$AH$6,CEG_Assets!$AG$6,0))*(1+CEG_CapexAdj)</f>
        <v>0</v>
      </c>
      <c r="AQ172" s="8" t="n">
        <f aca="false">((CEG_Assets!$S$6*CEG_Assets!$D$6*1000*AQ$4*AQ156+CEG_Assets!$P$6*(1+CEG_Assets!$Q$6)^(AQ$3-2026)*(AQ158+AQ159))/1000000+IF(AQ$3=CEG_Assets!$AH$6,CEG_Assets!$AG$6,0))*(1+CEG_CapexAdj)</f>
        <v>0</v>
      </c>
      <c r="AR172" s="8" t="n">
        <f aca="false">((CEG_Assets!$S$6*CEG_Assets!$D$6*1000*AR$4*AR156+CEG_Assets!$P$6*(1+CEG_Assets!$Q$6)^(AR$3-2026)*(AR158+AR159))/1000000+IF(AR$3=CEG_Assets!$AH$6,CEG_Assets!$AG$6,0))*(1+CEG_CapexAdj)</f>
        <v>0</v>
      </c>
      <c r="AS172" s="8" t="n">
        <f aca="false">((CEG_Assets!$S$6*CEG_Assets!$D$6*1000*AS$4*AS156+CEG_Assets!$P$6*(1+CEG_Assets!$Q$6)^(AS$3-2026)*(AS158+AS159))/1000000+IF(AS$3=CEG_Assets!$AH$6,CEG_Assets!$AG$6,0))*(1+CEG_CapexAdj)</f>
        <v>0</v>
      </c>
    </row>
    <row r="173" customFormat="false" ht="15" hidden="false" customHeight="false" outlineLevel="0" collapsed="false">
      <c r="A173" s="6" t="s">
        <v>459</v>
      </c>
      <c r="B173" s="6" t="s">
        <v>460</v>
      </c>
      <c r="C173" s="9" t="n">
        <f aca="false">SUM(G173:AS173)</f>
        <v>3385.72433984235</v>
      </c>
      <c r="G173" s="8" t="n">
        <f aca="false">IF(CEG_Assets!$Y$6=1,MAX(0,G171-G172),G171-G172)</f>
        <v>96.9710729625001</v>
      </c>
      <c r="H173" s="8" t="n">
        <f aca="false">IF(CEG_Assets!$Y$6=1,MAX(0,H171-H172),H171-H172)</f>
        <v>106.420683362812</v>
      </c>
      <c r="I173" s="8" t="n">
        <f aca="false">IF(CEG_Assets!$Y$6=1,MAX(0,I171-I172),I171-I172)</f>
        <v>111.635069651404</v>
      </c>
      <c r="J173" s="8" t="n">
        <f aca="false">IF(CEG_Assets!$Y$6=1,MAX(0,J171-J172),J171-J172)</f>
        <v>117.191490738046</v>
      </c>
      <c r="K173" s="8" t="n">
        <f aca="false">IF(CEG_Assets!$Y$6=1,MAX(0,K171-K172),K171-K172)</f>
        <v>117.665777540479</v>
      </c>
      <c r="L173" s="8" t="n">
        <f aca="false">IF(CEG_Assets!$Y$6=1,MAX(0,L171-L172),L171-L172)</f>
        <v>118.102811503651</v>
      </c>
      <c r="M173" s="8" t="n">
        <f aca="false">IF(CEG_Assets!$Y$6=1,MAX(0,M171-M172),M171-M172)</f>
        <v>118.500679106397</v>
      </c>
      <c r="N173" s="8" t="n">
        <f aca="false">IF(CEG_Assets!$Y$6=1,MAX(0,N171-N172),N171-N172)</f>
        <v>118.857399345514</v>
      </c>
      <c r="O173" s="8" t="n">
        <f aca="false">IF(CEG_Assets!$Y$6=1,MAX(0,O171-O172),O171-O172)</f>
        <v>119.170921655838</v>
      </c>
      <c r="P173" s="8" t="n">
        <f aca="false">IF(CEG_Assets!$Y$6=1,MAX(0,P171-P172),P171-P172)</f>
        <v>119.439123770454</v>
      </c>
      <c r="Q173" s="8" t="n">
        <f aca="false">IF(CEG_Assets!$Y$6=1,MAX(0,Q171-Q172),Q171-Q172)</f>
        <v>119.659809519399</v>
      </c>
      <c r="R173" s="8" t="n">
        <f aca="false">IF(CEG_Assets!$Y$6=1,MAX(0,R171-R172),R171-R172)</f>
        <v>119.830706565162</v>
      </c>
      <c r="S173" s="8" t="n">
        <f aca="false">IF(CEG_Assets!$Y$6=1,MAX(0,S171-S172),S171-S172)</f>
        <v>119.949464073225</v>
      </c>
      <c r="T173" s="8" t="n">
        <f aca="false">IF(CEG_Assets!$Y$6=1,MAX(0,T171-T172),T171-T172)</f>
        <v>120.013650315868</v>
      </c>
      <c r="U173" s="8" t="n">
        <f aca="false">IF(CEG_Assets!$Y$6=1,MAX(0,U171-U172),U171-U172)</f>
        <v>120.020750207393</v>
      </c>
      <c r="V173" s="8" t="n">
        <f aca="false">IF(CEG_Assets!$Y$6=1,MAX(0,V171-V172),V171-V172)</f>
        <v>119.968162768879</v>
      </c>
      <c r="W173" s="8" t="n">
        <f aca="false">IF(CEG_Assets!$Y$6=1,MAX(0,W171-W172),W171-W172)</f>
        <v>119.853198520528</v>
      </c>
      <c r="X173" s="8" t="n">
        <f aca="false">IF(CEG_Assets!$Y$6=1,MAX(0,X171-X172),X171-X172)</f>
        <v>119.673076799617</v>
      </c>
      <c r="Y173" s="8" t="n">
        <f aca="false">IF(CEG_Assets!$Y$6=1,MAX(0,Y171-Y172),Y171-Y172)</f>
        <v>119.424923002005</v>
      </c>
      <c r="Z173" s="8" t="n">
        <f aca="false">IF(CEG_Assets!$Y$6=1,MAX(0,Z171-Z172),Z171-Z172)</f>
        <v>119.1057657451</v>
      </c>
      <c r="AA173" s="8" t="n">
        <f aca="false">IF(CEG_Assets!$Y$6=1,MAX(0,AA171-AA172),AA171-AA172)</f>
        <v>118.712533950133</v>
      </c>
      <c r="AB173" s="8" t="n">
        <f aca="false">IF(CEG_Assets!$Y$6=1,MAX(0,AB171-AB172),AB171-AB172)</f>
        <v>118.242053841521</v>
      </c>
      <c r="AC173" s="8" t="n">
        <f aca="false">IF(CEG_Assets!$Y$6=1,MAX(0,AC171-AC172),AC171-AC172)</f>
        <v>117.691045861046</v>
      </c>
      <c r="AD173" s="8" t="n">
        <f aca="false">IF(CEG_Assets!$Y$6=1,MAX(0,AD171-AD172),AD171-AD172)</f>
        <v>117.056121494529</v>
      </c>
      <c r="AE173" s="8" t="n">
        <f aca="false">IF(CEG_Assets!$Y$6=1,MAX(0,AE171-AE172),AE171-AE172)</f>
        <v>116.333780008588</v>
      </c>
      <c r="AF173" s="8" t="n">
        <f aca="false">IF(CEG_Assets!$Y$6=1,MAX(0,AF171-AF172),AF171-AF172)</f>
        <v>115.520405095032</v>
      </c>
      <c r="AG173" s="8" t="n">
        <f aca="false">IF(CEG_Assets!$Y$6=1,MAX(0,AG171-AG172),AG171-AG172)</f>
        <v>114.612261420362</v>
      </c>
      <c r="AH173" s="8" t="n">
        <f aca="false">IF(CEG_Assets!$Y$6=1,MAX(0,AH171-AH172),AH171-AH172)</f>
        <v>113.605491077784</v>
      </c>
      <c r="AI173" s="8" t="n">
        <f aca="false">IF(CEG_Assets!$Y$6=1,MAX(0,AI171-AI172),AI171-AI172)</f>
        <v>112.49610993908</v>
      </c>
      <c r="AJ173" s="8" t="n">
        <f aca="false">IF(CEG_Assets!$Y$6=1,MAX(0,AJ171-AJ172),AJ171-AJ172)</f>
        <v>0</v>
      </c>
      <c r="AK173" s="8" t="n">
        <f aca="false">IF(CEG_Assets!$Y$6=1,MAX(0,AK171-AK172),AK171-AK172)</f>
        <v>0</v>
      </c>
      <c r="AL173" s="8" t="n">
        <f aca="false">IF(CEG_Assets!$Y$6=1,MAX(0,AL171-AL172),AL171-AL172)</f>
        <v>0</v>
      </c>
      <c r="AM173" s="8" t="n">
        <f aca="false">IF(CEG_Assets!$Y$6=1,MAX(0,AM171-AM172),AM171-AM172)</f>
        <v>0</v>
      </c>
      <c r="AN173" s="8" t="n">
        <f aca="false">IF(CEG_Assets!$Y$6=1,MAX(0,AN171-AN172),AN171-AN172)</f>
        <v>0</v>
      </c>
      <c r="AO173" s="8" t="n">
        <f aca="false">IF(CEG_Assets!$Y$6=1,MAX(0,AO171-AO172),AO171-AO172)</f>
        <v>0</v>
      </c>
      <c r="AP173" s="8" t="n">
        <f aca="false">IF(CEG_Assets!$Y$6=1,MAX(0,AP171-AP172),AP171-AP172)</f>
        <v>0</v>
      </c>
      <c r="AQ173" s="8" t="n">
        <f aca="false">IF(CEG_Assets!$Y$6=1,MAX(0,AQ171-AQ172),AQ171-AQ172)</f>
        <v>0</v>
      </c>
      <c r="AR173" s="8" t="n">
        <f aca="false">IF(CEG_Assets!$Y$6=1,MAX(0,AR171-AR172),AR171-AR172)</f>
        <v>0</v>
      </c>
      <c r="AS173" s="8" t="n">
        <f aca="false">IF(CEG_Assets!$Y$6=1,MAX(0,AS171-AS172),AS171-AS172)</f>
        <v>0</v>
      </c>
    </row>
    <row r="174" customFormat="false" ht="15" hidden="false" customHeight="false" outlineLevel="0" collapsed="false">
      <c r="A174" s="6" t="s">
        <v>461</v>
      </c>
      <c r="B174" s="6" t="s">
        <v>462</v>
      </c>
      <c r="C174" s="9" t="n">
        <f aca="false">SUM(G174:AS174)</f>
        <v>0</v>
      </c>
      <c r="G174" s="8" t="n">
        <f aca="false">IF(AND(CEG_Assets!$W$6=1,G$3&lt;=PTCLast,G158&gt;0),G158*MAX(0,PTCCredit*(1+Infl)^(G$3-PTCBase)-0.8*MAX(0,(G163+G164+G166)*1000000/MAX(1,G158)-PTCThresh*(1+Infl)^(G$3-PTCBase)))/1000000,0)</f>
        <v>0</v>
      </c>
      <c r="H174" s="8" t="n">
        <f aca="false">IF(AND(CEG_Assets!$W$6=1,H$3&lt;=PTCLast,H158&gt;0),H158*MAX(0,PTCCredit*(1+Infl)^(H$3-PTCBase)-0.8*MAX(0,(H163+H164+H166)*1000000/MAX(1,H158)-PTCThresh*(1+Infl)^(H$3-PTCBase)))/1000000,0)</f>
        <v>0</v>
      </c>
      <c r="I174" s="8" t="n">
        <f aca="false">IF(AND(CEG_Assets!$W$6=1,I$3&lt;=PTCLast,I158&gt;0),I158*MAX(0,PTCCredit*(1+Infl)^(I$3-PTCBase)-0.8*MAX(0,(I163+I164+I166)*1000000/MAX(1,I158)-PTCThresh*(1+Infl)^(I$3-PTCBase)))/1000000,0)</f>
        <v>0</v>
      </c>
      <c r="J174" s="8" t="n">
        <f aca="false">IF(AND(CEG_Assets!$W$6=1,J$3&lt;=PTCLast,J158&gt;0),J158*MAX(0,PTCCredit*(1+Infl)^(J$3-PTCBase)-0.8*MAX(0,(J163+J164+J166)*1000000/MAX(1,J158)-PTCThresh*(1+Infl)^(J$3-PTCBase)))/1000000,0)</f>
        <v>0</v>
      </c>
      <c r="K174" s="8" t="n">
        <f aca="false">IF(AND(CEG_Assets!$W$6=1,K$3&lt;=PTCLast,K158&gt;0),K158*MAX(0,PTCCredit*(1+Infl)^(K$3-PTCBase)-0.8*MAX(0,(K163+K164+K166)*1000000/MAX(1,K158)-PTCThresh*(1+Infl)^(K$3-PTCBase)))/1000000,0)</f>
        <v>0</v>
      </c>
      <c r="L174" s="8" t="n">
        <f aca="false">IF(AND(CEG_Assets!$W$6=1,L$3&lt;=PTCLast,L158&gt;0),L158*MAX(0,PTCCredit*(1+Infl)^(L$3-PTCBase)-0.8*MAX(0,(L163+L164+L166)*1000000/MAX(1,L158)-PTCThresh*(1+Infl)^(L$3-PTCBase)))/1000000,0)</f>
        <v>0</v>
      </c>
      <c r="M174" s="8" t="n">
        <f aca="false">IF(AND(CEG_Assets!$W$6=1,M$3&lt;=PTCLast,M158&gt;0),M158*MAX(0,PTCCredit*(1+Infl)^(M$3-PTCBase)-0.8*MAX(0,(M163+M164+M166)*1000000/MAX(1,M158)-PTCThresh*(1+Infl)^(M$3-PTCBase)))/1000000,0)</f>
        <v>0</v>
      </c>
      <c r="N174" s="8" t="n">
        <f aca="false">IF(AND(CEG_Assets!$W$6=1,N$3&lt;=PTCLast,N158&gt;0),N158*MAX(0,PTCCredit*(1+Infl)^(N$3-PTCBase)-0.8*MAX(0,(N163+N164+N166)*1000000/MAX(1,N158)-PTCThresh*(1+Infl)^(N$3-PTCBase)))/1000000,0)</f>
        <v>0</v>
      </c>
      <c r="O174" s="8" t="n">
        <f aca="false">IF(AND(CEG_Assets!$W$6=1,O$3&lt;=PTCLast,O158&gt;0),O158*MAX(0,PTCCredit*(1+Infl)^(O$3-PTCBase)-0.8*MAX(0,(O163+O164+O166)*1000000/MAX(1,O158)-PTCThresh*(1+Infl)^(O$3-PTCBase)))/1000000,0)</f>
        <v>0</v>
      </c>
      <c r="P174" s="8" t="n">
        <f aca="false">IF(AND(CEG_Assets!$W$6=1,P$3&lt;=PTCLast,P158&gt;0),P158*MAX(0,PTCCredit*(1+Infl)^(P$3-PTCBase)-0.8*MAX(0,(P163+P164+P166)*1000000/MAX(1,P158)-PTCThresh*(1+Infl)^(P$3-PTCBase)))/1000000,0)</f>
        <v>0</v>
      </c>
      <c r="Q174" s="8" t="n">
        <f aca="false">IF(AND(CEG_Assets!$W$6=1,Q$3&lt;=PTCLast,Q158&gt;0),Q158*MAX(0,PTCCredit*(1+Infl)^(Q$3-PTCBase)-0.8*MAX(0,(Q163+Q164+Q166)*1000000/MAX(1,Q158)-PTCThresh*(1+Infl)^(Q$3-PTCBase)))/1000000,0)</f>
        <v>0</v>
      </c>
      <c r="R174" s="8" t="n">
        <f aca="false">IF(AND(CEG_Assets!$W$6=1,R$3&lt;=PTCLast,R158&gt;0),R158*MAX(0,PTCCredit*(1+Infl)^(R$3-PTCBase)-0.8*MAX(0,(R163+R164+R166)*1000000/MAX(1,R158)-PTCThresh*(1+Infl)^(R$3-PTCBase)))/1000000,0)</f>
        <v>0</v>
      </c>
      <c r="S174" s="8" t="n">
        <f aca="false">IF(AND(CEG_Assets!$W$6=1,S$3&lt;=PTCLast,S158&gt;0),S158*MAX(0,PTCCredit*(1+Infl)^(S$3-PTCBase)-0.8*MAX(0,(S163+S164+S166)*1000000/MAX(1,S158)-PTCThresh*(1+Infl)^(S$3-PTCBase)))/1000000,0)</f>
        <v>0</v>
      </c>
      <c r="T174" s="8" t="n">
        <f aca="false">IF(AND(CEG_Assets!$W$6=1,T$3&lt;=PTCLast,T158&gt;0),T158*MAX(0,PTCCredit*(1+Infl)^(T$3-PTCBase)-0.8*MAX(0,(T163+T164+T166)*1000000/MAX(1,T158)-PTCThresh*(1+Infl)^(T$3-PTCBase)))/1000000,0)</f>
        <v>0</v>
      </c>
      <c r="U174" s="8" t="n">
        <f aca="false">IF(AND(CEG_Assets!$W$6=1,U$3&lt;=PTCLast,U158&gt;0),U158*MAX(0,PTCCredit*(1+Infl)^(U$3-PTCBase)-0.8*MAX(0,(U163+U164+U166)*1000000/MAX(1,U158)-PTCThresh*(1+Infl)^(U$3-PTCBase)))/1000000,0)</f>
        <v>0</v>
      </c>
      <c r="V174" s="8" t="n">
        <f aca="false">IF(AND(CEG_Assets!$W$6=1,V$3&lt;=PTCLast,V158&gt;0),V158*MAX(0,PTCCredit*(1+Infl)^(V$3-PTCBase)-0.8*MAX(0,(V163+V164+V166)*1000000/MAX(1,V158)-PTCThresh*(1+Infl)^(V$3-PTCBase)))/1000000,0)</f>
        <v>0</v>
      </c>
      <c r="W174" s="8" t="n">
        <f aca="false">IF(AND(CEG_Assets!$W$6=1,W$3&lt;=PTCLast,W158&gt;0),W158*MAX(0,PTCCredit*(1+Infl)^(W$3-PTCBase)-0.8*MAX(0,(W163+W164+W166)*1000000/MAX(1,W158)-PTCThresh*(1+Infl)^(W$3-PTCBase)))/1000000,0)</f>
        <v>0</v>
      </c>
      <c r="X174" s="8" t="n">
        <f aca="false">IF(AND(CEG_Assets!$W$6=1,X$3&lt;=PTCLast,X158&gt;0),X158*MAX(0,PTCCredit*(1+Infl)^(X$3-PTCBase)-0.8*MAX(0,(X163+X164+X166)*1000000/MAX(1,X158)-PTCThresh*(1+Infl)^(X$3-PTCBase)))/1000000,0)</f>
        <v>0</v>
      </c>
      <c r="Y174" s="8" t="n">
        <f aca="false">IF(AND(CEG_Assets!$W$6=1,Y$3&lt;=PTCLast,Y158&gt;0),Y158*MAX(0,PTCCredit*(1+Infl)^(Y$3-PTCBase)-0.8*MAX(0,(Y163+Y164+Y166)*1000000/MAX(1,Y158)-PTCThresh*(1+Infl)^(Y$3-PTCBase)))/1000000,0)</f>
        <v>0</v>
      </c>
      <c r="Z174" s="8" t="n">
        <f aca="false">IF(AND(CEG_Assets!$W$6=1,Z$3&lt;=PTCLast,Z158&gt;0),Z158*MAX(0,PTCCredit*(1+Infl)^(Z$3-PTCBase)-0.8*MAX(0,(Z163+Z164+Z166)*1000000/MAX(1,Z158)-PTCThresh*(1+Infl)^(Z$3-PTCBase)))/1000000,0)</f>
        <v>0</v>
      </c>
      <c r="AA174" s="8" t="n">
        <f aca="false">IF(AND(CEG_Assets!$W$6=1,AA$3&lt;=PTCLast,AA158&gt;0),AA158*MAX(0,PTCCredit*(1+Infl)^(AA$3-PTCBase)-0.8*MAX(0,(AA163+AA164+AA166)*1000000/MAX(1,AA158)-PTCThresh*(1+Infl)^(AA$3-PTCBase)))/1000000,0)</f>
        <v>0</v>
      </c>
      <c r="AB174" s="8" t="n">
        <f aca="false">IF(AND(CEG_Assets!$W$6=1,AB$3&lt;=PTCLast,AB158&gt;0),AB158*MAX(0,PTCCredit*(1+Infl)^(AB$3-PTCBase)-0.8*MAX(0,(AB163+AB164+AB166)*1000000/MAX(1,AB158)-PTCThresh*(1+Infl)^(AB$3-PTCBase)))/1000000,0)</f>
        <v>0</v>
      </c>
      <c r="AC174" s="8" t="n">
        <f aca="false">IF(AND(CEG_Assets!$W$6=1,AC$3&lt;=PTCLast,AC158&gt;0),AC158*MAX(0,PTCCredit*(1+Infl)^(AC$3-PTCBase)-0.8*MAX(0,(AC163+AC164+AC166)*1000000/MAX(1,AC158)-PTCThresh*(1+Infl)^(AC$3-PTCBase)))/1000000,0)</f>
        <v>0</v>
      </c>
      <c r="AD174" s="8" t="n">
        <f aca="false">IF(AND(CEG_Assets!$W$6=1,AD$3&lt;=PTCLast,AD158&gt;0),AD158*MAX(0,PTCCredit*(1+Infl)^(AD$3-PTCBase)-0.8*MAX(0,(AD163+AD164+AD166)*1000000/MAX(1,AD158)-PTCThresh*(1+Infl)^(AD$3-PTCBase)))/1000000,0)</f>
        <v>0</v>
      </c>
      <c r="AE174" s="8" t="n">
        <f aca="false">IF(AND(CEG_Assets!$W$6=1,AE$3&lt;=PTCLast,AE158&gt;0),AE158*MAX(0,PTCCredit*(1+Infl)^(AE$3-PTCBase)-0.8*MAX(0,(AE163+AE164+AE166)*1000000/MAX(1,AE158)-PTCThresh*(1+Infl)^(AE$3-PTCBase)))/1000000,0)</f>
        <v>0</v>
      </c>
      <c r="AF174" s="8" t="n">
        <f aca="false">IF(AND(CEG_Assets!$W$6=1,AF$3&lt;=PTCLast,AF158&gt;0),AF158*MAX(0,PTCCredit*(1+Infl)^(AF$3-PTCBase)-0.8*MAX(0,(AF163+AF164+AF166)*1000000/MAX(1,AF158)-PTCThresh*(1+Infl)^(AF$3-PTCBase)))/1000000,0)</f>
        <v>0</v>
      </c>
      <c r="AG174" s="8" t="n">
        <f aca="false">IF(AND(CEG_Assets!$W$6=1,AG$3&lt;=PTCLast,AG158&gt;0),AG158*MAX(0,PTCCredit*(1+Infl)^(AG$3-PTCBase)-0.8*MAX(0,(AG163+AG164+AG166)*1000000/MAX(1,AG158)-PTCThresh*(1+Infl)^(AG$3-PTCBase)))/1000000,0)</f>
        <v>0</v>
      </c>
      <c r="AH174" s="8" t="n">
        <f aca="false">IF(AND(CEG_Assets!$W$6=1,AH$3&lt;=PTCLast,AH158&gt;0),AH158*MAX(0,PTCCredit*(1+Infl)^(AH$3-PTCBase)-0.8*MAX(0,(AH163+AH164+AH166)*1000000/MAX(1,AH158)-PTCThresh*(1+Infl)^(AH$3-PTCBase)))/1000000,0)</f>
        <v>0</v>
      </c>
      <c r="AI174" s="8" t="n">
        <f aca="false">IF(AND(CEG_Assets!$W$6=1,AI$3&lt;=PTCLast,AI158&gt;0),AI158*MAX(0,PTCCredit*(1+Infl)^(AI$3-PTCBase)-0.8*MAX(0,(AI163+AI164+AI166)*1000000/MAX(1,AI158)-PTCThresh*(1+Infl)^(AI$3-PTCBase)))/1000000,0)</f>
        <v>0</v>
      </c>
      <c r="AJ174" s="8" t="n">
        <f aca="false">IF(AND(CEG_Assets!$W$6=1,AJ$3&lt;=PTCLast,AJ158&gt;0),AJ158*MAX(0,PTCCredit*(1+Infl)^(AJ$3-PTCBase)-0.8*MAX(0,(AJ163+AJ164+AJ166)*1000000/MAX(1,AJ158)-PTCThresh*(1+Infl)^(AJ$3-PTCBase)))/1000000,0)</f>
        <v>0</v>
      </c>
      <c r="AK174" s="8" t="n">
        <f aca="false">IF(AND(CEG_Assets!$W$6=1,AK$3&lt;=PTCLast,AK158&gt;0),AK158*MAX(0,PTCCredit*(1+Infl)^(AK$3-PTCBase)-0.8*MAX(0,(AK163+AK164+AK166)*1000000/MAX(1,AK158)-PTCThresh*(1+Infl)^(AK$3-PTCBase)))/1000000,0)</f>
        <v>0</v>
      </c>
      <c r="AL174" s="8" t="n">
        <f aca="false">IF(AND(CEG_Assets!$W$6=1,AL$3&lt;=PTCLast,AL158&gt;0),AL158*MAX(0,PTCCredit*(1+Infl)^(AL$3-PTCBase)-0.8*MAX(0,(AL163+AL164+AL166)*1000000/MAX(1,AL158)-PTCThresh*(1+Infl)^(AL$3-PTCBase)))/1000000,0)</f>
        <v>0</v>
      </c>
      <c r="AM174" s="8" t="n">
        <f aca="false">IF(AND(CEG_Assets!$W$6=1,AM$3&lt;=PTCLast,AM158&gt;0),AM158*MAX(0,PTCCredit*(1+Infl)^(AM$3-PTCBase)-0.8*MAX(0,(AM163+AM164+AM166)*1000000/MAX(1,AM158)-PTCThresh*(1+Infl)^(AM$3-PTCBase)))/1000000,0)</f>
        <v>0</v>
      </c>
      <c r="AN174" s="8" t="n">
        <f aca="false">IF(AND(CEG_Assets!$W$6=1,AN$3&lt;=PTCLast,AN158&gt;0),AN158*MAX(0,PTCCredit*(1+Infl)^(AN$3-PTCBase)-0.8*MAX(0,(AN163+AN164+AN166)*1000000/MAX(1,AN158)-PTCThresh*(1+Infl)^(AN$3-PTCBase)))/1000000,0)</f>
        <v>0</v>
      </c>
      <c r="AO174" s="8" t="n">
        <f aca="false">IF(AND(CEG_Assets!$W$6=1,AO$3&lt;=PTCLast,AO158&gt;0),AO158*MAX(0,PTCCredit*(1+Infl)^(AO$3-PTCBase)-0.8*MAX(0,(AO163+AO164+AO166)*1000000/MAX(1,AO158)-PTCThresh*(1+Infl)^(AO$3-PTCBase)))/1000000,0)</f>
        <v>0</v>
      </c>
      <c r="AP174" s="8" t="n">
        <f aca="false">IF(AND(CEG_Assets!$W$6=1,AP$3&lt;=PTCLast,AP158&gt;0),AP158*MAX(0,PTCCredit*(1+Infl)^(AP$3-PTCBase)-0.8*MAX(0,(AP163+AP164+AP166)*1000000/MAX(1,AP158)-PTCThresh*(1+Infl)^(AP$3-PTCBase)))/1000000,0)</f>
        <v>0</v>
      </c>
      <c r="AQ174" s="8" t="n">
        <f aca="false">IF(AND(CEG_Assets!$W$6=1,AQ$3&lt;=PTCLast,AQ158&gt;0),AQ158*MAX(0,PTCCredit*(1+Infl)^(AQ$3-PTCBase)-0.8*MAX(0,(AQ163+AQ164+AQ166)*1000000/MAX(1,AQ158)-PTCThresh*(1+Infl)^(AQ$3-PTCBase)))/1000000,0)</f>
        <v>0</v>
      </c>
      <c r="AR174" s="8" t="n">
        <f aca="false">IF(AND(CEG_Assets!$W$6=1,AR$3&lt;=PTCLast,AR158&gt;0),AR158*MAX(0,PTCCredit*(1+Infl)^(AR$3-PTCBase)-0.8*MAX(0,(AR163+AR164+AR166)*1000000/MAX(1,AR158)-PTCThresh*(1+Infl)^(AR$3-PTCBase)))/1000000,0)</f>
        <v>0</v>
      </c>
      <c r="AS174" s="8" t="n">
        <f aca="false">IF(AND(CEG_Assets!$W$6=1,AS$3&lt;=PTCLast,AS158&gt;0),AS158*MAX(0,PTCCredit*(1+Infl)^(AS$3-PTCBase)-0.8*MAX(0,(AS163+AS164+AS166)*1000000/MAX(1,AS158)-PTCThresh*(1+Infl)^(AS$3-PTCBase)))/1000000,0)</f>
        <v>0</v>
      </c>
    </row>
    <row r="175" customFormat="false" ht="15" hidden="false" customHeight="false" outlineLevel="0" collapsed="false">
      <c r="A175" s="6" t="s">
        <v>463</v>
      </c>
      <c r="B175" s="6" t="s">
        <v>464</v>
      </c>
      <c r="G175" s="8" t="n">
        <f aca="false">G165-G159*(CEG_Assets!$N$6*(1+CEG_FuelAdj)+CEG_Assets!$O$6*(1+CEG_OMAdj)+CEG_Assets!$P$6*(1+CEG_CapexAdj))*(1+CEG_Assets!$Q$6)^(G$3-2026)/1000000</f>
        <v>0</v>
      </c>
      <c r="H175" s="8" t="n">
        <f aca="false">H165-H159*(CEG_Assets!$N$6*(1+CEG_FuelAdj)+CEG_Assets!$O$6*(1+CEG_OMAdj)+CEG_Assets!$P$6*(1+CEG_CapexAdj))*(1+CEG_Assets!$Q$6)^(H$3-2026)/1000000</f>
        <v>0</v>
      </c>
      <c r="I175" s="8" t="n">
        <f aca="false">I165-I159*(CEG_Assets!$N$6*(1+CEG_FuelAdj)+CEG_Assets!$O$6*(1+CEG_OMAdj)+CEG_Assets!$P$6*(1+CEG_CapexAdj))*(1+CEG_Assets!$Q$6)^(I$3-2026)/1000000</f>
        <v>0</v>
      </c>
      <c r="J175" s="8" t="n">
        <f aca="false">J165-J159*(CEG_Assets!$N$6*(1+CEG_FuelAdj)+CEG_Assets!$O$6*(1+CEG_OMAdj)+CEG_Assets!$P$6*(1+CEG_CapexAdj))*(1+CEG_Assets!$Q$6)^(J$3-2026)/1000000</f>
        <v>0</v>
      </c>
      <c r="K175" s="8" t="n">
        <f aca="false">K165-K159*(CEG_Assets!$N$6*(1+CEG_FuelAdj)+CEG_Assets!$O$6*(1+CEG_OMAdj)+CEG_Assets!$P$6*(1+CEG_CapexAdj))*(1+CEG_Assets!$Q$6)^(K$3-2026)/1000000</f>
        <v>0</v>
      </c>
      <c r="L175" s="8" t="n">
        <f aca="false">L165-L159*(CEG_Assets!$N$6*(1+CEG_FuelAdj)+CEG_Assets!$O$6*(1+CEG_OMAdj)+CEG_Assets!$P$6*(1+CEG_CapexAdj))*(1+CEG_Assets!$Q$6)^(L$3-2026)/1000000</f>
        <v>0</v>
      </c>
      <c r="M175" s="8" t="n">
        <f aca="false">M165-M159*(CEG_Assets!$N$6*(1+CEG_FuelAdj)+CEG_Assets!$O$6*(1+CEG_OMAdj)+CEG_Assets!$P$6*(1+CEG_CapexAdj))*(1+CEG_Assets!$Q$6)^(M$3-2026)/1000000</f>
        <v>0</v>
      </c>
      <c r="N175" s="8" t="n">
        <f aca="false">N165-N159*(CEG_Assets!$N$6*(1+CEG_FuelAdj)+CEG_Assets!$O$6*(1+CEG_OMAdj)+CEG_Assets!$P$6*(1+CEG_CapexAdj))*(1+CEG_Assets!$Q$6)^(N$3-2026)/1000000</f>
        <v>0</v>
      </c>
      <c r="O175" s="8" t="n">
        <f aca="false">O165-O159*(CEG_Assets!$N$6*(1+CEG_FuelAdj)+CEG_Assets!$O$6*(1+CEG_OMAdj)+CEG_Assets!$P$6*(1+CEG_CapexAdj))*(1+CEG_Assets!$Q$6)^(O$3-2026)/1000000</f>
        <v>0</v>
      </c>
      <c r="P175" s="8" t="n">
        <f aca="false">P165-P159*(CEG_Assets!$N$6*(1+CEG_FuelAdj)+CEG_Assets!$O$6*(1+CEG_OMAdj)+CEG_Assets!$P$6*(1+CEG_CapexAdj))*(1+CEG_Assets!$Q$6)^(P$3-2026)/1000000</f>
        <v>0</v>
      </c>
      <c r="Q175" s="8" t="n">
        <f aca="false">Q165-Q159*(CEG_Assets!$N$6*(1+CEG_FuelAdj)+CEG_Assets!$O$6*(1+CEG_OMAdj)+CEG_Assets!$P$6*(1+CEG_CapexAdj))*(1+CEG_Assets!$Q$6)^(Q$3-2026)/1000000</f>
        <v>0</v>
      </c>
      <c r="R175" s="8" t="n">
        <f aca="false">R165-R159*(CEG_Assets!$N$6*(1+CEG_FuelAdj)+CEG_Assets!$O$6*(1+CEG_OMAdj)+CEG_Assets!$P$6*(1+CEG_CapexAdj))*(1+CEG_Assets!$Q$6)^(R$3-2026)/1000000</f>
        <v>0</v>
      </c>
      <c r="S175" s="8" t="n">
        <f aca="false">S165-S159*(CEG_Assets!$N$6*(1+CEG_FuelAdj)+CEG_Assets!$O$6*(1+CEG_OMAdj)+CEG_Assets!$P$6*(1+CEG_CapexAdj))*(1+CEG_Assets!$Q$6)^(S$3-2026)/1000000</f>
        <v>0</v>
      </c>
      <c r="T175" s="8" t="n">
        <f aca="false">T165-T159*(CEG_Assets!$N$6*(1+CEG_FuelAdj)+CEG_Assets!$O$6*(1+CEG_OMAdj)+CEG_Assets!$P$6*(1+CEG_CapexAdj))*(1+CEG_Assets!$Q$6)^(T$3-2026)/1000000</f>
        <v>0</v>
      </c>
      <c r="U175" s="8" t="n">
        <f aca="false">U165-U159*(CEG_Assets!$N$6*(1+CEG_FuelAdj)+CEG_Assets!$O$6*(1+CEG_OMAdj)+CEG_Assets!$P$6*(1+CEG_CapexAdj))*(1+CEG_Assets!$Q$6)^(U$3-2026)/1000000</f>
        <v>0</v>
      </c>
      <c r="V175" s="8" t="n">
        <f aca="false">V165-V159*(CEG_Assets!$N$6*(1+CEG_FuelAdj)+CEG_Assets!$O$6*(1+CEG_OMAdj)+CEG_Assets!$P$6*(1+CEG_CapexAdj))*(1+CEG_Assets!$Q$6)^(V$3-2026)/1000000</f>
        <v>0</v>
      </c>
      <c r="W175" s="8" t="n">
        <f aca="false">W165-W159*(CEG_Assets!$N$6*(1+CEG_FuelAdj)+CEG_Assets!$O$6*(1+CEG_OMAdj)+CEG_Assets!$P$6*(1+CEG_CapexAdj))*(1+CEG_Assets!$Q$6)^(W$3-2026)/1000000</f>
        <v>0</v>
      </c>
      <c r="X175" s="8" t="n">
        <f aca="false">X165-X159*(CEG_Assets!$N$6*(1+CEG_FuelAdj)+CEG_Assets!$O$6*(1+CEG_OMAdj)+CEG_Assets!$P$6*(1+CEG_CapexAdj))*(1+CEG_Assets!$Q$6)^(X$3-2026)/1000000</f>
        <v>0</v>
      </c>
      <c r="Y175" s="8" t="n">
        <f aca="false">Y165-Y159*(CEG_Assets!$N$6*(1+CEG_FuelAdj)+CEG_Assets!$O$6*(1+CEG_OMAdj)+CEG_Assets!$P$6*(1+CEG_CapexAdj))*(1+CEG_Assets!$Q$6)^(Y$3-2026)/1000000</f>
        <v>0</v>
      </c>
      <c r="Z175" s="8" t="n">
        <f aca="false">Z165-Z159*(CEG_Assets!$N$6*(1+CEG_FuelAdj)+CEG_Assets!$O$6*(1+CEG_OMAdj)+CEG_Assets!$P$6*(1+CEG_CapexAdj))*(1+CEG_Assets!$Q$6)^(Z$3-2026)/1000000</f>
        <v>0</v>
      </c>
      <c r="AA175" s="8" t="n">
        <f aca="false">AA165-AA159*(CEG_Assets!$N$6*(1+CEG_FuelAdj)+CEG_Assets!$O$6*(1+CEG_OMAdj)+CEG_Assets!$P$6*(1+CEG_CapexAdj))*(1+CEG_Assets!$Q$6)^(AA$3-2026)/1000000</f>
        <v>0</v>
      </c>
      <c r="AB175" s="8" t="n">
        <f aca="false">AB165-AB159*(CEG_Assets!$N$6*(1+CEG_FuelAdj)+CEG_Assets!$O$6*(1+CEG_OMAdj)+CEG_Assets!$P$6*(1+CEG_CapexAdj))*(1+CEG_Assets!$Q$6)^(AB$3-2026)/1000000</f>
        <v>0</v>
      </c>
      <c r="AC175" s="8" t="n">
        <f aca="false">AC165-AC159*(CEG_Assets!$N$6*(1+CEG_FuelAdj)+CEG_Assets!$O$6*(1+CEG_OMAdj)+CEG_Assets!$P$6*(1+CEG_CapexAdj))*(1+CEG_Assets!$Q$6)^(AC$3-2026)/1000000</f>
        <v>0</v>
      </c>
      <c r="AD175" s="8" t="n">
        <f aca="false">AD165-AD159*(CEG_Assets!$N$6*(1+CEG_FuelAdj)+CEG_Assets!$O$6*(1+CEG_OMAdj)+CEG_Assets!$P$6*(1+CEG_CapexAdj))*(1+CEG_Assets!$Q$6)^(AD$3-2026)/1000000</f>
        <v>0</v>
      </c>
      <c r="AE175" s="8" t="n">
        <f aca="false">AE165-AE159*(CEG_Assets!$N$6*(1+CEG_FuelAdj)+CEG_Assets!$O$6*(1+CEG_OMAdj)+CEG_Assets!$P$6*(1+CEG_CapexAdj))*(1+CEG_Assets!$Q$6)^(AE$3-2026)/1000000</f>
        <v>0</v>
      </c>
      <c r="AF175" s="8" t="n">
        <f aca="false">AF165-AF159*(CEG_Assets!$N$6*(1+CEG_FuelAdj)+CEG_Assets!$O$6*(1+CEG_OMAdj)+CEG_Assets!$P$6*(1+CEG_CapexAdj))*(1+CEG_Assets!$Q$6)^(AF$3-2026)/1000000</f>
        <v>0</v>
      </c>
      <c r="AG175" s="8" t="n">
        <f aca="false">AG165-AG159*(CEG_Assets!$N$6*(1+CEG_FuelAdj)+CEG_Assets!$O$6*(1+CEG_OMAdj)+CEG_Assets!$P$6*(1+CEG_CapexAdj))*(1+CEG_Assets!$Q$6)^(AG$3-2026)/1000000</f>
        <v>0</v>
      </c>
      <c r="AH175" s="8" t="n">
        <f aca="false">AH165-AH159*(CEG_Assets!$N$6*(1+CEG_FuelAdj)+CEG_Assets!$O$6*(1+CEG_OMAdj)+CEG_Assets!$P$6*(1+CEG_CapexAdj))*(1+CEG_Assets!$Q$6)^(AH$3-2026)/1000000</f>
        <v>0</v>
      </c>
      <c r="AI175" s="8" t="n">
        <f aca="false">AI165-AI159*(CEG_Assets!$N$6*(1+CEG_FuelAdj)+CEG_Assets!$O$6*(1+CEG_OMAdj)+CEG_Assets!$P$6*(1+CEG_CapexAdj))*(1+CEG_Assets!$Q$6)^(AI$3-2026)/1000000</f>
        <v>0</v>
      </c>
      <c r="AJ175" s="8" t="n">
        <f aca="false">AJ165-AJ159*(CEG_Assets!$N$6*(1+CEG_FuelAdj)+CEG_Assets!$O$6*(1+CEG_OMAdj)+CEG_Assets!$P$6*(1+CEG_CapexAdj))*(1+CEG_Assets!$Q$6)^(AJ$3-2026)/1000000</f>
        <v>0</v>
      </c>
      <c r="AK175" s="8" t="n">
        <f aca="false">AK165-AK159*(CEG_Assets!$N$6*(1+CEG_FuelAdj)+CEG_Assets!$O$6*(1+CEG_OMAdj)+CEG_Assets!$P$6*(1+CEG_CapexAdj))*(1+CEG_Assets!$Q$6)^(AK$3-2026)/1000000</f>
        <v>0</v>
      </c>
      <c r="AL175" s="8" t="n">
        <f aca="false">AL165-AL159*(CEG_Assets!$N$6*(1+CEG_FuelAdj)+CEG_Assets!$O$6*(1+CEG_OMAdj)+CEG_Assets!$P$6*(1+CEG_CapexAdj))*(1+CEG_Assets!$Q$6)^(AL$3-2026)/1000000</f>
        <v>0</v>
      </c>
      <c r="AM175" s="8" t="n">
        <f aca="false">AM165-AM159*(CEG_Assets!$N$6*(1+CEG_FuelAdj)+CEG_Assets!$O$6*(1+CEG_OMAdj)+CEG_Assets!$P$6*(1+CEG_CapexAdj))*(1+CEG_Assets!$Q$6)^(AM$3-2026)/1000000</f>
        <v>0</v>
      </c>
      <c r="AN175" s="8" t="n">
        <f aca="false">AN165-AN159*(CEG_Assets!$N$6*(1+CEG_FuelAdj)+CEG_Assets!$O$6*(1+CEG_OMAdj)+CEG_Assets!$P$6*(1+CEG_CapexAdj))*(1+CEG_Assets!$Q$6)^(AN$3-2026)/1000000</f>
        <v>0</v>
      </c>
      <c r="AO175" s="8" t="n">
        <f aca="false">AO165-AO159*(CEG_Assets!$N$6*(1+CEG_FuelAdj)+CEG_Assets!$O$6*(1+CEG_OMAdj)+CEG_Assets!$P$6*(1+CEG_CapexAdj))*(1+CEG_Assets!$Q$6)^(AO$3-2026)/1000000</f>
        <v>0</v>
      </c>
      <c r="AP175" s="8" t="n">
        <f aca="false">AP165-AP159*(CEG_Assets!$N$6*(1+CEG_FuelAdj)+CEG_Assets!$O$6*(1+CEG_OMAdj)+CEG_Assets!$P$6*(1+CEG_CapexAdj))*(1+CEG_Assets!$Q$6)^(AP$3-2026)/1000000</f>
        <v>0</v>
      </c>
      <c r="AQ175" s="8" t="n">
        <f aca="false">AQ165-AQ159*(CEG_Assets!$N$6*(1+CEG_FuelAdj)+CEG_Assets!$O$6*(1+CEG_OMAdj)+CEG_Assets!$P$6*(1+CEG_CapexAdj))*(1+CEG_Assets!$Q$6)^(AQ$3-2026)/1000000</f>
        <v>0</v>
      </c>
      <c r="AR175" s="8" t="n">
        <f aca="false">AR165-AR159*(CEG_Assets!$N$6*(1+CEG_FuelAdj)+CEG_Assets!$O$6*(1+CEG_OMAdj)+CEG_Assets!$P$6*(1+CEG_CapexAdj))*(1+CEG_Assets!$Q$6)^(AR$3-2026)/1000000</f>
        <v>0</v>
      </c>
      <c r="AS175" s="8" t="n">
        <f aca="false">AS165-AS159*(CEG_Assets!$N$6*(1+CEG_FuelAdj)+CEG_Assets!$O$6*(1+CEG_OMAdj)+CEG_Assets!$P$6*(1+CEG_CapexAdj))*(1+CEG_Assets!$Q$6)^(AS$3-2026)/1000000</f>
        <v>0</v>
      </c>
    </row>
    <row r="176" customFormat="false" ht="15" hidden="false" customHeight="false" outlineLevel="0" collapsed="false">
      <c r="A176" s="6" t="s">
        <v>465</v>
      </c>
      <c r="B176" s="6" t="s">
        <v>466</v>
      </c>
      <c r="G176" s="8" t="n">
        <f aca="false">G173-G175</f>
        <v>96.9710729625001</v>
      </c>
      <c r="H176" s="8" t="n">
        <f aca="false">H173-H175</f>
        <v>106.420683362812</v>
      </c>
      <c r="I176" s="8" t="n">
        <f aca="false">I173-I175</f>
        <v>111.635069651404</v>
      </c>
      <c r="J176" s="8" t="n">
        <f aca="false">J173-J175</f>
        <v>117.191490738046</v>
      </c>
      <c r="K176" s="8" t="n">
        <f aca="false">K173-K175</f>
        <v>117.665777540479</v>
      </c>
      <c r="L176" s="8" t="n">
        <f aca="false">L173-L175</f>
        <v>118.102811503651</v>
      </c>
      <c r="M176" s="8" t="n">
        <f aca="false">M173-M175</f>
        <v>118.500679106397</v>
      </c>
      <c r="N176" s="8" t="n">
        <f aca="false">N173-N175</f>
        <v>118.857399345514</v>
      </c>
      <c r="O176" s="8" t="n">
        <f aca="false">O173-O175</f>
        <v>119.170921655838</v>
      </c>
      <c r="P176" s="8" t="n">
        <f aca="false">P173-P175</f>
        <v>119.439123770454</v>
      </c>
      <c r="Q176" s="8" t="n">
        <f aca="false">Q173-Q175</f>
        <v>119.659809519399</v>
      </c>
      <c r="R176" s="8" t="n">
        <f aca="false">R173-R175</f>
        <v>119.830706565162</v>
      </c>
      <c r="S176" s="8" t="n">
        <f aca="false">S173-S175</f>
        <v>119.949464073225</v>
      </c>
      <c r="T176" s="8" t="n">
        <f aca="false">T173-T175</f>
        <v>120.013650315868</v>
      </c>
      <c r="U176" s="8" t="n">
        <f aca="false">U173-U175</f>
        <v>120.020750207393</v>
      </c>
      <c r="V176" s="8" t="n">
        <f aca="false">V173-V175</f>
        <v>119.968162768879</v>
      </c>
      <c r="W176" s="8" t="n">
        <f aca="false">W173-W175</f>
        <v>119.853198520528</v>
      </c>
      <c r="X176" s="8" t="n">
        <f aca="false">X173-X175</f>
        <v>119.673076799617</v>
      </c>
      <c r="Y176" s="8" t="n">
        <f aca="false">Y173-Y175</f>
        <v>119.424923002005</v>
      </c>
      <c r="Z176" s="8" t="n">
        <f aca="false">Z173-Z175</f>
        <v>119.1057657451</v>
      </c>
      <c r="AA176" s="8" t="n">
        <f aca="false">AA173-AA175</f>
        <v>118.712533950133</v>
      </c>
      <c r="AB176" s="8" t="n">
        <f aca="false">AB173-AB175</f>
        <v>118.242053841521</v>
      </c>
      <c r="AC176" s="8" t="n">
        <f aca="false">AC173-AC175</f>
        <v>117.691045861046</v>
      </c>
      <c r="AD176" s="8" t="n">
        <f aca="false">AD173-AD175</f>
        <v>117.056121494529</v>
      </c>
      <c r="AE176" s="8" t="n">
        <f aca="false">AE173-AE175</f>
        <v>116.333780008588</v>
      </c>
      <c r="AF176" s="8" t="n">
        <f aca="false">AF173-AF175</f>
        <v>115.520405095032</v>
      </c>
      <c r="AG176" s="8" t="n">
        <f aca="false">AG173-AG175</f>
        <v>114.612261420362</v>
      </c>
      <c r="AH176" s="8" t="n">
        <f aca="false">AH173-AH175</f>
        <v>113.605491077784</v>
      </c>
      <c r="AI176" s="8" t="n">
        <f aca="false">AI173-AI175</f>
        <v>112.49610993908</v>
      </c>
      <c r="AJ176" s="8" t="n">
        <f aca="false">AJ173-AJ175</f>
        <v>0</v>
      </c>
      <c r="AK176" s="8" t="n">
        <f aca="false">AK173-AK175</f>
        <v>0</v>
      </c>
      <c r="AL176" s="8" t="n">
        <f aca="false">AL173-AL175</f>
        <v>0</v>
      </c>
      <c r="AM176" s="8" t="n">
        <f aca="false">AM173-AM175</f>
        <v>0</v>
      </c>
      <c r="AN176" s="8" t="n">
        <f aca="false">AN173-AN175</f>
        <v>0</v>
      </c>
      <c r="AO176" s="8" t="n">
        <f aca="false">AO173-AO175</f>
        <v>0</v>
      </c>
      <c r="AP176" s="8" t="n">
        <f aca="false">AP173-AP175</f>
        <v>0</v>
      </c>
      <c r="AQ176" s="8" t="n">
        <f aca="false">AQ173-AQ175</f>
        <v>0</v>
      </c>
      <c r="AR176" s="8" t="n">
        <f aca="false">AR173-AR175</f>
        <v>0</v>
      </c>
      <c r="AS176" s="8" t="n">
        <f aca="false">AS173-AS175</f>
        <v>0</v>
      </c>
    </row>
    <row r="177" customFormat="false" ht="15" hidden="false" customHeight="false" outlineLevel="0" collapsed="false">
      <c r="A177" s="6" t="s">
        <v>467</v>
      </c>
      <c r="B177" s="6" t="s">
        <v>468</v>
      </c>
      <c r="G177" s="8" t="n">
        <f aca="false">G176*(1-TaxRate)+G174</f>
        <v>77.57685837</v>
      </c>
      <c r="H177" s="8" t="n">
        <f aca="false">H176*(1-TaxRate)+H174</f>
        <v>85.1365466902499</v>
      </c>
      <c r="I177" s="8" t="n">
        <f aca="false">I176*(1-TaxRate)+I174</f>
        <v>89.308055721123</v>
      </c>
      <c r="J177" s="8" t="n">
        <f aca="false">J176*(1-TaxRate)+J174</f>
        <v>93.753192590437</v>
      </c>
      <c r="K177" s="8" t="n">
        <f aca="false">K176*(1-TaxRate)+K174</f>
        <v>94.1326220323829</v>
      </c>
      <c r="L177" s="8" t="n">
        <f aca="false">L176*(1-TaxRate)+L174</f>
        <v>94.4822492029211</v>
      </c>
      <c r="M177" s="8" t="n">
        <f aca="false">M176*(1-TaxRate)+M174</f>
        <v>94.8005432851173</v>
      </c>
      <c r="N177" s="8" t="n">
        <f aca="false">N176*(1-TaxRate)+N174</f>
        <v>95.085919476411</v>
      </c>
      <c r="O177" s="8" t="n">
        <f aca="false">O176*(1-TaxRate)+O174</f>
        <v>95.3367373246702</v>
      </c>
      <c r="P177" s="8" t="n">
        <f aca="false">P176*(1-TaxRate)+P174</f>
        <v>95.551299016363</v>
      </c>
      <c r="Q177" s="8" t="n">
        <f aca="false">Q176*(1-TaxRate)+Q174</f>
        <v>95.7278476155195</v>
      </c>
      <c r="R177" s="8" t="n">
        <f aca="false">R176*(1-TaxRate)+R174</f>
        <v>95.86456525213</v>
      </c>
      <c r="S177" s="8" t="n">
        <f aca="false">S176*(1-TaxRate)+S174</f>
        <v>95.9595712585801</v>
      </c>
      <c r="T177" s="8" t="n">
        <f aca="false">T176*(1-TaxRate)+T174</f>
        <v>96.0109202526944</v>
      </c>
      <c r="U177" s="8" t="n">
        <f aca="false">U176*(1-TaxRate)+U174</f>
        <v>96.0166001659147</v>
      </c>
      <c r="V177" s="8" t="n">
        <f aca="false">V176*(1-TaxRate)+V174</f>
        <v>95.9745302151033</v>
      </c>
      <c r="W177" s="8" t="n">
        <f aca="false">W176*(1-TaxRate)+W174</f>
        <v>95.8825588164228</v>
      </c>
      <c r="X177" s="8" t="n">
        <f aca="false">X176*(1-TaxRate)+X174</f>
        <v>95.7384614396938</v>
      </c>
      <c r="Y177" s="8" t="n">
        <f aca="false">Y176*(1-TaxRate)+Y174</f>
        <v>95.5399384016037</v>
      </c>
      <c r="Z177" s="8" t="n">
        <f aca="false">Z176*(1-TaxRate)+Z174</f>
        <v>95.2846125960801</v>
      </c>
      <c r="AA177" s="8" t="n">
        <f aca="false">AA176*(1-TaxRate)+AA174</f>
        <v>94.9700271601068</v>
      </c>
      <c r="AB177" s="8" t="n">
        <f aca="false">AB176*(1-TaxRate)+AB174</f>
        <v>94.5936430732166</v>
      </c>
      <c r="AC177" s="8" t="n">
        <f aca="false">AC176*(1-TaxRate)+AC174</f>
        <v>94.1528366888368</v>
      </c>
      <c r="AD177" s="8" t="n">
        <f aca="false">AD176*(1-TaxRate)+AD174</f>
        <v>93.644897195623</v>
      </c>
      <c r="AE177" s="8" t="n">
        <f aca="false">AE176*(1-TaxRate)+AE174</f>
        <v>93.0670240068701</v>
      </c>
      <c r="AF177" s="8" t="n">
        <f aca="false">AF176*(1-TaxRate)+AF174</f>
        <v>92.4163240760255</v>
      </c>
      <c r="AG177" s="8" t="n">
        <f aca="false">AG176*(1-TaxRate)+AG174</f>
        <v>91.6898091362895</v>
      </c>
      <c r="AH177" s="8" t="n">
        <f aca="false">AH176*(1-TaxRate)+AH174</f>
        <v>90.8843928622274</v>
      </c>
      <c r="AI177" s="8" t="n">
        <f aca="false">AI176*(1-TaxRate)+AI174</f>
        <v>89.9968879512642</v>
      </c>
      <c r="AJ177" s="8" t="n">
        <f aca="false">AJ176*(1-TaxRate)+AJ174</f>
        <v>0</v>
      </c>
      <c r="AK177" s="8" t="n">
        <f aca="false">AK176*(1-TaxRate)+AK174</f>
        <v>0</v>
      </c>
      <c r="AL177" s="8" t="n">
        <f aca="false">AL176*(1-TaxRate)+AL174</f>
        <v>0</v>
      </c>
      <c r="AM177" s="8" t="n">
        <f aca="false">AM176*(1-TaxRate)+AM174</f>
        <v>0</v>
      </c>
      <c r="AN177" s="8" t="n">
        <f aca="false">AN176*(1-TaxRate)+AN174</f>
        <v>0</v>
      </c>
      <c r="AO177" s="8" t="n">
        <f aca="false">AO176*(1-TaxRate)+AO174</f>
        <v>0</v>
      </c>
      <c r="AP177" s="8" t="n">
        <f aca="false">AP176*(1-TaxRate)+AP174</f>
        <v>0</v>
      </c>
      <c r="AQ177" s="8" t="n">
        <f aca="false">AQ176*(1-TaxRate)+AQ174</f>
        <v>0</v>
      </c>
      <c r="AR177" s="8" t="n">
        <f aca="false">AR176*(1-TaxRate)+AR174</f>
        <v>0</v>
      </c>
      <c r="AS177" s="8" t="n">
        <f aca="false">AS176*(1-TaxRate)+AS174</f>
        <v>0</v>
      </c>
    </row>
    <row r="178" customFormat="false" ht="15" hidden="false" customHeight="false" outlineLevel="0" collapsed="false">
      <c r="A178" s="6" t="s">
        <v>469</v>
      </c>
      <c r="B178" s="6" t="s">
        <v>470</v>
      </c>
      <c r="G178" s="8" t="n">
        <f aca="false">G175*(1-TaxRate)</f>
        <v>0</v>
      </c>
      <c r="H178" s="8" t="n">
        <f aca="false">H175*(1-TaxRate)</f>
        <v>0</v>
      </c>
      <c r="I178" s="8" t="n">
        <f aca="false">I175*(1-TaxRate)</f>
        <v>0</v>
      </c>
      <c r="J178" s="8" t="n">
        <f aca="false">J175*(1-TaxRate)</f>
        <v>0</v>
      </c>
      <c r="K178" s="8" t="n">
        <f aca="false">K175*(1-TaxRate)</f>
        <v>0</v>
      </c>
      <c r="L178" s="8" t="n">
        <f aca="false">L175*(1-TaxRate)</f>
        <v>0</v>
      </c>
      <c r="M178" s="8" t="n">
        <f aca="false">M175*(1-TaxRate)</f>
        <v>0</v>
      </c>
      <c r="N178" s="8" t="n">
        <f aca="false">N175*(1-TaxRate)</f>
        <v>0</v>
      </c>
      <c r="O178" s="8" t="n">
        <f aca="false">O175*(1-TaxRate)</f>
        <v>0</v>
      </c>
      <c r="P178" s="8" t="n">
        <f aca="false">P175*(1-TaxRate)</f>
        <v>0</v>
      </c>
      <c r="Q178" s="8" t="n">
        <f aca="false">Q175*(1-TaxRate)</f>
        <v>0</v>
      </c>
      <c r="R178" s="8" t="n">
        <f aca="false">R175*(1-TaxRate)</f>
        <v>0</v>
      </c>
      <c r="S178" s="8" t="n">
        <f aca="false">S175*(1-TaxRate)</f>
        <v>0</v>
      </c>
      <c r="T178" s="8" t="n">
        <f aca="false">T175*(1-TaxRate)</f>
        <v>0</v>
      </c>
      <c r="U178" s="8" t="n">
        <f aca="false">U175*(1-TaxRate)</f>
        <v>0</v>
      </c>
      <c r="V178" s="8" t="n">
        <f aca="false">V175*(1-TaxRate)</f>
        <v>0</v>
      </c>
      <c r="W178" s="8" t="n">
        <f aca="false">W175*(1-TaxRate)</f>
        <v>0</v>
      </c>
      <c r="X178" s="8" t="n">
        <f aca="false">X175*(1-TaxRate)</f>
        <v>0</v>
      </c>
      <c r="Y178" s="8" t="n">
        <f aca="false">Y175*(1-TaxRate)</f>
        <v>0</v>
      </c>
      <c r="Z178" s="8" t="n">
        <f aca="false">Z175*(1-TaxRate)</f>
        <v>0</v>
      </c>
      <c r="AA178" s="8" t="n">
        <f aca="false">AA175*(1-TaxRate)</f>
        <v>0</v>
      </c>
      <c r="AB178" s="8" t="n">
        <f aca="false">AB175*(1-TaxRate)</f>
        <v>0</v>
      </c>
      <c r="AC178" s="8" t="n">
        <f aca="false">AC175*(1-TaxRate)</f>
        <v>0</v>
      </c>
      <c r="AD178" s="8" t="n">
        <f aca="false">AD175*(1-TaxRate)</f>
        <v>0</v>
      </c>
      <c r="AE178" s="8" t="n">
        <f aca="false">AE175*(1-TaxRate)</f>
        <v>0</v>
      </c>
      <c r="AF178" s="8" t="n">
        <f aca="false">AF175*(1-TaxRate)</f>
        <v>0</v>
      </c>
      <c r="AG178" s="8" t="n">
        <f aca="false">AG175*(1-TaxRate)</f>
        <v>0</v>
      </c>
      <c r="AH178" s="8" t="n">
        <f aca="false">AH175*(1-TaxRate)</f>
        <v>0</v>
      </c>
      <c r="AI178" s="8" t="n">
        <f aca="false">AI175*(1-TaxRate)</f>
        <v>0</v>
      </c>
      <c r="AJ178" s="8" t="n">
        <f aca="false">AJ175*(1-TaxRate)</f>
        <v>0</v>
      </c>
      <c r="AK178" s="8" t="n">
        <f aca="false">AK175*(1-TaxRate)</f>
        <v>0</v>
      </c>
      <c r="AL178" s="8" t="n">
        <f aca="false">AL175*(1-TaxRate)</f>
        <v>0</v>
      </c>
      <c r="AM178" s="8" t="n">
        <f aca="false">AM175*(1-TaxRate)</f>
        <v>0</v>
      </c>
      <c r="AN178" s="8" t="n">
        <f aca="false">AN175*(1-TaxRate)</f>
        <v>0</v>
      </c>
      <c r="AO178" s="8" t="n">
        <f aca="false">AO175*(1-TaxRate)</f>
        <v>0</v>
      </c>
      <c r="AP178" s="8" t="n">
        <f aca="false">AP175*(1-TaxRate)</f>
        <v>0</v>
      </c>
      <c r="AQ178" s="8" t="n">
        <f aca="false">AQ175*(1-TaxRate)</f>
        <v>0</v>
      </c>
      <c r="AR178" s="8" t="n">
        <f aca="false">AR175*(1-TaxRate)</f>
        <v>0</v>
      </c>
      <c r="AS178" s="8" t="n">
        <f aca="false">AS175*(1-TaxRate)</f>
        <v>0</v>
      </c>
    </row>
    <row r="179" customFormat="false" ht="15" hidden="false" customHeight="false" outlineLevel="0" collapsed="false">
      <c r="A179" s="6" t="s">
        <v>471</v>
      </c>
      <c r="B179" s="6" t="s">
        <v>472</v>
      </c>
      <c r="G179" s="42" t="n">
        <f aca="false">(1+CEG_Assets!$AE$6)^-(G$3+0.5-ValDate)</f>
        <v>0.943913469359513</v>
      </c>
      <c r="H179" s="42" t="n">
        <f aca="false">(1+CEG_Assets!$AE$6)^-(H$3+0.5-ValDate)</f>
        <v>0.87399395311066</v>
      </c>
      <c r="I179" s="42" t="n">
        <f aca="false">(1+CEG_Assets!$AE$6)^-(I$3+0.5-ValDate)</f>
        <v>0.809253660287648</v>
      </c>
      <c r="J179" s="42" t="n">
        <f aca="false">(1+CEG_Assets!$AE$6)^-(J$3+0.5-ValDate)</f>
        <v>0.749308944710785</v>
      </c>
      <c r="K179" s="42" t="n">
        <f aca="false">(1+CEG_Assets!$AE$6)^-(K$3+0.5-ValDate)</f>
        <v>0.693804578435912</v>
      </c>
      <c r="L179" s="42" t="n">
        <f aca="false">(1+CEG_Assets!$AE$6)^-(L$3+0.5-ValDate)</f>
        <v>0.642411646699918</v>
      </c>
      <c r="M179" s="42" t="n">
        <f aca="false">(1+CEG_Assets!$AE$6)^-(M$3+0.5-ValDate)</f>
        <v>0.594825598796221</v>
      </c>
      <c r="N179" s="42" t="n">
        <f aca="false">(1+CEG_Assets!$AE$6)^-(N$3+0.5-ValDate)</f>
        <v>0.550764443329834</v>
      </c>
      <c r="O179" s="42" t="n">
        <f aca="false">(1+CEG_Assets!$AE$6)^-(O$3+0.5-ValDate)</f>
        <v>0.509967077157254</v>
      </c>
      <c r="P179" s="42" t="n">
        <f aca="false">(1+CEG_Assets!$AE$6)^-(P$3+0.5-ValDate)</f>
        <v>0.472191738108568</v>
      </c>
      <c r="Q179" s="42" t="n">
        <f aca="false">(1+CEG_Assets!$AE$6)^-(Q$3+0.5-ValDate)</f>
        <v>0.437214572322748</v>
      </c>
      <c r="R179" s="42" t="n">
        <f aca="false">(1+CEG_Assets!$AE$6)^-(R$3+0.5-ValDate)</f>
        <v>0.404828307706248</v>
      </c>
      <c r="S179" s="42" t="n">
        <f aca="false">(1+CEG_Assets!$AE$6)^-(S$3+0.5-ValDate)</f>
        <v>0.374841025653934</v>
      </c>
      <c r="T179" s="42" t="n">
        <f aca="false">(1+CEG_Assets!$AE$6)^-(T$3+0.5-ValDate)</f>
        <v>0.347075023753642</v>
      </c>
      <c r="U179" s="42" t="n">
        <f aca="false">(1+CEG_Assets!$AE$6)^-(U$3+0.5-ValDate)</f>
        <v>0.321365762734854</v>
      </c>
      <c r="V179" s="42" t="n">
        <f aca="false">(1+CEG_Assets!$AE$6)^-(V$3+0.5-ValDate)</f>
        <v>0.297560891421161</v>
      </c>
      <c r="W179" s="42" t="n">
        <f aca="false">(1+CEG_Assets!$AE$6)^-(W$3+0.5-ValDate)</f>
        <v>0.275519343908482</v>
      </c>
      <c r="X179" s="42" t="n">
        <f aca="false">(1+CEG_Assets!$AE$6)^-(X$3+0.5-ValDate)</f>
        <v>0.255110503618965</v>
      </c>
      <c r="Y179" s="42" t="n">
        <f aca="false">(1+CEG_Assets!$AE$6)^-(Y$3+0.5-ValDate)</f>
        <v>0.23621342927682</v>
      </c>
      <c r="Z179" s="42" t="n">
        <f aca="false">(1+CEG_Assets!$AE$6)^-(Z$3+0.5-ValDate)</f>
        <v>0.218716138219277</v>
      </c>
      <c r="AA179" s="42" t="n">
        <f aca="false">(1+CEG_Assets!$AE$6)^-(AA$3+0.5-ValDate)</f>
        <v>0.202514942795627</v>
      </c>
      <c r="AB179" s="42" t="n">
        <f aca="false">(1+CEG_Assets!$AE$6)^-(AB$3+0.5-ValDate)</f>
        <v>0.187513835921877</v>
      </c>
      <c r="AC179" s="42" t="n">
        <f aca="false">(1+CEG_Assets!$AE$6)^-(AC$3+0.5-ValDate)</f>
        <v>0.173623922149886</v>
      </c>
      <c r="AD179" s="42" t="n">
        <f aca="false">(1+CEG_Assets!$AE$6)^-(AD$3+0.5-ValDate)</f>
        <v>0.160762890879524</v>
      </c>
      <c r="AE179" s="42" t="n">
        <f aca="false">(1+CEG_Assets!$AE$6)^-(AE$3+0.5-ValDate)</f>
        <v>0.148854528592152</v>
      </c>
      <c r="AF179" s="42" t="n">
        <f aca="false">(1+CEG_Assets!$AE$6)^-(AF$3+0.5-ValDate)</f>
        <v>0.137828267214956</v>
      </c>
      <c r="AG179" s="42" t="n">
        <f aca="false">(1+CEG_Assets!$AE$6)^-(AG$3+0.5-ValDate)</f>
        <v>0.127618765939774</v>
      </c>
      <c r="AH179" s="42" t="n">
        <f aca="false">(1+CEG_Assets!$AE$6)^-(AH$3+0.5-ValDate)</f>
        <v>0.118165524018309</v>
      </c>
      <c r="AI179" s="42" t="n">
        <f aca="false">(1+CEG_Assets!$AE$6)^-(AI$3+0.5-ValDate)</f>
        <v>0.109412522239175</v>
      </c>
      <c r="AJ179" s="42" t="n">
        <f aca="false">(1+CEG_Assets!$AE$6)^-(AJ$3+0.5-ValDate)</f>
        <v>0.101307890962199</v>
      </c>
      <c r="AK179" s="42" t="n">
        <f aca="false">(1+CEG_Assets!$AE$6)^-(AK$3+0.5-ValDate)</f>
        <v>0.0938036027427768</v>
      </c>
      <c r="AL179" s="42" t="n">
        <f aca="false">(1+CEG_Assets!$AE$6)^-(AL$3+0.5-ValDate)</f>
        <v>0.0868551877247934</v>
      </c>
      <c r="AM179" s="42" t="n">
        <f aca="false">(1+CEG_Assets!$AE$6)^-(AM$3+0.5-ValDate)</f>
        <v>0.0804214701155494</v>
      </c>
      <c r="AN179" s="42" t="n">
        <f aca="false">(1+CEG_Assets!$AE$6)^-(AN$3+0.5-ValDate)</f>
        <v>0.0744643241810643</v>
      </c>
      <c r="AO179" s="42" t="n">
        <f aca="false">(1+CEG_Assets!$AE$6)^-(AO$3+0.5-ValDate)</f>
        <v>0.0689484483158002</v>
      </c>
      <c r="AP179" s="42" t="n">
        <f aca="false">(1+CEG_Assets!$AE$6)^-(AP$3+0.5-ValDate)</f>
        <v>0.0638411558479632</v>
      </c>
      <c r="AQ179" s="42" t="n">
        <f aca="false">(1+CEG_Assets!$AE$6)^-(AQ$3+0.5-ValDate)</f>
        <v>0.0591121813407066</v>
      </c>
      <c r="AR179" s="42" t="n">
        <f aca="false">(1+CEG_Assets!$AE$6)^-(AR$3+0.5-ValDate)</f>
        <v>0.054733501241395</v>
      </c>
      <c r="AS179" s="42" t="n">
        <f aca="false">(1+CEG_Assets!$AE$6)^-(AS$3+0.5-ValDate)</f>
        <v>0.0506791678161065</v>
      </c>
    </row>
    <row r="180" customFormat="false" ht="15" hidden="false" customHeight="false" outlineLevel="0" collapsed="false">
      <c r="A180" s="6" t="s">
        <v>473</v>
      </c>
      <c r="B180" s="6" t="s">
        <v>474</v>
      </c>
      <c r="G180" s="42" t="n">
        <f aca="false">(1+CEG_Assets!$AF$6)^-(G$3+0.5-ValDate)</f>
        <v>0.952191032823687</v>
      </c>
      <c r="H180" s="42" t="n">
        <f aca="false">(1+CEG_Assets!$AF$6)^-(H$3+0.5-ValDate)</f>
        <v>0.891982232153337</v>
      </c>
      <c r="I180" s="42" t="n">
        <f aca="false">(1+CEG_Assets!$AF$6)^-(I$3+0.5-ValDate)</f>
        <v>0.835580545342705</v>
      </c>
      <c r="J180" s="42" t="n">
        <f aca="false">(1+CEG_Assets!$AF$6)^-(J$3+0.5-ValDate)</f>
        <v>0.782745241538834</v>
      </c>
      <c r="K180" s="42" t="n">
        <f aca="false">(1+CEG_Assets!$AF$6)^-(K$3+0.5-ValDate)</f>
        <v>0.73325081174598</v>
      </c>
      <c r="L180" s="42" t="n">
        <f aca="false">(1+CEG_Assets!$AF$6)^-(L$3+0.5-ValDate)</f>
        <v>0.686886006319419</v>
      </c>
      <c r="M180" s="42" t="n">
        <f aca="false">(1+CEG_Assets!$AF$6)^-(M$3+0.5-ValDate)</f>
        <v>0.643452933320299</v>
      </c>
      <c r="N180" s="42" t="n">
        <f aca="false">(1+CEG_Assets!$AF$6)^-(N$3+0.5-ValDate)</f>
        <v>0.602766213883184</v>
      </c>
      <c r="O180" s="42" t="n">
        <f aca="false">(1+CEG_Assets!$AF$6)^-(O$3+0.5-ValDate)</f>
        <v>0.564652190991273</v>
      </c>
      <c r="P180" s="42" t="n">
        <f aca="false">(1+CEG_Assets!$AF$6)^-(P$3+0.5-ValDate)</f>
        <v>0.528948188282223</v>
      </c>
      <c r="Q180" s="42" t="n">
        <f aca="false">(1+CEG_Assets!$AF$6)^-(Q$3+0.5-ValDate)</f>
        <v>0.495501815721052</v>
      </c>
      <c r="R180" s="42" t="n">
        <f aca="false">(1+CEG_Assets!$AF$6)^-(R$3+0.5-ValDate)</f>
        <v>0.46417031917663</v>
      </c>
      <c r="S180" s="42" t="n">
        <f aca="false">(1+CEG_Assets!$AF$6)^-(S$3+0.5-ValDate)</f>
        <v>0.434819971125649</v>
      </c>
      <c r="T180" s="42" t="n">
        <f aca="false">(1+CEG_Assets!$AF$6)^-(T$3+0.5-ValDate)</f>
        <v>0.407325499883512</v>
      </c>
      <c r="U180" s="42" t="n">
        <f aca="false">(1+CEG_Assets!$AF$6)^-(U$3+0.5-ValDate)</f>
        <v>0.381569554926006</v>
      </c>
      <c r="V180" s="42" t="n">
        <f aca="false">(1+CEG_Assets!$AF$6)^-(V$3+0.5-ValDate)</f>
        <v>0.357442206019678</v>
      </c>
      <c r="W180" s="42" t="n">
        <f aca="false">(1+CEG_Assets!$AF$6)^-(W$3+0.5-ValDate)</f>
        <v>0.334840474023118</v>
      </c>
      <c r="X180" s="42" t="n">
        <f aca="false">(1+CEG_Assets!$AF$6)^-(X$3+0.5-ValDate)</f>
        <v>0.313667891356551</v>
      </c>
      <c r="Y180" s="42" t="n">
        <f aca="false">(1+CEG_Assets!$AF$6)^-(Y$3+0.5-ValDate)</f>
        <v>0.293834090263748</v>
      </c>
      <c r="Z180" s="42" t="n">
        <f aca="false">(1+CEG_Assets!$AF$6)^-(Z$3+0.5-ValDate)</f>
        <v>0.275254417108897</v>
      </c>
      <c r="AA180" s="42" t="n">
        <f aca="false">(1+CEG_Assets!$AF$6)^-(AA$3+0.5-ValDate)</f>
        <v>0.257849571062199</v>
      </c>
      <c r="AB180" s="42" t="n">
        <f aca="false">(1+CEG_Assets!$AF$6)^-(AB$3+0.5-ValDate)</f>
        <v>0.241545265632036</v>
      </c>
      <c r="AC180" s="42" t="n">
        <f aca="false">(1+CEG_Assets!$AF$6)^-(AC$3+0.5-ValDate)</f>
        <v>0.226271911599097</v>
      </c>
      <c r="AD180" s="42" t="n">
        <f aca="false">(1+CEG_Assets!$AF$6)^-(AD$3+0.5-ValDate)</f>
        <v>0.211964319999154</v>
      </c>
      <c r="AE180" s="42" t="n">
        <f aca="false">(1+CEG_Assets!$AF$6)^-(AE$3+0.5-ValDate)</f>
        <v>0.198561423886796</v>
      </c>
      <c r="AF180" s="42" t="n">
        <f aca="false">(1+CEG_Assets!$AF$6)^-(AF$3+0.5-ValDate)</f>
        <v>0.186006017692549</v>
      </c>
      <c r="AG180" s="42" t="n">
        <f aca="false">(1+CEG_Assets!$AF$6)^-(AG$3+0.5-ValDate)</f>
        <v>0.174244513060936</v>
      </c>
      <c r="AH180" s="42" t="n">
        <f aca="false">(1+CEG_Assets!$AF$6)^-(AH$3+0.5-ValDate)</f>
        <v>0.16322671012734</v>
      </c>
      <c r="AI180" s="42" t="n">
        <f aca="false">(1+CEG_Assets!$AF$6)^-(AI$3+0.5-ValDate)</f>
        <v>0.152905583257461</v>
      </c>
      <c r="AJ180" s="42" t="n">
        <f aca="false">(1+CEG_Assets!$AF$6)^-(AJ$3+0.5-ValDate)</f>
        <v>0.143237080334859</v>
      </c>
      <c r="AK180" s="42" t="n">
        <f aca="false">(1+CEG_Assets!$AF$6)^-(AK$3+0.5-ValDate)</f>
        <v>0.134179934739914</v>
      </c>
      <c r="AL180" s="42" t="n">
        <f aca="false">(1+CEG_Assets!$AF$6)^-(AL$3+0.5-ValDate)</f>
        <v>0.125695489217718</v>
      </c>
      <c r="AM180" s="42" t="n">
        <f aca="false">(1+CEG_Assets!$AF$6)^-(AM$3+0.5-ValDate)</f>
        <v>0.117747530883109</v>
      </c>
      <c r="AN180" s="42" t="n">
        <f aca="false">(1+CEG_Assets!$AF$6)^-(AN$3+0.5-ValDate)</f>
        <v>0.11030213665865</v>
      </c>
      <c r="AO180" s="42" t="n">
        <f aca="false">(1+CEG_Assets!$AF$6)^-(AO$3+0.5-ValDate)</f>
        <v>0.103327528485855</v>
      </c>
      <c r="AP180" s="42" t="n">
        <f aca="false">(1+CEG_Assets!$AF$6)^-(AP$3+0.5-ValDate)</f>
        <v>0.096793937691667</v>
      </c>
      <c r="AQ180" s="42" t="n">
        <f aca="false">(1+CEG_Assets!$AF$6)^-(AQ$3+0.5-ValDate)</f>
        <v>0.090673477931304</v>
      </c>
      <c r="AR180" s="42" t="n">
        <f aca="false">(1+CEG_Assets!$AF$6)^-(AR$3+0.5-ValDate)</f>
        <v>0.084940026165156</v>
      </c>
      <c r="AS180" s="42" t="n">
        <f aca="false">(1+CEG_Assets!$AF$6)^-(AS$3+0.5-ValDate)</f>
        <v>0.0795691111617386</v>
      </c>
    </row>
    <row r="181" customFormat="false" ht="15" hidden="false" customHeight="false" outlineLevel="0" collapsed="false">
      <c r="A181" s="6" t="s">
        <v>475</v>
      </c>
      <c r="B181" s="6" t="s">
        <v>476</v>
      </c>
      <c r="C181" s="43" t="n">
        <f aca="false">SUM(G181:AS181)</f>
        <v>1049.53056230452</v>
      </c>
      <c r="D181" s="8" t="n">
        <f aca="false">SUMIF($G$3:$AS$3,"&lt;="&amp;Horizon,G181:AS181)</f>
        <v>290.157645310739</v>
      </c>
      <c r="E181" s="8" t="n">
        <f aca="false">(C181-D181)*(1+CEG_Assets!$AE$6)^(Horizon+1-ValDate)</f>
        <v>1053.1883945141</v>
      </c>
      <c r="G181" s="8" t="n">
        <f aca="false">G177*G179</f>
        <v>73.2258415260383</v>
      </c>
      <c r="H181" s="8" t="n">
        <f aca="false">H177*H179</f>
        <v>74.4088269960018</v>
      </c>
      <c r="I181" s="8" t="n">
        <f aca="false">I177*I179</f>
        <v>72.272870985492</v>
      </c>
      <c r="J181" s="8" t="n">
        <f aca="false">J177*J179</f>
        <v>70.2501058032074</v>
      </c>
      <c r="K181" s="8" t="n">
        <f aca="false">K177*K179</f>
        <v>65.3096441462445</v>
      </c>
      <c r="L181" s="8" t="n">
        <f aca="false">L177*L179</f>
        <v>60.6964972943606</v>
      </c>
      <c r="M181" s="8" t="n">
        <f aca="false">M177*M179</f>
        <v>56.389789925777</v>
      </c>
      <c r="N181" s="8" t="n">
        <f aca="false">N177*N179</f>
        <v>52.3699435089309</v>
      </c>
      <c r="O181" s="8" t="n">
        <f aca="false">O177*O179</f>
        <v>48.6185972791709</v>
      </c>
      <c r="P181" s="8" t="n">
        <f aca="false">P177*P179</f>
        <v>45.118533961068</v>
      </c>
      <c r="Q181" s="8" t="n">
        <f aca="false">Q177*Q179</f>
        <v>41.8536099545966</v>
      </c>
      <c r="R181" s="8" t="n">
        <f aca="false">R177*R179</f>
        <v>38.808689720015</v>
      </c>
      <c r="S181" s="8" t="n">
        <f aca="false">S177*S179</f>
        <v>35.9695841118779</v>
      </c>
      <c r="T181" s="8" t="n">
        <f aca="false">T177*T179</f>
        <v>33.322992427313</v>
      </c>
      <c r="U181" s="8" t="n">
        <f aca="false">U177*U179</f>
        <v>30.8564479475267</v>
      </c>
      <c r="V181" s="8" t="n">
        <f aca="false">V177*V179</f>
        <v>28.5582667645333</v>
      </c>
      <c r="W181" s="8" t="n">
        <f aca="false">W177*W179</f>
        <v>26.4174996973673</v>
      </c>
      <c r="X181" s="8" t="n">
        <f aca="false">X177*X179</f>
        <v>24.4238871135852</v>
      </c>
      <c r="Y181" s="8" t="n">
        <f aca="false">Y177*Y179</f>
        <v>22.5678164827389</v>
      </c>
      <c r="Z181" s="8" t="n">
        <f aca="false">Z177*Z179</f>
        <v>20.8402824987345</v>
      </c>
      <c r="AA181" s="8" t="n">
        <f aca="false">AA177*AA179</f>
        <v>19.2328496176282</v>
      </c>
      <c r="AB181" s="8" t="n">
        <f aca="false">AB177*AB179</f>
        <v>17.7376168664837</v>
      </c>
      <c r="AC181" s="8" t="n">
        <f aca="false">AC177*AC179</f>
        <v>16.3471847874535</v>
      </c>
      <c r="AD181" s="8" t="n">
        <f aca="false">AD177*AD179</f>
        <v>15.0546243892842</v>
      </c>
      <c r="AE181" s="8" t="n">
        <f aca="false">AE177*AE179</f>
        <v>13.8534479860171</v>
      </c>
      <c r="AF181" s="8" t="n">
        <f aca="false">AF177*AF179</f>
        <v>12.7375818097744</v>
      </c>
      <c r="AG181" s="8" t="n">
        <f aca="false">AG177*AG179</f>
        <v>11.7013402912267</v>
      </c>
      <c r="AH181" s="8" t="n">
        <f aca="false">AH177*AH179</f>
        <v>10.739401907651</v>
      </c>
      <c r="AI181" s="8" t="n">
        <f aca="false">AI177*AI179</f>
        <v>9.84678650442423</v>
      </c>
      <c r="AJ181" s="8" t="n">
        <f aca="false">AJ177*AJ179</f>
        <v>0</v>
      </c>
      <c r="AK181" s="8" t="n">
        <f aca="false">AK177*AK179</f>
        <v>0</v>
      </c>
      <c r="AL181" s="8" t="n">
        <f aca="false">AL177*AL179</f>
        <v>0</v>
      </c>
      <c r="AM181" s="8" t="n">
        <f aca="false">AM177*AM179</f>
        <v>0</v>
      </c>
      <c r="AN181" s="8" t="n">
        <f aca="false">AN177*AN179</f>
        <v>0</v>
      </c>
      <c r="AO181" s="8" t="n">
        <f aca="false">AO177*AO179</f>
        <v>0</v>
      </c>
      <c r="AP181" s="8" t="n">
        <f aca="false">AP177*AP179</f>
        <v>0</v>
      </c>
      <c r="AQ181" s="8" t="n">
        <f aca="false">AQ177*AQ179</f>
        <v>0</v>
      </c>
      <c r="AR181" s="8" t="n">
        <f aca="false">AR177*AR179</f>
        <v>0</v>
      </c>
      <c r="AS181" s="8" t="n">
        <f aca="false">AS177*AS179</f>
        <v>0</v>
      </c>
    </row>
    <row r="182" customFormat="false" ht="15" hidden="false" customHeight="false" outlineLevel="0" collapsed="false">
      <c r="A182" s="6" t="s">
        <v>477</v>
      </c>
      <c r="B182" s="6" t="s">
        <v>478</v>
      </c>
      <c r="C182" s="43" t="n">
        <f aca="false">SUM(G182:AS182)</f>
        <v>0</v>
      </c>
      <c r="D182" s="8" t="n">
        <f aca="false">SUMIF($G$3:$AS$3,"&lt;="&amp;Horizon,G182:AS182)</f>
        <v>0</v>
      </c>
      <c r="E182" s="8" t="n">
        <f aca="false">(C182-D182)*(1+CEG_Assets!$AF$6)^(Horizon+1-ValDate)</f>
        <v>0</v>
      </c>
      <c r="G182" s="8" t="n">
        <f aca="false">G178*G180</f>
        <v>0</v>
      </c>
      <c r="H182" s="8" t="n">
        <f aca="false">H178*H180</f>
        <v>0</v>
      </c>
      <c r="I182" s="8" t="n">
        <f aca="false">I178*I180</f>
        <v>0</v>
      </c>
      <c r="J182" s="8" t="n">
        <f aca="false">J178*J180</f>
        <v>0</v>
      </c>
      <c r="K182" s="8" t="n">
        <f aca="false">K178*K180</f>
        <v>0</v>
      </c>
      <c r="L182" s="8" t="n">
        <f aca="false">L178*L180</f>
        <v>0</v>
      </c>
      <c r="M182" s="8" t="n">
        <f aca="false">M178*M180</f>
        <v>0</v>
      </c>
      <c r="N182" s="8" t="n">
        <f aca="false">N178*N180</f>
        <v>0</v>
      </c>
      <c r="O182" s="8" t="n">
        <f aca="false">O178*O180</f>
        <v>0</v>
      </c>
      <c r="P182" s="8" t="n">
        <f aca="false">P178*P180</f>
        <v>0</v>
      </c>
      <c r="Q182" s="8" t="n">
        <f aca="false">Q178*Q180</f>
        <v>0</v>
      </c>
      <c r="R182" s="8" t="n">
        <f aca="false">R178*R180</f>
        <v>0</v>
      </c>
      <c r="S182" s="8" t="n">
        <f aca="false">S178*S180</f>
        <v>0</v>
      </c>
      <c r="T182" s="8" t="n">
        <f aca="false">T178*T180</f>
        <v>0</v>
      </c>
      <c r="U182" s="8" t="n">
        <f aca="false">U178*U180</f>
        <v>0</v>
      </c>
      <c r="V182" s="8" t="n">
        <f aca="false">V178*V180</f>
        <v>0</v>
      </c>
      <c r="W182" s="8" t="n">
        <f aca="false">W178*W180</f>
        <v>0</v>
      </c>
      <c r="X182" s="8" t="n">
        <f aca="false">X178*X180</f>
        <v>0</v>
      </c>
      <c r="Y182" s="8" t="n">
        <f aca="false">Y178*Y180</f>
        <v>0</v>
      </c>
      <c r="Z182" s="8" t="n">
        <f aca="false">Z178*Z180</f>
        <v>0</v>
      </c>
      <c r="AA182" s="8" t="n">
        <f aca="false">AA178*AA180</f>
        <v>0</v>
      </c>
      <c r="AB182" s="8" t="n">
        <f aca="false">AB178*AB180</f>
        <v>0</v>
      </c>
      <c r="AC182" s="8" t="n">
        <f aca="false">AC178*AC180</f>
        <v>0</v>
      </c>
      <c r="AD182" s="8" t="n">
        <f aca="false">AD178*AD180</f>
        <v>0</v>
      </c>
      <c r="AE182" s="8" t="n">
        <f aca="false">AE178*AE180</f>
        <v>0</v>
      </c>
      <c r="AF182" s="8" t="n">
        <f aca="false">AF178*AF180</f>
        <v>0</v>
      </c>
      <c r="AG182" s="8" t="n">
        <f aca="false">AG178*AG180</f>
        <v>0</v>
      </c>
      <c r="AH182" s="8" t="n">
        <f aca="false">AH178*AH180</f>
        <v>0</v>
      </c>
      <c r="AI182" s="8" t="n">
        <f aca="false">AI178*AI180</f>
        <v>0</v>
      </c>
      <c r="AJ182" s="8" t="n">
        <f aca="false">AJ178*AJ180</f>
        <v>0</v>
      </c>
      <c r="AK182" s="8" t="n">
        <f aca="false">AK178*AK180</f>
        <v>0</v>
      </c>
      <c r="AL182" s="8" t="n">
        <f aca="false">AL178*AL180</f>
        <v>0</v>
      </c>
      <c r="AM182" s="8" t="n">
        <f aca="false">AM178*AM180</f>
        <v>0</v>
      </c>
      <c r="AN182" s="8" t="n">
        <f aca="false">AN178*AN180</f>
        <v>0</v>
      </c>
      <c r="AO182" s="8" t="n">
        <f aca="false">AO178*AO180</f>
        <v>0</v>
      </c>
      <c r="AP182" s="8" t="n">
        <f aca="false">AP178*AP180</f>
        <v>0</v>
      </c>
      <c r="AQ182" s="8" t="n">
        <f aca="false">AQ178*AQ180</f>
        <v>0</v>
      </c>
      <c r="AR182" s="8" t="n">
        <f aca="false">AR178*AR180</f>
        <v>0</v>
      </c>
      <c r="AS182" s="8" t="n">
        <f aca="false">AS178*AS180</f>
        <v>0</v>
      </c>
    </row>
    <row r="183" customFormat="false" ht="15" hidden="false" customHeight="false" outlineLevel="0" collapsed="false">
      <c r="A183" s="6" t="s">
        <v>479</v>
      </c>
      <c r="B183" s="6" t="s">
        <v>480</v>
      </c>
      <c r="C183" s="43" t="n">
        <f aca="false">IF(CEG_Assets!$H$6="$/kW",CEG_Assets!$D$6*CEG_Assets!$AI$6*(1+0.4*(PJMWLR/PJMWLRBase-1))/1000,0)</f>
        <v>0</v>
      </c>
      <c r="E183" s="8" t="n">
        <f aca="false">C183</f>
        <v>0</v>
      </c>
      <c r="G183" s="8" t="n">
        <f aca="false">0</f>
        <v>0</v>
      </c>
      <c r="H183" s="8" t="n">
        <f aca="false">0</f>
        <v>0</v>
      </c>
      <c r="I183" s="8" t="n">
        <f aca="false">0</f>
        <v>0</v>
      </c>
      <c r="J183" s="8" t="n">
        <f aca="false">0</f>
        <v>0</v>
      </c>
      <c r="K183" s="8" t="n">
        <f aca="false">0</f>
        <v>0</v>
      </c>
      <c r="L183" s="8" t="n">
        <f aca="false">0</f>
        <v>0</v>
      </c>
      <c r="M183" s="8" t="n">
        <f aca="false">0</f>
        <v>0</v>
      </c>
      <c r="N183" s="8" t="n">
        <f aca="false">0</f>
        <v>0</v>
      </c>
      <c r="O183" s="8" t="n">
        <f aca="false">0</f>
        <v>0</v>
      </c>
      <c r="P183" s="8" t="n">
        <f aca="false">0</f>
        <v>0</v>
      </c>
      <c r="Q183" s="8" t="n">
        <f aca="false">0</f>
        <v>0</v>
      </c>
      <c r="R183" s="8" t="n">
        <f aca="false">0</f>
        <v>0</v>
      </c>
      <c r="S183" s="8" t="n">
        <f aca="false">0</f>
        <v>0</v>
      </c>
      <c r="T183" s="8" t="n">
        <f aca="false">0</f>
        <v>0</v>
      </c>
      <c r="U183" s="8" t="n">
        <f aca="false">0</f>
        <v>0</v>
      </c>
      <c r="V183" s="8" t="n">
        <f aca="false">0</f>
        <v>0</v>
      </c>
      <c r="W183" s="8" t="n">
        <f aca="false">0</f>
        <v>0</v>
      </c>
      <c r="X183" s="8" t="n">
        <f aca="false">0</f>
        <v>0</v>
      </c>
      <c r="Y183" s="8" t="n">
        <f aca="false">0</f>
        <v>0</v>
      </c>
      <c r="Z183" s="8" t="n">
        <f aca="false">0</f>
        <v>0</v>
      </c>
      <c r="AA183" s="8" t="n">
        <f aca="false">0</f>
        <v>0</v>
      </c>
      <c r="AB183" s="8" t="n">
        <f aca="false">0</f>
        <v>0</v>
      </c>
      <c r="AC183" s="8" t="n">
        <f aca="false">0</f>
        <v>0</v>
      </c>
      <c r="AD183" s="8" t="n">
        <f aca="false">0</f>
        <v>0</v>
      </c>
      <c r="AE183" s="8" t="n">
        <f aca="false">0</f>
        <v>0</v>
      </c>
      <c r="AF183" s="8" t="n">
        <f aca="false">0</f>
        <v>0</v>
      </c>
      <c r="AG183" s="8" t="n">
        <f aca="false">0</f>
        <v>0</v>
      </c>
      <c r="AH183" s="8" t="n">
        <f aca="false">0</f>
        <v>0</v>
      </c>
      <c r="AI183" s="8" t="n">
        <f aca="false">0</f>
        <v>0</v>
      </c>
      <c r="AJ183" s="8" t="n">
        <f aca="false">0</f>
        <v>0</v>
      </c>
      <c r="AK183" s="8" t="n">
        <f aca="false">0</f>
        <v>0</v>
      </c>
      <c r="AL183" s="8" t="n">
        <f aca="false">0</f>
        <v>0</v>
      </c>
      <c r="AM183" s="8" t="n">
        <f aca="false">0</f>
        <v>0</v>
      </c>
      <c r="AN183" s="8" t="n">
        <f aca="false">0</f>
        <v>0</v>
      </c>
      <c r="AO183" s="8" t="n">
        <f aca="false">0</f>
        <v>0</v>
      </c>
      <c r="AP183" s="8" t="n">
        <f aca="false">0</f>
        <v>0</v>
      </c>
      <c r="AQ183" s="8" t="n">
        <f aca="false">0</f>
        <v>0</v>
      </c>
      <c r="AR183" s="8" t="n">
        <f aca="false">0</f>
        <v>0</v>
      </c>
      <c r="AS183" s="8" t="n">
        <f aca="false">0</f>
        <v>0</v>
      </c>
    </row>
    <row r="185" customFormat="false" ht="15" hidden="false" customHeight="false" outlineLevel="0" collapsed="false">
      <c r="A185" s="54" t="str">
        <f aca="false">CEG_Assets!$A$7</f>
        <v>Nuclear - Crane restart (TMI-1) - Microsoft 20-yr PPA</v>
      </c>
    </row>
    <row r="186" customFormat="false" ht="15" hidden="false" customHeight="false" outlineLevel="0" collapsed="false">
      <c r="A186" s="6" t="s">
        <v>425</v>
      </c>
      <c r="B186" s="6" t="s">
        <v>426</v>
      </c>
      <c r="G186" s="47" t="n">
        <f aca="false">IF(AND(G$3&gt;=CEG_Assets!$E$7,G$3&lt;=CEG_Assets!$F$7,CEG_Assets!$H$7="Cashflow"),1,0)</f>
        <v>0</v>
      </c>
      <c r="H186" s="47" t="n">
        <f aca="false">IF(AND(H$3&gt;=CEG_Assets!$E$7,H$3&lt;=CEG_Assets!$F$7,CEG_Assets!$H$7="Cashflow"),1,0)</f>
        <v>1</v>
      </c>
      <c r="I186" s="47" t="n">
        <f aca="false">IF(AND(I$3&gt;=CEG_Assets!$E$7,I$3&lt;=CEG_Assets!$F$7,CEG_Assets!$H$7="Cashflow"),1,0)</f>
        <v>1</v>
      </c>
      <c r="J186" s="47" t="n">
        <f aca="false">IF(AND(J$3&gt;=CEG_Assets!$E$7,J$3&lt;=CEG_Assets!$F$7,CEG_Assets!$H$7="Cashflow"),1,0)</f>
        <v>1</v>
      </c>
      <c r="K186" s="47" t="n">
        <f aca="false">IF(AND(K$3&gt;=CEG_Assets!$E$7,K$3&lt;=CEG_Assets!$F$7,CEG_Assets!$H$7="Cashflow"),1,0)</f>
        <v>1</v>
      </c>
      <c r="L186" s="47" t="n">
        <f aca="false">IF(AND(L$3&gt;=CEG_Assets!$E$7,L$3&lt;=CEG_Assets!$F$7,CEG_Assets!$H$7="Cashflow"),1,0)</f>
        <v>1</v>
      </c>
      <c r="M186" s="47" t="n">
        <f aca="false">IF(AND(M$3&gt;=CEG_Assets!$E$7,M$3&lt;=CEG_Assets!$F$7,CEG_Assets!$H$7="Cashflow"),1,0)</f>
        <v>1</v>
      </c>
      <c r="N186" s="47" t="n">
        <f aca="false">IF(AND(N$3&gt;=CEG_Assets!$E$7,N$3&lt;=CEG_Assets!$F$7,CEG_Assets!$H$7="Cashflow"),1,0)</f>
        <v>1</v>
      </c>
      <c r="O186" s="47" t="n">
        <f aca="false">IF(AND(O$3&gt;=CEG_Assets!$E$7,O$3&lt;=CEG_Assets!$F$7,CEG_Assets!$H$7="Cashflow"),1,0)</f>
        <v>1</v>
      </c>
      <c r="P186" s="47" t="n">
        <f aca="false">IF(AND(P$3&gt;=CEG_Assets!$E$7,P$3&lt;=CEG_Assets!$F$7,CEG_Assets!$H$7="Cashflow"),1,0)</f>
        <v>1</v>
      </c>
      <c r="Q186" s="47" t="n">
        <f aca="false">IF(AND(Q$3&gt;=CEG_Assets!$E$7,Q$3&lt;=CEG_Assets!$F$7,CEG_Assets!$H$7="Cashflow"),1,0)</f>
        <v>1</v>
      </c>
      <c r="R186" s="47" t="n">
        <f aca="false">IF(AND(R$3&gt;=CEG_Assets!$E$7,R$3&lt;=CEG_Assets!$F$7,CEG_Assets!$H$7="Cashflow"),1,0)</f>
        <v>1</v>
      </c>
      <c r="S186" s="47" t="n">
        <f aca="false">IF(AND(S$3&gt;=CEG_Assets!$E$7,S$3&lt;=CEG_Assets!$F$7,CEG_Assets!$H$7="Cashflow"),1,0)</f>
        <v>1</v>
      </c>
      <c r="T186" s="47" t="n">
        <f aca="false">IF(AND(T$3&gt;=CEG_Assets!$E$7,T$3&lt;=CEG_Assets!$F$7,CEG_Assets!$H$7="Cashflow"),1,0)</f>
        <v>1</v>
      </c>
      <c r="U186" s="47" t="n">
        <f aca="false">IF(AND(U$3&gt;=CEG_Assets!$E$7,U$3&lt;=CEG_Assets!$F$7,CEG_Assets!$H$7="Cashflow"),1,0)</f>
        <v>1</v>
      </c>
      <c r="V186" s="47" t="n">
        <f aca="false">IF(AND(V$3&gt;=CEG_Assets!$E$7,V$3&lt;=CEG_Assets!$F$7,CEG_Assets!$H$7="Cashflow"),1,0)</f>
        <v>1</v>
      </c>
      <c r="W186" s="47" t="n">
        <f aca="false">IF(AND(W$3&gt;=CEG_Assets!$E$7,W$3&lt;=CEG_Assets!$F$7,CEG_Assets!$H$7="Cashflow"),1,0)</f>
        <v>1</v>
      </c>
      <c r="X186" s="47" t="n">
        <f aca="false">IF(AND(X$3&gt;=CEG_Assets!$E$7,X$3&lt;=CEG_Assets!$F$7,CEG_Assets!$H$7="Cashflow"),1,0)</f>
        <v>1</v>
      </c>
      <c r="Y186" s="47" t="n">
        <f aca="false">IF(AND(Y$3&gt;=CEG_Assets!$E$7,Y$3&lt;=CEG_Assets!$F$7,CEG_Assets!$H$7="Cashflow"),1,0)</f>
        <v>1</v>
      </c>
      <c r="Z186" s="47" t="n">
        <f aca="false">IF(AND(Z$3&gt;=CEG_Assets!$E$7,Z$3&lt;=CEG_Assets!$F$7,CEG_Assets!$H$7="Cashflow"),1,0)</f>
        <v>1</v>
      </c>
      <c r="AA186" s="47" t="n">
        <f aca="false">IF(AND(AA$3&gt;=CEG_Assets!$E$7,AA$3&lt;=CEG_Assets!$F$7,CEG_Assets!$H$7="Cashflow"),1,0)</f>
        <v>1</v>
      </c>
      <c r="AB186" s="47" t="n">
        <f aca="false">IF(AND(AB$3&gt;=CEG_Assets!$E$7,AB$3&lt;=CEG_Assets!$F$7,CEG_Assets!$H$7="Cashflow"),1,0)</f>
        <v>1</v>
      </c>
      <c r="AC186" s="47" t="n">
        <f aca="false">IF(AND(AC$3&gt;=CEG_Assets!$E$7,AC$3&lt;=CEG_Assets!$F$7,CEG_Assets!$H$7="Cashflow"),1,0)</f>
        <v>1</v>
      </c>
      <c r="AD186" s="47" t="n">
        <f aca="false">IF(AND(AD$3&gt;=CEG_Assets!$E$7,AD$3&lt;=CEG_Assets!$F$7,CEG_Assets!$H$7="Cashflow"),1,0)</f>
        <v>1</v>
      </c>
      <c r="AE186" s="47" t="n">
        <f aca="false">IF(AND(AE$3&gt;=CEG_Assets!$E$7,AE$3&lt;=CEG_Assets!$F$7,CEG_Assets!$H$7="Cashflow"),1,0)</f>
        <v>1</v>
      </c>
      <c r="AF186" s="47" t="n">
        <f aca="false">IF(AND(AF$3&gt;=CEG_Assets!$E$7,AF$3&lt;=CEG_Assets!$F$7,CEG_Assets!$H$7="Cashflow"),1,0)</f>
        <v>1</v>
      </c>
      <c r="AG186" s="47" t="n">
        <f aca="false">IF(AND(AG$3&gt;=CEG_Assets!$E$7,AG$3&lt;=CEG_Assets!$F$7,CEG_Assets!$H$7="Cashflow"),1,0)</f>
        <v>1</v>
      </c>
      <c r="AH186" s="47" t="n">
        <f aca="false">IF(AND(AH$3&gt;=CEG_Assets!$E$7,AH$3&lt;=CEG_Assets!$F$7,CEG_Assets!$H$7="Cashflow"),1,0)</f>
        <v>1</v>
      </c>
      <c r="AI186" s="47" t="n">
        <f aca="false">IF(AND(AI$3&gt;=CEG_Assets!$E$7,AI$3&lt;=CEG_Assets!$F$7,CEG_Assets!$H$7="Cashflow"),1,0)</f>
        <v>0</v>
      </c>
      <c r="AJ186" s="47" t="n">
        <f aca="false">IF(AND(AJ$3&gt;=CEG_Assets!$E$7,AJ$3&lt;=CEG_Assets!$F$7,CEG_Assets!$H$7="Cashflow"),1,0)</f>
        <v>0</v>
      </c>
      <c r="AK186" s="47" t="n">
        <f aca="false">IF(AND(AK$3&gt;=CEG_Assets!$E$7,AK$3&lt;=CEG_Assets!$F$7,CEG_Assets!$H$7="Cashflow"),1,0)</f>
        <v>0</v>
      </c>
      <c r="AL186" s="47" t="n">
        <f aca="false">IF(AND(AL$3&gt;=CEG_Assets!$E$7,AL$3&lt;=CEG_Assets!$F$7,CEG_Assets!$H$7="Cashflow"),1,0)</f>
        <v>0</v>
      </c>
      <c r="AM186" s="47" t="n">
        <f aca="false">IF(AND(AM$3&gt;=CEG_Assets!$E$7,AM$3&lt;=CEG_Assets!$F$7,CEG_Assets!$H$7="Cashflow"),1,0)</f>
        <v>0</v>
      </c>
      <c r="AN186" s="47" t="n">
        <f aca="false">IF(AND(AN$3&gt;=CEG_Assets!$E$7,AN$3&lt;=CEG_Assets!$F$7,CEG_Assets!$H$7="Cashflow"),1,0)</f>
        <v>0</v>
      </c>
      <c r="AO186" s="47" t="n">
        <f aca="false">IF(AND(AO$3&gt;=CEG_Assets!$E$7,AO$3&lt;=CEG_Assets!$F$7,CEG_Assets!$H$7="Cashflow"),1,0)</f>
        <v>0</v>
      </c>
      <c r="AP186" s="47" t="n">
        <f aca="false">IF(AND(AP$3&gt;=CEG_Assets!$E$7,AP$3&lt;=CEG_Assets!$F$7,CEG_Assets!$H$7="Cashflow"),1,0)</f>
        <v>0</v>
      </c>
      <c r="AQ186" s="47" t="n">
        <f aca="false">IF(AND(AQ$3&gt;=CEG_Assets!$E$7,AQ$3&lt;=CEG_Assets!$F$7,CEG_Assets!$H$7="Cashflow"),1,0)</f>
        <v>0</v>
      </c>
      <c r="AR186" s="47" t="n">
        <f aca="false">IF(AND(AR$3&gt;=CEG_Assets!$E$7,AR$3&lt;=CEG_Assets!$F$7,CEG_Assets!$H$7="Cashflow"),1,0)</f>
        <v>0</v>
      </c>
      <c r="AS186" s="47" t="n">
        <f aca="false">IF(AND(AS$3&gt;=CEG_Assets!$E$7,AS$3&lt;=CEG_Assets!$F$7,CEG_Assets!$H$7="Cashflow"),1,0)</f>
        <v>0</v>
      </c>
    </row>
    <row r="187" customFormat="false" ht="15" hidden="false" customHeight="false" outlineLevel="0" collapsed="false">
      <c r="A187" s="6" t="s">
        <v>427</v>
      </c>
      <c r="B187" s="6" t="s">
        <v>428</v>
      </c>
      <c r="G187" s="9" t="n">
        <f aca="false">IF(AND(G$3&gt;=CEG_Assets!$AA$7,G$3&lt;=CEG_Assets!$AB$7),MIN(CEG_Assets!$D$7,CEG_Assets!$Z$7*MIN(1,(G$3-CEG_Assets!$AA$7+1)/MAX(1,CEG_Assets!$AC$7))),0)*G186</f>
        <v>0</v>
      </c>
      <c r="H187" s="9" t="n">
        <f aca="false">IF(AND(H$3&gt;=CEG_Assets!$AA$7,H$3&lt;=CEG_Assets!$AB$7),MIN(CEG_Assets!$D$7,CEG_Assets!$Z$7*MIN(1,(H$3-CEG_Assets!$AA$7+1)/MAX(1,CEG_Assets!$AC$7))),0)*H186</f>
        <v>835</v>
      </c>
      <c r="I187" s="9" t="n">
        <f aca="false">IF(AND(I$3&gt;=CEG_Assets!$AA$7,I$3&lt;=CEG_Assets!$AB$7),MIN(CEG_Assets!$D$7,CEG_Assets!$Z$7*MIN(1,(I$3-CEG_Assets!$AA$7+1)/MAX(1,CEG_Assets!$AC$7))),0)*I186</f>
        <v>835</v>
      </c>
      <c r="J187" s="9" t="n">
        <f aca="false">IF(AND(J$3&gt;=CEG_Assets!$AA$7,J$3&lt;=CEG_Assets!$AB$7),MIN(CEG_Assets!$D$7,CEG_Assets!$Z$7*MIN(1,(J$3-CEG_Assets!$AA$7+1)/MAX(1,CEG_Assets!$AC$7))),0)*J186</f>
        <v>835</v>
      </c>
      <c r="K187" s="9" t="n">
        <f aca="false">IF(AND(K$3&gt;=CEG_Assets!$AA$7,K$3&lt;=CEG_Assets!$AB$7),MIN(CEG_Assets!$D$7,CEG_Assets!$Z$7*MIN(1,(K$3-CEG_Assets!$AA$7+1)/MAX(1,CEG_Assets!$AC$7))),0)*K186</f>
        <v>835</v>
      </c>
      <c r="L187" s="9" t="n">
        <f aca="false">IF(AND(L$3&gt;=CEG_Assets!$AA$7,L$3&lt;=CEG_Assets!$AB$7),MIN(CEG_Assets!$D$7,CEG_Assets!$Z$7*MIN(1,(L$3-CEG_Assets!$AA$7+1)/MAX(1,CEG_Assets!$AC$7))),0)*L186</f>
        <v>835</v>
      </c>
      <c r="M187" s="9" t="n">
        <f aca="false">IF(AND(M$3&gt;=CEG_Assets!$AA$7,M$3&lt;=CEG_Assets!$AB$7),MIN(CEG_Assets!$D$7,CEG_Assets!$Z$7*MIN(1,(M$3-CEG_Assets!$AA$7+1)/MAX(1,CEG_Assets!$AC$7))),0)*M186</f>
        <v>835</v>
      </c>
      <c r="N187" s="9" t="n">
        <f aca="false">IF(AND(N$3&gt;=CEG_Assets!$AA$7,N$3&lt;=CEG_Assets!$AB$7),MIN(CEG_Assets!$D$7,CEG_Assets!$Z$7*MIN(1,(N$3-CEG_Assets!$AA$7+1)/MAX(1,CEG_Assets!$AC$7))),0)*N186</f>
        <v>835</v>
      </c>
      <c r="O187" s="9" t="n">
        <f aca="false">IF(AND(O$3&gt;=CEG_Assets!$AA$7,O$3&lt;=CEG_Assets!$AB$7),MIN(CEG_Assets!$D$7,CEG_Assets!$Z$7*MIN(1,(O$3-CEG_Assets!$AA$7+1)/MAX(1,CEG_Assets!$AC$7))),0)*O186</f>
        <v>835</v>
      </c>
      <c r="P187" s="9" t="n">
        <f aca="false">IF(AND(P$3&gt;=CEG_Assets!$AA$7,P$3&lt;=CEG_Assets!$AB$7),MIN(CEG_Assets!$D$7,CEG_Assets!$Z$7*MIN(1,(P$3-CEG_Assets!$AA$7+1)/MAX(1,CEG_Assets!$AC$7))),0)*P186</f>
        <v>835</v>
      </c>
      <c r="Q187" s="9" t="n">
        <f aca="false">IF(AND(Q$3&gt;=CEG_Assets!$AA$7,Q$3&lt;=CEG_Assets!$AB$7),MIN(CEG_Assets!$D$7,CEG_Assets!$Z$7*MIN(1,(Q$3-CEG_Assets!$AA$7+1)/MAX(1,CEG_Assets!$AC$7))),0)*Q186</f>
        <v>835</v>
      </c>
      <c r="R187" s="9" t="n">
        <f aca="false">IF(AND(R$3&gt;=CEG_Assets!$AA$7,R$3&lt;=CEG_Assets!$AB$7),MIN(CEG_Assets!$D$7,CEG_Assets!$Z$7*MIN(1,(R$3-CEG_Assets!$AA$7+1)/MAX(1,CEG_Assets!$AC$7))),0)*R186</f>
        <v>835</v>
      </c>
      <c r="S187" s="9" t="n">
        <f aca="false">IF(AND(S$3&gt;=CEG_Assets!$AA$7,S$3&lt;=CEG_Assets!$AB$7),MIN(CEG_Assets!$D$7,CEG_Assets!$Z$7*MIN(1,(S$3-CEG_Assets!$AA$7+1)/MAX(1,CEG_Assets!$AC$7))),0)*S186</f>
        <v>835</v>
      </c>
      <c r="T187" s="9" t="n">
        <f aca="false">IF(AND(T$3&gt;=CEG_Assets!$AA$7,T$3&lt;=CEG_Assets!$AB$7),MIN(CEG_Assets!$D$7,CEG_Assets!$Z$7*MIN(1,(T$3-CEG_Assets!$AA$7+1)/MAX(1,CEG_Assets!$AC$7))),0)*T186</f>
        <v>835</v>
      </c>
      <c r="U187" s="9" t="n">
        <f aca="false">IF(AND(U$3&gt;=CEG_Assets!$AA$7,U$3&lt;=CEG_Assets!$AB$7),MIN(CEG_Assets!$D$7,CEG_Assets!$Z$7*MIN(1,(U$3-CEG_Assets!$AA$7+1)/MAX(1,CEG_Assets!$AC$7))),0)*U186</f>
        <v>835</v>
      </c>
      <c r="V187" s="9" t="n">
        <f aca="false">IF(AND(V$3&gt;=CEG_Assets!$AA$7,V$3&lt;=CEG_Assets!$AB$7),MIN(CEG_Assets!$D$7,CEG_Assets!$Z$7*MIN(1,(V$3-CEG_Assets!$AA$7+1)/MAX(1,CEG_Assets!$AC$7))),0)*V186</f>
        <v>835</v>
      </c>
      <c r="W187" s="9" t="n">
        <f aca="false">IF(AND(W$3&gt;=CEG_Assets!$AA$7,W$3&lt;=CEG_Assets!$AB$7),MIN(CEG_Assets!$D$7,CEG_Assets!$Z$7*MIN(1,(W$3-CEG_Assets!$AA$7+1)/MAX(1,CEG_Assets!$AC$7))),0)*W186</f>
        <v>835</v>
      </c>
      <c r="X187" s="9" t="n">
        <f aca="false">IF(AND(X$3&gt;=CEG_Assets!$AA$7,X$3&lt;=CEG_Assets!$AB$7),MIN(CEG_Assets!$D$7,CEG_Assets!$Z$7*MIN(1,(X$3-CEG_Assets!$AA$7+1)/MAX(1,CEG_Assets!$AC$7))),0)*X186</f>
        <v>835</v>
      </c>
      <c r="Y187" s="9" t="n">
        <f aca="false">IF(AND(Y$3&gt;=CEG_Assets!$AA$7,Y$3&lt;=CEG_Assets!$AB$7),MIN(CEG_Assets!$D$7,CEG_Assets!$Z$7*MIN(1,(Y$3-CEG_Assets!$AA$7+1)/MAX(1,CEG_Assets!$AC$7))),0)*Y186</f>
        <v>835</v>
      </c>
      <c r="Z187" s="9" t="n">
        <f aca="false">IF(AND(Z$3&gt;=CEG_Assets!$AA$7,Z$3&lt;=CEG_Assets!$AB$7),MIN(CEG_Assets!$D$7,CEG_Assets!$Z$7*MIN(1,(Z$3-CEG_Assets!$AA$7+1)/MAX(1,CEG_Assets!$AC$7))),0)*Z186</f>
        <v>835</v>
      </c>
      <c r="AA187" s="9" t="n">
        <f aca="false">IF(AND(AA$3&gt;=CEG_Assets!$AA$7,AA$3&lt;=CEG_Assets!$AB$7),MIN(CEG_Assets!$D$7,CEG_Assets!$Z$7*MIN(1,(AA$3-CEG_Assets!$AA$7+1)/MAX(1,CEG_Assets!$AC$7))),0)*AA186</f>
        <v>835</v>
      </c>
      <c r="AB187" s="9" t="n">
        <f aca="false">IF(AND(AB$3&gt;=CEG_Assets!$AA$7,AB$3&lt;=CEG_Assets!$AB$7),MIN(CEG_Assets!$D$7,CEG_Assets!$Z$7*MIN(1,(AB$3-CEG_Assets!$AA$7+1)/MAX(1,CEG_Assets!$AC$7))),0)*AB186</f>
        <v>0</v>
      </c>
      <c r="AC187" s="9" t="n">
        <f aca="false">IF(AND(AC$3&gt;=CEG_Assets!$AA$7,AC$3&lt;=CEG_Assets!$AB$7),MIN(CEG_Assets!$D$7,CEG_Assets!$Z$7*MIN(1,(AC$3-CEG_Assets!$AA$7+1)/MAX(1,CEG_Assets!$AC$7))),0)*AC186</f>
        <v>0</v>
      </c>
      <c r="AD187" s="9" t="n">
        <f aca="false">IF(AND(AD$3&gt;=CEG_Assets!$AA$7,AD$3&lt;=CEG_Assets!$AB$7),MIN(CEG_Assets!$D$7,CEG_Assets!$Z$7*MIN(1,(AD$3-CEG_Assets!$AA$7+1)/MAX(1,CEG_Assets!$AC$7))),0)*AD186</f>
        <v>0</v>
      </c>
      <c r="AE187" s="9" t="n">
        <f aca="false">IF(AND(AE$3&gt;=CEG_Assets!$AA$7,AE$3&lt;=CEG_Assets!$AB$7),MIN(CEG_Assets!$D$7,CEG_Assets!$Z$7*MIN(1,(AE$3-CEG_Assets!$AA$7+1)/MAX(1,CEG_Assets!$AC$7))),0)*AE186</f>
        <v>0</v>
      </c>
      <c r="AF187" s="9" t="n">
        <f aca="false">IF(AND(AF$3&gt;=CEG_Assets!$AA$7,AF$3&lt;=CEG_Assets!$AB$7),MIN(CEG_Assets!$D$7,CEG_Assets!$Z$7*MIN(1,(AF$3-CEG_Assets!$AA$7+1)/MAX(1,CEG_Assets!$AC$7))),0)*AF186</f>
        <v>0</v>
      </c>
      <c r="AG187" s="9" t="n">
        <f aca="false">IF(AND(AG$3&gt;=CEG_Assets!$AA$7,AG$3&lt;=CEG_Assets!$AB$7),MIN(CEG_Assets!$D$7,CEG_Assets!$Z$7*MIN(1,(AG$3-CEG_Assets!$AA$7+1)/MAX(1,CEG_Assets!$AC$7))),0)*AG186</f>
        <v>0</v>
      </c>
      <c r="AH187" s="9" t="n">
        <f aca="false">IF(AND(AH$3&gt;=CEG_Assets!$AA$7,AH$3&lt;=CEG_Assets!$AB$7),MIN(CEG_Assets!$D$7,CEG_Assets!$Z$7*MIN(1,(AH$3-CEG_Assets!$AA$7+1)/MAX(1,CEG_Assets!$AC$7))),0)*AH186</f>
        <v>0</v>
      </c>
      <c r="AI187" s="9" t="n">
        <f aca="false">IF(AND(AI$3&gt;=CEG_Assets!$AA$7,AI$3&lt;=CEG_Assets!$AB$7),MIN(CEG_Assets!$D$7,CEG_Assets!$Z$7*MIN(1,(AI$3-CEG_Assets!$AA$7+1)/MAX(1,CEG_Assets!$AC$7))),0)*AI186</f>
        <v>0</v>
      </c>
      <c r="AJ187" s="9" t="n">
        <f aca="false">IF(AND(AJ$3&gt;=CEG_Assets!$AA$7,AJ$3&lt;=CEG_Assets!$AB$7),MIN(CEG_Assets!$D$7,CEG_Assets!$Z$7*MIN(1,(AJ$3-CEG_Assets!$AA$7+1)/MAX(1,CEG_Assets!$AC$7))),0)*AJ186</f>
        <v>0</v>
      </c>
      <c r="AK187" s="9" t="n">
        <f aca="false">IF(AND(AK$3&gt;=CEG_Assets!$AA$7,AK$3&lt;=CEG_Assets!$AB$7),MIN(CEG_Assets!$D$7,CEG_Assets!$Z$7*MIN(1,(AK$3-CEG_Assets!$AA$7+1)/MAX(1,CEG_Assets!$AC$7))),0)*AK186</f>
        <v>0</v>
      </c>
      <c r="AL187" s="9" t="n">
        <f aca="false">IF(AND(AL$3&gt;=CEG_Assets!$AA$7,AL$3&lt;=CEG_Assets!$AB$7),MIN(CEG_Assets!$D$7,CEG_Assets!$Z$7*MIN(1,(AL$3-CEG_Assets!$AA$7+1)/MAX(1,CEG_Assets!$AC$7))),0)*AL186</f>
        <v>0</v>
      </c>
      <c r="AM187" s="9" t="n">
        <f aca="false">IF(AND(AM$3&gt;=CEG_Assets!$AA$7,AM$3&lt;=CEG_Assets!$AB$7),MIN(CEG_Assets!$D$7,CEG_Assets!$Z$7*MIN(1,(AM$3-CEG_Assets!$AA$7+1)/MAX(1,CEG_Assets!$AC$7))),0)*AM186</f>
        <v>0</v>
      </c>
      <c r="AN187" s="9" t="n">
        <f aca="false">IF(AND(AN$3&gt;=CEG_Assets!$AA$7,AN$3&lt;=CEG_Assets!$AB$7),MIN(CEG_Assets!$D$7,CEG_Assets!$Z$7*MIN(1,(AN$3-CEG_Assets!$AA$7+1)/MAX(1,CEG_Assets!$AC$7))),0)*AN186</f>
        <v>0</v>
      </c>
      <c r="AO187" s="9" t="n">
        <f aca="false">IF(AND(AO$3&gt;=CEG_Assets!$AA$7,AO$3&lt;=CEG_Assets!$AB$7),MIN(CEG_Assets!$D$7,CEG_Assets!$Z$7*MIN(1,(AO$3-CEG_Assets!$AA$7+1)/MAX(1,CEG_Assets!$AC$7))),0)*AO186</f>
        <v>0</v>
      </c>
      <c r="AP187" s="9" t="n">
        <f aca="false">IF(AND(AP$3&gt;=CEG_Assets!$AA$7,AP$3&lt;=CEG_Assets!$AB$7),MIN(CEG_Assets!$D$7,CEG_Assets!$Z$7*MIN(1,(AP$3-CEG_Assets!$AA$7+1)/MAX(1,CEG_Assets!$AC$7))),0)*AP186</f>
        <v>0</v>
      </c>
      <c r="AQ187" s="9" t="n">
        <f aca="false">IF(AND(AQ$3&gt;=CEG_Assets!$AA$7,AQ$3&lt;=CEG_Assets!$AB$7),MIN(CEG_Assets!$D$7,CEG_Assets!$Z$7*MIN(1,(AQ$3-CEG_Assets!$AA$7+1)/MAX(1,CEG_Assets!$AC$7))),0)*AQ186</f>
        <v>0</v>
      </c>
      <c r="AR187" s="9" t="n">
        <f aca="false">IF(AND(AR$3&gt;=CEG_Assets!$AA$7,AR$3&lt;=CEG_Assets!$AB$7),MIN(CEG_Assets!$D$7,CEG_Assets!$Z$7*MIN(1,(AR$3-CEG_Assets!$AA$7+1)/MAX(1,CEG_Assets!$AC$7))),0)*AR186</f>
        <v>0</v>
      </c>
      <c r="AS187" s="9" t="n">
        <f aca="false">IF(AND(AS$3&gt;=CEG_Assets!$AA$7,AS$3&lt;=CEG_Assets!$AB$7),MIN(CEG_Assets!$D$7,CEG_Assets!$Z$7*MIN(1,(AS$3-CEG_Assets!$AA$7+1)/MAX(1,CEG_Assets!$AC$7))),0)*AS186</f>
        <v>0</v>
      </c>
    </row>
    <row r="188" customFormat="false" ht="15" hidden="false" customHeight="false" outlineLevel="0" collapsed="false">
      <c r="A188" s="6" t="s">
        <v>429</v>
      </c>
      <c r="B188" s="6" t="s">
        <v>430</v>
      </c>
      <c r="G188" s="9" t="n">
        <f aca="false">(CEG_Assets!$D$7-G187)*8760*CEG_Assets!$I$7*G186</f>
        <v>0</v>
      </c>
      <c r="H188" s="9" t="n">
        <f aca="false">(CEG_Assets!$D$7-H187)*8760*CEG_Assets!$I$7*H186</f>
        <v>0</v>
      </c>
      <c r="I188" s="9" t="n">
        <f aca="false">(CEG_Assets!$D$7-I187)*8760*CEG_Assets!$I$7*I186</f>
        <v>0</v>
      </c>
      <c r="J188" s="9" t="n">
        <f aca="false">(CEG_Assets!$D$7-J187)*8760*CEG_Assets!$I$7*J186</f>
        <v>0</v>
      </c>
      <c r="K188" s="9" t="n">
        <f aca="false">(CEG_Assets!$D$7-K187)*8760*CEG_Assets!$I$7*K186</f>
        <v>0</v>
      </c>
      <c r="L188" s="9" t="n">
        <f aca="false">(CEG_Assets!$D$7-L187)*8760*CEG_Assets!$I$7*L186</f>
        <v>0</v>
      </c>
      <c r="M188" s="9" t="n">
        <f aca="false">(CEG_Assets!$D$7-M187)*8760*CEG_Assets!$I$7*M186</f>
        <v>0</v>
      </c>
      <c r="N188" s="9" t="n">
        <f aca="false">(CEG_Assets!$D$7-N187)*8760*CEG_Assets!$I$7*N186</f>
        <v>0</v>
      </c>
      <c r="O188" s="9" t="n">
        <f aca="false">(CEG_Assets!$D$7-O187)*8760*CEG_Assets!$I$7*O186</f>
        <v>0</v>
      </c>
      <c r="P188" s="9" t="n">
        <f aca="false">(CEG_Assets!$D$7-P187)*8760*CEG_Assets!$I$7*P186</f>
        <v>0</v>
      </c>
      <c r="Q188" s="9" t="n">
        <f aca="false">(CEG_Assets!$D$7-Q187)*8760*CEG_Assets!$I$7*Q186</f>
        <v>0</v>
      </c>
      <c r="R188" s="9" t="n">
        <f aca="false">(CEG_Assets!$D$7-R187)*8760*CEG_Assets!$I$7*R186</f>
        <v>0</v>
      </c>
      <c r="S188" s="9" t="n">
        <f aca="false">(CEG_Assets!$D$7-S187)*8760*CEG_Assets!$I$7*S186</f>
        <v>0</v>
      </c>
      <c r="T188" s="9" t="n">
        <f aca="false">(CEG_Assets!$D$7-T187)*8760*CEG_Assets!$I$7*T186</f>
        <v>0</v>
      </c>
      <c r="U188" s="9" t="n">
        <f aca="false">(CEG_Assets!$D$7-U187)*8760*CEG_Assets!$I$7*U186</f>
        <v>0</v>
      </c>
      <c r="V188" s="9" t="n">
        <f aca="false">(CEG_Assets!$D$7-V187)*8760*CEG_Assets!$I$7*V186</f>
        <v>0</v>
      </c>
      <c r="W188" s="9" t="n">
        <f aca="false">(CEG_Assets!$D$7-W187)*8760*CEG_Assets!$I$7*W186</f>
        <v>0</v>
      </c>
      <c r="X188" s="9" t="n">
        <f aca="false">(CEG_Assets!$D$7-X187)*8760*CEG_Assets!$I$7*X186</f>
        <v>0</v>
      </c>
      <c r="Y188" s="9" t="n">
        <f aca="false">(CEG_Assets!$D$7-Y187)*8760*CEG_Assets!$I$7*Y186</f>
        <v>0</v>
      </c>
      <c r="Z188" s="9" t="n">
        <f aca="false">(CEG_Assets!$D$7-Z187)*8760*CEG_Assets!$I$7*Z186</f>
        <v>0</v>
      </c>
      <c r="AA188" s="9" t="n">
        <f aca="false">(CEG_Assets!$D$7-AA187)*8760*CEG_Assets!$I$7*AA186</f>
        <v>0</v>
      </c>
      <c r="AB188" s="9" t="n">
        <f aca="false">(CEG_Assets!$D$7-AB187)*8760*CEG_Assets!$I$7*AB186</f>
        <v>6839151</v>
      </c>
      <c r="AC188" s="9" t="n">
        <f aca="false">(CEG_Assets!$D$7-AC187)*8760*CEG_Assets!$I$7*AC186</f>
        <v>6839151</v>
      </c>
      <c r="AD188" s="9" t="n">
        <f aca="false">(CEG_Assets!$D$7-AD187)*8760*CEG_Assets!$I$7*AD186</f>
        <v>6839151</v>
      </c>
      <c r="AE188" s="9" t="n">
        <f aca="false">(CEG_Assets!$D$7-AE187)*8760*CEG_Assets!$I$7*AE186</f>
        <v>6839151</v>
      </c>
      <c r="AF188" s="9" t="n">
        <f aca="false">(CEG_Assets!$D$7-AF187)*8760*CEG_Assets!$I$7*AF186</f>
        <v>6839151</v>
      </c>
      <c r="AG188" s="9" t="n">
        <f aca="false">(CEG_Assets!$D$7-AG187)*8760*CEG_Assets!$I$7*AG186</f>
        <v>6839151</v>
      </c>
      <c r="AH188" s="9" t="n">
        <f aca="false">(CEG_Assets!$D$7-AH187)*8760*CEG_Assets!$I$7*AH186</f>
        <v>6839151</v>
      </c>
      <c r="AI188" s="9" t="n">
        <f aca="false">(CEG_Assets!$D$7-AI187)*8760*CEG_Assets!$I$7*AI186</f>
        <v>0</v>
      </c>
      <c r="AJ188" s="9" t="n">
        <f aca="false">(CEG_Assets!$D$7-AJ187)*8760*CEG_Assets!$I$7*AJ186</f>
        <v>0</v>
      </c>
      <c r="AK188" s="9" t="n">
        <f aca="false">(CEG_Assets!$D$7-AK187)*8760*CEG_Assets!$I$7*AK186</f>
        <v>0</v>
      </c>
      <c r="AL188" s="9" t="n">
        <f aca="false">(CEG_Assets!$D$7-AL187)*8760*CEG_Assets!$I$7*AL186</f>
        <v>0</v>
      </c>
      <c r="AM188" s="9" t="n">
        <f aca="false">(CEG_Assets!$D$7-AM187)*8760*CEG_Assets!$I$7*AM186</f>
        <v>0</v>
      </c>
      <c r="AN188" s="9" t="n">
        <f aca="false">(CEG_Assets!$D$7-AN187)*8760*CEG_Assets!$I$7*AN186</f>
        <v>0</v>
      </c>
      <c r="AO188" s="9" t="n">
        <f aca="false">(CEG_Assets!$D$7-AO187)*8760*CEG_Assets!$I$7*AO186</f>
        <v>0</v>
      </c>
      <c r="AP188" s="9" t="n">
        <f aca="false">(CEG_Assets!$D$7-AP187)*8760*CEG_Assets!$I$7*AP186</f>
        <v>0</v>
      </c>
      <c r="AQ188" s="9" t="n">
        <f aca="false">(CEG_Assets!$D$7-AQ187)*8760*CEG_Assets!$I$7*AQ186</f>
        <v>0</v>
      </c>
      <c r="AR188" s="9" t="n">
        <f aca="false">(CEG_Assets!$D$7-AR187)*8760*CEG_Assets!$I$7*AR186</f>
        <v>0</v>
      </c>
      <c r="AS188" s="9" t="n">
        <f aca="false">(CEG_Assets!$D$7-AS187)*8760*CEG_Assets!$I$7*AS186</f>
        <v>0</v>
      </c>
    </row>
    <row r="189" customFormat="false" ht="15" hidden="false" customHeight="false" outlineLevel="0" collapsed="false">
      <c r="A189" s="6" t="s">
        <v>431</v>
      </c>
      <c r="B189" s="6" t="s">
        <v>432</v>
      </c>
      <c r="G189" s="9" t="n">
        <f aca="false">G187*8760*CEG_Assets!$I$7*G186</f>
        <v>0</v>
      </c>
      <c r="H189" s="9" t="n">
        <f aca="false">H187*8760*CEG_Assets!$I$7*H186</f>
        <v>6839151</v>
      </c>
      <c r="I189" s="9" t="n">
        <f aca="false">I187*8760*CEG_Assets!$I$7*I186</f>
        <v>6839151</v>
      </c>
      <c r="J189" s="9" t="n">
        <f aca="false">J187*8760*CEG_Assets!$I$7*J186</f>
        <v>6839151</v>
      </c>
      <c r="K189" s="9" t="n">
        <f aca="false">K187*8760*CEG_Assets!$I$7*K186</f>
        <v>6839151</v>
      </c>
      <c r="L189" s="9" t="n">
        <f aca="false">L187*8760*CEG_Assets!$I$7*L186</f>
        <v>6839151</v>
      </c>
      <c r="M189" s="9" t="n">
        <f aca="false">M187*8760*CEG_Assets!$I$7*M186</f>
        <v>6839151</v>
      </c>
      <c r="N189" s="9" t="n">
        <f aca="false">N187*8760*CEG_Assets!$I$7*N186</f>
        <v>6839151</v>
      </c>
      <c r="O189" s="9" t="n">
        <f aca="false">O187*8760*CEG_Assets!$I$7*O186</f>
        <v>6839151</v>
      </c>
      <c r="P189" s="9" t="n">
        <f aca="false">P187*8760*CEG_Assets!$I$7*P186</f>
        <v>6839151</v>
      </c>
      <c r="Q189" s="9" t="n">
        <f aca="false">Q187*8760*CEG_Assets!$I$7*Q186</f>
        <v>6839151</v>
      </c>
      <c r="R189" s="9" t="n">
        <f aca="false">R187*8760*CEG_Assets!$I$7*R186</f>
        <v>6839151</v>
      </c>
      <c r="S189" s="9" t="n">
        <f aca="false">S187*8760*CEG_Assets!$I$7*S186</f>
        <v>6839151</v>
      </c>
      <c r="T189" s="9" t="n">
        <f aca="false">T187*8760*CEG_Assets!$I$7*T186</f>
        <v>6839151</v>
      </c>
      <c r="U189" s="9" t="n">
        <f aca="false">U187*8760*CEG_Assets!$I$7*U186</f>
        <v>6839151</v>
      </c>
      <c r="V189" s="9" t="n">
        <f aca="false">V187*8760*CEG_Assets!$I$7*V186</f>
        <v>6839151</v>
      </c>
      <c r="W189" s="9" t="n">
        <f aca="false">W187*8760*CEG_Assets!$I$7*W186</f>
        <v>6839151</v>
      </c>
      <c r="X189" s="9" t="n">
        <f aca="false">X187*8760*CEG_Assets!$I$7*X186</f>
        <v>6839151</v>
      </c>
      <c r="Y189" s="9" t="n">
        <f aca="false">Y187*8760*CEG_Assets!$I$7*Y186</f>
        <v>6839151</v>
      </c>
      <c r="Z189" s="9" t="n">
        <f aca="false">Z187*8760*CEG_Assets!$I$7*Z186</f>
        <v>6839151</v>
      </c>
      <c r="AA189" s="9" t="n">
        <f aca="false">AA187*8760*CEG_Assets!$I$7*AA186</f>
        <v>6839151</v>
      </c>
      <c r="AB189" s="9" t="n">
        <f aca="false">AB187*8760*CEG_Assets!$I$7*AB186</f>
        <v>0</v>
      </c>
      <c r="AC189" s="9" t="n">
        <f aca="false">AC187*8760*CEG_Assets!$I$7*AC186</f>
        <v>0</v>
      </c>
      <c r="AD189" s="9" t="n">
        <f aca="false">AD187*8760*CEG_Assets!$I$7*AD186</f>
        <v>0</v>
      </c>
      <c r="AE189" s="9" t="n">
        <f aca="false">AE187*8760*CEG_Assets!$I$7*AE186</f>
        <v>0</v>
      </c>
      <c r="AF189" s="9" t="n">
        <f aca="false">AF187*8760*CEG_Assets!$I$7*AF186</f>
        <v>0</v>
      </c>
      <c r="AG189" s="9" t="n">
        <f aca="false">AG187*8760*CEG_Assets!$I$7*AG186</f>
        <v>0</v>
      </c>
      <c r="AH189" s="9" t="n">
        <f aca="false">AH187*8760*CEG_Assets!$I$7*AH186</f>
        <v>0</v>
      </c>
      <c r="AI189" s="9" t="n">
        <f aca="false">AI187*8760*CEG_Assets!$I$7*AI186</f>
        <v>0</v>
      </c>
      <c r="AJ189" s="9" t="n">
        <f aca="false">AJ187*8760*CEG_Assets!$I$7*AJ186</f>
        <v>0</v>
      </c>
      <c r="AK189" s="9" t="n">
        <f aca="false">AK187*8760*CEG_Assets!$I$7*AK186</f>
        <v>0</v>
      </c>
      <c r="AL189" s="9" t="n">
        <f aca="false">AL187*8760*CEG_Assets!$I$7*AL186</f>
        <v>0</v>
      </c>
      <c r="AM189" s="9" t="n">
        <f aca="false">AM187*8760*CEG_Assets!$I$7*AM186</f>
        <v>0</v>
      </c>
      <c r="AN189" s="9" t="n">
        <f aca="false">AN187*8760*CEG_Assets!$I$7*AN186</f>
        <v>0</v>
      </c>
      <c r="AO189" s="9" t="n">
        <f aca="false">AO187*8760*CEG_Assets!$I$7*AO186</f>
        <v>0</v>
      </c>
      <c r="AP189" s="9" t="n">
        <f aca="false">AP187*8760*CEG_Assets!$I$7*AP186</f>
        <v>0</v>
      </c>
      <c r="AQ189" s="9" t="n">
        <f aca="false">AQ187*8760*CEG_Assets!$I$7*AQ186</f>
        <v>0</v>
      </c>
      <c r="AR189" s="9" t="n">
        <f aca="false">AR187*8760*CEG_Assets!$I$7*AR186</f>
        <v>0</v>
      </c>
      <c r="AS189" s="9" t="n">
        <f aca="false">AS187*8760*CEG_Assets!$I$7*AS186</f>
        <v>0</v>
      </c>
    </row>
    <row r="190" customFormat="false" ht="15" hidden="false" customHeight="false" outlineLevel="0" collapsed="false">
      <c r="A190" s="6" t="s">
        <v>433</v>
      </c>
      <c r="B190" s="6" t="s">
        <v>434</v>
      </c>
      <c r="G190" s="7" t="n">
        <f aca="false">IF(ISNUMBER(CEG_Assets!$L$7),CEG_Assets!$L$7*G$4,INDEX(Prices!G:G,CEG_Assets!$AO$7)+FuelAdder*G$4)</f>
        <v>3.927</v>
      </c>
      <c r="H190" s="7" t="n">
        <f aca="false">IF(ISNUMBER(CEG_Assets!$L$7),CEG_Assets!$L$7*H$4,INDEX(Prices!H:H,CEG_Assets!$AO$7)+FuelAdder*H$4)</f>
        <v>4.00554</v>
      </c>
      <c r="I190" s="7" t="n">
        <f aca="false">IF(ISNUMBER(CEG_Assets!$L$7),CEG_Assets!$L$7*I$4,INDEX(Prices!I:I,CEG_Assets!$AO$7)+FuelAdder*I$4)</f>
        <v>4.1917716</v>
      </c>
      <c r="J190" s="7" t="n">
        <f aca="false">IF(ISNUMBER(CEG_Assets!$L$7),CEG_Assets!$L$7*J$4,INDEX(Prices!J:J,CEG_Assets!$AO$7)+FuelAdder*J$4)</f>
        <v>4.275607032</v>
      </c>
      <c r="K190" s="7" t="n">
        <f aca="false">IF(ISNUMBER(CEG_Assets!$L$7),CEG_Assets!$L$7*K$4,INDEX(Prices!K:K,CEG_Assets!$AO$7)+FuelAdder*K$4)</f>
        <v>4.36111917264</v>
      </c>
      <c r="L190" s="7" t="n">
        <f aca="false">IF(ISNUMBER(CEG_Assets!$L$7),CEG_Assets!$L$7*L$4,INDEX(Prices!L:L,CEG_Assets!$AO$7)+FuelAdder*L$4)</f>
        <v>4.4483415560928</v>
      </c>
      <c r="M190" s="7" t="n">
        <f aca="false">IF(ISNUMBER(CEG_Assets!$L$7),CEG_Assets!$L$7*M$4,INDEX(Prices!M:M,CEG_Assets!$AO$7)+FuelAdder*M$4)</f>
        <v>4.53730838721466</v>
      </c>
      <c r="N190" s="7" t="n">
        <f aca="false">IF(ISNUMBER(CEG_Assets!$L$7),CEG_Assets!$L$7*N$4,INDEX(Prices!N:N,CEG_Assets!$AO$7)+FuelAdder*N$4)</f>
        <v>4.62805455495895</v>
      </c>
      <c r="O190" s="7" t="n">
        <f aca="false">IF(ISNUMBER(CEG_Assets!$L$7),CEG_Assets!$L$7*O$4,INDEX(Prices!O:O,CEG_Assets!$AO$7)+FuelAdder*O$4)</f>
        <v>4.72061564605813</v>
      </c>
      <c r="P190" s="7" t="n">
        <f aca="false">IF(ISNUMBER(CEG_Assets!$L$7),CEG_Assets!$L$7*P$4,INDEX(Prices!P:P,CEG_Assets!$AO$7)+FuelAdder*P$4)</f>
        <v>4.81502795897929</v>
      </c>
      <c r="Q190" s="7" t="n">
        <f aca="false">IF(ISNUMBER(CEG_Assets!$L$7),CEG_Assets!$L$7*Q$4,INDEX(Prices!Q:Q,CEG_Assets!$AO$7)+FuelAdder*Q$4)</f>
        <v>4.91132851815888</v>
      </c>
      <c r="R190" s="7" t="n">
        <f aca="false">IF(ISNUMBER(CEG_Assets!$L$7),CEG_Assets!$L$7*R$4,INDEX(Prices!R:R,CEG_Assets!$AO$7)+FuelAdder*R$4)</f>
        <v>5.00955508852206</v>
      </c>
      <c r="S190" s="7" t="n">
        <f aca="false">IF(ISNUMBER(CEG_Assets!$L$7),CEG_Assets!$L$7*S$4,INDEX(Prices!S:S,CEG_Assets!$AO$7)+FuelAdder*S$4)</f>
        <v>5.1097461902925</v>
      </c>
      <c r="T190" s="7" t="n">
        <f aca="false">IF(ISNUMBER(CEG_Assets!$L$7),CEG_Assets!$L$7*T$4,INDEX(Prices!T:T,CEG_Assets!$AO$7)+FuelAdder*T$4)</f>
        <v>5.21194111409835</v>
      </c>
      <c r="U190" s="7" t="n">
        <f aca="false">IF(ISNUMBER(CEG_Assets!$L$7),CEG_Assets!$L$7*U$4,INDEX(Prices!U:U,CEG_Assets!$AO$7)+FuelAdder*U$4)</f>
        <v>5.31617993638031</v>
      </c>
      <c r="V190" s="7" t="n">
        <f aca="false">IF(ISNUMBER(CEG_Assets!$L$7),CEG_Assets!$L$7*V$4,INDEX(Prices!V:V,CEG_Assets!$AO$7)+FuelAdder*V$4)</f>
        <v>5.42250353510792</v>
      </c>
      <c r="W190" s="7" t="n">
        <f aca="false">IF(ISNUMBER(CEG_Assets!$L$7),CEG_Assets!$L$7*W$4,INDEX(Prices!W:W,CEG_Assets!$AO$7)+FuelAdder*W$4)</f>
        <v>5.53095360581008</v>
      </c>
      <c r="X190" s="7" t="n">
        <f aca="false">IF(ISNUMBER(CEG_Assets!$L$7),CEG_Assets!$L$7*X$4,INDEX(Prices!X:X,CEG_Assets!$AO$7)+FuelAdder*X$4)</f>
        <v>5.64157267792628</v>
      </c>
      <c r="Y190" s="7" t="n">
        <f aca="false">IF(ISNUMBER(CEG_Assets!$L$7),CEG_Assets!$L$7*Y$4,INDEX(Prices!Y:Y,CEG_Assets!$AO$7)+FuelAdder*Y$4)</f>
        <v>5.75440413148481</v>
      </c>
      <c r="Z190" s="7" t="n">
        <f aca="false">IF(ISNUMBER(CEG_Assets!$L$7),CEG_Assets!$L$7*Z$4,INDEX(Prices!Z:Z,CEG_Assets!$AO$7)+FuelAdder*Z$4)</f>
        <v>5.8694922141145</v>
      </c>
      <c r="AA190" s="7" t="n">
        <f aca="false">IF(ISNUMBER(CEG_Assets!$L$7),CEG_Assets!$L$7*AA$4,INDEX(Prices!AA:AA,CEG_Assets!$AO$7)+FuelAdder*AA$4)</f>
        <v>5.98688205839679</v>
      </c>
      <c r="AB190" s="7" t="n">
        <f aca="false">IF(ISNUMBER(CEG_Assets!$L$7),CEG_Assets!$L$7*AB$4,INDEX(Prices!AB:AB,CEG_Assets!$AO$7)+FuelAdder*AB$4)</f>
        <v>6.10661969956473</v>
      </c>
      <c r="AC190" s="7" t="n">
        <f aca="false">IF(ISNUMBER(CEG_Assets!$L$7),CEG_Assets!$L$7*AC$4,INDEX(Prices!AC:AC,CEG_Assets!$AO$7)+FuelAdder*AC$4)</f>
        <v>6.22875209355602</v>
      </c>
      <c r="AD190" s="7" t="n">
        <f aca="false">IF(ISNUMBER(CEG_Assets!$L$7),CEG_Assets!$L$7*AD$4,INDEX(Prices!AD:AD,CEG_Assets!$AO$7)+FuelAdder*AD$4)</f>
        <v>6.35332713542714</v>
      </c>
      <c r="AE190" s="7" t="n">
        <f aca="false">IF(ISNUMBER(CEG_Assets!$L$7),CEG_Assets!$L$7*AE$4,INDEX(Prices!AE:AE,CEG_Assets!$AO$7)+FuelAdder*AE$4)</f>
        <v>6.48039367813569</v>
      </c>
      <c r="AF190" s="7" t="n">
        <f aca="false">IF(ISNUMBER(CEG_Assets!$L$7),CEG_Assets!$L$7*AF$4,INDEX(Prices!AF:AF,CEG_Assets!$AO$7)+FuelAdder*AF$4)</f>
        <v>6.6100015516984</v>
      </c>
      <c r="AG190" s="7" t="n">
        <f aca="false">IF(ISNUMBER(CEG_Assets!$L$7),CEG_Assets!$L$7*AG$4,INDEX(Prices!AG:AG,CEG_Assets!$AO$7)+FuelAdder*AG$4)</f>
        <v>6.74220158273237</v>
      </c>
      <c r="AH190" s="7" t="n">
        <f aca="false">IF(ISNUMBER(CEG_Assets!$L$7),CEG_Assets!$L$7*AH$4,INDEX(Prices!AH:AH,CEG_Assets!$AO$7)+FuelAdder*AH$4)</f>
        <v>6.87704561438702</v>
      </c>
      <c r="AI190" s="7" t="n">
        <f aca="false">IF(ISNUMBER(CEG_Assets!$L$7),CEG_Assets!$L$7*AI$4,INDEX(Prices!AI:AI,CEG_Assets!$AO$7)+FuelAdder*AI$4)</f>
        <v>7.01458652667476</v>
      </c>
      <c r="AJ190" s="7" t="n">
        <f aca="false">IF(ISNUMBER(CEG_Assets!$L$7),CEG_Assets!$L$7*AJ$4,INDEX(Prices!AJ:AJ,CEG_Assets!$AO$7)+FuelAdder*AJ$4)</f>
        <v>7.15487825720825</v>
      </c>
      <c r="AK190" s="7" t="n">
        <f aca="false">IF(ISNUMBER(CEG_Assets!$L$7),CEG_Assets!$L$7*AK$4,INDEX(Prices!AK:AK,CEG_Assets!$AO$7)+FuelAdder*AK$4)</f>
        <v>7.29797582235242</v>
      </c>
      <c r="AL190" s="7" t="n">
        <f aca="false">IF(ISNUMBER(CEG_Assets!$L$7),CEG_Assets!$L$7*AL$4,INDEX(Prices!AL:AL,CEG_Assets!$AO$7)+FuelAdder*AL$4)</f>
        <v>7.44393533879947</v>
      </c>
      <c r="AM190" s="7" t="n">
        <f aca="false">IF(ISNUMBER(CEG_Assets!$L$7),CEG_Assets!$L$7*AM$4,INDEX(Prices!AM:AM,CEG_Assets!$AO$7)+FuelAdder*AM$4)</f>
        <v>7.59281404557545</v>
      </c>
      <c r="AN190" s="7" t="n">
        <f aca="false">IF(ISNUMBER(CEG_Assets!$L$7),CEG_Assets!$L$7*AN$4,INDEX(Prices!AN:AN,CEG_Assets!$AO$7)+FuelAdder*AN$4)</f>
        <v>7.74467032648696</v>
      </c>
      <c r="AO190" s="7" t="n">
        <f aca="false">IF(ISNUMBER(CEG_Assets!$L$7),CEG_Assets!$L$7*AO$4,INDEX(Prices!AO:AO,CEG_Assets!$AO$7)+FuelAdder*AO$4)</f>
        <v>7.8995637330167</v>
      </c>
      <c r="AP190" s="7" t="n">
        <f aca="false">IF(ISNUMBER(CEG_Assets!$L$7),CEG_Assets!$L$7*AP$4,INDEX(Prices!AP:AP,CEG_Assets!$AO$7)+FuelAdder*AP$4)</f>
        <v>8.05755500767704</v>
      </c>
      <c r="AQ190" s="7" t="n">
        <f aca="false">IF(ISNUMBER(CEG_Assets!$L$7),CEG_Assets!$L$7*AQ$4,INDEX(Prices!AQ:AQ,CEG_Assets!$AO$7)+FuelAdder*AQ$4)</f>
        <v>8.21870610783058</v>
      </c>
      <c r="AR190" s="7" t="n">
        <f aca="false">IF(ISNUMBER(CEG_Assets!$L$7),CEG_Assets!$L$7*AR$4,INDEX(Prices!AR:AR,CEG_Assets!$AO$7)+FuelAdder*AR$4)</f>
        <v>8.38308022998719</v>
      </c>
      <c r="AS190" s="7" t="n">
        <f aca="false">IF(ISNUMBER(CEG_Assets!$L$7),CEG_Assets!$L$7*AS$4,INDEX(Prices!AS:AS,CEG_Assets!$AO$7)+FuelAdder*AS$4)</f>
        <v>8.55074183458693</v>
      </c>
    </row>
    <row r="191" customFormat="false" ht="15" hidden="false" customHeight="false" outlineLevel="0" collapsed="false">
      <c r="A191" s="6" t="s">
        <v>435</v>
      </c>
      <c r="B191" s="6" t="s">
        <v>436</v>
      </c>
      <c r="G191" s="7" t="n">
        <f aca="false">INDEX(Prices!G:G,CEG_Assets!$AN$7)*CEG_Assets!$J$7-CEG_Assets!$K$7*G190-CEG_Assets!$M$7*G$4</f>
        <v>71.28</v>
      </c>
      <c r="H191" s="7" t="n">
        <f aca="false">INDEX(Prices!H:H,CEG_Assets!$AN$7)*CEG_Assets!$J$7-CEG_Assets!$K$7*H190-CEG_Assets!$M$7*H$4</f>
        <v>72.27</v>
      </c>
      <c r="I191" s="7" t="n">
        <f aca="false">INDEX(Prices!I:I,CEG_Assets!$AN$7)*CEG_Assets!$J$7-CEG_Assets!$K$7*I190-CEG_Assets!$M$7*I$4</f>
        <v>66.286069641</v>
      </c>
      <c r="J191" s="7" t="n">
        <f aca="false">INDEX(Prices!J:J,CEG_Assets!$AN$7)*CEG_Assets!$J$7-CEG_Assets!$K$7*J190-CEG_Assets!$M$7*J$4</f>
        <v>64.53758206764</v>
      </c>
      <c r="K191" s="7" t="n">
        <f aca="false">INDEX(Prices!K:K,CEG_Assets!$AN$7)*CEG_Assets!$J$7-CEG_Assets!$K$7*K190-CEG_Assets!$M$7*K$4</f>
        <v>65.8283337089928</v>
      </c>
      <c r="L191" s="7" t="n">
        <f aca="false">INDEX(Prices!L:L,CEG_Assets!$AN$7)*CEG_Assets!$J$7-CEG_Assets!$K$7*L190-CEG_Assets!$M$7*L$4</f>
        <v>67.1449003831727</v>
      </c>
      <c r="M191" s="7" t="n">
        <f aca="false">INDEX(Prices!M:M,CEG_Assets!$AN$7)*CEG_Assets!$J$7-CEG_Assets!$K$7*M190-CEG_Assets!$M$7*M$4</f>
        <v>68.4877983908361</v>
      </c>
      <c r="N191" s="7" t="n">
        <f aca="false">INDEX(Prices!N:N,CEG_Assets!$AN$7)*CEG_Assets!$J$7-CEG_Assets!$K$7*N190-CEG_Assets!$M$7*N$4</f>
        <v>69.8575543586528</v>
      </c>
      <c r="O191" s="7" t="n">
        <f aca="false">INDEX(Prices!O:O,CEG_Assets!$AN$7)*CEG_Assets!$J$7-CEG_Assets!$K$7*O190-CEG_Assets!$M$7*O$4</f>
        <v>71.2547054458259</v>
      </c>
      <c r="P191" s="7" t="n">
        <f aca="false">INDEX(Prices!P:P,CEG_Assets!$AN$7)*CEG_Assets!$J$7-CEG_Assets!$K$7*P190-CEG_Assets!$M$7*P$4</f>
        <v>72.6797995547424</v>
      </c>
      <c r="Q191" s="7" t="n">
        <f aca="false">INDEX(Prices!Q:Q,CEG_Assets!$AN$7)*CEG_Assets!$J$7-CEG_Assets!$K$7*Q190-CEG_Assets!$M$7*Q$4</f>
        <v>74.1333955458373</v>
      </c>
      <c r="R191" s="7" t="n">
        <f aca="false">INDEX(Prices!R:R,CEG_Assets!$AN$7)*CEG_Assets!$J$7-CEG_Assets!$K$7*R190-CEG_Assets!$M$7*R$4</f>
        <v>75.616063456754</v>
      </c>
      <c r="S191" s="7" t="n">
        <f aca="false">INDEX(Prices!S:S,CEG_Assets!$AN$7)*CEG_Assets!$J$7-CEG_Assets!$K$7*S190-CEG_Assets!$M$7*S$4</f>
        <v>77.1283847258891</v>
      </c>
      <c r="T191" s="7" t="n">
        <f aca="false">INDEX(Prices!T:T,CEG_Assets!$AN$7)*CEG_Assets!$J$7-CEG_Assets!$K$7*T190-CEG_Assets!$M$7*T$4</f>
        <v>78.6709524204069</v>
      </c>
      <c r="U191" s="7" t="n">
        <f aca="false">INDEX(Prices!U:U,CEG_Assets!$AN$7)*CEG_Assets!$J$7-CEG_Assets!$K$7*U190-CEG_Assets!$M$7*U$4</f>
        <v>80.244371468815</v>
      </c>
      <c r="V191" s="7" t="n">
        <f aca="false">INDEX(Prices!V:V,CEG_Assets!$AN$7)*CEG_Assets!$J$7-CEG_Assets!$K$7*V190-CEG_Assets!$M$7*V$4</f>
        <v>81.8492588981913</v>
      </c>
      <c r="W191" s="7" t="n">
        <f aca="false">INDEX(Prices!W:W,CEG_Assets!$AN$7)*CEG_Assets!$J$7-CEG_Assets!$K$7*W190-CEG_Assets!$M$7*W$4</f>
        <v>83.4862440761552</v>
      </c>
      <c r="X191" s="7" t="n">
        <f aca="false">INDEX(Prices!X:X,CEG_Assets!$AN$7)*CEG_Assets!$J$7-CEG_Assets!$K$7*X190-CEG_Assets!$M$7*X$4</f>
        <v>85.1559689576783</v>
      </c>
      <c r="Y191" s="7" t="n">
        <f aca="false">INDEX(Prices!Y:Y,CEG_Assets!$AN$7)*CEG_Assets!$J$7-CEG_Assets!$K$7*Y190-CEG_Assets!$M$7*Y$4</f>
        <v>86.8590883368318</v>
      </c>
      <c r="Z191" s="7" t="n">
        <f aca="false">INDEX(Prices!Z:Z,CEG_Assets!$AN$7)*CEG_Assets!$J$7-CEG_Assets!$K$7*Z190-CEG_Assets!$M$7*Z$4</f>
        <v>88.5962701035685</v>
      </c>
      <c r="AA191" s="7" t="n">
        <f aca="false">INDEX(Prices!AA:AA,CEG_Assets!$AN$7)*CEG_Assets!$J$7-CEG_Assets!$K$7*AA190-CEG_Assets!$M$7*AA$4</f>
        <v>90.3681955056398</v>
      </c>
      <c r="AB191" s="7" t="n">
        <f aca="false">INDEX(Prices!AB:AB,CEG_Assets!$AN$7)*CEG_Assets!$J$7-CEG_Assets!$K$7*AB190-CEG_Assets!$M$7*AB$4</f>
        <v>92.1755594157526</v>
      </c>
      <c r="AC191" s="7" t="n">
        <f aca="false">INDEX(Prices!AC:AC,CEG_Assets!$AN$7)*CEG_Assets!$J$7-CEG_Assets!$K$7*AC190-CEG_Assets!$M$7*AC$4</f>
        <v>94.0190706040677</v>
      </c>
      <c r="AD191" s="7" t="n">
        <f aca="false">INDEX(Prices!AD:AD,CEG_Assets!$AN$7)*CEG_Assets!$J$7-CEG_Assets!$K$7*AD190-CEG_Assets!$M$7*AD$4</f>
        <v>95.899452016149</v>
      </c>
      <c r="AE191" s="7" t="n">
        <f aca="false">INDEX(Prices!AE:AE,CEG_Assets!$AN$7)*CEG_Assets!$J$7-CEG_Assets!$K$7*AE190-CEG_Assets!$M$7*AE$4</f>
        <v>97.817441056472</v>
      </c>
      <c r="AF191" s="7" t="n">
        <f aca="false">INDEX(Prices!AF:AF,CEG_Assets!$AN$7)*CEG_Assets!$J$7-CEG_Assets!$K$7*AF190-CEG_Assets!$M$7*AF$4</f>
        <v>99.7737898776015</v>
      </c>
      <c r="AG191" s="7" t="n">
        <f aca="false">INDEX(Prices!AG:AG,CEG_Assets!$AN$7)*CEG_Assets!$J$7-CEG_Assets!$K$7*AG190-CEG_Assets!$M$7*AG$4</f>
        <v>101.769265675153</v>
      </c>
      <c r="AH191" s="7" t="n">
        <f aca="false">INDEX(Prices!AH:AH,CEG_Assets!$AN$7)*CEG_Assets!$J$7-CEG_Assets!$K$7*AH190-CEG_Assets!$M$7*AH$4</f>
        <v>103.804650988657</v>
      </c>
      <c r="AI191" s="7" t="n">
        <f aca="false">INDEX(Prices!AI:AI,CEG_Assets!$AN$7)*CEG_Assets!$J$7-CEG_Assets!$K$7*AI190-CEG_Assets!$M$7*AI$4</f>
        <v>105.88074400843</v>
      </c>
      <c r="AJ191" s="7" t="n">
        <f aca="false">INDEX(Prices!AJ:AJ,CEG_Assets!$AN$7)*CEG_Assets!$J$7-CEG_Assets!$K$7*AJ190-CEG_Assets!$M$7*AJ$4</f>
        <v>107.998358888598</v>
      </c>
      <c r="AK191" s="7" t="n">
        <f aca="false">INDEX(Prices!AK:AK,CEG_Assets!$AN$7)*CEG_Assets!$J$7-CEG_Assets!$K$7*AK190-CEG_Assets!$M$7*AK$4</f>
        <v>110.15832606637</v>
      </c>
      <c r="AL191" s="7" t="n">
        <f aca="false">INDEX(Prices!AL:AL,CEG_Assets!$AN$7)*CEG_Assets!$J$7-CEG_Assets!$K$7*AL190-CEG_Assets!$M$7*AL$4</f>
        <v>112.361492587698</v>
      </c>
      <c r="AM191" s="7" t="n">
        <f aca="false">INDEX(Prices!AM:AM,CEG_Assets!$AN$7)*CEG_Assets!$J$7-CEG_Assets!$K$7*AM190-CEG_Assets!$M$7*AM$4</f>
        <v>114.608722439452</v>
      </c>
      <c r="AN191" s="7" t="n">
        <f aca="false">INDEX(Prices!AN:AN,CEG_Assets!$AN$7)*CEG_Assets!$J$7-CEG_Assets!$K$7*AN190-CEG_Assets!$M$7*AN$4</f>
        <v>116.900896888241</v>
      </c>
      <c r="AO191" s="7" t="n">
        <f aca="false">INDEX(Prices!AO:AO,CEG_Assets!$AN$7)*CEG_Assets!$J$7-CEG_Assets!$K$7*AO190-CEG_Assets!$M$7*AO$4</f>
        <v>119.238914826005</v>
      </c>
      <c r="AP191" s="7" t="n">
        <f aca="false">INDEX(Prices!AP:AP,CEG_Assets!$AN$7)*CEG_Assets!$J$7-CEG_Assets!$K$7*AP190-CEG_Assets!$M$7*AP$4</f>
        <v>121.623693122526</v>
      </c>
      <c r="AQ191" s="7" t="n">
        <f aca="false">INDEX(Prices!AQ:AQ,CEG_Assets!$AN$7)*CEG_Assets!$J$7-CEG_Assets!$K$7*AQ190-CEG_Assets!$M$7*AQ$4</f>
        <v>124.056166984976</v>
      </c>
      <c r="AR191" s="7" t="n">
        <f aca="false">INDEX(Prices!AR:AR,CEG_Assets!$AN$7)*CEG_Assets!$J$7-CEG_Assets!$K$7*AR190-CEG_Assets!$M$7*AR$4</f>
        <v>126.537290324676</v>
      </c>
      <c r="AS191" s="7" t="n">
        <f aca="false">INDEX(Prices!AS:AS,CEG_Assets!$AN$7)*CEG_Assets!$J$7-CEG_Assets!$K$7*AS190-CEG_Assets!$M$7*AS$4</f>
        <v>129.068036131169</v>
      </c>
    </row>
    <row r="192" customFormat="false" ht="15" hidden="false" customHeight="false" outlineLevel="0" collapsed="false">
      <c r="A192" s="6" t="s">
        <v>437</v>
      </c>
      <c r="B192" s="6" t="s">
        <v>438</v>
      </c>
      <c r="G192" s="47" t="n">
        <f aca="false">IF(CEG_Assets!$X$7=1,IF(G191&gt;0,1,0),1)</f>
        <v>1</v>
      </c>
      <c r="H192" s="47" t="n">
        <f aca="false">IF(CEG_Assets!$X$7=1,IF(H191&gt;0,1,0),1)</f>
        <v>1</v>
      </c>
      <c r="I192" s="47" t="n">
        <f aca="false">IF(CEG_Assets!$X$7=1,IF(I191&gt;0,1,0),1)</f>
        <v>1</v>
      </c>
      <c r="J192" s="47" t="n">
        <f aca="false">IF(CEG_Assets!$X$7=1,IF(J191&gt;0,1,0),1)</f>
        <v>1</v>
      </c>
      <c r="K192" s="47" t="n">
        <f aca="false">IF(CEG_Assets!$X$7=1,IF(K191&gt;0,1,0),1)</f>
        <v>1</v>
      </c>
      <c r="L192" s="47" t="n">
        <f aca="false">IF(CEG_Assets!$X$7=1,IF(L191&gt;0,1,0),1)</f>
        <v>1</v>
      </c>
      <c r="M192" s="47" t="n">
        <f aca="false">IF(CEG_Assets!$X$7=1,IF(M191&gt;0,1,0),1)</f>
        <v>1</v>
      </c>
      <c r="N192" s="47" t="n">
        <f aca="false">IF(CEG_Assets!$X$7=1,IF(N191&gt;0,1,0),1)</f>
        <v>1</v>
      </c>
      <c r="O192" s="47" t="n">
        <f aca="false">IF(CEG_Assets!$X$7=1,IF(O191&gt;0,1,0),1)</f>
        <v>1</v>
      </c>
      <c r="P192" s="47" t="n">
        <f aca="false">IF(CEG_Assets!$X$7=1,IF(P191&gt;0,1,0),1)</f>
        <v>1</v>
      </c>
      <c r="Q192" s="47" t="n">
        <f aca="false">IF(CEG_Assets!$X$7=1,IF(Q191&gt;0,1,0),1)</f>
        <v>1</v>
      </c>
      <c r="R192" s="47" t="n">
        <f aca="false">IF(CEG_Assets!$X$7=1,IF(R191&gt;0,1,0),1)</f>
        <v>1</v>
      </c>
      <c r="S192" s="47" t="n">
        <f aca="false">IF(CEG_Assets!$X$7=1,IF(S191&gt;0,1,0),1)</f>
        <v>1</v>
      </c>
      <c r="T192" s="47" t="n">
        <f aca="false">IF(CEG_Assets!$X$7=1,IF(T191&gt;0,1,0),1)</f>
        <v>1</v>
      </c>
      <c r="U192" s="47" t="n">
        <f aca="false">IF(CEG_Assets!$X$7=1,IF(U191&gt;0,1,0),1)</f>
        <v>1</v>
      </c>
      <c r="V192" s="47" t="n">
        <f aca="false">IF(CEG_Assets!$X$7=1,IF(V191&gt;0,1,0),1)</f>
        <v>1</v>
      </c>
      <c r="W192" s="47" t="n">
        <f aca="false">IF(CEG_Assets!$X$7=1,IF(W191&gt;0,1,0),1)</f>
        <v>1</v>
      </c>
      <c r="X192" s="47" t="n">
        <f aca="false">IF(CEG_Assets!$X$7=1,IF(X191&gt;0,1,0),1)</f>
        <v>1</v>
      </c>
      <c r="Y192" s="47" t="n">
        <f aca="false">IF(CEG_Assets!$X$7=1,IF(Y191&gt;0,1,0),1)</f>
        <v>1</v>
      </c>
      <c r="Z192" s="47" t="n">
        <f aca="false">IF(CEG_Assets!$X$7=1,IF(Z191&gt;0,1,0),1)</f>
        <v>1</v>
      </c>
      <c r="AA192" s="47" t="n">
        <f aca="false">IF(CEG_Assets!$X$7=1,IF(AA191&gt;0,1,0),1)</f>
        <v>1</v>
      </c>
      <c r="AB192" s="47" t="n">
        <f aca="false">IF(CEG_Assets!$X$7=1,IF(AB191&gt;0,1,0),1)</f>
        <v>1</v>
      </c>
      <c r="AC192" s="47" t="n">
        <f aca="false">IF(CEG_Assets!$X$7=1,IF(AC191&gt;0,1,0),1)</f>
        <v>1</v>
      </c>
      <c r="AD192" s="47" t="n">
        <f aca="false">IF(CEG_Assets!$X$7=1,IF(AD191&gt;0,1,0),1)</f>
        <v>1</v>
      </c>
      <c r="AE192" s="47" t="n">
        <f aca="false">IF(CEG_Assets!$X$7=1,IF(AE191&gt;0,1,0),1)</f>
        <v>1</v>
      </c>
      <c r="AF192" s="47" t="n">
        <f aca="false">IF(CEG_Assets!$X$7=1,IF(AF191&gt;0,1,0),1)</f>
        <v>1</v>
      </c>
      <c r="AG192" s="47" t="n">
        <f aca="false">IF(CEG_Assets!$X$7=1,IF(AG191&gt;0,1,0),1)</f>
        <v>1</v>
      </c>
      <c r="AH192" s="47" t="n">
        <f aca="false">IF(CEG_Assets!$X$7=1,IF(AH191&gt;0,1,0),1)</f>
        <v>1</v>
      </c>
      <c r="AI192" s="47" t="n">
        <f aca="false">IF(CEG_Assets!$X$7=1,IF(AI191&gt;0,1,0),1)</f>
        <v>1</v>
      </c>
      <c r="AJ192" s="47" t="n">
        <f aca="false">IF(CEG_Assets!$X$7=1,IF(AJ191&gt;0,1,0),1)</f>
        <v>1</v>
      </c>
      <c r="AK192" s="47" t="n">
        <f aca="false">IF(CEG_Assets!$X$7=1,IF(AK191&gt;0,1,0),1)</f>
        <v>1</v>
      </c>
      <c r="AL192" s="47" t="n">
        <f aca="false">IF(CEG_Assets!$X$7=1,IF(AL191&gt;0,1,0),1)</f>
        <v>1</v>
      </c>
      <c r="AM192" s="47" t="n">
        <f aca="false">IF(CEG_Assets!$X$7=1,IF(AM191&gt;0,1,0),1)</f>
        <v>1</v>
      </c>
      <c r="AN192" s="47" t="n">
        <f aca="false">IF(CEG_Assets!$X$7=1,IF(AN191&gt;0,1,0),1)</f>
        <v>1</v>
      </c>
      <c r="AO192" s="47" t="n">
        <f aca="false">IF(CEG_Assets!$X$7=1,IF(AO191&gt;0,1,0),1)</f>
        <v>1</v>
      </c>
      <c r="AP192" s="47" t="n">
        <f aca="false">IF(CEG_Assets!$X$7=1,IF(AP191&gt;0,1,0),1)</f>
        <v>1</v>
      </c>
      <c r="AQ192" s="47" t="n">
        <f aca="false">IF(CEG_Assets!$X$7=1,IF(AQ191&gt;0,1,0),1)</f>
        <v>1</v>
      </c>
      <c r="AR192" s="47" t="n">
        <f aca="false">IF(CEG_Assets!$X$7=1,IF(AR191&gt;0,1,0),1)</f>
        <v>1</v>
      </c>
      <c r="AS192" s="47" t="n">
        <f aca="false">IF(CEG_Assets!$X$7=1,IF(AS191&gt;0,1,0),1)</f>
        <v>1</v>
      </c>
    </row>
    <row r="193" customFormat="false" ht="15" hidden="false" customHeight="false" outlineLevel="0" collapsed="false">
      <c r="A193" s="6" t="s">
        <v>439</v>
      </c>
      <c r="B193" s="6" t="s">
        <v>440</v>
      </c>
      <c r="C193" s="9" t="n">
        <f aca="false">SUM(G193:AS193)</f>
        <v>4686.5913456096</v>
      </c>
      <c r="G193" s="8" t="n">
        <f aca="false">G188*INDEX(Prices!G:G,CEG_Assets!$AN$7)*CEG_Assets!$J$7*G192/1000000*(1+CEG_RevAdj)</f>
        <v>0</v>
      </c>
      <c r="H193" s="8" t="n">
        <f aca="false">H188*INDEX(Prices!H:H,CEG_Assets!$AN$7)*CEG_Assets!$J$7*H192/1000000*(1+CEG_RevAdj)</f>
        <v>0</v>
      </c>
      <c r="I193" s="8" t="n">
        <f aca="false">I188*INDEX(Prices!I:I,CEG_Assets!$AN$7)*CEG_Assets!$J$7*I192/1000000*(1+CEG_RevAdj)</f>
        <v>0</v>
      </c>
      <c r="J193" s="8" t="n">
        <f aca="false">J188*INDEX(Prices!J:J,CEG_Assets!$AN$7)*CEG_Assets!$J$7*J192/1000000*(1+CEG_RevAdj)</f>
        <v>0</v>
      </c>
      <c r="K193" s="8" t="n">
        <f aca="false">K188*INDEX(Prices!K:K,CEG_Assets!$AN$7)*CEG_Assets!$J$7*K192/1000000*(1+CEG_RevAdj)</f>
        <v>0</v>
      </c>
      <c r="L193" s="8" t="n">
        <f aca="false">L188*INDEX(Prices!L:L,CEG_Assets!$AN$7)*CEG_Assets!$J$7*L192/1000000*(1+CEG_RevAdj)</f>
        <v>0</v>
      </c>
      <c r="M193" s="8" t="n">
        <f aca="false">M188*INDEX(Prices!M:M,CEG_Assets!$AN$7)*CEG_Assets!$J$7*M192/1000000*(1+CEG_RevAdj)</f>
        <v>0</v>
      </c>
      <c r="N193" s="8" t="n">
        <f aca="false">N188*INDEX(Prices!N:N,CEG_Assets!$AN$7)*CEG_Assets!$J$7*N192/1000000*(1+CEG_RevAdj)</f>
        <v>0</v>
      </c>
      <c r="O193" s="8" t="n">
        <f aca="false">O188*INDEX(Prices!O:O,CEG_Assets!$AN$7)*CEG_Assets!$J$7*O192/1000000*(1+CEG_RevAdj)</f>
        <v>0</v>
      </c>
      <c r="P193" s="8" t="n">
        <f aca="false">P188*INDEX(Prices!P:P,CEG_Assets!$AN$7)*CEG_Assets!$J$7*P192/1000000*(1+CEG_RevAdj)</f>
        <v>0</v>
      </c>
      <c r="Q193" s="8" t="n">
        <f aca="false">Q188*INDEX(Prices!Q:Q,CEG_Assets!$AN$7)*CEG_Assets!$J$7*Q192/1000000*(1+CEG_RevAdj)</f>
        <v>0</v>
      </c>
      <c r="R193" s="8" t="n">
        <f aca="false">R188*INDEX(Prices!R:R,CEG_Assets!$AN$7)*CEG_Assets!$J$7*R192/1000000*(1+CEG_RevAdj)</f>
        <v>0</v>
      </c>
      <c r="S193" s="8" t="n">
        <f aca="false">S188*INDEX(Prices!S:S,CEG_Assets!$AN$7)*CEG_Assets!$J$7*S192/1000000*(1+CEG_RevAdj)</f>
        <v>0</v>
      </c>
      <c r="T193" s="8" t="n">
        <f aca="false">T188*INDEX(Prices!T:T,CEG_Assets!$AN$7)*CEG_Assets!$J$7*T192/1000000*(1+CEG_RevAdj)</f>
        <v>0</v>
      </c>
      <c r="U193" s="8" t="n">
        <f aca="false">U188*INDEX(Prices!U:U,CEG_Assets!$AN$7)*CEG_Assets!$J$7*U192/1000000*(1+CEG_RevAdj)</f>
        <v>0</v>
      </c>
      <c r="V193" s="8" t="n">
        <f aca="false">V188*INDEX(Prices!V:V,CEG_Assets!$AN$7)*CEG_Assets!$J$7*V192/1000000*(1+CEG_RevAdj)</f>
        <v>0</v>
      </c>
      <c r="W193" s="8" t="n">
        <f aca="false">W188*INDEX(Prices!W:W,CEG_Assets!$AN$7)*CEG_Assets!$J$7*W192/1000000*(1+CEG_RevAdj)</f>
        <v>0</v>
      </c>
      <c r="X193" s="8" t="n">
        <f aca="false">X188*INDEX(Prices!X:X,CEG_Assets!$AN$7)*CEG_Assets!$J$7*X192/1000000*(1+CEG_RevAdj)</f>
        <v>0</v>
      </c>
      <c r="Y193" s="8" t="n">
        <f aca="false">Y188*INDEX(Prices!Y:Y,CEG_Assets!$AN$7)*CEG_Assets!$J$7*Y192/1000000*(1+CEG_RevAdj)</f>
        <v>0</v>
      </c>
      <c r="Z193" s="8" t="n">
        <f aca="false">Z188*INDEX(Prices!Z:Z,CEG_Assets!$AN$7)*CEG_Assets!$J$7*Z192/1000000*(1+CEG_RevAdj)</f>
        <v>0</v>
      </c>
      <c r="AA193" s="8" t="n">
        <f aca="false">AA188*INDEX(Prices!AA:AA,CEG_Assets!$AN$7)*CEG_Assets!$J$7*AA192/1000000*(1+CEG_RevAdj)</f>
        <v>0</v>
      </c>
      <c r="AB193" s="8" t="n">
        <f aca="false">AB188*INDEX(Prices!AB:AB,CEG_Assets!$AN$7)*CEG_Assets!$J$7*AB192/1000000*(1+CEG_RevAdj)</f>
        <v>630.402569353804</v>
      </c>
      <c r="AC193" s="8" t="n">
        <f aca="false">AC188*INDEX(Prices!AC:AC,CEG_Assets!$AN$7)*CEG_Assets!$J$7*AC192/1000000*(1+CEG_RevAdj)</f>
        <v>643.01062074088</v>
      </c>
      <c r="AD193" s="8" t="n">
        <f aca="false">AD188*INDEX(Prices!AD:AD,CEG_Assets!$AN$7)*CEG_Assets!$J$7*AD192/1000000*(1+CEG_RevAdj)</f>
        <v>655.870833155698</v>
      </c>
      <c r="AE193" s="8" t="n">
        <f aca="false">AE188*INDEX(Prices!AE:AE,CEG_Assets!$AN$7)*CEG_Assets!$J$7*AE192/1000000*(1+CEG_RevAdj)</f>
        <v>668.988249818812</v>
      </c>
      <c r="AF193" s="8" t="n">
        <f aca="false">AF188*INDEX(Prices!AF:AF,CEG_Assets!$AN$7)*CEG_Assets!$J$7*AF192/1000000*(1+CEG_RevAdj)</f>
        <v>682.368014815188</v>
      </c>
      <c r="AG193" s="8" t="n">
        <f aca="false">AG188*INDEX(Prices!AG:AG,CEG_Assets!$AN$7)*CEG_Assets!$J$7*AG192/1000000*(1+CEG_RevAdj)</f>
        <v>696.015375111492</v>
      </c>
      <c r="AH193" s="8" t="n">
        <f aca="false">AH188*INDEX(Prices!AH:AH,CEG_Assets!$AN$7)*CEG_Assets!$J$7*AH192/1000000*(1+CEG_RevAdj)</f>
        <v>709.935682613722</v>
      </c>
      <c r="AI193" s="8" t="n">
        <f aca="false">AI188*INDEX(Prices!AI:AI,CEG_Assets!$AN$7)*CEG_Assets!$J$7*AI192/1000000*(1+CEG_RevAdj)</f>
        <v>0</v>
      </c>
      <c r="AJ193" s="8" t="n">
        <f aca="false">AJ188*INDEX(Prices!AJ:AJ,CEG_Assets!$AN$7)*CEG_Assets!$J$7*AJ192/1000000*(1+CEG_RevAdj)</f>
        <v>0</v>
      </c>
      <c r="AK193" s="8" t="n">
        <f aca="false">AK188*INDEX(Prices!AK:AK,CEG_Assets!$AN$7)*CEG_Assets!$J$7*AK192/1000000*(1+CEG_RevAdj)</f>
        <v>0</v>
      </c>
      <c r="AL193" s="8" t="n">
        <f aca="false">AL188*INDEX(Prices!AL:AL,CEG_Assets!$AN$7)*CEG_Assets!$J$7*AL192/1000000*(1+CEG_RevAdj)</f>
        <v>0</v>
      </c>
      <c r="AM193" s="8" t="n">
        <f aca="false">AM188*INDEX(Prices!AM:AM,CEG_Assets!$AN$7)*CEG_Assets!$J$7*AM192/1000000*(1+CEG_RevAdj)</f>
        <v>0</v>
      </c>
      <c r="AN193" s="8" t="n">
        <f aca="false">AN188*INDEX(Prices!AN:AN,CEG_Assets!$AN$7)*CEG_Assets!$J$7*AN192/1000000*(1+CEG_RevAdj)</f>
        <v>0</v>
      </c>
      <c r="AO193" s="8" t="n">
        <f aca="false">AO188*INDEX(Prices!AO:AO,CEG_Assets!$AN$7)*CEG_Assets!$J$7*AO192/1000000*(1+CEG_RevAdj)</f>
        <v>0</v>
      </c>
      <c r="AP193" s="8" t="n">
        <f aca="false">AP188*INDEX(Prices!AP:AP,CEG_Assets!$AN$7)*CEG_Assets!$J$7*AP192/1000000*(1+CEG_RevAdj)</f>
        <v>0</v>
      </c>
      <c r="AQ193" s="8" t="n">
        <f aca="false">AQ188*INDEX(Prices!AQ:AQ,CEG_Assets!$AN$7)*CEG_Assets!$J$7*AQ192/1000000*(1+CEG_RevAdj)</f>
        <v>0</v>
      </c>
      <c r="AR193" s="8" t="n">
        <f aca="false">AR188*INDEX(Prices!AR:AR,CEG_Assets!$AN$7)*CEG_Assets!$J$7*AR192/1000000*(1+CEG_RevAdj)</f>
        <v>0</v>
      </c>
      <c r="AS193" s="8" t="n">
        <f aca="false">AS188*INDEX(Prices!AS:AS,CEG_Assets!$AN$7)*CEG_Assets!$J$7*AS192/1000000*(1+CEG_RevAdj)</f>
        <v>0</v>
      </c>
    </row>
    <row r="194" customFormat="false" ht="15" hidden="false" customHeight="false" outlineLevel="0" collapsed="false">
      <c r="A194" s="6" t="s">
        <v>441</v>
      </c>
      <c r="B194" s="6" t="s">
        <v>442</v>
      </c>
      <c r="C194" s="9" t="n">
        <f aca="false">SUM(G194:AS194)</f>
        <v>765.373941222053</v>
      </c>
      <c r="G194" s="8" t="n">
        <f aca="false">(CEG_Assets!$D$7-G187)*INDEX(Prices!G:G,CEG_Assets!$AP$7)*365*CEG_Assets!$T$7*G186/1000000*(1+CEG_RevAdj)</f>
        <v>0</v>
      </c>
      <c r="H194" s="8" t="n">
        <f aca="false">(CEG_Assets!$D$7-H187)*INDEX(Prices!H:H,CEG_Assets!$AP$7)*365*CEG_Assets!$T$7*H186/1000000*(1+CEG_RevAdj)</f>
        <v>0</v>
      </c>
      <c r="I194" s="8" t="n">
        <f aca="false">(CEG_Assets!$D$7-I187)*INDEX(Prices!I:I,CEG_Assets!$AP$7)*365*CEG_Assets!$T$7*I186/1000000*(1+CEG_RevAdj)</f>
        <v>0</v>
      </c>
      <c r="J194" s="8" t="n">
        <f aca="false">(CEG_Assets!$D$7-J187)*INDEX(Prices!J:J,CEG_Assets!$AP$7)*365*CEG_Assets!$T$7*J186/1000000*(1+CEG_RevAdj)</f>
        <v>0</v>
      </c>
      <c r="K194" s="8" t="n">
        <f aca="false">(CEG_Assets!$D$7-K187)*INDEX(Prices!K:K,CEG_Assets!$AP$7)*365*CEG_Assets!$T$7*K186/1000000*(1+CEG_RevAdj)</f>
        <v>0</v>
      </c>
      <c r="L194" s="8" t="n">
        <f aca="false">(CEG_Assets!$D$7-L187)*INDEX(Prices!L:L,CEG_Assets!$AP$7)*365*CEG_Assets!$T$7*L186/1000000*(1+CEG_RevAdj)</f>
        <v>0</v>
      </c>
      <c r="M194" s="8" t="n">
        <f aca="false">(CEG_Assets!$D$7-M187)*INDEX(Prices!M:M,CEG_Assets!$AP$7)*365*CEG_Assets!$T$7*M186/1000000*(1+CEG_RevAdj)</f>
        <v>0</v>
      </c>
      <c r="N194" s="8" t="n">
        <f aca="false">(CEG_Assets!$D$7-N187)*INDEX(Prices!N:N,CEG_Assets!$AP$7)*365*CEG_Assets!$T$7*N186/1000000*(1+CEG_RevAdj)</f>
        <v>0</v>
      </c>
      <c r="O194" s="8" t="n">
        <f aca="false">(CEG_Assets!$D$7-O187)*INDEX(Prices!O:O,CEG_Assets!$AP$7)*365*CEG_Assets!$T$7*O186/1000000*(1+CEG_RevAdj)</f>
        <v>0</v>
      </c>
      <c r="P194" s="8" t="n">
        <f aca="false">(CEG_Assets!$D$7-P187)*INDEX(Prices!P:P,CEG_Assets!$AP$7)*365*CEG_Assets!$T$7*P186/1000000*(1+CEG_RevAdj)</f>
        <v>0</v>
      </c>
      <c r="Q194" s="8" t="n">
        <f aca="false">(CEG_Assets!$D$7-Q187)*INDEX(Prices!Q:Q,CEG_Assets!$AP$7)*365*CEG_Assets!$T$7*Q186/1000000*(1+CEG_RevAdj)</f>
        <v>0</v>
      </c>
      <c r="R194" s="8" t="n">
        <f aca="false">(CEG_Assets!$D$7-R187)*INDEX(Prices!R:R,CEG_Assets!$AP$7)*365*CEG_Assets!$T$7*R186/1000000*(1+CEG_RevAdj)</f>
        <v>0</v>
      </c>
      <c r="S194" s="8" t="n">
        <f aca="false">(CEG_Assets!$D$7-S187)*INDEX(Prices!S:S,CEG_Assets!$AP$7)*365*CEG_Assets!$T$7*S186/1000000*(1+CEG_RevAdj)</f>
        <v>0</v>
      </c>
      <c r="T194" s="8" t="n">
        <f aca="false">(CEG_Assets!$D$7-T187)*INDEX(Prices!T:T,CEG_Assets!$AP$7)*365*CEG_Assets!$T$7*T186/1000000*(1+CEG_RevAdj)</f>
        <v>0</v>
      </c>
      <c r="U194" s="8" t="n">
        <f aca="false">(CEG_Assets!$D$7-U187)*INDEX(Prices!U:U,CEG_Assets!$AP$7)*365*CEG_Assets!$T$7*U186/1000000*(1+CEG_RevAdj)</f>
        <v>0</v>
      </c>
      <c r="V194" s="8" t="n">
        <f aca="false">(CEG_Assets!$D$7-V187)*INDEX(Prices!V:V,CEG_Assets!$AP$7)*365*CEG_Assets!$T$7*V186/1000000*(1+CEG_RevAdj)</f>
        <v>0</v>
      </c>
      <c r="W194" s="8" t="n">
        <f aca="false">(CEG_Assets!$D$7-W187)*INDEX(Prices!W:W,CEG_Assets!$AP$7)*365*CEG_Assets!$T$7*W186/1000000*(1+CEG_RevAdj)</f>
        <v>0</v>
      </c>
      <c r="X194" s="8" t="n">
        <f aca="false">(CEG_Assets!$D$7-X187)*INDEX(Prices!X:X,CEG_Assets!$AP$7)*365*CEG_Assets!$T$7*X186/1000000*(1+CEG_RevAdj)</f>
        <v>0</v>
      </c>
      <c r="Y194" s="8" t="n">
        <f aca="false">(CEG_Assets!$D$7-Y187)*INDEX(Prices!Y:Y,CEG_Assets!$AP$7)*365*CEG_Assets!$T$7*Y186/1000000*(1+CEG_RevAdj)</f>
        <v>0</v>
      </c>
      <c r="Z194" s="8" t="n">
        <f aca="false">(CEG_Assets!$D$7-Z187)*INDEX(Prices!Z:Z,CEG_Assets!$AP$7)*365*CEG_Assets!$T$7*Z186/1000000*(1+CEG_RevAdj)</f>
        <v>0</v>
      </c>
      <c r="AA194" s="8" t="n">
        <f aca="false">(CEG_Assets!$D$7-AA187)*INDEX(Prices!AA:AA,CEG_Assets!$AP$7)*365*CEG_Assets!$T$7*AA186/1000000*(1+CEG_RevAdj)</f>
        <v>0</v>
      </c>
      <c r="AB194" s="8" t="n">
        <f aca="false">(CEG_Assets!$D$7-AB187)*INDEX(Prices!AB:AB,CEG_Assets!$AP$7)*365*CEG_Assets!$T$7*AB186/1000000*(1+CEG_RevAdj)</f>
        <v>102.951945984117</v>
      </c>
      <c r="AC194" s="8" t="n">
        <f aca="false">(CEG_Assets!$D$7-AC187)*INDEX(Prices!AC:AC,CEG_Assets!$AP$7)*365*CEG_Assets!$T$7*AC186/1000000*(1+CEG_RevAdj)</f>
        <v>105.010984903799</v>
      </c>
      <c r="AD194" s="8" t="n">
        <f aca="false">(CEG_Assets!$D$7-AD187)*INDEX(Prices!AD:AD,CEG_Assets!$AP$7)*365*CEG_Assets!$T$7*AD186/1000000*(1+CEG_RevAdj)</f>
        <v>107.111204601875</v>
      </c>
      <c r="AE194" s="8" t="n">
        <f aca="false">(CEG_Assets!$D$7-AE187)*INDEX(Prices!AE:AE,CEG_Assets!$AP$7)*365*CEG_Assets!$T$7*AE186/1000000*(1+CEG_RevAdj)</f>
        <v>109.253428693913</v>
      </c>
      <c r="AF194" s="8" t="n">
        <f aca="false">(CEG_Assets!$D$7-AF187)*INDEX(Prices!AF:AF,CEG_Assets!$AP$7)*365*CEG_Assets!$T$7*AF186/1000000*(1+CEG_RevAdj)</f>
        <v>111.438497267791</v>
      </c>
      <c r="AG194" s="8" t="n">
        <f aca="false">(CEG_Assets!$D$7-AG187)*INDEX(Prices!AG:AG,CEG_Assets!$AP$7)*365*CEG_Assets!$T$7*AG186/1000000*(1+CEG_RevAdj)</f>
        <v>113.667267213147</v>
      </c>
      <c r="AH194" s="8" t="n">
        <f aca="false">(CEG_Assets!$D$7-AH187)*INDEX(Prices!AH:AH,CEG_Assets!$AP$7)*365*CEG_Assets!$T$7*AH186/1000000*(1+CEG_RevAdj)</f>
        <v>115.94061255741</v>
      </c>
      <c r="AI194" s="8" t="n">
        <f aca="false">(CEG_Assets!$D$7-AI187)*INDEX(Prices!AI:AI,CEG_Assets!$AP$7)*365*CEG_Assets!$T$7*AI186/1000000*(1+CEG_RevAdj)</f>
        <v>0</v>
      </c>
      <c r="AJ194" s="8" t="n">
        <f aca="false">(CEG_Assets!$D$7-AJ187)*INDEX(Prices!AJ:AJ,CEG_Assets!$AP$7)*365*CEG_Assets!$T$7*AJ186/1000000*(1+CEG_RevAdj)</f>
        <v>0</v>
      </c>
      <c r="AK194" s="8" t="n">
        <f aca="false">(CEG_Assets!$D$7-AK187)*INDEX(Prices!AK:AK,CEG_Assets!$AP$7)*365*CEG_Assets!$T$7*AK186/1000000*(1+CEG_RevAdj)</f>
        <v>0</v>
      </c>
      <c r="AL194" s="8" t="n">
        <f aca="false">(CEG_Assets!$D$7-AL187)*INDEX(Prices!AL:AL,CEG_Assets!$AP$7)*365*CEG_Assets!$T$7*AL186/1000000*(1+CEG_RevAdj)</f>
        <v>0</v>
      </c>
      <c r="AM194" s="8" t="n">
        <f aca="false">(CEG_Assets!$D$7-AM187)*INDEX(Prices!AM:AM,CEG_Assets!$AP$7)*365*CEG_Assets!$T$7*AM186/1000000*(1+CEG_RevAdj)</f>
        <v>0</v>
      </c>
      <c r="AN194" s="8" t="n">
        <f aca="false">(CEG_Assets!$D$7-AN187)*INDEX(Prices!AN:AN,CEG_Assets!$AP$7)*365*CEG_Assets!$T$7*AN186/1000000*(1+CEG_RevAdj)</f>
        <v>0</v>
      </c>
      <c r="AO194" s="8" t="n">
        <f aca="false">(CEG_Assets!$D$7-AO187)*INDEX(Prices!AO:AO,CEG_Assets!$AP$7)*365*CEG_Assets!$T$7*AO186/1000000*(1+CEG_RevAdj)</f>
        <v>0</v>
      </c>
      <c r="AP194" s="8" t="n">
        <f aca="false">(CEG_Assets!$D$7-AP187)*INDEX(Prices!AP:AP,CEG_Assets!$AP$7)*365*CEG_Assets!$T$7*AP186/1000000*(1+CEG_RevAdj)</f>
        <v>0</v>
      </c>
      <c r="AQ194" s="8" t="n">
        <f aca="false">(CEG_Assets!$D$7-AQ187)*INDEX(Prices!AQ:AQ,CEG_Assets!$AP$7)*365*CEG_Assets!$T$7*AQ186/1000000*(1+CEG_RevAdj)</f>
        <v>0</v>
      </c>
      <c r="AR194" s="8" t="n">
        <f aca="false">(CEG_Assets!$D$7-AR187)*INDEX(Prices!AR:AR,CEG_Assets!$AP$7)*365*CEG_Assets!$T$7*AR186/1000000*(1+CEG_RevAdj)</f>
        <v>0</v>
      </c>
      <c r="AS194" s="8" t="n">
        <f aca="false">(CEG_Assets!$D$7-AS187)*INDEX(Prices!AS:AS,CEG_Assets!$AP$7)*365*CEG_Assets!$T$7*AS186/1000000*(1+CEG_RevAdj)</f>
        <v>0</v>
      </c>
    </row>
    <row r="195" customFormat="false" ht="15" hidden="false" customHeight="false" outlineLevel="0" collapsed="false">
      <c r="A195" s="6" t="s">
        <v>443</v>
      </c>
      <c r="B195" s="6" t="s">
        <v>444</v>
      </c>
      <c r="C195" s="9" t="n">
        <f aca="false">SUM(G195:AS195)</f>
        <v>13678.302</v>
      </c>
      <c r="G195" s="8" t="n">
        <f aca="false">G189*(CEG_Assets!$AD$7+CEG_PPAAdj)/1000000*(1+CEG_RevAdj)</f>
        <v>0</v>
      </c>
      <c r="H195" s="8" t="n">
        <f aca="false">H189*(CEG_Assets!$AD$7+CEG_PPAAdj)/1000000*(1+CEG_RevAdj)</f>
        <v>683.9151</v>
      </c>
      <c r="I195" s="8" t="n">
        <f aca="false">I189*(CEG_Assets!$AD$7+CEG_PPAAdj)/1000000*(1+CEG_RevAdj)</f>
        <v>683.9151</v>
      </c>
      <c r="J195" s="8" t="n">
        <f aca="false">J189*(CEG_Assets!$AD$7+CEG_PPAAdj)/1000000*(1+CEG_RevAdj)</f>
        <v>683.9151</v>
      </c>
      <c r="K195" s="8" t="n">
        <f aca="false">K189*(CEG_Assets!$AD$7+CEG_PPAAdj)/1000000*(1+CEG_RevAdj)</f>
        <v>683.9151</v>
      </c>
      <c r="L195" s="8" t="n">
        <f aca="false">L189*(CEG_Assets!$AD$7+CEG_PPAAdj)/1000000*(1+CEG_RevAdj)</f>
        <v>683.9151</v>
      </c>
      <c r="M195" s="8" t="n">
        <f aca="false">M189*(CEG_Assets!$AD$7+CEG_PPAAdj)/1000000*(1+CEG_RevAdj)</f>
        <v>683.9151</v>
      </c>
      <c r="N195" s="8" t="n">
        <f aca="false">N189*(CEG_Assets!$AD$7+CEG_PPAAdj)/1000000*(1+CEG_RevAdj)</f>
        <v>683.9151</v>
      </c>
      <c r="O195" s="8" t="n">
        <f aca="false">O189*(CEG_Assets!$AD$7+CEG_PPAAdj)/1000000*(1+CEG_RevAdj)</f>
        <v>683.9151</v>
      </c>
      <c r="P195" s="8" t="n">
        <f aca="false">P189*(CEG_Assets!$AD$7+CEG_PPAAdj)/1000000*(1+CEG_RevAdj)</f>
        <v>683.9151</v>
      </c>
      <c r="Q195" s="8" t="n">
        <f aca="false">Q189*(CEG_Assets!$AD$7+CEG_PPAAdj)/1000000*(1+CEG_RevAdj)</f>
        <v>683.9151</v>
      </c>
      <c r="R195" s="8" t="n">
        <f aca="false">R189*(CEG_Assets!$AD$7+CEG_PPAAdj)/1000000*(1+CEG_RevAdj)</f>
        <v>683.9151</v>
      </c>
      <c r="S195" s="8" t="n">
        <f aca="false">S189*(CEG_Assets!$AD$7+CEG_PPAAdj)/1000000*(1+CEG_RevAdj)</f>
        <v>683.9151</v>
      </c>
      <c r="T195" s="8" t="n">
        <f aca="false">T189*(CEG_Assets!$AD$7+CEG_PPAAdj)/1000000*(1+CEG_RevAdj)</f>
        <v>683.9151</v>
      </c>
      <c r="U195" s="8" t="n">
        <f aca="false">U189*(CEG_Assets!$AD$7+CEG_PPAAdj)/1000000*(1+CEG_RevAdj)</f>
        <v>683.9151</v>
      </c>
      <c r="V195" s="8" t="n">
        <f aca="false">V189*(CEG_Assets!$AD$7+CEG_PPAAdj)/1000000*(1+CEG_RevAdj)</f>
        <v>683.9151</v>
      </c>
      <c r="W195" s="8" t="n">
        <f aca="false">W189*(CEG_Assets!$AD$7+CEG_PPAAdj)/1000000*(1+CEG_RevAdj)</f>
        <v>683.9151</v>
      </c>
      <c r="X195" s="8" t="n">
        <f aca="false">X189*(CEG_Assets!$AD$7+CEG_PPAAdj)/1000000*(1+CEG_RevAdj)</f>
        <v>683.9151</v>
      </c>
      <c r="Y195" s="8" t="n">
        <f aca="false">Y189*(CEG_Assets!$AD$7+CEG_PPAAdj)/1000000*(1+CEG_RevAdj)</f>
        <v>683.9151</v>
      </c>
      <c r="Z195" s="8" t="n">
        <f aca="false">Z189*(CEG_Assets!$AD$7+CEG_PPAAdj)/1000000*(1+CEG_RevAdj)</f>
        <v>683.9151</v>
      </c>
      <c r="AA195" s="8" t="n">
        <f aca="false">AA189*(CEG_Assets!$AD$7+CEG_PPAAdj)/1000000*(1+CEG_RevAdj)</f>
        <v>683.9151</v>
      </c>
      <c r="AB195" s="8" t="n">
        <f aca="false">AB189*(CEG_Assets!$AD$7+CEG_PPAAdj)/1000000*(1+CEG_RevAdj)</f>
        <v>0</v>
      </c>
      <c r="AC195" s="8" t="n">
        <f aca="false">AC189*(CEG_Assets!$AD$7+CEG_PPAAdj)/1000000*(1+CEG_RevAdj)</f>
        <v>0</v>
      </c>
      <c r="AD195" s="8" t="n">
        <f aca="false">AD189*(CEG_Assets!$AD$7+CEG_PPAAdj)/1000000*(1+CEG_RevAdj)</f>
        <v>0</v>
      </c>
      <c r="AE195" s="8" t="n">
        <f aca="false">AE189*(CEG_Assets!$AD$7+CEG_PPAAdj)/1000000*(1+CEG_RevAdj)</f>
        <v>0</v>
      </c>
      <c r="AF195" s="8" t="n">
        <f aca="false">AF189*(CEG_Assets!$AD$7+CEG_PPAAdj)/1000000*(1+CEG_RevAdj)</f>
        <v>0</v>
      </c>
      <c r="AG195" s="8" t="n">
        <f aca="false">AG189*(CEG_Assets!$AD$7+CEG_PPAAdj)/1000000*(1+CEG_RevAdj)</f>
        <v>0</v>
      </c>
      <c r="AH195" s="8" t="n">
        <f aca="false">AH189*(CEG_Assets!$AD$7+CEG_PPAAdj)/1000000*(1+CEG_RevAdj)</f>
        <v>0</v>
      </c>
      <c r="AI195" s="8" t="n">
        <f aca="false">AI189*(CEG_Assets!$AD$7+CEG_PPAAdj)/1000000*(1+CEG_RevAdj)</f>
        <v>0</v>
      </c>
      <c r="AJ195" s="8" t="n">
        <f aca="false">AJ189*(CEG_Assets!$AD$7+CEG_PPAAdj)/1000000*(1+CEG_RevAdj)</f>
        <v>0</v>
      </c>
      <c r="AK195" s="8" t="n">
        <f aca="false">AK189*(CEG_Assets!$AD$7+CEG_PPAAdj)/1000000*(1+CEG_RevAdj)</f>
        <v>0</v>
      </c>
      <c r="AL195" s="8" t="n">
        <f aca="false">AL189*(CEG_Assets!$AD$7+CEG_PPAAdj)/1000000*(1+CEG_RevAdj)</f>
        <v>0</v>
      </c>
      <c r="AM195" s="8" t="n">
        <f aca="false">AM189*(CEG_Assets!$AD$7+CEG_PPAAdj)/1000000*(1+CEG_RevAdj)</f>
        <v>0</v>
      </c>
      <c r="AN195" s="8" t="n">
        <f aca="false">AN189*(CEG_Assets!$AD$7+CEG_PPAAdj)/1000000*(1+CEG_RevAdj)</f>
        <v>0</v>
      </c>
      <c r="AO195" s="8" t="n">
        <f aca="false">AO189*(CEG_Assets!$AD$7+CEG_PPAAdj)/1000000*(1+CEG_RevAdj)</f>
        <v>0</v>
      </c>
      <c r="AP195" s="8" t="n">
        <f aca="false">AP189*(CEG_Assets!$AD$7+CEG_PPAAdj)/1000000*(1+CEG_RevAdj)</f>
        <v>0</v>
      </c>
      <c r="AQ195" s="8" t="n">
        <f aca="false">AQ189*(CEG_Assets!$AD$7+CEG_PPAAdj)/1000000*(1+CEG_RevAdj)</f>
        <v>0</v>
      </c>
      <c r="AR195" s="8" t="n">
        <f aca="false">AR189*(CEG_Assets!$AD$7+CEG_PPAAdj)/1000000*(1+CEG_RevAdj)</f>
        <v>0</v>
      </c>
      <c r="AS195" s="8" t="n">
        <f aca="false">AS189*(CEG_Assets!$AD$7+CEG_PPAAdj)/1000000*(1+CEG_RevAdj)</f>
        <v>0</v>
      </c>
    </row>
    <row r="196" customFormat="false" ht="15" hidden="false" customHeight="false" outlineLevel="0" collapsed="false">
      <c r="A196" s="6" t="s">
        <v>445</v>
      </c>
      <c r="B196" s="6" t="s">
        <v>446</v>
      </c>
      <c r="C196" s="9" t="n">
        <f aca="false">SUM(G196:AS196)</f>
        <v>0</v>
      </c>
      <c r="G196" s="8" t="n">
        <f aca="false">IF(G$3&lt;=CEG_Assets!$V$7,G188*CEG_Assets!$U$7,0)/1000000*(1+CEG_RevAdj)</f>
        <v>0</v>
      </c>
      <c r="H196" s="8" t="n">
        <f aca="false">IF(H$3&lt;=CEG_Assets!$V$7,H188*CEG_Assets!$U$7,0)/1000000*(1+CEG_RevAdj)</f>
        <v>0</v>
      </c>
      <c r="I196" s="8" t="n">
        <f aca="false">IF(I$3&lt;=CEG_Assets!$V$7,I188*CEG_Assets!$U$7,0)/1000000*(1+CEG_RevAdj)</f>
        <v>0</v>
      </c>
      <c r="J196" s="8" t="n">
        <f aca="false">IF(J$3&lt;=CEG_Assets!$V$7,J188*CEG_Assets!$U$7,0)/1000000*(1+CEG_RevAdj)</f>
        <v>0</v>
      </c>
      <c r="K196" s="8" t="n">
        <f aca="false">IF(K$3&lt;=CEG_Assets!$V$7,K188*CEG_Assets!$U$7,0)/1000000*(1+CEG_RevAdj)</f>
        <v>0</v>
      </c>
      <c r="L196" s="8" t="n">
        <f aca="false">IF(L$3&lt;=CEG_Assets!$V$7,L188*CEG_Assets!$U$7,0)/1000000*(1+CEG_RevAdj)</f>
        <v>0</v>
      </c>
      <c r="M196" s="8" t="n">
        <f aca="false">IF(M$3&lt;=CEG_Assets!$V$7,M188*CEG_Assets!$U$7,0)/1000000*(1+CEG_RevAdj)</f>
        <v>0</v>
      </c>
      <c r="N196" s="8" t="n">
        <f aca="false">IF(N$3&lt;=CEG_Assets!$V$7,N188*CEG_Assets!$U$7,0)/1000000*(1+CEG_RevAdj)</f>
        <v>0</v>
      </c>
      <c r="O196" s="8" t="n">
        <f aca="false">IF(O$3&lt;=CEG_Assets!$V$7,O188*CEG_Assets!$U$7,0)/1000000*(1+CEG_RevAdj)</f>
        <v>0</v>
      </c>
      <c r="P196" s="8" t="n">
        <f aca="false">IF(P$3&lt;=CEG_Assets!$V$7,P188*CEG_Assets!$U$7,0)/1000000*(1+CEG_RevAdj)</f>
        <v>0</v>
      </c>
      <c r="Q196" s="8" t="n">
        <f aca="false">IF(Q$3&lt;=CEG_Assets!$V$7,Q188*CEG_Assets!$U$7,0)/1000000*(1+CEG_RevAdj)</f>
        <v>0</v>
      </c>
      <c r="R196" s="8" t="n">
        <f aca="false">IF(R$3&lt;=CEG_Assets!$V$7,R188*CEG_Assets!$U$7,0)/1000000*(1+CEG_RevAdj)</f>
        <v>0</v>
      </c>
      <c r="S196" s="8" t="n">
        <f aca="false">IF(S$3&lt;=CEG_Assets!$V$7,S188*CEG_Assets!$U$7,0)/1000000*(1+CEG_RevAdj)</f>
        <v>0</v>
      </c>
      <c r="T196" s="8" t="n">
        <f aca="false">IF(T$3&lt;=CEG_Assets!$V$7,T188*CEG_Assets!$U$7,0)/1000000*(1+CEG_RevAdj)</f>
        <v>0</v>
      </c>
      <c r="U196" s="8" t="n">
        <f aca="false">IF(U$3&lt;=CEG_Assets!$V$7,U188*CEG_Assets!$U$7,0)/1000000*(1+CEG_RevAdj)</f>
        <v>0</v>
      </c>
      <c r="V196" s="8" t="n">
        <f aca="false">IF(V$3&lt;=CEG_Assets!$V$7,V188*CEG_Assets!$U$7,0)/1000000*(1+CEG_RevAdj)</f>
        <v>0</v>
      </c>
      <c r="W196" s="8" t="n">
        <f aca="false">IF(W$3&lt;=CEG_Assets!$V$7,W188*CEG_Assets!$U$7,0)/1000000*(1+CEG_RevAdj)</f>
        <v>0</v>
      </c>
      <c r="X196" s="8" t="n">
        <f aca="false">IF(X$3&lt;=CEG_Assets!$V$7,X188*CEG_Assets!$U$7,0)/1000000*(1+CEG_RevAdj)</f>
        <v>0</v>
      </c>
      <c r="Y196" s="8" t="n">
        <f aca="false">IF(Y$3&lt;=CEG_Assets!$V$7,Y188*CEG_Assets!$U$7,0)/1000000*(1+CEG_RevAdj)</f>
        <v>0</v>
      </c>
      <c r="Z196" s="8" t="n">
        <f aca="false">IF(Z$3&lt;=CEG_Assets!$V$7,Z188*CEG_Assets!$U$7,0)/1000000*(1+CEG_RevAdj)</f>
        <v>0</v>
      </c>
      <c r="AA196" s="8" t="n">
        <f aca="false">IF(AA$3&lt;=CEG_Assets!$V$7,AA188*CEG_Assets!$U$7,0)/1000000*(1+CEG_RevAdj)</f>
        <v>0</v>
      </c>
      <c r="AB196" s="8" t="n">
        <f aca="false">IF(AB$3&lt;=CEG_Assets!$V$7,AB188*CEG_Assets!$U$7,0)/1000000*(1+CEG_RevAdj)</f>
        <v>0</v>
      </c>
      <c r="AC196" s="8" t="n">
        <f aca="false">IF(AC$3&lt;=CEG_Assets!$V$7,AC188*CEG_Assets!$U$7,0)/1000000*(1+CEG_RevAdj)</f>
        <v>0</v>
      </c>
      <c r="AD196" s="8" t="n">
        <f aca="false">IF(AD$3&lt;=CEG_Assets!$V$7,AD188*CEG_Assets!$U$7,0)/1000000*(1+CEG_RevAdj)</f>
        <v>0</v>
      </c>
      <c r="AE196" s="8" t="n">
        <f aca="false">IF(AE$3&lt;=CEG_Assets!$V$7,AE188*CEG_Assets!$U$7,0)/1000000*(1+CEG_RevAdj)</f>
        <v>0</v>
      </c>
      <c r="AF196" s="8" t="n">
        <f aca="false">IF(AF$3&lt;=CEG_Assets!$V$7,AF188*CEG_Assets!$U$7,0)/1000000*(1+CEG_RevAdj)</f>
        <v>0</v>
      </c>
      <c r="AG196" s="8" t="n">
        <f aca="false">IF(AG$3&lt;=CEG_Assets!$V$7,AG188*CEG_Assets!$U$7,0)/1000000*(1+CEG_RevAdj)</f>
        <v>0</v>
      </c>
      <c r="AH196" s="8" t="n">
        <f aca="false">IF(AH$3&lt;=CEG_Assets!$V$7,AH188*CEG_Assets!$U$7,0)/1000000*(1+CEG_RevAdj)</f>
        <v>0</v>
      </c>
      <c r="AI196" s="8" t="n">
        <f aca="false">IF(AI$3&lt;=CEG_Assets!$V$7,AI188*CEG_Assets!$U$7,0)/1000000*(1+CEG_RevAdj)</f>
        <v>0</v>
      </c>
      <c r="AJ196" s="8" t="n">
        <f aca="false">IF(AJ$3&lt;=CEG_Assets!$V$7,AJ188*CEG_Assets!$U$7,0)/1000000*(1+CEG_RevAdj)</f>
        <v>0</v>
      </c>
      <c r="AK196" s="8" t="n">
        <f aca="false">IF(AK$3&lt;=CEG_Assets!$V$7,AK188*CEG_Assets!$U$7,0)/1000000*(1+CEG_RevAdj)</f>
        <v>0</v>
      </c>
      <c r="AL196" s="8" t="n">
        <f aca="false">IF(AL$3&lt;=CEG_Assets!$V$7,AL188*CEG_Assets!$U$7,0)/1000000*(1+CEG_RevAdj)</f>
        <v>0</v>
      </c>
      <c r="AM196" s="8" t="n">
        <f aca="false">IF(AM$3&lt;=CEG_Assets!$V$7,AM188*CEG_Assets!$U$7,0)/1000000*(1+CEG_RevAdj)</f>
        <v>0</v>
      </c>
      <c r="AN196" s="8" t="n">
        <f aca="false">IF(AN$3&lt;=CEG_Assets!$V$7,AN188*CEG_Assets!$U$7,0)/1000000*(1+CEG_RevAdj)</f>
        <v>0</v>
      </c>
      <c r="AO196" s="8" t="n">
        <f aca="false">IF(AO$3&lt;=CEG_Assets!$V$7,AO188*CEG_Assets!$U$7,0)/1000000*(1+CEG_RevAdj)</f>
        <v>0</v>
      </c>
      <c r="AP196" s="8" t="n">
        <f aca="false">IF(AP$3&lt;=CEG_Assets!$V$7,AP188*CEG_Assets!$U$7,0)/1000000*(1+CEG_RevAdj)</f>
        <v>0</v>
      </c>
      <c r="AQ196" s="8" t="n">
        <f aca="false">IF(AQ$3&lt;=CEG_Assets!$V$7,AQ188*CEG_Assets!$U$7,0)/1000000*(1+CEG_RevAdj)</f>
        <v>0</v>
      </c>
      <c r="AR196" s="8" t="n">
        <f aca="false">IF(AR$3&lt;=CEG_Assets!$V$7,AR188*CEG_Assets!$U$7,0)/1000000*(1+CEG_RevAdj)</f>
        <v>0</v>
      </c>
      <c r="AS196" s="8" t="n">
        <f aca="false">IF(AS$3&lt;=CEG_Assets!$V$7,AS188*CEG_Assets!$U$7,0)/1000000*(1+CEG_RevAdj)</f>
        <v>0</v>
      </c>
    </row>
    <row r="197" customFormat="false" ht="15" hidden="false" customHeight="false" outlineLevel="0" collapsed="false">
      <c r="A197" s="6" t="s">
        <v>447</v>
      </c>
      <c r="B197" s="6" t="s">
        <v>448</v>
      </c>
      <c r="C197" s="9" t="n">
        <f aca="false">SUM(G197:AS197)</f>
        <v>19130.2672868317</v>
      </c>
      <c r="G197" s="8" t="n">
        <f aca="false">G193+G194+G195+G196</f>
        <v>0</v>
      </c>
      <c r="H197" s="8" t="n">
        <f aca="false">H193+H194+H195+H196</f>
        <v>683.9151</v>
      </c>
      <c r="I197" s="8" t="n">
        <f aca="false">I193+I194+I195+I196</f>
        <v>683.9151</v>
      </c>
      <c r="J197" s="8" t="n">
        <f aca="false">J193+J194+J195+J196</f>
        <v>683.9151</v>
      </c>
      <c r="K197" s="8" t="n">
        <f aca="false">K193+K194+K195+K196</f>
        <v>683.9151</v>
      </c>
      <c r="L197" s="8" t="n">
        <f aca="false">L193+L194+L195+L196</f>
        <v>683.9151</v>
      </c>
      <c r="M197" s="8" t="n">
        <f aca="false">M193+M194+M195+M196</f>
        <v>683.9151</v>
      </c>
      <c r="N197" s="8" t="n">
        <f aca="false">N193+N194+N195+N196</f>
        <v>683.9151</v>
      </c>
      <c r="O197" s="8" t="n">
        <f aca="false">O193+O194+O195+O196</f>
        <v>683.9151</v>
      </c>
      <c r="P197" s="8" t="n">
        <f aca="false">P193+P194+P195+P196</f>
        <v>683.9151</v>
      </c>
      <c r="Q197" s="8" t="n">
        <f aca="false">Q193+Q194+Q195+Q196</f>
        <v>683.9151</v>
      </c>
      <c r="R197" s="8" t="n">
        <f aca="false">R193+R194+R195+R196</f>
        <v>683.9151</v>
      </c>
      <c r="S197" s="8" t="n">
        <f aca="false">S193+S194+S195+S196</f>
        <v>683.9151</v>
      </c>
      <c r="T197" s="8" t="n">
        <f aca="false">T193+T194+T195+T196</f>
        <v>683.9151</v>
      </c>
      <c r="U197" s="8" t="n">
        <f aca="false">U193+U194+U195+U196</f>
        <v>683.9151</v>
      </c>
      <c r="V197" s="8" t="n">
        <f aca="false">V193+V194+V195+V196</f>
        <v>683.9151</v>
      </c>
      <c r="W197" s="8" t="n">
        <f aca="false">W193+W194+W195+W196</f>
        <v>683.9151</v>
      </c>
      <c r="X197" s="8" t="n">
        <f aca="false">X193+X194+X195+X196</f>
        <v>683.9151</v>
      </c>
      <c r="Y197" s="8" t="n">
        <f aca="false">Y193+Y194+Y195+Y196</f>
        <v>683.9151</v>
      </c>
      <c r="Z197" s="8" t="n">
        <f aca="false">Z193+Z194+Z195+Z196</f>
        <v>683.9151</v>
      </c>
      <c r="AA197" s="8" t="n">
        <f aca="false">AA193+AA194+AA195+AA196</f>
        <v>683.9151</v>
      </c>
      <c r="AB197" s="8" t="n">
        <f aca="false">AB193+AB194+AB195+AB196</f>
        <v>733.354515337921</v>
      </c>
      <c r="AC197" s="8" t="n">
        <f aca="false">AC193+AC194+AC195+AC196</f>
        <v>748.02160564468</v>
      </c>
      <c r="AD197" s="8" t="n">
        <f aca="false">AD193+AD194+AD195+AD196</f>
        <v>762.982037757573</v>
      </c>
      <c r="AE197" s="8" t="n">
        <f aca="false">AE193+AE194+AE195+AE196</f>
        <v>778.241678512725</v>
      </c>
      <c r="AF197" s="8" t="n">
        <f aca="false">AF193+AF194+AF195+AF196</f>
        <v>793.806512082979</v>
      </c>
      <c r="AG197" s="8" t="n">
        <f aca="false">AG193+AG194+AG195+AG196</f>
        <v>809.682642324639</v>
      </c>
      <c r="AH197" s="8" t="n">
        <f aca="false">AH193+AH194+AH195+AH196</f>
        <v>825.876295171132</v>
      </c>
      <c r="AI197" s="8" t="n">
        <f aca="false">AI193+AI194+AI195+AI196</f>
        <v>0</v>
      </c>
      <c r="AJ197" s="8" t="n">
        <f aca="false">AJ193+AJ194+AJ195+AJ196</f>
        <v>0</v>
      </c>
      <c r="AK197" s="8" t="n">
        <f aca="false">AK193+AK194+AK195+AK196</f>
        <v>0</v>
      </c>
      <c r="AL197" s="8" t="n">
        <f aca="false">AL193+AL194+AL195+AL196</f>
        <v>0</v>
      </c>
      <c r="AM197" s="8" t="n">
        <f aca="false">AM193+AM194+AM195+AM196</f>
        <v>0</v>
      </c>
      <c r="AN197" s="8" t="n">
        <f aca="false">AN193+AN194+AN195+AN196</f>
        <v>0</v>
      </c>
      <c r="AO197" s="8" t="n">
        <f aca="false">AO193+AO194+AO195+AO196</f>
        <v>0</v>
      </c>
      <c r="AP197" s="8" t="n">
        <f aca="false">AP193+AP194+AP195+AP196</f>
        <v>0</v>
      </c>
      <c r="AQ197" s="8" t="n">
        <f aca="false">AQ193+AQ194+AQ195+AQ196</f>
        <v>0</v>
      </c>
      <c r="AR197" s="8" t="n">
        <f aca="false">AR193+AR194+AR195+AR196</f>
        <v>0</v>
      </c>
      <c r="AS197" s="8" t="n">
        <f aca="false">AS193+AS194+AS195+AS196</f>
        <v>0</v>
      </c>
    </row>
    <row r="198" customFormat="false" ht="15" hidden="false" customHeight="false" outlineLevel="0" collapsed="false">
      <c r="A198" s="6" t="s">
        <v>449</v>
      </c>
      <c r="B198" s="6" t="s">
        <v>450</v>
      </c>
      <c r="C198" s="9" t="n">
        <f aca="false">SUM(G198:AS198)</f>
        <v>1498.2673545959</v>
      </c>
      <c r="G198" s="8" t="n">
        <f aca="false">((CEG_Assets!$K$7*G190+CEG_Assets!$M$7*G$4)*G188*G192+CEG_Assets!$N$7*(1+CEG_Assets!$Q$7)^(G$3-2026)*(G188+G189))/1000000*(1+CEG_FuelAdj)</f>
        <v>0</v>
      </c>
      <c r="H198" s="8" t="n">
        <f aca="false">((CEG_Assets!$K$7*H190+CEG_Assets!$M$7*H$4)*H188*H192+CEG_Assets!$N$7*(1+CEG_Assets!$Q$7)^(H$3-2026)*(H188+H189))/1000000*(1+CEG_FuelAdj)</f>
        <v>39.5196066065625</v>
      </c>
      <c r="I198" s="8" t="n">
        <f aca="false">((CEG_Assets!$K$7*I190+CEG_Assets!$M$7*I$4)*I188*I192+CEG_Assets!$N$7*(1+CEG_Assets!$Q$7)^(I$3-2026)*(I188+I189))/1000000*(1+CEG_FuelAdj)</f>
        <v>40.5075967717266</v>
      </c>
      <c r="J198" s="8" t="n">
        <f aca="false">((CEG_Assets!$K$7*J190+CEG_Assets!$M$7*J$4)*J188*J192+CEG_Assets!$N$7*(1+CEG_Assets!$Q$7)^(J$3-2026)*(J188+J189))/1000000*(1+CEG_FuelAdj)</f>
        <v>41.5202866910197</v>
      </c>
      <c r="K198" s="8" t="n">
        <f aca="false">((CEG_Assets!$K$7*K190+CEG_Assets!$M$7*K$4)*K188*K192+CEG_Assets!$N$7*(1+CEG_Assets!$Q$7)^(K$3-2026)*(K188+K189))/1000000*(1+CEG_FuelAdj)</f>
        <v>42.5582938582952</v>
      </c>
      <c r="L198" s="8" t="n">
        <f aca="false">((CEG_Assets!$K$7*L190+CEG_Assets!$M$7*L$4)*L188*L192+CEG_Assets!$N$7*(1+CEG_Assets!$Q$7)^(L$3-2026)*(L188+L189))/1000000*(1+CEG_FuelAdj)</f>
        <v>43.6222512047526</v>
      </c>
      <c r="M198" s="8" t="n">
        <f aca="false">((CEG_Assets!$K$7*M190+CEG_Assets!$M$7*M$4)*M188*M192+CEG_Assets!$N$7*(1+CEG_Assets!$Q$7)^(M$3-2026)*(M188+M189))/1000000*(1+CEG_FuelAdj)</f>
        <v>44.7128074848714</v>
      </c>
      <c r="N198" s="8" t="n">
        <f aca="false">((CEG_Assets!$K$7*N190+CEG_Assets!$M$7*N$4)*N188*N192+CEG_Assets!$N$7*(1+CEG_Assets!$Q$7)^(N$3-2026)*(N188+N189))/1000000*(1+CEG_FuelAdj)</f>
        <v>45.8306276719932</v>
      </c>
      <c r="O198" s="8" t="n">
        <f aca="false">((CEG_Assets!$K$7*O190+CEG_Assets!$M$7*O$4)*O188*O192+CEG_Assets!$N$7*(1+CEG_Assets!$Q$7)^(O$3-2026)*(O188+O189))/1000000*(1+CEG_FuelAdj)</f>
        <v>46.976393363793</v>
      </c>
      <c r="P198" s="8" t="n">
        <f aca="false">((CEG_Assets!$K$7*P190+CEG_Assets!$M$7*P$4)*P188*P192+CEG_Assets!$N$7*(1+CEG_Assets!$Q$7)^(P$3-2026)*(P188+P189))/1000000*(1+CEG_FuelAdj)</f>
        <v>48.1508031978878</v>
      </c>
      <c r="Q198" s="8" t="n">
        <f aca="false">((CEG_Assets!$K$7*Q190+CEG_Assets!$M$7*Q$4)*Q188*Q192+CEG_Assets!$N$7*(1+CEG_Assets!$Q$7)^(Q$3-2026)*(Q188+Q189))/1000000*(1+CEG_FuelAdj)</f>
        <v>49.354573277835</v>
      </c>
      <c r="R198" s="8" t="n">
        <f aca="false">((CEG_Assets!$K$7*R190+CEG_Assets!$M$7*R$4)*R188*R192+CEG_Assets!$N$7*(1+CEG_Assets!$Q$7)^(R$3-2026)*(R188+R189))/1000000*(1+CEG_FuelAdj)</f>
        <v>50.5884376097809</v>
      </c>
      <c r="S198" s="8" t="n">
        <f aca="false">((CEG_Assets!$K$7*S190+CEG_Assets!$M$7*S$4)*S188*S192+CEG_Assets!$N$7*(1+CEG_Assets!$Q$7)^(S$3-2026)*(S188+S189))/1000000*(1+CEG_FuelAdj)</f>
        <v>51.8531485500254</v>
      </c>
      <c r="T198" s="8" t="n">
        <f aca="false">((CEG_Assets!$K$7*T190+CEG_Assets!$M$7*T$4)*T188*T192+CEG_Assets!$N$7*(1+CEG_Assets!$Q$7)^(T$3-2026)*(T188+T189))/1000000*(1+CEG_FuelAdj)</f>
        <v>53.149477263776</v>
      </c>
      <c r="U198" s="8" t="n">
        <f aca="false">((CEG_Assets!$K$7*U190+CEG_Assets!$M$7*U$4)*U188*U192+CEG_Assets!$N$7*(1+CEG_Assets!$Q$7)^(U$3-2026)*(U188+U189))/1000000*(1+CEG_FuelAdj)</f>
        <v>54.4782141953704</v>
      </c>
      <c r="V198" s="8" t="n">
        <f aca="false">((CEG_Assets!$K$7*V190+CEG_Assets!$M$7*V$4)*V188*V192+CEG_Assets!$N$7*(1+CEG_Assets!$Q$7)^(V$3-2026)*(V188+V189))/1000000*(1+CEG_FuelAdj)</f>
        <v>55.8401695502547</v>
      </c>
      <c r="W198" s="8" t="n">
        <f aca="false">((CEG_Assets!$K$7*W190+CEG_Assets!$M$7*W$4)*W188*W192+CEG_Assets!$N$7*(1+CEG_Assets!$Q$7)^(W$3-2026)*(W188+W189))/1000000*(1+CEG_FuelAdj)</f>
        <v>57.236173789011</v>
      </c>
      <c r="X198" s="8" t="n">
        <f aca="false">((CEG_Assets!$K$7*X190+CEG_Assets!$M$7*X$4)*X188*X192+CEG_Assets!$N$7*(1+CEG_Assets!$Q$7)^(X$3-2026)*(X188+X189))/1000000*(1+CEG_FuelAdj)</f>
        <v>58.6670781337363</v>
      </c>
      <c r="Y198" s="8" t="n">
        <f aca="false">((CEG_Assets!$K$7*Y190+CEG_Assets!$M$7*Y$4)*Y188*Y192+CEG_Assets!$N$7*(1+CEG_Assets!$Q$7)^(Y$3-2026)*(Y188+Y189))/1000000*(1+CEG_FuelAdj)</f>
        <v>60.1337550870797</v>
      </c>
      <c r="Z198" s="8" t="n">
        <f aca="false">((CEG_Assets!$K$7*Z190+CEG_Assets!$M$7*Z$4)*Z188*Z192+CEG_Assets!$N$7*(1+CEG_Assets!$Q$7)^(Z$3-2026)*(Z188+Z189))/1000000*(1+CEG_FuelAdj)</f>
        <v>61.6370989642567</v>
      </c>
      <c r="AA198" s="8" t="n">
        <f aca="false">((CEG_Assets!$K$7*AA190+CEG_Assets!$M$7*AA$4)*AA188*AA192+CEG_Assets!$N$7*(1+CEG_Assets!$Q$7)^(AA$3-2026)*(AA188+AA189))/1000000*(1+CEG_FuelAdj)</f>
        <v>63.1780264383631</v>
      </c>
      <c r="AB198" s="8" t="n">
        <f aca="false">((CEG_Assets!$K$7*AB190+CEG_Assets!$M$7*AB$4)*AB188*AB192+CEG_Assets!$N$7*(1+CEG_Assets!$Q$7)^(AB$3-2026)*(AB188+AB189))/1000000*(1+CEG_FuelAdj)</f>
        <v>64.7574770993222</v>
      </c>
      <c r="AC198" s="8" t="n">
        <f aca="false">((CEG_Assets!$K$7*AC190+CEG_Assets!$M$7*AC$4)*AC188*AC192+CEG_Assets!$N$7*(1+CEG_Assets!$Q$7)^(AC$3-2026)*(AC188+AC189))/1000000*(1+CEG_FuelAdj)</f>
        <v>66.3764140268052</v>
      </c>
      <c r="AD198" s="8" t="n">
        <f aca="false">((CEG_Assets!$K$7*AD190+CEG_Assets!$M$7*AD$4)*AD188*AD192+CEG_Assets!$N$7*(1+CEG_Assets!$Q$7)^(AD$3-2026)*(AD188+AD189))/1000000*(1+CEG_FuelAdj)</f>
        <v>68.0358243774754</v>
      </c>
      <c r="AE198" s="8" t="n">
        <f aca="false">((CEG_Assets!$K$7*AE190+CEG_Assets!$M$7*AE$4)*AE188*AE192+CEG_Assets!$N$7*(1+CEG_Assets!$Q$7)^(AE$3-2026)*(AE188+AE189))/1000000*(1+CEG_FuelAdj)</f>
        <v>69.7367199869122</v>
      </c>
      <c r="AF198" s="8" t="n">
        <f aca="false">((CEG_Assets!$K$7*AF190+CEG_Assets!$M$7*AF$4)*AF188*AF192+CEG_Assets!$N$7*(1+CEG_Assets!$Q$7)^(AF$3-2026)*(AF188+AF189))/1000000*(1+CEG_FuelAdj)</f>
        <v>71.480137986585</v>
      </c>
      <c r="AG198" s="8" t="n">
        <f aca="false">((CEG_Assets!$K$7*AG190+CEG_Assets!$M$7*AG$4)*AG188*AG192+CEG_Assets!$N$7*(1+CEG_Assets!$Q$7)^(AG$3-2026)*(AG188+AG189))/1000000*(1+CEG_FuelAdj)</f>
        <v>73.2671414362496</v>
      </c>
      <c r="AH198" s="8" t="n">
        <f aca="false">((CEG_Assets!$K$7*AH190+CEG_Assets!$M$7*AH$4)*AH188*AH192+CEG_Assets!$N$7*(1+CEG_Assets!$Q$7)^(AH$3-2026)*(AH188+AH189))/1000000*(1+CEG_FuelAdj)</f>
        <v>75.0988199721559</v>
      </c>
      <c r="AI198" s="8" t="n">
        <f aca="false">((CEG_Assets!$K$7*AI190+CEG_Assets!$M$7*AI$4)*AI188*AI192+CEG_Assets!$N$7*(1+CEG_Assets!$Q$7)^(AI$3-2026)*(AI188+AI189))/1000000*(1+CEG_FuelAdj)</f>
        <v>0</v>
      </c>
      <c r="AJ198" s="8" t="n">
        <f aca="false">((CEG_Assets!$K$7*AJ190+CEG_Assets!$M$7*AJ$4)*AJ188*AJ192+CEG_Assets!$N$7*(1+CEG_Assets!$Q$7)^(AJ$3-2026)*(AJ188+AJ189))/1000000*(1+CEG_FuelAdj)</f>
        <v>0</v>
      </c>
      <c r="AK198" s="8" t="n">
        <f aca="false">((CEG_Assets!$K$7*AK190+CEG_Assets!$M$7*AK$4)*AK188*AK192+CEG_Assets!$N$7*(1+CEG_Assets!$Q$7)^(AK$3-2026)*(AK188+AK189))/1000000*(1+CEG_FuelAdj)</f>
        <v>0</v>
      </c>
      <c r="AL198" s="8" t="n">
        <f aca="false">((CEG_Assets!$K$7*AL190+CEG_Assets!$M$7*AL$4)*AL188*AL192+CEG_Assets!$N$7*(1+CEG_Assets!$Q$7)^(AL$3-2026)*(AL188+AL189))/1000000*(1+CEG_FuelAdj)</f>
        <v>0</v>
      </c>
      <c r="AM198" s="8" t="n">
        <f aca="false">((CEG_Assets!$K$7*AM190+CEG_Assets!$M$7*AM$4)*AM188*AM192+CEG_Assets!$N$7*(1+CEG_Assets!$Q$7)^(AM$3-2026)*(AM188+AM189))/1000000*(1+CEG_FuelAdj)</f>
        <v>0</v>
      </c>
      <c r="AN198" s="8" t="n">
        <f aca="false">((CEG_Assets!$K$7*AN190+CEG_Assets!$M$7*AN$4)*AN188*AN192+CEG_Assets!$N$7*(1+CEG_Assets!$Q$7)^(AN$3-2026)*(AN188+AN189))/1000000*(1+CEG_FuelAdj)</f>
        <v>0</v>
      </c>
      <c r="AO198" s="8" t="n">
        <f aca="false">((CEG_Assets!$K$7*AO190+CEG_Assets!$M$7*AO$4)*AO188*AO192+CEG_Assets!$N$7*(1+CEG_Assets!$Q$7)^(AO$3-2026)*(AO188+AO189))/1000000*(1+CEG_FuelAdj)</f>
        <v>0</v>
      </c>
      <c r="AP198" s="8" t="n">
        <f aca="false">((CEG_Assets!$K$7*AP190+CEG_Assets!$M$7*AP$4)*AP188*AP192+CEG_Assets!$N$7*(1+CEG_Assets!$Q$7)^(AP$3-2026)*(AP188+AP189))/1000000*(1+CEG_FuelAdj)</f>
        <v>0</v>
      </c>
      <c r="AQ198" s="8" t="n">
        <f aca="false">((CEG_Assets!$K$7*AQ190+CEG_Assets!$M$7*AQ$4)*AQ188*AQ192+CEG_Assets!$N$7*(1+CEG_Assets!$Q$7)^(AQ$3-2026)*(AQ188+AQ189))/1000000*(1+CEG_FuelAdj)</f>
        <v>0</v>
      </c>
      <c r="AR198" s="8" t="n">
        <f aca="false">((CEG_Assets!$K$7*AR190+CEG_Assets!$M$7*AR$4)*AR188*AR192+CEG_Assets!$N$7*(1+CEG_Assets!$Q$7)^(AR$3-2026)*(AR188+AR189))/1000000*(1+CEG_FuelAdj)</f>
        <v>0</v>
      </c>
      <c r="AS198" s="8" t="n">
        <f aca="false">((CEG_Assets!$K$7*AS190+CEG_Assets!$M$7*AS$4)*AS188*AS192+CEG_Assets!$N$7*(1+CEG_Assets!$Q$7)^(AS$3-2026)*(AS188+AS189))/1000000*(1+CEG_FuelAdj)</f>
        <v>0</v>
      </c>
    </row>
    <row r="199" customFormat="false" ht="15" hidden="false" customHeight="false" outlineLevel="0" collapsed="false">
      <c r="A199" s="6" t="s">
        <v>451</v>
      </c>
      <c r="B199" s="6" t="s">
        <v>452</v>
      </c>
      <c r="C199" s="9" t="n">
        <f aca="false">SUM(G199:AS199)</f>
        <v>17631.9999322358</v>
      </c>
      <c r="G199" s="8" t="n">
        <f aca="false">G197-G198</f>
        <v>0</v>
      </c>
      <c r="H199" s="8" t="n">
        <f aca="false">H197-H198</f>
        <v>644.395493393438</v>
      </c>
      <c r="I199" s="8" t="n">
        <f aca="false">I197-I198</f>
        <v>643.407503228274</v>
      </c>
      <c r="J199" s="8" t="n">
        <f aca="false">J197-J198</f>
        <v>642.39481330898</v>
      </c>
      <c r="K199" s="8" t="n">
        <f aca="false">K197-K198</f>
        <v>641.356806141705</v>
      </c>
      <c r="L199" s="8" t="n">
        <f aca="false">L197-L198</f>
        <v>640.292848795247</v>
      </c>
      <c r="M199" s="8" t="n">
        <f aca="false">M197-M198</f>
        <v>639.202292515129</v>
      </c>
      <c r="N199" s="8" t="n">
        <f aca="false">N197-N198</f>
        <v>638.084472328007</v>
      </c>
      <c r="O199" s="8" t="n">
        <f aca="false">O197-O198</f>
        <v>636.938706636207</v>
      </c>
      <c r="P199" s="8" t="n">
        <f aca="false">P197-P198</f>
        <v>635.764296802112</v>
      </c>
      <c r="Q199" s="8" t="n">
        <f aca="false">Q197-Q198</f>
        <v>634.560526722165</v>
      </c>
      <c r="R199" s="8" t="n">
        <f aca="false">R197-R198</f>
        <v>633.326662390219</v>
      </c>
      <c r="S199" s="8" t="n">
        <f aca="false">S197-S198</f>
        <v>632.061951449975</v>
      </c>
      <c r="T199" s="8" t="n">
        <f aca="false">T197-T198</f>
        <v>630.765622736224</v>
      </c>
      <c r="U199" s="8" t="n">
        <f aca="false">U197-U198</f>
        <v>629.43688580463</v>
      </c>
      <c r="V199" s="8" t="n">
        <f aca="false">V197-V198</f>
        <v>628.074930449745</v>
      </c>
      <c r="W199" s="8" t="n">
        <f aca="false">W197-W198</f>
        <v>626.678926210989</v>
      </c>
      <c r="X199" s="8" t="n">
        <f aca="false">X197-X198</f>
        <v>625.248021866264</v>
      </c>
      <c r="Y199" s="8" t="n">
        <f aca="false">Y197-Y198</f>
        <v>623.78134491292</v>
      </c>
      <c r="Z199" s="8" t="n">
        <f aca="false">Z197-Z198</f>
        <v>622.278001035743</v>
      </c>
      <c r="AA199" s="8" t="n">
        <f aca="false">AA197-AA198</f>
        <v>620.737073561637</v>
      </c>
      <c r="AB199" s="8" t="n">
        <f aca="false">AB197-AB198</f>
        <v>668.597038238599</v>
      </c>
      <c r="AC199" s="8" t="n">
        <f aca="false">AC197-AC198</f>
        <v>681.645191617874</v>
      </c>
      <c r="AD199" s="8" t="n">
        <f aca="false">AD197-AD198</f>
        <v>694.946213380098</v>
      </c>
      <c r="AE199" s="8" t="n">
        <f aca="false">AE197-AE198</f>
        <v>708.504958525812</v>
      </c>
      <c r="AF199" s="8" t="n">
        <f aca="false">AF197-AF198</f>
        <v>722.326374096394</v>
      </c>
      <c r="AG199" s="8" t="n">
        <f aca="false">AG197-AG198</f>
        <v>736.415500888389</v>
      </c>
      <c r="AH199" s="8" t="n">
        <f aca="false">AH197-AH198</f>
        <v>750.777475198976</v>
      </c>
      <c r="AI199" s="8" t="n">
        <f aca="false">AI197-AI198</f>
        <v>0</v>
      </c>
      <c r="AJ199" s="8" t="n">
        <f aca="false">AJ197-AJ198</f>
        <v>0</v>
      </c>
      <c r="AK199" s="8" t="n">
        <f aca="false">AK197-AK198</f>
        <v>0</v>
      </c>
      <c r="AL199" s="8" t="n">
        <f aca="false">AL197-AL198</f>
        <v>0</v>
      </c>
      <c r="AM199" s="8" t="n">
        <f aca="false">AM197-AM198</f>
        <v>0</v>
      </c>
      <c r="AN199" s="8" t="n">
        <f aca="false">AN197-AN198</f>
        <v>0</v>
      </c>
      <c r="AO199" s="8" t="n">
        <f aca="false">AO197-AO198</f>
        <v>0</v>
      </c>
      <c r="AP199" s="8" t="n">
        <f aca="false">AP197-AP198</f>
        <v>0</v>
      </c>
      <c r="AQ199" s="8" t="n">
        <f aca="false">AQ197-AQ198</f>
        <v>0</v>
      </c>
      <c r="AR199" s="8" t="n">
        <f aca="false">AR197-AR198</f>
        <v>0</v>
      </c>
      <c r="AS199" s="8" t="n">
        <f aca="false">AS197-AS198</f>
        <v>0</v>
      </c>
    </row>
    <row r="200" customFormat="false" ht="15" hidden="false" customHeight="false" outlineLevel="0" collapsed="false">
      <c r="A200" s="6" t="s">
        <v>453</v>
      </c>
      <c r="B200" s="6" t="s">
        <v>454</v>
      </c>
      <c r="C200" s="9" t="n">
        <f aca="false">SUM(G200:AS200)</f>
        <v>6074.79309227064</v>
      </c>
      <c r="G200" s="8" t="n">
        <f aca="false">(CEG_Assets!$R$7*CEG_Assets!$D$7*1000*G$4*G186+CEG_Assets!$O$7*(1+CEG_Assets!$Q$7)^(G$3-2026)*(G188+G189))/1000000*(1+CEG_OMAdj)</f>
        <v>0</v>
      </c>
      <c r="H200" s="8" t="n">
        <f aca="false">(CEG_Assets!$R$7*CEG_Assets!$D$7*1000*H$4*H186+CEG_Assets!$O$7*(1+CEG_Assets!$Q$7)^(H$3-2026)*(H188+H189))/1000000*(1+CEG_OMAdj)</f>
        <v>160.234041332063</v>
      </c>
      <c r="I200" s="8" t="n">
        <f aca="false">(CEG_Assets!$R$7*CEG_Assets!$D$7*1000*I$4*I186+CEG_Assets!$O$7*(1+CEG_Assets!$Q$7)^(I$3-2026)*(I188+I189))/1000000*(1+CEG_OMAdj)</f>
        <v>164.239892365364</v>
      </c>
      <c r="J200" s="8" t="n">
        <f aca="false">(CEG_Assets!$R$7*CEG_Assets!$D$7*1000*J$4*J186+CEG_Assets!$O$7*(1+CEG_Assets!$Q$7)^(J$3-2026)*(J188+J189))/1000000*(1+CEG_OMAdj)</f>
        <v>168.345889674498</v>
      </c>
      <c r="K200" s="8" t="n">
        <f aca="false">(CEG_Assets!$R$7*CEG_Assets!$D$7*1000*K$4*K186+CEG_Assets!$O$7*(1+CEG_Assets!$Q$7)^(K$3-2026)*(K188+K189))/1000000*(1+CEG_OMAdj)</f>
        <v>172.554536916361</v>
      </c>
      <c r="L200" s="8" t="n">
        <f aca="false">(CEG_Assets!$R$7*CEG_Assets!$D$7*1000*L$4*L186+CEG_Assets!$O$7*(1+CEG_Assets!$Q$7)^(L$3-2026)*(L188+L189))/1000000*(1+CEG_OMAdj)</f>
        <v>176.86840033927</v>
      </c>
      <c r="M200" s="8" t="n">
        <f aca="false">(CEG_Assets!$R$7*CEG_Assets!$D$7*1000*M$4*M186+CEG_Assets!$O$7*(1+CEG_Assets!$Q$7)^(M$3-2026)*(M188+M189))/1000000*(1+CEG_OMAdj)</f>
        <v>181.290110347751</v>
      </c>
      <c r="N200" s="8" t="n">
        <f aca="false">(CEG_Assets!$R$7*CEG_Assets!$D$7*1000*N$4*N186+CEG_Assets!$O$7*(1+CEG_Assets!$Q$7)^(N$3-2026)*(N188+N189))/1000000*(1+CEG_OMAdj)</f>
        <v>185.822363106445</v>
      </c>
      <c r="O200" s="8" t="n">
        <f aca="false">(CEG_Assets!$R$7*CEG_Assets!$D$7*1000*O$4*O186+CEG_Assets!$O$7*(1+CEG_Assets!$Q$7)^(O$3-2026)*(O188+O189))/1000000*(1+CEG_OMAdj)</f>
        <v>190.467922184106</v>
      </c>
      <c r="P200" s="8" t="n">
        <f aca="false">(CEG_Assets!$R$7*CEG_Assets!$D$7*1000*P$4*P186+CEG_Assets!$O$7*(1+CEG_Assets!$Q$7)^(P$3-2026)*(P188+P189))/1000000*(1+CEG_OMAdj)</f>
        <v>195.229620238709</v>
      </c>
      <c r="Q200" s="8" t="n">
        <f aca="false">(CEG_Assets!$R$7*CEG_Assets!$D$7*1000*Q$4*Q186+CEG_Assets!$O$7*(1+CEG_Assets!$Q$7)^(Q$3-2026)*(Q188+Q189))/1000000*(1+CEG_OMAdj)</f>
        <v>200.110360744676</v>
      </c>
      <c r="R200" s="8" t="n">
        <f aca="false">(CEG_Assets!$R$7*CEG_Assets!$D$7*1000*R$4*R186+CEG_Assets!$O$7*(1+CEG_Assets!$Q$7)^(R$3-2026)*(R188+R189))/1000000*(1+CEG_OMAdj)</f>
        <v>205.113119763293</v>
      </c>
      <c r="S200" s="8" t="n">
        <f aca="false">(CEG_Assets!$R$7*CEG_Assets!$D$7*1000*S$4*S186+CEG_Assets!$O$7*(1+CEG_Assets!$Q$7)^(S$3-2026)*(S188+S189))/1000000*(1+CEG_OMAdj)</f>
        <v>210.240947757376</v>
      </c>
      <c r="T200" s="8" t="n">
        <f aca="false">(CEG_Assets!$R$7*CEG_Assets!$D$7*1000*T$4*T186+CEG_Assets!$O$7*(1+CEG_Assets!$Q$7)^(T$3-2026)*(T188+T189))/1000000*(1+CEG_OMAdj)</f>
        <v>215.49697145131</v>
      </c>
      <c r="U200" s="8" t="n">
        <f aca="false">(CEG_Assets!$R$7*CEG_Assets!$D$7*1000*U$4*U186+CEG_Assets!$O$7*(1+CEG_Assets!$Q$7)^(U$3-2026)*(U188+U189))/1000000*(1+CEG_OMAdj)</f>
        <v>220.884395737593</v>
      </c>
      <c r="V200" s="8" t="n">
        <f aca="false">(CEG_Assets!$R$7*CEG_Assets!$D$7*1000*V$4*V186+CEG_Assets!$O$7*(1+CEG_Assets!$Q$7)^(V$3-2026)*(V188+V189))/1000000*(1+CEG_OMAdj)</f>
        <v>226.406505631033</v>
      </c>
      <c r="W200" s="8" t="n">
        <f aca="false">(CEG_Assets!$R$7*CEG_Assets!$D$7*1000*W$4*W186+CEG_Assets!$O$7*(1+CEG_Assets!$Q$7)^(W$3-2026)*(W188+W189))/1000000*(1+CEG_OMAdj)</f>
        <v>232.066668271808</v>
      </c>
      <c r="X200" s="8" t="n">
        <f aca="false">(CEG_Assets!$R$7*CEG_Assets!$D$7*1000*X$4*X186+CEG_Assets!$O$7*(1+CEG_Assets!$Q$7)^(X$3-2026)*(X188+X189))/1000000*(1+CEG_OMAdj)</f>
        <v>237.868334978604</v>
      </c>
      <c r="Y200" s="8" t="n">
        <f aca="false">(CEG_Assets!$R$7*CEG_Assets!$D$7*1000*Y$4*Y186+CEG_Assets!$O$7*(1+CEG_Assets!$Q$7)^(Y$3-2026)*(Y188+Y189))/1000000*(1+CEG_OMAdj)</f>
        <v>243.815043353069</v>
      </c>
      <c r="Z200" s="8" t="n">
        <f aca="false">(CEG_Assets!$R$7*CEG_Assets!$D$7*1000*Z$4*Z186+CEG_Assets!$O$7*(1+CEG_Assets!$Q$7)^(Z$3-2026)*(Z188+Z189))/1000000*(1+CEG_OMAdj)</f>
        <v>249.910419436895</v>
      </c>
      <c r="AA200" s="8" t="n">
        <f aca="false">(CEG_Assets!$R$7*CEG_Assets!$D$7*1000*AA$4*AA186+CEG_Assets!$O$7*(1+CEG_Assets!$Q$7)^(AA$3-2026)*(AA188+AA189))/1000000*(1+CEG_OMAdj)</f>
        <v>256.158179922818</v>
      </c>
      <c r="AB200" s="8" t="n">
        <f aca="false">(CEG_Assets!$R$7*CEG_Assets!$D$7*1000*AB$4*AB186+CEG_Assets!$O$7*(1+CEG_Assets!$Q$7)^(AB$3-2026)*(AB188+AB189))/1000000*(1+CEG_OMAdj)</f>
        <v>262.562134420888</v>
      </c>
      <c r="AC200" s="8" t="n">
        <f aca="false">(CEG_Assets!$R$7*CEG_Assets!$D$7*1000*AC$4*AC186+CEG_Assets!$O$7*(1+CEG_Assets!$Q$7)^(AC$3-2026)*(AC188+AC189))/1000000*(1+CEG_OMAdj)</f>
        <v>269.12618778141</v>
      </c>
      <c r="AD200" s="8" t="n">
        <f aca="false">(CEG_Assets!$R$7*CEG_Assets!$D$7*1000*AD$4*AD186+CEG_Assets!$O$7*(1+CEG_Assets!$Q$7)^(AD$3-2026)*(AD188+AD189))/1000000*(1+CEG_OMAdj)</f>
        <v>275.854342475946</v>
      </c>
      <c r="AE200" s="8" t="n">
        <f aca="false">(CEG_Assets!$R$7*CEG_Assets!$D$7*1000*AE$4*AE186+CEG_Assets!$O$7*(1+CEG_Assets!$Q$7)^(AE$3-2026)*(AE188+AE189))/1000000*(1+CEG_OMAdj)</f>
        <v>282.750701037844</v>
      </c>
      <c r="AF200" s="8" t="n">
        <f aca="false">(CEG_Assets!$R$7*CEG_Assets!$D$7*1000*AF$4*AF186+CEG_Assets!$O$7*(1+CEG_Assets!$Q$7)^(AF$3-2026)*(AF188+AF189))/1000000*(1+CEG_OMAdj)</f>
        <v>289.81946856379</v>
      </c>
      <c r="AG200" s="8" t="n">
        <f aca="false">(CEG_Assets!$R$7*CEG_Assets!$D$7*1000*AG$4*AG186+CEG_Assets!$O$7*(1+CEG_Assets!$Q$7)^(AG$3-2026)*(AG188+AG189))/1000000*(1+CEG_OMAdj)</f>
        <v>297.064955277885</v>
      </c>
      <c r="AH200" s="8" t="n">
        <f aca="false">(CEG_Assets!$R$7*CEG_Assets!$D$7*1000*AH$4*AH186+CEG_Assets!$O$7*(1+CEG_Assets!$Q$7)^(AH$3-2026)*(AH188+AH189))/1000000*(1+CEG_OMAdj)</f>
        <v>304.491579159832</v>
      </c>
      <c r="AI200" s="8" t="n">
        <f aca="false">(CEG_Assets!$R$7*CEG_Assets!$D$7*1000*AI$4*AI186+CEG_Assets!$O$7*(1+CEG_Assets!$Q$7)^(AI$3-2026)*(AI188+AI189))/1000000*(1+CEG_OMAdj)</f>
        <v>0</v>
      </c>
      <c r="AJ200" s="8" t="n">
        <f aca="false">(CEG_Assets!$R$7*CEG_Assets!$D$7*1000*AJ$4*AJ186+CEG_Assets!$O$7*(1+CEG_Assets!$Q$7)^(AJ$3-2026)*(AJ188+AJ189))/1000000*(1+CEG_OMAdj)</f>
        <v>0</v>
      </c>
      <c r="AK200" s="8" t="n">
        <f aca="false">(CEG_Assets!$R$7*CEG_Assets!$D$7*1000*AK$4*AK186+CEG_Assets!$O$7*(1+CEG_Assets!$Q$7)^(AK$3-2026)*(AK188+AK189))/1000000*(1+CEG_OMAdj)</f>
        <v>0</v>
      </c>
      <c r="AL200" s="8" t="n">
        <f aca="false">(CEG_Assets!$R$7*CEG_Assets!$D$7*1000*AL$4*AL186+CEG_Assets!$O$7*(1+CEG_Assets!$Q$7)^(AL$3-2026)*(AL188+AL189))/1000000*(1+CEG_OMAdj)</f>
        <v>0</v>
      </c>
      <c r="AM200" s="8" t="n">
        <f aca="false">(CEG_Assets!$R$7*CEG_Assets!$D$7*1000*AM$4*AM186+CEG_Assets!$O$7*(1+CEG_Assets!$Q$7)^(AM$3-2026)*(AM188+AM189))/1000000*(1+CEG_OMAdj)</f>
        <v>0</v>
      </c>
      <c r="AN200" s="8" t="n">
        <f aca="false">(CEG_Assets!$R$7*CEG_Assets!$D$7*1000*AN$4*AN186+CEG_Assets!$O$7*(1+CEG_Assets!$Q$7)^(AN$3-2026)*(AN188+AN189))/1000000*(1+CEG_OMAdj)</f>
        <v>0</v>
      </c>
      <c r="AO200" s="8" t="n">
        <f aca="false">(CEG_Assets!$R$7*CEG_Assets!$D$7*1000*AO$4*AO186+CEG_Assets!$O$7*(1+CEG_Assets!$Q$7)^(AO$3-2026)*(AO188+AO189))/1000000*(1+CEG_OMAdj)</f>
        <v>0</v>
      </c>
      <c r="AP200" s="8" t="n">
        <f aca="false">(CEG_Assets!$R$7*CEG_Assets!$D$7*1000*AP$4*AP186+CEG_Assets!$O$7*(1+CEG_Assets!$Q$7)^(AP$3-2026)*(AP188+AP189))/1000000*(1+CEG_OMAdj)</f>
        <v>0</v>
      </c>
      <c r="AQ200" s="8" t="n">
        <f aca="false">(CEG_Assets!$R$7*CEG_Assets!$D$7*1000*AQ$4*AQ186+CEG_Assets!$O$7*(1+CEG_Assets!$Q$7)^(AQ$3-2026)*(AQ188+AQ189))/1000000*(1+CEG_OMAdj)</f>
        <v>0</v>
      </c>
      <c r="AR200" s="8" t="n">
        <f aca="false">(CEG_Assets!$R$7*CEG_Assets!$D$7*1000*AR$4*AR186+CEG_Assets!$O$7*(1+CEG_Assets!$Q$7)^(AR$3-2026)*(AR188+AR189))/1000000*(1+CEG_OMAdj)</f>
        <v>0</v>
      </c>
      <c r="AS200" s="8" t="n">
        <f aca="false">(CEG_Assets!$R$7*CEG_Assets!$D$7*1000*AS$4*AS186+CEG_Assets!$O$7*(1+CEG_Assets!$Q$7)^(AS$3-2026)*(AS188+AS189))/1000000*(1+CEG_OMAdj)</f>
        <v>0</v>
      </c>
    </row>
    <row r="201" customFormat="false" ht="15" hidden="false" customHeight="false" outlineLevel="0" collapsed="false">
      <c r="A201" s="6" t="s">
        <v>455</v>
      </c>
      <c r="B201" s="6" t="s">
        <v>456</v>
      </c>
      <c r="C201" s="9" t="n">
        <f aca="false">SUM(G201:AS201)</f>
        <v>11557.2068399651</v>
      </c>
      <c r="G201" s="8" t="n">
        <f aca="false">G199-G200</f>
        <v>0</v>
      </c>
      <c r="H201" s="8" t="n">
        <f aca="false">H199-H200</f>
        <v>484.161452061375</v>
      </c>
      <c r="I201" s="8" t="n">
        <f aca="false">I199-I200</f>
        <v>479.16761086291</v>
      </c>
      <c r="J201" s="8" t="n">
        <f aca="false">J199-J200</f>
        <v>474.048923634482</v>
      </c>
      <c r="K201" s="8" t="n">
        <f aca="false">K199-K200</f>
        <v>468.802269225344</v>
      </c>
      <c r="L201" s="8" t="n">
        <f aca="false">L199-L200</f>
        <v>463.424448455978</v>
      </c>
      <c r="M201" s="8" t="n">
        <f aca="false">M199-M200</f>
        <v>457.912182167377</v>
      </c>
      <c r="N201" s="8" t="n">
        <f aca="false">N199-N200</f>
        <v>452.262109221562</v>
      </c>
      <c r="O201" s="8" t="n">
        <f aca="false">O199-O200</f>
        <v>446.470784452101</v>
      </c>
      <c r="P201" s="8" t="n">
        <f aca="false">P199-P200</f>
        <v>440.534676563403</v>
      </c>
      <c r="Q201" s="8" t="n">
        <f aca="false">Q199-Q200</f>
        <v>434.450165977489</v>
      </c>
      <c r="R201" s="8" t="n">
        <f aca="false">R199-R200</f>
        <v>428.213542626926</v>
      </c>
      <c r="S201" s="8" t="n">
        <f aca="false">S199-S200</f>
        <v>421.821003692599</v>
      </c>
      <c r="T201" s="8" t="n">
        <f aca="false">T199-T200</f>
        <v>415.268651284914</v>
      </c>
      <c r="U201" s="8" t="n">
        <f aca="false">U199-U200</f>
        <v>408.552490067037</v>
      </c>
      <c r="V201" s="8" t="n">
        <f aca="false">V199-V200</f>
        <v>401.668424818713</v>
      </c>
      <c r="W201" s="8" t="n">
        <f aca="false">W199-W200</f>
        <v>394.612257939181</v>
      </c>
      <c r="X201" s="8" t="n">
        <f aca="false">X199-X200</f>
        <v>387.37968688766</v>
      </c>
      <c r="Y201" s="8" t="n">
        <f aca="false">Y199-Y200</f>
        <v>379.966301559852</v>
      </c>
      <c r="Z201" s="8" t="n">
        <f aca="false">Z199-Z200</f>
        <v>372.367581598848</v>
      </c>
      <c r="AA201" s="8" t="n">
        <f aca="false">AA199-AA200</f>
        <v>364.578893638819</v>
      </c>
      <c r="AB201" s="8" t="n">
        <f aca="false">AB199-AB200</f>
        <v>406.034903817711</v>
      </c>
      <c r="AC201" s="8" t="n">
        <f aca="false">AC199-AC200</f>
        <v>412.519003836464</v>
      </c>
      <c r="AD201" s="8" t="n">
        <f aca="false">AD199-AD200</f>
        <v>419.091870904152</v>
      </c>
      <c r="AE201" s="8" t="n">
        <f aca="false">AE199-AE200</f>
        <v>425.754257487968</v>
      </c>
      <c r="AF201" s="8" t="n">
        <f aca="false">AF199-AF200</f>
        <v>432.506905532604</v>
      </c>
      <c r="AG201" s="8" t="n">
        <f aca="false">AG199-AG200</f>
        <v>439.350545610504</v>
      </c>
      <c r="AH201" s="8" t="n">
        <f aca="false">AH199-AH200</f>
        <v>446.285896039144</v>
      </c>
      <c r="AI201" s="8" t="n">
        <f aca="false">AI199-AI200</f>
        <v>0</v>
      </c>
      <c r="AJ201" s="8" t="n">
        <f aca="false">AJ199-AJ200</f>
        <v>0</v>
      </c>
      <c r="AK201" s="8" t="n">
        <f aca="false">AK199-AK200</f>
        <v>0</v>
      </c>
      <c r="AL201" s="8" t="n">
        <f aca="false">AL199-AL200</f>
        <v>0</v>
      </c>
      <c r="AM201" s="8" t="n">
        <f aca="false">AM199-AM200</f>
        <v>0</v>
      </c>
      <c r="AN201" s="8" t="n">
        <f aca="false">AN199-AN200</f>
        <v>0</v>
      </c>
      <c r="AO201" s="8" t="n">
        <f aca="false">AO199-AO200</f>
        <v>0</v>
      </c>
      <c r="AP201" s="8" t="n">
        <f aca="false">AP199-AP200</f>
        <v>0</v>
      </c>
      <c r="AQ201" s="8" t="n">
        <f aca="false">AQ199-AQ200</f>
        <v>0</v>
      </c>
      <c r="AR201" s="8" t="n">
        <f aca="false">AR199-AR200</f>
        <v>0</v>
      </c>
      <c r="AS201" s="8" t="n">
        <f aca="false">AS199-AS200</f>
        <v>0</v>
      </c>
    </row>
    <row r="202" customFormat="false" ht="15" hidden="false" customHeight="false" outlineLevel="0" collapsed="false">
      <c r="A202" s="6" t="s">
        <v>457</v>
      </c>
      <c r="B202" s="6" t="s">
        <v>458</v>
      </c>
      <c r="C202" s="9" t="n">
        <f aca="false">SUM(G202:AS202)</f>
        <v>2597.57429643426</v>
      </c>
      <c r="G202" s="8" t="n">
        <f aca="false">((CEG_Assets!$S$7*CEG_Assets!$D$7*1000*G$4*G186+CEG_Assets!$P$7*(1+CEG_Assets!$Q$7)^(G$3-2026)*(G188+G189))/1000000+IF(G$3=CEG_Assets!$AH$7,CEG_Assets!$AG$7,0))*(1+CEG_CapexAdj)</f>
        <v>500</v>
      </c>
      <c r="H202" s="8" t="n">
        <f aca="false">((CEG_Assets!$S$7*CEG_Assets!$D$7*1000*H$4*H186+CEG_Assets!$P$7*(1+CEG_Assets!$Q$7)^(H$3-2026)*(H188+H189))/1000000+IF(H$3=CEG_Assets!$AH$7,CEG_Assets!$AG$7,0))*(1+CEG_CapexAdj)</f>
        <v>55.3274492491875</v>
      </c>
      <c r="I202" s="8" t="n">
        <f aca="false">((CEG_Assets!$S$7*CEG_Assets!$D$7*1000*I$4*I186+CEG_Assets!$P$7*(1+CEG_Assets!$Q$7)^(I$3-2026)*(I188+I189))/1000000+IF(I$3=CEG_Assets!$AH$7,CEG_Assets!$AG$7,0))*(1+CEG_CapexAdj)</f>
        <v>56.7106354804172</v>
      </c>
      <c r="J202" s="8" t="n">
        <f aca="false">((CEG_Assets!$S$7*CEG_Assets!$D$7*1000*J$4*J186+CEG_Assets!$P$7*(1+CEG_Assets!$Q$7)^(J$3-2026)*(J188+J189))/1000000+IF(J$3=CEG_Assets!$AH$7,CEG_Assets!$AG$7,0))*(1+CEG_CapexAdj)</f>
        <v>58.1284013674276</v>
      </c>
      <c r="K202" s="8" t="n">
        <f aca="false">((CEG_Assets!$S$7*CEG_Assets!$D$7*1000*K$4*K186+CEG_Assets!$P$7*(1+CEG_Assets!$Q$7)^(K$3-2026)*(K188+K189))/1000000+IF(K$3=CEG_Assets!$AH$7,CEG_Assets!$AG$7,0))*(1+CEG_CapexAdj)</f>
        <v>59.5816114016133</v>
      </c>
      <c r="L202" s="8" t="n">
        <f aca="false">((CEG_Assets!$S$7*CEG_Assets!$D$7*1000*L$4*L186+CEG_Assets!$P$7*(1+CEG_Assets!$Q$7)^(L$3-2026)*(L188+L189))/1000000+IF(L$3=CEG_Assets!$AH$7,CEG_Assets!$AG$7,0))*(1+CEG_CapexAdj)</f>
        <v>61.0711516866536</v>
      </c>
      <c r="M202" s="8" t="n">
        <f aca="false">((CEG_Assets!$S$7*CEG_Assets!$D$7*1000*M$4*M186+CEG_Assets!$P$7*(1+CEG_Assets!$Q$7)^(M$3-2026)*(M188+M189))/1000000+IF(M$3=CEG_Assets!$AH$7,CEG_Assets!$AG$7,0))*(1+CEG_CapexAdj)</f>
        <v>62.59793047882</v>
      </c>
      <c r="N202" s="8" t="n">
        <f aca="false">((CEG_Assets!$S$7*CEG_Assets!$D$7*1000*N$4*N186+CEG_Assets!$P$7*(1+CEG_Assets!$Q$7)^(N$3-2026)*(N188+N189))/1000000+IF(N$3=CEG_Assets!$AH$7,CEG_Assets!$AG$7,0))*(1+CEG_CapexAdj)</f>
        <v>64.1628787407904</v>
      </c>
      <c r="O202" s="8" t="n">
        <f aca="false">((CEG_Assets!$S$7*CEG_Assets!$D$7*1000*O$4*O186+CEG_Assets!$P$7*(1+CEG_Assets!$Q$7)^(O$3-2026)*(O188+O189))/1000000+IF(O$3=CEG_Assets!$AH$7,CEG_Assets!$AG$7,0))*(1+CEG_CapexAdj)</f>
        <v>65.7669507093102</v>
      </c>
      <c r="P202" s="8" t="n">
        <f aca="false">((CEG_Assets!$S$7*CEG_Assets!$D$7*1000*P$4*P186+CEG_Assets!$P$7*(1+CEG_Assets!$Q$7)^(P$3-2026)*(P188+P189))/1000000+IF(P$3=CEG_Assets!$AH$7,CEG_Assets!$AG$7,0))*(1+CEG_CapexAdj)</f>
        <v>67.411124477043</v>
      </c>
      <c r="Q202" s="8" t="n">
        <f aca="false">((CEG_Assets!$S$7*CEG_Assets!$D$7*1000*Q$4*Q186+CEG_Assets!$P$7*(1+CEG_Assets!$Q$7)^(Q$3-2026)*(Q188+Q189))/1000000+IF(Q$3=CEG_Assets!$AH$7,CEG_Assets!$AG$7,0))*(1+CEG_CapexAdj)</f>
        <v>69.096402588969</v>
      </c>
      <c r="R202" s="8" t="n">
        <f aca="false">((CEG_Assets!$S$7*CEG_Assets!$D$7*1000*R$4*R186+CEG_Assets!$P$7*(1+CEG_Assets!$Q$7)^(R$3-2026)*(R188+R189))/1000000+IF(R$3=CEG_Assets!$AH$7,CEG_Assets!$AG$7,0))*(1+CEG_CapexAdj)</f>
        <v>70.8238126536932</v>
      </c>
      <c r="S202" s="8" t="n">
        <f aca="false">((CEG_Assets!$S$7*CEG_Assets!$D$7*1000*S$4*S186+CEG_Assets!$P$7*(1+CEG_Assets!$Q$7)^(S$3-2026)*(S188+S189))/1000000+IF(S$3=CEG_Assets!$AH$7,CEG_Assets!$AG$7,0))*(1+CEG_CapexAdj)</f>
        <v>72.5944079700355</v>
      </c>
      <c r="T202" s="8" t="n">
        <f aca="false">((CEG_Assets!$S$7*CEG_Assets!$D$7*1000*T$4*T186+CEG_Assets!$P$7*(1+CEG_Assets!$Q$7)^(T$3-2026)*(T188+T189))/1000000+IF(T$3=CEG_Assets!$AH$7,CEG_Assets!$AG$7,0))*(1+CEG_CapexAdj)</f>
        <v>74.4092681692865</v>
      </c>
      <c r="U202" s="8" t="n">
        <f aca="false">((CEG_Assets!$S$7*CEG_Assets!$D$7*1000*U$4*U186+CEG_Assets!$P$7*(1+CEG_Assets!$Q$7)^(U$3-2026)*(U188+U189))/1000000+IF(U$3=CEG_Assets!$AH$7,CEG_Assets!$AG$7,0))*(1+CEG_CapexAdj)</f>
        <v>76.2694998735186</v>
      </c>
      <c r="V202" s="8" t="n">
        <f aca="false">((CEG_Assets!$S$7*CEG_Assets!$D$7*1000*V$4*V186+CEG_Assets!$P$7*(1+CEG_Assets!$Q$7)^(V$3-2026)*(V188+V189))/1000000+IF(V$3=CEG_Assets!$AH$7,CEG_Assets!$AG$7,0))*(1+CEG_CapexAdj)</f>
        <v>78.1762373703566</v>
      </c>
      <c r="W202" s="8" t="n">
        <f aca="false">((CEG_Assets!$S$7*CEG_Assets!$D$7*1000*W$4*W186+CEG_Assets!$P$7*(1+CEG_Assets!$Q$7)^(W$3-2026)*(W188+W189))/1000000+IF(W$3=CEG_Assets!$AH$7,CEG_Assets!$AG$7,0))*(1+CEG_CapexAdj)</f>
        <v>80.1306433046155</v>
      </c>
      <c r="X202" s="8" t="n">
        <f aca="false">((CEG_Assets!$S$7*CEG_Assets!$D$7*1000*X$4*X186+CEG_Assets!$P$7*(1+CEG_Assets!$Q$7)^(X$3-2026)*(X188+X189))/1000000+IF(X$3=CEG_Assets!$AH$7,CEG_Assets!$AG$7,0))*(1+CEG_CapexAdj)</f>
        <v>82.1339093872308</v>
      </c>
      <c r="Y202" s="8" t="n">
        <f aca="false">((CEG_Assets!$S$7*CEG_Assets!$D$7*1000*Y$4*Y186+CEG_Assets!$P$7*(1+CEG_Assets!$Q$7)^(Y$3-2026)*(Y188+Y189))/1000000+IF(Y$3=CEG_Assets!$AH$7,CEG_Assets!$AG$7,0))*(1+CEG_CapexAdj)</f>
        <v>84.1872571219116</v>
      </c>
      <c r="Z202" s="8" t="n">
        <f aca="false">((CEG_Assets!$S$7*CEG_Assets!$D$7*1000*Z$4*Z186+CEG_Assets!$P$7*(1+CEG_Assets!$Q$7)^(Z$3-2026)*(Z188+Z189))/1000000+IF(Z$3=CEG_Assets!$AH$7,CEG_Assets!$AG$7,0))*(1+CEG_CapexAdj)</f>
        <v>86.2919385499594</v>
      </c>
      <c r="AA202" s="8" t="n">
        <f aca="false">((CEG_Assets!$S$7*CEG_Assets!$D$7*1000*AA$4*AA186+CEG_Assets!$P$7*(1+CEG_Assets!$Q$7)^(AA$3-2026)*(AA188+AA189))/1000000+IF(AA$3=CEG_Assets!$AH$7,CEG_Assets!$AG$7,0))*(1+CEG_CapexAdj)</f>
        <v>88.4492370137084</v>
      </c>
      <c r="AB202" s="8" t="n">
        <f aca="false">((CEG_Assets!$S$7*CEG_Assets!$D$7*1000*AB$4*AB186+CEG_Assets!$P$7*(1+CEG_Assets!$Q$7)^(AB$3-2026)*(AB188+AB189))/1000000+IF(AB$3=CEG_Assets!$AH$7,CEG_Assets!$AG$7,0))*(1+CEG_CapexAdj)</f>
        <v>90.6604679390511</v>
      </c>
      <c r="AC202" s="8" t="n">
        <f aca="false">((CEG_Assets!$S$7*CEG_Assets!$D$7*1000*AC$4*AC186+CEG_Assets!$P$7*(1+CEG_Assets!$Q$7)^(AC$3-2026)*(AC188+AC189))/1000000+IF(AC$3=CEG_Assets!$AH$7,CEG_Assets!$AG$7,0))*(1+CEG_CapexAdj)</f>
        <v>92.9269796375273</v>
      </c>
      <c r="AD202" s="8" t="n">
        <f aca="false">((CEG_Assets!$S$7*CEG_Assets!$D$7*1000*AD$4*AD186+CEG_Assets!$P$7*(1+CEG_Assets!$Q$7)^(AD$3-2026)*(AD188+AD189))/1000000+IF(AD$3=CEG_Assets!$AH$7,CEG_Assets!$AG$7,0))*(1+CEG_CapexAdj)</f>
        <v>95.2501541284655</v>
      </c>
      <c r="AE202" s="8" t="n">
        <f aca="false">((CEG_Assets!$S$7*CEG_Assets!$D$7*1000*AE$4*AE186+CEG_Assets!$P$7*(1+CEG_Assets!$Q$7)^(AE$3-2026)*(AE188+AE189))/1000000+IF(AE$3=CEG_Assets!$AH$7,CEG_Assets!$AG$7,0))*(1+CEG_CapexAdj)</f>
        <v>97.6314079816771</v>
      </c>
      <c r="AF202" s="8" t="n">
        <f aca="false">((CEG_Assets!$S$7*CEG_Assets!$D$7*1000*AF$4*AF186+CEG_Assets!$P$7*(1+CEG_Assets!$Q$7)^(AF$3-2026)*(AF188+AF189))/1000000+IF(AF$3=CEG_Assets!$AH$7,CEG_Assets!$AG$7,0))*(1+CEG_CapexAdj)</f>
        <v>100.072193181219</v>
      </c>
      <c r="AG202" s="8" t="n">
        <f aca="false">((CEG_Assets!$S$7*CEG_Assets!$D$7*1000*AG$4*AG186+CEG_Assets!$P$7*(1+CEG_Assets!$Q$7)^(AG$3-2026)*(AG188+AG189))/1000000+IF(AG$3=CEG_Assets!$AH$7,CEG_Assets!$AG$7,0))*(1+CEG_CapexAdj)</f>
        <v>102.57399801075</v>
      </c>
      <c r="AH202" s="8" t="n">
        <f aca="false">((CEG_Assets!$S$7*CEG_Assets!$D$7*1000*AH$4*AH186+CEG_Assets!$P$7*(1+CEG_Assets!$Q$7)^(AH$3-2026)*(AH188+AH189))/1000000+IF(AH$3=CEG_Assets!$AH$7,CEG_Assets!$AG$7,0))*(1+CEG_CapexAdj)</f>
        <v>105.138347961018</v>
      </c>
      <c r="AI202" s="8" t="n">
        <f aca="false">((CEG_Assets!$S$7*CEG_Assets!$D$7*1000*AI$4*AI186+CEG_Assets!$P$7*(1+CEG_Assets!$Q$7)^(AI$3-2026)*(AI188+AI189))/1000000+IF(AI$3=CEG_Assets!$AH$7,CEG_Assets!$AG$7,0))*(1+CEG_CapexAdj)</f>
        <v>0</v>
      </c>
      <c r="AJ202" s="8" t="n">
        <f aca="false">((CEG_Assets!$S$7*CEG_Assets!$D$7*1000*AJ$4*AJ186+CEG_Assets!$P$7*(1+CEG_Assets!$Q$7)^(AJ$3-2026)*(AJ188+AJ189))/1000000+IF(AJ$3=CEG_Assets!$AH$7,CEG_Assets!$AG$7,0))*(1+CEG_CapexAdj)</f>
        <v>0</v>
      </c>
      <c r="AK202" s="8" t="n">
        <f aca="false">((CEG_Assets!$S$7*CEG_Assets!$D$7*1000*AK$4*AK186+CEG_Assets!$P$7*(1+CEG_Assets!$Q$7)^(AK$3-2026)*(AK188+AK189))/1000000+IF(AK$3=CEG_Assets!$AH$7,CEG_Assets!$AG$7,0))*(1+CEG_CapexAdj)</f>
        <v>0</v>
      </c>
      <c r="AL202" s="8" t="n">
        <f aca="false">((CEG_Assets!$S$7*CEG_Assets!$D$7*1000*AL$4*AL186+CEG_Assets!$P$7*(1+CEG_Assets!$Q$7)^(AL$3-2026)*(AL188+AL189))/1000000+IF(AL$3=CEG_Assets!$AH$7,CEG_Assets!$AG$7,0))*(1+CEG_CapexAdj)</f>
        <v>0</v>
      </c>
      <c r="AM202" s="8" t="n">
        <f aca="false">((CEG_Assets!$S$7*CEG_Assets!$D$7*1000*AM$4*AM186+CEG_Assets!$P$7*(1+CEG_Assets!$Q$7)^(AM$3-2026)*(AM188+AM189))/1000000+IF(AM$3=CEG_Assets!$AH$7,CEG_Assets!$AG$7,0))*(1+CEG_CapexAdj)</f>
        <v>0</v>
      </c>
      <c r="AN202" s="8" t="n">
        <f aca="false">((CEG_Assets!$S$7*CEG_Assets!$D$7*1000*AN$4*AN186+CEG_Assets!$P$7*(1+CEG_Assets!$Q$7)^(AN$3-2026)*(AN188+AN189))/1000000+IF(AN$3=CEG_Assets!$AH$7,CEG_Assets!$AG$7,0))*(1+CEG_CapexAdj)</f>
        <v>0</v>
      </c>
      <c r="AO202" s="8" t="n">
        <f aca="false">((CEG_Assets!$S$7*CEG_Assets!$D$7*1000*AO$4*AO186+CEG_Assets!$P$7*(1+CEG_Assets!$Q$7)^(AO$3-2026)*(AO188+AO189))/1000000+IF(AO$3=CEG_Assets!$AH$7,CEG_Assets!$AG$7,0))*(1+CEG_CapexAdj)</f>
        <v>0</v>
      </c>
      <c r="AP202" s="8" t="n">
        <f aca="false">((CEG_Assets!$S$7*CEG_Assets!$D$7*1000*AP$4*AP186+CEG_Assets!$P$7*(1+CEG_Assets!$Q$7)^(AP$3-2026)*(AP188+AP189))/1000000+IF(AP$3=CEG_Assets!$AH$7,CEG_Assets!$AG$7,0))*(1+CEG_CapexAdj)</f>
        <v>0</v>
      </c>
      <c r="AQ202" s="8" t="n">
        <f aca="false">((CEG_Assets!$S$7*CEG_Assets!$D$7*1000*AQ$4*AQ186+CEG_Assets!$P$7*(1+CEG_Assets!$Q$7)^(AQ$3-2026)*(AQ188+AQ189))/1000000+IF(AQ$3=CEG_Assets!$AH$7,CEG_Assets!$AG$7,0))*(1+CEG_CapexAdj)</f>
        <v>0</v>
      </c>
      <c r="AR202" s="8" t="n">
        <f aca="false">((CEG_Assets!$S$7*CEG_Assets!$D$7*1000*AR$4*AR186+CEG_Assets!$P$7*(1+CEG_Assets!$Q$7)^(AR$3-2026)*(AR188+AR189))/1000000+IF(AR$3=CEG_Assets!$AH$7,CEG_Assets!$AG$7,0))*(1+CEG_CapexAdj)</f>
        <v>0</v>
      </c>
      <c r="AS202" s="8" t="n">
        <f aca="false">((CEG_Assets!$S$7*CEG_Assets!$D$7*1000*AS$4*AS186+CEG_Assets!$P$7*(1+CEG_Assets!$Q$7)^(AS$3-2026)*(AS188+AS189))/1000000+IF(AS$3=CEG_Assets!$AH$7,CEG_Assets!$AG$7,0))*(1+CEG_CapexAdj)</f>
        <v>0</v>
      </c>
    </row>
    <row r="203" customFormat="false" ht="15" hidden="false" customHeight="false" outlineLevel="0" collapsed="false">
      <c r="A203" s="6" t="s">
        <v>459</v>
      </c>
      <c r="B203" s="6" t="s">
        <v>460</v>
      </c>
      <c r="C203" s="9" t="n">
        <f aca="false">SUM(G203:AS203)</f>
        <v>8959.63254353086</v>
      </c>
      <c r="G203" s="8" t="n">
        <f aca="false">IF(CEG_Assets!$Y$7=1,MAX(0,G201-G202),G201-G202)</f>
        <v>-500</v>
      </c>
      <c r="H203" s="8" t="n">
        <f aca="false">IF(CEG_Assets!$Y$7=1,MAX(0,H201-H202),H201-H202)</f>
        <v>428.834002812188</v>
      </c>
      <c r="I203" s="8" t="n">
        <f aca="false">IF(CEG_Assets!$Y$7=1,MAX(0,I201-I202),I201-I202)</f>
        <v>422.456975382492</v>
      </c>
      <c r="J203" s="8" t="n">
        <f aca="false">IF(CEG_Assets!$Y$7=1,MAX(0,J201-J202),J201-J202)</f>
        <v>415.920522267055</v>
      </c>
      <c r="K203" s="8" t="n">
        <f aca="false">IF(CEG_Assets!$Y$7=1,MAX(0,K201-K202),K201-K202)</f>
        <v>409.220657823731</v>
      </c>
      <c r="L203" s="8" t="n">
        <f aca="false">IF(CEG_Assets!$Y$7=1,MAX(0,L201-L202),L201-L202)</f>
        <v>402.353296769324</v>
      </c>
      <c r="M203" s="8" t="n">
        <f aca="false">IF(CEG_Assets!$Y$7=1,MAX(0,M201-M202),M201-M202)</f>
        <v>395.314251688557</v>
      </c>
      <c r="N203" s="8" t="n">
        <f aca="false">IF(CEG_Assets!$Y$7=1,MAX(0,N201-N202),N201-N202)</f>
        <v>388.099230480771</v>
      </c>
      <c r="O203" s="8" t="n">
        <f aca="false">IF(CEG_Assets!$Y$7=1,MAX(0,O201-O202),O201-O202)</f>
        <v>380.703833742791</v>
      </c>
      <c r="P203" s="8" t="n">
        <f aca="false">IF(CEG_Assets!$Y$7=1,MAX(0,P201-P202),P201-P202)</f>
        <v>373.12355208636</v>
      </c>
      <c r="Q203" s="8" t="n">
        <f aca="false">IF(CEG_Assets!$Y$7=1,MAX(0,Q201-Q202),Q201-Q202)</f>
        <v>365.35376338852</v>
      </c>
      <c r="R203" s="8" t="n">
        <f aca="false">IF(CEG_Assets!$Y$7=1,MAX(0,R201-R202),R201-R202)</f>
        <v>357.389729973233</v>
      </c>
      <c r="S203" s="8" t="n">
        <f aca="false">IF(CEG_Assets!$Y$7=1,MAX(0,S201-S202),S201-S202)</f>
        <v>349.226595722563</v>
      </c>
      <c r="T203" s="8" t="n">
        <f aca="false">IF(CEG_Assets!$Y$7=1,MAX(0,T201-T202),T201-T202)</f>
        <v>340.859383115628</v>
      </c>
      <c r="U203" s="8" t="n">
        <f aca="false">IF(CEG_Assets!$Y$7=1,MAX(0,U201-U202),U201-U202)</f>
        <v>332.282990193518</v>
      </c>
      <c r="V203" s="8" t="n">
        <f aca="false">IF(CEG_Assets!$Y$7=1,MAX(0,V201-V202),V201-V202)</f>
        <v>323.492187448356</v>
      </c>
      <c r="W203" s="8" t="n">
        <f aca="false">IF(CEG_Assets!$Y$7=1,MAX(0,W201-W202),W201-W202)</f>
        <v>314.481614634565</v>
      </c>
      <c r="X203" s="8" t="n">
        <f aca="false">IF(CEG_Assets!$Y$7=1,MAX(0,X201-X202),X201-X202)</f>
        <v>305.245777500429</v>
      </c>
      <c r="Y203" s="8" t="n">
        <f aca="false">IF(CEG_Assets!$Y$7=1,MAX(0,Y201-Y202),Y201-Y202)</f>
        <v>295.77904443794</v>
      </c>
      <c r="Z203" s="8" t="n">
        <f aca="false">IF(CEG_Assets!$Y$7=1,MAX(0,Z201-Z202),Z201-Z202)</f>
        <v>286.075643048889</v>
      </c>
      <c r="AA203" s="8" t="n">
        <f aca="false">IF(CEG_Assets!$Y$7=1,MAX(0,AA201-AA202),AA201-AA202)</f>
        <v>276.129656625111</v>
      </c>
      <c r="AB203" s="8" t="n">
        <f aca="false">IF(CEG_Assets!$Y$7=1,MAX(0,AB201-AB202),AB201-AB202)</f>
        <v>315.37443587866</v>
      </c>
      <c r="AC203" s="8" t="n">
        <f aca="false">IF(CEG_Assets!$Y$7=1,MAX(0,AC201-AC202),AC201-AC202)</f>
        <v>319.592024198937</v>
      </c>
      <c r="AD203" s="8" t="n">
        <f aca="false">IF(CEG_Assets!$Y$7=1,MAX(0,AD201-AD202),AD201-AD202)</f>
        <v>323.841716775687</v>
      </c>
      <c r="AE203" s="8" t="n">
        <f aca="false">IF(CEG_Assets!$Y$7=1,MAX(0,AE201-AE202),AE201-AE202)</f>
        <v>328.122849506291</v>
      </c>
      <c r="AF203" s="8" t="n">
        <f aca="false">IF(CEG_Assets!$Y$7=1,MAX(0,AF201-AF202),AF201-AF202)</f>
        <v>332.434712351385</v>
      </c>
      <c r="AG203" s="8" t="n">
        <f aca="false">IF(CEG_Assets!$Y$7=1,MAX(0,AG201-AG202),AG201-AG202)</f>
        <v>336.776547599755</v>
      </c>
      <c r="AH203" s="8" t="n">
        <f aca="false">IF(CEG_Assets!$Y$7=1,MAX(0,AH201-AH202),AH201-AH202)</f>
        <v>341.147548078125</v>
      </c>
      <c r="AI203" s="8" t="n">
        <f aca="false">IF(CEG_Assets!$Y$7=1,MAX(0,AI201-AI202),AI201-AI202)</f>
        <v>0</v>
      </c>
      <c r="AJ203" s="8" t="n">
        <f aca="false">IF(CEG_Assets!$Y$7=1,MAX(0,AJ201-AJ202),AJ201-AJ202)</f>
        <v>0</v>
      </c>
      <c r="AK203" s="8" t="n">
        <f aca="false">IF(CEG_Assets!$Y$7=1,MAX(0,AK201-AK202),AK201-AK202)</f>
        <v>0</v>
      </c>
      <c r="AL203" s="8" t="n">
        <f aca="false">IF(CEG_Assets!$Y$7=1,MAX(0,AL201-AL202),AL201-AL202)</f>
        <v>0</v>
      </c>
      <c r="AM203" s="8" t="n">
        <f aca="false">IF(CEG_Assets!$Y$7=1,MAX(0,AM201-AM202),AM201-AM202)</f>
        <v>0</v>
      </c>
      <c r="AN203" s="8" t="n">
        <f aca="false">IF(CEG_Assets!$Y$7=1,MAX(0,AN201-AN202),AN201-AN202)</f>
        <v>0</v>
      </c>
      <c r="AO203" s="8" t="n">
        <f aca="false">IF(CEG_Assets!$Y$7=1,MAX(0,AO201-AO202),AO201-AO202)</f>
        <v>0</v>
      </c>
      <c r="AP203" s="8" t="n">
        <f aca="false">IF(CEG_Assets!$Y$7=1,MAX(0,AP201-AP202),AP201-AP202)</f>
        <v>0</v>
      </c>
      <c r="AQ203" s="8" t="n">
        <f aca="false">IF(CEG_Assets!$Y$7=1,MAX(0,AQ201-AQ202),AQ201-AQ202)</f>
        <v>0</v>
      </c>
      <c r="AR203" s="8" t="n">
        <f aca="false">IF(CEG_Assets!$Y$7=1,MAX(0,AR201-AR202),AR201-AR202)</f>
        <v>0</v>
      </c>
      <c r="AS203" s="8" t="n">
        <f aca="false">IF(CEG_Assets!$Y$7=1,MAX(0,AS201-AS202),AS201-AS202)</f>
        <v>0</v>
      </c>
    </row>
    <row r="204" customFormat="false" ht="15" hidden="false" customHeight="false" outlineLevel="0" collapsed="false">
      <c r="A204" s="6" t="s">
        <v>461</v>
      </c>
      <c r="B204" s="6" t="s">
        <v>462</v>
      </c>
      <c r="C204" s="9" t="n">
        <f aca="false">SUM(G204:AS204)</f>
        <v>0</v>
      </c>
      <c r="G204" s="8" t="n">
        <f aca="false">IF(AND(CEG_Assets!$W$7=1,G$3&lt;=PTCLast,G188&gt;0),G188*MAX(0,PTCCredit*(1+Infl)^(G$3-PTCBase)-0.8*MAX(0,(G193+G194+G196)*1000000/MAX(1,G188)-PTCThresh*(1+Infl)^(G$3-PTCBase)))/1000000,0)</f>
        <v>0</v>
      </c>
      <c r="H204" s="8" t="n">
        <f aca="false">IF(AND(CEG_Assets!$W$7=1,H$3&lt;=PTCLast,H188&gt;0),H188*MAX(0,PTCCredit*(1+Infl)^(H$3-PTCBase)-0.8*MAX(0,(H193+H194+H196)*1000000/MAX(1,H188)-PTCThresh*(1+Infl)^(H$3-PTCBase)))/1000000,0)</f>
        <v>0</v>
      </c>
      <c r="I204" s="8" t="n">
        <f aca="false">IF(AND(CEG_Assets!$W$7=1,I$3&lt;=PTCLast,I188&gt;0),I188*MAX(0,PTCCredit*(1+Infl)^(I$3-PTCBase)-0.8*MAX(0,(I193+I194+I196)*1000000/MAX(1,I188)-PTCThresh*(1+Infl)^(I$3-PTCBase)))/1000000,0)</f>
        <v>0</v>
      </c>
      <c r="J204" s="8" t="n">
        <f aca="false">IF(AND(CEG_Assets!$W$7=1,J$3&lt;=PTCLast,J188&gt;0),J188*MAX(0,PTCCredit*(1+Infl)^(J$3-PTCBase)-0.8*MAX(0,(J193+J194+J196)*1000000/MAX(1,J188)-PTCThresh*(1+Infl)^(J$3-PTCBase)))/1000000,0)</f>
        <v>0</v>
      </c>
      <c r="K204" s="8" t="n">
        <f aca="false">IF(AND(CEG_Assets!$W$7=1,K$3&lt;=PTCLast,K188&gt;0),K188*MAX(0,PTCCredit*(1+Infl)^(K$3-PTCBase)-0.8*MAX(0,(K193+K194+K196)*1000000/MAX(1,K188)-PTCThresh*(1+Infl)^(K$3-PTCBase)))/1000000,0)</f>
        <v>0</v>
      </c>
      <c r="L204" s="8" t="n">
        <f aca="false">IF(AND(CEG_Assets!$W$7=1,L$3&lt;=PTCLast,L188&gt;0),L188*MAX(0,PTCCredit*(1+Infl)^(L$3-PTCBase)-0.8*MAX(0,(L193+L194+L196)*1000000/MAX(1,L188)-PTCThresh*(1+Infl)^(L$3-PTCBase)))/1000000,0)</f>
        <v>0</v>
      </c>
      <c r="M204" s="8" t="n">
        <f aca="false">IF(AND(CEG_Assets!$W$7=1,M$3&lt;=PTCLast,M188&gt;0),M188*MAX(0,PTCCredit*(1+Infl)^(M$3-PTCBase)-0.8*MAX(0,(M193+M194+M196)*1000000/MAX(1,M188)-PTCThresh*(1+Infl)^(M$3-PTCBase)))/1000000,0)</f>
        <v>0</v>
      </c>
      <c r="N204" s="8" t="n">
        <f aca="false">IF(AND(CEG_Assets!$W$7=1,N$3&lt;=PTCLast,N188&gt;0),N188*MAX(0,PTCCredit*(1+Infl)^(N$3-PTCBase)-0.8*MAX(0,(N193+N194+N196)*1000000/MAX(1,N188)-PTCThresh*(1+Infl)^(N$3-PTCBase)))/1000000,0)</f>
        <v>0</v>
      </c>
      <c r="O204" s="8" t="n">
        <f aca="false">IF(AND(CEG_Assets!$W$7=1,O$3&lt;=PTCLast,O188&gt;0),O188*MAX(0,PTCCredit*(1+Infl)^(O$3-PTCBase)-0.8*MAX(0,(O193+O194+O196)*1000000/MAX(1,O188)-PTCThresh*(1+Infl)^(O$3-PTCBase)))/1000000,0)</f>
        <v>0</v>
      </c>
      <c r="P204" s="8" t="n">
        <f aca="false">IF(AND(CEG_Assets!$W$7=1,P$3&lt;=PTCLast,P188&gt;0),P188*MAX(0,PTCCredit*(1+Infl)^(P$3-PTCBase)-0.8*MAX(0,(P193+P194+P196)*1000000/MAX(1,P188)-PTCThresh*(1+Infl)^(P$3-PTCBase)))/1000000,0)</f>
        <v>0</v>
      </c>
      <c r="Q204" s="8" t="n">
        <f aca="false">IF(AND(CEG_Assets!$W$7=1,Q$3&lt;=PTCLast,Q188&gt;0),Q188*MAX(0,PTCCredit*(1+Infl)^(Q$3-PTCBase)-0.8*MAX(0,(Q193+Q194+Q196)*1000000/MAX(1,Q188)-PTCThresh*(1+Infl)^(Q$3-PTCBase)))/1000000,0)</f>
        <v>0</v>
      </c>
      <c r="R204" s="8" t="n">
        <f aca="false">IF(AND(CEG_Assets!$W$7=1,R$3&lt;=PTCLast,R188&gt;0),R188*MAX(0,PTCCredit*(1+Infl)^(R$3-PTCBase)-0.8*MAX(0,(R193+R194+R196)*1000000/MAX(1,R188)-PTCThresh*(1+Infl)^(R$3-PTCBase)))/1000000,0)</f>
        <v>0</v>
      </c>
      <c r="S204" s="8" t="n">
        <f aca="false">IF(AND(CEG_Assets!$W$7=1,S$3&lt;=PTCLast,S188&gt;0),S188*MAX(0,PTCCredit*(1+Infl)^(S$3-PTCBase)-0.8*MAX(0,(S193+S194+S196)*1000000/MAX(1,S188)-PTCThresh*(1+Infl)^(S$3-PTCBase)))/1000000,0)</f>
        <v>0</v>
      </c>
      <c r="T204" s="8" t="n">
        <f aca="false">IF(AND(CEG_Assets!$W$7=1,T$3&lt;=PTCLast,T188&gt;0),T188*MAX(0,PTCCredit*(1+Infl)^(T$3-PTCBase)-0.8*MAX(0,(T193+T194+T196)*1000000/MAX(1,T188)-PTCThresh*(1+Infl)^(T$3-PTCBase)))/1000000,0)</f>
        <v>0</v>
      </c>
      <c r="U204" s="8" t="n">
        <f aca="false">IF(AND(CEG_Assets!$W$7=1,U$3&lt;=PTCLast,U188&gt;0),U188*MAX(0,PTCCredit*(1+Infl)^(U$3-PTCBase)-0.8*MAX(0,(U193+U194+U196)*1000000/MAX(1,U188)-PTCThresh*(1+Infl)^(U$3-PTCBase)))/1000000,0)</f>
        <v>0</v>
      </c>
      <c r="V204" s="8" t="n">
        <f aca="false">IF(AND(CEG_Assets!$W$7=1,V$3&lt;=PTCLast,V188&gt;0),V188*MAX(0,PTCCredit*(1+Infl)^(V$3-PTCBase)-0.8*MAX(0,(V193+V194+V196)*1000000/MAX(1,V188)-PTCThresh*(1+Infl)^(V$3-PTCBase)))/1000000,0)</f>
        <v>0</v>
      </c>
      <c r="W204" s="8" t="n">
        <f aca="false">IF(AND(CEG_Assets!$W$7=1,W$3&lt;=PTCLast,W188&gt;0),W188*MAX(0,PTCCredit*(1+Infl)^(W$3-PTCBase)-0.8*MAX(0,(W193+W194+W196)*1000000/MAX(1,W188)-PTCThresh*(1+Infl)^(W$3-PTCBase)))/1000000,0)</f>
        <v>0</v>
      </c>
      <c r="X204" s="8" t="n">
        <f aca="false">IF(AND(CEG_Assets!$W$7=1,X$3&lt;=PTCLast,X188&gt;0),X188*MAX(0,PTCCredit*(1+Infl)^(X$3-PTCBase)-0.8*MAX(0,(X193+X194+X196)*1000000/MAX(1,X188)-PTCThresh*(1+Infl)^(X$3-PTCBase)))/1000000,0)</f>
        <v>0</v>
      </c>
      <c r="Y204" s="8" t="n">
        <f aca="false">IF(AND(CEG_Assets!$W$7=1,Y$3&lt;=PTCLast,Y188&gt;0),Y188*MAX(0,PTCCredit*(1+Infl)^(Y$3-PTCBase)-0.8*MAX(0,(Y193+Y194+Y196)*1000000/MAX(1,Y188)-PTCThresh*(1+Infl)^(Y$3-PTCBase)))/1000000,0)</f>
        <v>0</v>
      </c>
      <c r="Z204" s="8" t="n">
        <f aca="false">IF(AND(CEG_Assets!$W$7=1,Z$3&lt;=PTCLast,Z188&gt;0),Z188*MAX(0,PTCCredit*(1+Infl)^(Z$3-PTCBase)-0.8*MAX(0,(Z193+Z194+Z196)*1000000/MAX(1,Z188)-PTCThresh*(1+Infl)^(Z$3-PTCBase)))/1000000,0)</f>
        <v>0</v>
      </c>
      <c r="AA204" s="8" t="n">
        <f aca="false">IF(AND(CEG_Assets!$W$7=1,AA$3&lt;=PTCLast,AA188&gt;0),AA188*MAX(0,PTCCredit*(1+Infl)^(AA$3-PTCBase)-0.8*MAX(0,(AA193+AA194+AA196)*1000000/MAX(1,AA188)-PTCThresh*(1+Infl)^(AA$3-PTCBase)))/1000000,0)</f>
        <v>0</v>
      </c>
      <c r="AB204" s="8" t="n">
        <f aca="false">IF(AND(CEG_Assets!$W$7=1,AB$3&lt;=PTCLast,AB188&gt;0),AB188*MAX(0,PTCCredit*(1+Infl)^(AB$3-PTCBase)-0.8*MAX(0,(AB193+AB194+AB196)*1000000/MAX(1,AB188)-PTCThresh*(1+Infl)^(AB$3-PTCBase)))/1000000,0)</f>
        <v>0</v>
      </c>
      <c r="AC204" s="8" t="n">
        <f aca="false">IF(AND(CEG_Assets!$W$7=1,AC$3&lt;=PTCLast,AC188&gt;0),AC188*MAX(0,PTCCredit*(1+Infl)^(AC$3-PTCBase)-0.8*MAX(0,(AC193+AC194+AC196)*1000000/MAX(1,AC188)-PTCThresh*(1+Infl)^(AC$3-PTCBase)))/1000000,0)</f>
        <v>0</v>
      </c>
      <c r="AD204" s="8" t="n">
        <f aca="false">IF(AND(CEG_Assets!$W$7=1,AD$3&lt;=PTCLast,AD188&gt;0),AD188*MAX(0,PTCCredit*(1+Infl)^(AD$3-PTCBase)-0.8*MAX(0,(AD193+AD194+AD196)*1000000/MAX(1,AD188)-PTCThresh*(1+Infl)^(AD$3-PTCBase)))/1000000,0)</f>
        <v>0</v>
      </c>
      <c r="AE204" s="8" t="n">
        <f aca="false">IF(AND(CEG_Assets!$W$7=1,AE$3&lt;=PTCLast,AE188&gt;0),AE188*MAX(0,PTCCredit*(1+Infl)^(AE$3-PTCBase)-0.8*MAX(0,(AE193+AE194+AE196)*1000000/MAX(1,AE188)-PTCThresh*(1+Infl)^(AE$3-PTCBase)))/1000000,0)</f>
        <v>0</v>
      </c>
      <c r="AF204" s="8" t="n">
        <f aca="false">IF(AND(CEG_Assets!$W$7=1,AF$3&lt;=PTCLast,AF188&gt;0),AF188*MAX(0,PTCCredit*(1+Infl)^(AF$3-PTCBase)-0.8*MAX(0,(AF193+AF194+AF196)*1000000/MAX(1,AF188)-PTCThresh*(1+Infl)^(AF$3-PTCBase)))/1000000,0)</f>
        <v>0</v>
      </c>
      <c r="AG204" s="8" t="n">
        <f aca="false">IF(AND(CEG_Assets!$W$7=1,AG$3&lt;=PTCLast,AG188&gt;0),AG188*MAX(0,PTCCredit*(1+Infl)^(AG$3-PTCBase)-0.8*MAX(0,(AG193+AG194+AG196)*1000000/MAX(1,AG188)-PTCThresh*(1+Infl)^(AG$3-PTCBase)))/1000000,0)</f>
        <v>0</v>
      </c>
      <c r="AH204" s="8" t="n">
        <f aca="false">IF(AND(CEG_Assets!$W$7=1,AH$3&lt;=PTCLast,AH188&gt;0),AH188*MAX(0,PTCCredit*(1+Infl)^(AH$3-PTCBase)-0.8*MAX(0,(AH193+AH194+AH196)*1000000/MAX(1,AH188)-PTCThresh*(1+Infl)^(AH$3-PTCBase)))/1000000,0)</f>
        <v>0</v>
      </c>
      <c r="AI204" s="8" t="n">
        <f aca="false">IF(AND(CEG_Assets!$W$7=1,AI$3&lt;=PTCLast,AI188&gt;0),AI188*MAX(0,PTCCredit*(1+Infl)^(AI$3-PTCBase)-0.8*MAX(0,(AI193+AI194+AI196)*1000000/MAX(1,AI188)-PTCThresh*(1+Infl)^(AI$3-PTCBase)))/1000000,0)</f>
        <v>0</v>
      </c>
      <c r="AJ204" s="8" t="n">
        <f aca="false">IF(AND(CEG_Assets!$W$7=1,AJ$3&lt;=PTCLast,AJ188&gt;0),AJ188*MAX(0,PTCCredit*(1+Infl)^(AJ$3-PTCBase)-0.8*MAX(0,(AJ193+AJ194+AJ196)*1000000/MAX(1,AJ188)-PTCThresh*(1+Infl)^(AJ$3-PTCBase)))/1000000,0)</f>
        <v>0</v>
      </c>
      <c r="AK204" s="8" t="n">
        <f aca="false">IF(AND(CEG_Assets!$W$7=1,AK$3&lt;=PTCLast,AK188&gt;0),AK188*MAX(0,PTCCredit*(1+Infl)^(AK$3-PTCBase)-0.8*MAX(0,(AK193+AK194+AK196)*1000000/MAX(1,AK188)-PTCThresh*(1+Infl)^(AK$3-PTCBase)))/1000000,0)</f>
        <v>0</v>
      </c>
      <c r="AL204" s="8" t="n">
        <f aca="false">IF(AND(CEG_Assets!$W$7=1,AL$3&lt;=PTCLast,AL188&gt;0),AL188*MAX(0,PTCCredit*(1+Infl)^(AL$3-PTCBase)-0.8*MAX(0,(AL193+AL194+AL196)*1000000/MAX(1,AL188)-PTCThresh*(1+Infl)^(AL$3-PTCBase)))/1000000,0)</f>
        <v>0</v>
      </c>
      <c r="AM204" s="8" t="n">
        <f aca="false">IF(AND(CEG_Assets!$W$7=1,AM$3&lt;=PTCLast,AM188&gt;0),AM188*MAX(0,PTCCredit*(1+Infl)^(AM$3-PTCBase)-0.8*MAX(0,(AM193+AM194+AM196)*1000000/MAX(1,AM188)-PTCThresh*(1+Infl)^(AM$3-PTCBase)))/1000000,0)</f>
        <v>0</v>
      </c>
      <c r="AN204" s="8" t="n">
        <f aca="false">IF(AND(CEG_Assets!$W$7=1,AN$3&lt;=PTCLast,AN188&gt;0),AN188*MAX(0,PTCCredit*(1+Infl)^(AN$3-PTCBase)-0.8*MAX(0,(AN193+AN194+AN196)*1000000/MAX(1,AN188)-PTCThresh*(1+Infl)^(AN$3-PTCBase)))/1000000,0)</f>
        <v>0</v>
      </c>
      <c r="AO204" s="8" t="n">
        <f aca="false">IF(AND(CEG_Assets!$W$7=1,AO$3&lt;=PTCLast,AO188&gt;0),AO188*MAX(0,PTCCredit*(1+Infl)^(AO$3-PTCBase)-0.8*MAX(0,(AO193+AO194+AO196)*1000000/MAX(1,AO188)-PTCThresh*(1+Infl)^(AO$3-PTCBase)))/1000000,0)</f>
        <v>0</v>
      </c>
      <c r="AP204" s="8" t="n">
        <f aca="false">IF(AND(CEG_Assets!$W$7=1,AP$3&lt;=PTCLast,AP188&gt;0),AP188*MAX(0,PTCCredit*(1+Infl)^(AP$3-PTCBase)-0.8*MAX(0,(AP193+AP194+AP196)*1000000/MAX(1,AP188)-PTCThresh*(1+Infl)^(AP$3-PTCBase)))/1000000,0)</f>
        <v>0</v>
      </c>
      <c r="AQ204" s="8" t="n">
        <f aca="false">IF(AND(CEG_Assets!$W$7=1,AQ$3&lt;=PTCLast,AQ188&gt;0),AQ188*MAX(0,PTCCredit*(1+Infl)^(AQ$3-PTCBase)-0.8*MAX(0,(AQ193+AQ194+AQ196)*1000000/MAX(1,AQ188)-PTCThresh*(1+Infl)^(AQ$3-PTCBase)))/1000000,0)</f>
        <v>0</v>
      </c>
      <c r="AR204" s="8" t="n">
        <f aca="false">IF(AND(CEG_Assets!$W$7=1,AR$3&lt;=PTCLast,AR188&gt;0),AR188*MAX(0,PTCCredit*(1+Infl)^(AR$3-PTCBase)-0.8*MAX(0,(AR193+AR194+AR196)*1000000/MAX(1,AR188)-PTCThresh*(1+Infl)^(AR$3-PTCBase)))/1000000,0)</f>
        <v>0</v>
      </c>
      <c r="AS204" s="8" t="n">
        <f aca="false">IF(AND(CEG_Assets!$W$7=1,AS$3&lt;=PTCLast,AS188&gt;0),AS188*MAX(0,PTCCredit*(1+Infl)^(AS$3-PTCBase)-0.8*MAX(0,(AS193+AS194+AS196)*1000000/MAX(1,AS188)-PTCThresh*(1+Infl)^(AS$3-PTCBase)))/1000000,0)</f>
        <v>0</v>
      </c>
    </row>
    <row r="205" customFormat="false" ht="15" hidden="false" customHeight="false" outlineLevel="0" collapsed="false">
      <c r="A205" s="6" t="s">
        <v>463</v>
      </c>
      <c r="B205" s="6" t="s">
        <v>464</v>
      </c>
      <c r="G205" s="8" t="n">
        <f aca="false">G195-G189*(CEG_Assets!$N$7*(1+CEG_FuelAdj)+CEG_Assets!$O$7*(1+CEG_OMAdj)+CEG_Assets!$P$7*(1+CEG_CapexAdj))*(1+CEG_Assets!$Q$7)^(G$3-2026)/1000000</f>
        <v>0</v>
      </c>
      <c r="H205" s="8" t="n">
        <f aca="false">H195-H189*(CEG_Assets!$N$7*(1+CEG_FuelAdj)+CEG_Assets!$O$7*(1+CEG_OMAdj)+CEG_Assets!$P$7*(1+CEG_CapexAdj))*(1+CEG_Assets!$Q$7)^(H$3-2026)/1000000</f>
        <v>428.834002812188</v>
      </c>
      <c r="I205" s="8" t="n">
        <f aca="false">I195-I189*(CEG_Assets!$N$7*(1+CEG_FuelAdj)+CEG_Assets!$O$7*(1+CEG_OMAdj)+CEG_Assets!$P$7*(1+CEG_CapexAdj))*(1+CEG_Assets!$Q$7)^(I$3-2026)/1000000</f>
        <v>422.456975382492</v>
      </c>
      <c r="J205" s="8" t="n">
        <f aca="false">J195-J189*(CEG_Assets!$N$7*(1+CEG_FuelAdj)+CEG_Assets!$O$7*(1+CEG_OMAdj)+CEG_Assets!$P$7*(1+CEG_CapexAdj))*(1+CEG_Assets!$Q$7)^(J$3-2026)/1000000</f>
        <v>415.920522267055</v>
      </c>
      <c r="K205" s="8" t="n">
        <f aca="false">K195-K189*(CEG_Assets!$N$7*(1+CEG_FuelAdj)+CEG_Assets!$O$7*(1+CEG_OMAdj)+CEG_Assets!$P$7*(1+CEG_CapexAdj))*(1+CEG_Assets!$Q$7)^(K$3-2026)/1000000</f>
        <v>409.220657823731</v>
      </c>
      <c r="L205" s="8" t="n">
        <f aca="false">L195-L189*(CEG_Assets!$N$7*(1+CEG_FuelAdj)+CEG_Assets!$O$7*(1+CEG_OMAdj)+CEG_Assets!$P$7*(1+CEG_CapexAdj))*(1+CEG_Assets!$Q$7)^(L$3-2026)/1000000</f>
        <v>402.353296769324</v>
      </c>
      <c r="M205" s="8" t="n">
        <f aca="false">M195-M189*(CEG_Assets!$N$7*(1+CEG_FuelAdj)+CEG_Assets!$O$7*(1+CEG_OMAdj)+CEG_Assets!$P$7*(1+CEG_CapexAdj))*(1+CEG_Assets!$Q$7)^(M$3-2026)/1000000</f>
        <v>395.314251688557</v>
      </c>
      <c r="N205" s="8" t="n">
        <f aca="false">N195-N189*(CEG_Assets!$N$7*(1+CEG_FuelAdj)+CEG_Assets!$O$7*(1+CEG_OMAdj)+CEG_Assets!$P$7*(1+CEG_CapexAdj))*(1+CEG_Assets!$Q$7)^(N$3-2026)/1000000</f>
        <v>388.099230480771</v>
      </c>
      <c r="O205" s="8" t="n">
        <f aca="false">O195-O189*(CEG_Assets!$N$7*(1+CEG_FuelAdj)+CEG_Assets!$O$7*(1+CEG_OMAdj)+CEG_Assets!$P$7*(1+CEG_CapexAdj))*(1+CEG_Assets!$Q$7)^(O$3-2026)/1000000</f>
        <v>380.703833742791</v>
      </c>
      <c r="P205" s="8" t="n">
        <f aca="false">P195-P189*(CEG_Assets!$N$7*(1+CEG_FuelAdj)+CEG_Assets!$O$7*(1+CEG_OMAdj)+CEG_Assets!$P$7*(1+CEG_CapexAdj))*(1+CEG_Assets!$Q$7)^(P$3-2026)/1000000</f>
        <v>373.123552086361</v>
      </c>
      <c r="Q205" s="8" t="n">
        <f aca="false">Q195-Q189*(CEG_Assets!$N$7*(1+CEG_FuelAdj)+CEG_Assets!$O$7*(1+CEG_OMAdj)+CEG_Assets!$P$7*(1+CEG_CapexAdj))*(1+CEG_Assets!$Q$7)^(Q$3-2026)/1000000</f>
        <v>365.35376338852</v>
      </c>
      <c r="R205" s="8" t="n">
        <f aca="false">R195-R189*(CEG_Assets!$N$7*(1+CEG_FuelAdj)+CEG_Assets!$O$7*(1+CEG_OMAdj)+CEG_Assets!$P$7*(1+CEG_CapexAdj))*(1+CEG_Assets!$Q$7)^(R$3-2026)/1000000</f>
        <v>357.389729973233</v>
      </c>
      <c r="S205" s="8" t="n">
        <f aca="false">S195-S189*(CEG_Assets!$N$7*(1+CEG_FuelAdj)+CEG_Assets!$O$7*(1+CEG_OMAdj)+CEG_Assets!$P$7*(1+CEG_CapexAdj))*(1+CEG_Assets!$Q$7)^(S$3-2026)/1000000</f>
        <v>349.226595722563</v>
      </c>
      <c r="T205" s="8" t="n">
        <f aca="false">T195-T189*(CEG_Assets!$N$7*(1+CEG_FuelAdj)+CEG_Assets!$O$7*(1+CEG_OMAdj)+CEG_Assets!$P$7*(1+CEG_CapexAdj))*(1+CEG_Assets!$Q$7)^(T$3-2026)/1000000</f>
        <v>340.859383115628</v>
      </c>
      <c r="U205" s="8" t="n">
        <f aca="false">U195-U189*(CEG_Assets!$N$7*(1+CEG_FuelAdj)+CEG_Assets!$O$7*(1+CEG_OMAdj)+CEG_Assets!$P$7*(1+CEG_CapexAdj))*(1+CEG_Assets!$Q$7)^(U$3-2026)/1000000</f>
        <v>332.282990193518</v>
      </c>
      <c r="V205" s="8" t="n">
        <f aca="false">V195-V189*(CEG_Assets!$N$7*(1+CEG_FuelAdj)+CEG_Assets!$O$7*(1+CEG_OMAdj)+CEG_Assets!$P$7*(1+CEG_CapexAdj))*(1+CEG_Assets!$Q$7)^(V$3-2026)/1000000</f>
        <v>323.492187448356</v>
      </c>
      <c r="W205" s="8" t="n">
        <f aca="false">W195-W189*(CEG_Assets!$N$7*(1+CEG_FuelAdj)+CEG_Assets!$O$7*(1+CEG_OMAdj)+CEG_Assets!$P$7*(1+CEG_CapexAdj))*(1+CEG_Assets!$Q$7)^(W$3-2026)/1000000</f>
        <v>314.481614634565</v>
      </c>
      <c r="X205" s="8" t="n">
        <f aca="false">X195-X189*(CEG_Assets!$N$7*(1+CEG_FuelAdj)+CEG_Assets!$O$7*(1+CEG_OMAdj)+CEG_Assets!$P$7*(1+CEG_CapexAdj))*(1+CEG_Assets!$Q$7)^(X$3-2026)/1000000</f>
        <v>305.245777500429</v>
      </c>
      <c r="Y205" s="8" t="n">
        <f aca="false">Y195-Y189*(CEG_Assets!$N$7*(1+CEG_FuelAdj)+CEG_Assets!$O$7*(1+CEG_OMAdj)+CEG_Assets!$P$7*(1+CEG_CapexAdj))*(1+CEG_Assets!$Q$7)^(Y$3-2026)/1000000</f>
        <v>295.77904443794</v>
      </c>
      <c r="Z205" s="8" t="n">
        <f aca="false">Z195-Z189*(CEG_Assets!$N$7*(1+CEG_FuelAdj)+CEG_Assets!$O$7*(1+CEG_OMAdj)+CEG_Assets!$P$7*(1+CEG_CapexAdj))*(1+CEG_Assets!$Q$7)^(Z$3-2026)/1000000</f>
        <v>286.075643048889</v>
      </c>
      <c r="AA205" s="8" t="n">
        <f aca="false">AA195-AA189*(CEG_Assets!$N$7*(1+CEG_FuelAdj)+CEG_Assets!$O$7*(1+CEG_OMAdj)+CEG_Assets!$P$7*(1+CEG_CapexAdj))*(1+CEG_Assets!$Q$7)^(AA$3-2026)/1000000</f>
        <v>276.129656625111</v>
      </c>
      <c r="AB205" s="8" t="n">
        <f aca="false">AB195-AB189*(CEG_Assets!$N$7*(1+CEG_FuelAdj)+CEG_Assets!$O$7*(1+CEG_OMAdj)+CEG_Assets!$P$7*(1+CEG_CapexAdj))*(1+CEG_Assets!$Q$7)^(AB$3-2026)/1000000</f>
        <v>0</v>
      </c>
      <c r="AC205" s="8" t="n">
        <f aca="false">AC195-AC189*(CEG_Assets!$N$7*(1+CEG_FuelAdj)+CEG_Assets!$O$7*(1+CEG_OMAdj)+CEG_Assets!$P$7*(1+CEG_CapexAdj))*(1+CEG_Assets!$Q$7)^(AC$3-2026)/1000000</f>
        <v>0</v>
      </c>
      <c r="AD205" s="8" t="n">
        <f aca="false">AD195-AD189*(CEG_Assets!$N$7*(1+CEG_FuelAdj)+CEG_Assets!$O$7*(1+CEG_OMAdj)+CEG_Assets!$P$7*(1+CEG_CapexAdj))*(1+CEG_Assets!$Q$7)^(AD$3-2026)/1000000</f>
        <v>0</v>
      </c>
      <c r="AE205" s="8" t="n">
        <f aca="false">AE195-AE189*(CEG_Assets!$N$7*(1+CEG_FuelAdj)+CEG_Assets!$O$7*(1+CEG_OMAdj)+CEG_Assets!$P$7*(1+CEG_CapexAdj))*(1+CEG_Assets!$Q$7)^(AE$3-2026)/1000000</f>
        <v>0</v>
      </c>
      <c r="AF205" s="8" t="n">
        <f aca="false">AF195-AF189*(CEG_Assets!$N$7*(1+CEG_FuelAdj)+CEG_Assets!$O$7*(1+CEG_OMAdj)+CEG_Assets!$P$7*(1+CEG_CapexAdj))*(1+CEG_Assets!$Q$7)^(AF$3-2026)/1000000</f>
        <v>0</v>
      </c>
      <c r="AG205" s="8" t="n">
        <f aca="false">AG195-AG189*(CEG_Assets!$N$7*(1+CEG_FuelAdj)+CEG_Assets!$O$7*(1+CEG_OMAdj)+CEG_Assets!$P$7*(1+CEG_CapexAdj))*(1+CEG_Assets!$Q$7)^(AG$3-2026)/1000000</f>
        <v>0</v>
      </c>
      <c r="AH205" s="8" t="n">
        <f aca="false">AH195-AH189*(CEG_Assets!$N$7*(1+CEG_FuelAdj)+CEG_Assets!$O$7*(1+CEG_OMAdj)+CEG_Assets!$P$7*(1+CEG_CapexAdj))*(1+CEG_Assets!$Q$7)^(AH$3-2026)/1000000</f>
        <v>0</v>
      </c>
      <c r="AI205" s="8" t="n">
        <f aca="false">AI195-AI189*(CEG_Assets!$N$7*(1+CEG_FuelAdj)+CEG_Assets!$O$7*(1+CEG_OMAdj)+CEG_Assets!$P$7*(1+CEG_CapexAdj))*(1+CEG_Assets!$Q$7)^(AI$3-2026)/1000000</f>
        <v>0</v>
      </c>
      <c r="AJ205" s="8" t="n">
        <f aca="false">AJ195-AJ189*(CEG_Assets!$N$7*(1+CEG_FuelAdj)+CEG_Assets!$O$7*(1+CEG_OMAdj)+CEG_Assets!$P$7*(1+CEG_CapexAdj))*(1+CEG_Assets!$Q$7)^(AJ$3-2026)/1000000</f>
        <v>0</v>
      </c>
      <c r="AK205" s="8" t="n">
        <f aca="false">AK195-AK189*(CEG_Assets!$N$7*(1+CEG_FuelAdj)+CEG_Assets!$O$7*(1+CEG_OMAdj)+CEG_Assets!$P$7*(1+CEG_CapexAdj))*(1+CEG_Assets!$Q$7)^(AK$3-2026)/1000000</f>
        <v>0</v>
      </c>
      <c r="AL205" s="8" t="n">
        <f aca="false">AL195-AL189*(CEG_Assets!$N$7*(1+CEG_FuelAdj)+CEG_Assets!$O$7*(1+CEG_OMAdj)+CEG_Assets!$P$7*(1+CEG_CapexAdj))*(1+CEG_Assets!$Q$7)^(AL$3-2026)/1000000</f>
        <v>0</v>
      </c>
      <c r="AM205" s="8" t="n">
        <f aca="false">AM195-AM189*(CEG_Assets!$N$7*(1+CEG_FuelAdj)+CEG_Assets!$O$7*(1+CEG_OMAdj)+CEG_Assets!$P$7*(1+CEG_CapexAdj))*(1+CEG_Assets!$Q$7)^(AM$3-2026)/1000000</f>
        <v>0</v>
      </c>
      <c r="AN205" s="8" t="n">
        <f aca="false">AN195-AN189*(CEG_Assets!$N$7*(1+CEG_FuelAdj)+CEG_Assets!$O$7*(1+CEG_OMAdj)+CEG_Assets!$P$7*(1+CEG_CapexAdj))*(1+CEG_Assets!$Q$7)^(AN$3-2026)/1000000</f>
        <v>0</v>
      </c>
      <c r="AO205" s="8" t="n">
        <f aca="false">AO195-AO189*(CEG_Assets!$N$7*(1+CEG_FuelAdj)+CEG_Assets!$O$7*(1+CEG_OMAdj)+CEG_Assets!$P$7*(1+CEG_CapexAdj))*(1+CEG_Assets!$Q$7)^(AO$3-2026)/1000000</f>
        <v>0</v>
      </c>
      <c r="AP205" s="8" t="n">
        <f aca="false">AP195-AP189*(CEG_Assets!$N$7*(1+CEG_FuelAdj)+CEG_Assets!$O$7*(1+CEG_OMAdj)+CEG_Assets!$P$7*(1+CEG_CapexAdj))*(1+CEG_Assets!$Q$7)^(AP$3-2026)/1000000</f>
        <v>0</v>
      </c>
      <c r="AQ205" s="8" t="n">
        <f aca="false">AQ195-AQ189*(CEG_Assets!$N$7*(1+CEG_FuelAdj)+CEG_Assets!$O$7*(1+CEG_OMAdj)+CEG_Assets!$P$7*(1+CEG_CapexAdj))*(1+CEG_Assets!$Q$7)^(AQ$3-2026)/1000000</f>
        <v>0</v>
      </c>
      <c r="AR205" s="8" t="n">
        <f aca="false">AR195-AR189*(CEG_Assets!$N$7*(1+CEG_FuelAdj)+CEG_Assets!$O$7*(1+CEG_OMAdj)+CEG_Assets!$P$7*(1+CEG_CapexAdj))*(1+CEG_Assets!$Q$7)^(AR$3-2026)/1000000</f>
        <v>0</v>
      </c>
      <c r="AS205" s="8" t="n">
        <f aca="false">AS195-AS189*(CEG_Assets!$N$7*(1+CEG_FuelAdj)+CEG_Assets!$O$7*(1+CEG_OMAdj)+CEG_Assets!$P$7*(1+CEG_CapexAdj))*(1+CEG_Assets!$Q$7)^(AS$3-2026)/1000000</f>
        <v>0</v>
      </c>
    </row>
    <row r="206" customFormat="false" ht="15" hidden="false" customHeight="false" outlineLevel="0" collapsed="false">
      <c r="A206" s="6" t="s">
        <v>465</v>
      </c>
      <c r="B206" s="6" t="s">
        <v>466</v>
      </c>
      <c r="G206" s="8" t="n">
        <f aca="false">G203-G205</f>
        <v>-500</v>
      </c>
      <c r="H206" s="8" t="n">
        <f aca="false">H203-H205</f>
        <v>0</v>
      </c>
      <c r="I206" s="8" t="n">
        <f aca="false">I203-I205</f>
        <v>0</v>
      </c>
      <c r="J206" s="8" t="n">
        <f aca="false">J203-J205</f>
        <v>0</v>
      </c>
      <c r="K206" s="8" t="n">
        <f aca="false">K203-K205</f>
        <v>0</v>
      </c>
      <c r="L206" s="8" t="n">
        <f aca="false">L203-L205</f>
        <v>0</v>
      </c>
      <c r="M206" s="8" t="n">
        <f aca="false">M203-M205</f>
        <v>0</v>
      </c>
      <c r="N206" s="8" t="n">
        <f aca="false">N203-N205</f>
        <v>0</v>
      </c>
      <c r="O206" s="8" t="n">
        <f aca="false">O203-O205</f>
        <v>0</v>
      </c>
      <c r="P206" s="8" t="n">
        <f aca="false">P203-P205</f>
        <v>0</v>
      </c>
      <c r="Q206" s="8" t="n">
        <f aca="false">Q203-Q205</f>
        <v>0</v>
      </c>
      <c r="R206" s="8" t="n">
        <f aca="false">R203-R205</f>
        <v>0</v>
      </c>
      <c r="S206" s="8" t="n">
        <f aca="false">S203-S205</f>
        <v>0</v>
      </c>
      <c r="T206" s="8" t="n">
        <f aca="false">T203-T205</f>
        <v>0</v>
      </c>
      <c r="U206" s="8" t="n">
        <f aca="false">U203-U205</f>
        <v>0</v>
      </c>
      <c r="V206" s="8" t="n">
        <f aca="false">V203-V205</f>
        <v>0</v>
      </c>
      <c r="W206" s="8" t="n">
        <f aca="false">W203-W205</f>
        <v>0</v>
      </c>
      <c r="X206" s="8" t="n">
        <f aca="false">X203-X205</f>
        <v>0</v>
      </c>
      <c r="Y206" s="8" t="n">
        <f aca="false">Y203-Y205</f>
        <v>0</v>
      </c>
      <c r="Z206" s="8" t="n">
        <f aca="false">Z203-Z205</f>
        <v>0</v>
      </c>
      <c r="AA206" s="8" t="n">
        <f aca="false">AA203-AA205</f>
        <v>0</v>
      </c>
      <c r="AB206" s="8" t="n">
        <f aca="false">AB203-AB205</f>
        <v>315.37443587866</v>
      </c>
      <c r="AC206" s="8" t="n">
        <f aca="false">AC203-AC205</f>
        <v>319.592024198937</v>
      </c>
      <c r="AD206" s="8" t="n">
        <f aca="false">AD203-AD205</f>
        <v>323.841716775687</v>
      </c>
      <c r="AE206" s="8" t="n">
        <f aca="false">AE203-AE205</f>
        <v>328.122849506291</v>
      </c>
      <c r="AF206" s="8" t="n">
        <f aca="false">AF203-AF205</f>
        <v>332.434712351385</v>
      </c>
      <c r="AG206" s="8" t="n">
        <f aca="false">AG203-AG205</f>
        <v>336.776547599755</v>
      </c>
      <c r="AH206" s="8" t="n">
        <f aca="false">AH203-AH205</f>
        <v>341.147548078125</v>
      </c>
      <c r="AI206" s="8" t="n">
        <f aca="false">AI203-AI205</f>
        <v>0</v>
      </c>
      <c r="AJ206" s="8" t="n">
        <f aca="false">AJ203-AJ205</f>
        <v>0</v>
      </c>
      <c r="AK206" s="8" t="n">
        <f aca="false">AK203-AK205</f>
        <v>0</v>
      </c>
      <c r="AL206" s="8" t="n">
        <f aca="false">AL203-AL205</f>
        <v>0</v>
      </c>
      <c r="AM206" s="8" t="n">
        <f aca="false">AM203-AM205</f>
        <v>0</v>
      </c>
      <c r="AN206" s="8" t="n">
        <f aca="false">AN203-AN205</f>
        <v>0</v>
      </c>
      <c r="AO206" s="8" t="n">
        <f aca="false">AO203-AO205</f>
        <v>0</v>
      </c>
      <c r="AP206" s="8" t="n">
        <f aca="false">AP203-AP205</f>
        <v>0</v>
      </c>
      <c r="AQ206" s="8" t="n">
        <f aca="false">AQ203-AQ205</f>
        <v>0</v>
      </c>
      <c r="AR206" s="8" t="n">
        <f aca="false">AR203-AR205</f>
        <v>0</v>
      </c>
      <c r="AS206" s="8" t="n">
        <f aca="false">AS203-AS205</f>
        <v>0</v>
      </c>
    </row>
    <row r="207" customFormat="false" ht="15" hidden="false" customHeight="false" outlineLevel="0" collapsed="false">
      <c r="A207" s="6" t="s">
        <v>467</v>
      </c>
      <c r="B207" s="6" t="s">
        <v>468</v>
      </c>
      <c r="G207" s="8" t="n">
        <f aca="false">G206*(1-TaxRate)+G204</f>
        <v>-400</v>
      </c>
      <c r="H207" s="8" t="n">
        <f aca="false">H206*(1-TaxRate)+H204</f>
        <v>0</v>
      </c>
      <c r="I207" s="8" t="n">
        <f aca="false">I206*(1-TaxRate)+I204</f>
        <v>0</v>
      </c>
      <c r="J207" s="8" t="n">
        <f aca="false">J206*(1-TaxRate)+J204</f>
        <v>0</v>
      </c>
      <c r="K207" s="8" t="n">
        <f aca="false">K206*(1-TaxRate)+K204</f>
        <v>0</v>
      </c>
      <c r="L207" s="8" t="n">
        <f aca="false">L206*(1-TaxRate)+L204</f>
        <v>0</v>
      </c>
      <c r="M207" s="8" t="n">
        <f aca="false">M206*(1-TaxRate)+M204</f>
        <v>0</v>
      </c>
      <c r="N207" s="8" t="n">
        <f aca="false">N206*(1-TaxRate)+N204</f>
        <v>0</v>
      </c>
      <c r="O207" s="8" t="n">
        <f aca="false">O206*(1-TaxRate)+O204</f>
        <v>0</v>
      </c>
      <c r="P207" s="8" t="n">
        <f aca="false">P206*(1-TaxRate)+P204</f>
        <v>0</v>
      </c>
      <c r="Q207" s="8" t="n">
        <f aca="false">Q206*(1-TaxRate)+Q204</f>
        <v>0</v>
      </c>
      <c r="R207" s="8" t="n">
        <f aca="false">R206*(1-TaxRate)+R204</f>
        <v>0</v>
      </c>
      <c r="S207" s="8" t="n">
        <f aca="false">S206*(1-TaxRate)+S204</f>
        <v>0</v>
      </c>
      <c r="T207" s="8" t="n">
        <f aca="false">T206*(1-TaxRate)+T204</f>
        <v>0</v>
      </c>
      <c r="U207" s="8" t="n">
        <f aca="false">U206*(1-TaxRate)+U204</f>
        <v>0</v>
      </c>
      <c r="V207" s="8" t="n">
        <f aca="false">V206*(1-TaxRate)+V204</f>
        <v>0</v>
      </c>
      <c r="W207" s="8" t="n">
        <f aca="false">W206*(1-TaxRate)+W204</f>
        <v>0</v>
      </c>
      <c r="X207" s="8" t="n">
        <f aca="false">X206*(1-TaxRate)+X204</f>
        <v>0</v>
      </c>
      <c r="Y207" s="8" t="n">
        <f aca="false">Y206*(1-TaxRate)+Y204</f>
        <v>0</v>
      </c>
      <c r="Z207" s="8" t="n">
        <f aca="false">Z206*(1-TaxRate)+Z204</f>
        <v>0</v>
      </c>
      <c r="AA207" s="8" t="n">
        <f aca="false">AA206*(1-TaxRate)+AA204</f>
        <v>0</v>
      </c>
      <c r="AB207" s="8" t="n">
        <f aca="false">AB206*(1-TaxRate)+AB204</f>
        <v>252.299548702928</v>
      </c>
      <c r="AC207" s="8" t="n">
        <f aca="false">AC206*(1-TaxRate)+AC204</f>
        <v>255.673619359149</v>
      </c>
      <c r="AD207" s="8" t="n">
        <f aca="false">AD206*(1-TaxRate)+AD204</f>
        <v>259.07337342055</v>
      </c>
      <c r="AE207" s="8" t="n">
        <f aca="false">AE206*(1-TaxRate)+AE204</f>
        <v>262.498279605033</v>
      </c>
      <c r="AF207" s="8" t="n">
        <f aca="false">AF206*(1-TaxRate)+AF204</f>
        <v>265.947769881108</v>
      </c>
      <c r="AG207" s="8" t="n">
        <f aca="false">AG206*(1-TaxRate)+AG204</f>
        <v>269.421238079804</v>
      </c>
      <c r="AH207" s="8" t="n">
        <f aca="false">AH206*(1-TaxRate)+AH204</f>
        <v>272.9180384625</v>
      </c>
      <c r="AI207" s="8" t="n">
        <f aca="false">AI206*(1-TaxRate)+AI204</f>
        <v>0</v>
      </c>
      <c r="AJ207" s="8" t="n">
        <f aca="false">AJ206*(1-TaxRate)+AJ204</f>
        <v>0</v>
      </c>
      <c r="AK207" s="8" t="n">
        <f aca="false">AK206*(1-TaxRate)+AK204</f>
        <v>0</v>
      </c>
      <c r="AL207" s="8" t="n">
        <f aca="false">AL206*(1-TaxRate)+AL204</f>
        <v>0</v>
      </c>
      <c r="AM207" s="8" t="n">
        <f aca="false">AM206*(1-TaxRate)+AM204</f>
        <v>0</v>
      </c>
      <c r="AN207" s="8" t="n">
        <f aca="false">AN206*(1-TaxRate)+AN204</f>
        <v>0</v>
      </c>
      <c r="AO207" s="8" t="n">
        <f aca="false">AO206*(1-TaxRate)+AO204</f>
        <v>0</v>
      </c>
      <c r="AP207" s="8" t="n">
        <f aca="false">AP206*(1-TaxRate)+AP204</f>
        <v>0</v>
      </c>
      <c r="AQ207" s="8" t="n">
        <f aca="false">AQ206*(1-TaxRate)+AQ204</f>
        <v>0</v>
      </c>
      <c r="AR207" s="8" t="n">
        <f aca="false">AR206*(1-TaxRate)+AR204</f>
        <v>0</v>
      </c>
      <c r="AS207" s="8" t="n">
        <f aca="false">AS206*(1-TaxRate)+AS204</f>
        <v>0</v>
      </c>
    </row>
    <row r="208" customFormat="false" ht="15" hidden="false" customHeight="false" outlineLevel="0" collapsed="false">
      <c r="A208" s="6" t="s">
        <v>469</v>
      </c>
      <c r="B208" s="6" t="s">
        <v>470</v>
      </c>
      <c r="G208" s="8" t="n">
        <f aca="false">G205*(1-TaxRate)</f>
        <v>0</v>
      </c>
      <c r="H208" s="8" t="n">
        <f aca="false">H205*(1-TaxRate)</f>
        <v>343.06720224975</v>
      </c>
      <c r="I208" s="8" t="n">
        <f aca="false">I205*(1-TaxRate)</f>
        <v>337.965580305994</v>
      </c>
      <c r="J208" s="8" t="n">
        <f aca="false">J205*(1-TaxRate)</f>
        <v>332.736417813644</v>
      </c>
      <c r="K208" s="8" t="n">
        <f aca="false">K205*(1-TaxRate)</f>
        <v>327.376526258985</v>
      </c>
      <c r="L208" s="8" t="n">
        <f aca="false">L205*(1-TaxRate)</f>
        <v>321.88263741546</v>
      </c>
      <c r="M208" s="8" t="n">
        <f aca="false">M205*(1-TaxRate)</f>
        <v>316.251401350846</v>
      </c>
      <c r="N208" s="8" t="n">
        <f aca="false">N205*(1-TaxRate)</f>
        <v>310.479384384617</v>
      </c>
      <c r="O208" s="8" t="n">
        <f aca="false">O205*(1-TaxRate)</f>
        <v>304.563066994233</v>
      </c>
      <c r="P208" s="8" t="n">
        <f aca="false">P205*(1-TaxRate)</f>
        <v>298.498841669088</v>
      </c>
      <c r="Q208" s="8" t="n">
        <f aca="false">Q205*(1-TaxRate)</f>
        <v>292.283010710816</v>
      </c>
      <c r="R208" s="8" t="n">
        <f aca="false">R205*(1-TaxRate)</f>
        <v>285.911783978586</v>
      </c>
      <c r="S208" s="8" t="n">
        <f aca="false">S205*(1-TaxRate)</f>
        <v>279.381276578051</v>
      </c>
      <c r="T208" s="8" t="n">
        <f aca="false">T205*(1-TaxRate)</f>
        <v>272.687506492502</v>
      </c>
      <c r="U208" s="8" t="n">
        <f aca="false">U205*(1-TaxRate)</f>
        <v>265.826392154815</v>
      </c>
      <c r="V208" s="8" t="n">
        <f aca="false">V205*(1-TaxRate)</f>
        <v>258.793749958685</v>
      </c>
      <c r="W208" s="8" t="n">
        <f aca="false">W205*(1-TaxRate)</f>
        <v>251.585291707652</v>
      </c>
      <c r="X208" s="8" t="n">
        <f aca="false">X205*(1-TaxRate)</f>
        <v>244.196622000343</v>
      </c>
      <c r="Y208" s="8" t="n">
        <f aca="false">Y205*(1-TaxRate)</f>
        <v>236.623235550352</v>
      </c>
      <c r="Z208" s="8" t="n">
        <f aca="false">Z205*(1-TaxRate)</f>
        <v>228.860514439111</v>
      </c>
      <c r="AA208" s="8" t="n">
        <f aca="false">AA205*(1-TaxRate)</f>
        <v>220.903725300089</v>
      </c>
      <c r="AB208" s="8" t="n">
        <f aca="false">AB205*(1-TaxRate)</f>
        <v>0</v>
      </c>
      <c r="AC208" s="8" t="n">
        <f aca="false">AC205*(1-TaxRate)</f>
        <v>0</v>
      </c>
      <c r="AD208" s="8" t="n">
        <f aca="false">AD205*(1-TaxRate)</f>
        <v>0</v>
      </c>
      <c r="AE208" s="8" t="n">
        <f aca="false">AE205*(1-TaxRate)</f>
        <v>0</v>
      </c>
      <c r="AF208" s="8" t="n">
        <f aca="false">AF205*(1-TaxRate)</f>
        <v>0</v>
      </c>
      <c r="AG208" s="8" t="n">
        <f aca="false">AG205*(1-TaxRate)</f>
        <v>0</v>
      </c>
      <c r="AH208" s="8" t="n">
        <f aca="false">AH205*(1-TaxRate)</f>
        <v>0</v>
      </c>
      <c r="AI208" s="8" t="n">
        <f aca="false">AI205*(1-TaxRate)</f>
        <v>0</v>
      </c>
      <c r="AJ208" s="8" t="n">
        <f aca="false">AJ205*(1-TaxRate)</f>
        <v>0</v>
      </c>
      <c r="AK208" s="8" t="n">
        <f aca="false">AK205*(1-TaxRate)</f>
        <v>0</v>
      </c>
      <c r="AL208" s="8" t="n">
        <f aca="false">AL205*(1-TaxRate)</f>
        <v>0</v>
      </c>
      <c r="AM208" s="8" t="n">
        <f aca="false">AM205*(1-TaxRate)</f>
        <v>0</v>
      </c>
      <c r="AN208" s="8" t="n">
        <f aca="false">AN205*(1-TaxRate)</f>
        <v>0</v>
      </c>
      <c r="AO208" s="8" t="n">
        <f aca="false">AO205*(1-TaxRate)</f>
        <v>0</v>
      </c>
      <c r="AP208" s="8" t="n">
        <f aca="false">AP205*(1-TaxRate)</f>
        <v>0</v>
      </c>
      <c r="AQ208" s="8" t="n">
        <f aca="false">AQ205*(1-TaxRate)</f>
        <v>0</v>
      </c>
      <c r="AR208" s="8" t="n">
        <f aca="false">AR205*(1-TaxRate)</f>
        <v>0</v>
      </c>
      <c r="AS208" s="8" t="n">
        <f aca="false">AS205*(1-TaxRate)</f>
        <v>0</v>
      </c>
    </row>
    <row r="209" customFormat="false" ht="15" hidden="false" customHeight="false" outlineLevel="0" collapsed="false">
      <c r="A209" s="6" t="s">
        <v>471</v>
      </c>
      <c r="B209" s="6" t="s">
        <v>472</v>
      </c>
      <c r="G209" s="42" t="n">
        <f aca="false">(1+CEG_Assets!$AE$7)^-(G$3+0.5-ValDate)</f>
        <v>0.943913469359513</v>
      </c>
      <c r="H209" s="42" t="n">
        <f aca="false">(1+CEG_Assets!$AE$7)^-(H$3+0.5-ValDate)</f>
        <v>0.87399395311066</v>
      </c>
      <c r="I209" s="42" t="n">
        <f aca="false">(1+CEG_Assets!$AE$7)^-(I$3+0.5-ValDate)</f>
        <v>0.809253660287648</v>
      </c>
      <c r="J209" s="42" t="n">
        <f aca="false">(1+CEG_Assets!$AE$7)^-(J$3+0.5-ValDate)</f>
        <v>0.749308944710785</v>
      </c>
      <c r="K209" s="42" t="n">
        <f aca="false">(1+CEG_Assets!$AE$7)^-(K$3+0.5-ValDate)</f>
        <v>0.693804578435912</v>
      </c>
      <c r="L209" s="42" t="n">
        <f aca="false">(1+CEG_Assets!$AE$7)^-(L$3+0.5-ValDate)</f>
        <v>0.642411646699918</v>
      </c>
      <c r="M209" s="42" t="n">
        <f aca="false">(1+CEG_Assets!$AE$7)^-(M$3+0.5-ValDate)</f>
        <v>0.594825598796221</v>
      </c>
      <c r="N209" s="42" t="n">
        <f aca="false">(1+CEG_Assets!$AE$7)^-(N$3+0.5-ValDate)</f>
        <v>0.550764443329834</v>
      </c>
      <c r="O209" s="42" t="n">
        <f aca="false">(1+CEG_Assets!$AE$7)^-(O$3+0.5-ValDate)</f>
        <v>0.509967077157254</v>
      </c>
      <c r="P209" s="42" t="n">
        <f aca="false">(1+CEG_Assets!$AE$7)^-(P$3+0.5-ValDate)</f>
        <v>0.472191738108568</v>
      </c>
      <c r="Q209" s="42" t="n">
        <f aca="false">(1+CEG_Assets!$AE$7)^-(Q$3+0.5-ValDate)</f>
        <v>0.437214572322748</v>
      </c>
      <c r="R209" s="42" t="n">
        <f aca="false">(1+CEG_Assets!$AE$7)^-(R$3+0.5-ValDate)</f>
        <v>0.404828307706248</v>
      </c>
      <c r="S209" s="42" t="n">
        <f aca="false">(1+CEG_Assets!$AE$7)^-(S$3+0.5-ValDate)</f>
        <v>0.374841025653934</v>
      </c>
      <c r="T209" s="42" t="n">
        <f aca="false">(1+CEG_Assets!$AE$7)^-(T$3+0.5-ValDate)</f>
        <v>0.347075023753642</v>
      </c>
      <c r="U209" s="42" t="n">
        <f aca="false">(1+CEG_Assets!$AE$7)^-(U$3+0.5-ValDate)</f>
        <v>0.321365762734854</v>
      </c>
      <c r="V209" s="42" t="n">
        <f aca="false">(1+CEG_Assets!$AE$7)^-(V$3+0.5-ValDate)</f>
        <v>0.297560891421161</v>
      </c>
      <c r="W209" s="42" t="n">
        <f aca="false">(1+CEG_Assets!$AE$7)^-(W$3+0.5-ValDate)</f>
        <v>0.275519343908482</v>
      </c>
      <c r="X209" s="42" t="n">
        <f aca="false">(1+CEG_Assets!$AE$7)^-(X$3+0.5-ValDate)</f>
        <v>0.255110503618965</v>
      </c>
      <c r="Y209" s="42" t="n">
        <f aca="false">(1+CEG_Assets!$AE$7)^-(Y$3+0.5-ValDate)</f>
        <v>0.23621342927682</v>
      </c>
      <c r="Z209" s="42" t="n">
        <f aca="false">(1+CEG_Assets!$AE$7)^-(Z$3+0.5-ValDate)</f>
        <v>0.218716138219277</v>
      </c>
      <c r="AA209" s="42" t="n">
        <f aca="false">(1+CEG_Assets!$AE$7)^-(AA$3+0.5-ValDate)</f>
        <v>0.202514942795627</v>
      </c>
      <c r="AB209" s="42" t="n">
        <f aca="false">(1+CEG_Assets!$AE$7)^-(AB$3+0.5-ValDate)</f>
        <v>0.187513835921877</v>
      </c>
      <c r="AC209" s="42" t="n">
        <f aca="false">(1+CEG_Assets!$AE$7)^-(AC$3+0.5-ValDate)</f>
        <v>0.173623922149886</v>
      </c>
      <c r="AD209" s="42" t="n">
        <f aca="false">(1+CEG_Assets!$AE$7)^-(AD$3+0.5-ValDate)</f>
        <v>0.160762890879524</v>
      </c>
      <c r="AE209" s="42" t="n">
        <f aca="false">(1+CEG_Assets!$AE$7)^-(AE$3+0.5-ValDate)</f>
        <v>0.148854528592152</v>
      </c>
      <c r="AF209" s="42" t="n">
        <f aca="false">(1+CEG_Assets!$AE$7)^-(AF$3+0.5-ValDate)</f>
        <v>0.137828267214956</v>
      </c>
      <c r="AG209" s="42" t="n">
        <f aca="false">(1+CEG_Assets!$AE$7)^-(AG$3+0.5-ValDate)</f>
        <v>0.127618765939774</v>
      </c>
      <c r="AH209" s="42" t="n">
        <f aca="false">(1+CEG_Assets!$AE$7)^-(AH$3+0.5-ValDate)</f>
        <v>0.118165524018309</v>
      </c>
      <c r="AI209" s="42" t="n">
        <f aca="false">(1+CEG_Assets!$AE$7)^-(AI$3+0.5-ValDate)</f>
        <v>0.109412522239175</v>
      </c>
      <c r="AJ209" s="42" t="n">
        <f aca="false">(1+CEG_Assets!$AE$7)^-(AJ$3+0.5-ValDate)</f>
        <v>0.101307890962199</v>
      </c>
      <c r="AK209" s="42" t="n">
        <f aca="false">(1+CEG_Assets!$AE$7)^-(AK$3+0.5-ValDate)</f>
        <v>0.0938036027427768</v>
      </c>
      <c r="AL209" s="42" t="n">
        <f aca="false">(1+CEG_Assets!$AE$7)^-(AL$3+0.5-ValDate)</f>
        <v>0.0868551877247934</v>
      </c>
      <c r="AM209" s="42" t="n">
        <f aca="false">(1+CEG_Assets!$AE$7)^-(AM$3+0.5-ValDate)</f>
        <v>0.0804214701155494</v>
      </c>
      <c r="AN209" s="42" t="n">
        <f aca="false">(1+CEG_Assets!$AE$7)^-(AN$3+0.5-ValDate)</f>
        <v>0.0744643241810643</v>
      </c>
      <c r="AO209" s="42" t="n">
        <f aca="false">(1+CEG_Assets!$AE$7)^-(AO$3+0.5-ValDate)</f>
        <v>0.0689484483158002</v>
      </c>
      <c r="AP209" s="42" t="n">
        <f aca="false">(1+CEG_Assets!$AE$7)^-(AP$3+0.5-ValDate)</f>
        <v>0.0638411558479632</v>
      </c>
      <c r="AQ209" s="42" t="n">
        <f aca="false">(1+CEG_Assets!$AE$7)^-(AQ$3+0.5-ValDate)</f>
        <v>0.0591121813407066</v>
      </c>
      <c r="AR209" s="42" t="n">
        <f aca="false">(1+CEG_Assets!$AE$7)^-(AR$3+0.5-ValDate)</f>
        <v>0.054733501241395</v>
      </c>
      <c r="AS209" s="42" t="n">
        <f aca="false">(1+CEG_Assets!$AE$7)^-(AS$3+0.5-ValDate)</f>
        <v>0.0506791678161065</v>
      </c>
    </row>
    <row r="210" customFormat="false" ht="15" hidden="false" customHeight="false" outlineLevel="0" collapsed="false">
      <c r="A210" s="6" t="s">
        <v>473</v>
      </c>
      <c r="B210" s="6" t="s">
        <v>474</v>
      </c>
      <c r="G210" s="42" t="n">
        <f aca="false">(1+CEG_Assets!$AF$7)^-(G$3+0.5-ValDate)</f>
        <v>0.952191032823687</v>
      </c>
      <c r="H210" s="42" t="n">
        <f aca="false">(1+CEG_Assets!$AF$7)^-(H$3+0.5-ValDate)</f>
        <v>0.891982232153337</v>
      </c>
      <c r="I210" s="42" t="n">
        <f aca="false">(1+CEG_Assets!$AF$7)^-(I$3+0.5-ValDate)</f>
        <v>0.835580545342705</v>
      </c>
      <c r="J210" s="42" t="n">
        <f aca="false">(1+CEG_Assets!$AF$7)^-(J$3+0.5-ValDate)</f>
        <v>0.782745241538834</v>
      </c>
      <c r="K210" s="42" t="n">
        <f aca="false">(1+CEG_Assets!$AF$7)^-(K$3+0.5-ValDate)</f>
        <v>0.73325081174598</v>
      </c>
      <c r="L210" s="42" t="n">
        <f aca="false">(1+CEG_Assets!$AF$7)^-(L$3+0.5-ValDate)</f>
        <v>0.686886006319419</v>
      </c>
      <c r="M210" s="42" t="n">
        <f aca="false">(1+CEG_Assets!$AF$7)^-(M$3+0.5-ValDate)</f>
        <v>0.643452933320299</v>
      </c>
      <c r="N210" s="42" t="n">
        <f aca="false">(1+CEG_Assets!$AF$7)^-(N$3+0.5-ValDate)</f>
        <v>0.602766213883184</v>
      </c>
      <c r="O210" s="42" t="n">
        <f aca="false">(1+CEG_Assets!$AF$7)^-(O$3+0.5-ValDate)</f>
        <v>0.564652190991273</v>
      </c>
      <c r="P210" s="42" t="n">
        <f aca="false">(1+CEG_Assets!$AF$7)^-(P$3+0.5-ValDate)</f>
        <v>0.528948188282223</v>
      </c>
      <c r="Q210" s="42" t="n">
        <f aca="false">(1+CEG_Assets!$AF$7)^-(Q$3+0.5-ValDate)</f>
        <v>0.495501815721052</v>
      </c>
      <c r="R210" s="42" t="n">
        <f aca="false">(1+CEG_Assets!$AF$7)^-(R$3+0.5-ValDate)</f>
        <v>0.46417031917663</v>
      </c>
      <c r="S210" s="42" t="n">
        <f aca="false">(1+CEG_Assets!$AF$7)^-(S$3+0.5-ValDate)</f>
        <v>0.434819971125649</v>
      </c>
      <c r="T210" s="42" t="n">
        <f aca="false">(1+CEG_Assets!$AF$7)^-(T$3+0.5-ValDate)</f>
        <v>0.407325499883512</v>
      </c>
      <c r="U210" s="42" t="n">
        <f aca="false">(1+CEG_Assets!$AF$7)^-(U$3+0.5-ValDate)</f>
        <v>0.381569554926006</v>
      </c>
      <c r="V210" s="42" t="n">
        <f aca="false">(1+CEG_Assets!$AF$7)^-(V$3+0.5-ValDate)</f>
        <v>0.357442206019678</v>
      </c>
      <c r="W210" s="42" t="n">
        <f aca="false">(1+CEG_Assets!$AF$7)^-(W$3+0.5-ValDate)</f>
        <v>0.334840474023118</v>
      </c>
      <c r="X210" s="42" t="n">
        <f aca="false">(1+CEG_Assets!$AF$7)^-(X$3+0.5-ValDate)</f>
        <v>0.313667891356551</v>
      </c>
      <c r="Y210" s="42" t="n">
        <f aca="false">(1+CEG_Assets!$AF$7)^-(Y$3+0.5-ValDate)</f>
        <v>0.293834090263748</v>
      </c>
      <c r="Z210" s="42" t="n">
        <f aca="false">(1+CEG_Assets!$AF$7)^-(Z$3+0.5-ValDate)</f>
        <v>0.275254417108897</v>
      </c>
      <c r="AA210" s="42" t="n">
        <f aca="false">(1+CEG_Assets!$AF$7)^-(AA$3+0.5-ValDate)</f>
        <v>0.257849571062199</v>
      </c>
      <c r="AB210" s="42" t="n">
        <f aca="false">(1+CEG_Assets!$AF$7)^-(AB$3+0.5-ValDate)</f>
        <v>0.241545265632036</v>
      </c>
      <c r="AC210" s="42" t="n">
        <f aca="false">(1+CEG_Assets!$AF$7)^-(AC$3+0.5-ValDate)</f>
        <v>0.226271911599097</v>
      </c>
      <c r="AD210" s="42" t="n">
        <f aca="false">(1+CEG_Assets!$AF$7)^-(AD$3+0.5-ValDate)</f>
        <v>0.211964319999154</v>
      </c>
      <c r="AE210" s="42" t="n">
        <f aca="false">(1+CEG_Assets!$AF$7)^-(AE$3+0.5-ValDate)</f>
        <v>0.198561423886796</v>
      </c>
      <c r="AF210" s="42" t="n">
        <f aca="false">(1+CEG_Assets!$AF$7)^-(AF$3+0.5-ValDate)</f>
        <v>0.186006017692549</v>
      </c>
      <c r="AG210" s="42" t="n">
        <f aca="false">(1+CEG_Assets!$AF$7)^-(AG$3+0.5-ValDate)</f>
        <v>0.174244513060936</v>
      </c>
      <c r="AH210" s="42" t="n">
        <f aca="false">(1+CEG_Assets!$AF$7)^-(AH$3+0.5-ValDate)</f>
        <v>0.16322671012734</v>
      </c>
      <c r="AI210" s="42" t="n">
        <f aca="false">(1+CEG_Assets!$AF$7)^-(AI$3+0.5-ValDate)</f>
        <v>0.152905583257461</v>
      </c>
      <c r="AJ210" s="42" t="n">
        <f aca="false">(1+CEG_Assets!$AF$7)^-(AJ$3+0.5-ValDate)</f>
        <v>0.143237080334859</v>
      </c>
      <c r="AK210" s="42" t="n">
        <f aca="false">(1+CEG_Assets!$AF$7)^-(AK$3+0.5-ValDate)</f>
        <v>0.134179934739914</v>
      </c>
      <c r="AL210" s="42" t="n">
        <f aca="false">(1+CEG_Assets!$AF$7)^-(AL$3+0.5-ValDate)</f>
        <v>0.125695489217718</v>
      </c>
      <c r="AM210" s="42" t="n">
        <f aca="false">(1+CEG_Assets!$AF$7)^-(AM$3+0.5-ValDate)</f>
        <v>0.117747530883109</v>
      </c>
      <c r="AN210" s="42" t="n">
        <f aca="false">(1+CEG_Assets!$AF$7)^-(AN$3+0.5-ValDate)</f>
        <v>0.11030213665865</v>
      </c>
      <c r="AO210" s="42" t="n">
        <f aca="false">(1+CEG_Assets!$AF$7)^-(AO$3+0.5-ValDate)</f>
        <v>0.103327528485855</v>
      </c>
      <c r="AP210" s="42" t="n">
        <f aca="false">(1+CEG_Assets!$AF$7)^-(AP$3+0.5-ValDate)</f>
        <v>0.096793937691667</v>
      </c>
      <c r="AQ210" s="42" t="n">
        <f aca="false">(1+CEG_Assets!$AF$7)^-(AQ$3+0.5-ValDate)</f>
        <v>0.090673477931304</v>
      </c>
      <c r="AR210" s="42" t="n">
        <f aca="false">(1+CEG_Assets!$AF$7)^-(AR$3+0.5-ValDate)</f>
        <v>0.084940026165156</v>
      </c>
      <c r="AS210" s="42" t="n">
        <f aca="false">(1+CEG_Assets!$AF$7)^-(AS$3+0.5-ValDate)</f>
        <v>0.0795691111617386</v>
      </c>
    </row>
    <row r="211" customFormat="false" ht="15" hidden="false" customHeight="false" outlineLevel="0" collapsed="false">
      <c r="A211" s="6" t="s">
        <v>475</v>
      </c>
      <c r="B211" s="6" t="s">
        <v>476</v>
      </c>
      <c r="C211" s="43" t="n">
        <f aca="false">SUM(G211:AS211)</f>
        <v>-101.853403610836</v>
      </c>
      <c r="D211" s="8" t="n">
        <f aca="false">SUMIF($G$3:$AS$3,"&lt;="&amp;Horizon,G211:AS211)</f>
        <v>-377.565387743805</v>
      </c>
      <c r="E211" s="8" t="n">
        <f aca="false">(C211-D211)*(1+CEG_Assets!$AE$7)^(Horizon+1-ValDate)</f>
        <v>382.390068725189</v>
      </c>
      <c r="G211" s="8" t="n">
        <f aca="false">G207*G209</f>
        <v>-377.565387743805</v>
      </c>
      <c r="H211" s="8" t="n">
        <f aca="false">H207*H209</f>
        <v>0</v>
      </c>
      <c r="I211" s="8" t="n">
        <f aca="false">I207*I209</f>
        <v>0</v>
      </c>
      <c r="J211" s="8" t="n">
        <f aca="false">J207*J209</f>
        <v>0</v>
      </c>
      <c r="K211" s="8" t="n">
        <f aca="false">K207*K209</f>
        <v>0</v>
      </c>
      <c r="L211" s="8" t="n">
        <f aca="false">L207*L209</f>
        <v>0</v>
      </c>
      <c r="M211" s="8" t="n">
        <f aca="false">M207*M209</f>
        <v>0</v>
      </c>
      <c r="N211" s="8" t="n">
        <f aca="false">N207*N209</f>
        <v>0</v>
      </c>
      <c r="O211" s="8" t="n">
        <f aca="false">O207*O209</f>
        <v>0</v>
      </c>
      <c r="P211" s="8" t="n">
        <f aca="false">P207*P209</f>
        <v>0</v>
      </c>
      <c r="Q211" s="8" t="n">
        <f aca="false">Q207*Q209</f>
        <v>0</v>
      </c>
      <c r="R211" s="8" t="n">
        <f aca="false">R207*R209</f>
        <v>0</v>
      </c>
      <c r="S211" s="8" t="n">
        <f aca="false">S207*S209</f>
        <v>0</v>
      </c>
      <c r="T211" s="8" t="n">
        <f aca="false">T207*T209</f>
        <v>0</v>
      </c>
      <c r="U211" s="8" t="n">
        <f aca="false">U207*U209</f>
        <v>0</v>
      </c>
      <c r="V211" s="8" t="n">
        <f aca="false">V207*V209</f>
        <v>0</v>
      </c>
      <c r="W211" s="8" t="n">
        <f aca="false">W207*W209</f>
        <v>0</v>
      </c>
      <c r="X211" s="8" t="n">
        <f aca="false">X207*X209</f>
        <v>0</v>
      </c>
      <c r="Y211" s="8" t="n">
        <f aca="false">Y207*Y209</f>
        <v>0</v>
      </c>
      <c r="Z211" s="8" t="n">
        <f aca="false">Z207*Z209</f>
        <v>0</v>
      </c>
      <c r="AA211" s="8" t="n">
        <f aca="false">AA207*AA209</f>
        <v>0</v>
      </c>
      <c r="AB211" s="8" t="n">
        <f aca="false">AB207*AB209</f>
        <v>47.3096561786444</v>
      </c>
      <c r="AC211" s="8" t="n">
        <f aca="false">AC207*AC209</f>
        <v>44.3910565833926</v>
      </c>
      <c r="AD211" s="8" t="n">
        <f aca="false">AD207*AD209</f>
        <v>41.649384460998</v>
      </c>
      <c r="AE211" s="8" t="n">
        <f aca="false">AE207*AE209</f>
        <v>39.0740576668581</v>
      </c>
      <c r="AF211" s="8" t="n">
        <f aca="false">AF207*AF209</f>
        <v>36.6551202923948</v>
      </c>
      <c r="AG211" s="8" t="n">
        <f aca="false">AG207*AG209</f>
        <v>34.3832059217105</v>
      </c>
      <c r="AH211" s="8" t="n">
        <f aca="false">AH207*AH209</f>
        <v>32.2495030289703</v>
      </c>
      <c r="AI211" s="8" t="n">
        <f aca="false">AI207*AI209</f>
        <v>0</v>
      </c>
      <c r="AJ211" s="8" t="n">
        <f aca="false">AJ207*AJ209</f>
        <v>0</v>
      </c>
      <c r="AK211" s="8" t="n">
        <f aca="false">AK207*AK209</f>
        <v>0</v>
      </c>
      <c r="AL211" s="8" t="n">
        <f aca="false">AL207*AL209</f>
        <v>0</v>
      </c>
      <c r="AM211" s="8" t="n">
        <f aca="false">AM207*AM209</f>
        <v>0</v>
      </c>
      <c r="AN211" s="8" t="n">
        <f aca="false">AN207*AN209</f>
        <v>0</v>
      </c>
      <c r="AO211" s="8" t="n">
        <f aca="false">AO207*AO209</f>
        <v>0</v>
      </c>
      <c r="AP211" s="8" t="n">
        <f aca="false">AP207*AP209</f>
        <v>0</v>
      </c>
      <c r="AQ211" s="8" t="n">
        <f aca="false">AQ207*AQ209</f>
        <v>0</v>
      </c>
      <c r="AR211" s="8" t="n">
        <f aca="false">AR207*AR209</f>
        <v>0</v>
      </c>
      <c r="AS211" s="8" t="n">
        <f aca="false">AS207*AS209</f>
        <v>0</v>
      </c>
    </row>
    <row r="212" customFormat="false" ht="15" hidden="false" customHeight="false" outlineLevel="0" collapsed="false">
      <c r="A212" s="6" t="s">
        <v>477</v>
      </c>
      <c r="B212" s="6" t="s">
        <v>478</v>
      </c>
      <c r="C212" s="43" t="n">
        <f aca="false">SUM(G212:AS212)</f>
        <v>3084.85001925176</v>
      </c>
      <c r="D212" s="8" t="n">
        <f aca="false">SUMIF($G$3:$AS$3,"&lt;="&amp;Horizon,G212:AS212)</f>
        <v>848.855160470785</v>
      </c>
      <c r="E212" s="8" t="n">
        <f aca="false">(C212-D212)*(1+CEG_Assets!$AF$7)^(Horizon+1-ValDate)</f>
        <v>2951.44236163836</v>
      </c>
      <c r="G212" s="8" t="n">
        <f aca="false">G208*G210</f>
        <v>0</v>
      </c>
      <c r="H212" s="8" t="n">
        <f aca="false">H208*H210</f>
        <v>306.009848841333</v>
      </c>
      <c r="I212" s="8" t="n">
        <f aca="false">I208*I210</f>
        <v>282.397463899146</v>
      </c>
      <c r="J212" s="8" t="n">
        <f aca="false">J208*J210</f>
        <v>260.447847730307</v>
      </c>
      <c r="K212" s="8" t="n">
        <f aca="false">K208*K210</f>
        <v>240.04910362598</v>
      </c>
      <c r="L212" s="8" t="n">
        <f aca="false">L208*L210</f>
        <v>221.096679317867</v>
      </c>
      <c r="M212" s="8" t="n">
        <f aca="false">M208*M210</f>
        <v>203.492891865857</v>
      </c>
      <c r="N212" s="8" t="n">
        <f aca="false">N208*N210</f>
        <v>187.146483014298</v>
      </c>
      <c r="O212" s="8" t="n">
        <f aca="false">O208*O210</f>
        <v>171.972203073315</v>
      </c>
      <c r="P212" s="8" t="n">
        <f aca="false">P208*P210</f>
        <v>157.890421505207</v>
      </c>
      <c r="Q212" s="8" t="n">
        <f aca="false">Q208*Q210</f>
        <v>144.826762511625</v>
      </c>
      <c r="R212" s="8" t="n">
        <f aca="false">R208*R210</f>
        <v>132.7117640257</v>
      </c>
      <c r="S212" s="8" t="n">
        <f aca="false">S208*S210</f>
        <v>121.480558614715</v>
      </c>
      <c r="T212" s="8" t="n">
        <f aca="false">T208*T210</f>
        <v>111.072574894047</v>
      </c>
      <c r="U212" s="8" t="n">
        <f aca="false">U208*U210</f>
        <v>101.431258142099</v>
      </c>
      <c r="V212" s="8" t="n">
        <f aca="false">V208*V210</f>
        <v>92.5038088893373</v>
      </c>
      <c r="W212" s="8" t="n">
        <f aca="false">W208*W210</f>
        <v>84.2409383326346</v>
      </c>
      <c r="X212" s="8" t="n">
        <f aca="false">X208*X210</f>
        <v>76.5966394992404</v>
      </c>
      <c r="Y212" s="8" t="n">
        <f aca="false">Y208*Y210</f>
        <v>69.5279731532022</v>
      </c>
      <c r="Z212" s="8" t="n">
        <f aca="false">Z208*Z210</f>
        <v>62.9948675011798</v>
      </c>
      <c r="AA212" s="8" t="n">
        <f aca="false">AA208*AA210</f>
        <v>56.9599308146696</v>
      </c>
      <c r="AB212" s="8" t="n">
        <f aca="false">AB208*AB210</f>
        <v>0</v>
      </c>
      <c r="AC212" s="8" t="n">
        <f aca="false">AC208*AC210</f>
        <v>0</v>
      </c>
      <c r="AD212" s="8" t="n">
        <f aca="false">AD208*AD210</f>
        <v>0</v>
      </c>
      <c r="AE212" s="8" t="n">
        <f aca="false">AE208*AE210</f>
        <v>0</v>
      </c>
      <c r="AF212" s="8" t="n">
        <f aca="false">AF208*AF210</f>
        <v>0</v>
      </c>
      <c r="AG212" s="8" t="n">
        <f aca="false">AG208*AG210</f>
        <v>0</v>
      </c>
      <c r="AH212" s="8" t="n">
        <f aca="false">AH208*AH210</f>
        <v>0</v>
      </c>
      <c r="AI212" s="8" t="n">
        <f aca="false">AI208*AI210</f>
        <v>0</v>
      </c>
      <c r="AJ212" s="8" t="n">
        <f aca="false">AJ208*AJ210</f>
        <v>0</v>
      </c>
      <c r="AK212" s="8" t="n">
        <f aca="false">AK208*AK210</f>
        <v>0</v>
      </c>
      <c r="AL212" s="8" t="n">
        <f aca="false">AL208*AL210</f>
        <v>0</v>
      </c>
      <c r="AM212" s="8" t="n">
        <f aca="false">AM208*AM210</f>
        <v>0</v>
      </c>
      <c r="AN212" s="8" t="n">
        <f aca="false">AN208*AN210</f>
        <v>0</v>
      </c>
      <c r="AO212" s="8" t="n">
        <f aca="false">AO208*AO210</f>
        <v>0</v>
      </c>
      <c r="AP212" s="8" t="n">
        <f aca="false">AP208*AP210</f>
        <v>0</v>
      </c>
      <c r="AQ212" s="8" t="n">
        <f aca="false">AQ208*AQ210</f>
        <v>0</v>
      </c>
      <c r="AR212" s="8" t="n">
        <f aca="false">AR208*AR210</f>
        <v>0</v>
      </c>
      <c r="AS212" s="8" t="n">
        <f aca="false">AS208*AS210</f>
        <v>0</v>
      </c>
    </row>
    <row r="213" customFormat="false" ht="15" hidden="false" customHeight="false" outlineLevel="0" collapsed="false">
      <c r="A213" s="6" t="s">
        <v>479</v>
      </c>
      <c r="B213" s="6" t="s">
        <v>480</v>
      </c>
      <c r="C213" s="43" t="n">
        <f aca="false">IF(CEG_Assets!$H$7="$/kW",CEG_Assets!$D$7*CEG_Assets!$AI$7*(1+0.4*(PJMWLR/PJMWLRBase-1))/1000,0)</f>
        <v>0</v>
      </c>
      <c r="E213" s="8" t="n">
        <f aca="false">C213</f>
        <v>0</v>
      </c>
      <c r="G213" s="8" t="n">
        <f aca="false">0</f>
        <v>0</v>
      </c>
      <c r="H213" s="8" t="n">
        <f aca="false">0</f>
        <v>0</v>
      </c>
      <c r="I213" s="8" t="n">
        <f aca="false">0</f>
        <v>0</v>
      </c>
      <c r="J213" s="8" t="n">
        <f aca="false">0</f>
        <v>0</v>
      </c>
      <c r="K213" s="8" t="n">
        <f aca="false">0</f>
        <v>0</v>
      </c>
      <c r="L213" s="8" t="n">
        <f aca="false">0</f>
        <v>0</v>
      </c>
      <c r="M213" s="8" t="n">
        <f aca="false">0</f>
        <v>0</v>
      </c>
      <c r="N213" s="8" t="n">
        <f aca="false">0</f>
        <v>0</v>
      </c>
      <c r="O213" s="8" t="n">
        <f aca="false">0</f>
        <v>0</v>
      </c>
      <c r="P213" s="8" t="n">
        <f aca="false">0</f>
        <v>0</v>
      </c>
      <c r="Q213" s="8" t="n">
        <f aca="false">0</f>
        <v>0</v>
      </c>
      <c r="R213" s="8" t="n">
        <f aca="false">0</f>
        <v>0</v>
      </c>
      <c r="S213" s="8" t="n">
        <f aca="false">0</f>
        <v>0</v>
      </c>
      <c r="T213" s="8" t="n">
        <f aca="false">0</f>
        <v>0</v>
      </c>
      <c r="U213" s="8" t="n">
        <f aca="false">0</f>
        <v>0</v>
      </c>
      <c r="V213" s="8" t="n">
        <f aca="false">0</f>
        <v>0</v>
      </c>
      <c r="W213" s="8" t="n">
        <f aca="false">0</f>
        <v>0</v>
      </c>
      <c r="X213" s="8" t="n">
        <f aca="false">0</f>
        <v>0</v>
      </c>
      <c r="Y213" s="8" t="n">
        <f aca="false">0</f>
        <v>0</v>
      </c>
      <c r="Z213" s="8" t="n">
        <f aca="false">0</f>
        <v>0</v>
      </c>
      <c r="AA213" s="8" t="n">
        <f aca="false">0</f>
        <v>0</v>
      </c>
      <c r="AB213" s="8" t="n">
        <f aca="false">0</f>
        <v>0</v>
      </c>
      <c r="AC213" s="8" t="n">
        <f aca="false">0</f>
        <v>0</v>
      </c>
      <c r="AD213" s="8" t="n">
        <f aca="false">0</f>
        <v>0</v>
      </c>
      <c r="AE213" s="8" t="n">
        <f aca="false">0</f>
        <v>0</v>
      </c>
      <c r="AF213" s="8" t="n">
        <f aca="false">0</f>
        <v>0</v>
      </c>
      <c r="AG213" s="8" t="n">
        <f aca="false">0</f>
        <v>0</v>
      </c>
      <c r="AH213" s="8" t="n">
        <f aca="false">0</f>
        <v>0</v>
      </c>
      <c r="AI213" s="8" t="n">
        <f aca="false">0</f>
        <v>0</v>
      </c>
      <c r="AJ213" s="8" t="n">
        <f aca="false">0</f>
        <v>0</v>
      </c>
      <c r="AK213" s="8" t="n">
        <f aca="false">0</f>
        <v>0</v>
      </c>
      <c r="AL213" s="8" t="n">
        <f aca="false">0</f>
        <v>0</v>
      </c>
      <c r="AM213" s="8" t="n">
        <f aca="false">0</f>
        <v>0</v>
      </c>
      <c r="AN213" s="8" t="n">
        <f aca="false">0</f>
        <v>0</v>
      </c>
      <c r="AO213" s="8" t="n">
        <f aca="false">0</f>
        <v>0</v>
      </c>
      <c r="AP213" s="8" t="n">
        <f aca="false">0</f>
        <v>0</v>
      </c>
      <c r="AQ213" s="8" t="n">
        <f aca="false">0</f>
        <v>0</v>
      </c>
      <c r="AR213" s="8" t="n">
        <f aca="false">0</f>
        <v>0</v>
      </c>
      <c r="AS213" s="8" t="n">
        <f aca="false">0</f>
        <v>0</v>
      </c>
    </row>
    <row r="215" customFormat="false" ht="15" hidden="false" customHeight="false" outlineLevel="0" collapsed="false">
      <c r="A215" s="54" t="str">
        <f aca="false">CEG_Assets!$A$8</f>
        <v>Hydro - Conowingo + Muddy Run pumped storage (PJM)</v>
      </c>
    </row>
    <row r="216" customFormat="false" ht="15" hidden="false" customHeight="false" outlineLevel="0" collapsed="false">
      <c r="A216" s="6" t="s">
        <v>425</v>
      </c>
      <c r="B216" s="6" t="s">
        <v>426</v>
      </c>
      <c r="G216" s="47" t="n">
        <f aca="false">IF(AND(G$3&gt;=CEG_Assets!$E$8,G$3&lt;=CEG_Assets!$F$8,CEG_Assets!$H$8="Cashflow"),1,0)</f>
        <v>1</v>
      </c>
      <c r="H216" s="47" t="n">
        <f aca="false">IF(AND(H$3&gt;=CEG_Assets!$E$8,H$3&lt;=CEG_Assets!$F$8,CEG_Assets!$H$8="Cashflow"),1,0)</f>
        <v>1</v>
      </c>
      <c r="I216" s="47" t="n">
        <f aca="false">IF(AND(I$3&gt;=CEG_Assets!$E$8,I$3&lt;=CEG_Assets!$F$8,CEG_Assets!$H$8="Cashflow"),1,0)</f>
        <v>1</v>
      </c>
      <c r="J216" s="47" t="n">
        <f aca="false">IF(AND(J$3&gt;=CEG_Assets!$E$8,J$3&lt;=CEG_Assets!$F$8,CEG_Assets!$H$8="Cashflow"),1,0)</f>
        <v>1</v>
      </c>
      <c r="K216" s="47" t="n">
        <f aca="false">IF(AND(K$3&gt;=CEG_Assets!$E$8,K$3&lt;=CEG_Assets!$F$8,CEG_Assets!$H$8="Cashflow"),1,0)</f>
        <v>1</v>
      </c>
      <c r="L216" s="47" t="n">
        <f aca="false">IF(AND(L$3&gt;=CEG_Assets!$E$8,L$3&lt;=CEG_Assets!$F$8,CEG_Assets!$H$8="Cashflow"),1,0)</f>
        <v>1</v>
      </c>
      <c r="M216" s="47" t="n">
        <f aca="false">IF(AND(M$3&gt;=CEG_Assets!$E$8,M$3&lt;=CEG_Assets!$F$8,CEG_Assets!$H$8="Cashflow"),1,0)</f>
        <v>1</v>
      </c>
      <c r="N216" s="47" t="n">
        <f aca="false">IF(AND(N$3&gt;=CEG_Assets!$E$8,N$3&lt;=CEG_Assets!$F$8,CEG_Assets!$H$8="Cashflow"),1,0)</f>
        <v>1</v>
      </c>
      <c r="O216" s="47" t="n">
        <f aca="false">IF(AND(O$3&gt;=CEG_Assets!$E$8,O$3&lt;=CEG_Assets!$F$8,CEG_Assets!$H$8="Cashflow"),1,0)</f>
        <v>1</v>
      </c>
      <c r="P216" s="47" t="n">
        <f aca="false">IF(AND(P$3&gt;=CEG_Assets!$E$8,P$3&lt;=CEG_Assets!$F$8,CEG_Assets!$H$8="Cashflow"),1,0)</f>
        <v>1</v>
      </c>
      <c r="Q216" s="47" t="n">
        <f aca="false">IF(AND(Q$3&gt;=CEG_Assets!$E$8,Q$3&lt;=CEG_Assets!$F$8,CEG_Assets!$H$8="Cashflow"),1,0)</f>
        <v>1</v>
      </c>
      <c r="R216" s="47" t="n">
        <f aca="false">IF(AND(R$3&gt;=CEG_Assets!$E$8,R$3&lt;=CEG_Assets!$F$8,CEG_Assets!$H$8="Cashflow"),1,0)</f>
        <v>1</v>
      </c>
      <c r="S216" s="47" t="n">
        <f aca="false">IF(AND(S$3&gt;=CEG_Assets!$E$8,S$3&lt;=CEG_Assets!$F$8,CEG_Assets!$H$8="Cashflow"),1,0)</f>
        <v>1</v>
      </c>
      <c r="T216" s="47" t="n">
        <f aca="false">IF(AND(T$3&gt;=CEG_Assets!$E$8,T$3&lt;=CEG_Assets!$F$8,CEG_Assets!$H$8="Cashflow"),1,0)</f>
        <v>1</v>
      </c>
      <c r="U216" s="47" t="n">
        <f aca="false">IF(AND(U$3&gt;=CEG_Assets!$E$8,U$3&lt;=CEG_Assets!$F$8,CEG_Assets!$H$8="Cashflow"),1,0)</f>
        <v>1</v>
      </c>
      <c r="V216" s="47" t="n">
        <f aca="false">IF(AND(V$3&gt;=CEG_Assets!$E$8,V$3&lt;=CEG_Assets!$F$8,CEG_Assets!$H$8="Cashflow"),1,0)</f>
        <v>1</v>
      </c>
      <c r="W216" s="47" t="n">
        <f aca="false">IF(AND(W$3&gt;=CEG_Assets!$E$8,W$3&lt;=CEG_Assets!$F$8,CEG_Assets!$H$8="Cashflow"),1,0)</f>
        <v>1</v>
      </c>
      <c r="X216" s="47" t="n">
        <f aca="false">IF(AND(X$3&gt;=CEG_Assets!$E$8,X$3&lt;=CEG_Assets!$F$8,CEG_Assets!$H$8="Cashflow"),1,0)</f>
        <v>1</v>
      </c>
      <c r="Y216" s="47" t="n">
        <f aca="false">IF(AND(Y$3&gt;=CEG_Assets!$E$8,Y$3&lt;=CEG_Assets!$F$8,CEG_Assets!$H$8="Cashflow"),1,0)</f>
        <v>1</v>
      </c>
      <c r="Z216" s="47" t="n">
        <f aca="false">IF(AND(Z$3&gt;=CEG_Assets!$E$8,Z$3&lt;=CEG_Assets!$F$8,CEG_Assets!$H$8="Cashflow"),1,0)</f>
        <v>1</v>
      </c>
      <c r="AA216" s="47" t="n">
        <f aca="false">IF(AND(AA$3&gt;=CEG_Assets!$E$8,AA$3&lt;=CEG_Assets!$F$8,CEG_Assets!$H$8="Cashflow"),1,0)</f>
        <v>1</v>
      </c>
      <c r="AB216" s="47" t="n">
        <f aca="false">IF(AND(AB$3&gt;=CEG_Assets!$E$8,AB$3&lt;=CEG_Assets!$F$8,CEG_Assets!$H$8="Cashflow"),1,0)</f>
        <v>1</v>
      </c>
      <c r="AC216" s="47" t="n">
        <f aca="false">IF(AND(AC$3&gt;=CEG_Assets!$E$8,AC$3&lt;=CEG_Assets!$F$8,CEG_Assets!$H$8="Cashflow"),1,0)</f>
        <v>1</v>
      </c>
      <c r="AD216" s="47" t="n">
        <f aca="false">IF(AND(AD$3&gt;=CEG_Assets!$E$8,AD$3&lt;=CEG_Assets!$F$8,CEG_Assets!$H$8="Cashflow"),1,0)</f>
        <v>1</v>
      </c>
      <c r="AE216" s="47" t="n">
        <f aca="false">IF(AND(AE$3&gt;=CEG_Assets!$E$8,AE$3&lt;=CEG_Assets!$F$8,CEG_Assets!$H$8="Cashflow"),1,0)</f>
        <v>1</v>
      </c>
      <c r="AF216" s="47" t="n">
        <f aca="false">IF(AND(AF$3&gt;=CEG_Assets!$E$8,AF$3&lt;=CEG_Assets!$F$8,CEG_Assets!$H$8="Cashflow"),1,0)</f>
        <v>1</v>
      </c>
      <c r="AG216" s="47" t="n">
        <f aca="false">IF(AND(AG$3&gt;=CEG_Assets!$E$8,AG$3&lt;=CEG_Assets!$F$8,CEG_Assets!$H$8="Cashflow"),1,0)</f>
        <v>1</v>
      </c>
      <c r="AH216" s="47" t="n">
        <f aca="false">IF(AND(AH$3&gt;=CEG_Assets!$E$8,AH$3&lt;=CEG_Assets!$F$8,CEG_Assets!$H$8="Cashflow"),1,0)</f>
        <v>1</v>
      </c>
      <c r="AI216" s="47" t="n">
        <f aca="false">IF(AND(AI$3&gt;=CEG_Assets!$E$8,AI$3&lt;=CEG_Assets!$F$8,CEG_Assets!$H$8="Cashflow"),1,0)</f>
        <v>1</v>
      </c>
      <c r="AJ216" s="47" t="n">
        <f aca="false">IF(AND(AJ$3&gt;=CEG_Assets!$E$8,AJ$3&lt;=CEG_Assets!$F$8,CEG_Assets!$H$8="Cashflow"),1,0)</f>
        <v>0</v>
      </c>
      <c r="AK216" s="47" t="n">
        <f aca="false">IF(AND(AK$3&gt;=CEG_Assets!$E$8,AK$3&lt;=CEG_Assets!$F$8,CEG_Assets!$H$8="Cashflow"),1,0)</f>
        <v>0</v>
      </c>
      <c r="AL216" s="47" t="n">
        <f aca="false">IF(AND(AL$3&gt;=CEG_Assets!$E$8,AL$3&lt;=CEG_Assets!$F$8,CEG_Assets!$H$8="Cashflow"),1,0)</f>
        <v>0</v>
      </c>
      <c r="AM216" s="47" t="n">
        <f aca="false">IF(AND(AM$3&gt;=CEG_Assets!$E$8,AM$3&lt;=CEG_Assets!$F$8,CEG_Assets!$H$8="Cashflow"),1,0)</f>
        <v>0</v>
      </c>
      <c r="AN216" s="47" t="n">
        <f aca="false">IF(AND(AN$3&gt;=CEG_Assets!$E$8,AN$3&lt;=CEG_Assets!$F$8,CEG_Assets!$H$8="Cashflow"),1,0)</f>
        <v>0</v>
      </c>
      <c r="AO216" s="47" t="n">
        <f aca="false">IF(AND(AO$3&gt;=CEG_Assets!$E$8,AO$3&lt;=CEG_Assets!$F$8,CEG_Assets!$H$8="Cashflow"),1,0)</f>
        <v>0</v>
      </c>
      <c r="AP216" s="47" t="n">
        <f aca="false">IF(AND(AP$3&gt;=CEG_Assets!$E$8,AP$3&lt;=CEG_Assets!$F$8,CEG_Assets!$H$8="Cashflow"),1,0)</f>
        <v>0</v>
      </c>
      <c r="AQ216" s="47" t="n">
        <f aca="false">IF(AND(AQ$3&gt;=CEG_Assets!$E$8,AQ$3&lt;=CEG_Assets!$F$8,CEG_Assets!$H$8="Cashflow"),1,0)</f>
        <v>0</v>
      </c>
      <c r="AR216" s="47" t="n">
        <f aca="false">IF(AND(AR$3&gt;=CEG_Assets!$E$8,AR$3&lt;=CEG_Assets!$F$8,CEG_Assets!$H$8="Cashflow"),1,0)</f>
        <v>0</v>
      </c>
      <c r="AS216" s="47" t="n">
        <f aca="false">IF(AND(AS$3&gt;=CEG_Assets!$E$8,AS$3&lt;=CEG_Assets!$F$8,CEG_Assets!$H$8="Cashflow"),1,0)</f>
        <v>0</v>
      </c>
    </row>
    <row r="217" customFormat="false" ht="15" hidden="false" customHeight="false" outlineLevel="0" collapsed="false">
      <c r="A217" s="6" t="s">
        <v>427</v>
      </c>
      <c r="B217" s="6" t="s">
        <v>428</v>
      </c>
      <c r="G217" s="9" t="n">
        <f aca="false">IF(AND(G$3&gt;=CEG_Assets!$AA$8,G$3&lt;=CEG_Assets!$AB$8),MIN(CEG_Assets!$D$8,CEG_Assets!$Z$8*MIN(1,(G$3-CEG_Assets!$AA$8+1)/MAX(1,CEG_Assets!$AC$8))),0)*G216</f>
        <v>0</v>
      </c>
      <c r="H217" s="9" t="n">
        <f aca="false">IF(AND(H$3&gt;=CEG_Assets!$AA$8,H$3&lt;=CEG_Assets!$AB$8),MIN(CEG_Assets!$D$8,CEG_Assets!$Z$8*MIN(1,(H$3-CEG_Assets!$AA$8+1)/MAX(1,CEG_Assets!$AC$8))),0)*H216</f>
        <v>0</v>
      </c>
      <c r="I217" s="9" t="n">
        <f aca="false">IF(AND(I$3&gt;=CEG_Assets!$AA$8,I$3&lt;=CEG_Assets!$AB$8),MIN(CEG_Assets!$D$8,CEG_Assets!$Z$8*MIN(1,(I$3-CEG_Assets!$AA$8+1)/MAX(1,CEG_Assets!$AC$8))),0)*I216</f>
        <v>0</v>
      </c>
      <c r="J217" s="9" t="n">
        <f aca="false">IF(AND(J$3&gt;=CEG_Assets!$AA$8,J$3&lt;=CEG_Assets!$AB$8),MIN(CEG_Assets!$D$8,CEG_Assets!$Z$8*MIN(1,(J$3-CEG_Assets!$AA$8+1)/MAX(1,CEG_Assets!$AC$8))),0)*J216</f>
        <v>0</v>
      </c>
      <c r="K217" s="9" t="n">
        <f aca="false">IF(AND(K$3&gt;=CEG_Assets!$AA$8,K$3&lt;=CEG_Assets!$AB$8),MIN(CEG_Assets!$D$8,CEG_Assets!$Z$8*MIN(1,(K$3-CEG_Assets!$AA$8+1)/MAX(1,CEG_Assets!$AC$8))),0)*K216</f>
        <v>0</v>
      </c>
      <c r="L217" s="9" t="n">
        <f aca="false">IF(AND(L$3&gt;=CEG_Assets!$AA$8,L$3&lt;=CEG_Assets!$AB$8),MIN(CEG_Assets!$D$8,CEG_Assets!$Z$8*MIN(1,(L$3-CEG_Assets!$AA$8+1)/MAX(1,CEG_Assets!$AC$8))),0)*L216</f>
        <v>0</v>
      </c>
      <c r="M217" s="9" t="n">
        <f aca="false">IF(AND(M$3&gt;=CEG_Assets!$AA$8,M$3&lt;=CEG_Assets!$AB$8),MIN(CEG_Assets!$D$8,CEG_Assets!$Z$8*MIN(1,(M$3-CEG_Assets!$AA$8+1)/MAX(1,CEG_Assets!$AC$8))),0)*M216</f>
        <v>0</v>
      </c>
      <c r="N217" s="9" t="n">
        <f aca="false">IF(AND(N$3&gt;=CEG_Assets!$AA$8,N$3&lt;=CEG_Assets!$AB$8),MIN(CEG_Assets!$D$8,CEG_Assets!$Z$8*MIN(1,(N$3-CEG_Assets!$AA$8+1)/MAX(1,CEG_Assets!$AC$8))),0)*N216</f>
        <v>0</v>
      </c>
      <c r="O217" s="9" t="n">
        <f aca="false">IF(AND(O$3&gt;=CEG_Assets!$AA$8,O$3&lt;=CEG_Assets!$AB$8),MIN(CEG_Assets!$D$8,CEG_Assets!$Z$8*MIN(1,(O$3-CEG_Assets!$AA$8+1)/MAX(1,CEG_Assets!$AC$8))),0)*O216</f>
        <v>0</v>
      </c>
      <c r="P217" s="9" t="n">
        <f aca="false">IF(AND(P$3&gt;=CEG_Assets!$AA$8,P$3&lt;=CEG_Assets!$AB$8),MIN(CEG_Assets!$D$8,CEG_Assets!$Z$8*MIN(1,(P$3-CEG_Assets!$AA$8+1)/MAX(1,CEG_Assets!$AC$8))),0)*P216</f>
        <v>0</v>
      </c>
      <c r="Q217" s="9" t="n">
        <f aca="false">IF(AND(Q$3&gt;=CEG_Assets!$AA$8,Q$3&lt;=CEG_Assets!$AB$8),MIN(CEG_Assets!$D$8,CEG_Assets!$Z$8*MIN(1,(Q$3-CEG_Assets!$AA$8+1)/MAX(1,CEG_Assets!$AC$8))),0)*Q216</f>
        <v>0</v>
      </c>
      <c r="R217" s="9" t="n">
        <f aca="false">IF(AND(R$3&gt;=CEG_Assets!$AA$8,R$3&lt;=CEG_Assets!$AB$8),MIN(CEG_Assets!$D$8,CEG_Assets!$Z$8*MIN(1,(R$3-CEG_Assets!$AA$8+1)/MAX(1,CEG_Assets!$AC$8))),0)*R216</f>
        <v>0</v>
      </c>
      <c r="S217" s="9" t="n">
        <f aca="false">IF(AND(S$3&gt;=CEG_Assets!$AA$8,S$3&lt;=CEG_Assets!$AB$8),MIN(CEG_Assets!$D$8,CEG_Assets!$Z$8*MIN(1,(S$3-CEG_Assets!$AA$8+1)/MAX(1,CEG_Assets!$AC$8))),0)*S216</f>
        <v>0</v>
      </c>
      <c r="T217" s="9" t="n">
        <f aca="false">IF(AND(T$3&gt;=CEG_Assets!$AA$8,T$3&lt;=CEG_Assets!$AB$8),MIN(CEG_Assets!$D$8,CEG_Assets!$Z$8*MIN(1,(T$3-CEG_Assets!$AA$8+1)/MAX(1,CEG_Assets!$AC$8))),0)*T216</f>
        <v>0</v>
      </c>
      <c r="U217" s="9" t="n">
        <f aca="false">IF(AND(U$3&gt;=CEG_Assets!$AA$8,U$3&lt;=CEG_Assets!$AB$8),MIN(CEG_Assets!$D$8,CEG_Assets!$Z$8*MIN(1,(U$3-CEG_Assets!$AA$8+1)/MAX(1,CEG_Assets!$AC$8))),0)*U216</f>
        <v>0</v>
      </c>
      <c r="V217" s="9" t="n">
        <f aca="false">IF(AND(V$3&gt;=CEG_Assets!$AA$8,V$3&lt;=CEG_Assets!$AB$8),MIN(CEG_Assets!$D$8,CEG_Assets!$Z$8*MIN(1,(V$3-CEG_Assets!$AA$8+1)/MAX(1,CEG_Assets!$AC$8))),0)*V216</f>
        <v>0</v>
      </c>
      <c r="W217" s="9" t="n">
        <f aca="false">IF(AND(W$3&gt;=CEG_Assets!$AA$8,W$3&lt;=CEG_Assets!$AB$8),MIN(CEG_Assets!$D$8,CEG_Assets!$Z$8*MIN(1,(W$3-CEG_Assets!$AA$8+1)/MAX(1,CEG_Assets!$AC$8))),0)*W216</f>
        <v>0</v>
      </c>
      <c r="X217" s="9" t="n">
        <f aca="false">IF(AND(X$3&gt;=CEG_Assets!$AA$8,X$3&lt;=CEG_Assets!$AB$8),MIN(CEG_Assets!$D$8,CEG_Assets!$Z$8*MIN(1,(X$3-CEG_Assets!$AA$8+1)/MAX(1,CEG_Assets!$AC$8))),0)*X216</f>
        <v>0</v>
      </c>
      <c r="Y217" s="9" t="n">
        <f aca="false">IF(AND(Y$3&gt;=CEG_Assets!$AA$8,Y$3&lt;=CEG_Assets!$AB$8),MIN(CEG_Assets!$D$8,CEG_Assets!$Z$8*MIN(1,(Y$3-CEG_Assets!$AA$8+1)/MAX(1,CEG_Assets!$AC$8))),0)*Y216</f>
        <v>0</v>
      </c>
      <c r="Z217" s="9" t="n">
        <f aca="false">IF(AND(Z$3&gt;=CEG_Assets!$AA$8,Z$3&lt;=CEG_Assets!$AB$8),MIN(CEG_Assets!$D$8,CEG_Assets!$Z$8*MIN(1,(Z$3-CEG_Assets!$AA$8+1)/MAX(1,CEG_Assets!$AC$8))),0)*Z216</f>
        <v>0</v>
      </c>
      <c r="AA217" s="9" t="n">
        <f aca="false">IF(AND(AA$3&gt;=CEG_Assets!$AA$8,AA$3&lt;=CEG_Assets!$AB$8),MIN(CEG_Assets!$D$8,CEG_Assets!$Z$8*MIN(1,(AA$3-CEG_Assets!$AA$8+1)/MAX(1,CEG_Assets!$AC$8))),0)*AA216</f>
        <v>0</v>
      </c>
      <c r="AB217" s="9" t="n">
        <f aca="false">IF(AND(AB$3&gt;=CEG_Assets!$AA$8,AB$3&lt;=CEG_Assets!$AB$8),MIN(CEG_Assets!$D$8,CEG_Assets!$Z$8*MIN(1,(AB$3-CEG_Assets!$AA$8+1)/MAX(1,CEG_Assets!$AC$8))),0)*AB216</f>
        <v>0</v>
      </c>
      <c r="AC217" s="9" t="n">
        <f aca="false">IF(AND(AC$3&gt;=CEG_Assets!$AA$8,AC$3&lt;=CEG_Assets!$AB$8),MIN(CEG_Assets!$D$8,CEG_Assets!$Z$8*MIN(1,(AC$3-CEG_Assets!$AA$8+1)/MAX(1,CEG_Assets!$AC$8))),0)*AC216</f>
        <v>0</v>
      </c>
      <c r="AD217" s="9" t="n">
        <f aca="false">IF(AND(AD$3&gt;=CEG_Assets!$AA$8,AD$3&lt;=CEG_Assets!$AB$8),MIN(CEG_Assets!$D$8,CEG_Assets!$Z$8*MIN(1,(AD$3-CEG_Assets!$AA$8+1)/MAX(1,CEG_Assets!$AC$8))),0)*AD216</f>
        <v>0</v>
      </c>
      <c r="AE217" s="9" t="n">
        <f aca="false">IF(AND(AE$3&gt;=CEG_Assets!$AA$8,AE$3&lt;=CEG_Assets!$AB$8),MIN(CEG_Assets!$D$8,CEG_Assets!$Z$8*MIN(1,(AE$3-CEG_Assets!$AA$8+1)/MAX(1,CEG_Assets!$AC$8))),0)*AE216</f>
        <v>0</v>
      </c>
      <c r="AF217" s="9" t="n">
        <f aca="false">IF(AND(AF$3&gt;=CEG_Assets!$AA$8,AF$3&lt;=CEG_Assets!$AB$8),MIN(CEG_Assets!$D$8,CEG_Assets!$Z$8*MIN(1,(AF$3-CEG_Assets!$AA$8+1)/MAX(1,CEG_Assets!$AC$8))),0)*AF216</f>
        <v>0</v>
      </c>
      <c r="AG217" s="9" t="n">
        <f aca="false">IF(AND(AG$3&gt;=CEG_Assets!$AA$8,AG$3&lt;=CEG_Assets!$AB$8),MIN(CEG_Assets!$D$8,CEG_Assets!$Z$8*MIN(1,(AG$3-CEG_Assets!$AA$8+1)/MAX(1,CEG_Assets!$AC$8))),0)*AG216</f>
        <v>0</v>
      </c>
      <c r="AH217" s="9" t="n">
        <f aca="false">IF(AND(AH$3&gt;=CEG_Assets!$AA$8,AH$3&lt;=CEG_Assets!$AB$8),MIN(CEG_Assets!$D$8,CEG_Assets!$Z$8*MIN(1,(AH$3-CEG_Assets!$AA$8+1)/MAX(1,CEG_Assets!$AC$8))),0)*AH216</f>
        <v>0</v>
      </c>
      <c r="AI217" s="9" t="n">
        <f aca="false">IF(AND(AI$3&gt;=CEG_Assets!$AA$8,AI$3&lt;=CEG_Assets!$AB$8),MIN(CEG_Assets!$D$8,CEG_Assets!$Z$8*MIN(1,(AI$3-CEG_Assets!$AA$8+1)/MAX(1,CEG_Assets!$AC$8))),0)*AI216</f>
        <v>0</v>
      </c>
      <c r="AJ217" s="9" t="n">
        <f aca="false">IF(AND(AJ$3&gt;=CEG_Assets!$AA$8,AJ$3&lt;=CEG_Assets!$AB$8),MIN(CEG_Assets!$D$8,CEG_Assets!$Z$8*MIN(1,(AJ$3-CEG_Assets!$AA$8+1)/MAX(1,CEG_Assets!$AC$8))),0)*AJ216</f>
        <v>0</v>
      </c>
      <c r="AK217" s="9" t="n">
        <f aca="false">IF(AND(AK$3&gt;=CEG_Assets!$AA$8,AK$3&lt;=CEG_Assets!$AB$8),MIN(CEG_Assets!$D$8,CEG_Assets!$Z$8*MIN(1,(AK$3-CEG_Assets!$AA$8+1)/MAX(1,CEG_Assets!$AC$8))),0)*AK216</f>
        <v>0</v>
      </c>
      <c r="AL217" s="9" t="n">
        <f aca="false">IF(AND(AL$3&gt;=CEG_Assets!$AA$8,AL$3&lt;=CEG_Assets!$AB$8),MIN(CEG_Assets!$D$8,CEG_Assets!$Z$8*MIN(1,(AL$3-CEG_Assets!$AA$8+1)/MAX(1,CEG_Assets!$AC$8))),0)*AL216</f>
        <v>0</v>
      </c>
      <c r="AM217" s="9" t="n">
        <f aca="false">IF(AND(AM$3&gt;=CEG_Assets!$AA$8,AM$3&lt;=CEG_Assets!$AB$8),MIN(CEG_Assets!$D$8,CEG_Assets!$Z$8*MIN(1,(AM$3-CEG_Assets!$AA$8+1)/MAX(1,CEG_Assets!$AC$8))),0)*AM216</f>
        <v>0</v>
      </c>
      <c r="AN217" s="9" t="n">
        <f aca="false">IF(AND(AN$3&gt;=CEG_Assets!$AA$8,AN$3&lt;=CEG_Assets!$AB$8),MIN(CEG_Assets!$D$8,CEG_Assets!$Z$8*MIN(1,(AN$3-CEG_Assets!$AA$8+1)/MAX(1,CEG_Assets!$AC$8))),0)*AN216</f>
        <v>0</v>
      </c>
      <c r="AO217" s="9" t="n">
        <f aca="false">IF(AND(AO$3&gt;=CEG_Assets!$AA$8,AO$3&lt;=CEG_Assets!$AB$8),MIN(CEG_Assets!$D$8,CEG_Assets!$Z$8*MIN(1,(AO$3-CEG_Assets!$AA$8+1)/MAX(1,CEG_Assets!$AC$8))),0)*AO216</f>
        <v>0</v>
      </c>
      <c r="AP217" s="9" t="n">
        <f aca="false">IF(AND(AP$3&gt;=CEG_Assets!$AA$8,AP$3&lt;=CEG_Assets!$AB$8),MIN(CEG_Assets!$D$8,CEG_Assets!$Z$8*MIN(1,(AP$3-CEG_Assets!$AA$8+1)/MAX(1,CEG_Assets!$AC$8))),0)*AP216</f>
        <v>0</v>
      </c>
      <c r="AQ217" s="9" t="n">
        <f aca="false">IF(AND(AQ$3&gt;=CEG_Assets!$AA$8,AQ$3&lt;=CEG_Assets!$AB$8),MIN(CEG_Assets!$D$8,CEG_Assets!$Z$8*MIN(1,(AQ$3-CEG_Assets!$AA$8+1)/MAX(1,CEG_Assets!$AC$8))),0)*AQ216</f>
        <v>0</v>
      </c>
      <c r="AR217" s="9" t="n">
        <f aca="false">IF(AND(AR$3&gt;=CEG_Assets!$AA$8,AR$3&lt;=CEG_Assets!$AB$8),MIN(CEG_Assets!$D$8,CEG_Assets!$Z$8*MIN(1,(AR$3-CEG_Assets!$AA$8+1)/MAX(1,CEG_Assets!$AC$8))),0)*AR216</f>
        <v>0</v>
      </c>
      <c r="AS217" s="9" t="n">
        <f aca="false">IF(AND(AS$3&gt;=CEG_Assets!$AA$8,AS$3&lt;=CEG_Assets!$AB$8),MIN(CEG_Assets!$D$8,CEG_Assets!$Z$8*MIN(1,(AS$3-CEG_Assets!$AA$8+1)/MAX(1,CEG_Assets!$AC$8))),0)*AS216</f>
        <v>0</v>
      </c>
    </row>
    <row r="218" customFormat="false" ht="15" hidden="false" customHeight="false" outlineLevel="0" collapsed="false">
      <c r="A218" s="6" t="s">
        <v>429</v>
      </c>
      <c r="B218" s="6" t="s">
        <v>430</v>
      </c>
      <c r="G218" s="9" t="n">
        <f aca="false">(CEG_Assets!$D$8-G217)*8760*CEG_Assets!$I$8*G216</f>
        <v>2876784</v>
      </c>
      <c r="H218" s="9" t="n">
        <f aca="false">(CEG_Assets!$D$8-H217)*8760*CEG_Assets!$I$8*H216</f>
        <v>2876784</v>
      </c>
      <c r="I218" s="9" t="n">
        <f aca="false">(CEG_Assets!$D$8-I217)*8760*CEG_Assets!$I$8*I216</f>
        <v>2876784</v>
      </c>
      <c r="J218" s="9" t="n">
        <f aca="false">(CEG_Assets!$D$8-J217)*8760*CEG_Assets!$I$8*J216</f>
        <v>2876784</v>
      </c>
      <c r="K218" s="9" t="n">
        <f aca="false">(CEG_Assets!$D$8-K217)*8760*CEG_Assets!$I$8*K216</f>
        <v>2876784</v>
      </c>
      <c r="L218" s="9" t="n">
        <f aca="false">(CEG_Assets!$D$8-L217)*8760*CEG_Assets!$I$8*L216</f>
        <v>2876784</v>
      </c>
      <c r="M218" s="9" t="n">
        <f aca="false">(CEG_Assets!$D$8-M217)*8760*CEG_Assets!$I$8*M216</f>
        <v>2876784</v>
      </c>
      <c r="N218" s="9" t="n">
        <f aca="false">(CEG_Assets!$D$8-N217)*8760*CEG_Assets!$I$8*N216</f>
        <v>2876784</v>
      </c>
      <c r="O218" s="9" t="n">
        <f aca="false">(CEG_Assets!$D$8-O217)*8760*CEG_Assets!$I$8*O216</f>
        <v>2876784</v>
      </c>
      <c r="P218" s="9" t="n">
        <f aca="false">(CEG_Assets!$D$8-P217)*8760*CEG_Assets!$I$8*P216</f>
        <v>2876784</v>
      </c>
      <c r="Q218" s="9" t="n">
        <f aca="false">(CEG_Assets!$D$8-Q217)*8760*CEG_Assets!$I$8*Q216</f>
        <v>2876784</v>
      </c>
      <c r="R218" s="9" t="n">
        <f aca="false">(CEG_Assets!$D$8-R217)*8760*CEG_Assets!$I$8*R216</f>
        <v>2876784</v>
      </c>
      <c r="S218" s="9" t="n">
        <f aca="false">(CEG_Assets!$D$8-S217)*8760*CEG_Assets!$I$8*S216</f>
        <v>2876784</v>
      </c>
      <c r="T218" s="9" t="n">
        <f aca="false">(CEG_Assets!$D$8-T217)*8760*CEG_Assets!$I$8*T216</f>
        <v>2876784</v>
      </c>
      <c r="U218" s="9" t="n">
        <f aca="false">(CEG_Assets!$D$8-U217)*8760*CEG_Assets!$I$8*U216</f>
        <v>2876784</v>
      </c>
      <c r="V218" s="9" t="n">
        <f aca="false">(CEG_Assets!$D$8-V217)*8760*CEG_Assets!$I$8*V216</f>
        <v>2876784</v>
      </c>
      <c r="W218" s="9" t="n">
        <f aca="false">(CEG_Assets!$D$8-W217)*8760*CEG_Assets!$I$8*W216</f>
        <v>2876784</v>
      </c>
      <c r="X218" s="9" t="n">
        <f aca="false">(CEG_Assets!$D$8-X217)*8760*CEG_Assets!$I$8*X216</f>
        <v>2876784</v>
      </c>
      <c r="Y218" s="9" t="n">
        <f aca="false">(CEG_Assets!$D$8-Y217)*8760*CEG_Assets!$I$8*Y216</f>
        <v>2876784</v>
      </c>
      <c r="Z218" s="9" t="n">
        <f aca="false">(CEG_Assets!$D$8-Z217)*8760*CEG_Assets!$I$8*Z216</f>
        <v>2876784</v>
      </c>
      <c r="AA218" s="9" t="n">
        <f aca="false">(CEG_Assets!$D$8-AA217)*8760*CEG_Assets!$I$8*AA216</f>
        <v>2876784</v>
      </c>
      <c r="AB218" s="9" t="n">
        <f aca="false">(CEG_Assets!$D$8-AB217)*8760*CEG_Assets!$I$8*AB216</f>
        <v>2876784</v>
      </c>
      <c r="AC218" s="9" t="n">
        <f aca="false">(CEG_Assets!$D$8-AC217)*8760*CEG_Assets!$I$8*AC216</f>
        <v>2876784</v>
      </c>
      <c r="AD218" s="9" t="n">
        <f aca="false">(CEG_Assets!$D$8-AD217)*8760*CEG_Assets!$I$8*AD216</f>
        <v>2876784</v>
      </c>
      <c r="AE218" s="9" t="n">
        <f aca="false">(CEG_Assets!$D$8-AE217)*8760*CEG_Assets!$I$8*AE216</f>
        <v>2876784</v>
      </c>
      <c r="AF218" s="9" t="n">
        <f aca="false">(CEG_Assets!$D$8-AF217)*8760*CEG_Assets!$I$8*AF216</f>
        <v>2876784</v>
      </c>
      <c r="AG218" s="9" t="n">
        <f aca="false">(CEG_Assets!$D$8-AG217)*8760*CEG_Assets!$I$8*AG216</f>
        <v>2876784</v>
      </c>
      <c r="AH218" s="9" t="n">
        <f aca="false">(CEG_Assets!$D$8-AH217)*8760*CEG_Assets!$I$8*AH216</f>
        <v>2876784</v>
      </c>
      <c r="AI218" s="9" t="n">
        <f aca="false">(CEG_Assets!$D$8-AI217)*8760*CEG_Assets!$I$8*AI216</f>
        <v>2876784</v>
      </c>
      <c r="AJ218" s="9" t="n">
        <f aca="false">(CEG_Assets!$D$8-AJ217)*8760*CEG_Assets!$I$8*AJ216</f>
        <v>0</v>
      </c>
      <c r="AK218" s="9" t="n">
        <f aca="false">(CEG_Assets!$D$8-AK217)*8760*CEG_Assets!$I$8*AK216</f>
        <v>0</v>
      </c>
      <c r="AL218" s="9" t="n">
        <f aca="false">(CEG_Assets!$D$8-AL217)*8760*CEG_Assets!$I$8*AL216</f>
        <v>0</v>
      </c>
      <c r="AM218" s="9" t="n">
        <f aca="false">(CEG_Assets!$D$8-AM217)*8760*CEG_Assets!$I$8*AM216</f>
        <v>0</v>
      </c>
      <c r="AN218" s="9" t="n">
        <f aca="false">(CEG_Assets!$D$8-AN217)*8760*CEG_Assets!$I$8*AN216</f>
        <v>0</v>
      </c>
      <c r="AO218" s="9" t="n">
        <f aca="false">(CEG_Assets!$D$8-AO217)*8760*CEG_Assets!$I$8*AO216</f>
        <v>0</v>
      </c>
      <c r="AP218" s="9" t="n">
        <f aca="false">(CEG_Assets!$D$8-AP217)*8760*CEG_Assets!$I$8*AP216</f>
        <v>0</v>
      </c>
      <c r="AQ218" s="9" t="n">
        <f aca="false">(CEG_Assets!$D$8-AQ217)*8760*CEG_Assets!$I$8*AQ216</f>
        <v>0</v>
      </c>
      <c r="AR218" s="9" t="n">
        <f aca="false">(CEG_Assets!$D$8-AR217)*8760*CEG_Assets!$I$8*AR216</f>
        <v>0</v>
      </c>
      <c r="AS218" s="9" t="n">
        <f aca="false">(CEG_Assets!$D$8-AS217)*8760*CEG_Assets!$I$8*AS216</f>
        <v>0</v>
      </c>
    </row>
    <row r="219" customFormat="false" ht="15" hidden="false" customHeight="false" outlineLevel="0" collapsed="false">
      <c r="A219" s="6" t="s">
        <v>431</v>
      </c>
      <c r="B219" s="6" t="s">
        <v>432</v>
      </c>
      <c r="G219" s="9" t="n">
        <f aca="false">G217*8760*CEG_Assets!$I$8*G216</f>
        <v>0</v>
      </c>
      <c r="H219" s="9" t="n">
        <f aca="false">H217*8760*CEG_Assets!$I$8*H216</f>
        <v>0</v>
      </c>
      <c r="I219" s="9" t="n">
        <f aca="false">I217*8760*CEG_Assets!$I$8*I216</f>
        <v>0</v>
      </c>
      <c r="J219" s="9" t="n">
        <f aca="false">J217*8760*CEG_Assets!$I$8*J216</f>
        <v>0</v>
      </c>
      <c r="K219" s="9" t="n">
        <f aca="false">K217*8760*CEG_Assets!$I$8*K216</f>
        <v>0</v>
      </c>
      <c r="L219" s="9" t="n">
        <f aca="false">L217*8760*CEG_Assets!$I$8*L216</f>
        <v>0</v>
      </c>
      <c r="M219" s="9" t="n">
        <f aca="false">M217*8760*CEG_Assets!$I$8*M216</f>
        <v>0</v>
      </c>
      <c r="N219" s="9" t="n">
        <f aca="false">N217*8760*CEG_Assets!$I$8*N216</f>
        <v>0</v>
      </c>
      <c r="O219" s="9" t="n">
        <f aca="false">O217*8760*CEG_Assets!$I$8*O216</f>
        <v>0</v>
      </c>
      <c r="P219" s="9" t="n">
        <f aca="false">P217*8760*CEG_Assets!$I$8*P216</f>
        <v>0</v>
      </c>
      <c r="Q219" s="9" t="n">
        <f aca="false">Q217*8760*CEG_Assets!$I$8*Q216</f>
        <v>0</v>
      </c>
      <c r="R219" s="9" t="n">
        <f aca="false">R217*8760*CEG_Assets!$I$8*R216</f>
        <v>0</v>
      </c>
      <c r="S219" s="9" t="n">
        <f aca="false">S217*8760*CEG_Assets!$I$8*S216</f>
        <v>0</v>
      </c>
      <c r="T219" s="9" t="n">
        <f aca="false">T217*8760*CEG_Assets!$I$8*T216</f>
        <v>0</v>
      </c>
      <c r="U219" s="9" t="n">
        <f aca="false">U217*8760*CEG_Assets!$I$8*U216</f>
        <v>0</v>
      </c>
      <c r="V219" s="9" t="n">
        <f aca="false">V217*8760*CEG_Assets!$I$8*V216</f>
        <v>0</v>
      </c>
      <c r="W219" s="9" t="n">
        <f aca="false">W217*8760*CEG_Assets!$I$8*W216</f>
        <v>0</v>
      </c>
      <c r="X219" s="9" t="n">
        <f aca="false">X217*8760*CEG_Assets!$I$8*X216</f>
        <v>0</v>
      </c>
      <c r="Y219" s="9" t="n">
        <f aca="false">Y217*8760*CEG_Assets!$I$8*Y216</f>
        <v>0</v>
      </c>
      <c r="Z219" s="9" t="n">
        <f aca="false">Z217*8760*CEG_Assets!$I$8*Z216</f>
        <v>0</v>
      </c>
      <c r="AA219" s="9" t="n">
        <f aca="false">AA217*8760*CEG_Assets!$I$8*AA216</f>
        <v>0</v>
      </c>
      <c r="AB219" s="9" t="n">
        <f aca="false">AB217*8760*CEG_Assets!$I$8*AB216</f>
        <v>0</v>
      </c>
      <c r="AC219" s="9" t="n">
        <f aca="false">AC217*8760*CEG_Assets!$I$8*AC216</f>
        <v>0</v>
      </c>
      <c r="AD219" s="9" t="n">
        <f aca="false">AD217*8760*CEG_Assets!$I$8*AD216</f>
        <v>0</v>
      </c>
      <c r="AE219" s="9" t="n">
        <f aca="false">AE217*8760*CEG_Assets!$I$8*AE216</f>
        <v>0</v>
      </c>
      <c r="AF219" s="9" t="n">
        <f aca="false">AF217*8760*CEG_Assets!$I$8*AF216</f>
        <v>0</v>
      </c>
      <c r="AG219" s="9" t="n">
        <f aca="false">AG217*8760*CEG_Assets!$I$8*AG216</f>
        <v>0</v>
      </c>
      <c r="AH219" s="9" t="n">
        <f aca="false">AH217*8760*CEG_Assets!$I$8*AH216</f>
        <v>0</v>
      </c>
      <c r="AI219" s="9" t="n">
        <f aca="false">AI217*8760*CEG_Assets!$I$8*AI216</f>
        <v>0</v>
      </c>
      <c r="AJ219" s="9" t="n">
        <f aca="false">AJ217*8760*CEG_Assets!$I$8*AJ216</f>
        <v>0</v>
      </c>
      <c r="AK219" s="9" t="n">
        <f aca="false">AK217*8760*CEG_Assets!$I$8*AK216</f>
        <v>0</v>
      </c>
      <c r="AL219" s="9" t="n">
        <f aca="false">AL217*8760*CEG_Assets!$I$8*AL216</f>
        <v>0</v>
      </c>
      <c r="AM219" s="9" t="n">
        <f aca="false">AM217*8760*CEG_Assets!$I$8*AM216</f>
        <v>0</v>
      </c>
      <c r="AN219" s="9" t="n">
        <f aca="false">AN217*8760*CEG_Assets!$I$8*AN216</f>
        <v>0</v>
      </c>
      <c r="AO219" s="9" t="n">
        <f aca="false">AO217*8760*CEG_Assets!$I$8*AO216</f>
        <v>0</v>
      </c>
      <c r="AP219" s="9" t="n">
        <f aca="false">AP217*8760*CEG_Assets!$I$8*AP216</f>
        <v>0</v>
      </c>
      <c r="AQ219" s="9" t="n">
        <f aca="false">AQ217*8760*CEG_Assets!$I$8*AQ216</f>
        <v>0</v>
      </c>
      <c r="AR219" s="9" t="n">
        <f aca="false">AR217*8760*CEG_Assets!$I$8*AR216</f>
        <v>0</v>
      </c>
      <c r="AS219" s="9" t="n">
        <f aca="false">AS217*8760*CEG_Assets!$I$8*AS216</f>
        <v>0</v>
      </c>
    </row>
    <row r="220" customFormat="false" ht="15" hidden="false" customHeight="false" outlineLevel="0" collapsed="false">
      <c r="A220" s="6" t="s">
        <v>433</v>
      </c>
      <c r="B220" s="6" t="s">
        <v>434</v>
      </c>
      <c r="G220" s="7" t="n">
        <f aca="false">IF(ISNUMBER(CEG_Assets!$L$8),CEG_Assets!$L$8*G$4,INDEX(Prices!G:G,CEG_Assets!$AO$8)+FuelAdder*G$4)</f>
        <v>3.927</v>
      </c>
      <c r="H220" s="7" t="n">
        <f aca="false">IF(ISNUMBER(CEG_Assets!$L$8),CEG_Assets!$L$8*H$4,INDEX(Prices!H:H,CEG_Assets!$AO$8)+FuelAdder*H$4)</f>
        <v>4.00554</v>
      </c>
      <c r="I220" s="7" t="n">
        <f aca="false">IF(ISNUMBER(CEG_Assets!$L$8),CEG_Assets!$L$8*I$4,INDEX(Prices!I:I,CEG_Assets!$AO$8)+FuelAdder*I$4)</f>
        <v>4.1917716</v>
      </c>
      <c r="J220" s="7" t="n">
        <f aca="false">IF(ISNUMBER(CEG_Assets!$L$8),CEG_Assets!$L$8*J$4,INDEX(Prices!J:J,CEG_Assets!$AO$8)+FuelAdder*J$4)</f>
        <v>4.275607032</v>
      </c>
      <c r="K220" s="7" t="n">
        <f aca="false">IF(ISNUMBER(CEG_Assets!$L$8),CEG_Assets!$L$8*K$4,INDEX(Prices!K:K,CEG_Assets!$AO$8)+FuelAdder*K$4)</f>
        <v>4.36111917264</v>
      </c>
      <c r="L220" s="7" t="n">
        <f aca="false">IF(ISNUMBER(CEG_Assets!$L$8),CEG_Assets!$L$8*L$4,INDEX(Prices!L:L,CEG_Assets!$AO$8)+FuelAdder*L$4)</f>
        <v>4.4483415560928</v>
      </c>
      <c r="M220" s="7" t="n">
        <f aca="false">IF(ISNUMBER(CEG_Assets!$L$8),CEG_Assets!$L$8*M$4,INDEX(Prices!M:M,CEG_Assets!$AO$8)+FuelAdder*M$4)</f>
        <v>4.53730838721466</v>
      </c>
      <c r="N220" s="7" t="n">
        <f aca="false">IF(ISNUMBER(CEG_Assets!$L$8),CEG_Assets!$L$8*N$4,INDEX(Prices!N:N,CEG_Assets!$AO$8)+FuelAdder*N$4)</f>
        <v>4.62805455495895</v>
      </c>
      <c r="O220" s="7" t="n">
        <f aca="false">IF(ISNUMBER(CEG_Assets!$L$8),CEG_Assets!$L$8*O$4,INDEX(Prices!O:O,CEG_Assets!$AO$8)+FuelAdder*O$4)</f>
        <v>4.72061564605813</v>
      </c>
      <c r="P220" s="7" t="n">
        <f aca="false">IF(ISNUMBER(CEG_Assets!$L$8),CEG_Assets!$L$8*P$4,INDEX(Prices!P:P,CEG_Assets!$AO$8)+FuelAdder*P$4)</f>
        <v>4.81502795897929</v>
      </c>
      <c r="Q220" s="7" t="n">
        <f aca="false">IF(ISNUMBER(CEG_Assets!$L$8),CEG_Assets!$L$8*Q$4,INDEX(Prices!Q:Q,CEG_Assets!$AO$8)+FuelAdder*Q$4)</f>
        <v>4.91132851815888</v>
      </c>
      <c r="R220" s="7" t="n">
        <f aca="false">IF(ISNUMBER(CEG_Assets!$L$8),CEG_Assets!$L$8*R$4,INDEX(Prices!R:R,CEG_Assets!$AO$8)+FuelAdder*R$4)</f>
        <v>5.00955508852206</v>
      </c>
      <c r="S220" s="7" t="n">
        <f aca="false">IF(ISNUMBER(CEG_Assets!$L$8),CEG_Assets!$L$8*S$4,INDEX(Prices!S:S,CEG_Assets!$AO$8)+FuelAdder*S$4)</f>
        <v>5.1097461902925</v>
      </c>
      <c r="T220" s="7" t="n">
        <f aca="false">IF(ISNUMBER(CEG_Assets!$L$8),CEG_Assets!$L$8*T$4,INDEX(Prices!T:T,CEG_Assets!$AO$8)+FuelAdder*T$4)</f>
        <v>5.21194111409835</v>
      </c>
      <c r="U220" s="7" t="n">
        <f aca="false">IF(ISNUMBER(CEG_Assets!$L$8),CEG_Assets!$L$8*U$4,INDEX(Prices!U:U,CEG_Assets!$AO$8)+FuelAdder*U$4)</f>
        <v>5.31617993638031</v>
      </c>
      <c r="V220" s="7" t="n">
        <f aca="false">IF(ISNUMBER(CEG_Assets!$L$8),CEG_Assets!$L$8*V$4,INDEX(Prices!V:V,CEG_Assets!$AO$8)+FuelAdder*V$4)</f>
        <v>5.42250353510792</v>
      </c>
      <c r="W220" s="7" t="n">
        <f aca="false">IF(ISNUMBER(CEG_Assets!$L$8),CEG_Assets!$L$8*W$4,INDEX(Prices!W:W,CEG_Assets!$AO$8)+FuelAdder*W$4)</f>
        <v>5.53095360581008</v>
      </c>
      <c r="X220" s="7" t="n">
        <f aca="false">IF(ISNUMBER(CEG_Assets!$L$8),CEG_Assets!$L$8*X$4,INDEX(Prices!X:X,CEG_Assets!$AO$8)+FuelAdder*X$4)</f>
        <v>5.64157267792628</v>
      </c>
      <c r="Y220" s="7" t="n">
        <f aca="false">IF(ISNUMBER(CEG_Assets!$L$8),CEG_Assets!$L$8*Y$4,INDEX(Prices!Y:Y,CEG_Assets!$AO$8)+FuelAdder*Y$4)</f>
        <v>5.75440413148481</v>
      </c>
      <c r="Z220" s="7" t="n">
        <f aca="false">IF(ISNUMBER(CEG_Assets!$L$8),CEG_Assets!$L$8*Z$4,INDEX(Prices!Z:Z,CEG_Assets!$AO$8)+FuelAdder*Z$4)</f>
        <v>5.8694922141145</v>
      </c>
      <c r="AA220" s="7" t="n">
        <f aca="false">IF(ISNUMBER(CEG_Assets!$L$8),CEG_Assets!$L$8*AA$4,INDEX(Prices!AA:AA,CEG_Assets!$AO$8)+FuelAdder*AA$4)</f>
        <v>5.98688205839679</v>
      </c>
      <c r="AB220" s="7" t="n">
        <f aca="false">IF(ISNUMBER(CEG_Assets!$L$8),CEG_Assets!$L$8*AB$4,INDEX(Prices!AB:AB,CEG_Assets!$AO$8)+FuelAdder*AB$4)</f>
        <v>6.10661969956473</v>
      </c>
      <c r="AC220" s="7" t="n">
        <f aca="false">IF(ISNUMBER(CEG_Assets!$L$8),CEG_Assets!$L$8*AC$4,INDEX(Prices!AC:AC,CEG_Assets!$AO$8)+FuelAdder*AC$4)</f>
        <v>6.22875209355602</v>
      </c>
      <c r="AD220" s="7" t="n">
        <f aca="false">IF(ISNUMBER(CEG_Assets!$L$8),CEG_Assets!$L$8*AD$4,INDEX(Prices!AD:AD,CEG_Assets!$AO$8)+FuelAdder*AD$4)</f>
        <v>6.35332713542714</v>
      </c>
      <c r="AE220" s="7" t="n">
        <f aca="false">IF(ISNUMBER(CEG_Assets!$L$8),CEG_Assets!$L$8*AE$4,INDEX(Prices!AE:AE,CEG_Assets!$AO$8)+FuelAdder*AE$4)</f>
        <v>6.48039367813569</v>
      </c>
      <c r="AF220" s="7" t="n">
        <f aca="false">IF(ISNUMBER(CEG_Assets!$L$8),CEG_Assets!$L$8*AF$4,INDEX(Prices!AF:AF,CEG_Assets!$AO$8)+FuelAdder*AF$4)</f>
        <v>6.6100015516984</v>
      </c>
      <c r="AG220" s="7" t="n">
        <f aca="false">IF(ISNUMBER(CEG_Assets!$L$8),CEG_Assets!$L$8*AG$4,INDEX(Prices!AG:AG,CEG_Assets!$AO$8)+FuelAdder*AG$4)</f>
        <v>6.74220158273237</v>
      </c>
      <c r="AH220" s="7" t="n">
        <f aca="false">IF(ISNUMBER(CEG_Assets!$L$8),CEG_Assets!$L$8*AH$4,INDEX(Prices!AH:AH,CEG_Assets!$AO$8)+FuelAdder*AH$4)</f>
        <v>6.87704561438702</v>
      </c>
      <c r="AI220" s="7" t="n">
        <f aca="false">IF(ISNUMBER(CEG_Assets!$L$8),CEG_Assets!$L$8*AI$4,INDEX(Prices!AI:AI,CEG_Assets!$AO$8)+FuelAdder*AI$4)</f>
        <v>7.01458652667476</v>
      </c>
      <c r="AJ220" s="7" t="n">
        <f aca="false">IF(ISNUMBER(CEG_Assets!$L$8),CEG_Assets!$L$8*AJ$4,INDEX(Prices!AJ:AJ,CEG_Assets!$AO$8)+FuelAdder*AJ$4)</f>
        <v>7.15487825720825</v>
      </c>
      <c r="AK220" s="7" t="n">
        <f aca="false">IF(ISNUMBER(CEG_Assets!$L$8),CEG_Assets!$L$8*AK$4,INDEX(Prices!AK:AK,CEG_Assets!$AO$8)+FuelAdder*AK$4)</f>
        <v>7.29797582235242</v>
      </c>
      <c r="AL220" s="7" t="n">
        <f aca="false">IF(ISNUMBER(CEG_Assets!$L$8),CEG_Assets!$L$8*AL$4,INDEX(Prices!AL:AL,CEG_Assets!$AO$8)+FuelAdder*AL$4)</f>
        <v>7.44393533879947</v>
      </c>
      <c r="AM220" s="7" t="n">
        <f aca="false">IF(ISNUMBER(CEG_Assets!$L$8),CEG_Assets!$L$8*AM$4,INDEX(Prices!AM:AM,CEG_Assets!$AO$8)+FuelAdder*AM$4)</f>
        <v>7.59281404557545</v>
      </c>
      <c r="AN220" s="7" t="n">
        <f aca="false">IF(ISNUMBER(CEG_Assets!$L$8),CEG_Assets!$L$8*AN$4,INDEX(Prices!AN:AN,CEG_Assets!$AO$8)+FuelAdder*AN$4)</f>
        <v>7.74467032648696</v>
      </c>
      <c r="AO220" s="7" t="n">
        <f aca="false">IF(ISNUMBER(CEG_Assets!$L$8),CEG_Assets!$L$8*AO$4,INDEX(Prices!AO:AO,CEG_Assets!$AO$8)+FuelAdder*AO$4)</f>
        <v>7.8995637330167</v>
      </c>
      <c r="AP220" s="7" t="n">
        <f aca="false">IF(ISNUMBER(CEG_Assets!$L$8),CEG_Assets!$L$8*AP$4,INDEX(Prices!AP:AP,CEG_Assets!$AO$8)+FuelAdder*AP$4)</f>
        <v>8.05755500767704</v>
      </c>
      <c r="AQ220" s="7" t="n">
        <f aca="false">IF(ISNUMBER(CEG_Assets!$L$8),CEG_Assets!$L$8*AQ$4,INDEX(Prices!AQ:AQ,CEG_Assets!$AO$8)+FuelAdder*AQ$4)</f>
        <v>8.21870610783058</v>
      </c>
      <c r="AR220" s="7" t="n">
        <f aca="false">IF(ISNUMBER(CEG_Assets!$L$8),CEG_Assets!$L$8*AR$4,INDEX(Prices!AR:AR,CEG_Assets!$AO$8)+FuelAdder*AR$4)</f>
        <v>8.38308022998719</v>
      </c>
      <c r="AS220" s="7" t="n">
        <f aca="false">IF(ISNUMBER(CEG_Assets!$L$8),CEG_Assets!$L$8*AS$4,INDEX(Prices!AS:AS,CEG_Assets!$AO$8)+FuelAdder*AS$4)</f>
        <v>8.55074183458693</v>
      </c>
    </row>
    <row r="221" customFormat="false" ht="15" hidden="false" customHeight="false" outlineLevel="0" collapsed="false">
      <c r="A221" s="6" t="s">
        <v>435</v>
      </c>
      <c r="B221" s="6" t="s">
        <v>436</v>
      </c>
      <c r="G221" s="7" t="n">
        <f aca="false">INDEX(Prices!G:G,CEG_Assets!$AN$8)*CEG_Assets!$J$8-CEG_Assets!$K$8*G220-CEG_Assets!$M$8*G$4</f>
        <v>93.6</v>
      </c>
      <c r="H221" s="7" t="n">
        <f aca="false">INDEX(Prices!H:H,CEG_Assets!$AN$8)*CEG_Assets!$J$8-CEG_Assets!$K$8*H220-CEG_Assets!$M$8*H$4</f>
        <v>94.9</v>
      </c>
      <c r="I221" s="7" t="n">
        <f aca="false">INDEX(Prices!I:I,CEG_Assets!$AN$8)*CEG_Assets!$J$8-CEG_Assets!$K$8*I220-CEG_Assets!$M$8*I$4</f>
        <v>87.04231367</v>
      </c>
      <c r="J221" s="7" t="n">
        <f aca="false">INDEX(Prices!J:J,CEG_Assets!$AN$8)*CEG_Assets!$J$8-CEG_Assets!$K$8*J220-CEG_Assets!$M$8*J$4</f>
        <v>84.7463198868</v>
      </c>
      <c r="K221" s="7" t="n">
        <f aca="false">INDEX(Prices!K:K,CEG_Assets!$AN$8)*CEG_Assets!$J$8-CEG_Assets!$K$8*K220-CEG_Assets!$M$8*K$4</f>
        <v>86.441246284536</v>
      </c>
      <c r="L221" s="7" t="n">
        <f aca="false">INDEX(Prices!L:L,CEG_Assets!$AN$8)*CEG_Assets!$J$8-CEG_Assets!$K$8*L220-CEG_Assets!$M$8*L$4</f>
        <v>88.1700712102267</v>
      </c>
      <c r="M221" s="7" t="n">
        <f aca="false">INDEX(Prices!M:M,CEG_Assets!$AN$8)*CEG_Assets!$J$8-CEG_Assets!$K$8*M220-CEG_Assets!$M$8*M$4</f>
        <v>89.9334726344313</v>
      </c>
      <c r="N221" s="7" t="n">
        <f aca="false">INDEX(Prices!N:N,CEG_Assets!$AN$8)*CEG_Assets!$J$8-CEG_Assets!$K$8*N220-CEG_Assets!$M$8*N$4</f>
        <v>91.7321420871199</v>
      </c>
      <c r="O221" s="7" t="n">
        <f aca="false">INDEX(Prices!O:O,CEG_Assets!$AN$8)*CEG_Assets!$J$8-CEG_Assets!$K$8*O220-CEG_Assets!$M$8*O$4</f>
        <v>93.5667849288623</v>
      </c>
      <c r="P221" s="7" t="n">
        <f aca="false">INDEX(Prices!P:P,CEG_Assets!$AN$8)*CEG_Assets!$J$8-CEG_Assets!$K$8*P220-CEG_Assets!$M$8*P$4</f>
        <v>95.4381206274396</v>
      </c>
      <c r="Q221" s="7" t="n">
        <f aca="false">INDEX(Prices!Q:Q,CEG_Assets!$AN$8)*CEG_Assets!$J$8-CEG_Assets!$K$8*Q220-CEG_Assets!$M$8*Q$4</f>
        <v>97.3468830399883</v>
      </c>
      <c r="R221" s="7" t="n">
        <f aca="false">INDEX(Prices!R:R,CEG_Assets!$AN$8)*CEG_Assets!$J$8-CEG_Assets!$K$8*R220-CEG_Assets!$M$8*R$4</f>
        <v>99.2938207007881</v>
      </c>
      <c r="S221" s="7" t="n">
        <f aca="false">INDEX(Prices!S:S,CEG_Assets!$AN$8)*CEG_Assets!$J$8-CEG_Assets!$K$8*S220-CEG_Assets!$M$8*S$4</f>
        <v>101.279697114804</v>
      </c>
      <c r="T221" s="7" t="n">
        <f aca="false">INDEX(Prices!T:T,CEG_Assets!$AN$8)*CEG_Assets!$J$8-CEG_Assets!$K$8*T220-CEG_Assets!$M$8*T$4</f>
        <v>103.3052910571</v>
      </c>
      <c r="U221" s="7" t="n">
        <f aca="false">INDEX(Prices!U:U,CEG_Assets!$AN$8)*CEG_Assets!$J$8-CEG_Assets!$K$8*U220-CEG_Assets!$M$8*U$4</f>
        <v>105.371396878242</v>
      </c>
      <c r="V221" s="7" t="n">
        <f aca="false">INDEX(Prices!V:V,CEG_Assets!$AN$8)*CEG_Assets!$J$8-CEG_Assets!$K$8*V220-CEG_Assets!$M$8*V$4</f>
        <v>107.478824815807</v>
      </c>
      <c r="W221" s="7" t="n">
        <f aca="false">INDEX(Prices!W:W,CEG_Assets!$AN$8)*CEG_Assets!$J$8-CEG_Assets!$K$8*W220-CEG_Assets!$M$8*W$4</f>
        <v>109.628401312123</v>
      </c>
      <c r="X221" s="7" t="n">
        <f aca="false">INDEX(Prices!X:X,CEG_Assets!$AN$8)*CEG_Assets!$J$8-CEG_Assets!$K$8*X220-CEG_Assets!$M$8*X$4</f>
        <v>111.820969338365</v>
      </c>
      <c r="Y221" s="7" t="n">
        <f aca="false">INDEX(Prices!Y:Y,CEG_Assets!$AN$8)*CEG_Assets!$J$8-CEG_Assets!$K$8*Y220-CEG_Assets!$M$8*Y$4</f>
        <v>114.057388725133</v>
      </c>
      <c r="Z221" s="7" t="n">
        <f aca="false">INDEX(Prices!Z:Z,CEG_Assets!$AN$8)*CEG_Assets!$J$8-CEG_Assets!$K$8*Z220-CEG_Assets!$M$8*Z$4</f>
        <v>116.338536499635</v>
      </c>
      <c r="AA221" s="7" t="n">
        <f aca="false">INDEX(Prices!AA:AA,CEG_Assets!$AN$8)*CEG_Assets!$J$8-CEG_Assets!$K$8*AA220-CEG_Assets!$M$8*AA$4</f>
        <v>118.665307229628</v>
      </c>
      <c r="AB221" s="7" t="n">
        <f aca="false">INDEX(Prices!AB:AB,CEG_Assets!$AN$8)*CEG_Assets!$J$8-CEG_Assets!$K$8*AB220-CEG_Assets!$M$8*AB$4</f>
        <v>121.038613374221</v>
      </c>
      <c r="AC221" s="7" t="n">
        <f aca="false">INDEX(Prices!AC:AC,CEG_Assets!$AN$8)*CEG_Assets!$J$8-CEG_Assets!$K$8*AC220-CEG_Assets!$M$8*AC$4</f>
        <v>123.459385641705</v>
      </c>
      <c r="AD221" s="7" t="n">
        <f aca="false">INDEX(Prices!AD:AD,CEG_Assets!$AN$8)*CEG_Assets!$J$8-CEG_Assets!$K$8*AD220-CEG_Assets!$M$8*AD$4</f>
        <v>125.928573354539</v>
      </c>
      <c r="AE221" s="7" t="n">
        <f aca="false">INDEX(Prices!AE:AE,CEG_Assets!$AN$8)*CEG_Assets!$J$8-CEG_Assets!$K$8*AE220-CEG_Assets!$M$8*AE$4</f>
        <v>128.44714482163</v>
      </c>
      <c r="AF221" s="7" t="n">
        <f aca="false">INDEX(Prices!AF:AF,CEG_Assets!$AN$8)*CEG_Assets!$J$8-CEG_Assets!$K$8*AF220-CEG_Assets!$M$8*AF$4</f>
        <v>131.016087718063</v>
      </c>
      <c r="AG221" s="7" t="n">
        <f aca="false">INDEX(Prices!AG:AG,CEG_Assets!$AN$8)*CEG_Assets!$J$8-CEG_Assets!$K$8*AG220-CEG_Assets!$M$8*AG$4</f>
        <v>133.636409472424</v>
      </c>
      <c r="AH221" s="7" t="n">
        <f aca="false">INDEX(Prices!AH:AH,CEG_Assets!$AN$8)*CEG_Assets!$J$8-CEG_Assets!$K$8*AH220-CEG_Assets!$M$8*AH$4</f>
        <v>136.309137661872</v>
      </c>
      <c r="AI221" s="7" t="n">
        <f aca="false">INDEX(Prices!AI:AI,CEG_Assets!$AN$8)*CEG_Assets!$J$8-CEG_Assets!$K$8*AI220-CEG_Assets!$M$8*AI$4</f>
        <v>139.03532041511</v>
      </c>
      <c r="AJ221" s="7" t="n">
        <f aca="false">INDEX(Prices!AJ:AJ,CEG_Assets!$AN$8)*CEG_Assets!$J$8-CEG_Assets!$K$8*AJ220-CEG_Assets!$M$8*AJ$4</f>
        <v>141.816026823412</v>
      </c>
      <c r="AK221" s="7" t="n">
        <f aca="false">INDEX(Prices!AK:AK,CEG_Assets!$AN$8)*CEG_Assets!$J$8-CEG_Assets!$K$8*AK220-CEG_Assets!$M$8*AK$4</f>
        <v>144.65234735988</v>
      </c>
      <c r="AL221" s="7" t="n">
        <f aca="false">INDEX(Prices!AL:AL,CEG_Assets!$AN$8)*CEG_Assets!$J$8-CEG_Assets!$K$8*AL220-CEG_Assets!$M$8*AL$4</f>
        <v>147.545394307078</v>
      </c>
      <c r="AM221" s="7" t="n">
        <f aca="false">INDEX(Prices!AM:AM,CEG_Assets!$AN$8)*CEG_Assets!$J$8-CEG_Assets!$K$8*AM220-CEG_Assets!$M$8*AM$4</f>
        <v>150.496302193219</v>
      </c>
      <c r="AN221" s="7" t="n">
        <f aca="false">INDEX(Prices!AN:AN,CEG_Assets!$AN$8)*CEG_Assets!$J$8-CEG_Assets!$K$8*AN220-CEG_Assets!$M$8*AN$4</f>
        <v>153.506228237084</v>
      </c>
      <c r="AO221" s="7" t="n">
        <f aca="false">INDEX(Prices!AO:AO,CEG_Assets!$AN$8)*CEG_Assets!$J$8-CEG_Assets!$K$8*AO220-CEG_Assets!$M$8*AO$4</f>
        <v>156.576352801825</v>
      </c>
      <c r="AP221" s="7" t="n">
        <f aca="false">INDEX(Prices!AP:AP,CEG_Assets!$AN$8)*CEG_Assets!$J$8-CEG_Assets!$K$8*AP220-CEG_Assets!$M$8*AP$4</f>
        <v>159.707879857862</v>
      </c>
      <c r="AQ221" s="7" t="n">
        <f aca="false">INDEX(Prices!AQ:AQ,CEG_Assets!$AN$8)*CEG_Assets!$J$8-CEG_Assets!$K$8*AQ220-CEG_Assets!$M$8*AQ$4</f>
        <v>162.902037455019</v>
      </c>
      <c r="AR221" s="7" t="n">
        <f aca="false">INDEX(Prices!AR:AR,CEG_Assets!$AN$8)*CEG_Assets!$J$8-CEG_Assets!$K$8*AR220-CEG_Assets!$M$8*AR$4</f>
        <v>166.16007820412</v>
      </c>
      <c r="AS221" s="7" t="n">
        <f aca="false">INDEX(Prices!AS:AS,CEG_Assets!$AN$8)*CEG_Assets!$J$8-CEG_Assets!$K$8*AS220-CEG_Assets!$M$8*AS$4</f>
        <v>169.483279768202</v>
      </c>
    </row>
    <row r="222" customFormat="false" ht="15" hidden="false" customHeight="false" outlineLevel="0" collapsed="false">
      <c r="A222" s="6" t="s">
        <v>437</v>
      </c>
      <c r="B222" s="6" t="s">
        <v>438</v>
      </c>
      <c r="G222" s="47" t="n">
        <f aca="false">IF(CEG_Assets!$X$8=1,IF(G221&gt;0,1,0),1)</f>
        <v>1</v>
      </c>
      <c r="H222" s="47" t="n">
        <f aca="false">IF(CEG_Assets!$X$8=1,IF(H221&gt;0,1,0),1)</f>
        <v>1</v>
      </c>
      <c r="I222" s="47" t="n">
        <f aca="false">IF(CEG_Assets!$X$8=1,IF(I221&gt;0,1,0),1)</f>
        <v>1</v>
      </c>
      <c r="J222" s="47" t="n">
        <f aca="false">IF(CEG_Assets!$X$8=1,IF(J221&gt;0,1,0),1)</f>
        <v>1</v>
      </c>
      <c r="K222" s="47" t="n">
        <f aca="false">IF(CEG_Assets!$X$8=1,IF(K221&gt;0,1,0),1)</f>
        <v>1</v>
      </c>
      <c r="L222" s="47" t="n">
        <f aca="false">IF(CEG_Assets!$X$8=1,IF(L221&gt;0,1,0),1)</f>
        <v>1</v>
      </c>
      <c r="M222" s="47" t="n">
        <f aca="false">IF(CEG_Assets!$X$8=1,IF(M221&gt;0,1,0),1)</f>
        <v>1</v>
      </c>
      <c r="N222" s="47" t="n">
        <f aca="false">IF(CEG_Assets!$X$8=1,IF(N221&gt;0,1,0),1)</f>
        <v>1</v>
      </c>
      <c r="O222" s="47" t="n">
        <f aca="false">IF(CEG_Assets!$X$8=1,IF(O221&gt;0,1,0),1)</f>
        <v>1</v>
      </c>
      <c r="P222" s="47" t="n">
        <f aca="false">IF(CEG_Assets!$X$8=1,IF(P221&gt;0,1,0),1)</f>
        <v>1</v>
      </c>
      <c r="Q222" s="47" t="n">
        <f aca="false">IF(CEG_Assets!$X$8=1,IF(Q221&gt;0,1,0),1)</f>
        <v>1</v>
      </c>
      <c r="R222" s="47" t="n">
        <f aca="false">IF(CEG_Assets!$X$8=1,IF(R221&gt;0,1,0),1)</f>
        <v>1</v>
      </c>
      <c r="S222" s="47" t="n">
        <f aca="false">IF(CEG_Assets!$X$8=1,IF(S221&gt;0,1,0),1)</f>
        <v>1</v>
      </c>
      <c r="T222" s="47" t="n">
        <f aca="false">IF(CEG_Assets!$X$8=1,IF(T221&gt;0,1,0),1)</f>
        <v>1</v>
      </c>
      <c r="U222" s="47" t="n">
        <f aca="false">IF(CEG_Assets!$X$8=1,IF(U221&gt;0,1,0),1)</f>
        <v>1</v>
      </c>
      <c r="V222" s="47" t="n">
        <f aca="false">IF(CEG_Assets!$X$8=1,IF(V221&gt;0,1,0),1)</f>
        <v>1</v>
      </c>
      <c r="W222" s="47" t="n">
        <f aca="false">IF(CEG_Assets!$X$8=1,IF(W221&gt;0,1,0),1)</f>
        <v>1</v>
      </c>
      <c r="X222" s="47" t="n">
        <f aca="false">IF(CEG_Assets!$X$8=1,IF(X221&gt;0,1,0),1)</f>
        <v>1</v>
      </c>
      <c r="Y222" s="47" t="n">
        <f aca="false">IF(CEG_Assets!$X$8=1,IF(Y221&gt;0,1,0),1)</f>
        <v>1</v>
      </c>
      <c r="Z222" s="47" t="n">
        <f aca="false">IF(CEG_Assets!$X$8=1,IF(Z221&gt;0,1,0),1)</f>
        <v>1</v>
      </c>
      <c r="AA222" s="47" t="n">
        <f aca="false">IF(CEG_Assets!$X$8=1,IF(AA221&gt;0,1,0),1)</f>
        <v>1</v>
      </c>
      <c r="AB222" s="47" t="n">
        <f aca="false">IF(CEG_Assets!$X$8=1,IF(AB221&gt;0,1,0),1)</f>
        <v>1</v>
      </c>
      <c r="AC222" s="47" t="n">
        <f aca="false">IF(CEG_Assets!$X$8=1,IF(AC221&gt;0,1,0),1)</f>
        <v>1</v>
      </c>
      <c r="AD222" s="47" t="n">
        <f aca="false">IF(CEG_Assets!$X$8=1,IF(AD221&gt;0,1,0),1)</f>
        <v>1</v>
      </c>
      <c r="AE222" s="47" t="n">
        <f aca="false">IF(CEG_Assets!$X$8=1,IF(AE221&gt;0,1,0),1)</f>
        <v>1</v>
      </c>
      <c r="AF222" s="47" t="n">
        <f aca="false">IF(CEG_Assets!$X$8=1,IF(AF221&gt;0,1,0),1)</f>
        <v>1</v>
      </c>
      <c r="AG222" s="47" t="n">
        <f aca="false">IF(CEG_Assets!$X$8=1,IF(AG221&gt;0,1,0),1)</f>
        <v>1</v>
      </c>
      <c r="AH222" s="47" t="n">
        <f aca="false">IF(CEG_Assets!$X$8=1,IF(AH221&gt;0,1,0),1)</f>
        <v>1</v>
      </c>
      <c r="AI222" s="47" t="n">
        <f aca="false">IF(CEG_Assets!$X$8=1,IF(AI221&gt;0,1,0),1)</f>
        <v>1</v>
      </c>
      <c r="AJ222" s="47" t="n">
        <f aca="false">IF(CEG_Assets!$X$8=1,IF(AJ221&gt;0,1,0),1)</f>
        <v>1</v>
      </c>
      <c r="AK222" s="47" t="n">
        <f aca="false">IF(CEG_Assets!$X$8=1,IF(AK221&gt;0,1,0),1)</f>
        <v>1</v>
      </c>
      <c r="AL222" s="47" t="n">
        <f aca="false">IF(CEG_Assets!$X$8=1,IF(AL221&gt;0,1,0),1)</f>
        <v>1</v>
      </c>
      <c r="AM222" s="47" t="n">
        <f aca="false">IF(CEG_Assets!$X$8=1,IF(AM221&gt;0,1,0),1)</f>
        <v>1</v>
      </c>
      <c r="AN222" s="47" t="n">
        <f aca="false">IF(CEG_Assets!$X$8=1,IF(AN221&gt;0,1,0),1)</f>
        <v>1</v>
      </c>
      <c r="AO222" s="47" t="n">
        <f aca="false">IF(CEG_Assets!$X$8=1,IF(AO221&gt;0,1,0),1)</f>
        <v>1</v>
      </c>
      <c r="AP222" s="47" t="n">
        <f aca="false">IF(CEG_Assets!$X$8=1,IF(AP221&gt;0,1,0),1)</f>
        <v>1</v>
      </c>
      <c r="AQ222" s="47" t="n">
        <f aca="false">IF(CEG_Assets!$X$8=1,IF(AQ221&gt;0,1,0),1)</f>
        <v>1</v>
      </c>
      <c r="AR222" s="47" t="n">
        <f aca="false">IF(CEG_Assets!$X$8=1,IF(AR221&gt;0,1,0),1)</f>
        <v>1</v>
      </c>
      <c r="AS222" s="47" t="n">
        <f aca="false">IF(CEG_Assets!$X$8=1,IF(AS221&gt;0,1,0),1)</f>
        <v>1</v>
      </c>
    </row>
    <row r="223" customFormat="false" ht="15" hidden="false" customHeight="false" outlineLevel="0" collapsed="false">
      <c r="A223" s="6" t="s">
        <v>439</v>
      </c>
      <c r="B223" s="6" t="s">
        <v>440</v>
      </c>
      <c r="C223" s="9" t="n">
        <f aca="false">SUM(G223:AS223)</f>
        <v>9001.53670928553</v>
      </c>
      <c r="G223" s="8" t="n">
        <f aca="false">G218*INDEX(Prices!G:G,CEG_Assets!$AN$8)*CEG_Assets!$J$8*G222/1000000*(1+CEG_RevAdj)</f>
        <v>269.2669824</v>
      </c>
      <c r="H223" s="8" t="n">
        <f aca="false">H218*INDEX(Prices!H:H,CEG_Assets!$AN$8)*CEG_Assets!$J$8*H222/1000000*(1+CEG_RevAdj)</f>
        <v>273.0068016</v>
      </c>
      <c r="I223" s="8" t="n">
        <f aca="false">I218*INDEX(Prices!I:I,CEG_Assets!$AN$8)*CEG_Assets!$J$8*I222/1000000*(1+CEG_RevAdj)</f>
        <v>250.401935288837</v>
      </c>
      <c r="J223" s="8" t="n">
        <f aca="false">J218*INDEX(Prices!J:J,CEG_Assets!$AN$8)*CEG_Assets!$J$8*J222/1000000*(1+CEG_RevAdj)</f>
        <v>243.796857109228</v>
      </c>
      <c r="K223" s="8" t="n">
        <f aca="false">K218*INDEX(Prices!K:K,CEG_Assets!$AN$8)*CEG_Assets!$J$8*K222/1000000*(1+CEG_RevAdj)</f>
        <v>248.672794251413</v>
      </c>
      <c r="L223" s="8" t="n">
        <f aca="false">L218*INDEX(Prices!L:L,CEG_Assets!$AN$8)*CEG_Assets!$J$8*L222/1000000*(1+CEG_RevAdj)</f>
        <v>253.646250136441</v>
      </c>
      <c r="M223" s="8" t="n">
        <f aca="false">M218*INDEX(Prices!M:M,CEG_Assets!$AN$8)*CEG_Assets!$J$8*M222/1000000*(1+CEG_RevAdj)</f>
        <v>258.71917513917</v>
      </c>
      <c r="N223" s="8" t="n">
        <f aca="false">N218*INDEX(Prices!N:N,CEG_Assets!$AN$8)*CEG_Assets!$J$8*N222/1000000*(1+CEG_RevAdj)</f>
        <v>263.893558641953</v>
      </c>
      <c r="O223" s="8" t="n">
        <f aca="false">O218*INDEX(Prices!O:O,CEG_Assets!$AN$8)*CEG_Assets!$J$8*O222/1000000*(1+CEG_RevAdj)</f>
        <v>269.171429814792</v>
      </c>
      <c r="P223" s="8" t="n">
        <f aca="false">P218*INDEX(Prices!P:P,CEG_Assets!$AN$8)*CEG_Assets!$J$8*P222/1000000*(1+CEG_RevAdj)</f>
        <v>274.554858411088</v>
      </c>
      <c r="Q223" s="8" t="n">
        <f aca="false">Q218*INDEX(Prices!Q:Q,CEG_Assets!$AN$8)*CEG_Assets!$J$8*Q222/1000000*(1+CEG_RevAdj)</f>
        <v>280.04595557931</v>
      </c>
      <c r="R223" s="8" t="n">
        <f aca="false">R218*INDEX(Prices!R:R,CEG_Assets!$AN$8)*CEG_Assets!$J$8*R222/1000000*(1+CEG_RevAdj)</f>
        <v>285.646874690896</v>
      </c>
      <c r="S223" s="8" t="n">
        <f aca="false">S218*INDEX(Prices!S:S,CEG_Assets!$AN$8)*CEG_Assets!$J$8*S222/1000000*(1+CEG_RevAdj)</f>
        <v>291.359812184714</v>
      </c>
      <c r="T223" s="8" t="n">
        <f aca="false">T218*INDEX(Prices!T:T,CEG_Assets!$AN$8)*CEG_Assets!$J$8*T222/1000000*(1+CEG_RevAdj)</f>
        <v>297.187008428408</v>
      </c>
      <c r="U223" s="8" t="n">
        <f aca="false">U218*INDEX(Prices!U:U,CEG_Assets!$AN$8)*CEG_Assets!$J$8*U222/1000000*(1+CEG_RevAdj)</f>
        <v>303.130748596976</v>
      </c>
      <c r="V223" s="8" t="n">
        <f aca="false">V218*INDEX(Prices!V:V,CEG_Assets!$AN$8)*CEG_Assets!$J$8*V222/1000000*(1+CEG_RevAdj)</f>
        <v>309.193363568916</v>
      </c>
      <c r="W223" s="8" t="n">
        <f aca="false">W218*INDEX(Prices!W:W,CEG_Assets!$AN$8)*CEG_Assets!$J$8*W222/1000000*(1+CEG_RevAdj)</f>
        <v>315.377230840294</v>
      </c>
      <c r="X223" s="8" t="n">
        <f aca="false">X218*INDEX(Prices!X:X,CEG_Assets!$AN$8)*CEG_Assets!$J$8*X222/1000000*(1+CEG_RevAdj)</f>
        <v>321.6847754571</v>
      </c>
      <c r="Y223" s="8" t="n">
        <f aca="false">Y218*INDEX(Prices!Y:Y,CEG_Assets!$AN$8)*CEG_Assets!$J$8*Y222/1000000*(1+CEG_RevAdj)</f>
        <v>328.118470966242</v>
      </c>
      <c r="Z223" s="8" t="n">
        <f aca="false">Z218*INDEX(Prices!Z:Z,CEG_Assets!$AN$8)*CEG_Assets!$J$8*Z222/1000000*(1+CEG_RevAdj)</f>
        <v>334.680840385567</v>
      </c>
      <c r="AA223" s="8" t="n">
        <f aca="false">AA218*INDEX(Prices!AA:AA,CEG_Assets!$AN$8)*CEG_Assets!$J$8*AA222/1000000*(1+CEG_RevAdj)</f>
        <v>341.374457193278</v>
      </c>
      <c r="AB223" s="8" t="n">
        <f aca="false">AB218*INDEX(Prices!AB:AB,CEG_Assets!$AN$8)*CEG_Assets!$J$8*AB222/1000000*(1+CEG_RevAdj)</f>
        <v>348.201946337144</v>
      </c>
      <c r="AC223" s="8" t="n">
        <f aca="false">AC218*INDEX(Prices!AC:AC,CEG_Assets!$AN$8)*CEG_Assets!$J$8*AC222/1000000*(1+CEG_RevAdj)</f>
        <v>355.165985263887</v>
      </c>
      <c r="AD223" s="8" t="n">
        <f aca="false">AD218*INDEX(Prices!AD:AD,CEG_Assets!$AN$8)*CEG_Assets!$J$8*AD222/1000000*(1+CEG_RevAdj)</f>
        <v>362.269304969165</v>
      </c>
      <c r="AE223" s="8" t="n">
        <f aca="false">AE218*INDEX(Prices!AE:AE,CEG_Assets!$AN$8)*CEG_Assets!$J$8*AE222/1000000*(1+CEG_RevAdj)</f>
        <v>369.514691068548</v>
      </c>
      <c r="AF223" s="8" t="n">
        <f aca="false">AF218*INDEX(Prices!AF:AF,CEG_Assets!$AN$8)*CEG_Assets!$J$8*AF222/1000000*(1+CEG_RevAdj)</f>
        <v>376.904984889919</v>
      </c>
      <c r="AG223" s="8" t="n">
        <f aca="false">AG218*INDEX(Prices!AG:AG,CEG_Assets!$AN$8)*CEG_Assets!$J$8*AG222/1000000*(1+CEG_RevAdj)</f>
        <v>384.443084587717</v>
      </c>
      <c r="AH223" s="8" t="n">
        <f aca="false">AH218*INDEX(Prices!AH:AH,CEG_Assets!$AN$8)*CEG_Assets!$J$8*AH222/1000000*(1+CEG_RevAdj)</f>
        <v>392.131946279472</v>
      </c>
      <c r="AI223" s="8" t="n">
        <f aca="false">AI218*INDEX(Prices!AI:AI,CEG_Assets!$AN$8)*CEG_Assets!$J$8*AI222/1000000*(1+CEG_RevAdj)</f>
        <v>399.974585205061</v>
      </c>
      <c r="AJ223" s="8" t="n">
        <f aca="false">AJ218*INDEX(Prices!AJ:AJ,CEG_Assets!$AN$8)*CEG_Assets!$J$8*AJ222/1000000*(1+CEG_RevAdj)</f>
        <v>0</v>
      </c>
      <c r="AK223" s="8" t="n">
        <f aca="false">AK218*INDEX(Prices!AK:AK,CEG_Assets!$AN$8)*CEG_Assets!$J$8*AK222/1000000*(1+CEG_RevAdj)</f>
        <v>0</v>
      </c>
      <c r="AL223" s="8" t="n">
        <f aca="false">AL218*INDEX(Prices!AL:AL,CEG_Assets!$AN$8)*CEG_Assets!$J$8*AL222/1000000*(1+CEG_RevAdj)</f>
        <v>0</v>
      </c>
      <c r="AM223" s="8" t="n">
        <f aca="false">AM218*INDEX(Prices!AM:AM,CEG_Assets!$AN$8)*CEG_Assets!$J$8*AM222/1000000*(1+CEG_RevAdj)</f>
        <v>0</v>
      </c>
      <c r="AN223" s="8" t="n">
        <f aca="false">AN218*INDEX(Prices!AN:AN,CEG_Assets!$AN$8)*CEG_Assets!$J$8*AN222/1000000*(1+CEG_RevAdj)</f>
        <v>0</v>
      </c>
      <c r="AO223" s="8" t="n">
        <f aca="false">AO218*INDEX(Prices!AO:AO,CEG_Assets!$AN$8)*CEG_Assets!$J$8*AO222/1000000*(1+CEG_RevAdj)</f>
        <v>0</v>
      </c>
      <c r="AP223" s="8" t="n">
        <f aca="false">AP218*INDEX(Prices!AP:AP,CEG_Assets!$AN$8)*CEG_Assets!$J$8*AP222/1000000*(1+CEG_RevAdj)</f>
        <v>0</v>
      </c>
      <c r="AQ223" s="8" t="n">
        <f aca="false">AQ218*INDEX(Prices!AQ:AQ,CEG_Assets!$AN$8)*CEG_Assets!$J$8*AQ222/1000000*(1+CEG_RevAdj)</f>
        <v>0</v>
      </c>
      <c r="AR223" s="8" t="n">
        <f aca="false">AR218*INDEX(Prices!AR:AR,CEG_Assets!$AN$8)*CEG_Assets!$J$8*AR222/1000000*(1+CEG_RevAdj)</f>
        <v>0</v>
      </c>
      <c r="AS223" s="8" t="n">
        <f aca="false">AS218*INDEX(Prices!AS:AS,CEG_Assets!$AN$8)*CEG_Assets!$J$8*AS222/1000000*(1+CEG_RevAdj)</f>
        <v>0</v>
      </c>
    </row>
    <row r="224" customFormat="false" ht="15" hidden="false" customHeight="false" outlineLevel="0" collapsed="false">
      <c r="A224" s="6" t="s">
        <v>441</v>
      </c>
      <c r="B224" s="6" t="s">
        <v>442</v>
      </c>
      <c r="C224" s="9" t="n">
        <f aca="false">SUM(G224:AS224)</f>
        <v>3910.30739790457</v>
      </c>
      <c r="G224" s="8" t="n">
        <f aca="false">(CEG_Assets!$D$8-G217)*INDEX(Prices!G:G,CEG_Assets!$AP$8)*365*CEG_Assets!$T$8*G216/1000000*(1+CEG_RevAdj)</f>
        <v>139.14165146</v>
      </c>
      <c r="H224" s="8" t="n">
        <f aca="false">(CEG_Assets!$D$8-H217)*INDEX(Prices!H:H,CEG_Assets!$AP$8)*365*CEG_Assets!$T$8*H216/1000000*(1+CEG_RevAdj)</f>
        <v>137.82432412</v>
      </c>
      <c r="I224" s="8" t="n">
        <f aca="false">(CEG_Assets!$D$8-I217)*INDEX(Prices!I:I,CEG_Assets!$AP$8)*365*CEG_Assets!$T$8*I216/1000000*(1+CEG_RevAdj)</f>
        <v>116.543784754273</v>
      </c>
      <c r="J224" s="8" t="n">
        <f aca="false">(CEG_Assets!$D$8-J217)*INDEX(Prices!J:J,CEG_Assets!$AP$8)*365*CEG_Assets!$T$8*J216/1000000*(1+CEG_RevAdj)</f>
        <v>104.446184698901</v>
      </c>
      <c r="K224" s="8" t="n">
        <f aca="false">(CEG_Assets!$D$8-K217)*INDEX(Prices!K:K,CEG_Assets!$AP$8)*365*CEG_Assets!$T$8*K216/1000000*(1+CEG_RevAdj)</f>
        <v>106.535108392879</v>
      </c>
      <c r="L224" s="8" t="n">
        <f aca="false">(CEG_Assets!$D$8-L217)*INDEX(Prices!L:L,CEG_Assets!$AP$8)*365*CEG_Assets!$T$8*L216/1000000*(1+CEG_RevAdj)</f>
        <v>108.665810560736</v>
      </c>
      <c r="M224" s="8" t="n">
        <f aca="false">(CEG_Assets!$D$8-M217)*INDEX(Prices!M:M,CEG_Assets!$AP$8)*365*CEG_Assets!$T$8*M216/1000000*(1+CEG_RevAdj)</f>
        <v>110.839126771951</v>
      </c>
      <c r="N224" s="8" t="n">
        <f aca="false">(CEG_Assets!$D$8-N217)*INDEX(Prices!N:N,CEG_Assets!$AP$8)*365*CEG_Assets!$T$8*N216/1000000*(1+CEG_RevAdj)</f>
        <v>113.05590930739</v>
      </c>
      <c r="O224" s="8" t="n">
        <f aca="false">(CEG_Assets!$D$8-O217)*INDEX(Prices!O:O,CEG_Assets!$AP$8)*365*CEG_Assets!$T$8*O216/1000000*(1+CEG_RevAdj)</f>
        <v>115.317027493538</v>
      </c>
      <c r="P224" s="8" t="n">
        <f aca="false">(CEG_Assets!$D$8-P217)*INDEX(Prices!P:P,CEG_Assets!$AP$8)*365*CEG_Assets!$T$8*P216/1000000*(1+CEG_RevAdj)</f>
        <v>117.623368043409</v>
      </c>
      <c r="Q224" s="8" t="n">
        <f aca="false">(CEG_Assets!$D$8-Q217)*INDEX(Prices!Q:Q,CEG_Assets!$AP$8)*365*CEG_Assets!$T$8*Q216/1000000*(1+CEG_RevAdj)</f>
        <v>119.975835404277</v>
      </c>
      <c r="R224" s="8" t="n">
        <f aca="false">(CEG_Assets!$D$8-R217)*INDEX(Prices!R:R,CEG_Assets!$AP$8)*365*CEG_Assets!$T$8*R216/1000000*(1+CEG_RevAdj)</f>
        <v>122.375352112362</v>
      </c>
      <c r="S224" s="8" t="n">
        <f aca="false">(CEG_Assets!$D$8-S217)*INDEX(Prices!S:S,CEG_Assets!$AP$8)*365*CEG_Assets!$T$8*S216/1000000*(1+CEG_RevAdj)</f>
        <v>124.82285915461</v>
      </c>
      <c r="T224" s="8" t="n">
        <f aca="false">(CEG_Assets!$D$8-T217)*INDEX(Prices!T:T,CEG_Assets!$AP$8)*365*CEG_Assets!$T$8*T216/1000000*(1+CEG_RevAdj)</f>
        <v>127.319316337702</v>
      </c>
      <c r="U224" s="8" t="n">
        <f aca="false">(CEG_Assets!$D$8-U217)*INDEX(Prices!U:U,CEG_Assets!$AP$8)*365*CEG_Assets!$T$8*U216/1000000*(1+CEG_RevAdj)</f>
        <v>129.865702664456</v>
      </c>
      <c r="V224" s="8" t="n">
        <f aca="false">(CEG_Assets!$D$8-V217)*INDEX(Prices!V:V,CEG_Assets!$AP$8)*365*CEG_Assets!$T$8*V216/1000000*(1+CEG_RevAdj)</f>
        <v>132.463016717745</v>
      </c>
      <c r="W224" s="8" t="n">
        <f aca="false">(CEG_Assets!$D$8-W217)*INDEX(Prices!W:W,CEG_Assets!$AP$8)*365*CEG_Assets!$T$8*W216/1000000*(1+CEG_RevAdj)</f>
        <v>135.1122770521</v>
      </c>
      <c r="X224" s="8" t="n">
        <f aca="false">(CEG_Assets!$D$8-X217)*INDEX(Prices!X:X,CEG_Assets!$AP$8)*365*CEG_Assets!$T$8*X216/1000000*(1+CEG_RevAdj)</f>
        <v>137.814522593142</v>
      </c>
      <c r="Y224" s="8" t="n">
        <f aca="false">(CEG_Assets!$D$8-Y217)*INDEX(Prices!Y:Y,CEG_Assets!$AP$8)*365*CEG_Assets!$T$8*Y216/1000000*(1+CEG_RevAdj)</f>
        <v>140.570813045005</v>
      </c>
      <c r="Z224" s="8" t="n">
        <f aca="false">(CEG_Assets!$D$8-Z217)*INDEX(Prices!Z:Z,CEG_Assets!$AP$8)*365*CEG_Assets!$T$8*Z216/1000000*(1+CEG_RevAdj)</f>
        <v>143.382229305905</v>
      </c>
      <c r="AA224" s="8" t="n">
        <f aca="false">(CEG_Assets!$D$8-AA217)*INDEX(Prices!AA:AA,CEG_Assets!$AP$8)*365*CEG_Assets!$T$8*AA216/1000000*(1+CEG_RevAdj)</f>
        <v>146.249873892023</v>
      </c>
      <c r="AB224" s="8" t="n">
        <f aca="false">(CEG_Assets!$D$8-AB217)*INDEX(Prices!AB:AB,CEG_Assets!$AP$8)*365*CEG_Assets!$T$8*AB216/1000000*(1+CEG_RevAdj)</f>
        <v>149.174871369863</v>
      </c>
      <c r="AC224" s="8" t="n">
        <f aca="false">(CEG_Assets!$D$8-AC217)*INDEX(Prices!AC:AC,CEG_Assets!$AP$8)*365*CEG_Assets!$T$8*AC216/1000000*(1+CEG_RevAdj)</f>
        <v>152.158368797261</v>
      </c>
      <c r="AD224" s="8" t="n">
        <f aca="false">(CEG_Assets!$D$8-AD217)*INDEX(Prices!AD:AD,CEG_Assets!$AP$8)*365*CEG_Assets!$T$8*AD216/1000000*(1+CEG_RevAdj)</f>
        <v>155.201536173206</v>
      </c>
      <c r="AE224" s="8" t="n">
        <f aca="false">(CEG_Assets!$D$8-AE217)*INDEX(Prices!AE:AE,CEG_Assets!$AP$8)*365*CEG_Assets!$T$8*AE216/1000000*(1+CEG_RevAdj)</f>
        <v>158.30556689667</v>
      </c>
      <c r="AF224" s="8" t="n">
        <f aca="false">(CEG_Assets!$D$8-AF217)*INDEX(Prices!AF:AF,CEG_Assets!$AP$8)*365*CEG_Assets!$T$8*AF216/1000000*(1+CEG_RevAdj)</f>
        <v>161.471678234604</v>
      </c>
      <c r="AG224" s="8" t="n">
        <f aca="false">(CEG_Assets!$D$8-AG217)*INDEX(Prices!AG:AG,CEG_Assets!$AP$8)*365*CEG_Assets!$T$8*AG216/1000000*(1+CEG_RevAdj)</f>
        <v>164.701111799296</v>
      </c>
      <c r="AH224" s="8" t="n">
        <f aca="false">(CEG_Assets!$D$8-AH217)*INDEX(Prices!AH:AH,CEG_Assets!$AP$8)*365*CEG_Assets!$T$8*AH216/1000000*(1+CEG_RevAdj)</f>
        <v>167.995134035281</v>
      </c>
      <c r="AI224" s="8" t="n">
        <f aca="false">(CEG_Assets!$D$8-AI217)*INDEX(Prices!AI:AI,CEG_Assets!$AP$8)*365*CEG_Assets!$T$8*AI216/1000000*(1+CEG_RevAdj)</f>
        <v>171.355036715987</v>
      </c>
      <c r="AJ224" s="8" t="n">
        <f aca="false">(CEG_Assets!$D$8-AJ217)*INDEX(Prices!AJ:AJ,CEG_Assets!$AP$8)*365*CEG_Assets!$T$8*AJ216/1000000*(1+CEG_RevAdj)</f>
        <v>0</v>
      </c>
      <c r="AK224" s="8" t="n">
        <f aca="false">(CEG_Assets!$D$8-AK217)*INDEX(Prices!AK:AK,CEG_Assets!$AP$8)*365*CEG_Assets!$T$8*AK216/1000000*(1+CEG_RevAdj)</f>
        <v>0</v>
      </c>
      <c r="AL224" s="8" t="n">
        <f aca="false">(CEG_Assets!$D$8-AL217)*INDEX(Prices!AL:AL,CEG_Assets!$AP$8)*365*CEG_Assets!$T$8*AL216/1000000*(1+CEG_RevAdj)</f>
        <v>0</v>
      </c>
      <c r="AM224" s="8" t="n">
        <f aca="false">(CEG_Assets!$D$8-AM217)*INDEX(Prices!AM:AM,CEG_Assets!$AP$8)*365*CEG_Assets!$T$8*AM216/1000000*(1+CEG_RevAdj)</f>
        <v>0</v>
      </c>
      <c r="AN224" s="8" t="n">
        <f aca="false">(CEG_Assets!$D$8-AN217)*INDEX(Prices!AN:AN,CEG_Assets!$AP$8)*365*CEG_Assets!$T$8*AN216/1000000*(1+CEG_RevAdj)</f>
        <v>0</v>
      </c>
      <c r="AO224" s="8" t="n">
        <f aca="false">(CEG_Assets!$D$8-AO217)*INDEX(Prices!AO:AO,CEG_Assets!$AP$8)*365*CEG_Assets!$T$8*AO216/1000000*(1+CEG_RevAdj)</f>
        <v>0</v>
      </c>
      <c r="AP224" s="8" t="n">
        <f aca="false">(CEG_Assets!$D$8-AP217)*INDEX(Prices!AP:AP,CEG_Assets!$AP$8)*365*CEG_Assets!$T$8*AP216/1000000*(1+CEG_RevAdj)</f>
        <v>0</v>
      </c>
      <c r="AQ224" s="8" t="n">
        <f aca="false">(CEG_Assets!$D$8-AQ217)*INDEX(Prices!AQ:AQ,CEG_Assets!$AP$8)*365*CEG_Assets!$T$8*AQ216/1000000*(1+CEG_RevAdj)</f>
        <v>0</v>
      </c>
      <c r="AR224" s="8" t="n">
        <f aca="false">(CEG_Assets!$D$8-AR217)*INDEX(Prices!AR:AR,CEG_Assets!$AP$8)*365*CEG_Assets!$T$8*AR216/1000000*(1+CEG_RevAdj)</f>
        <v>0</v>
      </c>
      <c r="AS224" s="8" t="n">
        <f aca="false">(CEG_Assets!$D$8-AS217)*INDEX(Prices!AS:AS,CEG_Assets!$AP$8)*365*CEG_Assets!$T$8*AS216/1000000*(1+CEG_RevAdj)</f>
        <v>0</v>
      </c>
    </row>
    <row r="225" customFormat="false" ht="15" hidden="false" customHeight="false" outlineLevel="0" collapsed="false">
      <c r="A225" s="6" t="s">
        <v>443</v>
      </c>
      <c r="B225" s="6" t="s">
        <v>444</v>
      </c>
      <c r="C225" s="9" t="n">
        <f aca="false">SUM(G225:AS225)</f>
        <v>0</v>
      </c>
      <c r="G225" s="8" t="n">
        <f aca="false">G219*(CEG_Assets!$AD$8+CEG_PPAAdj)/1000000*(1+CEG_RevAdj)</f>
        <v>0</v>
      </c>
      <c r="H225" s="8" t="n">
        <f aca="false">H219*(CEG_Assets!$AD$8+CEG_PPAAdj)/1000000*(1+CEG_RevAdj)</f>
        <v>0</v>
      </c>
      <c r="I225" s="8" t="n">
        <f aca="false">I219*(CEG_Assets!$AD$8+CEG_PPAAdj)/1000000*(1+CEG_RevAdj)</f>
        <v>0</v>
      </c>
      <c r="J225" s="8" t="n">
        <f aca="false">J219*(CEG_Assets!$AD$8+CEG_PPAAdj)/1000000*(1+CEG_RevAdj)</f>
        <v>0</v>
      </c>
      <c r="K225" s="8" t="n">
        <f aca="false">K219*(CEG_Assets!$AD$8+CEG_PPAAdj)/1000000*(1+CEG_RevAdj)</f>
        <v>0</v>
      </c>
      <c r="L225" s="8" t="n">
        <f aca="false">L219*(CEG_Assets!$AD$8+CEG_PPAAdj)/1000000*(1+CEG_RevAdj)</f>
        <v>0</v>
      </c>
      <c r="M225" s="8" t="n">
        <f aca="false">M219*(CEG_Assets!$AD$8+CEG_PPAAdj)/1000000*(1+CEG_RevAdj)</f>
        <v>0</v>
      </c>
      <c r="N225" s="8" t="n">
        <f aca="false">N219*(CEG_Assets!$AD$8+CEG_PPAAdj)/1000000*(1+CEG_RevAdj)</f>
        <v>0</v>
      </c>
      <c r="O225" s="8" t="n">
        <f aca="false">O219*(CEG_Assets!$AD$8+CEG_PPAAdj)/1000000*(1+CEG_RevAdj)</f>
        <v>0</v>
      </c>
      <c r="P225" s="8" t="n">
        <f aca="false">P219*(CEG_Assets!$AD$8+CEG_PPAAdj)/1000000*(1+CEG_RevAdj)</f>
        <v>0</v>
      </c>
      <c r="Q225" s="8" t="n">
        <f aca="false">Q219*(CEG_Assets!$AD$8+CEG_PPAAdj)/1000000*(1+CEG_RevAdj)</f>
        <v>0</v>
      </c>
      <c r="R225" s="8" t="n">
        <f aca="false">R219*(CEG_Assets!$AD$8+CEG_PPAAdj)/1000000*(1+CEG_RevAdj)</f>
        <v>0</v>
      </c>
      <c r="S225" s="8" t="n">
        <f aca="false">S219*(CEG_Assets!$AD$8+CEG_PPAAdj)/1000000*(1+CEG_RevAdj)</f>
        <v>0</v>
      </c>
      <c r="T225" s="8" t="n">
        <f aca="false">T219*(CEG_Assets!$AD$8+CEG_PPAAdj)/1000000*(1+CEG_RevAdj)</f>
        <v>0</v>
      </c>
      <c r="U225" s="8" t="n">
        <f aca="false">U219*(CEG_Assets!$AD$8+CEG_PPAAdj)/1000000*(1+CEG_RevAdj)</f>
        <v>0</v>
      </c>
      <c r="V225" s="8" t="n">
        <f aca="false">V219*(CEG_Assets!$AD$8+CEG_PPAAdj)/1000000*(1+CEG_RevAdj)</f>
        <v>0</v>
      </c>
      <c r="W225" s="8" t="n">
        <f aca="false">W219*(CEG_Assets!$AD$8+CEG_PPAAdj)/1000000*(1+CEG_RevAdj)</f>
        <v>0</v>
      </c>
      <c r="X225" s="8" t="n">
        <f aca="false">X219*(CEG_Assets!$AD$8+CEG_PPAAdj)/1000000*(1+CEG_RevAdj)</f>
        <v>0</v>
      </c>
      <c r="Y225" s="8" t="n">
        <f aca="false">Y219*(CEG_Assets!$AD$8+CEG_PPAAdj)/1000000*(1+CEG_RevAdj)</f>
        <v>0</v>
      </c>
      <c r="Z225" s="8" t="n">
        <f aca="false">Z219*(CEG_Assets!$AD$8+CEG_PPAAdj)/1000000*(1+CEG_RevAdj)</f>
        <v>0</v>
      </c>
      <c r="AA225" s="8" t="n">
        <f aca="false">AA219*(CEG_Assets!$AD$8+CEG_PPAAdj)/1000000*(1+CEG_RevAdj)</f>
        <v>0</v>
      </c>
      <c r="AB225" s="8" t="n">
        <f aca="false">AB219*(CEG_Assets!$AD$8+CEG_PPAAdj)/1000000*(1+CEG_RevAdj)</f>
        <v>0</v>
      </c>
      <c r="AC225" s="8" t="n">
        <f aca="false">AC219*(CEG_Assets!$AD$8+CEG_PPAAdj)/1000000*(1+CEG_RevAdj)</f>
        <v>0</v>
      </c>
      <c r="AD225" s="8" t="n">
        <f aca="false">AD219*(CEG_Assets!$AD$8+CEG_PPAAdj)/1000000*(1+CEG_RevAdj)</f>
        <v>0</v>
      </c>
      <c r="AE225" s="8" t="n">
        <f aca="false">AE219*(CEG_Assets!$AD$8+CEG_PPAAdj)/1000000*(1+CEG_RevAdj)</f>
        <v>0</v>
      </c>
      <c r="AF225" s="8" t="n">
        <f aca="false">AF219*(CEG_Assets!$AD$8+CEG_PPAAdj)/1000000*(1+CEG_RevAdj)</f>
        <v>0</v>
      </c>
      <c r="AG225" s="8" t="n">
        <f aca="false">AG219*(CEG_Assets!$AD$8+CEG_PPAAdj)/1000000*(1+CEG_RevAdj)</f>
        <v>0</v>
      </c>
      <c r="AH225" s="8" t="n">
        <f aca="false">AH219*(CEG_Assets!$AD$8+CEG_PPAAdj)/1000000*(1+CEG_RevAdj)</f>
        <v>0</v>
      </c>
      <c r="AI225" s="8" t="n">
        <f aca="false">AI219*(CEG_Assets!$AD$8+CEG_PPAAdj)/1000000*(1+CEG_RevAdj)</f>
        <v>0</v>
      </c>
      <c r="AJ225" s="8" t="n">
        <f aca="false">AJ219*(CEG_Assets!$AD$8+CEG_PPAAdj)/1000000*(1+CEG_RevAdj)</f>
        <v>0</v>
      </c>
      <c r="AK225" s="8" t="n">
        <f aca="false">AK219*(CEG_Assets!$AD$8+CEG_PPAAdj)/1000000*(1+CEG_RevAdj)</f>
        <v>0</v>
      </c>
      <c r="AL225" s="8" t="n">
        <f aca="false">AL219*(CEG_Assets!$AD$8+CEG_PPAAdj)/1000000*(1+CEG_RevAdj)</f>
        <v>0</v>
      </c>
      <c r="AM225" s="8" t="n">
        <f aca="false">AM219*(CEG_Assets!$AD$8+CEG_PPAAdj)/1000000*(1+CEG_RevAdj)</f>
        <v>0</v>
      </c>
      <c r="AN225" s="8" t="n">
        <f aca="false">AN219*(CEG_Assets!$AD$8+CEG_PPAAdj)/1000000*(1+CEG_RevAdj)</f>
        <v>0</v>
      </c>
      <c r="AO225" s="8" t="n">
        <f aca="false">AO219*(CEG_Assets!$AD$8+CEG_PPAAdj)/1000000*(1+CEG_RevAdj)</f>
        <v>0</v>
      </c>
      <c r="AP225" s="8" t="n">
        <f aca="false">AP219*(CEG_Assets!$AD$8+CEG_PPAAdj)/1000000*(1+CEG_RevAdj)</f>
        <v>0</v>
      </c>
      <c r="AQ225" s="8" t="n">
        <f aca="false">AQ219*(CEG_Assets!$AD$8+CEG_PPAAdj)/1000000*(1+CEG_RevAdj)</f>
        <v>0</v>
      </c>
      <c r="AR225" s="8" t="n">
        <f aca="false">AR219*(CEG_Assets!$AD$8+CEG_PPAAdj)/1000000*(1+CEG_RevAdj)</f>
        <v>0</v>
      </c>
      <c r="AS225" s="8" t="n">
        <f aca="false">AS219*(CEG_Assets!$AD$8+CEG_PPAAdj)/1000000*(1+CEG_RevAdj)</f>
        <v>0</v>
      </c>
    </row>
    <row r="226" customFormat="false" ht="15" hidden="false" customHeight="false" outlineLevel="0" collapsed="false">
      <c r="A226" s="6" t="s">
        <v>445</v>
      </c>
      <c r="B226" s="6" t="s">
        <v>446</v>
      </c>
      <c r="C226" s="9" t="n">
        <f aca="false">SUM(G226:AS226)</f>
        <v>0</v>
      </c>
      <c r="G226" s="8" t="n">
        <f aca="false">IF(G$3&lt;=CEG_Assets!$V$8,G218*CEG_Assets!$U$8,0)/1000000*(1+CEG_RevAdj)</f>
        <v>0</v>
      </c>
      <c r="H226" s="8" t="n">
        <f aca="false">IF(H$3&lt;=CEG_Assets!$V$8,H218*CEG_Assets!$U$8,0)/1000000*(1+CEG_RevAdj)</f>
        <v>0</v>
      </c>
      <c r="I226" s="8" t="n">
        <f aca="false">IF(I$3&lt;=CEG_Assets!$V$8,I218*CEG_Assets!$U$8,0)/1000000*(1+CEG_RevAdj)</f>
        <v>0</v>
      </c>
      <c r="J226" s="8" t="n">
        <f aca="false">IF(J$3&lt;=CEG_Assets!$V$8,J218*CEG_Assets!$U$8,0)/1000000*(1+CEG_RevAdj)</f>
        <v>0</v>
      </c>
      <c r="K226" s="8" t="n">
        <f aca="false">IF(K$3&lt;=CEG_Assets!$V$8,K218*CEG_Assets!$U$8,0)/1000000*(1+CEG_RevAdj)</f>
        <v>0</v>
      </c>
      <c r="L226" s="8" t="n">
        <f aca="false">IF(L$3&lt;=CEG_Assets!$V$8,L218*CEG_Assets!$U$8,0)/1000000*(1+CEG_RevAdj)</f>
        <v>0</v>
      </c>
      <c r="M226" s="8" t="n">
        <f aca="false">IF(M$3&lt;=CEG_Assets!$V$8,M218*CEG_Assets!$U$8,0)/1000000*(1+CEG_RevAdj)</f>
        <v>0</v>
      </c>
      <c r="N226" s="8" t="n">
        <f aca="false">IF(N$3&lt;=CEG_Assets!$V$8,N218*CEG_Assets!$U$8,0)/1000000*(1+CEG_RevAdj)</f>
        <v>0</v>
      </c>
      <c r="O226" s="8" t="n">
        <f aca="false">IF(O$3&lt;=CEG_Assets!$V$8,O218*CEG_Assets!$U$8,0)/1000000*(1+CEG_RevAdj)</f>
        <v>0</v>
      </c>
      <c r="P226" s="8" t="n">
        <f aca="false">IF(P$3&lt;=CEG_Assets!$V$8,P218*CEG_Assets!$U$8,0)/1000000*(1+CEG_RevAdj)</f>
        <v>0</v>
      </c>
      <c r="Q226" s="8" t="n">
        <f aca="false">IF(Q$3&lt;=CEG_Assets!$V$8,Q218*CEG_Assets!$U$8,0)/1000000*(1+CEG_RevAdj)</f>
        <v>0</v>
      </c>
      <c r="R226" s="8" t="n">
        <f aca="false">IF(R$3&lt;=CEG_Assets!$V$8,R218*CEG_Assets!$U$8,0)/1000000*(1+CEG_RevAdj)</f>
        <v>0</v>
      </c>
      <c r="S226" s="8" t="n">
        <f aca="false">IF(S$3&lt;=CEG_Assets!$V$8,S218*CEG_Assets!$U$8,0)/1000000*(1+CEG_RevAdj)</f>
        <v>0</v>
      </c>
      <c r="T226" s="8" t="n">
        <f aca="false">IF(T$3&lt;=CEG_Assets!$V$8,T218*CEG_Assets!$U$8,0)/1000000*(1+CEG_RevAdj)</f>
        <v>0</v>
      </c>
      <c r="U226" s="8" t="n">
        <f aca="false">IF(U$3&lt;=CEG_Assets!$V$8,U218*CEG_Assets!$U$8,0)/1000000*(1+CEG_RevAdj)</f>
        <v>0</v>
      </c>
      <c r="V226" s="8" t="n">
        <f aca="false">IF(V$3&lt;=CEG_Assets!$V$8,V218*CEG_Assets!$U$8,0)/1000000*(1+CEG_RevAdj)</f>
        <v>0</v>
      </c>
      <c r="W226" s="8" t="n">
        <f aca="false">IF(W$3&lt;=CEG_Assets!$V$8,W218*CEG_Assets!$U$8,0)/1000000*(1+CEG_RevAdj)</f>
        <v>0</v>
      </c>
      <c r="X226" s="8" t="n">
        <f aca="false">IF(X$3&lt;=CEG_Assets!$V$8,X218*CEG_Assets!$U$8,0)/1000000*(1+CEG_RevAdj)</f>
        <v>0</v>
      </c>
      <c r="Y226" s="8" t="n">
        <f aca="false">IF(Y$3&lt;=CEG_Assets!$V$8,Y218*CEG_Assets!$U$8,0)/1000000*(1+CEG_RevAdj)</f>
        <v>0</v>
      </c>
      <c r="Z226" s="8" t="n">
        <f aca="false">IF(Z$3&lt;=CEG_Assets!$V$8,Z218*CEG_Assets!$U$8,0)/1000000*(1+CEG_RevAdj)</f>
        <v>0</v>
      </c>
      <c r="AA226" s="8" t="n">
        <f aca="false">IF(AA$3&lt;=CEG_Assets!$V$8,AA218*CEG_Assets!$U$8,0)/1000000*(1+CEG_RevAdj)</f>
        <v>0</v>
      </c>
      <c r="AB226" s="8" t="n">
        <f aca="false">IF(AB$3&lt;=CEG_Assets!$V$8,AB218*CEG_Assets!$U$8,0)/1000000*(1+CEG_RevAdj)</f>
        <v>0</v>
      </c>
      <c r="AC226" s="8" t="n">
        <f aca="false">IF(AC$3&lt;=CEG_Assets!$V$8,AC218*CEG_Assets!$U$8,0)/1000000*(1+CEG_RevAdj)</f>
        <v>0</v>
      </c>
      <c r="AD226" s="8" t="n">
        <f aca="false">IF(AD$3&lt;=CEG_Assets!$V$8,AD218*CEG_Assets!$U$8,0)/1000000*(1+CEG_RevAdj)</f>
        <v>0</v>
      </c>
      <c r="AE226" s="8" t="n">
        <f aca="false">IF(AE$3&lt;=CEG_Assets!$V$8,AE218*CEG_Assets!$U$8,0)/1000000*(1+CEG_RevAdj)</f>
        <v>0</v>
      </c>
      <c r="AF226" s="8" t="n">
        <f aca="false">IF(AF$3&lt;=CEG_Assets!$V$8,AF218*CEG_Assets!$U$8,0)/1000000*(1+CEG_RevAdj)</f>
        <v>0</v>
      </c>
      <c r="AG226" s="8" t="n">
        <f aca="false">IF(AG$3&lt;=CEG_Assets!$V$8,AG218*CEG_Assets!$U$8,0)/1000000*(1+CEG_RevAdj)</f>
        <v>0</v>
      </c>
      <c r="AH226" s="8" t="n">
        <f aca="false">IF(AH$3&lt;=CEG_Assets!$V$8,AH218*CEG_Assets!$U$8,0)/1000000*(1+CEG_RevAdj)</f>
        <v>0</v>
      </c>
      <c r="AI226" s="8" t="n">
        <f aca="false">IF(AI$3&lt;=CEG_Assets!$V$8,AI218*CEG_Assets!$U$8,0)/1000000*(1+CEG_RevAdj)</f>
        <v>0</v>
      </c>
      <c r="AJ226" s="8" t="n">
        <f aca="false">IF(AJ$3&lt;=CEG_Assets!$V$8,AJ218*CEG_Assets!$U$8,0)/1000000*(1+CEG_RevAdj)</f>
        <v>0</v>
      </c>
      <c r="AK226" s="8" t="n">
        <f aca="false">IF(AK$3&lt;=CEG_Assets!$V$8,AK218*CEG_Assets!$U$8,0)/1000000*(1+CEG_RevAdj)</f>
        <v>0</v>
      </c>
      <c r="AL226" s="8" t="n">
        <f aca="false">IF(AL$3&lt;=CEG_Assets!$V$8,AL218*CEG_Assets!$U$8,0)/1000000*(1+CEG_RevAdj)</f>
        <v>0</v>
      </c>
      <c r="AM226" s="8" t="n">
        <f aca="false">IF(AM$3&lt;=CEG_Assets!$V$8,AM218*CEG_Assets!$U$8,0)/1000000*(1+CEG_RevAdj)</f>
        <v>0</v>
      </c>
      <c r="AN226" s="8" t="n">
        <f aca="false">IF(AN$3&lt;=CEG_Assets!$V$8,AN218*CEG_Assets!$U$8,0)/1000000*(1+CEG_RevAdj)</f>
        <v>0</v>
      </c>
      <c r="AO226" s="8" t="n">
        <f aca="false">IF(AO$3&lt;=CEG_Assets!$V$8,AO218*CEG_Assets!$U$8,0)/1000000*(1+CEG_RevAdj)</f>
        <v>0</v>
      </c>
      <c r="AP226" s="8" t="n">
        <f aca="false">IF(AP$3&lt;=CEG_Assets!$V$8,AP218*CEG_Assets!$U$8,0)/1000000*(1+CEG_RevAdj)</f>
        <v>0</v>
      </c>
      <c r="AQ226" s="8" t="n">
        <f aca="false">IF(AQ$3&lt;=CEG_Assets!$V$8,AQ218*CEG_Assets!$U$8,0)/1000000*(1+CEG_RevAdj)</f>
        <v>0</v>
      </c>
      <c r="AR226" s="8" t="n">
        <f aca="false">IF(AR$3&lt;=CEG_Assets!$V$8,AR218*CEG_Assets!$U$8,0)/1000000*(1+CEG_RevAdj)</f>
        <v>0</v>
      </c>
      <c r="AS226" s="8" t="n">
        <f aca="false">IF(AS$3&lt;=CEG_Assets!$V$8,AS218*CEG_Assets!$U$8,0)/1000000*(1+CEG_RevAdj)</f>
        <v>0</v>
      </c>
    </row>
    <row r="227" customFormat="false" ht="15" hidden="false" customHeight="false" outlineLevel="0" collapsed="false">
      <c r="A227" s="6" t="s">
        <v>447</v>
      </c>
      <c r="B227" s="6" t="s">
        <v>448</v>
      </c>
      <c r="C227" s="9" t="n">
        <f aca="false">SUM(G227:AS227)</f>
        <v>12911.8441071901</v>
      </c>
      <c r="G227" s="8" t="n">
        <f aca="false">G223+G224+G225+G226</f>
        <v>408.40863386</v>
      </c>
      <c r="H227" s="8" t="n">
        <f aca="false">H223+H224+H225+H226</f>
        <v>410.83112572</v>
      </c>
      <c r="I227" s="8" t="n">
        <f aca="false">I223+I224+I225+I226</f>
        <v>366.945720043111</v>
      </c>
      <c r="J227" s="8" t="n">
        <f aca="false">J223+J224+J225+J226</f>
        <v>348.243041808129</v>
      </c>
      <c r="K227" s="8" t="n">
        <f aca="false">K223+K224+K225+K226</f>
        <v>355.207902644291</v>
      </c>
      <c r="L227" s="8" t="n">
        <f aca="false">L223+L224+L225+L226</f>
        <v>362.312060697177</v>
      </c>
      <c r="M227" s="8" t="n">
        <f aca="false">M223+M224+M225+M226</f>
        <v>369.558301911121</v>
      </c>
      <c r="N227" s="8" t="n">
        <f aca="false">N223+N224+N225+N226</f>
        <v>376.949467949343</v>
      </c>
      <c r="O227" s="8" t="n">
        <f aca="false">O223+O224+O225+O226</f>
        <v>384.48845730833</v>
      </c>
      <c r="P227" s="8" t="n">
        <f aca="false">P223+P224+P225+P226</f>
        <v>392.178226454497</v>
      </c>
      <c r="Q227" s="8" t="n">
        <f aca="false">Q223+Q224+Q225+Q226</f>
        <v>400.021790983587</v>
      </c>
      <c r="R227" s="8" t="n">
        <f aca="false">R223+R224+R225+R226</f>
        <v>408.022226803258</v>
      </c>
      <c r="S227" s="8" t="n">
        <f aca="false">S223+S224+S225+S226</f>
        <v>416.182671339324</v>
      </c>
      <c r="T227" s="8" t="n">
        <f aca="false">T223+T224+T225+T226</f>
        <v>424.50632476611</v>
      </c>
      <c r="U227" s="8" t="n">
        <f aca="false">U223+U224+U225+U226</f>
        <v>432.996451261432</v>
      </c>
      <c r="V227" s="8" t="n">
        <f aca="false">V223+V224+V225+V226</f>
        <v>441.656380286661</v>
      </c>
      <c r="W227" s="8" t="n">
        <f aca="false">W223+W224+W225+W226</f>
        <v>450.489507892394</v>
      </c>
      <c r="X227" s="8" t="n">
        <f aca="false">X223+X224+X225+X226</f>
        <v>459.499298050242</v>
      </c>
      <c r="Y227" s="8" t="n">
        <f aca="false">Y223+Y224+Y225+Y226</f>
        <v>468.689284011247</v>
      </c>
      <c r="Z227" s="8" t="n">
        <f aca="false">Z223+Z224+Z225+Z226</f>
        <v>478.063069691472</v>
      </c>
      <c r="AA227" s="8" t="n">
        <f aca="false">AA223+AA224+AA225+AA226</f>
        <v>487.624331085301</v>
      </c>
      <c r="AB227" s="8" t="n">
        <f aca="false">AB223+AB224+AB225+AB226</f>
        <v>497.376817707007</v>
      </c>
      <c r="AC227" s="8" t="n">
        <f aca="false">AC223+AC224+AC225+AC226</f>
        <v>507.324354061148</v>
      </c>
      <c r="AD227" s="8" t="n">
        <f aca="false">AD223+AD224+AD225+AD226</f>
        <v>517.470841142371</v>
      </c>
      <c r="AE227" s="8" t="n">
        <f aca="false">AE223+AE224+AE225+AE226</f>
        <v>527.820257965218</v>
      </c>
      <c r="AF227" s="8" t="n">
        <f aca="false">AF223+AF224+AF225+AF226</f>
        <v>538.376663124522</v>
      </c>
      <c r="AG227" s="8" t="n">
        <f aca="false">AG223+AG224+AG225+AG226</f>
        <v>549.144196387013</v>
      </c>
      <c r="AH227" s="8" t="n">
        <f aca="false">AH223+AH224+AH225+AH226</f>
        <v>560.127080314753</v>
      </c>
      <c r="AI227" s="8" t="n">
        <f aca="false">AI223+AI224+AI225+AI226</f>
        <v>571.329621921048</v>
      </c>
      <c r="AJ227" s="8" t="n">
        <f aca="false">AJ223+AJ224+AJ225+AJ226</f>
        <v>0</v>
      </c>
      <c r="AK227" s="8" t="n">
        <f aca="false">AK223+AK224+AK225+AK226</f>
        <v>0</v>
      </c>
      <c r="AL227" s="8" t="n">
        <f aca="false">AL223+AL224+AL225+AL226</f>
        <v>0</v>
      </c>
      <c r="AM227" s="8" t="n">
        <f aca="false">AM223+AM224+AM225+AM226</f>
        <v>0</v>
      </c>
      <c r="AN227" s="8" t="n">
        <f aca="false">AN223+AN224+AN225+AN226</f>
        <v>0</v>
      </c>
      <c r="AO227" s="8" t="n">
        <f aca="false">AO223+AO224+AO225+AO226</f>
        <v>0</v>
      </c>
      <c r="AP227" s="8" t="n">
        <f aca="false">AP223+AP224+AP225+AP226</f>
        <v>0</v>
      </c>
      <c r="AQ227" s="8" t="n">
        <f aca="false">AQ223+AQ224+AQ225+AQ226</f>
        <v>0</v>
      </c>
      <c r="AR227" s="8" t="n">
        <f aca="false">AR223+AR224+AR225+AR226</f>
        <v>0</v>
      </c>
      <c r="AS227" s="8" t="n">
        <f aca="false">AS223+AS224+AS225+AS226</f>
        <v>0</v>
      </c>
    </row>
    <row r="228" customFormat="false" ht="15" hidden="false" customHeight="false" outlineLevel="0" collapsed="false">
      <c r="A228" s="6" t="s">
        <v>449</v>
      </c>
      <c r="B228" s="6" t="s">
        <v>450</v>
      </c>
      <c r="C228" s="9" t="n">
        <f aca="false">SUM(G228:AS228)</f>
        <v>0</v>
      </c>
      <c r="G228" s="8" t="n">
        <f aca="false">((CEG_Assets!$K$8*G220+CEG_Assets!$M$8*G$4)*G218*G222+CEG_Assets!$N$8*(1+CEG_Assets!$Q$8)^(G$3-2026)*(G218+G219))/1000000*(1+CEG_FuelAdj)</f>
        <v>0</v>
      </c>
      <c r="H228" s="8" t="n">
        <f aca="false">((CEG_Assets!$K$8*H220+CEG_Assets!$M$8*H$4)*H218*H222+CEG_Assets!$N$8*(1+CEG_Assets!$Q$8)^(H$3-2026)*(H218+H219))/1000000*(1+CEG_FuelAdj)</f>
        <v>0</v>
      </c>
      <c r="I228" s="8" t="n">
        <f aca="false">((CEG_Assets!$K$8*I220+CEG_Assets!$M$8*I$4)*I218*I222+CEG_Assets!$N$8*(1+CEG_Assets!$Q$8)^(I$3-2026)*(I218+I219))/1000000*(1+CEG_FuelAdj)</f>
        <v>0</v>
      </c>
      <c r="J228" s="8" t="n">
        <f aca="false">((CEG_Assets!$K$8*J220+CEG_Assets!$M$8*J$4)*J218*J222+CEG_Assets!$N$8*(1+CEG_Assets!$Q$8)^(J$3-2026)*(J218+J219))/1000000*(1+CEG_FuelAdj)</f>
        <v>0</v>
      </c>
      <c r="K228" s="8" t="n">
        <f aca="false">((CEG_Assets!$K$8*K220+CEG_Assets!$M$8*K$4)*K218*K222+CEG_Assets!$N$8*(1+CEG_Assets!$Q$8)^(K$3-2026)*(K218+K219))/1000000*(1+CEG_FuelAdj)</f>
        <v>0</v>
      </c>
      <c r="L228" s="8" t="n">
        <f aca="false">((CEG_Assets!$K$8*L220+CEG_Assets!$M$8*L$4)*L218*L222+CEG_Assets!$N$8*(1+CEG_Assets!$Q$8)^(L$3-2026)*(L218+L219))/1000000*(1+CEG_FuelAdj)</f>
        <v>0</v>
      </c>
      <c r="M228" s="8" t="n">
        <f aca="false">((CEG_Assets!$K$8*M220+CEG_Assets!$M$8*M$4)*M218*M222+CEG_Assets!$N$8*(1+CEG_Assets!$Q$8)^(M$3-2026)*(M218+M219))/1000000*(1+CEG_FuelAdj)</f>
        <v>0</v>
      </c>
      <c r="N228" s="8" t="n">
        <f aca="false">((CEG_Assets!$K$8*N220+CEG_Assets!$M$8*N$4)*N218*N222+CEG_Assets!$N$8*(1+CEG_Assets!$Q$8)^(N$3-2026)*(N218+N219))/1000000*(1+CEG_FuelAdj)</f>
        <v>0</v>
      </c>
      <c r="O228" s="8" t="n">
        <f aca="false">((CEG_Assets!$K$8*O220+CEG_Assets!$M$8*O$4)*O218*O222+CEG_Assets!$N$8*(1+CEG_Assets!$Q$8)^(O$3-2026)*(O218+O219))/1000000*(1+CEG_FuelAdj)</f>
        <v>0</v>
      </c>
      <c r="P228" s="8" t="n">
        <f aca="false">((CEG_Assets!$K$8*P220+CEG_Assets!$M$8*P$4)*P218*P222+CEG_Assets!$N$8*(1+CEG_Assets!$Q$8)^(P$3-2026)*(P218+P219))/1000000*(1+CEG_FuelAdj)</f>
        <v>0</v>
      </c>
      <c r="Q228" s="8" t="n">
        <f aca="false">((CEG_Assets!$K$8*Q220+CEG_Assets!$M$8*Q$4)*Q218*Q222+CEG_Assets!$N$8*(1+CEG_Assets!$Q$8)^(Q$3-2026)*(Q218+Q219))/1000000*(1+CEG_FuelAdj)</f>
        <v>0</v>
      </c>
      <c r="R228" s="8" t="n">
        <f aca="false">((CEG_Assets!$K$8*R220+CEG_Assets!$M$8*R$4)*R218*R222+CEG_Assets!$N$8*(1+CEG_Assets!$Q$8)^(R$3-2026)*(R218+R219))/1000000*(1+CEG_FuelAdj)</f>
        <v>0</v>
      </c>
      <c r="S228" s="8" t="n">
        <f aca="false">((CEG_Assets!$K$8*S220+CEG_Assets!$M$8*S$4)*S218*S222+CEG_Assets!$N$8*(1+CEG_Assets!$Q$8)^(S$3-2026)*(S218+S219))/1000000*(1+CEG_FuelAdj)</f>
        <v>0</v>
      </c>
      <c r="T228" s="8" t="n">
        <f aca="false">((CEG_Assets!$K$8*T220+CEG_Assets!$M$8*T$4)*T218*T222+CEG_Assets!$N$8*(1+CEG_Assets!$Q$8)^(T$3-2026)*(T218+T219))/1000000*(1+CEG_FuelAdj)</f>
        <v>0</v>
      </c>
      <c r="U228" s="8" t="n">
        <f aca="false">((CEG_Assets!$K$8*U220+CEG_Assets!$M$8*U$4)*U218*U222+CEG_Assets!$N$8*(1+CEG_Assets!$Q$8)^(U$3-2026)*(U218+U219))/1000000*(1+CEG_FuelAdj)</f>
        <v>0</v>
      </c>
      <c r="V228" s="8" t="n">
        <f aca="false">((CEG_Assets!$K$8*V220+CEG_Assets!$M$8*V$4)*V218*V222+CEG_Assets!$N$8*(1+CEG_Assets!$Q$8)^(V$3-2026)*(V218+V219))/1000000*(1+CEG_FuelAdj)</f>
        <v>0</v>
      </c>
      <c r="W228" s="8" t="n">
        <f aca="false">((CEG_Assets!$K$8*W220+CEG_Assets!$M$8*W$4)*W218*W222+CEG_Assets!$N$8*(1+CEG_Assets!$Q$8)^(W$3-2026)*(W218+W219))/1000000*(1+CEG_FuelAdj)</f>
        <v>0</v>
      </c>
      <c r="X228" s="8" t="n">
        <f aca="false">((CEG_Assets!$K$8*X220+CEG_Assets!$M$8*X$4)*X218*X222+CEG_Assets!$N$8*(1+CEG_Assets!$Q$8)^(X$3-2026)*(X218+X219))/1000000*(1+CEG_FuelAdj)</f>
        <v>0</v>
      </c>
      <c r="Y228" s="8" t="n">
        <f aca="false">((CEG_Assets!$K$8*Y220+CEG_Assets!$M$8*Y$4)*Y218*Y222+CEG_Assets!$N$8*(1+CEG_Assets!$Q$8)^(Y$3-2026)*(Y218+Y219))/1000000*(1+CEG_FuelAdj)</f>
        <v>0</v>
      </c>
      <c r="Z228" s="8" t="n">
        <f aca="false">((CEG_Assets!$K$8*Z220+CEG_Assets!$M$8*Z$4)*Z218*Z222+CEG_Assets!$N$8*(1+CEG_Assets!$Q$8)^(Z$3-2026)*(Z218+Z219))/1000000*(1+CEG_FuelAdj)</f>
        <v>0</v>
      </c>
      <c r="AA228" s="8" t="n">
        <f aca="false">((CEG_Assets!$K$8*AA220+CEG_Assets!$M$8*AA$4)*AA218*AA222+CEG_Assets!$N$8*(1+CEG_Assets!$Q$8)^(AA$3-2026)*(AA218+AA219))/1000000*(1+CEG_FuelAdj)</f>
        <v>0</v>
      </c>
      <c r="AB228" s="8" t="n">
        <f aca="false">((CEG_Assets!$K$8*AB220+CEG_Assets!$M$8*AB$4)*AB218*AB222+CEG_Assets!$N$8*(1+CEG_Assets!$Q$8)^(AB$3-2026)*(AB218+AB219))/1000000*(1+CEG_FuelAdj)</f>
        <v>0</v>
      </c>
      <c r="AC228" s="8" t="n">
        <f aca="false">((CEG_Assets!$K$8*AC220+CEG_Assets!$M$8*AC$4)*AC218*AC222+CEG_Assets!$N$8*(1+CEG_Assets!$Q$8)^(AC$3-2026)*(AC218+AC219))/1000000*(1+CEG_FuelAdj)</f>
        <v>0</v>
      </c>
      <c r="AD228" s="8" t="n">
        <f aca="false">((CEG_Assets!$K$8*AD220+CEG_Assets!$M$8*AD$4)*AD218*AD222+CEG_Assets!$N$8*(1+CEG_Assets!$Q$8)^(AD$3-2026)*(AD218+AD219))/1000000*(1+CEG_FuelAdj)</f>
        <v>0</v>
      </c>
      <c r="AE228" s="8" t="n">
        <f aca="false">((CEG_Assets!$K$8*AE220+CEG_Assets!$M$8*AE$4)*AE218*AE222+CEG_Assets!$N$8*(1+CEG_Assets!$Q$8)^(AE$3-2026)*(AE218+AE219))/1000000*(1+CEG_FuelAdj)</f>
        <v>0</v>
      </c>
      <c r="AF228" s="8" t="n">
        <f aca="false">((CEG_Assets!$K$8*AF220+CEG_Assets!$M$8*AF$4)*AF218*AF222+CEG_Assets!$N$8*(1+CEG_Assets!$Q$8)^(AF$3-2026)*(AF218+AF219))/1000000*(1+CEG_FuelAdj)</f>
        <v>0</v>
      </c>
      <c r="AG228" s="8" t="n">
        <f aca="false">((CEG_Assets!$K$8*AG220+CEG_Assets!$M$8*AG$4)*AG218*AG222+CEG_Assets!$N$8*(1+CEG_Assets!$Q$8)^(AG$3-2026)*(AG218+AG219))/1000000*(1+CEG_FuelAdj)</f>
        <v>0</v>
      </c>
      <c r="AH228" s="8" t="n">
        <f aca="false">((CEG_Assets!$K$8*AH220+CEG_Assets!$M$8*AH$4)*AH218*AH222+CEG_Assets!$N$8*(1+CEG_Assets!$Q$8)^(AH$3-2026)*(AH218+AH219))/1000000*(1+CEG_FuelAdj)</f>
        <v>0</v>
      </c>
      <c r="AI228" s="8" t="n">
        <f aca="false">((CEG_Assets!$K$8*AI220+CEG_Assets!$M$8*AI$4)*AI218*AI222+CEG_Assets!$N$8*(1+CEG_Assets!$Q$8)^(AI$3-2026)*(AI218+AI219))/1000000*(1+CEG_FuelAdj)</f>
        <v>0</v>
      </c>
      <c r="AJ228" s="8" t="n">
        <f aca="false">((CEG_Assets!$K$8*AJ220+CEG_Assets!$M$8*AJ$4)*AJ218*AJ222+CEG_Assets!$N$8*(1+CEG_Assets!$Q$8)^(AJ$3-2026)*(AJ218+AJ219))/1000000*(1+CEG_FuelAdj)</f>
        <v>0</v>
      </c>
      <c r="AK228" s="8" t="n">
        <f aca="false">((CEG_Assets!$K$8*AK220+CEG_Assets!$M$8*AK$4)*AK218*AK222+CEG_Assets!$N$8*(1+CEG_Assets!$Q$8)^(AK$3-2026)*(AK218+AK219))/1000000*(1+CEG_FuelAdj)</f>
        <v>0</v>
      </c>
      <c r="AL228" s="8" t="n">
        <f aca="false">((CEG_Assets!$K$8*AL220+CEG_Assets!$M$8*AL$4)*AL218*AL222+CEG_Assets!$N$8*(1+CEG_Assets!$Q$8)^(AL$3-2026)*(AL218+AL219))/1000000*(1+CEG_FuelAdj)</f>
        <v>0</v>
      </c>
      <c r="AM228" s="8" t="n">
        <f aca="false">((CEG_Assets!$K$8*AM220+CEG_Assets!$M$8*AM$4)*AM218*AM222+CEG_Assets!$N$8*(1+CEG_Assets!$Q$8)^(AM$3-2026)*(AM218+AM219))/1000000*(1+CEG_FuelAdj)</f>
        <v>0</v>
      </c>
      <c r="AN228" s="8" t="n">
        <f aca="false">((CEG_Assets!$K$8*AN220+CEG_Assets!$M$8*AN$4)*AN218*AN222+CEG_Assets!$N$8*(1+CEG_Assets!$Q$8)^(AN$3-2026)*(AN218+AN219))/1000000*(1+CEG_FuelAdj)</f>
        <v>0</v>
      </c>
      <c r="AO228" s="8" t="n">
        <f aca="false">((CEG_Assets!$K$8*AO220+CEG_Assets!$M$8*AO$4)*AO218*AO222+CEG_Assets!$N$8*(1+CEG_Assets!$Q$8)^(AO$3-2026)*(AO218+AO219))/1000000*(1+CEG_FuelAdj)</f>
        <v>0</v>
      </c>
      <c r="AP228" s="8" t="n">
        <f aca="false">((CEG_Assets!$K$8*AP220+CEG_Assets!$M$8*AP$4)*AP218*AP222+CEG_Assets!$N$8*(1+CEG_Assets!$Q$8)^(AP$3-2026)*(AP218+AP219))/1000000*(1+CEG_FuelAdj)</f>
        <v>0</v>
      </c>
      <c r="AQ228" s="8" t="n">
        <f aca="false">((CEG_Assets!$K$8*AQ220+CEG_Assets!$M$8*AQ$4)*AQ218*AQ222+CEG_Assets!$N$8*(1+CEG_Assets!$Q$8)^(AQ$3-2026)*(AQ218+AQ219))/1000000*(1+CEG_FuelAdj)</f>
        <v>0</v>
      </c>
      <c r="AR228" s="8" t="n">
        <f aca="false">((CEG_Assets!$K$8*AR220+CEG_Assets!$M$8*AR$4)*AR218*AR222+CEG_Assets!$N$8*(1+CEG_Assets!$Q$8)^(AR$3-2026)*(AR218+AR219))/1000000*(1+CEG_FuelAdj)</f>
        <v>0</v>
      </c>
      <c r="AS228" s="8" t="n">
        <f aca="false">((CEG_Assets!$K$8*AS220+CEG_Assets!$M$8*AS$4)*AS218*AS222+CEG_Assets!$N$8*(1+CEG_Assets!$Q$8)^(AS$3-2026)*(AS218+AS219))/1000000*(1+CEG_FuelAdj)</f>
        <v>0</v>
      </c>
    </row>
    <row r="229" customFormat="false" ht="15" hidden="false" customHeight="false" outlineLevel="0" collapsed="false">
      <c r="A229" s="6" t="s">
        <v>451</v>
      </c>
      <c r="B229" s="6" t="s">
        <v>452</v>
      </c>
      <c r="C229" s="9" t="n">
        <f aca="false">SUM(G229:AS229)</f>
        <v>12911.8441071901</v>
      </c>
      <c r="G229" s="8" t="n">
        <f aca="false">G227-G228</f>
        <v>408.40863386</v>
      </c>
      <c r="H229" s="8" t="n">
        <f aca="false">H227-H228</f>
        <v>410.83112572</v>
      </c>
      <c r="I229" s="8" t="n">
        <f aca="false">I227-I228</f>
        <v>366.945720043111</v>
      </c>
      <c r="J229" s="8" t="n">
        <f aca="false">J227-J228</f>
        <v>348.243041808129</v>
      </c>
      <c r="K229" s="8" t="n">
        <f aca="false">K227-K228</f>
        <v>355.207902644291</v>
      </c>
      <c r="L229" s="8" t="n">
        <f aca="false">L227-L228</f>
        <v>362.312060697177</v>
      </c>
      <c r="M229" s="8" t="n">
        <f aca="false">M227-M228</f>
        <v>369.558301911121</v>
      </c>
      <c r="N229" s="8" t="n">
        <f aca="false">N227-N228</f>
        <v>376.949467949343</v>
      </c>
      <c r="O229" s="8" t="n">
        <f aca="false">O227-O228</f>
        <v>384.48845730833</v>
      </c>
      <c r="P229" s="8" t="n">
        <f aca="false">P227-P228</f>
        <v>392.178226454497</v>
      </c>
      <c r="Q229" s="8" t="n">
        <f aca="false">Q227-Q228</f>
        <v>400.021790983587</v>
      </c>
      <c r="R229" s="8" t="n">
        <f aca="false">R227-R228</f>
        <v>408.022226803258</v>
      </c>
      <c r="S229" s="8" t="n">
        <f aca="false">S227-S228</f>
        <v>416.182671339324</v>
      </c>
      <c r="T229" s="8" t="n">
        <f aca="false">T227-T228</f>
        <v>424.50632476611</v>
      </c>
      <c r="U229" s="8" t="n">
        <f aca="false">U227-U228</f>
        <v>432.996451261432</v>
      </c>
      <c r="V229" s="8" t="n">
        <f aca="false">V227-V228</f>
        <v>441.656380286661</v>
      </c>
      <c r="W229" s="8" t="n">
        <f aca="false">W227-W228</f>
        <v>450.489507892394</v>
      </c>
      <c r="X229" s="8" t="n">
        <f aca="false">X227-X228</f>
        <v>459.499298050242</v>
      </c>
      <c r="Y229" s="8" t="n">
        <f aca="false">Y227-Y228</f>
        <v>468.689284011247</v>
      </c>
      <c r="Z229" s="8" t="n">
        <f aca="false">Z227-Z228</f>
        <v>478.063069691472</v>
      </c>
      <c r="AA229" s="8" t="n">
        <f aca="false">AA227-AA228</f>
        <v>487.624331085301</v>
      </c>
      <c r="AB229" s="8" t="n">
        <f aca="false">AB227-AB228</f>
        <v>497.376817707007</v>
      </c>
      <c r="AC229" s="8" t="n">
        <f aca="false">AC227-AC228</f>
        <v>507.324354061148</v>
      </c>
      <c r="AD229" s="8" t="n">
        <f aca="false">AD227-AD228</f>
        <v>517.470841142371</v>
      </c>
      <c r="AE229" s="8" t="n">
        <f aca="false">AE227-AE228</f>
        <v>527.820257965218</v>
      </c>
      <c r="AF229" s="8" t="n">
        <f aca="false">AF227-AF228</f>
        <v>538.376663124522</v>
      </c>
      <c r="AG229" s="8" t="n">
        <f aca="false">AG227-AG228</f>
        <v>549.144196387013</v>
      </c>
      <c r="AH229" s="8" t="n">
        <f aca="false">AH227-AH228</f>
        <v>560.127080314753</v>
      </c>
      <c r="AI229" s="8" t="n">
        <f aca="false">AI227-AI228</f>
        <v>571.329621921048</v>
      </c>
      <c r="AJ229" s="8" t="n">
        <f aca="false">AJ227-AJ228</f>
        <v>0</v>
      </c>
      <c r="AK229" s="8" t="n">
        <f aca="false">AK227-AK228</f>
        <v>0</v>
      </c>
      <c r="AL229" s="8" t="n">
        <f aca="false">AL227-AL228</f>
        <v>0</v>
      </c>
      <c r="AM229" s="8" t="n">
        <f aca="false">AM227-AM228</f>
        <v>0</v>
      </c>
      <c r="AN229" s="8" t="n">
        <f aca="false">AN227-AN228</f>
        <v>0</v>
      </c>
      <c r="AO229" s="8" t="n">
        <f aca="false">AO227-AO228</f>
        <v>0</v>
      </c>
      <c r="AP229" s="8" t="n">
        <f aca="false">AP227-AP228</f>
        <v>0</v>
      </c>
      <c r="AQ229" s="8" t="n">
        <f aca="false">AQ227-AQ228</f>
        <v>0</v>
      </c>
      <c r="AR229" s="8" t="n">
        <f aca="false">AR227-AR228</f>
        <v>0</v>
      </c>
      <c r="AS229" s="8" t="n">
        <f aca="false">AS227-AS228</f>
        <v>0</v>
      </c>
    </row>
    <row r="230" customFormat="false" ht="15" hidden="false" customHeight="false" outlineLevel="0" collapsed="false">
      <c r="A230" s="6" t="s">
        <v>453</v>
      </c>
      <c r="B230" s="6" t="s">
        <v>454</v>
      </c>
      <c r="C230" s="9" t="n">
        <f aca="false">SUM(G230:AS230)</f>
        <v>2598.83144219541</v>
      </c>
      <c r="G230" s="8" t="n">
        <f aca="false">(CEG_Assets!$R$8*CEG_Assets!$D$8*1000*G$4*G216+CEG_Assets!$O$8*(1+CEG_Assets!$Q$8)^(G$3-2026)*(G218+G219))/1000000*(1+CEG_OMAdj)</f>
        <v>66.9936</v>
      </c>
      <c r="H230" s="8" t="n">
        <f aca="false">(CEG_Assets!$R$8*CEG_Assets!$D$8*1000*H$4*H216+CEG_Assets!$O$8*(1+CEG_Assets!$Q$8)^(H$3-2026)*(H218+H219))/1000000*(1+CEG_OMAdj)</f>
        <v>68.333472</v>
      </c>
      <c r="I230" s="8" t="n">
        <f aca="false">(CEG_Assets!$R$8*CEG_Assets!$D$8*1000*I$4*I216+CEG_Assets!$O$8*(1+CEG_Assets!$Q$8)^(I$3-2026)*(I218+I219))/1000000*(1+CEG_OMAdj)</f>
        <v>69.70014144</v>
      </c>
      <c r="J230" s="8" t="n">
        <f aca="false">(CEG_Assets!$R$8*CEG_Assets!$D$8*1000*J$4*J216+CEG_Assets!$O$8*(1+CEG_Assets!$Q$8)^(J$3-2026)*(J218+J219))/1000000*(1+CEG_OMAdj)</f>
        <v>71.0941442688</v>
      </c>
      <c r="K230" s="8" t="n">
        <f aca="false">(CEG_Assets!$R$8*CEG_Assets!$D$8*1000*K$4*K216+CEG_Assets!$O$8*(1+CEG_Assets!$Q$8)^(K$3-2026)*(K218+K219))/1000000*(1+CEG_OMAdj)</f>
        <v>72.516027154176</v>
      </c>
      <c r="L230" s="8" t="n">
        <f aca="false">(CEG_Assets!$R$8*CEG_Assets!$D$8*1000*L$4*L216+CEG_Assets!$O$8*(1+CEG_Assets!$Q$8)^(L$3-2026)*(L218+L219))/1000000*(1+CEG_OMAdj)</f>
        <v>73.9663476972595</v>
      </c>
      <c r="M230" s="8" t="n">
        <f aca="false">(CEG_Assets!$R$8*CEG_Assets!$D$8*1000*M$4*M216+CEG_Assets!$O$8*(1+CEG_Assets!$Q$8)^(M$3-2026)*(M218+M219))/1000000*(1+CEG_OMAdj)</f>
        <v>75.4456746512047</v>
      </c>
      <c r="N230" s="8" t="n">
        <f aca="false">(CEG_Assets!$R$8*CEG_Assets!$D$8*1000*N$4*N216+CEG_Assets!$O$8*(1+CEG_Assets!$Q$8)^(N$3-2026)*(N218+N219))/1000000*(1+CEG_OMAdj)</f>
        <v>76.9545881442288</v>
      </c>
      <c r="O230" s="8" t="n">
        <f aca="false">(CEG_Assets!$R$8*CEG_Assets!$D$8*1000*O$4*O216+CEG_Assets!$O$8*(1+CEG_Assets!$Q$8)^(O$3-2026)*(O218+O219))/1000000*(1+CEG_OMAdj)</f>
        <v>78.4936799071134</v>
      </c>
      <c r="P230" s="8" t="n">
        <f aca="false">(CEG_Assets!$R$8*CEG_Assets!$D$8*1000*P$4*P216+CEG_Assets!$O$8*(1+CEG_Assets!$Q$8)^(P$3-2026)*(P218+P219))/1000000*(1+CEG_OMAdj)</f>
        <v>80.0635535052557</v>
      </c>
      <c r="Q230" s="8" t="n">
        <f aca="false">(CEG_Assets!$R$8*CEG_Assets!$D$8*1000*Q$4*Q216+CEG_Assets!$O$8*(1+CEG_Assets!$Q$8)^(Q$3-2026)*(Q218+Q219))/1000000*(1+CEG_OMAdj)</f>
        <v>81.6648245753608</v>
      </c>
      <c r="R230" s="8" t="n">
        <f aca="false">(CEG_Assets!$R$8*CEG_Assets!$D$8*1000*R$4*R216+CEG_Assets!$O$8*(1+CEG_Assets!$Q$8)^(R$3-2026)*(R218+R219))/1000000*(1+CEG_OMAdj)</f>
        <v>83.298121066868</v>
      </c>
      <c r="S230" s="8" t="n">
        <f aca="false">(CEG_Assets!$R$8*CEG_Assets!$D$8*1000*S$4*S216+CEG_Assets!$O$8*(1+CEG_Assets!$Q$8)^(S$3-2026)*(S218+S219))/1000000*(1+CEG_OMAdj)</f>
        <v>84.9640834882054</v>
      </c>
      <c r="T230" s="8" t="n">
        <f aca="false">(CEG_Assets!$R$8*CEG_Assets!$D$8*1000*T$4*T216+CEG_Assets!$O$8*(1+CEG_Assets!$Q$8)^(T$3-2026)*(T218+T219))/1000000*(1+CEG_OMAdj)</f>
        <v>86.6633651579695</v>
      </c>
      <c r="U230" s="8" t="n">
        <f aca="false">(CEG_Assets!$R$8*CEG_Assets!$D$8*1000*U$4*U216+CEG_Assets!$O$8*(1+CEG_Assets!$Q$8)^(U$3-2026)*(U218+U219))/1000000*(1+CEG_OMAdj)</f>
        <v>88.3966324611289</v>
      </c>
      <c r="V230" s="8" t="n">
        <f aca="false">(CEG_Assets!$R$8*CEG_Assets!$D$8*1000*V$4*V216+CEG_Assets!$O$8*(1+CEG_Assets!$Q$8)^(V$3-2026)*(V218+V219))/1000000*(1+CEG_OMAdj)</f>
        <v>90.1645651103514</v>
      </c>
      <c r="W230" s="8" t="n">
        <f aca="false">(CEG_Assets!$R$8*CEG_Assets!$D$8*1000*W$4*W216+CEG_Assets!$O$8*(1+CEG_Assets!$Q$8)^(W$3-2026)*(W218+W219))/1000000*(1+CEG_OMAdj)</f>
        <v>91.9678564125585</v>
      </c>
      <c r="X230" s="8" t="n">
        <f aca="false">(CEG_Assets!$R$8*CEG_Assets!$D$8*1000*X$4*X216+CEG_Assets!$O$8*(1+CEG_Assets!$Q$8)^(X$3-2026)*(X218+X219))/1000000*(1+CEG_OMAdj)</f>
        <v>93.8072135408096</v>
      </c>
      <c r="Y230" s="8" t="n">
        <f aca="false">(CEG_Assets!$R$8*CEG_Assets!$D$8*1000*Y$4*Y216+CEG_Assets!$O$8*(1+CEG_Assets!$Q$8)^(Y$3-2026)*(Y218+Y219))/1000000*(1+CEG_OMAdj)</f>
        <v>95.6833578116258</v>
      </c>
      <c r="Z230" s="8" t="n">
        <f aca="false">(CEG_Assets!$R$8*CEG_Assets!$D$8*1000*Z$4*Z216+CEG_Assets!$O$8*(1+CEG_Assets!$Q$8)^(Z$3-2026)*(Z218+Z219))/1000000*(1+CEG_OMAdj)</f>
        <v>97.5970249678584</v>
      </c>
      <c r="AA230" s="8" t="n">
        <f aca="false">(CEG_Assets!$R$8*CEG_Assets!$D$8*1000*AA$4*AA216+CEG_Assets!$O$8*(1+CEG_Assets!$Q$8)^(AA$3-2026)*(AA218+AA219))/1000000*(1+CEG_OMAdj)</f>
        <v>99.5489654672155</v>
      </c>
      <c r="AB230" s="8" t="n">
        <f aca="false">(CEG_Assets!$R$8*CEG_Assets!$D$8*1000*AB$4*AB216+CEG_Assets!$O$8*(1+CEG_Assets!$Q$8)^(AB$3-2026)*(AB218+AB219))/1000000*(1+CEG_OMAdj)</f>
        <v>101.53994477656</v>
      </c>
      <c r="AC230" s="8" t="n">
        <f aca="false">(CEG_Assets!$R$8*CEG_Assets!$D$8*1000*AC$4*AC216+CEG_Assets!$O$8*(1+CEG_Assets!$Q$8)^(AC$3-2026)*(AC218+AC219))/1000000*(1+CEG_OMAdj)</f>
        <v>103.570743672091</v>
      </c>
      <c r="AD230" s="8" t="n">
        <f aca="false">(CEG_Assets!$R$8*CEG_Assets!$D$8*1000*AD$4*AD216+CEG_Assets!$O$8*(1+CEG_Assets!$Q$8)^(AD$3-2026)*(AD218+AD219))/1000000*(1+CEG_OMAdj)</f>
        <v>105.642158545533</v>
      </c>
      <c r="AE230" s="8" t="n">
        <f aca="false">(CEG_Assets!$R$8*CEG_Assets!$D$8*1000*AE$4*AE216+CEG_Assets!$O$8*(1+CEG_Assets!$Q$8)^(AE$3-2026)*(AE218+AE219))/1000000*(1+CEG_OMAdj)</f>
        <v>107.755001716444</v>
      </c>
      <c r="AF230" s="8" t="n">
        <f aca="false">(CEG_Assets!$R$8*CEG_Assets!$D$8*1000*AF$4*AF216+CEG_Assets!$O$8*(1+CEG_Assets!$Q$8)^(AF$3-2026)*(AF218+AF219))/1000000*(1+CEG_OMAdj)</f>
        <v>109.910101750772</v>
      </c>
      <c r="AG230" s="8" t="n">
        <f aca="false">(CEG_Assets!$R$8*CEG_Assets!$D$8*1000*AG$4*AG216+CEG_Assets!$O$8*(1+CEG_Assets!$Q$8)^(AG$3-2026)*(AG218+AG219))/1000000*(1+CEG_OMAdj)</f>
        <v>112.108303785788</v>
      </c>
      <c r="AH230" s="8" t="n">
        <f aca="false">(CEG_Assets!$R$8*CEG_Assets!$D$8*1000*AH$4*AH216+CEG_Assets!$O$8*(1+CEG_Assets!$Q$8)^(AH$3-2026)*(AH218+AH219))/1000000*(1+CEG_OMAdj)</f>
        <v>114.350469861504</v>
      </c>
      <c r="AI230" s="8" t="n">
        <f aca="false">(CEG_Assets!$R$8*CEG_Assets!$D$8*1000*AI$4*AI216+CEG_Assets!$O$8*(1+CEG_Assets!$Q$8)^(AI$3-2026)*(AI218+AI219))/1000000*(1+CEG_OMAdj)</f>
        <v>116.637479258734</v>
      </c>
      <c r="AJ230" s="8" t="n">
        <f aca="false">(CEG_Assets!$R$8*CEG_Assets!$D$8*1000*AJ$4*AJ216+CEG_Assets!$O$8*(1+CEG_Assets!$Q$8)^(AJ$3-2026)*(AJ218+AJ219))/1000000*(1+CEG_OMAdj)</f>
        <v>0</v>
      </c>
      <c r="AK230" s="8" t="n">
        <f aca="false">(CEG_Assets!$R$8*CEG_Assets!$D$8*1000*AK$4*AK216+CEG_Assets!$O$8*(1+CEG_Assets!$Q$8)^(AK$3-2026)*(AK218+AK219))/1000000*(1+CEG_OMAdj)</f>
        <v>0</v>
      </c>
      <c r="AL230" s="8" t="n">
        <f aca="false">(CEG_Assets!$R$8*CEG_Assets!$D$8*1000*AL$4*AL216+CEG_Assets!$O$8*(1+CEG_Assets!$Q$8)^(AL$3-2026)*(AL218+AL219))/1000000*(1+CEG_OMAdj)</f>
        <v>0</v>
      </c>
      <c r="AM230" s="8" t="n">
        <f aca="false">(CEG_Assets!$R$8*CEG_Assets!$D$8*1000*AM$4*AM216+CEG_Assets!$O$8*(1+CEG_Assets!$Q$8)^(AM$3-2026)*(AM218+AM219))/1000000*(1+CEG_OMAdj)</f>
        <v>0</v>
      </c>
      <c r="AN230" s="8" t="n">
        <f aca="false">(CEG_Assets!$R$8*CEG_Assets!$D$8*1000*AN$4*AN216+CEG_Assets!$O$8*(1+CEG_Assets!$Q$8)^(AN$3-2026)*(AN218+AN219))/1000000*(1+CEG_OMAdj)</f>
        <v>0</v>
      </c>
      <c r="AO230" s="8" t="n">
        <f aca="false">(CEG_Assets!$R$8*CEG_Assets!$D$8*1000*AO$4*AO216+CEG_Assets!$O$8*(1+CEG_Assets!$Q$8)^(AO$3-2026)*(AO218+AO219))/1000000*(1+CEG_OMAdj)</f>
        <v>0</v>
      </c>
      <c r="AP230" s="8" t="n">
        <f aca="false">(CEG_Assets!$R$8*CEG_Assets!$D$8*1000*AP$4*AP216+CEG_Assets!$O$8*(1+CEG_Assets!$Q$8)^(AP$3-2026)*(AP218+AP219))/1000000*(1+CEG_OMAdj)</f>
        <v>0</v>
      </c>
      <c r="AQ230" s="8" t="n">
        <f aca="false">(CEG_Assets!$R$8*CEG_Assets!$D$8*1000*AQ$4*AQ216+CEG_Assets!$O$8*(1+CEG_Assets!$Q$8)^(AQ$3-2026)*(AQ218+AQ219))/1000000*(1+CEG_OMAdj)</f>
        <v>0</v>
      </c>
      <c r="AR230" s="8" t="n">
        <f aca="false">(CEG_Assets!$R$8*CEG_Assets!$D$8*1000*AR$4*AR216+CEG_Assets!$O$8*(1+CEG_Assets!$Q$8)^(AR$3-2026)*(AR218+AR219))/1000000*(1+CEG_OMAdj)</f>
        <v>0</v>
      </c>
      <c r="AS230" s="8" t="n">
        <f aca="false">(CEG_Assets!$R$8*CEG_Assets!$D$8*1000*AS$4*AS216+CEG_Assets!$O$8*(1+CEG_Assets!$Q$8)^(AS$3-2026)*(AS218+AS219))/1000000*(1+CEG_OMAdj)</f>
        <v>0</v>
      </c>
    </row>
    <row r="231" customFormat="false" ht="15" hidden="false" customHeight="false" outlineLevel="0" collapsed="false">
      <c r="A231" s="6" t="s">
        <v>455</v>
      </c>
      <c r="B231" s="6" t="s">
        <v>456</v>
      </c>
      <c r="C231" s="9" t="n">
        <f aca="false">SUM(G231:AS231)</f>
        <v>10313.0126649947</v>
      </c>
      <c r="G231" s="8" t="n">
        <f aca="false">G229-G230</f>
        <v>341.41503386</v>
      </c>
      <c r="H231" s="8" t="n">
        <f aca="false">H229-H230</f>
        <v>342.49765372</v>
      </c>
      <c r="I231" s="8" t="n">
        <f aca="false">I229-I230</f>
        <v>297.245578603111</v>
      </c>
      <c r="J231" s="8" t="n">
        <f aca="false">J229-J230</f>
        <v>277.148897539329</v>
      </c>
      <c r="K231" s="8" t="n">
        <f aca="false">K229-K230</f>
        <v>282.691875490115</v>
      </c>
      <c r="L231" s="8" t="n">
        <f aca="false">L229-L230</f>
        <v>288.345712999918</v>
      </c>
      <c r="M231" s="8" t="n">
        <f aca="false">M229-M230</f>
        <v>294.112627259916</v>
      </c>
      <c r="N231" s="8" t="n">
        <f aca="false">N229-N230</f>
        <v>299.994879805114</v>
      </c>
      <c r="O231" s="8" t="n">
        <f aca="false">O229-O230</f>
        <v>305.994777401217</v>
      </c>
      <c r="P231" s="8" t="n">
        <f aca="false">P229-P230</f>
        <v>312.114672949241</v>
      </c>
      <c r="Q231" s="8" t="n">
        <f aca="false">Q229-Q230</f>
        <v>318.356966408226</v>
      </c>
      <c r="R231" s="8" t="n">
        <f aca="false">R229-R230</f>
        <v>324.72410573639</v>
      </c>
      <c r="S231" s="8" t="n">
        <f aca="false">S229-S230</f>
        <v>331.218587851118</v>
      </c>
      <c r="T231" s="8" t="n">
        <f aca="false">T229-T230</f>
        <v>337.842959608141</v>
      </c>
      <c r="U231" s="8" t="n">
        <f aca="false">U229-U230</f>
        <v>344.599818800303</v>
      </c>
      <c r="V231" s="8" t="n">
        <f aca="false">V229-V230</f>
        <v>351.49181517631</v>
      </c>
      <c r="W231" s="8" t="n">
        <f aca="false">W229-W230</f>
        <v>358.521651479836</v>
      </c>
      <c r="X231" s="8" t="n">
        <f aca="false">X229-X230</f>
        <v>365.692084509432</v>
      </c>
      <c r="Y231" s="8" t="n">
        <f aca="false">Y229-Y230</f>
        <v>373.005926199621</v>
      </c>
      <c r="Z231" s="8" t="n">
        <f aca="false">Z229-Z230</f>
        <v>380.466044723614</v>
      </c>
      <c r="AA231" s="8" t="n">
        <f aca="false">AA229-AA230</f>
        <v>388.075365618086</v>
      </c>
      <c r="AB231" s="8" t="n">
        <f aca="false">AB229-AB230</f>
        <v>395.836872930448</v>
      </c>
      <c r="AC231" s="8" t="n">
        <f aca="false">AC229-AC230</f>
        <v>403.753610389056</v>
      </c>
      <c r="AD231" s="8" t="n">
        <f aca="false">AD229-AD230</f>
        <v>411.828682596838</v>
      </c>
      <c r="AE231" s="8" t="n">
        <f aca="false">AE229-AE230</f>
        <v>420.065256248774</v>
      </c>
      <c r="AF231" s="8" t="n">
        <f aca="false">AF229-AF230</f>
        <v>428.46656137375</v>
      </c>
      <c r="AG231" s="8" t="n">
        <f aca="false">AG229-AG230</f>
        <v>437.035892601225</v>
      </c>
      <c r="AH231" s="8" t="n">
        <f aca="false">AH229-AH230</f>
        <v>445.776610453249</v>
      </c>
      <c r="AI231" s="8" t="n">
        <f aca="false">AI229-AI230</f>
        <v>454.692142662314</v>
      </c>
      <c r="AJ231" s="8" t="n">
        <f aca="false">AJ229-AJ230</f>
        <v>0</v>
      </c>
      <c r="AK231" s="8" t="n">
        <f aca="false">AK229-AK230</f>
        <v>0</v>
      </c>
      <c r="AL231" s="8" t="n">
        <f aca="false">AL229-AL230</f>
        <v>0</v>
      </c>
      <c r="AM231" s="8" t="n">
        <f aca="false">AM229-AM230</f>
        <v>0</v>
      </c>
      <c r="AN231" s="8" t="n">
        <f aca="false">AN229-AN230</f>
        <v>0</v>
      </c>
      <c r="AO231" s="8" t="n">
        <f aca="false">AO229-AO230</f>
        <v>0</v>
      </c>
      <c r="AP231" s="8" t="n">
        <f aca="false">AP229-AP230</f>
        <v>0</v>
      </c>
      <c r="AQ231" s="8" t="n">
        <f aca="false">AQ229-AQ230</f>
        <v>0</v>
      </c>
      <c r="AR231" s="8" t="n">
        <f aca="false">AR229-AR230</f>
        <v>0</v>
      </c>
      <c r="AS231" s="8" t="n">
        <f aca="false">AS229-AS230</f>
        <v>0</v>
      </c>
    </row>
    <row r="232" customFormat="false" ht="15" hidden="false" customHeight="false" outlineLevel="0" collapsed="false">
      <c r="A232" s="6" t="s">
        <v>457</v>
      </c>
      <c r="B232" s="6" t="s">
        <v>458</v>
      </c>
      <c r="C232" s="9" t="n">
        <f aca="false">SUM(G232:AS232)</f>
        <v>0</v>
      </c>
      <c r="G232" s="8" t="n">
        <f aca="false">((CEG_Assets!$S$8*CEG_Assets!$D$8*1000*G$4*G216+CEG_Assets!$P$8*(1+CEG_Assets!$Q$8)^(G$3-2026)*(G218+G219))/1000000+IF(G$3=CEG_Assets!$AH$8,CEG_Assets!$AG$8,0))*(1+CEG_CapexAdj)</f>
        <v>0</v>
      </c>
      <c r="H232" s="8" t="n">
        <f aca="false">((CEG_Assets!$S$8*CEG_Assets!$D$8*1000*H$4*H216+CEG_Assets!$P$8*(1+CEG_Assets!$Q$8)^(H$3-2026)*(H218+H219))/1000000+IF(H$3=CEG_Assets!$AH$8,CEG_Assets!$AG$8,0))*(1+CEG_CapexAdj)</f>
        <v>0</v>
      </c>
      <c r="I232" s="8" t="n">
        <f aca="false">((CEG_Assets!$S$8*CEG_Assets!$D$8*1000*I$4*I216+CEG_Assets!$P$8*(1+CEG_Assets!$Q$8)^(I$3-2026)*(I218+I219))/1000000+IF(I$3=CEG_Assets!$AH$8,CEG_Assets!$AG$8,0))*(1+CEG_CapexAdj)</f>
        <v>0</v>
      </c>
      <c r="J232" s="8" t="n">
        <f aca="false">((CEG_Assets!$S$8*CEG_Assets!$D$8*1000*J$4*J216+CEG_Assets!$P$8*(1+CEG_Assets!$Q$8)^(J$3-2026)*(J218+J219))/1000000+IF(J$3=CEG_Assets!$AH$8,CEG_Assets!$AG$8,0))*(1+CEG_CapexAdj)</f>
        <v>0</v>
      </c>
      <c r="K232" s="8" t="n">
        <f aca="false">((CEG_Assets!$S$8*CEG_Assets!$D$8*1000*K$4*K216+CEG_Assets!$P$8*(1+CEG_Assets!$Q$8)^(K$3-2026)*(K218+K219))/1000000+IF(K$3=CEG_Assets!$AH$8,CEG_Assets!$AG$8,0))*(1+CEG_CapexAdj)</f>
        <v>0</v>
      </c>
      <c r="L232" s="8" t="n">
        <f aca="false">((CEG_Assets!$S$8*CEG_Assets!$D$8*1000*L$4*L216+CEG_Assets!$P$8*(1+CEG_Assets!$Q$8)^(L$3-2026)*(L218+L219))/1000000+IF(L$3=CEG_Assets!$AH$8,CEG_Assets!$AG$8,0))*(1+CEG_CapexAdj)</f>
        <v>0</v>
      </c>
      <c r="M232" s="8" t="n">
        <f aca="false">((CEG_Assets!$S$8*CEG_Assets!$D$8*1000*M$4*M216+CEG_Assets!$P$8*(1+CEG_Assets!$Q$8)^(M$3-2026)*(M218+M219))/1000000+IF(M$3=CEG_Assets!$AH$8,CEG_Assets!$AG$8,0))*(1+CEG_CapexAdj)</f>
        <v>0</v>
      </c>
      <c r="N232" s="8" t="n">
        <f aca="false">((CEG_Assets!$S$8*CEG_Assets!$D$8*1000*N$4*N216+CEG_Assets!$P$8*(1+CEG_Assets!$Q$8)^(N$3-2026)*(N218+N219))/1000000+IF(N$3=CEG_Assets!$AH$8,CEG_Assets!$AG$8,0))*(1+CEG_CapexAdj)</f>
        <v>0</v>
      </c>
      <c r="O232" s="8" t="n">
        <f aca="false">((CEG_Assets!$S$8*CEG_Assets!$D$8*1000*O$4*O216+CEG_Assets!$P$8*(1+CEG_Assets!$Q$8)^(O$3-2026)*(O218+O219))/1000000+IF(O$3=CEG_Assets!$AH$8,CEG_Assets!$AG$8,0))*(1+CEG_CapexAdj)</f>
        <v>0</v>
      </c>
      <c r="P232" s="8" t="n">
        <f aca="false">((CEG_Assets!$S$8*CEG_Assets!$D$8*1000*P$4*P216+CEG_Assets!$P$8*(1+CEG_Assets!$Q$8)^(P$3-2026)*(P218+P219))/1000000+IF(P$3=CEG_Assets!$AH$8,CEG_Assets!$AG$8,0))*(1+CEG_CapexAdj)</f>
        <v>0</v>
      </c>
      <c r="Q232" s="8" t="n">
        <f aca="false">((CEG_Assets!$S$8*CEG_Assets!$D$8*1000*Q$4*Q216+CEG_Assets!$P$8*(1+CEG_Assets!$Q$8)^(Q$3-2026)*(Q218+Q219))/1000000+IF(Q$3=CEG_Assets!$AH$8,CEG_Assets!$AG$8,0))*(1+CEG_CapexAdj)</f>
        <v>0</v>
      </c>
      <c r="R232" s="8" t="n">
        <f aca="false">((CEG_Assets!$S$8*CEG_Assets!$D$8*1000*R$4*R216+CEG_Assets!$P$8*(1+CEG_Assets!$Q$8)^(R$3-2026)*(R218+R219))/1000000+IF(R$3=CEG_Assets!$AH$8,CEG_Assets!$AG$8,0))*(1+CEG_CapexAdj)</f>
        <v>0</v>
      </c>
      <c r="S232" s="8" t="n">
        <f aca="false">((CEG_Assets!$S$8*CEG_Assets!$D$8*1000*S$4*S216+CEG_Assets!$P$8*(1+CEG_Assets!$Q$8)^(S$3-2026)*(S218+S219))/1000000+IF(S$3=CEG_Assets!$AH$8,CEG_Assets!$AG$8,0))*(1+CEG_CapexAdj)</f>
        <v>0</v>
      </c>
      <c r="T232" s="8" t="n">
        <f aca="false">((CEG_Assets!$S$8*CEG_Assets!$D$8*1000*T$4*T216+CEG_Assets!$P$8*(1+CEG_Assets!$Q$8)^(T$3-2026)*(T218+T219))/1000000+IF(T$3=CEG_Assets!$AH$8,CEG_Assets!$AG$8,0))*(1+CEG_CapexAdj)</f>
        <v>0</v>
      </c>
      <c r="U232" s="8" t="n">
        <f aca="false">((CEG_Assets!$S$8*CEG_Assets!$D$8*1000*U$4*U216+CEG_Assets!$P$8*(1+CEG_Assets!$Q$8)^(U$3-2026)*(U218+U219))/1000000+IF(U$3=CEG_Assets!$AH$8,CEG_Assets!$AG$8,0))*(1+CEG_CapexAdj)</f>
        <v>0</v>
      </c>
      <c r="V232" s="8" t="n">
        <f aca="false">((CEG_Assets!$S$8*CEG_Assets!$D$8*1000*V$4*V216+CEG_Assets!$P$8*(1+CEG_Assets!$Q$8)^(V$3-2026)*(V218+V219))/1000000+IF(V$3=CEG_Assets!$AH$8,CEG_Assets!$AG$8,0))*(1+CEG_CapexAdj)</f>
        <v>0</v>
      </c>
      <c r="W232" s="8" t="n">
        <f aca="false">((CEG_Assets!$S$8*CEG_Assets!$D$8*1000*W$4*W216+CEG_Assets!$P$8*(1+CEG_Assets!$Q$8)^(W$3-2026)*(W218+W219))/1000000+IF(W$3=CEG_Assets!$AH$8,CEG_Assets!$AG$8,0))*(1+CEG_CapexAdj)</f>
        <v>0</v>
      </c>
      <c r="X232" s="8" t="n">
        <f aca="false">((CEG_Assets!$S$8*CEG_Assets!$D$8*1000*X$4*X216+CEG_Assets!$P$8*(1+CEG_Assets!$Q$8)^(X$3-2026)*(X218+X219))/1000000+IF(X$3=CEG_Assets!$AH$8,CEG_Assets!$AG$8,0))*(1+CEG_CapexAdj)</f>
        <v>0</v>
      </c>
      <c r="Y232" s="8" t="n">
        <f aca="false">((CEG_Assets!$S$8*CEG_Assets!$D$8*1000*Y$4*Y216+CEG_Assets!$P$8*(1+CEG_Assets!$Q$8)^(Y$3-2026)*(Y218+Y219))/1000000+IF(Y$3=CEG_Assets!$AH$8,CEG_Assets!$AG$8,0))*(1+CEG_CapexAdj)</f>
        <v>0</v>
      </c>
      <c r="Z232" s="8" t="n">
        <f aca="false">((CEG_Assets!$S$8*CEG_Assets!$D$8*1000*Z$4*Z216+CEG_Assets!$P$8*(1+CEG_Assets!$Q$8)^(Z$3-2026)*(Z218+Z219))/1000000+IF(Z$3=CEG_Assets!$AH$8,CEG_Assets!$AG$8,0))*(1+CEG_CapexAdj)</f>
        <v>0</v>
      </c>
      <c r="AA232" s="8" t="n">
        <f aca="false">((CEG_Assets!$S$8*CEG_Assets!$D$8*1000*AA$4*AA216+CEG_Assets!$P$8*(1+CEG_Assets!$Q$8)^(AA$3-2026)*(AA218+AA219))/1000000+IF(AA$3=CEG_Assets!$AH$8,CEG_Assets!$AG$8,0))*(1+CEG_CapexAdj)</f>
        <v>0</v>
      </c>
      <c r="AB232" s="8" t="n">
        <f aca="false">((CEG_Assets!$S$8*CEG_Assets!$D$8*1000*AB$4*AB216+CEG_Assets!$P$8*(1+CEG_Assets!$Q$8)^(AB$3-2026)*(AB218+AB219))/1000000+IF(AB$3=CEG_Assets!$AH$8,CEG_Assets!$AG$8,0))*(1+CEG_CapexAdj)</f>
        <v>0</v>
      </c>
      <c r="AC232" s="8" t="n">
        <f aca="false">((CEG_Assets!$S$8*CEG_Assets!$D$8*1000*AC$4*AC216+CEG_Assets!$P$8*(1+CEG_Assets!$Q$8)^(AC$3-2026)*(AC218+AC219))/1000000+IF(AC$3=CEG_Assets!$AH$8,CEG_Assets!$AG$8,0))*(1+CEG_CapexAdj)</f>
        <v>0</v>
      </c>
      <c r="AD232" s="8" t="n">
        <f aca="false">((CEG_Assets!$S$8*CEG_Assets!$D$8*1000*AD$4*AD216+CEG_Assets!$P$8*(1+CEG_Assets!$Q$8)^(AD$3-2026)*(AD218+AD219))/1000000+IF(AD$3=CEG_Assets!$AH$8,CEG_Assets!$AG$8,0))*(1+CEG_CapexAdj)</f>
        <v>0</v>
      </c>
      <c r="AE232" s="8" t="n">
        <f aca="false">((CEG_Assets!$S$8*CEG_Assets!$D$8*1000*AE$4*AE216+CEG_Assets!$P$8*(1+CEG_Assets!$Q$8)^(AE$3-2026)*(AE218+AE219))/1000000+IF(AE$3=CEG_Assets!$AH$8,CEG_Assets!$AG$8,0))*(1+CEG_CapexAdj)</f>
        <v>0</v>
      </c>
      <c r="AF232" s="8" t="n">
        <f aca="false">((CEG_Assets!$S$8*CEG_Assets!$D$8*1000*AF$4*AF216+CEG_Assets!$P$8*(1+CEG_Assets!$Q$8)^(AF$3-2026)*(AF218+AF219))/1000000+IF(AF$3=CEG_Assets!$AH$8,CEG_Assets!$AG$8,0))*(1+CEG_CapexAdj)</f>
        <v>0</v>
      </c>
      <c r="AG232" s="8" t="n">
        <f aca="false">((CEG_Assets!$S$8*CEG_Assets!$D$8*1000*AG$4*AG216+CEG_Assets!$P$8*(1+CEG_Assets!$Q$8)^(AG$3-2026)*(AG218+AG219))/1000000+IF(AG$3=CEG_Assets!$AH$8,CEG_Assets!$AG$8,0))*(1+CEG_CapexAdj)</f>
        <v>0</v>
      </c>
      <c r="AH232" s="8" t="n">
        <f aca="false">((CEG_Assets!$S$8*CEG_Assets!$D$8*1000*AH$4*AH216+CEG_Assets!$P$8*(1+CEG_Assets!$Q$8)^(AH$3-2026)*(AH218+AH219))/1000000+IF(AH$3=CEG_Assets!$AH$8,CEG_Assets!$AG$8,0))*(1+CEG_CapexAdj)</f>
        <v>0</v>
      </c>
      <c r="AI232" s="8" t="n">
        <f aca="false">((CEG_Assets!$S$8*CEG_Assets!$D$8*1000*AI$4*AI216+CEG_Assets!$P$8*(1+CEG_Assets!$Q$8)^(AI$3-2026)*(AI218+AI219))/1000000+IF(AI$3=CEG_Assets!$AH$8,CEG_Assets!$AG$8,0))*(1+CEG_CapexAdj)</f>
        <v>0</v>
      </c>
      <c r="AJ232" s="8" t="n">
        <f aca="false">((CEG_Assets!$S$8*CEG_Assets!$D$8*1000*AJ$4*AJ216+CEG_Assets!$P$8*(1+CEG_Assets!$Q$8)^(AJ$3-2026)*(AJ218+AJ219))/1000000+IF(AJ$3=CEG_Assets!$AH$8,CEG_Assets!$AG$8,0))*(1+CEG_CapexAdj)</f>
        <v>0</v>
      </c>
      <c r="AK232" s="8" t="n">
        <f aca="false">((CEG_Assets!$S$8*CEG_Assets!$D$8*1000*AK$4*AK216+CEG_Assets!$P$8*(1+CEG_Assets!$Q$8)^(AK$3-2026)*(AK218+AK219))/1000000+IF(AK$3=CEG_Assets!$AH$8,CEG_Assets!$AG$8,0))*(1+CEG_CapexAdj)</f>
        <v>0</v>
      </c>
      <c r="AL232" s="8" t="n">
        <f aca="false">((CEG_Assets!$S$8*CEG_Assets!$D$8*1000*AL$4*AL216+CEG_Assets!$P$8*(1+CEG_Assets!$Q$8)^(AL$3-2026)*(AL218+AL219))/1000000+IF(AL$3=CEG_Assets!$AH$8,CEG_Assets!$AG$8,0))*(1+CEG_CapexAdj)</f>
        <v>0</v>
      </c>
      <c r="AM232" s="8" t="n">
        <f aca="false">((CEG_Assets!$S$8*CEG_Assets!$D$8*1000*AM$4*AM216+CEG_Assets!$P$8*(1+CEG_Assets!$Q$8)^(AM$3-2026)*(AM218+AM219))/1000000+IF(AM$3=CEG_Assets!$AH$8,CEG_Assets!$AG$8,0))*(1+CEG_CapexAdj)</f>
        <v>0</v>
      </c>
      <c r="AN232" s="8" t="n">
        <f aca="false">((CEG_Assets!$S$8*CEG_Assets!$D$8*1000*AN$4*AN216+CEG_Assets!$P$8*(1+CEG_Assets!$Q$8)^(AN$3-2026)*(AN218+AN219))/1000000+IF(AN$3=CEG_Assets!$AH$8,CEG_Assets!$AG$8,0))*(1+CEG_CapexAdj)</f>
        <v>0</v>
      </c>
      <c r="AO232" s="8" t="n">
        <f aca="false">((CEG_Assets!$S$8*CEG_Assets!$D$8*1000*AO$4*AO216+CEG_Assets!$P$8*(1+CEG_Assets!$Q$8)^(AO$3-2026)*(AO218+AO219))/1000000+IF(AO$3=CEG_Assets!$AH$8,CEG_Assets!$AG$8,0))*(1+CEG_CapexAdj)</f>
        <v>0</v>
      </c>
      <c r="AP232" s="8" t="n">
        <f aca="false">((CEG_Assets!$S$8*CEG_Assets!$D$8*1000*AP$4*AP216+CEG_Assets!$P$8*(1+CEG_Assets!$Q$8)^(AP$3-2026)*(AP218+AP219))/1000000+IF(AP$3=CEG_Assets!$AH$8,CEG_Assets!$AG$8,0))*(1+CEG_CapexAdj)</f>
        <v>0</v>
      </c>
      <c r="AQ232" s="8" t="n">
        <f aca="false">((CEG_Assets!$S$8*CEG_Assets!$D$8*1000*AQ$4*AQ216+CEG_Assets!$P$8*(1+CEG_Assets!$Q$8)^(AQ$3-2026)*(AQ218+AQ219))/1000000+IF(AQ$3=CEG_Assets!$AH$8,CEG_Assets!$AG$8,0))*(1+CEG_CapexAdj)</f>
        <v>0</v>
      </c>
      <c r="AR232" s="8" t="n">
        <f aca="false">((CEG_Assets!$S$8*CEG_Assets!$D$8*1000*AR$4*AR216+CEG_Assets!$P$8*(1+CEG_Assets!$Q$8)^(AR$3-2026)*(AR218+AR219))/1000000+IF(AR$3=CEG_Assets!$AH$8,CEG_Assets!$AG$8,0))*(1+CEG_CapexAdj)</f>
        <v>0</v>
      </c>
      <c r="AS232" s="8" t="n">
        <f aca="false">((CEG_Assets!$S$8*CEG_Assets!$D$8*1000*AS$4*AS216+CEG_Assets!$P$8*(1+CEG_Assets!$Q$8)^(AS$3-2026)*(AS218+AS219))/1000000+IF(AS$3=CEG_Assets!$AH$8,CEG_Assets!$AG$8,0))*(1+CEG_CapexAdj)</f>
        <v>0</v>
      </c>
    </row>
    <row r="233" customFormat="false" ht="15" hidden="false" customHeight="false" outlineLevel="0" collapsed="false">
      <c r="A233" s="6" t="s">
        <v>459</v>
      </c>
      <c r="B233" s="6" t="s">
        <v>460</v>
      </c>
      <c r="C233" s="9" t="n">
        <f aca="false">SUM(G233:AS233)</f>
        <v>10313.0126649947</v>
      </c>
      <c r="G233" s="8" t="n">
        <f aca="false">IF(CEG_Assets!$Y$8=1,MAX(0,G231-G232),G231-G232)</f>
        <v>341.41503386</v>
      </c>
      <c r="H233" s="8" t="n">
        <f aca="false">IF(CEG_Assets!$Y$8=1,MAX(0,H231-H232),H231-H232)</f>
        <v>342.49765372</v>
      </c>
      <c r="I233" s="8" t="n">
        <f aca="false">IF(CEG_Assets!$Y$8=1,MAX(0,I231-I232),I231-I232)</f>
        <v>297.245578603111</v>
      </c>
      <c r="J233" s="8" t="n">
        <f aca="false">IF(CEG_Assets!$Y$8=1,MAX(0,J231-J232),J231-J232)</f>
        <v>277.148897539329</v>
      </c>
      <c r="K233" s="8" t="n">
        <f aca="false">IF(CEG_Assets!$Y$8=1,MAX(0,K231-K232),K231-K232)</f>
        <v>282.691875490115</v>
      </c>
      <c r="L233" s="8" t="n">
        <f aca="false">IF(CEG_Assets!$Y$8=1,MAX(0,L231-L232),L231-L232)</f>
        <v>288.345712999918</v>
      </c>
      <c r="M233" s="8" t="n">
        <f aca="false">IF(CEG_Assets!$Y$8=1,MAX(0,M231-M232),M231-M232)</f>
        <v>294.112627259916</v>
      </c>
      <c r="N233" s="8" t="n">
        <f aca="false">IF(CEG_Assets!$Y$8=1,MAX(0,N231-N232),N231-N232)</f>
        <v>299.994879805114</v>
      </c>
      <c r="O233" s="8" t="n">
        <f aca="false">IF(CEG_Assets!$Y$8=1,MAX(0,O231-O232),O231-O232)</f>
        <v>305.994777401217</v>
      </c>
      <c r="P233" s="8" t="n">
        <f aca="false">IF(CEG_Assets!$Y$8=1,MAX(0,P231-P232),P231-P232)</f>
        <v>312.114672949241</v>
      </c>
      <c r="Q233" s="8" t="n">
        <f aca="false">IF(CEG_Assets!$Y$8=1,MAX(0,Q231-Q232),Q231-Q232)</f>
        <v>318.356966408226</v>
      </c>
      <c r="R233" s="8" t="n">
        <f aca="false">IF(CEG_Assets!$Y$8=1,MAX(0,R231-R232),R231-R232)</f>
        <v>324.72410573639</v>
      </c>
      <c r="S233" s="8" t="n">
        <f aca="false">IF(CEG_Assets!$Y$8=1,MAX(0,S231-S232),S231-S232)</f>
        <v>331.218587851118</v>
      </c>
      <c r="T233" s="8" t="n">
        <f aca="false">IF(CEG_Assets!$Y$8=1,MAX(0,T231-T232),T231-T232)</f>
        <v>337.842959608141</v>
      </c>
      <c r="U233" s="8" t="n">
        <f aca="false">IF(CEG_Assets!$Y$8=1,MAX(0,U231-U232),U231-U232)</f>
        <v>344.599818800303</v>
      </c>
      <c r="V233" s="8" t="n">
        <f aca="false">IF(CEG_Assets!$Y$8=1,MAX(0,V231-V232),V231-V232)</f>
        <v>351.49181517631</v>
      </c>
      <c r="W233" s="8" t="n">
        <f aca="false">IF(CEG_Assets!$Y$8=1,MAX(0,W231-W232),W231-W232)</f>
        <v>358.521651479836</v>
      </c>
      <c r="X233" s="8" t="n">
        <f aca="false">IF(CEG_Assets!$Y$8=1,MAX(0,X231-X232),X231-X232)</f>
        <v>365.692084509432</v>
      </c>
      <c r="Y233" s="8" t="n">
        <f aca="false">IF(CEG_Assets!$Y$8=1,MAX(0,Y231-Y232),Y231-Y232)</f>
        <v>373.005926199621</v>
      </c>
      <c r="Z233" s="8" t="n">
        <f aca="false">IF(CEG_Assets!$Y$8=1,MAX(0,Z231-Z232),Z231-Z232)</f>
        <v>380.466044723614</v>
      </c>
      <c r="AA233" s="8" t="n">
        <f aca="false">IF(CEG_Assets!$Y$8=1,MAX(0,AA231-AA232),AA231-AA232)</f>
        <v>388.075365618086</v>
      </c>
      <c r="AB233" s="8" t="n">
        <f aca="false">IF(CEG_Assets!$Y$8=1,MAX(0,AB231-AB232),AB231-AB232)</f>
        <v>395.836872930448</v>
      </c>
      <c r="AC233" s="8" t="n">
        <f aca="false">IF(CEG_Assets!$Y$8=1,MAX(0,AC231-AC232),AC231-AC232)</f>
        <v>403.753610389056</v>
      </c>
      <c r="AD233" s="8" t="n">
        <f aca="false">IF(CEG_Assets!$Y$8=1,MAX(0,AD231-AD232),AD231-AD232)</f>
        <v>411.828682596838</v>
      </c>
      <c r="AE233" s="8" t="n">
        <f aca="false">IF(CEG_Assets!$Y$8=1,MAX(0,AE231-AE232),AE231-AE232)</f>
        <v>420.065256248774</v>
      </c>
      <c r="AF233" s="8" t="n">
        <f aca="false">IF(CEG_Assets!$Y$8=1,MAX(0,AF231-AF232),AF231-AF232)</f>
        <v>428.46656137375</v>
      </c>
      <c r="AG233" s="8" t="n">
        <f aca="false">IF(CEG_Assets!$Y$8=1,MAX(0,AG231-AG232),AG231-AG232)</f>
        <v>437.035892601225</v>
      </c>
      <c r="AH233" s="8" t="n">
        <f aca="false">IF(CEG_Assets!$Y$8=1,MAX(0,AH231-AH232),AH231-AH232)</f>
        <v>445.776610453249</v>
      </c>
      <c r="AI233" s="8" t="n">
        <f aca="false">IF(CEG_Assets!$Y$8=1,MAX(0,AI231-AI232),AI231-AI232)</f>
        <v>454.692142662314</v>
      </c>
      <c r="AJ233" s="8" t="n">
        <f aca="false">IF(CEG_Assets!$Y$8=1,MAX(0,AJ231-AJ232),AJ231-AJ232)</f>
        <v>0</v>
      </c>
      <c r="AK233" s="8" t="n">
        <f aca="false">IF(CEG_Assets!$Y$8=1,MAX(0,AK231-AK232),AK231-AK232)</f>
        <v>0</v>
      </c>
      <c r="AL233" s="8" t="n">
        <f aca="false">IF(CEG_Assets!$Y$8=1,MAX(0,AL231-AL232),AL231-AL232)</f>
        <v>0</v>
      </c>
      <c r="AM233" s="8" t="n">
        <f aca="false">IF(CEG_Assets!$Y$8=1,MAX(0,AM231-AM232),AM231-AM232)</f>
        <v>0</v>
      </c>
      <c r="AN233" s="8" t="n">
        <f aca="false">IF(CEG_Assets!$Y$8=1,MAX(0,AN231-AN232),AN231-AN232)</f>
        <v>0</v>
      </c>
      <c r="AO233" s="8" t="n">
        <f aca="false">IF(CEG_Assets!$Y$8=1,MAX(0,AO231-AO232),AO231-AO232)</f>
        <v>0</v>
      </c>
      <c r="AP233" s="8" t="n">
        <f aca="false">IF(CEG_Assets!$Y$8=1,MAX(0,AP231-AP232),AP231-AP232)</f>
        <v>0</v>
      </c>
      <c r="AQ233" s="8" t="n">
        <f aca="false">IF(CEG_Assets!$Y$8=1,MAX(0,AQ231-AQ232),AQ231-AQ232)</f>
        <v>0</v>
      </c>
      <c r="AR233" s="8" t="n">
        <f aca="false">IF(CEG_Assets!$Y$8=1,MAX(0,AR231-AR232),AR231-AR232)</f>
        <v>0</v>
      </c>
      <c r="AS233" s="8" t="n">
        <f aca="false">IF(CEG_Assets!$Y$8=1,MAX(0,AS231-AS232),AS231-AS232)</f>
        <v>0</v>
      </c>
    </row>
    <row r="234" customFormat="false" ht="15" hidden="false" customHeight="false" outlineLevel="0" collapsed="false">
      <c r="A234" s="6" t="s">
        <v>461</v>
      </c>
      <c r="B234" s="6" t="s">
        <v>462</v>
      </c>
      <c r="C234" s="9" t="n">
        <f aca="false">SUM(G234:AS234)</f>
        <v>0</v>
      </c>
      <c r="G234" s="8" t="n">
        <f aca="false">IF(AND(CEG_Assets!$W$8=1,G$3&lt;=PTCLast,G218&gt;0),G218*MAX(0,PTCCredit*(1+Infl)^(G$3-PTCBase)-0.8*MAX(0,(G223+G224+G226)*1000000/MAX(1,G218)-PTCThresh*(1+Infl)^(G$3-PTCBase)))/1000000,0)</f>
        <v>0</v>
      </c>
      <c r="H234" s="8" t="n">
        <f aca="false">IF(AND(CEG_Assets!$W$8=1,H$3&lt;=PTCLast,H218&gt;0),H218*MAX(0,PTCCredit*(1+Infl)^(H$3-PTCBase)-0.8*MAX(0,(H223+H224+H226)*1000000/MAX(1,H218)-PTCThresh*(1+Infl)^(H$3-PTCBase)))/1000000,0)</f>
        <v>0</v>
      </c>
      <c r="I234" s="8" t="n">
        <f aca="false">IF(AND(CEG_Assets!$W$8=1,I$3&lt;=PTCLast,I218&gt;0),I218*MAX(0,PTCCredit*(1+Infl)^(I$3-PTCBase)-0.8*MAX(0,(I223+I224+I226)*1000000/MAX(1,I218)-PTCThresh*(1+Infl)^(I$3-PTCBase)))/1000000,0)</f>
        <v>0</v>
      </c>
      <c r="J234" s="8" t="n">
        <f aca="false">IF(AND(CEG_Assets!$W$8=1,J$3&lt;=PTCLast,J218&gt;0),J218*MAX(0,PTCCredit*(1+Infl)^(J$3-PTCBase)-0.8*MAX(0,(J223+J224+J226)*1000000/MAX(1,J218)-PTCThresh*(1+Infl)^(J$3-PTCBase)))/1000000,0)</f>
        <v>0</v>
      </c>
      <c r="K234" s="8" t="n">
        <f aca="false">IF(AND(CEG_Assets!$W$8=1,K$3&lt;=PTCLast,K218&gt;0),K218*MAX(0,PTCCredit*(1+Infl)^(K$3-PTCBase)-0.8*MAX(0,(K223+K224+K226)*1000000/MAX(1,K218)-PTCThresh*(1+Infl)^(K$3-PTCBase)))/1000000,0)</f>
        <v>0</v>
      </c>
      <c r="L234" s="8" t="n">
        <f aca="false">IF(AND(CEG_Assets!$W$8=1,L$3&lt;=PTCLast,L218&gt;0),L218*MAX(0,PTCCredit*(1+Infl)^(L$3-PTCBase)-0.8*MAX(0,(L223+L224+L226)*1000000/MAX(1,L218)-PTCThresh*(1+Infl)^(L$3-PTCBase)))/1000000,0)</f>
        <v>0</v>
      </c>
      <c r="M234" s="8" t="n">
        <f aca="false">IF(AND(CEG_Assets!$W$8=1,M$3&lt;=PTCLast,M218&gt;0),M218*MAX(0,PTCCredit*(1+Infl)^(M$3-PTCBase)-0.8*MAX(0,(M223+M224+M226)*1000000/MAX(1,M218)-PTCThresh*(1+Infl)^(M$3-PTCBase)))/1000000,0)</f>
        <v>0</v>
      </c>
      <c r="N234" s="8" t="n">
        <f aca="false">IF(AND(CEG_Assets!$W$8=1,N$3&lt;=PTCLast,N218&gt;0),N218*MAX(0,PTCCredit*(1+Infl)^(N$3-PTCBase)-0.8*MAX(0,(N223+N224+N226)*1000000/MAX(1,N218)-PTCThresh*(1+Infl)^(N$3-PTCBase)))/1000000,0)</f>
        <v>0</v>
      </c>
      <c r="O234" s="8" t="n">
        <f aca="false">IF(AND(CEG_Assets!$W$8=1,O$3&lt;=PTCLast,O218&gt;0),O218*MAX(0,PTCCredit*(1+Infl)^(O$3-PTCBase)-0.8*MAX(0,(O223+O224+O226)*1000000/MAX(1,O218)-PTCThresh*(1+Infl)^(O$3-PTCBase)))/1000000,0)</f>
        <v>0</v>
      </c>
      <c r="P234" s="8" t="n">
        <f aca="false">IF(AND(CEG_Assets!$W$8=1,P$3&lt;=PTCLast,P218&gt;0),P218*MAX(0,PTCCredit*(1+Infl)^(P$3-PTCBase)-0.8*MAX(0,(P223+P224+P226)*1000000/MAX(1,P218)-PTCThresh*(1+Infl)^(P$3-PTCBase)))/1000000,0)</f>
        <v>0</v>
      </c>
      <c r="Q234" s="8" t="n">
        <f aca="false">IF(AND(CEG_Assets!$W$8=1,Q$3&lt;=PTCLast,Q218&gt;0),Q218*MAX(0,PTCCredit*(1+Infl)^(Q$3-PTCBase)-0.8*MAX(0,(Q223+Q224+Q226)*1000000/MAX(1,Q218)-PTCThresh*(1+Infl)^(Q$3-PTCBase)))/1000000,0)</f>
        <v>0</v>
      </c>
      <c r="R234" s="8" t="n">
        <f aca="false">IF(AND(CEG_Assets!$W$8=1,R$3&lt;=PTCLast,R218&gt;0),R218*MAX(0,PTCCredit*(1+Infl)^(R$3-PTCBase)-0.8*MAX(0,(R223+R224+R226)*1000000/MAX(1,R218)-PTCThresh*(1+Infl)^(R$3-PTCBase)))/1000000,0)</f>
        <v>0</v>
      </c>
      <c r="S234" s="8" t="n">
        <f aca="false">IF(AND(CEG_Assets!$W$8=1,S$3&lt;=PTCLast,S218&gt;0),S218*MAX(0,PTCCredit*(1+Infl)^(S$3-PTCBase)-0.8*MAX(0,(S223+S224+S226)*1000000/MAX(1,S218)-PTCThresh*(1+Infl)^(S$3-PTCBase)))/1000000,0)</f>
        <v>0</v>
      </c>
      <c r="T234" s="8" t="n">
        <f aca="false">IF(AND(CEG_Assets!$W$8=1,T$3&lt;=PTCLast,T218&gt;0),T218*MAX(0,PTCCredit*(1+Infl)^(T$3-PTCBase)-0.8*MAX(0,(T223+T224+T226)*1000000/MAX(1,T218)-PTCThresh*(1+Infl)^(T$3-PTCBase)))/1000000,0)</f>
        <v>0</v>
      </c>
      <c r="U234" s="8" t="n">
        <f aca="false">IF(AND(CEG_Assets!$W$8=1,U$3&lt;=PTCLast,U218&gt;0),U218*MAX(0,PTCCredit*(1+Infl)^(U$3-PTCBase)-0.8*MAX(0,(U223+U224+U226)*1000000/MAX(1,U218)-PTCThresh*(1+Infl)^(U$3-PTCBase)))/1000000,0)</f>
        <v>0</v>
      </c>
      <c r="V234" s="8" t="n">
        <f aca="false">IF(AND(CEG_Assets!$W$8=1,V$3&lt;=PTCLast,V218&gt;0),V218*MAX(0,PTCCredit*(1+Infl)^(V$3-PTCBase)-0.8*MAX(0,(V223+V224+V226)*1000000/MAX(1,V218)-PTCThresh*(1+Infl)^(V$3-PTCBase)))/1000000,0)</f>
        <v>0</v>
      </c>
      <c r="W234" s="8" t="n">
        <f aca="false">IF(AND(CEG_Assets!$W$8=1,W$3&lt;=PTCLast,W218&gt;0),W218*MAX(0,PTCCredit*(1+Infl)^(W$3-PTCBase)-0.8*MAX(0,(W223+W224+W226)*1000000/MAX(1,W218)-PTCThresh*(1+Infl)^(W$3-PTCBase)))/1000000,0)</f>
        <v>0</v>
      </c>
      <c r="X234" s="8" t="n">
        <f aca="false">IF(AND(CEG_Assets!$W$8=1,X$3&lt;=PTCLast,X218&gt;0),X218*MAX(0,PTCCredit*(1+Infl)^(X$3-PTCBase)-0.8*MAX(0,(X223+X224+X226)*1000000/MAX(1,X218)-PTCThresh*(1+Infl)^(X$3-PTCBase)))/1000000,0)</f>
        <v>0</v>
      </c>
      <c r="Y234" s="8" t="n">
        <f aca="false">IF(AND(CEG_Assets!$W$8=1,Y$3&lt;=PTCLast,Y218&gt;0),Y218*MAX(0,PTCCredit*(1+Infl)^(Y$3-PTCBase)-0.8*MAX(0,(Y223+Y224+Y226)*1000000/MAX(1,Y218)-PTCThresh*(1+Infl)^(Y$3-PTCBase)))/1000000,0)</f>
        <v>0</v>
      </c>
      <c r="Z234" s="8" t="n">
        <f aca="false">IF(AND(CEG_Assets!$W$8=1,Z$3&lt;=PTCLast,Z218&gt;0),Z218*MAX(0,PTCCredit*(1+Infl)^(Z$3-PTCBase)-0.8*MAX(0,(Z223+Z224+Z226)*1000000/MAX(1,Z218)-PTCThresh*(1+Infl)^(Z$3-PTCBase)))/1000000,0)</f>
        <v>0</v>
      </c>
      <c r="AA234" s="8" t="n">
        <f aca="false">IF(AND(CEG_Assets!$W$8=1,AA$3&lt;=PTCLast,AA218&gt;0),AA218*MAX(0,PTCCredit*(1+Infl)^(AA$3-PTCBase)-0.8*MAX(0,(AA223+AA224+AA226)*1000000/MAX(1,AA218)-PTCThresh*(1+Infl)^(AA$3-PTCBase)))/1000000,0)</f>
        <v>0</v>
      </c>
      <c r="AB234" s="8" t="n">
        <f aca="false">IF(AND(CEG_Assets!$W$8=1,AB$3&lt;=PTCLast,AB218&gt;0),AB218*MAX(0,PTCCredit*(1+Infl)^(AB$3-PTCBase)-0.8*MAX(0,(AB223+AB224+AB226)*1000000/MAX(1,AB218)-PTCThresh*(1+Infl)^(AB$3-PTCBase)))/1000000,0)</f>
        <v>0</v>
      </c>
      <c r="AC234" s="8" t="n">
        <f aca="false">IF(AND(CEG_Assets!$W$8=1,AC$3&lt;=PTCLast,AC218&gt;0),AC218*MAX(0,PTCCredit*(1+Infl)^(AC$3-PTCBase)-0.8*MAX(0,(AC223+AC224+AC226)*1000000/MAX(1,AC218)-PTCThresh*(1+Infl)^(AC$3-PTCBase)))/1000000,0)</f>
        <v>0</v>
      </c>
      <c r="AD234" s="8" t="n">
        <f aca="false">IF(AND(CEG_Assets!$W$8=1,AD$3&lt;=PTCLast,AD218&gt;0),AD218*MAX(0,PTCCredit*(1+Infl)^(AD$3-PTCBase)-0.8*MAX(0,(AD223+AD224+AD226)*1000000/MAX(1,AD218)-PTCThresh*(1+Infl)^(AD$3-PTCBase)))/1000000,0)</f>
        <v>0</v>
      </c>
      <c r="AE234" s="8" t="n">
        <f aca="false">IF(AND(CEG_Assets!$W$8=1,AE$3&lt;=PTCLast,AE218&gt;0),AE218*MAX(0,PTCCredit*(1+Infl)^(AE$3-PTCBase)-0.8*MAX(0,(AE223+AE224+AE226)*1000000/MAX(1,AE218)-PTCThresh*(1+Infl)^(AE$3-PTCBase)))/1000000,0)</f>
        <v>0</v>
      </c>
      <c r="AF234" s="8" t="n">
        <f aca="false">IF(AND(CEG_Assets!$W$8=1,AF$3&lt;=PTCLast,AF218&gt;0),AF218*MAX(0,PTCCredit*(1+Infl)^(AF$3-PTCBase)-0.8*MAX(0,(AF223+AF224+AF226)*1000000/MAX(1,AF218)-PTCThresh*(1+Infl)^(AF$3-PTCBase)))/1000000,0)</f>
        <v>0</v>
      </c>
      <c r="AG234" s="8" t="n">
        <f aca="false">IF(AND(CEG_Assets!$W$8=1,AG$3&lt;=PTCLast,AG218&gt;0),AG218*MAX(0,PTCCredit*(1+Infl)^(AG$3-PTCBase)-0.8*MAX(0,(AG223+AG224+AG226)*1000000/MAX(1,AG218)-PTCThresh*(1+Infl)^(AG$3-PTCBase)))/1000000,0)</f>
        <v>0</v>
      </c>
      <c r="AH234" s="8" t="n">
        <f aca="false">IF(AND(CEG_Assets!$W$8=1,AH$3&lt;=PTCLast,AH218&gt;0),AH218*MAX(0,PTCCredit*(1+Infl)^(AH$3-PTCBase)-0.8*MAX(0,(AH223+AH224+AH226)*1000000/MAX(1,AH218)-PTCThresh*(1+Infl)^(AH$3-PTCBase)))/1000000,0)</f>
        <v>0</v>
      </c>
      <c r="AI234" s="8" t="n">
        <f aca="false">IF(AND(CEG_Assets!$W$8=1,AI$3&lt;=PTCLast,AI218&gt;0),AI218*MAX(0,PTCCredit*(1+Infl)^(AI$3-PTCBase)-0.8*MAX(0,(AI223+AI224+AI226)*1000000/MAX(1,AI218)-PTCThresh*(1+Infl)^(AI$3-PTCBase)))/1000000,0)</f>
        <v>0</v>
      </c>
      <c r="AJ234" s="8" t="n">
        <f aca="false">IF(AND(CEG_Assets!$W$8=1,AJ$3&lt;=PTCLast,AJ218&gt;0),AJ218*MAX(0,PTCCredit*(1+Infl)^(AJ$3-PTCBase)-0.8*MAX(0,(AJ223+AJ224+AJ226)*1000000/MAX(1,AJ218)-PTCThresh*(1+Infl)^(AJ$3-PTCBase)))/1000000,0)</f>
        <v>0</v>
      </c>
      <c r="AK234" s="8" t="n">
        <f aca="false">IF(AND(CEG_Assets!$W$8=1,AK$3&lt;=PTCLast,AK218&gt;0),AK218*MAX(0,PTCCredit*(1+Infl)^(AK$3-PTCBase)-0.8*MAX(0,(AK223+AK224+AK226)*1000000/MAX(1,AK218)-PTCThresh*(1+Infl)^(AK$3-PTCBase)))/1000000,0)</f>
        <v>0</v>
      </c>
      <c r="AL234" s="8" t="n">
        <f aca="false">IF(AND(CEG_Assets!$W$8=1,AL$3&lt;=PTCLast,AL218&gt;0),AL218*MAX(0,PTCCredit*(1+Infl)^(AL$3-PTCBase)-0.8*MAX(0,(AL223+AL224+AL226)*1000000/MAX(1,AL218)-PTCThresh*(1+Infl)^(AL$3-PTCBase)))/1000000,0)</f>
        <v>0</v>
      </c>
      <c r="AM234" s="8" t="n">
        <f aca="false">IF(AND(CEG_Assets!$W$8=1,AM$3&lt;=PTCLast,AM218&gt;0),AM218*MAX(0,PTCCredit*(1+Infl)^(AM$3-PTCBase)-0.8*MAX(0,(AM223+AM224+AM226)*1000000/MAX(1,AM218)-PTCThresh*(1+Infl)^(AM$3-PTCBase)))/1000000,0)</f>
        <v>0</v>
      </c>
      <c r="AN234" s="8" t="n">
        <f aca="false">IF(AND(CEG_Assets!$W$8=1,AN$3&lt;=PTCLast,AN218&gt;0),AN218*MAX(0,PTCCredit*(1+Infl)^(AN$3-PTCBase)-0.8*MAX(0,(AN223+AN224+AN226)*1000000/MAX(1,AN218)-PTCThresh*(1+Infl)^(AN$3-PTCBase)))/1000000,0)</f>
        <v>0</v>
      </c>
      <c r="AO234" s="8" t="n">
        <f aca="false">IF(AND(CEG_Assets!$W$8=1,AO$3&lt;=PTCLast,AO218&gt;0),AO218*MAX(0,PTCCredit*(1+Infl)^(AO$3-PTCBase)-0.8*MAX(0,(AO223+AO224+AO226)*1000000/MAX(1,AO218)-PTCThresh*(1+Infl)^(AO$3-PTCBase)))/1000000,0)</f>
        <v>0</v>
      </c>
      <c r="AP234" s="8" t="n">
        <f aca="false">IF(AND(CEG_Assets!$W$8=1,AP$3&lt;=PTCLast,AP218&gt;0),AP218*MAX(0,PTCCredit*(1+Infl)^(AP$3-PTCBase)-0.8*MAX(0,(AP223+AP224+AP226)*1000000/MAX(1,AP218)-PTCThresh*(1+Infl)^(AP$3-PTCBase)))/1000000,0)</f>
        <v>0</v>
      </c>
      <c r="AQ234" s="8" t="n">
        <f aca="false">IF(AND(CEG_Assets!$W$8=1,AQ$3&lt;=PTCLast,AQ218&gt;0),AQ218*MAX(0,PTCCredit*(1+Infl)^(AQ$3-PTCBase)-0.8*MAX(0,(AQ223+AQ224+AQ226)*1000000/MAX(1,AQ218)-PTCThresh*(1+Infl)^(AQ$3-PTCBase)))/1000000,0)</f>
        <v>0</v>
      </c>
      <c r="AR234" s="8" t="n">
        <f aca="false">IF(AND(CEG_Assets!$W$8=1,AR$3&lt;=PTCLast,AR218&gt;0),AR218*MAX(0,PTCCredit*(1+Infl)^(AR$3-PTCBase)-0.8*MAX(0,(AR223+AR224+AR226)*1000000/MAX(1,AR218)-PTCThresh*(1+Infl)^(AR$3-PTCBase)))/1000000,0)</f>
        <v>0</v>
      </c>
      <c r="AS234" s="8" t="n">
        <f aca="false">IF(AND(CEG_Assets!$W$8=1,AS$3&lt;=PTCLast,AS218&gt;0),AS218*MAX(0,PTCCredit*(1+Infl)^(AS$3-PTCBase)-0.8*MAX(0,(AS223+AS224+AS226)*1000000/MAX(1,AS218)-PTCThresh*(1+Infl)^(AS$3-PTCBase)))/1000000,0)</f>
        <v>0</v>
      </c>
    </row>
    <row r="235" customFormat="false" ht="15" hidden="false" customHeight="false" outlineLevel="0" collapsed="false">
      <c r="A235" s="6" t="s">
        <v>463</v>
      </c>
      <c r="B235" s="6" t="s">
        <v>464</v>
      </c>
      <c r="G235" s="8" t="n">
        <f aca="false">G225-G219*(CEG_Assets!$N$8*(1+CEG_FuelAdj)+CEG_Assets!$O$8*(1+CEG_OMAdj)+CEG_Assets!$P$8*(1+CEG_CapexAdj))*(1+CEG_Assets!$Q$8)^(G$3-2026)/1000000</f>
        <v>0</v>
      </c>
      <c r="H235" s="8" t="n">
        <f aca="false">H225-H219*(CEG_Assets!$N$8*(1+CEG_FuelAdj)+CEG_Assets!$O$8*(1+CEG_OMAdj)+CEG_Assets!$P$8*(1+CEG_CapexAdj))*(1+CEG_Assets!$Q$8)^(H$3-2026)/1000000</f>
        <v>0</v>
      </c>
      <c r="I235" s="8" t="n">
        <f aca="false">I225-I219*(CEG_Assets!$N$8*(1+CEG_FuelAdj)+CEG_Assets!$O$8*(1+CEG_OMAdj)+CEG_Assets!$P$8*(1+CEG_CapexAdj))*(1+CEG_Assets!$Q$8)^(I$3-2026)/1000000</f>
        <v>0</v>
      </c>
      <c r="J235" s="8" t="n">
        <f aca="false">J225-J219*(CEG_Assets!$N$8*(1+CEG_FuelAdj)+CEG_Assets!$O$8*(1+CEG_OMAdj)+CEG_Assets!$P$8*(1+CEG_CapexAdj))*(1+CEG_Assets!$Q$8)^(J$3-2026)/1000000</f>
        <v>0</v>
      </c>
      <c r="K235" s="8" t="n">
        <f aca="false">K225-K219*(CEG_Assets!$N$8*(1+CEG_FuelAdj)+CEG_Assets!$O$8*(1+CEG_OMAdj)+CEG_Assets!$P$8*(1+CEG_CapexAdj))*(1+CEG_Assets!$Q$8)^(K$3-2026)/1000000</f>
        <v>0</v>
      </c>
      <c r="L235" s="8" t="n">
        <f aca="false">L225-L219*(CEG_Assets!$N$8*(1+CEG_FuelAdj)+CEG_Assets!$O$8*(1+CEG_OMAdj)+CEG_Assets!$P$8*(1+CEG_CapexAdj))*(1+CEG_Assets!$Q$8)^(L$3-2026)/1000000</f>
        <v>0</v>
      </c>
      <c r="M235" s="8" t="n">
        <f aca="false">M225-M219*(CEG_Assets!$N$8*(1+CEG_FuelAdj)+CEG_Assets!$O$8*(1+CEG_OMAdj)+CEG_Assets!$P$8*(1+CEG_CapexAdj))*(1+CEG_Assets!$Q$8)^(M$3-2026)/1000000</f>
        <v>0</v>
      </c>
      <c r="N235" s="8" t="n">
        <f aca="false">N225-N219*(CEG_Assets!$N$8*(1+CEG_FuelAdj)+CEG_Assets!$O$8*(1+CEG_OMAdj)+CEG_Assets!$P$8*(1+CEG_CapexAdj))*(1+CEG_Assets!$Q$8)^(N$3-2026)/1000000</f>
        <v>0</v>
      </c>
      <c r="O235" s="8" t="n">
        <f aca="false">O225-O219*(CEG_Assets!$N$8*(1+CEG_FuelAdj)+CEG_Assets!$O$8*(1+CEG_OMAdj)+CEG_Assets!$P$8*(1+CEG_CapexAdj))*(1+CEG_Assets!$Q$8)^(O$3-2026)/1000000</f>
        <v>0</v>
      </c>
      <c r="P235" s="8" t="n">
        <f aca="false">P225-P219*(CEG_Assets!$N$8*(1+CEG_FuelAdj)+CEG_Assets!$O$8*(1+CEG_OMAdj)+CEG_Assets!$P$8*(1+CEG_CapexAdj))*(1+CEG_Assets!$Q$8)^(P$3-2026)/1000000</f>
        <v>0</v>
      </c>
      <c r="Q235" s="8" t="n">
        <f aca="false">Q225-Q219*(CEG_Assets!$N$8*(1+CEG_FuelAdj)+CEG_Assets!$O$8*(1+CEG_OMAdj)+CEG_Assets!$P$8*(1+CEG_CapexAdj))*(1+CEG_Assets!$Q$8)^(Q$3-2026)/1000000</f>
        <v>0</v>
      </c>
      <c r="R235" s="8" t="n">
        <f aca="false">R225-R219*(CEG_Assets!$N$8*(1+CEG_FuelAdj)+CEG_Assets!$O$8*(1+CEG_OMAdj)+CEG_Assets!$P$8*(1+CEG_CapexAdj))*(1+CEG_Assets!$Q$8)^(R$3-2026)/1000000</f>
        <v>0</v>
      </c>
      <c r="S235" s="8" t="n">
        <f aca="false">S225-S219*(CEG_Assets!$N$8*(1+CEG_FuelAdj)+CEG_Assets!$O$8*(1+CEG_OMAdj)+CEG_Assets!$P$8*(1+CEG_CapexAdj))*(1+CEG_Assets!$Q$8)^(S$3-2026)/1000000</f>
        <v>0</v>
      </c>
      <c r="T235" s="8" t="n">
        <f aca="false">T225-T219*(CEG_Assets!$N$8*(1+CEG_FuelAdj)+CEG_Assets!$O$8*(1+CEG_OMAdj)+CEG_Assets!$P$8*(1+CEG_CapexAdj))*(1+CEG_Assets!$Q$8)^(T$3-2026)/1000000</f>
        <v>0</v>
      </c>
      <c r="U235" s="8" t="n">
        <f aca="false">U225-U219*(CEG_Assets!$N$8*(1+CEG_FuelAdj)+CEG_Assets!$O$8*(1+CEG_OMAdj)+CEG_Assets!$P$8*(1+CEG_CapexAdj))*(1+CEG_Assets!$Q$8)^(U$3-2026)/1000000</f>
        <v>0</v>
      </c>
      <c r="V235" s="8" t="n">
        <f aca="false">V225-V219*(CEG_Assets!$N$8*(1+CEG_FuelAdj)+CEG_Assets!$O$8*(1+CEG_OMAdj)+CEG_Assets!$P$8*(1+CEG_CapexAdj))*(1+CEG_Assets!$Q$8)^(V$3-2026)/1000000</f>
        <v>0</v>
      </c>
      <c r="W235" s="8" t="n">
        <f aca="false">W225-W219*(CEG_Assets!$N$8*(1+CEG_FuelAdj)+CEG_Assets!$O$8*(1+CEG_OMAdj)+CEG_Assets!$P$8*(1+CEG_CapexAdj))*(1+CEG_Assets!$Q$8)^(W$3-2026)/1000000</f>
        <v>0</v>
      </c>
      <c r="X235" s="8" t="n">
        <f aca="false">X225-X219*(CEG_Assets!$N$8*(1+CEG_FuelAdj)+CEG_Assets!$O$8*(1+CEG_OMAdj)+CEG_Assets!$P$8*(1+CEG_CapexAdj))*(1+CEG_Assets!$Q$8)^(X$3-2026)/1000000</f>
        <v>0</v>
      </c>
      <c r="Y235" s="8" t="n">
        <f aca="false">Y225-Y219*(CEG_Assets!$N$8*(1+CEG_FuelAdj)+CEG_Assets!$O$8*(1+CEG_OMAdj)+CEG_Assets!$P$8*(1+CEG_CapexAdj))*(1+CEG_Assets!$Q$8)^(Y$3-2026)/1000000</f>
        <v>0</v>
      </c>
      <c r="Z235" s="8" t="n">
        <f aca="false">Z225-Z219*(CEG_Assets!$N$8*(1+CEG_FuelAdj)+CEG_Assets!$O$8*(1+CEG_OMAdj)+CEG_Assets!$P$8*(1+CEG_CapexAdj))*(1+CEG_Assets!$Q$8)^(Z$3-2026)/1000000</f>
        <v>0</v>
      </c>
      <c r="AA235" s="8" t="n">
        <f aca="false">AA225-AA219*(CEG_Assets!$N$8*(1+CEG_FuelAdj)+CEG_Assets!$O$8*(1+CEG_OMAdj)+CEG_Assets!$P$8*(1+CEG_CapexAdj))*(1+CEG_Assets!$Q$8)^(AA$3-2026)/1000000</f>
        <v>0</v>
      </c>
      <c r="AB235" s="8" t="n">
        <f aca="false">AB225-AB219*(CEG_Assets!$N$8*(1+CEG_FuelAdj)+CEG_Assets!$O$8*(1+CEG_OMAdj)+CEG_Assets!$P$8*(1+CEG_CapexAdj))*(1+CEG_Assets!$Q$8)^(AB$3-2026)/1000000</f>
        <v>0</v>
      </c>
      <c r="AC235" s="8" t="n">
        <f aca="false">AC225-AC219*(CEG_Assets!$N$8*(1+CEG_FuelAdj)+CEG_Assets!$O$8*(1+CEG_OMAdj)+CEG_Assets!$P$8*(1+CEG_CapexAdj))*(1+CEG_Assets!$Q$8)^(AC$3-2026)/1000000</f>
        <v>0</v>
      </c>
      <c r="AD235" s="8" t="n">
        <f aca="false">AD225-AD219*(CEG_Assets!$N$8*(1+CEG_FuelAdj)+CEG_Assets!$O$8*(1+CEG_OMAdj)+CEG_Assets!$P$8*(1+CEG_CapexAdj))*(1+CEG_Assets!$Q$8)^(AD$3-2026)/1000000</f>
        <v>0</v>
      </c>
      <c r="AE235" s="8" t="n">
        <f aca="false">AE225-AE219*(CEG_Assets!$N$8*(1+CEG_FuelAdj)+CEG_Assets!$O$8*(1+CEG_OMAdj)+CEG_Assets!$P$8*(1+CEG_CapexAdj))*(1+CEG_Assets!$Q$8)^(AE$3-2026)/1000000</f>
        <v>0</v>
      </c>
      <c r="AF235" s="8" t="n">
        <f aca="false">AF225-AF219*(CEG_Assets!$N$8*(1+CEG_FuelAdj)+CEG_Assets!$O$8*(1+CEG_OMAdj)+CEG_Assets!$P$8*(1+CEG_CapexAdj))*(1+CEG_Assets!$Q$8)^(AF$3-2026)/1000000</f>
        <v>0</v>
      </c>
      <c r="AG235" s="8" t="n">
        <f aca="false">AG225-AG219*(CEG_Assets!$N$8*(1+CEG_FuelAdj)+CEG_Assets!$O$8*(1+CEG_OMAdj)+CEG_Assets!$P$8*(1+CEG_CapexAdj))*(1+CEG_Assets!$Q$8)^(AG$3-2026)/1000000</f>
        <v>0</v>
      </c>
      <c r="AH235" s="8" t="n">
        <f aca="false">AH225-AH219*(CEG_Assets!$N$8*(1+CEG_FuelAdj)+CEG_Assets!$O$8*(1+CEG_OMAdj)+CEG_Assets!$P$8*(1+CEG_CapexAdj))*(1+CEG_Assets!$Q$8)^(AH$3-2026)/1000000</f>
        <v>0</v>
      </c>
      <c r="AI235" s="8" t="n">
        <f aca="false">AI225-AI219*(CEG_Assets!$N$8*(1+CEG_FuelAdj)+CEG_Assets!$O$8*(1+CEG_OMAdj)+CEG_Assets!$P$8*(1+CEG_CapexAdj))*(1+CEG_Assets!$Q$8)^(AI$3-2026)/1000000</f>
        <v>0</v>
      </c>
      <c r="AJ235" s="8" t="n">
        <f aca="false">AJ225-AJ219*(CEG_Assets!$N$8*(1+CEG_FuelAdj)+CEG_Assets!$O$8*(1+CEG_OMAdj)+CEG_Assets!$P$8*(1+CEG_CapexAdj))*(1+CEG_Assets!$Q$8)^(AJ$3-2026)/1000000</f>
        <v>0</v>
      </c>
      <c r="AK235" s="8" t="n">
        <f aca="false">AK225-AK219*(CEG_Assets!$N$8*(1+CEG_FuelAdj)+CEG_Assets!$O$8*(1+CEG_OMAdj)+CEG_Assets!$P$8*(1+CEG_CapexAdj))*(1+CEG_Assets!$Q$8)^(AK$3-2026)/1000000</f>
        <v>0</v>
      </c>
      <c r="AL235" s="8" t="n">
        <f aca="false">AL225-AL219*(CEG_Assets!$N$8*(1+CEG_FuelAdj)+CEG_Assets!$O$8*(1+CEG_OMAdj)+CEG_Assets!$P$8*(1+CEG_CapexAdj))*(1+CEG_Assets!$Q$8)^(AL$3-2026)/1000000</f>
        <v>0</v>
      </c>
      <c r="AM235" s="8" t="n">
        <f aca="false">AM225-AM219*(CEG_Assets!$N$8*(1+CEG_FuelAdj)+CEG_Assets!$O$8*(1+CEG_OMAdj)+CEG_Assets!$P$8*(1+CEG_CapexAdj))*(1+CEG_Assets!$Q$8)^(AM$3-2026)/1000000</f>
        <v>0</v>
      </c>
      <c r="AN235" s="8" t="n">
        <f aca="false">AN225-AN219*(CEG_Assets!$N$8*(1+CEG_FuelAdj)+CEG_Assets!$O$8*(1+CEG_OMAdj)+CEG_Assets!$P$8*(1+CEG_CapexAdj))*(1+CEG_Assets!$Q$8)^(AN$3-2026)/1000000</f>
        <v>0</v>
      </c>
      <c r="AO235" s="8" t="n">
        <f aca="false">AO225-AO219*(CEG_Assets!$N$8*(1+CEG_FuelAdj)+CEG_Assets!$O$8*(1+CEG_OMAdj)+CEG_Assets!$P$8*(1+CEG_CapexAdj))*(1+CEG_Assets!$Q$8)^(AO$3-2026)/1000000</f>
        <v>0</v>
      </c>
      <c r="AP235" s="8" t="n">
        <f aca="false">AP225-AP219*(CEG_Assets!$N$8*(1+CEG_FuelAdj)+CEG_Assets!$O$8*(1+CEG_OMAdj)+CEG_Assets!$P$8*(1+CEG_CapexAdj))*(1+CEG_Assets!$Q$8)^(AP$3-2026)/1000000</f>
        <v>0</v>
      </c>
      <c r="AQ235" s="8" t="n">
        <f aca="false">AQ225-AQ219*(CEG_Assets!$N$8*(1+CEG_FuelAdj)+CEG_Assets!$O$8*(1+CEG_OMAdj)+CEG_Assets!$P$8*(1+CEG_CapexAdj))*(1+CEG_Assets!$Q$8)^(AQ$3-2026)/1000000</f>
        <v>0</v>
      </c>
      <c r="AR235" s="8" t="n">
        <f aca="false">AR225-AR219*(CEG_Assets!$N$8*(1+CEG_FuelAdj)+CEG_Assets!$O$8*(1+CEG_OMAdj)+CEG_Assets!$P$8*(1+CEG_CapexAdj))*(1+CEG_Assets!$Q$8)^(AR$3-2026)/1000000</f>
        <v>0</v>
      </c>
      <c r="AS235" s="8" t="n">
        <f aca="false">AS225-AS219*(CEG_Assets!$N$8*(1+CEG_FuelAdj)+CEG_Assets!$O$8*(1+CEG_OMAdj)+CEG_Assets!$P$8*(1+CEG_CapexAdj))*(1+CEG_Assets!$Q$8)^(AS$3-2026)/1000000</f>
        <v>0</v>
      </c>
    </row>
    <row r="236" customFormat="false" ht="15" hidden="false" customHeight="false" outlineLevel="0" collapsed="false">
      <c r="A236" s="6" t="s">
        <v>465</v>
      </c>
      <c r="B236" s="6" t="s">
        <v>466</v>
      </c>
      <c r="G236" s="8" t="n">
        <f aca="false">G233-G235</f>
        <v>341.41503386</v>
      </c>
      <c r="H236" s="8" t="n">
        <f aca="false">H233-H235</f>
        <v>342.49765372</v>
      </c>
      <c r="I236" s="8" t="n">
        <f aca="false">I233-I235</f>
        <v>297.245578603111</v>
      </c>
      <c r="J236" s="8" t="n">
        <f aca="false">J233-J235</f>
        <v>277.148897539329</v>
      </c>
      <c r="K236" s="8" t="n">
        <f aca="false">K233-K235</f>
        <v>282.691875490115</v>
      </c>
      <c r="L236" s="8" t="n">
        <f aca="false">L233-L235</f>
        <v>288.345712999918</v>
      </c>
      <c r="M236" s="8" t="n">
        <f aca="false">M233-M235</f>
        <v>294.112627259916</v>
      </c>
      <c r="N236" s="8" t="n">
        <f aca="false">N233-N235</f>
        <v>299.994879805114</v>
      </c>
      <c r="O236" s="8" t="n">
        <f aca="false">O233-O235</f>
        <v>305.994777401217</v>
      </c>
      <c r="P236" s="8" t="n">
        <f aca="false">P233-P235</f>
        <v>312.114672949241</v>
      </c>
      <c r="Q236" s="8" t="n">
        <f aca="false">Q233-Q235</f>
        <v>318.356966408226</v>
      </c>
      <c r="R236" s="8" t="n">
        <f aca="false">R233-R235</f>
        <v>324.72410573639</v>
      </c>
      <c r="S236" s="8" t="n">
        <f aca="false">S233-S235</f>
        <v>331.218587851118</v>
      </c>
      <c r="T236" s="8" t="n">
        <f aca="false">T233-T235</f>
        <v>337.842959608141</v>
      </c>
      <c r="U236" s="8" t="n">
        <f aca="false">U233-U235</f>
        <v>344.599818800303</v>
      </c>
      <c r="V236" s="8" t="n">
        <f aca="false">V233-V235</f>
        <v>351.49181517631</v>
      </c>
      <c r="W236" s="8" t="n">
        <f aca="false">W233-W235</f>
        <v>358.521651479836</v>
      </c>
      <c r="X236" s="8" t="n">
        <f aca="false">X233-X235</f>
        <v>365.692084509432</v>
      </c>
      <c r="Y236" s="8" t="n">
        <f aca="false">Y233-Y235</f>
        <v>373.005926199621</v>
      </c>
      <c r="Z236" s="8" t="n">
        <f aca="false">Z233-Z235</f>
        <v>380.466044723614</v>
      </c>
      <c r="AA236" s="8" t="n">
        <f aca="false">AA233-AA235</f>
        <v>388.075365618086</v>
      </c>
      <c r="AB236" s="8" t="n">
        <f aca="false">AB233-AB235</f>
        <v>395.836872930448</v>
      </c>
      <c r="AC236" s="8" t="n">
        <f aca="false">AC233-AC235</f>
        <v>403.753610389056</v>
      </c>
      <c r="AD236" s="8" t="n">
        <f aca="false">AD233-AD235</f>
        <v>411.828682596838</v>
      </c>
      <c r="AE236" s="8" t="n">
        <f aca="false">AE233-AE235</f>
        <v>420.065256248774</v>
      </c>
      <c r="AF236" s="8" t="n">
        <f aca="false">AF233-AF235</f>
        <v>428.46656137375</v>
      </c>
      <c r="AG236" s="8" t="n">
        <f aca="false">AG233-AG235</f>
        <v>437.035892601225</v>
      </c>
      <c r="AH236" s="8" t="n">
        <f aca="false">AH233-AH235</f>
        <v>445.776610453249</v>
      </c>
      <c r="AI236" s="8" t="n">
        <f aca="false">AI233-AI235</f>
        <v>454.692142662314</v>
      </c>
      <c r="AJ236" s="8" t="n">
        <f aca="false">AJ233-AJ235</f>
        <v>0</v>
      </c>
      <c r="AK236" s="8" t="n">
        <f aca="false">AK233-AK235</f>
        <v>0</v>
      </c>
      <c r="AL236" s="8" t="n">
        <f aca="false">AL233-AL235</f>
        <v>0</v>
      </c>
      <c r="AM236" s="8" t="n">
        <f aca="false">AM233-AM235</f>
        <v>0</v>
      </c>
      <c r="AN236" s="8" t="n">
        <f aca="false">AN233-AN235</f>
        <v>0</v>
      </c>
      <c r="AO236" s="8" t="n">
        <f aca="false">AO233-AO235</f>
        <v>0</v>
      </c>
      <c r="AP236" s="8" t="n">
        <f aca="false">AP233-AP235</f>
        <v>0</v>
      </c>
      <c r="AQ236" s="8" t="n">
        <f aca="false">AQ233-AQ235</f>
        <v>0</v>
      </c>
      <c r="AR236" s="8" t="n">
        <f aca="false">AR233-AR235</f>
        <v>0</v>
      </c>
      <c r="AS236" s="8" t="n">
        <f aca="false">AS233-AS235</f>
        <v>0</v>
      </c>
    </row>
    <row r="237" customFormat="false" ht="15" hidden="false" customHeight="false" outlineLevel="0" collapsed="false">
      <c r="A237" s="6" t="s">
        <v>467</v>
      </c>
      <c r="B237" s="6" t="s">
        <v>468</v>
      </c>
      <c r="G237" s="8" t="n">
        <f aca="false">G236*(1-TaxRate)+G234</f>
        <v>273.132027088</v>
      </c>
      <c r="H237" s="8" t="n">
        <f aca="false">H236*(1-TaxRate)+H234</f>
        <v>273.998122976</v>
      </c>
      <c r="I237" s="8" t="n">
        <f aca="false">I236*(1-TaxRate)+I234</f>
        <v>237.796462882489</v>
      </c>
      <c r="J237" s="8" t="n">
        <f aca="false">J236*(1-TaxRate)+J234</f>
        <v>221.719118031463</v>
      </c>
      <c r="K237" s="8" t="n">
        <f aca="false">K236*(1-TaxRate)+K234</f>
        <v>226.153500392092</v>
      </c>
      <c r="L237" s="8" t="n">
        <f aca="false">L236*(1-TaxRate)+L234</f>
        <v>230.676570399934</v>
      </c>
      <c r="M237" s="8" t="n">
        <f aca="false">M236*(1-TaxRate)+M234</f>
        <v>235.290101807933</v>
      </c>
      <c r="N237" s="8" t="n">
        <f aca="false">N236*(1-TaxRate)+N234</f>
        <v>239.995903844092</v>
      </c>
      <c r="O237" s="8" t="n">
        <f aca="false">O236*(1-TaxRate)+O234</f>
        <v>244.795821920973</v>
      </c>
      <c r="P237" s="8" t="n">
        <f aca="false">P236*(1-TaxRate)+P234</f>
        <v>249.691738359393</v>
      </c>
      <c r="Q237" s="8" t="n">
        <f aca="false">Q236*(1-TaxRate)+Q234</f>
        <v>254.685573126581</v>
      </c>
      <c r="R237" s="8" t="n">
        <f aca="false">R236*(1-TaxRate)+R234</f>
        <v>259.779284589112</v>
      </c>
      <c r="S237" s="8" t="n">
        <f aca="false">S236*(1-TaxRate)+S234</f>
        <v>264.974870280895</v>
      </c>
      <c r="T237" s="8" t="n">
        <f aca="false">T236*(1-TaxRate)+T234</f>
        <v>270.274367686512</v>
      </c>
      <c r="U237" s="8" t="n">
        <f aca="false">U236*(1-TaxRate)+U234</f>
        <v>275.679855040243</v>
      </c>
      <c r="V237" s="8" t="n">
        <f aca="false">V236*(1-TaxRate)+V234</f>
        <v>281.193452141048</v>
      </c>
      <c r="W237" s="8" t="n">
        <f aca="false">W236*(1-TaxRate)+W234</f>
        <v>286.817321183869</v>
      </c>
      <c r="X237" s="8" t="n">
        <f aca="false">X236*(1-TaxRate)+X234</f>
        <v>292.553667607546</v>
      </c>
      <c r="Y237" s="8" t="n">
        <f aca="false">Y236*(1-TaxRate)+Y234</f>
        <v>298.404740959697</v>
      </c>
      <c r="Z237" s="8" t="n">
        <f aca="false">Z236*(1-TaxRate)+Z234</f>
        <v>304.372835778891</v>
      </c>
      <c r="AA237" s="8" t="n">
        <f aca="false">AA236*(1-TaxRate)+AA234</f>
        <v>310.460292494469</v>
      </c>
      <c r="AB237" s="8" t="n">
        <f aca="false">AB236*(1-TaxRate)+AB234</f>
        <v>316.669498344358</v>
      </c>
      <c r="AC237" s="8" t="n">
        <f aca="false">AC236*(1-TaxRate)+AC234</f>
        <v>323.002888311245</v>
      </c>
      <c r="AD237" s="8" t="n">
        <f aca="false">AD236*(1-TaxRate)+AD234</f>
        <v>329.46294607747</v>
      </c>
      <c r="AE237" s="8" t="n">
        <f aca="false">AE236*(1-TaxRate)+AE234</f>
        <v>336.05220499902</v>
      </c>
      <c r="AF237" s="8" t="n">
        <f aca="false">AF236*(1-TaxRate)+AF234</f>
        <v>342.773249099</v>
      </c>
      <c r="AG237" s="8" t="n">
        <f aca="false">AG236*(1-TaxRate)+AG234</f>
        <v>349.62871408098</v>
      </c>
      <c r="AH237" s="8" t="n">
        <f aca="false">AH236*(1-TaxRate)+AH234</f>
        <v>356.6212883626</v>
      </c>
      <c r="AI237" s="8" t="n">
        <f aca="false">AI236*(1-TaxRate)+AI234</f>
        <v>363.753714129852</v>
      </c>
      <c r="AJ237" s="8" t="n">
        <f aca="false">AJ236*(1-TaxRate)+AJ234</f>
        <v>0</v>
      </c>
      <c r="AK237" s="8" t="n">
        <f aca="false">AK236*(1-TaxRate)+AK234</f>
        <v>0</v>
      </c>
      <c r="AL237" s="8" t="n">
        <f aca="false">AL236*(1-TaxRate)+AL234</f>
        <v>0</v>
      </c>
      <c r="AM237" s="8" t="n">
        <f aca="false">AM236*(1-TaxRate)+AM234</f>
        <v>0</v>
      </c>
      <c r="AN237" s="8" t="n">
        <f aca="false">AN236*(1-TaxRate)+AN234</f>
        <v>0</v>
      </c>
      <c r="AO237" s="8" t="n">
        <f aca="false">AO236*(1-TaxRate)+AO234</f>
        <v>0</v>
      </c>
      <c r="AP237" s="8" t="n">
        <f aca="false">AP236*(1-TaxRate)+AP234</f>
        <v>0</v>
      </c>
      <c r="AQ237" s="8" t="n">
        <f aca="false">AQ236*(1-TaxRate)+AQ234</f>
        <v>0</v>
      </c>
      <c r="AR237" s="8" t="n">
        <f aca="false">AR236*(1-TaxRate)+AR234</f>
        <v>0</v>
      </c>
      <c r="AS237" s="8" t="n">
        <f aca="false">AS236*(1-TaxRate)+AS234</f>
        <v>0</v>
      </c>
    </row>
    <row r="238" customFormat="false" ht="15" hidden="false" customHeight="false" outlineLevel="0" collapsed="false">
      <c r="A238" s="6" t="s">
        <v>469</v>
      </c>
      <c r="B238" s="6" t="s">
        <v>470</v>
      </c>
      <c r="G238" s="8" t="n">
        <f aca="false">G235*(1-TaxRate)</f>
        <v>0</v>
      </c>
      <c r="H238" s="8" t="n">
        <f aca="false">H235*(1-TaxRate)</f>
        <v>0</v>
      </c>
      <c r="I238" s="8" t="n">
        <f aca="false">I235*(1-TaxRate)</f>
        <v>0</v>
      </c>
      <c r="J238" s="8" t="n">
        <f aca="false">J235*(1-TaxRate)</f>
        <v>0</v>
      </c>
      <c r="K238" s="8" t="n">
        <f aca="false">K235*(1-TaxRate)</f>
        <v>0</v>
      </c>
      <c r="L238" s="8" t="n">
        <f aca="false">L235*(1-TaxRate)</f>
        <v>0</v>
      </c>
      <c r="M238" s="8" t="n">
        <f aca="false">M235*(1-TaxRate)</f>
        <v>0</v>
      </c>
      <c r="N238" s="8" t="n">
        <f aca="false">N235*(1-TaxRate)</f>
        <v>0</v>
      </c>
      <c r="O238" s="8" t="n">
        <f aca="false">O235*(1-TaxRate)</f>
        <v>0</v>
      </c>
      <c r="P238" s="8" t="n">
        <f aca="false">P235*(1-TaxRate)</f>
        <v>0</v>
      </c>
      <c r="Q238" s="8" t="n">
        <f aca="false">Q235*(1-TaxRate)</f>
        <v>0</v>
      </c>
      <c r="R238" s="8" t="n">
        <f aca="false">R235*(1-TaxRate)</f>
        <v>0</v>
      </c>
      <c r="S238" s="8" t="n">
        <f aca="false">S235*(1-TaxRate)</f>
        <v>0</v>
      </c>
      <c r="T238" s="8" t="n">
        <f aca="false">T235*(1-TaxRate)</f>
        <v>0</v>
      </c>
      <c r="U238" s="8" t="n">
        <f aca="false">U235*(1-TaxRate)</f>
        <v>0</v>
      </c>
      <c r="V238" s="8" t="n">
        <f aca="false">V235*(1-TaxRate)</f>
        <v>0</v>
      </c>
      <c r="W238" s="8" t="n">
        <f aca="false">W235*(1-TaxRate)</f>
        <v>0</v>
      </c>
      <c r="X238" s="8" t="n">
        <f aca="false">X235*(1-TaxRate)</f>
        <v>0</v>
      </c>
      <c r="Y238" s="8" t="n">
        <f aca="false">Y235*(1-TaxRate)</f>
        <v>0</v>
      </c>
      <c r="Z238" s="8" t="n">
        <f aca="false">Z235*(1-TaxRate)</f>
        <v>0</v>
      </c>
      <c r="AA238" s="8" t="n">
        <f aca="false">AA235*(1-TaxRate)</f>
        <v>0</v>
      </c>
      <c r="AB238" s="8" t="n">
        <f aca="false">AB235*(1-TaxRate)</f>
        <v>0</v>
      </c>
      <c r="AC238" s="8" t="n">
        <f aca="false">AC235*(1-TaxRate)</f>
        <v>0</v>
      </c>
      <c r="AD238" s="8" t="n">
        <f aca="false">AD235*(1-TaxRate)</f>
        <v>0</v>
      </c>
      <c r="AE238" s="8" t="n">
        <f aca="false">AE235*(1-TaxRate)</f>
        <v>0</v>
      </c>
      <c r="AF238" s="8" t="n">
        <f aca="false">AF235*(1-TaxRate)</f>
        <v>0</v>
      </c>
      <c r="AG238" s="8" t="n">
        <f aca="false">AG235*(1-TaxRate)</f>
        <v>0</v>
      </c>
      <c r="AH238" s="8" t="n">
        <f aca="false">AH235*(1-TaxRate)</f>
        <v>0</v>
      </c>
      <c r="AI238" s="8" t="n">
        <f aca="false">AI235*(1-TaxRate)</f>
        <v>0</v>
      </c>
      <c r="AJ238" s="8" t="n">
        <f aca="false">AJ235*(1-TaxRate)</f>
        <v>0</v>
      </c>
      <c r="AK238" s="8" t="n">
        <f aca="false">AK235*(1-TaxRate)</f>
        <v>0</v>
      </c>
      <c r="AL238" s="8" t="n">
        <f aca="false">AL235*(1-TaxRate)</f>
        <v>0</v>
      </c>
      <c r="AM238" s="8" t="n">
        <f aca="false">AM235*(1-TaxRate)</f>
        <v>0</v>
      </c>
      <c r="AN238" s="8" t="n">
        <f aca="false">AN235*(1-TaxRate)</f>
        <v>0</v>
      </c>
      <c r="AO238" s="8" t="n">
        <f aca="false">AO235*(1-TaxRate)</f>
        <v>0</v>
      </c>
      <c r="AP238" s="8" t="n">
        <f aca="false">AP235*(1-TaxRate)</f>
        <v>0</v>
      </c>
      <c r="AQ238" s="8" t="n">
        <f aca="false">AQ235*(1-TaxRate)</f>
        <v>0</v>
      </c>
      <c r="AR238" s="8" t="n">
        <f aca="false">AR235*(1-TaxRate)</f>
        <v>0</v>
      </c>
      <c r="AS238" s="8" t="n">
        <f aca="false">AS235*(1-TaxRate)</f>
        <v>0</v>
      </c>
    </row>
    <row r="239" customFormat="false" ht="15" hidden="false" customHeight="false" outlineLevel="0" collapsed="false">
      <c r="A239" s="6" t="s">
        <v>471</v>
      </c>
      <c r="B239" s="6" t="s">
        <v>472</v>
      </c>
      <c r="G239" s="42" t="n">
        <f aca="false">(1+CEG_Assets!$AE$8)^-(G$3+0.5-ValDate)</f>
        <v>0.943913469359513</v>
      </c>
      <c r="H239" s="42" t="n">
        <f aca="false">(1+CEG_Assets!$AE$8)^-(H$3+0.5-ValDate)</f>
        <v>0.87399395311066</v>
      </c>
      <c r="I239" s="42" t="n">
        <f aca="false">(1+CEG_Assets!$AE$8)^-(I$3+0.5-ValDate)</f>
        <v>0.809253660287648</v>
      </c>
      <c r="J239" s="42" t="n">
        <f aca="false">(1+CEG_Assets!$AE$8)^-(J$3+0.5-ValDate)</f>
        <v>0.749308944710785</v>
      </c>
      <c r="K239" s="42" t="n">
        <f aca="false">(1+CEG_Assets!$AE$8)^-(K$3+0.5-ValDate)</f>
        <v>0.693804578435912</v>
      </c>
      <c r="L239" s="42" t="n">
        <f aca="false">(1+CEG_Assets!$AE$8)^-(L$3+0.5-ValDate)</f>
        <v>0.642411646699918</v>
      </c>
      <c r="M239" s="42" t="n">
        <f aca="false">(1+CEG_Assets!$AE$8)^-(M$3+0.5-ValDate)</f>
        <v>0.594825598796221</v>
      </c>
      <c r="N239" s="42" t="n">
        <f aca="false">(1+CEG_Assets!$AE$8)^-(N$3+0.5-ValDate)</f>
        <v>0.550764443329834</v>
      </c>
      <c r="O239" s="42" t="n">
        <f aca="false">(1+CEG_Assets!$AE$8)^-(O$3+0.5-ValDate)</f>
        <v>0.509967077157254</v>
      </c>
      <c r="P239" s="42" t="n">
        <f aca="false">(1+CEG_Assets!$AE$8)^-(P$3+0.5-ValDate)</f>
        <v>0.472191738108568</v>
      </c>
      <c r="Q239" s="42" t="n">
        <f aca="false">(1+CEG_Assets!$AE$8)^-(Q$3+0.5-ValDate)</f>
        <v>0.437214572322748</v>
      </c>
      <c r="R239" s="42" t="n">
        <f aca="false">(1+CEG_Assets!$AE$8)^-(R$3+0.5-ValDate)</f>
        <v>0.404828307706248</v>
      </c>
      <c r="S239" s="42" t="n">
        <f aca="false">(1+CEG_Assets!$AE$8)^-(S$3+0.5-ValDate)</f>
        <v>0.374841025653934</v>
      </c>
      <c r="T239" s="42" t="n">
        <f aca="false">(1+CEG_Assets!$AE$8)^-(T$3+0.5-ValDate)</f>
        <v>0.347075023753642</v>
      </c>
      <c r="U239" s="42" t="n">
        <f aca="false">(1+CEG_Assets!$AE$8)^-(U$3+0.5-ValDate)</f>
        <v>0.321365762734854</v>
      </c>
      <c r="V239" s="42" t="n">
        <f aca="false">(1+CEG_Assets!$AE$8)^-(V$3+0.5-ValDate)</f>
        <v>0.297560891421161</v>
      </c>
      <c r="W239" s="42" t="n">
        <f aca="false">(1+CEG_Assets!$AE$8)^-(W$3+0.5-ValDate)</f>
        <v>0.275519343908482</v>
      </c>
      <c r="X239" s="42" t="n">
        <f aca="false">(1+CEG_Assets!$AE$8)^-(X$3+0.5-ValDate)</f>
        <v>0.255110503618965</v>
      </c>
      <c r="Y239" s="42" t="n">
        <f aca="false">(1+CEG_Assets!$AE$8)^-(Y$3+0.5-ValDate)</f>
        <v>0.23621342927682</v>
      </c>
      <c r="Z239" s="42" t="n">
        <f aca="false">(1+CEG_Assets!$AE$8)^-(Z$3+0.5-ValDate)</f>
        <v>0.218716138219277</v>
      </c>
      <c r="AA239" s="42" t="n">
        <f aca="false">(1+CEG_Assets!$AE$8)^-(AA$3+0.5-ValDate)</f>
        <v>0.202514942795627</v>
      </c>
      <c r="AB239" s="42" t="n">
        <f aca="false">(1+CEG_Assets!$AE$8)^-(AB$3+0.5-ValDate)</f>
        <v>0.187513835921877</v>
      </c>
      <c r="AC239" s="42" t="n">
        <f aca="false">(1+CEG_Assets!$AE$8)^-(AC$3+0.5-ValDate)</f>
        <v>0.173623922149886</v>
      </c>
      <c r="AD239" s="42" t="n">
        <f aca="false">(1+CEG_Assets!$AE$8)^-(AD$3+0.5-ValDate)</f>
        <v>0.160762890879524</v>
      </c>
      <c r="AE239" s="42" t="n">
        <f aca="false">(1+CEG_Assets!$AE$8)^-(AE$3+0.5-ValDate)</f>
        <v>0.148854528592152</v>
      </c>
      <c r="AF239" s="42" t="n">
        <f aca="false">(1+CEG_Assets!$AE$8)^-(AF$3+0.5-ValDate)</f>
        <v>0.137828267214956</v>
      </c>
      <c r="AG239" s="42" t="n">
        <f aca="false">(1+CEG_Assets!$AE$8)^-(AG$3+0.5-ValDate)</f>
        <v>0.127618765939774</v>
      </c>
      <c r="AH239" s="42" t="n">
        <f aca="false">(1+CEG_Assets!$AE$8)^-(AH$3+0.5-ValDate)</f>
        <v>0.118165524018309</v>
      </c>
      <c r="AI239" s="42" t="n">
        <f aca="false">(1+CEG_Assets!$AE$8)^-(AI$3+0.5-ValDate)</f>
        <v>0.109412522239175</v>
      </c>
      <c r="AJ239" s="42" t="n">
        <f aca="false">(1+CEG_Assets!$AE$8)^-(AJ$3+0.5-ValDate)</f>
        <v>0.101307890962199</v>
      </c>
      <c r="AK239" s="42" t="n">
        <f aca="false">(1+CEG_Assets!$AE$8)^-(AK$3+0.5-ValDate)</f>
        <v>0.0938036027427768</v>
      </c>
      <c r="AL239" s="42" t="n">
        <f aca="false">(1+CEG_Assets!$AE$8)^-(AL$3+0.5-ValDate)</f>
        <v>0.0868551877247934</v>
      </c>
      <c r="AM239" s="42" t="n">
        <f aca="false">(1+CEG_Assets!$AE$8)^-(AM$3+0.5-ValDate)</f>
        <v>0.0804214701155494</v>
      </c>
      <c r="AN239" s="42" t="n">
        <f aca="false">(1+CEG_Assets!$AE$8)^-(AN$3+0.5-ValDate)</f>
        <v>0.0744643241810643</v>
      </c>
      <c r="AO239" s="42" t="n">
        <f aca="false">(1+CEG_Assets!$AE$8)^-(AO$3+0.5-ValDate)</f>
        <v>0.0689484483158002</v>
      </c>
      <c r="AP239" s="42" t="n">
        <f aca="false">(1+CEG_Assets!$AE$8)^-(AP$3+0.5-ValDate)</f>
        <v>0.0638411558479632</v>
      </c>
      <c r="AQ239" s="42" t="n">
        <f aca="false">(1+CEG_Assets!$AE$8)^-(AQ$3+0.5-ValDate)</f>
        <v>0.0591121813407066</v>
      </c>
      <c r="AR239" s="42" t="n">
        <f aca="false">(1+CEG_Assets!$AE$8)^-(AR$3+0.5-ValDate)</f>
        <v>0.054733501241395</v>
      </c>
      <c r="AS239" s="42" t="n">
        <f aca="false">(1+CEG_Assets!$AE$8)^-(AS$3+0.5-ValDate)</f>
        <v>0.0506791678161065</v>
      </c>
    </row>
    <row r="240" customFormat="false" ht="15" hidden="false" customHeight="false" outlineLevel="0" collapsed="false">
      <c r="A240" s="6" t="s">
        <v>473</v>
      </c>
      <c r="B240" s="6" t="s">
        <v>474</v>
      </c>
      <c r="G240" s="42" t="n">
        <f aca="false">(1+CEG_Assets!$AF$8)^-(G$3+0.5-ValDate)</f>
        <v>0.943913469359513</v>
      </c>
      <c r="H240" s="42" t="n">
        <f aca="false">(1+CEG_Assets!$AF$8)^-(H$3+0.5-ValDate)</f>
        <v>0.87399395311066</v>
      </c>
      <c r="I240" s="42" t="n">
        <f aca="false">(1+CEG_Assets!$AF$8)^-(I$3+0.5-ValDate)</f>
        <v>0.809253660287648</v>
      </c>
      <c r="J240" s="42" t="n">
        <f aca="false">(1+CEG_Assets!$AF$8)^-(J$3+0.5-ValDate)</f>
        <v>0.749308944710785</v>
      </c>
      <c r="K240" s="42" t="n">
        <f aca="false">(1+CEG_Assets!$AF$8)^-(K$3+0.5-ValDate)</f>
        <v>0.693804578435912</v>
      </c>
      <c r="L240" s="42" t="n">
        <f aca="false">(1+CEG_Assets!$AF$8)^-(L$3+0.5-ValDate)</f>
        <v>0.642411646699918</v>
      </c>
      <c r="M240" s="42" t="n">
        <f aca="false">(1+CEG_Assets!$AF$8)^-(M$3+0.5-ValDate)</f>
        <v>0.594825598796221</v>
      </c>
      <c r="N240" s="42" t="n">
        <f aca="false">(1+CEG_Assets!$AF$8)^-(N$3+0.5-ValDate)</f>
        <v>0.550764443329834</v>
      </c>
      <c r="O240" s="42" t="n">
        <f aca="false">(1+CEG_Assets!$AF$8)^-(O$3+0.5-ValDate)</f>
        <v>0.509967077157254</v>
      </c>
      <c r="P240" s="42" t="n">
        <f aca="false">(1+CEG_Assets!$AF$8)^-(P$3+0.5-ValDate)</f>
        <v>0.472191738108568</v>
      </c>
      <c r="Q240" s="42" t="n">
        <f aca="false">(1+CEG_Assets!$AF$8)^-(Q$3+0.5-ValDate)</f>
        <v>0.437214572322748</v>
      </c>
      <c r="R240" s="42" t="n">
        <f aca="false">(1+CEG_Assets!$AF$8)^-(R$3+0.5-ValDate)</f>
        <v>0.404828307706248</v>
      </c>
      <c r="S240" s="42" t="n">
        <f aca="false">(1+CEG_Assets!$AF$8)^-(S$3+0.5-ValDate)</f>
        <v>0.374841025653934</v>
      </c>
      <c r="T240" s="42" t="n">
        <f aca="false">(1+CEG_Assets!$AF$8)^-(T$3+0.5-ValDate)</f>
        <v>0.347075023753642</v>
      </c>
      <c r="U240" s="42" t="n">
        <f aca="false">(1+CEG_Assets!$AF$8)^-(U$3+0.5-ValDate)</f>
        <v>0.321365762734854</v>
      </c>
      <c r="V240" s="42" t="n">
        <f aca="false">(1+CEG_Assets!$AF$8)^-(V$3+0.5-ValDate)</f>
        <v>0.297560891421161</v>
      </c>
      <c r="W240" s="42" t="n">
        <f aca="false">(1+CEG_Assets!$AF$8)^-(W$3+0.5-ValDate)</f>
        <v>0.275519343908482</v>
      </c>
      <c r="X240" s="42" t="n">
        <f aca="false">(1+CEG_Assets!$AF$8)^-(X$3+0.5-ValDate)</f>
        <v>0.255110503618965</v>
      </c>
      <c r="Y240" s="42" t="n">
        <f aca="false">(1+CEG_Assets!$AF$8)^-(Y$3+0.5-ValDate)</f>
        <v>0.23621342927682</v>
      </c>
      <c r="Z240" s="42" t="n">
        <f aca="false">(1+CEG_Assets!$AF$8)^-(Z$3+0.5-ValDate)</f>
        <v>0.218716138219277</v>
      </c>
      <c r="AA240" s="42" t="n">
        <f aca="false">(1+CEG_Assets!$AF$8)^-(AA$3+0.5-ValDate)</f>
        <v>0.202514942795627</v>
      </c>
      <c r="AB240" s="42" t="n">
        <f aca="false">(1+CEG_Assets!$AF$8)^-(AB$3+0.5-ValDate)</f>
        <v>0.187513835921877</v>
      </c>
      <c r="AC240" s="42" t="n">
        <f aca="false">(1+CEG_Assets!$AF$8)^-(AC$3+0.5-ValDate)</f>
        <v>0.173623922149886</v>
      </c>
      <c r="AD240" s="42" t="n">
        <f aca="false">(1+CEG_Assets!$AF$8)^-(AD$3+0.5-ValDate)</f>
        <v>0.160762890879524</v>
      </c>
      <c r="AE240" s="42" t="n">
        <f aca="false">(1+CEG_Assets!$AF$8)^-(AE$3+0.5-ValDate)</f>
        <v>0.148854528592152</v>
      </c>
      <c r="AF240" s="42" t="n">
        <f aca="false">(1+CEG_Assets!$AF$8)^-(AF$3+0.5-ValDate)</f>
        <v>0.137828267214956</v>
      </c>
      <c r="AG240" s="42" t="n">
        <f aca="false">(1+CEG_Assets!$AF$8)^-(AG$3+0.5-ValDate)</f>
        <v>0.127618765939774</v>
      </c>
      <c r="AH240" s="42" t="n">
        <f aca="false">(1+CEG_Assets!$AF$8)^-(AH$3+0.5-ValDate)</f>
        <v>0.118165524018309</v>
      </c>
      <c r="AI240" s="42" t="n">
        <f aca="false">(1+CEG_Assets!$AF$8)^-(AI$3+0.5-ValDate)</f>
        <v>0.109412522239175</v>
      </c>
      <c r="AJ240" s="42" t="n">
        <f aca="false">(1+CEG_Assets!$AF$8)^-(AJ$3+0.5-ValDate)</f>
        <v>0.101307890962199</v>
      </c>
      <c r="AK240" s="42" t="n">
        <f aca="false">(1+CEG_Assets!$AF$8)^-(AK$3+0.5-ValDate)</f>
        <v>0.0938036027427768</v>
      </c>
      <c r="AL240" s="42" t="n">
        <f aca="false">(1+CEG_Assets!$AF$8)^-(AL$3+0.5-ValDate)</f>
        <v>0.0868551877247934</v>
      </c>
      <c r="AM240" s="42" t="n">
        <f aca="false">(1+CEG_Assets!$AF$8)^-(AM$3+0.5-ValDate)</f>
        <v>0.0804214701155494</v>
      </c>
      <c r="AN240" s="42" t="n">
        <f aca="false">(1+CEG_Assets!$AF$8)^-(AN$3+0.5-ValDate)</f>
        <v>0.0744643241810643</v>
      </c>
      <c r="AO240" s="42" t="n">
        <f aca="false">(1+CEG_Assets!$AF$8)^-(AO$3+0.5-ValDate)</f>
        <v>0.0689484483158002</v>
      </c>
      <c r="AP240" s="42" t="n">
        <f aca="false">(1+CEG_Assets!$AF$8)^-(AP$3+0.5-ValDate)</f>
        <v>0.0638411558479632</v>
      </c>
      <c r="AQ240" s="42" t="n">
        <f aca="false">(1+CEG_Assets!$AF$8)^-(AQ$3+0.5-ValDate)</f>
        <v>0.0591121813407066</v>
      </c>
      <c r="AR240" s="42" t="n">
        <f aca="false">(1+CEG_Assets!$AF$8)^-(AR$3+0.5-ValDate)</f>
        <v>0.054733501241395</v>
      </c>
      <c r="AS240" s="42" t="n">
        <f aca="false">(1+CEG_Assets!$AF$8)^-(AS$3+0.5-ValDate)</f>
        <v>0.0506791678161065</v>
      </c>
    </row>
    <row r="241" customFormat="false" ht="15" hidden="false" customHeight="false" outlineLevel="0" collapsed="false">
      <c r="A241" s="6" t="s">
        <v>475</v>
      </c>
      <c r="B241" s="6" t="s">
        <v>476</v>
      </c>
      <c r="C241" s="43" t="n">
        <f aca="false">SUM(G241:AS241)</f>
        <v>3003.58689757029</v>
      </c>
      <c r="D241" s="8" t="n">
        <f aca="false">SUMIF($G$3:$AS$3,"&lt;="&amp;Horizon,G241:AS241)</f>
        <v>855.859478271997</v>
      </c>
      <c r="E241" s="8" t="n">
        <f aca="false">(C241-D241)*(1+CEG_Assets!$AE$8)^(Horizon+1-ValDate)</f>
        <v>2978.723025229</v>
      </c>
      <c r="G241" s="8" t="n">
        <f aca="false">G237*G239</f>
        <v>257.81299928183</v>
      </c>
      <c r="H241" s="8" t="n">
        <f aca="false">H237*H239</f>
        <v>239.472702644695</v>
      </c>
      <c r="I241" s="8" t="n">
        <f aca="false">I237*I239</f>
        <v>192.43765799111</v>
      </c>
      <c r="J241" s="8" t="n">
        <f aca="false">J237*J239</f>
        <v>166.136118354362</v>
      </c>
      <c r="K241" s="8" t="n">
        <f aca="false">K237*K239</f>
        <v>156.906334001342</v>
      </c>
      <c r="L241" s="8" t="n">
        <f aca="false">L237*L239</f>
        <v>148.189315445711</v>
      </c>
      <c r="M241" s="8" t="n">
        <f aca="false">M237*M239</f>
        <v>139.956575698727</v>
      </c>
      <c r="N241" s="8" t="n">
        <f aca="false">N237*N239</f>
        <v>132.181210382131</v>
      </c>
      <c r="O241" s="8" t="n">
        <f aca="false">O237*O239</f>
        <v>124.837809805346</v>
      </c>
      <c r="P241" s="8" t="n">
        <f aca="false">P237*P239</f>
        <v>117.902375927272</v>
      </c>
      <c r="Q241" s="8" t="n">
        <f aca="false">Q237*Q239</f>
        <v>111.352243931312</v>
      </c>
      <c r="R241" s="8" t="n">
        <f aca="false">R237*R239</f>
        <v>105.16600815735</v>
      </c>
      <c r="S241" s="8" t="n">
        <f aca="false">S237*S239</f>
        <v>99.3234521486086</v>
      </c>
      <c r="T241" s="8" t="n">
        <f aca="false">T237*T239</f>
        <v>93.805482584797</v>
      </c>
      <c r="U241" s="8" t="n">
        <f aca="false">U237*U239</f>
        <v>88.5940668856416</v>
      </c>
      <c r="V241" s="8" t="n">
        <f aca="false">V237*V239</f>
        <v>83.6721742808837</v>
      </c>
      <c r="W241" s="8" t="n">
        <f aca="false">W237*W239</f>
        <v>79.023720154168</v>
      </c>
      <c r="X241" s="8" t="n">
        <f aca="false">X237*X239</f>
        <v>74.6335134789364</v>
      </c>
      <c r="Y241" s="8" t="n">
        <f aca="false">Y237*Y239</f>
        <v>70.487207174551</v>
      </c>
      <c r="Z241" s="8" t="n">
        <f aca="false">Z237*Z239</f>
        <v>66.5712512204093</v>
      </c>
      <c r="AA241" s="8" t="n">
        <f aca="false">AA237*AA239</f>
        <v>62.872848374831</v>
      </c>
      <c r="AB241" s="8" t="n">
        <f aca="false">AB237*AB239</f>
        <v>59.3799123540071</v>
      </c>
      <c r="AC241" s="8" t="n">
        <f aca="false">AC237*AC239</f>
        <v>56.08102833434</v>
      </c>
      <c r="AD241" s="8" t="n">
        <f aca="false">AD237*AD239</f>
        <v>52.9654156490989</v>
      </c>
      <c r="AE241" s="8" t="n">
        <f aca="false">AE237*AE239</f>
        <v>50.0228925574823</v>
      </c>
      <c r="AF241" s="8" t="n">
        <f aca="false">AF237*AF239</f>
        <v>47.2438429709555</v>
      </c>
      <c r="AG241" s="8" t="n">
        <f aca="false">AG237*AG239</f>
        <v>44.6191850281246</v>
      </c>
      <c r="AH241" s="8" t="n">
        <f aca="false">AH237*AH239</f>
        <v>42.140341415451</v>
      </c>
      <c r="AI241" s="8" t="n">
        <f aca="false">AI237*AI239</f>
        <v>39.7992113368149</v>
      </c>
      <c r="AJ241" s="8" t="n">
        <f aca="false">AJ237*AJ239</f>
        <v>0</v>
      </c>
      <c r="AK241" s="8" t="n">
        <f aca="false">AK237*AK239</f>
        <v>0</v>
      </c>
      <c r="AL241" s="8" t="n">
        <f aca="false">AL237*AL239</f>
        <v>0</v>
      </c>
      <c r="AM241" s="8" t="n">
        <f aca="false">AM237*AM239</f>
        <v>0</v>
      </c>
      <c r="AN241" s="8" t="n">
        <f aca="false">AN237*AN239</f>
        <v>0</v>
      </c>
      <c r="AO241" s="8" t="n">
        <f aca="false">AO237*AO239</f>
        <v>0</v>
      </c>
      <c r="AP241" s="8" t="n">
        <f aca="false">AP237*AP239</f>
        <v>0</v>
      </c>
      <c r="AQ241" s="8" t="n">
        <f aca="false">AQ237*AQ239</f>
        <v>0</v>
      </c>
      <c r="AR241" s="8" t="n">
        <f aca="false">AR237*AR239</f>
        <v>0</v>
      </c>
      <c r="AS241" s="8" t="n">
        <f aca="false">AS237*AS239</f>
        <v>0</v>
      </c>
    </row>
    <row r="242" customFormat="false" ht="15" hidden="false" customHeight="false" outlineLevel="0" collapsed="false">
      <c r="A242" s="6" t="s">
        <v>477</v>
      </c>
      <c r="B242" s="6" t="s">
        <v>478</v>
      </c>
      <c r="C242" s="43" t="n">
        <f aca="false">SUM(G242:AS242)</f>
        <v>0</v>
      </c>
      <c r="D242" s="8" t="n">
        <f aca="false">SUMIF($G$3:$AS$3,"&lt;="&amp;Horizon,G242:AS242)</f>
        <v>0</v>
      </c>
      <c r="E242" s="8" t="n">
        <f aca="false">(C242-D242)*(1+CEG_Assets!$AF$8)^(Horizon+1-ValDate)</f>
        <v>0</v>
      </c>
      <c r="G242" s="8" t="n">
        <f aca="false">G238*G240</f>
        <v>0</v>
      </c>
      <c r="H242" s="8" t="n">
        <f aca="false">H238*H240</f>
        <v>0</v>
      </c>
      <c r="I242" s="8" t="n">
        <f aca="false">I238*I240</f>
        <v>0</v>
      </c>
      <c r="J242" s="8" t="n">
        <f aca="false">J238*J240</f>
        <v>0</v>
      </c>
      <c r="K242" s="8" t="n">
        <f aca="false">K238*K240</f>
        <v>0</v>
      </c>
      <c r="L242" s="8" t="n">
        <f aca="false">L238*L240</f>
        <v>0</v>
      </c>
      <c r="M242" s="8" t="n">
        <f aca="false">M238*M240</f>
        <v>0</v>
      </c>
      <c r="N242" s="8" t="n">
        <f aca="false">N238*N240</f>
        <v>0</v>
      </c>
      <c r="O242" s="8" t="n">
        <f aca="false">O238*O240</f>
        <v>0</v>
      </c>
      <c r="P242" s="8" t="n">
        <f aca="false">P238*P240</f>
        <v>0</v>
      </c>
      <c r="Q242" s="8" t="n">
        <f aca="false">Q238*Q240</f>
        <v>0</v>
      </c>
      <c r="R242" s="8" t="n">
        <f aca="false">R238*R240</f>
        <v>0</v>
      </c>
      <c r="S242" s="8" t="n">
        <f aca="false">S238*S240</f>
        <v>0</v>
      </c>
      <c r="T242" s="8" t="n">
        <f aca="false">T238*T240</f>
        <v>0</v>
      </c>
      <c r="U242" s="8" t="n">
        <f aca="false">U238*U240</f>
        <v>0</v>
      </c>
      <c r="V242" s="8" t="n">
        <f aca="false">V238*V240</f>
        <v>0</v>
      </c>
      <c r="W242" s="8" t="n">
        <f aca="false">W238*W240</f>
        <v>0</v>
      </c>
      <c r="X242" s="8" t="n">
        <f aca="false">X238*X240</f>
        <v>0</v>
      </c>
      <c r="Y242" s="8" t="n">
        <f aca="false">Y238*Y240</f>
        <v>0</v>
      </c>
      <c r="Z242" s="8" t="n">
        <f aca="false">Z238*Z240</f>
        <v>0</v>
      </c>
      <c r="AA242" s="8" t="n">
        <f aca="false">AA238*AA240</f>
        <v>0</v>
      </c>
      <c r="AB242" s="8" t="n">
        <f aca="false">AB238*AB240</f>
        <v>0</v>
      </c>
      <c r="AC242" s="8" t="n">
        <f aca="false">AC238*AC240</f>
        <v>0</v>
      </c>
      <c r="AD242" s="8" t="n">
        <f aca="false">AD238*AD240</f>
        <v>0</v>
      </c>
      <c r="AE242" s="8" t="n">
        <f aca="false">AE238*AE240</f>
        <v>0</v>
      </c>
      <c r="AF242" s="8" t="n">
        <f aca="false">AF238*AF240</f>
        <v>0</v>
      </c>
      <c r="AG242" s="8" t="n">
        <f aca="false">AG238*AG240</f>
        <v>0</v>
      </c>
      <c r="AH242" s="8" t="n">
        <f aca="false">AH238*AH240</f>
        <v>0</v>
      </c>
      <c r="AI242" s="8" t="n">
        <f aca="false">AI238*AI240</f>
        <v>0</v>
      </c>
      <c r="AJ242" s="8" t="n">
        <f aca="false">AJ238*AJ240</f>
        <v>0</v>
      </c>
      <c r="AK242" s="8" t="n">
        <f aca="false">AK238*AK240</f>
        <v>0</v>
      </c>
      <c r="AL242" s="8" t="n">
        <f aca="false">AL238*AL240</f>
        <v>0</v>
      </c>
      <c r="AM242" s="8" t="n">
        <f aca="false">AM238*AM240</f>
        <v>0</v>
      </c>
      <c r="AN242" s="8" t="n">
        <f aca="false">AN238*AN240</f>
        <v>0</v>
      </c>
      <c r="AO242" s="8" t="n">
        <f aca="false">AO238*AO240</f>
        <v>0</v>
      </c>
      <c r="AP242" s="8" t="n">
        <f aca="false">AP238*AP240</f>
        <v>0</v>
      </c>
      <c r="AQ242" s="8" t="n">
        <f aca="false">AQ238*AQ240</f>
        <v>0</v>
      </c>
      <c r="AR242" s="8" t="n">
        <f aca="false">AR238*AR240</f>
        <v>0</v>
      </c>
      <c r="AS242" s="8" t="n">
        <f aca="false">AS238*AS240</f>
        <v>0</v>
      </c>
    </row>
    <row r="243" customFormat="false" ht="15" hidden="false" customHeight="false" outlineLevel="0" collapsed="false">
      <c r="A243" s="6" t="s">
        <v>479</v>
      </c>
      <c r="B243" s="6" t="s">
        <v>480</v>
      </c>
      <c r="C243" s="43" t="n">
        <f aca="false">IF(CEG_Assets!$H$8="$/kW",CEG_Assets!$D$8*CEG_Assets!$AI$8*(1+0.4*(PJMWLR/PJMWLRBase-1))/1000,0)</f>
        <v>0</v>
      </c>
      <c r="E243" s="8" t="n">
        <f aca="false">C243</f>
        <v>0</v>
      </c>
      <c r="G243" s="8" t="n">
        <f aca="false">0</f>
        <v>0</v>
      </c>
      <c r="H243" s="8" t="n">
        <f aca="false">0</f>
        <v>0</v>
      </c>
      <c r="I243" s="8" t="n">
        <f aca="false">0</f>
        <v>0</v>
      </c>
      <c r="J243" s="8" t="n">
        <f aca="false">0</f>
        <v>0</v>
      </c>
      <c r="K243" s="8" t="n">
        <f aca="false">0</f>
        <v>0</v>
      </c>
      <c r="L243" s="8" t="n">
        <f aca="false">0</f>
        <v>0</v>
      </c>
      <c r="M243" s="8" t="n">
        <f aca="false">0</f>
        <v>0</v>
      </c>
      <c r="N243" s="8" t="n">
        <f aca="false">0</f>
        <v>0</v>
      </c>
      <c r="O243" s="8" t="n">
        <f aca="false">0</f>
        <v>0</v>
      </c>
      <c r="P243" s="8" t="n">
        <f aca="false">0</f>
        <v>0</v>
      </c>
      <c r="Q243" s="8" t="n">
        <f aca="false">0</f>
        <v>0</v>
      </c>
      <c r="R243" s="8" t="n">
        <f aca="false">0</f>
        <v>0</v>
      </c>
      <c r="S243" s="8" t="n">
        <f aca="false">0</f>
        <v>0</v>
      </c>
      <c r="T243" s="8" t="n">
        <f aca="false">0</f>
        <v>0</v>
      </c>
      <c r="U243" s="8" t="n">
        <f aca="false">0</f>
        <v>0</v>
      </c>
      <c r="V243" s="8" t="n">
        <f aca="false">0</f>
        <v>0</v>
      </c>
      <c r="W243" s="8" t="n">
        <f aca="false">0</f>
        <v>0</v>
      </c>
      <c r="X243" s="8" t="n">
        <f aca="false">0</f>
        <v>0</v>
      </c>
      <c r="Y243" s="8" t="n">
        <f aca="false">0</f>
        <v>0</v>
      </c>
      <c r="Z243" s="8" t="n">
        <f aca="false">0</f>
        <v>0</v>
      </c>
      <c r="AA243" s="8" t="n">
        <f aca="false">0</f>
        <v>0</v>
      </c>
      <c r="AB243" s="8" t="n">
        <f aca="false">0</f>
        <v>0</v>
      </c>
      <c r="AC243" s="8" t="n">
        <f aca="false">0</f>
        <v>0</v>
      </c>
      <c r="AD243" s="8" t="n">
        <f aca="false">0</f>
        <v>0</v>
      </c>
      <c r="AE243" s="8" t="n">
        <f aca="false">0</f>
        <v>0</v>
      </c>
      <c r="AF243" s="8" t="n">
        <f aca="false">0</f>
        <v>0</v>
      </c>
      <c r="AG243" s="8" t="n">
        <f aca="false">0</f>
        <v>0</v>
      </c>
      <c r="AH243" s="8" t="n">
        <f aca="false">0</f>
        <v>0</v>
      </c>
      <c r="AI243" s="8" t="n">
        <f aca="false">0</f>
        <v>0</v>
      </c>
      <c r="AJ243" s="8" t="n">
        <f aca="false">0</f>
        <v>0</v>
      </c>
      <c r="AK243" s="8" t="n">
        <f aca="false">0</f>
        <v>0</v>
      </c>
      <c r="AL243" s="8" t="n">
        <f aca="false">0</f>
        <v>0</v>
      </c>
      <c r="AM243" s="8" t="n">
        <f aca="false">0</f>
        <v>0</v>
      </c>
      <c r="AN243" s="8" t="n">
        <f aca="false">0</f>
        <v>0</v>
      </c>
      <c r="AO243" s="8" t="n">
        <f aca="false">0</f>
        <v>0</v>
      </c>
      <c r="AP243" s="8" t="n">
        <f aca="false">0</f>
        <v>0</v>
      </c>
      <c r="AQ243" s="8" t="n">
        <f aca="false">0</f>
        <v>0</v>
      </c>
      <c r="AR243" s="8" t="n">
        <f aca="false">0</f>
        <v>0</v>
      </c>
      <c r="AS243" s="8" t="n">
        <f aca="false">0</f>
        <v>0</v>
      </c>
    </row>
    <row r="245" customFormat="false" ht="15" hidden="false" customHeight="false" outlineLevel="0" collapsed="false">
      <c r="A245" s="54" t="str">
        <f aca="false">CEG_Assets!$A$9</f>
        <v>Wind &amp; solar (legacy CEG, ~1.9 GW)</v>
      </c>
    </row>
    <row r="246" customFormat="false" ht="15" hidden="false" customHeight="false" outlineLevel="0" collapsed="false">
      <c r="A246" s="6" t="s">
        <v>425</v>
      </c>
      <c r="B246" s="6" t="s">
        <v>426</v>
      </c>
      <c r="G246" s="47" t="n">
        <f aca="false">IF(AND(G$3&gt;=CEG_Assets!$E$9,G$3&lt;=CEG_Assets!$F$9,CEG_Assets!$H$9="Cashflow"),1,0)</f>
        <v>0</v>
      </c>
      <c r="H246" s="47" t="n">
        <f aca="false">IF(AND(H$3&gt;=CEG_Assets!$E$9,H$3&lt;=CEG_Assets!$F$9,CEG_Assets!$H$9="Cashflow"),1,0)</f>
        <v>0</v>
      </c>
      <c r="I246" s="47" t="n">
        <f aca="false">IF(AND(I$3&gt;=CEG_Assets!$E$9,I$3&lt;=CEG_Assets!$F$9,CEG_Assets!$H$9="Cashflow"),1,0)</f>
        <v>0</v>
      </c>
      <c r="J246" s="47" t="n">
        <f aca="false">IF(AND(J$3&gt;=CEG_Assets!$E$9,J$3&lt;=CEG_Assets!$F$9,CEG_Assets!$H$9="Cashflow"),1,0)</f>
        <v>0</v>
      </c>
      <c r="K246" s="47" t="n">
        <f aca="false">IF(AND(K$3&gt;=CEG_Assets!$E$9,K$3&lt;=CEG_Assets!$F$9,CEG_Assets!$H$9="Cashflow"),1,0)</f>
        <v>0</v>
      </c>
      <c r="L246" s="47" t="n">
        <f aca="false">IF(AND(L$3&gt;=CEG_Assets!$E$9,L$3&lt;=CEG_Assets!$F$9,CEG_Assets!$H$9="Cashflow"),1,0)</f>
        <v>0</v>
      </c>
      <c r="M246" s="47" t="n">
        <f aca="false">IF(AND(M$3&gt;=CEG_Assets!$E$9,M$3&lt;=CEG_Assets!$F$9,CEG_Assets!$H$9="Cashflow"),1,0)</f>
        <v>0</v>
      </c>
      <c r="N246" s="47" t="n">
        <f aca="false">IF(AND(N$3&gt;=CEG_Assets!$E$9,N$3&lt;=CEG_Assets!$F$9,CEG_Assets!$H$9="Cashflow"),1,0)</f>
        <v>0</v>
      </c>
      <c r="O246" s="47" t="n">
        <f aca="false">IF(AND(O$3&gt;=CEG_Assets!$E$9,O$3&lt;=CEG_Assets!$F$9,CEG_Assets!$H$9="Cashflow"),1,0)</f>
        <v>0</v>
      </c>
      <c r="P246" s="47" t="n">
        <f aca="false">IF(AND(P$3&gt;=CEG_Assets!$E$9,P$3&lt;=CEG_Assets!$F$9,CEG_Assets!$H$9="Cashflow"),1,0)</f>
        <v>0</v>
      </c>
      <c r="Q246" s="47" t="n">
        <f aca="false">IF(AND(Q$3&gt;=CEG_Assets!$E$9,Q$3&lt;=CEG_Assets!$F$9,CEG_Assets!$H$9="Cashflow"),1,0)</f>
        <v>0</v>
      </c>
      <c r="R246" s="47" t="n">
        <f aca="false">IF(AND(R$3&gt;=CEG_Assets!$E$9,R$3&lt;=CEG_Assets!$F$9,CEG_Assets!$H$9="Cashflow"),1,0)</f>
        <v>0</v>
      </c>
      <c r="S246" s="47" t="n">
        <f aca="false">IF(AND(S$3&gt;=CEG_Assets!$E$9,S$3&lt;=CEG_Assets!$F$9,CEG_Assets!$H$9="Cashflow"),1,0)</f>
        <v>0</v>
      </c>
      <c r="T246" s="47" t="n">
        <f aca="false">IF(AND(T$3&gt;=CEG_Assets!$E$9,T$3&lt;=CEG_Assets!$F$9,CEG_Assets!$H$9="Cashflow"),1,0)</f>
        <v>0</v>
      </c>
      <c r="U246" s="47" t="n">
        <f aca="false">IF(AND(U$3&gt;=CEG_Assets!$E$9,U$3&lt;=CEG_Assets!$F$9,CEG_Assets!$H$9="Cashflow"),1,0)</f>
        <v>0</v>
      </c>
      <c r="V246" s="47" t="n">
        <f aca="false">IF(AND(V$3&gt;=CEG_Assets!$E$9,V$3&lt;=CEG_Assets!$F$9,CEG_Assets!$H$9="Cashflow"),1,0)</f>
        <v>0</v>
      </c>
      <c r="W246" s="47" t="n">
        <f aca="false">IF(AND(W$3&gt;=CEG_Assets!$E$9,W$3&lt;=CEG_Assets!$F$9,CEG_Assets!$H$9="Cashflow"),1,0)</f>
        <v>0</v>
      </c>
      <c r="X246" s="47" t="n">
        <f aca="false">IF(AND(X$3&gt;=CEG_Assets!$E$9,X$3&lt;=CEG_Assets!$F$9,CEG_Assets!$H$9="Cashflow"),1,0)</f>
        <v>0</v>
      </c>
      <c r="Y246" s="47" t="n">
        <f aca="false">IF(AND(Y$3&gt;=CEG_Assets!$E$9,Y$3&lt;=CEG_Assets!$F$9,CEG_Assets!$H$9="Cashflow"),1,0)</f>
        <v>0</v>
      </c>
      <c r="Z246" s="47" t="n">
        <f aca="false">IF(AND(Z$3&gt;=CEG_Assets!$E$9,Z$3&lt;=CEG_Assets!$F$9,CEG_Assets!$H$9="Cashflow"),1,0)</f>
        <v>0</v>
      </c>
      <c r="AA246" s="47" t="n">
        <f aca="false">IF(AND(AA$3&gt;=CEG_Assets!$E$9,AA$3&lt;=CEG_Assets!$F$9,CEG_Assets!$H$9="Cashflow"),1,0)</f>
        <v>0</v>
      </c>
      <c r="AB246" s="47" t="n">
        <f aca="false">IF(AND(AB$3&gt;=CEG_Assets!$E$9,AB$3&lt;=CEG_Assets!$F$9,CEG_Assets!$H$9="Cashflow"),1,0)</f>
        <v>0</v>
      </c>
      <c r="AC246" s="47" t="n">
        <f aca="false">IF(AND(AC$3&gt;=CEG_Assets!$E$9,AC$3&lt;=CEG_Assets!$F$9,CEG_Assets!$H$9="Cashflow"),1,0)</f>
        <v>0</v>
      </c>
      <c r="AD246" s="47" t="n">
        <f aca="false">IF(AND(AD$3&gt;=CEG_Assets!$E$9,AD$3&lt;=CEG_Assets!$F$9,CEG_Assets!$H$9="Cashflow"),1,0)</f>
        <v>0</v>
      </c>
      <c r="AE246" s="47" t="n">
        <f aca="false">IF(AND(AE$3&gt;=CEG_Assets!$E$9,AE$3&lt;=CEG_Assets!$F$9,CEG_Assets!$H$9="Cashflow"),1,0)</f>
        <v>0</v>
      </c>
      <c r="AF246" s="47" t="n">
        <f aca="false">IF(AND(AF$3&gt;=CEG_Assets!$E$9,AF$3&lt;=CEG_Assets!$F$9,CEG_Assets!$H$9="Cashflow"),1,0)</f>
        <v>0</v>
      </c>
      <c r="AG246" s="47" t="n">
        <f aca="false">IF(AND(AG$3&gt;=CEG_Assets!$E$9,AG$3&lt;=CEG_Assets!$F$9,CEG_Assets!$H$9="Cashflow"),1,0)</f>
        <v>0</v>
      </c>
      <c r="AH246" s="47" t="n">
        <f aca="false">IF(AND(AH$3&gt;=CEG_Assets!$E$9,AH$3&lt;=CEG_Assets!$F$9,CEG_Assets!$H$9="Cashflow"),1,0)</f>
        <v>0</v>
      </c>
      <c r="AI246" s="47" t="n">
        <f aca="false">IF(AND(AI$3&gt;=CEG_Assets!$E$9,AI$3&lt;=CEG_Assets!$F$9,CEG_Assets!$H$9="Cashflow"),1,0)</f>
        <v>0</v>
      </c>
      <c r="AJ246" s="47" t="n">
        <f aca="false">IF(AND(AJ$3&gt;=CEG_Assets!$E$9,AJ$3&lt;=CEG_Assets!$F$9,CEG_Assets!$H$9="Cashflow"),1,0)</f>
        <v>0</v>
      </c>
      <c r="AK246" s="47" t="n">
        <f aca="false">IF(AND(AK$3&gt;=CEG_Assets!$E$9,AK$3&lt;=CEG_Assets!$F$9,CEG_Assets!$H$9="Cashflow"),1,0)</f>
        <v>0</v>
      </c>
      <c r="AL246" s="47" t="n">
        <f aca="false">IF(AND(AL$3&gt;=CEG_Assets!$E$9,AL$3&lt;=CEG_Assets!$F$9,CEG_Assets!$H$9="Cashflow"),1,0)</f>
        <v>0</v>
      </c>
      <c r="AM246" s="47" t="n">
        <f aca="false">IF(AND(AM$3&gt;=CEG_Assets!$E$9,AM$3&lt;=CEG_Assets!$F$9,CEG_Assets!$H$9="Cashflow"),1,0)</f>
        <v>0</v>
      </c>
      <c r="AN246" s="47" t="n">
        <f aca="false">IF(AND(AN$3&gt;=CEG_Assets!$E$9,AN$3&lt;=CEG_Assets!$F$9,CEG_Assets!$H$9="Cashflow"),1,0)</f>
        <v>0</v>
      </c>
      <c r="AO246" s="47" t="n">
        <f aca="false">IF(AND(AO$3&gt;=CEG_Assets!$E$9,AO$3&lt;=CEG_Assets!$F$9,CEG_Assets!$H$9="Cashflow"),1,0)</f>
        <v>0</v>
      </c>
      <c r="AP246" s="47" t="n">
        <f aca="false">IF(AND(AP$3&gt;=CEG_Assets!$E$9,AP$3&lt;=CEG_Assets!$F$9,CEG_Assets!$H$9="Cashflow"),1,0)</f>
        <v>0</v>
      </c>
      <c r="AQ246" s="47" t="n">
        <f aca="false">IF(AND(AQ$3&gt;=CEG_Assets!$E$9,AQ$3&lt;=CEG_Assets!$F$9,CEG_Assets!$H$9="Cashflow"),1,0)</f>
        <v>0</v>
      </c>
      <c r="AR246" s="47" t="n">
        <f aca="false">IF(AND(AR$3&gt;=CEG_Assets!$E$9,AR$3&lt;=CEG_Assets!$F$9,CEG_Assets!$H$9="Cashflow"),1,0)</f>
        <v>0</v>
      </c>
      <c r="AS246" s="47" t="n">
        <f aca="false">IF(AND(AS$3&gt;=CEG_Assets!$E$9,AS$3&lt;=CEG_Assets!$F$9,CEG_Assets!$H$9="Cashflow"),1,0)</f>
        <v>0</v>
      </c>
    </row>
    <row r="247" customFormat="false" ht="15" hidden="false" customHeight="false" outlineLevel="0" collapsed="false">
      <c r="A247" s="6" t="s">
        <v>427</v>
      </c>
      <c r="B247" s="6" t="s">
        <v>428</v>
      </c>
      <c r="G247" s="9" t="n">
        <f aca="false">IF(AND(G$3&gt;=CEG_Assets!$AA$9,G$3&lt;=CEG_Assets!$AB$9),MIN(CEG_Assets!$D$9,CEG_Assets!$Z$9*MIN(1,(G$3-CEG_Assets!$AA$9+1)/MAX(1,CEG_Assets!$AC$9))),0)*G246</f>
        <v>0</v>
      </c>
      <c r="H247" s="9" t="n">
        <f aca="false">IF(AND(H$3&gt;=CEG_Assets!$AA$9,H$3&lt;=CEG_Assets!$AB$9),MIN(CEG_Assets!$D$9,CEG_Assets!$Z$9*MIN(1,(H$3-CEG_Assets!$AA$9+1)/MAX(1,CEG_Assets!$AC$9))),0)*H246</f>
        <v>0</v>
      </c>
      <c r="I247" s="9" t="n">
        <f aca="false">IF(AND(I$3&gt;=CEG_Assets!$AA$9,I$3&lt;=CEG_Assets!$AB$9),MIN(CEG_Assets!$D$9,CEG_Assets!$Z$9*MIN(1,(I$3-CEG_Assets!$AA$9+1)/MAX(1,CEG_Assets!$AC$9))),0)*I246</f>
        <v>0</v>
      </c>
      <c r="J247" s="9" t="n">
        <f aca="false">IF(AND(J$3&gt;=CEG_Assets!$AA$9,J$3&lt;=CEG_Assets!$AB$9),MIN(CEG_Assets!$D$9,CEG_Assets!$Z$9*MIN(1,(J$3-CEG_Assets!$AA$9+1)/MAX(1,CEG_Assets!$AC$9))),0)*J246</f>
        <v>0</v>
      </c>
      <c r="K247" s="9" t="n">
        <f aca="false">IF(AND(K$3&gt;=CEG_Assets!$AA$9,K$3&lt;=CEG_Assets!$AB$9),MIN(CEG_Assets!$D$9,CEG_Assets!$Z$9*MIN(1,(K$3-CEG_Assets!$AA$9+1)/MAX(1,CEG_Assets!$AC$9))),0)*K246</f>
        <v>0</v>
      </c>
      <c r="L247" s="9" t="n">
        <f aca="false">IF(AND(L$3&gt;=CEG_Assets!$AA$9,L$3&lt;=CEG_Assets!$AB$9),MIN(CEG_Assets!$D$9,CEG_Assets!$Z$9*MIN(1,(L$3-CEG_Assets!$AA$9+1)/MAX(1,CEG_Assets!$AC$9))),0)*L246</f>
        <v>0</v>
      </c>
      <c r="M247" s="9" t="n">
        <f aca="false">IF(AND(M$3&gt;=CEG_Assets!$AA$9,M$3&lt;=CEG_Assets!$AB$9),MIN(CEG_Assets!$D$9,CEG_Assets!$Z$9*MIN(1,(M$3-CEG_Assets!$AA$9+1)/MAX(1,CEG_Assets!$AC$9))),0)*M246</f>
        <v>0</v>
      </c>
      <c r="N247" s="9" t="n">
        <f aca="false">IF(AND(N$3&gt;=CEG_Assets!$AA$9,N$3&lt;=CEG_Assets!$AB$9),MIN(CEG_Assets!$D$9,CEG_Assets!$Z$9*MIN(1,(N$3-CEG_Assets!$AA$9+1)/MAX(1,CEG_Assets!$AC$9))),0)*N246</f>
        <v>0</v>
      </c>
      <c r="O247" s="9" t="n">
        <f aca="false">IF(AND(O$3&gt;=CEG_Assets!$AA$9,O$3&lt;=CEG_Assets!$AB$9),MIN(CEG_Assets!$D$9,CEG_Assets!$Z$9*MIN(1,(O$3-CEG_Assets!$AA$9+1)/MAX(1,CEG_Assets!$AC$9))),0)*O246</f>
        <v>0</v>
      </c>
      <c r="P247" s="9" t="n">
        <f aca="false">IF(AND(P$3&gt;=CEG_Assets!$AA$9,P$3&lt;=CEG_Assets!$AB$9),MIN(CEG_Assets!$D$9,CEG_Assets!$Z$9*MIN(1,(P$3-CEG_Assets!$AA$9+1)/MAX(1,CEG_Assets!$AC$9))),0)*P246</f>
        <v>0</v>
      </c>
      <c r="Q247" s="9" t="n">
        <f aca="false">IF(AND(Q$3&gt;=CEG_Assets!$AA$9,Q$3&lt;=CEG_Assets!$AB$9),MIN(CEG_Assets!$D$9,CEG_Assets!$Z$9*MIN(1,(Q$3-CEG_Assets!$AA$9+1)/MAX(1,CEG_Assets!$AC$9))),0)*Q246</f>
        <v>0</v>
      </c>
      <c r="R247" s="9" t="n">
        <f aca="false">IF(AND(R$3&gt;=CEG_Assets!$AA$9,R$3&lt;=CEG_Assets!$AB$9),MIN(CEG_Assets!$D$9,CEG_Assets!$Z$9*MIN(1,(R$3-CEG_Assets!$AA$9+1)/MAX(1,CEG_Assets!$AC$9))),0)*R246</f>
        <v>0</v>
      </c>
      <c r="S247" s="9" t="n">
        <f aca="false">IF(AND(S$3&gt;=CEG_Assets!$AA$9,S$3&lt;=CEG_Assets!$AB$9),MIN(CEG_Assets!$D$9,CEG_Assets!$Z$9*MIN(1,(S$3-CEG_Assets!$AA$9+1)/MAX(1,CEG_Assets!$AC$9))),0)*S246</f>
        <v>0</v>
      </c>
      <c r="T247" s="9" t="n">
        <f aca="false">IF(AND(T$3&gt;=CEG_Assets!$AA$9,T$3&lt;=CEG_Assets!$AB$9),MIN(CEG_Assets!$D$9,CEG_Assets!$Z$9*MIN(1,(T$3-CEG_Assets!$AA$9+1)/MAX(1,CEG_Assets!$AC$9))),0)*T246</f>
        <v>0</v>
      </c>
      <c r="U247" s="9" t="n">
        <f aca="false">IF(AND(U$3&gt;=CEG_Assets!$AA$9,U$3&lt;=CEG_Assets!$AB$9),MIN(CEG_Assets!$D$9,CEG_Assets!$Z$9*MIN(1,(U$3-CEG_Assets!$AA$9+1)/MAX(1,CEG_Assets!$AC$9))),0)*U246</f>
        <v>0</v>
      </c>
      <c r="V247" s="9" t="n">
        <f aca="false">IF(AND(V$3&gt;=CEG_Assets!$AA$9,V$3&lt;=CEG_Assets!$AB$9),MIN(CEG_Assets!$D$9,CEG_Assets!$Z$9*MIN(1,(V$3-CEG_Assets!$AA$9+1)/MAX(1,CEG_Assets!$AC$9))),0)*V246</f>
        <v>0</v>
      </c>
      <c r="W247" s="9" t="n">
        <f aca="false">IF(AND(W$3&gt;=CEG_Assets!$AA$9,W$3&lt;=CEG_Assets!$AB$9),MIN(CEG_Assets!$D$9,CEG_Assets!$Z$9*MIN(1,(W$3-CEG_Assets!$AA$9+1)/MAX(1,CEG_Assets!$AC$9))),0)*W246</f>
        <v>0</v>
      </c>
      <c r="X247" s="9" t="n">
        <f aca="false">IF(AND(X$3&gt;=CEG_Assets!$AA$9,X$3&lt;=CEG_Assets!$AB$9),MIN(CEG_Assets!$D$9,CEG_Assets!$Z$9*MIN(1,(X$3-CEG_Assets!$AA$9+1)/MAX(1,CEG_Assets!$AC$9))),0)*X246</f>
        <v>0</v>
      </c>
      <c r="Y247" s="9" t="n">
        <f aca="false">IF(AND(Y$3&gt;=CEG_Assets!$AA$9,Y$3&lt;=CEG_Assets!$AB$9),MIN(CEG_Assets!$D$9,CEG_Assets!$Z$9*MIN(1,(Y$3-CEG_Assets!$AA$9+1)/MAX(1,CEG_Assets!$AC$9))),0)*Y246</f>
        <v>0</v>
      </c>
      <c r="Z247" s="9" t="n">
        <f aca="false">IF(AND(Z$3&gt;=CEG_Assets!$AA$9,Z$3&lt;=CEG_Assets!$AB$9),MIN(CEG_Assets!$D$9,CEG_Assets!$Z$9*MIN(1,(Z$3-CEG_Assets!$AA$9+1)/MAX(1,CEG_Assets!$AC$9))),0)*Z246</f>
        <v>0</v>
      </c>
      <c r="AA247" s="9" t="n">
        <f aca="false">IF(AND(AA$3&gt;=CEG_Assets!$AA$9,AA$3&lt;=CEG_Assets!$AB$9),MIN(CEG_Assets!$D$9,CEG_Assets!$Z$9*MIN(1,(AA$3-CEG_Assets!$AA$9+1)/MAX(1,CEG_Assets!$AC$9))),0)*AA246</f>
        <v>0</v>
      </c>
      <c r="AB247" s="9" t="n">
        <f aca="false">IF(AND(AB$3&gt;=CEG_Assets!$AA$9,AB$3&lt;=CEG_Assets!$AB$9),MIN(CEG_Assets!$D$9,CEG_Assets!$Z$9*MIN(1,(AB$3-CEG_Assets!$AA$9+1)/MAX(1,CEG_Assets!$AC$9))),0)*AB246</f>
        <v>0</v>
      </c>
      <c r="AC247" s="9" t="n">
        <f aca="false">IF(AND(AC$3&gt;=CEG_Assets!$AA$9,AC$3&lt;=CEG_Assets!$AB$9),MIN(CEG_Assets!$D$9,CEG_Assets!$Z$9*MIN(1,(AC$3-CEG_Assets!$AA$9+1)/MAX(1,CEG_Assets!$AC$9))),0)*AC246</f>
        <v>0</v>
      </c>
      <c r="AD247" s="9" t="n">
        <f aca="false">IF(AND(AD$3&gt;=CEG_Assets!$AA$9,AD$3&lt;=CEG_Assets!$AB$9),MIN(CEG_Assets!$D$9,CEG_Assets!$Z$9*MIN(1,(AD$3-CEG_Assets!$AA$9+1)/MAX(1,CEG_Assets!$AC$9))),0)*AD246</f>
        <v>0</v>
      </c>
      <c r="AE247" s="9" t="n">
        <f aca="false">IF(AND(AE$3&gt;=CEG_Assets!$AA$9,AE$3&lt;=CEG_Assets!$AB$9),MIN(CEG_Assets!$D$9,CEG_Assets!$Z$9*MIN(1,(AE$3-CEG_Assets!$AA$9+1)/MAX(1,CEG_Assets!$AC$9))),0)*AE246</f>
        <v>0</v>
      </c>
      <c r="AF247" s="9" t="n">
        <f aca="false">IF(AND(AF$3&gt;=CEG_Assets!$AA$9,AF$3&lt;=CEG_Assets!$AB$9),MIN(CEG_Assets!$D$9,CEG_Assets!$Z$9*MIN(1,(AF$3-CEG_Assets!$AA$9+1)/MAX(1,CEG_Assets!$AC$9))),0)*AF246</f>
        <v>0</v>
      </c>
      <c r="AG247" s="9" t="n">
        <f aca="false">IF(AND(AG$3&gt;=CEG_Assets!$AA$9,AG$3&lt;=CEG_Assets!$AB$9),MIN(CEG_Assets!$D$9,CEG_Assets!$Z$9*MIN(1,(AG$3-CEG_Assets!$AA$9+1)/MAX(1,CEG_Assets!$AC$9))),0)*AG246</f>
        <v>0</v>
      </c>
      <c r="AH247" s="9" t="n">
        <f aca="false">IF(AND(AH$3&gt;=CEG_Assets!$AA$9,AH$3&lt;=CEG_Assets!$AB$9),MIN(CEG_Assets!$D$9,CEG_Assets!$Z$9*MIN(1,(AH$3-CEG_Assets!$AA$9+1)/MAX(1,CEG_Assets!$AC$9))),0)*AH246</f>
        <v>0</v>
      </c>
      <c r="AI247" s="9" t="n">
        <f aca="false">IF(AND(AI$3&gt;=CEG_Assets!$AA$9,AI$3&lt;=CEG_Assets!$AB$9),MIN(CEG_Assets!$D$9,CEG_Assets!$Z$9*MIN(1,(AI$3-CEG_Assets!$AA$9+1)/MAX(1,CEG_Assets!$AC$9))),0)*AI246</f>
        <v>0</v>
      </c>
      <c r="AJ247" s="9" t="n">
        <f aca="false">IF(AND(AJ$3&gt;=CEG_Assets!$AA$9,AJ$3&lt;=CEG_Assets!$AB$9),MIN(CEG_Assets!$D$9,CEG_Assets!$Z$9*MIN(1,(AJ$3-CEG_Assets!$AA$9+1)/MAX(1,CEG_Assets!$AC$9))),0)*AJ246</f>
        <v>0</v>
      </c>
      <c r="AK247" s="9" t="n">
        <f aca="false">IF(AND(AK$3&gt;=CEG_Assets!$AA$9,AK$3&lt;=CEG_Assets!$AB$9),MIN(CEG_Assets!$D$9,CEG_Assets!$Z$9*MIN(1,(AK$3-CEG_Assets!$AA$9+1)/MAX(1,CEG_Assets!$AC$9))),0)*AK246</f>
        <v>0</v>
      </c>
      <c r="AL247" s="9" t="n">
        <f aca="false">IF(AND(AL$3&gt;=CEG_Assets!$AA$9,AL$3&lt;=CEG_Assets!$AB$9),MIN(CEG_Assets!$D$9,CEG_Assets!$Z$9*MIN(1,(AL$3-CEG_Assets!$AA$9+1)/MAX(1,CEG_Assets!$AC$9))),0)*AL246</f>
        <v>0</v>
      </c>
      <c r="AM247" s="9" t="n">
        <f aca="false">IF(AND(AM$3&gt;=CEG_Assets!$AA$9,AM$3&lt;=CEG_Assets!$AB$9),MIN(CEG_Assets!$D$9,CEG_Assets!$Z$9*MIN(1,(AM$3-CEG_Assets!$AA$9+1)/MAX(1,CEG_Assets!$AC$9))),0)*AM246</f>
        <v>0</v>
      </c>
      <c r="AN247" s="9" t="n">
        <f aca="false">IF(AND(AN$3&gt;=CEG_Assets!$AA$9,AN$3&lt;=CEG_Assets!$AB$9),MIN(CEG_Assets!$D$9,CEG_Assets!$Z$9*MIN(1,(AN$3-CEG_Assets!$AA$9+1)/MAX(1,CEG_Assets!$AC$9))),0)*AN246</f>
        <v>0</v>
      </c>
      <c r="AO247" s="9" t="n">
        <f aca="false">IF(AND(AO$3&gt;=CEG_Assets!$AA$9,AO$3&lt;=CEG_Assets!$AB$9),MIN(CEG_Assets!$D$9,CEG_Assets!$Z$9*MIN(1,(AO$3-CEG_Assets!$AA$9+1)/MAX(1,CEG_Assets!$AC$9))),0)*AO246</f>
        <v>0</v>
      </c>
      <c r="AP247" s="9" t="n">
        <f aca="false">IF(AND(AP$3&gt;=CEG_Assets!$AA$9,AP$3&lt;=CEG_Assets!$AB$9),MIN(CEG_Assets!$D$9,CEG_Assets!$Z$9*MIN(1,(AP$3-CEG_Assets!$AA$9+1)/MAX(1,CEG_Assets!$AC$9))),0)*AP246</f>
        <v>0</v>
      </c>
      <c r="AQ247" s="9" t="n">
        <f aca="false">IF(AND(AQ$3&gt;=CEG_Assets!$AA$9,AQ$3&lt;=CEG_Assets!$AB$9),MIN(CEG_Assets!$D$9,CEG_Assets!$Z$9*MIN(1,(AQ$3-CEG_Assets!$AA$9+1)/MAX(1,CEG_Assets!$AC$9))),0)*AQ246</f>
        <v>0</v>
      </c>
      <c r="AR247" s="9" t="n">
        <f aca="false">IF(AND(AR$3&gt;=CEG_Assets!$AA$9,AR$3&lt;=CEG_Assets!$AB$9),MIN(CEG_Assets!$D$9,CEG_Assets!$Z$9*MIN(1,(AR$3-CEG_Assets!$AA$9+1)/MAX(1,CEG_Assets!$AC$9))),0)*AR246</f>
        <v>0</v>
      </c>
      <c r="AS247" s="9" t="n">
        <f aca="false">IF(AND(AS$3&gt;=CEG_Assets!$AA$9,AS$3&lt;=CEG_Assets!$AB$9),MIN(CEG_Assets!$D$9,CEG_Assets!$Z$9*MIN(1,(AS$3-CEG_Assets!$AA$9+1)/MAX(1,CEG_Assets!$AC$9))),0)*AS246</f>
        <v>0</v>
      </c>
    </row>
    <row r="248" customFormat="false" ht="15" hidden="false" customHeight="false" outlineLevel="0" collapsed="false">
      <c r="A248" s="6" t="s">
        <v>429</v>
      </c>
      <c r="B248" s="6" t="s">
        <v>430</v>
      </c>
      <c r="G248" s="9" t="n">
        <f aca="false">(CEG_Assets!$D$9-G247)*8760*CEG_Assets!$I$9*G246</f>
        <v>0</v>
      </c>
      <c r="H248" s="9" t="n">
        <f aca="false">(CEG_Assets!$D$9-H247)*8760*CEG_Assets!$I$9*H246</f>
        <v>0</v>
      </c>
      <c r="I248" s="9" t="n">
        <f aca="false">(CEG_Assets!$D$9-I247)*8760*CEG_Assets!$I$9*I246</f>
        <v>0</v>
      </c>
      <c r="J248" s="9" t="n">
        <f aca="false">(CEG_Assets!$D$9-J247)*8760*CEG_Assets!$I$9*J246</f>
        <v>0</v>
      </c>
      <c r="K248" s="9" t="n">
        <f aca="false">(CEG_Assets!$D$9-K247)*8760*CEG_Assets!$I$9*K246</f>
        <v>0</v>
      </c>
      <c r="L248" s="9" t="n">
        <f aca="false">(CEG_Assets!$D$9-L247)*8760*CEG_Assets!$I$9*L246</f>
        <v>0</v>
      </c>
      <c r="M248" s="9" t="n">
        <f aca="false">(CEG_Assets!$D$9-M247)*8760*CEG_Assets!$I$9*M246</f>
        <v>0</v>
      </c>
      <c r="N248" s="9" t="n">
        <f aca="false">(CEG_Assets!$D$9-N247)*8760*CEG_Assets!$I$9*N246</f>
        <v>0</v>
      </c>
      <c r="O248" s="9" t="n">
        <f aca="false">(CEG_Assets!$D$9-O247)*8760*CEG_Assets!$I$9*O246</f>
        <v>0</v>
      </c>
      <c r="P248" s="9" t="n">
        <f aca="false">(CEG_Assets!$D$9-P247)*8760*CEG_Assets!$I$9*P246</f>
        <v>0</v>
      </c>
      <c r="Q248" s="9" t="n">
        <f aca="false">(CEG_Assets!$D$9-Q247)*8760*CEG_Assets!$I$9*Q246</f>
        <v>0</v>
      </c>
      <c r="R248" s="9" t="n">
        <f aca="false">(CEG_Assets!$D$9-R247)*8760*CEG_Assets!$I$9*R246</f>
        <v>0</v>
      </c>
      <c r="S248" s="9" t="n">
        <f aca="false">(CEG_Assets!$D$9-S247)*8760*CEG_Assets!$I$9*S246</f>
        <v>0</v>
      </c>
      <c r="T248" s="9" t="n">
        <f aca="false">(CEG_Assets!$D$9-T247)*8760*CEG_Assets!$I$9*T246</f>
        <v>0</v>
      </c>
      <c r="U248" s="9" t="n">
        <f aca="false">(CEG_Assets!$D$9-U247)*8760*CEG_Assets!$I$9*U246</f>
        <v>0</v>
      </c>
      <c r="V248" s="9" t="n">
        <f aca="false">(CEG_Assets!$D$9-V247)*8760*CEG_Assets!$I$9*V246</f>
        <v>0</v>
      </c>
      <c r="W248" s="9" t="n">
        <f aca="false">(CEG_Assets!$D$9-W247)*8760*CEG_Assets!$I$9*W246</f>
        <v>0</v>
      </c>
      <c r="X248" s="9" t="n">
        <f aca="false">(CEG_Assets!$D$9-X247)*8760*CEG_Assets!$I$9*X246</f>
        <v>0</v>
      </c>
      <c r="Y248" s="9" t="n">
        <f aca="false">(CEG_Assets!$D$9-Y247)*8760*CEG_Assets!$I$9*Y246</f>
        <v>0</v>
      </c>
      <c r="Z248" s="9" t="n">
        <f aca="false">(CEG_Assets!$D$9-Z247)*8760*CEG_Assets!$I$9*Z246</f>
        <v>0</v>
      </c>
      <c r="AA248" s="9" t="n">
        <f aca="false">(CEG_Assets!$D$9-AA247)*8760*CEG_Assets!$I$9*AA246</f>
        <v>0</v>
      </c>
      <c r="AB248" s="9" t="n">
        <f aca="false">(CEG_Assets!$D$9-AB247)*8760*CEG_Assets!$I$9*AB246</f>
        <v>0</v>
      </c>
      <c r="AC248" s="9" t="n">
        <f aca="false">(CEG_Assets!$D$9-AC247)*8760*CEG_Assets!$I$9*AC246</f>
        <v>0</v>
      </c>
      <c r="AD248" s="9" t="n">
        <f aca="false">(CEG_Assets!$D$9-AD247)*8760*CEG_Assets!$I$9*AD246</f>
        <v>0</v>
      </c>
      <c r="AE248" s="9" t="n">
        <f aca="false">(CEG_Assets!$D$9-AE247)*8760*CEG_Assets!$I$9*AE246</f>
        <v>0</v>
      </c>
      <c r="AF248" s="9" t="n">
        <f aca="false">(CEG_Assets!$D$9-AF247)*8760*CEG_Assets!$I$9*AF246</f>
        <v>0</v>
      </c>
      <c r="AG248" s="9" t="n">
        <f aca="false">(CEG_Assets!$D$9-AG247)*8760*CEG_Assets!$I$9*AG246</f>
        <v>0</v>
      </c>
      <c r="AH248" s="9" t="n">
        <f aca="false">(CEG_Assets!$D$9-AH247)*8760*CEG_Assets!$I$9*AH246</f>
        <v>0</v>
      </c>
      <c r="AI248" s="9" t="n">
        <f aca="false">(CEG_Assets!$D$9-AI247)*8760*CEG_Assets!$I$9*AI246</f>
        <v>0</v>
      </c>
      <c r="AJ248" s="9" t="n">
        <f aca="false">(CEG_Assets!$D$9-AJ247)*8760*CEG_Assets!$I$9*AJ246</f>
        <v>0</v>
      </c>
      <c r="AK248" s="9" t="n">
        <f aca="false">(CEG_Assets!$D$9-AK247)*8760*CEG_Assets!$I$9*AK246</f>
        <v>0</v>
      </c>
      <c r="AL248" s="9" t="n">
        <f aca="false">(CEG_Assets!$D$9-AL247)*8760*CEG_Assets!$I$9*AL246</f>
        <v>0</v>
      </c>
      <c r="AM248" s="9" t="n">
        <f aca="false">(CEG_Assets!$D$9-AM247)*8760*CEG_Assets!$I$9*AM246</f>
        <v>0</v>
      </c>
      <c r="AN248" s="9" t="n">
        <f aca="false">(CEG_Assets!$D$9-AN247)*8760*CEG_Assets!$I$9*AN246</f>
        <v>0</v>
      </c>
      <c r="AO248" s="9" t="n">
        <f aca="false">(CEG_Assets!$D$9-AO247)*8760*CEG_Assets!$I$9*AO246</f>
        <v>0</v>
      </c>
      <c r="AP248" s="9" t="n">
        <f aca="false">(CEG_Assets!$D$9-AP247)*8760*CEG_Assets!$I$9*AP246</f>
        <v>0</v>
      </c>
      <c r="AQ248" s="9" t="n">
        <f aca="false">(CEG_Assets!$D$9-AQ247)*8760*CEG_Assets!$I$9*AQ246</f>
        <v>0</v>
      </c>
      <c r="AR248" s="9" t="n">
        <f aca="false">(CEG_Assets!$D$9-AR247)*8760*CEG_Assets!$I$9*AR246</f>
        <v>0</v>
      </c>
      <c r="AS248" s="9" t="n">
        <f aca="false">(CEG_Assets!$D$9-AS247)*8760*CEG_Assets!$I$9*AS246</f>
        <v>0</v>
      </c>
    </row>
    <row r="249" customFormat="false" ht="15" hidden="false" customHeight="false" outlineLevel="0" collapsed="false">
      <c r="A249" s="6" t="s">
        <v>431</v>
      </c>
      <c r="B249" s="6" t="s">
        <v>432</v>
      </c>
      <c r="G249" s="9" t="n">
        <f aca="false">G247*8760*CEG_Assets!$I$9*G246</f>
        <v>0</v>
      </c>
      <c r="H249" s="9" t="n">
        <f aca="false">H247*8760*CEG_Assets!$I$9*H246</f>
        <v>0</v>
      </c>
      <c r="I249" s="9" t="n">
        <f aca="false">I247*8760*CEG_Assets!$I$9*I246</f>
        <v>0</v>
      </c>
      <c r="J249" s="9" t="n">
        <f aca="false">J247*8760*CEG_Assets!$I$9*J246</f>
        <v>0</v>
      </c>
      <c r="K249" s="9" t="n">
        <f aca="false">K247*8760*CEG_Assets!$I$9*K246</f>
        <v>0</v>
      </c>
      <c r="L249" s="9" t="n">
        <f aca="false">L247*8760*CEG_Assets!$I$9*L246</f>
        <v>0</v>
      </c>
      <c r="M249" s="9" t="n">
        <f aca="false">M247*8760*CEG_Assets!$I$9*M246</f>
        <v>0</v>
      </c>
      <c r="N249" s="9" t="n">
        <f aca="false">N247*8760*CEG_Assets!$I$9*N246</f>
        <v>0</v>
      </c>
      <c r="O249" s="9" t="n">
        <f aca="false">O247*8760*CEG_Assets!$I$9*O246</f>
        <v>0</v>
      </c>
      <c r="P249" s="9" t="n">
        <f aca="false">P247*8760*CEG_Assets!$I$9*P246</f>
        <v>0</v>
      </c>
      <c r="Q249" s="9" t="n">
        <f aca="false">Q247*8760*CEG_Assets!$I$9*Q246</f>
        <v>0</v>
      </c>
      <c r="R249" s="9" t="n">
        <f aca="false">R247*8760*CEG_Assets!$I$9*R246</f>
        <v>0</v>
      </c>
      <c r="S249" s="9" t="n">
        <f aca="false">S247*8760*CEG_Assets!$I$9*S246</f>
        <v>0</v>
      </c>
      <c r="T249" s="9" t="n">
        <f aca="false">T247*8760*CEG_Assets!$I$9*T246</f>
        <v>0</v>
      </c>
      <c r="U249" s="9" t="n">
        <f aca="false">U247*8760*CEG_Assets!$I$9*U246</f>
        <v>0</v>
      </c>
      <c r="V249" s="9" t="n">
        <f aca="false">V247*8760*CEG_Assets!$I$9*V246</f>
        <v>0</v>
      </c>
      <c r="W249" s="9" t="n">
        <f aca="false">W247*8760*CEG_Assets!$I$9*W246</f>
        <v>0</v>
      </c>
      <c r="X249" s="9" t="n">
        <f aca="false">X247*8760*CEG_Assets!$I$9*X246</f>
        <v>0</v>
      </c>
      <c r="Y249" s="9" t="n">
        <f aca="false">Y247*8760*CEG_Assets!$I$9*Y246</f>
        <v>0</v>
      </c>
      <c r="Z249" s="9" t="n">
        <f aca="false">Z247*8760*CEG_Assets!$I$9*Z246</f>
        <v>0</v>
      </c>
      <c r="AA249" s="9" t="n">
        <f aca="false">AA247*8760*CEG_Assets!$I$9*AA246</f>
        <v>0</v>
      </c>
      <c r="AB249" s="9" t="n">
        <f aca="false">AB247*8760*CEG_Assets!$I$9*AB246</f>
        <v>0</v>
      </c>
      <c r="AC249" s="9" t="n">
        <f aca="false">AC247*8760*CEG_Assets!$I$9*AC246</f>
        <v>0</v>
      </c>
      <c r="AD249" s="9" t="n">
        <f aca="false">AD247*8760*CEG_Assets!$I$9*AD246</f>
        <v>0</v>
      </c>
      <c r="AE249" s="9" t="n">
        <f aca="false">AE247*8760*CEG_Assets!$I$9*AE246</f>
        <v>0</v>
      </c>
      <c r="AF249" s="9" t="n">
        <f aca="false">AF247*8760*CEG_Assets!$I$9*AF246</f>
        <v>0</v>
      </c>
      <c r="AG249" s="9" t="n">
        <f aca="false">AG247*8760*CEG_Assets!$I$9*AG246</f>
        <v>0</v>
      </c>
      <c r="AH249" s="9" t="n">
        <f aca="false">AH247*8760*CEG_Assets!$I$9*AH246</f>
        <v>0</v>
      </c>
      <c r="AI249" s="9" t="n">
        <f aca="false">AI247*8760*CEG_Assets!$I$9*AI246</f>
        <v>0</v>
      </c>
      <c r="AJ249" s="9" t="n">
        <f aca="false">AJ247*8760*CEG_Assets!$I$9*AJ246</f>
        <v>0</v>
      </c>
      <c r="AK249" s="9" t="n">
        <f aca="false">AK247*8760*CEG_Assets!$I$9*AK246</f>
        <v>0</v>
      </c>
      <c r="AL249" s="9" t="n">
        <f aca="false">AL247*8760*CEG_Assets!$I$9*AL246</f>
        <v>0</v>
      </c>
      <c r="AM249" s="9" t="n">
        <f aca="false">AM247*8760*CEG_Assets!$I$9*AM246</f>
        <v>0</v>
      </c>
      <c r="AN249" s="9" t="n">
        <f aca="false">AN247*8760*CEG_Assets!$I$9*AN246</f>
        <v>0</v>
      </c>
      <c r="AO249" s="9" t="n">
        <f aca="false">AO247*8760*CEG_Assets!$I$9*AO246</f>
        <v>0</v>
      </c>
      <c r="AP249" s="9" t="n">
        <f aca="false">AP247*8760*CEG_Assets!$I$9*AP246</f>
        <v>0</v>
      </c>
      <c r="AQ249" s="9" t="n">
        <f aca="false">AQ247*8760*CEG_Assets!$I$9*AQ246</f>
        <v>0</v>
      </c>
      <c r="AR249" s="9" t="n">
        <f aca="false">AR247*8760*CEG_Assets!$I$9*AR246</f>
        <v>0</v>
      </c>
      <c r="AS249" s="9" t="n">
        <f aca="false">AS247*8760*CEG_Assets!$I$9*AS246</f>
        <v>0</v>
      </c>
    </row>
    <row r="250" customFormat="false" ht="15" hidden="false" customHeight="false" outlineLevel="0" collapsed="false">
      <c r="A250" s="6" t="s">
        <v>433</v>
      </c>
      <c r="B250" s="6" t="s">
        <v>434</v>
      </c>
      <c r="G250" s="7" t="n">
        <f aca="false">IF(ISNUMBER(CEG_Assets!$L$9),CEG_Assets!$L$9*G$4,INDEX(Prices!G:G,CEG_Assets!$AO$9)+FuelAdder*G$4)</f>
        <v>3.927</v>
      </c>
      <c r="H250" s="7" t="n">
        <f aca="false">IF(ISNUMBER(CEG_Assets!$L$9),CEG_Assets!$L$9*H$4,INDEX(Prices!H:H,CEG_Assets!$AO$9)+FuelAdder*H$4)</f>
        <v>4.00554</v>
      </c>
      <c r="I250" s="7" t="n">
        <f aca="false">IF(ISNUMBER(CEG_Assets!$L$9),CEG_Assets!$L$9*I$4,INDEX(Prices!I:I,CEG_Assets!$AO$9)+FuelAdder*I$4)</f>
        <v>4.1917716</v>
      </c>
      <c r="J250" s="7" t="n">
        <f aca="false">IF(ISNUMBER(CEG_Assets!$L$9),CEG_Assets!$L$9*J$4,INDEX(Prices!J:J,CEG_Assets!$AO$9)+FuelAdder*J$4)</f>
        <v>4.275607032</v>
      </c>
      <c r="K250" s="7" t="n">
        <f aca="false">IF(ISNUMBER(CEG_Assets!$L$9),CEG_Assets!$L$9*K$4,INDEX(Prices!K:K,CEG_Assets!$AO$9)+FuelAdder*K$4)</f>
        <v>4.36111917264</v>
      </c>
      <c r="L250" s="7" t="n">
        <f aca="false">IF(ISNUMBER(CEG_Assets!$L$9),CEG_Assets!$L$9*L$4,INDEX(Prices!L:L,CEG_Assets!$AO$9)+FuelAdder*L$4)</f>
        <v>4.4483415560928</v>
      </c>
      <c r="M250" s="7" t="n">
        <f aca="false">IF(ISNUMBER(CEG_Assets!$L$9),CEG_Assets!$L$9*M$4,INDEX(Prices!M:M,CEG_Assets!$AO$9)+FuelAdder*M$4)</f>
        <v>4.53730838721466</v>
      </c>
      <c r="N250" s="7" t="n">
        <f aca="false">IF(ISNUMBER(CEG_Assets!$L$9),CEG_Assets!$L$9*N$4,INDEX(Prices!N:N,CEG_Assets!$AO$9)+FuelAdder*N$4)</f>
        <v>4.62805455495895</v>
      </c>
      <c r="O250" s="7" t="n">
        <f aca="false">IF(ISNUMBER(CEG_Assets!$L$9),CEG_Assets!$L$9*O$4,INDEX(Prices!O:O,CEG_Assets!$AO$9)+FuelAdder*O$4)</f>
        <v>4.72061564605813</v>
      </c>
      <c r="P250" s="7" t="n">
        <f aca="false">IF(ISNUMBER(CEG_Assets!$L$9),CEG_Assets!$L$9*P$4,INDEX(Prices!P:P,CEG_Assets!$AO$9)+FuelAdder*P$4)</f>
        <v>4.81502795897929</v>
      </c>
      <c r="Q250" s="7" t="n">
        <f aca="false">IF(ISNUMBER(CEG_Assets!$L$9),CEG_Assets!$L$9*Q$4,INDEX(Prices!Q:Q,CEG_Assets!$AO$9)+FuelAdder*Q$4)</f>
        <v>4.91132851815888</v>
      </c>
      <c r="R250" s="7" t="n">
        <f aca="false">IF(ISNUMBER(CEG_Assets!$L$9),CEG_Assets!$L$9*R$4,INDEX(Prices!R:R,CEG_Assets!$AO$9)+FuelAdder*R$4)</f>
        <v>5.00955508852206</v>
      </c>
      <c r="S250" s="7" t="n">
        <f aca="false">IF(ISNUMBER(CEG_Assets!$L$9),CEG_Assets!$L$9*S$4,INDEX(Prices!S:S,CEG_Assets!$AO$9)+FuelAdder*S$4)</f>
        <v>5.1097461902925</v>
      </c>
      <c r="T250" s="7" t="n">
        <f aca="false">IF(ISNUMBER(CEG_Assets!$L$9),CEG_Assets!$L$9*T$4,INDEX(Prices!T:T,CEG_Assets!$AO$9)+FuelAdder*T$4)</f>
        <v>5.21194111409835</v>
      </c>
      <c r="U250" s="7" t="n">
        <f aca="false">IF(ISNUMBER(CEG_Assets!$L$9),CEG_Assets!$L$9*U$4,INDEX(Prices!U:U,CEG_Assets!$AO$9)+FuelAdder*U$4)</f>
        <v>5.31617993638031</v>
      </c>
      <c r="V250" s="7" t="n">
        <f aca="false">IF(ISNUMBER(CEG_Assets!$L$9),CEG_Assets!$L$9*V$4,INDEX(Prices!V:V,CEG_Assets!$AO$9)+FuelAdder*V$4)</f>
        <v>5.42250353510792</v>
      </c>
      <c r="W250" s="7" t="n">
        <f aca="false">IF(ISNUMBER(CEG_Assets!$L$9),CEG_Assets!$L$9*W$4,INDEX(Prices!W:W,CEG_Assets!$AO$9)+FuelAdder*W$4)</f>
        <v>5.53095360581008</v>
      </c>
      <c r="X250" s="7" t="n">
        <f aca="false">IF(ISNUMBER(CEG_Assets!$L$9),CEG_Assets!$L$9*X$4,INDEX(Prices!X:X,CEG_Assets!$AO$9)+FuelAdder*X$4)</f>
        <v>5.64157267792628</v>
      </c>
      <c r="Y250" s="7" t="n">
        <f aca="false">IF(ISNUMBER(CEG_Assets!$L$9),CEG_Assets!$L$9*Y$4,INDEX(Prices!Y:Y,CEG_Assets!$AO$9)+FuelAdder*Y$4)</f>
        <v>5.75440413148481</v>
      </c>
      <c r="Z250" s="7" t="n">
        <f aca="false">IF(ISNUMBER(CEG_Assets!$L$9),CEG_Assets!$L$9*Z$4,INDEX(Prices!Z:Z,CEG_Assets!$AO$9)+FuelAdder*Z$4)</f>
        <v>5.8694922141145</v>
      </c>
      <c r="AA250" s="7" t="n">
        <f aca="false">IF(ISNUMBER(CEG_Assets!$L$9),CEG_Assets!$L$9*AA$4,INDEX(Prices!AA:AA,CEG_Assets!$AO$9)+FuelAdder*AA$4)</f>
        <v>5.98688205839679</v>
      </c>
      <c r="AB250" s="7" t="n">
        <f aca="false">IF(ISNUMBER(CEG_Assets!$L$9),CEG_Assets!$L$9*AB$4,INDEX(Prices!AB:AB,CEG_Assets!$AO$9)+FuelAdder*AB$4)</f>
        <v>6.10661969956473</v>
      </c>
      <c r="AC250" s="7" t="n">
        <f aca="false">IF(ISNUMBER(CEG_Assets!$L$9),CEG_Assets!$L$9*AC$4,INDEX(Prices!AC:AC,CEG_Assets!$AO$9)+FuelAdder*AC$4)</f>
        <v>6.22875209355602</v>
      </c>
      <c r="AD250" s="7" t="n">
        <f aca="false">IF(ISNUMBER(CEG_Assets!$L$9),CEG_Assets!$L$9*AD$4,INDEX(Prices!AD:AD,CEG_Assets!$AO$9)+FuelAdder*AD$4)</f>
        <v>6.35332713542714</v>
      </c>
      <c r="AE250" s="7" t="n">
        <f aca="false">IF(ISNUMBER(CEG_Assets!$L$9),CEG_Assets!$L$9*AE$4,INDEX(Prices!AE:AE,CEG_Assets!$AO$9)+FuelAdder*AE$4)</f>
        <v>6.48039367813569</v>
      </c>
      <c r="AF250" s="7" t="n">
        <f aca="false">IF(ISNUMBER(CEG_Assets!$L$9),CEG_Assets!$L$9*AF$4,INDEX(Prices!AF:AF,CEG_Assets!$AO$9)+FuelAdder*AF$4)</f>
        <v>6.6100015516984</v>
      </c>
      <c r="AG250" s="7" t="n">
        <f aca="false">IF(ISNUMBER(CEG_Assets!$L$9),CEG_Assets!$L$9*AG$4,INDEX(Prices!AG:AG,CEG_Assets!$AO$9)+FuelAdder*AG$4)</f>
        <v>6.74220158273237</v>
      </c>
      <c r="AH250" s="7" t="n">
        <f aca="false">IF(ISNUMBER(CEG_Assets!$L$9),CEG_Assets!$L$9*AH$4,INDEX(Prices!AH:AH,CEG_Assets!$AO$9)+FuelAdder*AH$4)</f>
        <v>6.87704561438702</v>
      </c>
      <c r="AI250" s="7" t="n">
        <f aca="false">IF(ISNUMBER(CEG_Assets!$L$9),CEG_Assets!$L$9*AI$4,INDEX(Prices!AI:AI,CEG_Assets!$AO$9)+FuelAdder*AI$4)</f>
        <v>7.01458652667476</v>
      </c>
      <c r="AJ250" s="7" t="n">
        <f aca="false">IF(ISNUMBER(CEG_Assets!$L$9),CEG_Assets!$L$9*AJ$4,INDEX(Prices!AJ:AJ,CEG_Assets!$AO$9)+FuelAdder*AJ$4)</f>
        <v>7.15487825720825</v>
      </c>
      <c r="AK250" s="7" t="n">
        <f aca="false">IF(ISNUMBER(CEG_Assets!$L$9),CEG_Assets!$L$9*AK$4,INDEX(Prices!AK:AK,CEG_Assets!$AO$9)+FuelAdder*AK$4)</f>
        <v>7.29797582235242</v>
      </c>
      <c r="AL250" s="7" t="n">
        <f aca="false">IF(ISNUMBER(CEG_Assets!$L$9),CEG_Assets!$L$9*AL$4,INDEX(Prices!AL:AL,CEG_Assets!$AO$9)+FuelAdder*AL$4)</f>
        <v>7.44393533879947</v>
      </c>
      <c r="AM250" s="7" t="n">
        <f aca="false">IF(ISNUMBER(CEG_Assets!$L$9),CEG_Assets!$L$9*AM$4,INDEX(Prices!AM:AM,CEG_Assets!$AO$9)+FuelAdder*AM$4)</f>
        <v>7.59281404557545</v>
      </c>
      <c r="AN250" s="7" t="n">
        <f aca="false">IF(ISNUMBER(CEG_Assets!$L$9),CEG_Assets!$L$9*AN$4,INDEX(Prices!AN:AN,CEG_Assets!$AO$9)+FuelAdder*AN$4)</f>
        <v>7.74467032648696</v>
      </c>
      <c r="AO250" s="7" t="n">
        <f aca="false">IF(ISNUMBER(CEG_Assets!$L$9),CEG_Assets!$L$9*AO$4,INDEX(Prices!AO:AO,CEG_Assets!$AO$9)+FuelAdder*AO$4)</f>
        <v>7.8995637330167</v>
      </c>
      <c r="AP250" s="7" t="n">
        <f aca="false">IF(ISNUMBER(CEG_Assets!$L$9),CEG_Assets!$L$9*AP$4,INDEX(Prices!AP:AP,CEG_Assets!$AO$9)+FuelAdder*AP$4)</f>
        <v>8.05755500767704</v>
      </c>
      <c r="AQ250" s="7" t="n">
        <f aca="false">IF(ISNUMBER(CEG_Assets!$L$9),CEG_Assets!$L$9*AQ$4,INDEX(Prices!AQ:AQ,CEG_Assets!$AO$9)+FuelAdder*AQ$4)</f>
        <v>8.21870610783058</v>
      </c>
      <c r="AR250" s="7" t="n">
        <f aca="false">IF(ISNUMBER(CEG_Assets!$L$9),CEG_Assets!$L$9*AR$4,INDEX(Prices!AR:AR,CEG_Assets!$AO$9)+FuelAdder*AR$4)</f>
        <v>8.38308022998719</v>
      </c>
      <c r="AS250" s="7" t="n">
        <f aca="false">IF(ISNUMBER(CEG_Assets!$L$9),CEG_Assets!$L$9*AS$4,INDEX(Prices!AS:AS,CEG_Assets!$AO$9)+FuelAdder*AS$4)</f>
        <v>8.55074183458693</v>
      </c>
    </row>
    <row r="251" customFormat="false" ht="15" hidden="false" customHeight="false" outlineLevel="0" collapsed="false">
      <c r="A251" s="6" t="s">
        <v>435</v>
      </c>
      <c r="B251" s="6" t="s">
        <v>436</v>
      </c>
      <c r="G251" s="7" t="n">
        <f aca="false">INDEX(Prices!G:G,CEG_Assets!$AN$9)*CEG_Assets!$J$9-CEG_Assets!$K$9*G250-CEG_Assets!$M$9*G$4</f>
        <v>0</v>
      </c>
      <c r="H251" s="7" t="n">
        <f aca="false">INDEX(Prices!H:H,CEG_Assets!$AN$9)*CEG_Assets!$J$9-CEG_Assets!$K$9*H250-CEG_Assets!$M$9*H$4</f>
        <v>0</v>
      </c>
      <c r="I251" s="7" t="n">
        <f aca="false">INDEX(Prices!I:I,CEG_Assets!$AN$9)*CEG_Assets!$J$9-CEG_Assets!$K$9*I250-CEG_Assets!$M$9*I$4</f>
        <v>0</v>
      </c>
      <c r="J251" s="7" t="n">
        <f aca="false">INDEX(Prices!J:J,CEG_Assets!$AN$9)*CEG_Assets!$J$9-CEG_Assets!$K$9*J250-CEG_Assets!$M$9*J$4</f>
        <v>0</v>
      </c>
      <c r="K251" s="7" t="n">
        <f aca="false">INDEX(Prices!K:K,CEG_Assets!$AN$9)*CEG_Assets!$J$9-CEG_Assets!$K$9*K250-CEG_Assets!$M$9*K$4</f>
        <v>0</v>
      </c>
      <c r="L251" s="7" t="n">
        <f aca="false">INDEX(Prices!L:L,CEG_Assets!$AN$9)*CEG_Assets!$J$9-CEG_Assets!$K$9*L250-CEG_Assets!$M$9*L$4</f>
        <v>0</v>
      </c>
      <c r="M251" s="7" t="n">
        <f aca="false">INDEX(Prices!M:M,CEG_Assets!$AN$9)*CEG_Assets!$J$9-CEG_Assets!$K$9*M250-CEG_Assets!$M$9*M$4</f>
        <v>0</v>
      </c>
      <c r="N251" s="7" t="n">
        <f aca="false">INDEX(Prices!N:N,CEG_Assets!$AN$9)*CEG_Assets!$J$9-CEG_Assets!$K$9*N250-CEG_Assets!$M$9*N$4</f>
        <v>0</v>
      </c>
      <c r="O251" s="7" t="n">
        <f aca="false">INDEX(Prices!O:O,CEG_Assets!$AN$9)*CEG_Assets!$J$9-CEG_Assets!$K$9*O250-CEG_Assets!$M$9*O$4</f>
        <v>0</v>
      </c>
      <c r="P251" s="7" t="n">
        <f aca="false">INDEX(Prices!P:P,CEG_Assets!$AN$9)*CEG_Assets!$J$9-CEG_Assets!$K$9*P250-CEG_Assets!$M$9*P$4</f>
        <v>0</v>
      </c>
      <c r="Q251" s="7" t="n">
        <f aca="false">INDEX(Prices!Q:Q,CEG_Assets!$AN$9)*CEG_Assets!$J$9-CEG_Assets!$K$9*Q250-CEG_Assets!$M$9*Q$4</f>
        <v>0</v>
      </c>
      <c r="R251" s="7" t="n">
        <f aca="false">INDEX(Prices!R:R,CEG_Assets!$AN$9)*CEG_Assets!$J$9-CEG_Assets!$K$9*R250-CEG_Assets!$M$9*R$4</f>
        <v>0</v>
      </c>
      <c r="S251" s="7" t="n">
        <f aca="false">INDEX(Prices!S:S,CEG_Assets!$AN$9)*CEG_Assets!$J$9-CEG_Assets!$K$9*S250-CEG_Assets!$M$9*S$4</f>
        <v>0</v>
      </c>
      <c r="T251" s="7" t="n">
        <f aca="false">INDEX(Prices!T:T,CEG_Assets!$AN$9)*CEG_Assets!$J$9-CEG_Assets!$K$9*T250-CEG_Assets!$M$9*T$4</f>
        <v>0</v>
      </c>
      <c r="U251" s="7" t="n">
        <f aca="false">INDEX(Prices!U:U,CEG_Assets!$AN$9)*CEG_Assets!$J$9-CEG_Assets!$K$9*U250-CEG_Assets!$M$9*U$4</f>
        <v>0</v>
      </c>
      <c r="V251" s="7" t="n">
        <f aca="false">INDEX(Prices!V:V,CEG_Assets!$AN$9)*CEG_Assets!$J$9-CEG_Assets!$K$9*V250-CEG_Assets!$M$9*V$4</f>
        <v>0</v>
      </c>
      <c r="W251" s="7" t="n">
        <f aca="false">INDEX(Prices!W:W,CEG_Assets!$AN$9)*CEG_Assets!$J$9-CEG_Assets!$K$9*W250-CEG_Assets!$M$9*W$4</f>
        <v>0</v>
      </c>
      <c r="X251" s="7" t="n">
        <f aca="false">INDEX(Prices!X:X,CEG_Assets!$AN$9)*CEG_Assets!$J$9-CEG_Assets!$K$9*X250-CEG_Assets!$M$9*X$4</f>
        <v>0</v>
      </c>
      <c r="Y251" s="7" t="n">
        <f aca="false">INDEX(Prices!Y:Y,CEG_Assets!$AN$9)*CEG_Assets!$J$9-CEG_Assets!$K$9*Y250-CEG_Assets!$M$9*Y$4</f>
        <v>0</v>
      </c>
      <c r="Z251" s="7" t="n">
        <f aca="false">INDEX(Prices!Z:Z,CEG_Assets!$AN$9)*CEG_Assets!$J$9-CEG_Assets!$K$9*Z250-CEG_Assets!$M$9*Z$4</f>
        <v>0</v>
      </c>
      <c r="AA251" s="7" t="n">
        <f aca="false">INDEX(Prices!AA:AA,CEG_Assets!$AN$9)*CEG_Assets!$J$9-CEG_Assets!$K$9*AA250-CEG_Assets!$M$9*AA$4</f>
        <v>0</v>
      </c>
      <c r="AB251" s="7" t="n">
        <f aca="false">INDEX(Prices!AB:AB,CEG_Assets!$AN$9)*CEG_Assets!$J$9-CEG_Assets!$K$9*AB250-CEG_Assets!$M$9*AB$4</f>
        <v>0</v>
      </c>
      <c r="AC251" s="7" t="n">
        <f aca="false">INDEX(Prices!AC:AC,CEG_Assets!$AN$9)*CEG_Assets!$J$9-CEG_Assets!$K$9*AC250-CEG_Assets!$M$9*AC$4</f>
        <v>0</v>
      </c>
      <c r="AD251" s="7" t="n">
        <f aca="false">INDEX(Prices!AD:AD,CEG_Assets!$AN$9)*CEG_Assets!$J$9-CEG_Assets!$K$9*AD250-CEG_Assets!$M$9*AD$4</f>
        <v>0</v>
      </c>
      <c r="AE251" s="7" t="n">
        <f aca="false">INDEX(Prices!AE:AE,CEG_Assets!$AN$9)*CEG_Assets!$J$9-CEG_Assets!$K$9*AE250-CEG_Assets!$M$9*AE$4</f>
        <v>0</v>
      </c>
      <c r="AF251" s="7" t="n">
        <f aca="false">INDEX(Prices!AF:AF,CEG_Assets!$AN$9)*CEG_Assets!$J$9-CEG_Assets!$K$9*AF250-CEG_Assets!$M$9*AF$4</f>
        <v>0</v>
      </c>
      <c r="AG251" s="7" t="n">
        <f aca="false">INDEX(Prices!AG:AG,CEG_Assets!$AN$9)*CEG_Assets!$J$9-CEG_Assets!$K$9*AG250-CEG_Assets!$M$9*AG$4</f>
        <v>0</v>
      </c>
      <c r="AH251" s="7" t="n">
        <f aca="false">INDEX(Prices!AH:AH,CEG_Assets!$AN$9)*CEG_Assets!$J$9-CEG_Assets!$K$9*AH250-CEG_Assets!$M$9*AH$4</f>
        <v>0</v>
      </c>
      <c r="AI251" s="7" t="n">
        <f aca="false">INDEX(Prices!AI:AI,CEG_Assets!$AN$9)*CEG_Assets!$J$9-CEG_Assets!$K$9*AI250-CEG_Assets!$M$9*AI$4</f>
        <v>0</v>
      </c>
      <c r="AJ251" s="7" t="n">
        <f aca="false">INDEX(Prices!AJ:AJ,CEG_Assets!$AN$9)*CEG_Assets!$J$9-CEG_Assets!$K$9*AJ250-CEG_Assets!$M$9*AJ$4</f>
        <v>0</v>
      </c>
      <c r="AK251" s="7" t="n">
        <f aca="false">INDEX(Prices!AK:AK,CEG_Assets!$AN$9)*CEG_Assets!$J$9-CEG_Assets!$K$9*AK250-CEG_Assets!$M$9*AK$4</f>
        <v>0</v>
      </c>
      <c r="AL251" s="7" t="n">
        <f aca="false">INDEX(Prices!AL:AL,CEG_Assets!$AN$9)*CEG_Assets!$J$9-CEG_Assets!$K$9*AL250-CEG_Assets!$M$9*AL$4</f>
        <v>0</v>
      </c>
      <c r="AM251" s="7" t="n">
        <f aca="false">INDEX(Prices!AM:AM,CEG_Assets!$AN$9)*CEG_Assets!$J$9-CEG_Assets!$K$9*AM250-CEG_Assets!$M$9*AM$4</f>
        <v>0</v>
      </c>
      <c r="AN251" s="7" t="n">
        <f aca="false">INDEX(Prices!AN:AN,CEG_Assets!$AN$9)*CEG_Assets!$J$9-CEG_Assets!$K$9*AN250-CEG_Assets!$M$9*AN$4</f>
        <v>0</v>
      </c>
      <c r="AO251" s="7" t="n">
        <f aca="false">INDEX(Prices!AO:AO,CEG_Assets!$AN$9)*CEG_Assets!$J$9-CEG_Assets!$K$9*AO250-CEG_Assets!$M$9*AO$4</f>
        <v>0</v>
      </c>
      <c r="AP251" s="7" t="n">
        <f aca="false">INDEX(Prices!AP:AP,CEG_Assets!$AN$9)*CEG_Assets!$J$9-CEG_Assets!$K$9*AP250-CEG_Assets!$M$9*AP$4</f>
        <v>0</v>
      </c>
      <c r="AQ251" s="7" t="n">
        <f aca="false">INDEX(Prices!AQ:AQ,CEG_Assets!$AN$9)*CEG_Assets!$J$9-CEG_Assets!$K$9*AQ250-CEG_Assets!$M$9*AQ$4</f>
        <v>0</v>
      </c>
      <c r="AR251" s="7" t="n">
        <f aca="false">INDEX(Prices!AR:AR,CEG_Assets!$AN$9)*CEG_Assets!$J$9-CEG_Assets!$K$9*AR250-CEG_Assets!$M$9*AR$4</f>
        <v>0</v>
      </c>
      <c r="AS251" s="7" t="n">
        <f aca="false">INDEX(Prices!AS:AS,CEG_Assets!$AN$9)*CEG_Assets!$J$9-CEG_Assets!$K$9*AS250-CEG_Assets!$M$9*AS$4</f>
        <v>0</v>
      </c>
    </row>
    <row r="252" customFormat="false" ht="15" hidden="false" customHeight="false" outlineLevel="0" collapsed="false">
      <c r="A252" s="6" t="s">
        <v>437</v>
      </c>
      <c r="B252" s="6" t="s">
        <v>438</v>
      </c>
      <c r="G252" s="47" t="n">
        <f aca="false">IF(CEG_Assets!$X$9=1,IF(G251&gt;0,1,0),1)</f>
        <v>1</v>
      </c>
      <c r="H252" s="47" t="n">
        <f aca="false">IF(CEG_Assets!$X$9=1,IF(H251&gt;0,1,0),1)</f>
        <v>1</v>
      </c>
      <c r="I252" s="47" t="n">
        <f aca="false">IF(CEG_Assets!$X$9=1,IF(I251&gt;0,1,0),1)</f>
        <v>1</v>
      </c>
      <c r="J252" s="47" t="n">
        <f aca="false">IF(CEG_Assets!$X$9=1,IF(J251&gt;0,1,0),1)</f>
        <v>1</v>
      </c>
      <c r="K252" s="47" t="n">
        <f aca="false">IF(CEG_Assets!$X$9=1,IF(K251&gt;0,1,0),1)</f>
        <v>1</v>
      </c>
      <c r="L252" s="47" t="n">
        <f aca="false">IF(CEG_Assets!$X$9=1,IF(L251&gt;0,1,0),1)</f>
        <v>1</v>
      </c>
      <c r="M252" s="47" t="n">
        <f aca="false">IF(CEG_Assets!$X$9=1,IF(M251&gt;0,1,0),1)</f>
        <v>1</v>
      </c>
      <c r="N252" s="47" t="n">
        <f aca="false">IF(CEG_Assets!$X$9=1,IF(N251&gt;0,1,0),1)</f>
        <v>1</v>
      </c>
      <c r="O252" s="47" t="n">
        <f aca="false">IF(CEG_Assets!$X$9=1,IF(O251&gt;0,1,0),1)</f>
        <v>1</v>
      </c>
      <c r="P252" s="47" t="n">
        <f aca="false">IF(CEG_Assets!$X$9=1,IF(P251&gt;0,1,0),1)</f>
        <v>1</v>
      </c>
      <c r="Q252" s="47" t="n">
        <f aca="false">IF(CEG_Assets!$X$9=1,IF(Q251&gt;0,1,0),1)</f>
        <v>1</v>
      </c>
      <c r="R252" s="47" t="n">
        <f aca="false">IF(CEG_Assets!$X$9=1,IF(R251&gt;0,1,0),1)</f>
        <v>1</v>
      </c>
      <c r="S252" s="47" t="n">
        <f aca="false">IF(CEG_Assets!$X$9=1,IF(S251&gt;0,1,0),1)</f>
        <v>1</v>
      </c>
      <c r="T252" s="47" t="n">
        <f aca="false">IF(CEG_Assets!$X$9=1,IF(T251&gt;0,1,0),1)</f>
        <v>1</v>
      </c>
      <c r="U252" s="47" t="n">
        <f aca="false">IF(CEG_Assets!$X$9=1,IF(U251&gt;0,1,0),1)</f>
        <v>1</v>
      </c>
      <c r="V252" s="47" t="n">
        <f aca="false">IF(CEG_Assets!$X$9=1,IF(V251&gt;0,1,0),1)</f>
        <v>1</v>
      </c>
      <c r="W252" s="47" t="n">
        <f aca="false">IF(CEG_Assets!$X$9=1,IF(W251&gt;0,1,0),1)</f>
        <v>1</v>
      </c>
      <c r="X252" s="47" t="n">
        <f aca="false">IF(CEG_Assets!$X$9=1,IF(X251&gt;0,1,0),1)</f>
        <v>1</v>
      </c>
      <c r="Y252" s="47" t="n">
        <f aca="false">IF(CEG_Assets!$X$9=1,IF(Y251&gt;0,1,0),1)</f>
        <v>1</v>
      </c>
      <c r="Z252" s="47" t="n">
        <f aca="false">IF(CEG_Assets!$X$9=1,IF(Z251&gt;0,1,0),1)</f>
        <v>1</v>
      </c>
      <c r="AA252" s="47" t="n">
        <f aca="false">IF(CEG_Assets!$X$9=1,IF(AA251&gt;0,1,0),1)</f>
        <v>1</v>
      </c>
      <c r="AB252" s="47" t="n">
        <f aca="false">IF(CEG_Assets!$X$9=1,IF(AB251&gt;0,1,0),1)</f>
        <v>1</v>
      </c>
      <c r="AC252" s="47" t="n">
        <f aca="false">IF(CEG_Assets!$X$9=1,IF(AC251&gt;0,1,0),1)</f>
        <v>1</v>
      </c>
      <c r="AD252" s="47" t="n">
        <f aca="false">IF(CEG_Assets!$X$9=1,IF(AD251&gt;0,1,0),1)</f>
        <v>1</v>
      </c>
      <c r="AE252" s="47" t="n">
        <f aca="false">IF(CEG_Assets!$X$9=1,IF(AE251&gt;0,1,0),1)</f>
        <v>1</v>
      </c>
      <c r="AF252" s="47" t="n">
        <f aca="false">IF(CEG_Assets!$X$9=1,IF(AF251&gt;0,1,0),1)</f>
        <v>1</v>
      </c>
      <c r="AG252" s="47" t="n">
        <f aca="false">IF(CEG_Assets!$X$9=1,IF(AG251&gt;0,1,0),1)</f>
        <v>1</v>
      </c>
      <c r="AH252" s="47" t="n">
        <f aca="false">IF(CEG_Assets!$X$9=1,IF(AH251&gt;0,1,0),1)</f>
        <v>1</v>
      </c>
      <c r="AI252" s="47" t="n">
        <f aca="false">IF(CEG_Assets!$X$9=1,IF(AI251&gt;0,1,0),1)</f>
        <v>1</v>
      </c>
      <c r="AJ252" s="47" t="n">
        <f aca="false">IF(CEG_Assets!$X$9=1,IF(AJ251&gt;0,1,0),1)</f>
        <v>1</v>
      </c>
      <c r="AK252" s="47" t="n">
        <f aca="false">IF(CEG_Assets!$X$9=1,IF(AK251&gt;0,1,0),1)</f>
        <v>1</v>
      </c>
      <c r="AL252" s="47" t="n">
        <f aca="false">IF(CEG_Assets!$X$9=1,IF(AL251&gt;0,1,0),1)</f>
        <v>1</v>
      </c>
      <c r="AM252" s="47" t="n">
        <f aca="false">IF(CEG_Assets!$X$9=1,IF(AM251&gt;0,1,0),1)</f>
        <v>1</v>
      </c>
      <c r="AN252" s="47" t="n">
        <f aca="false">IF(CEG_Assets!$X$9=1,IF(AN251&gt;0,1,0),1)</f>
        <v>1</v>
      </c>
      <c r="AO252" s="47" t="n">
        <f aca="false">IF(CEG_Assets!$X$9=1,IF(AO251&gt;0,1,0),1)</f>
        <v>1</v>
      </c>
      <c r="AP252" s="47" t="n">
        <f aca="false">IF(CEG_Assets!$X$9=1,IF(AP251&gt;0,1,0),1)</f>
        <v>1</v>
      </c>
      <c r="AQ252" s="47" t="n">
        <f aca="false">IF(CEG_Assets!$X$9=1,IF(AQ251&gt;0,1,0),1)</f>
        <v>1</v>
      </c>
      <c r="AR252" s="47" t="n">
        <f aca="false">IF(CEG_Assets!$X$9=1,IF(AR251&gt;0,1,0),1)</f>
        <v>1</v>
      </c>
      <c r="AS252" s="47" t="n">
        <f aca="false">IF(CEG_Assets!$X$9=1,IF(AS251&gt;0,1,0),1)</f>
        <v>1</v>
      </c>
    </row>
    <row r="253" customFormat="false" ht="15" hidden="false" customHeight="false" outlineLevel="0" collapsed="false">
      <c r="A253" s="6" t="s">
        <v>439</v>
      </c>
      <c r="B253" s="6" t="s">
        <v>440</v>
      </c>
      <c r="C253" s="9" t="n">
        <f aca="false">SUM(G253:AS253)</f>
        <v>0</v>
      </c>
      <c r="G253" s="8" t="n">
        <f aca="false">G248*INDEX(Prices!G:G,CEG_Assets!$AN$9)*CEG_Assets!$J$9*G252/1000000*(1+CEG_RevAdj)</f>
        <v>0</v>
      </c>
      <c r="H253" s="8" t="n">
        <f aca="false">H248*INDEX(Prices!H:H,CEG_Assets!$AN$9)*CEG_Assets!$J$9*H252/1000000*(1+CEG_RevAdj)</f>
        <v>0</v>
      </c>
      <c r="I253" s="8" t="n">
        <f aca="false">I248*INDEX(Prices!I:I,CEG_Assets!$AN$9)*CEG_Assets!$J$9*I252/1000000*(1+CEG_RevAdj)</f>
        <v>0</v>
      </c>
      <c r="J253" s="8" t="n">
        <f aca="false">J248*INDEX(Prices!J:J,CEG_Assets!$AN$9)*CEG_Assets!$J$9*J252/1000000*(1+CEG_RevAdj)</f>
        <v>0</v>
      </c>
      <c r="K253" s="8" t="n">
        <f aca="false">K248*INDEX(Prices!K:K,CEG_Assets!$AN$9)*CEG_Assets!$J$9*K252/1000000*(1+CEG_RevAdj)</f>
        <v>0</v>
      </c>
      <c r="L253" s="8" t="n">
        <f aca="false">L248*INDEX(Prices!L:L,CEG_Assets!$AN$9)*CEG_Assets!$J$9*L252/1000000*(1+CEG_RevAdj)</f>
        <v>0</v>
      </c>
      <c r="M253" s="8" t="n">
        <f aca="false">M248*INDEX(Prices!M:M,CEG_Assets!$AN$9)*CEG_Assets!$J$9*M252/1000000*(1+CEG_RevAdj)</f>
        <v>0</v>
      </c>
      <c r="N253" s="8" t="n">
        <f aca="false">N248*INDEX(Prices!N:N,CEG_Assets!$AN$9)*CEG_Assets!$J$9*N252/1000000*(1+CEG_RevAdj)</f>
        <v>0</v>
      </c>
      <c r="O253" s="8" t="n">
        <f aca="false">O248*INDEX(Prices!O:O,CEG_Assets!$AN$9)*CEG_Assets!$J$9*O252/1000000*(1+CEG_RevAdj)</f>
        <v>0</v>
      </c>
      <c r="P253" s="8" t="n">
        <f aca="false">P248*INDEX(Prices!P:P,CEG_Assets!$AN$9)*CEG_Assets!$J$9*P252/1000000*(1+CEG_RevAdj)</f>
        <v>0</v>
      </c>
      <c r="Q253" s="8" t="n">
        <f aca="false">Q248*INDEX(Prices!Q:Q,CEG_Assets!$AN$9)*CEG_Assets!$J$9*Q252/1000000*(1+CEG_RevAdj)</f>
        <v>0</v>
      </c>
      <c r="R253" s="8" t="n">
        <f aca="false">R248*INDEX(Prices!R:R,CEG_Assets!$AN$9)*CEG_Assets!$J$9*R252/1000000*(1+CEG_RevAdj)</f>
        <v>0</v>
      </c>
      <c r="S253" s="8" t="n">
        <f aca="false">S248*INDEX(Prices!S:S,CEG_Assets!$AN$9)*CEG_Assets!$J$9*S252/1000000*(1+CEG_RevAdj)</f>
        <v>0</v>
      </c>
      <c r="T253" s="8" t="n">
        <f aca="false">T248*INDEX(Prices!T:T,CEG_Assets!$AN$9)*CEG_Assets!$J$9*T252/1000000*(1+CEG_RevAdj)</f>
        <v>0</v>
      </c>
      <c r="U253" s="8" t="n">
        <f aca="false">U248*INDEX(Prices!U:U,CEG_Assets!$AN$9)*CEG_Assets!$J$9*U252/1000000*(1+CEG_RevAdj)</f>
        <v>0</v>
      </c>
      <c r="V253" s="8" t="n">
        <f aca="false">V248*INDEX(Prices!V:V,CEG_Assets!$AN$9)*CEG_Assets!$J$9*V252/1000000*(1+CEG_RevAdj)</f>
        <v>0</v>
      </c>
      <c r="W253" s="8" t="n">
        <f aca="false">W248*INDEX(Prices!W:W,CEG_Assets!$AN$9)*CEG_Assets!$J$9*W252/1000000*(1+CEG_RevAdj)</f>
        <v>0</v>
      </c>
      <c r="X253" s="8" t="n">
        <f aca="false">X248*INDEX(Prices!X:X,CEG_Assets!$AN$9)*CEG_Assets!$J$9*X252/1000000*(1+CEG_RevAdj)</f>
        <v>0</v>
      </c>
      <c r="Y253" s="8" t="n">
        <f aca="false">Y248*INDEX(Prices!Y:Y,CEG_Assets!$AN$9)*CEG_Assets!$J$9*Y252/1000000*(1+CEG_RevAdj)</f>
        <v>0</v>
      </c>
      <c r="Z253" s="8" t="n">
        <f aca="false">Z248*INDEX(Prices!Z:Z,CEG_Assets!$AN$9)*CEG_Assets!$J$9*Z252/1000000*(1+CEG_RevAdj)</f>
        <v>0</v>
      </c>
      <c r="AA253" s="8" t="n">
        <f aca="false">AA248*INDEX(Prices!AA:AA,CEG_Assets!$AN$9)*CEG_Assets!$J$9*AA252/1000000*(1+CEG_RevAdj)</f>
        <v>0</v>
      </c>
      <c r="AB253" s="8" t="n">
        <f aca="false">AB248*INDEX(Prices!AB:AB,CEG_Assets!$AN$9)*CEG_Assets!$J$9*AB252/1000000*(1+CEG_RevAdj)</f>
        <v>0</v>
      </c>
      <c r="AC253" s="8" t="n">
        <f aca="false">AC248*INDEX(Prices!AC:AC,CEG_Assets!$AN$9)*CEG_Assets!$J$9*AC252/1000000*(1+CEG_RevAdj)</f>
        <v>0</v>
      </c>
      <c r="AD253" s="8" t="n">
        <f aca="false">AD248*INDEX(Prices!AD:AD,CEG_Assets!$AN$9)*CEG_Assets!$J$9*AD252/1000000*(1+CEG_RevAdj)</f>
        <v>0</v>
      </c>
      <c r="AE253" s="8" t="n">
        <f aca="false">AE248*INDEX(Prices!AE:AE,CEG_Assets!$AN$9)*CEG_Assets!$J$9*AE252/1000000*(1+CEG_RevAdj)</f>
        <v>0</v>
      </c>
      <c r="AF253" s="8" t="n">
        <f aca="false">AF248*INDEX(Prices!AF:AF,CEG_Assets!$AN$9)*CEG_Assets!$J$9*AF252/1000000*(1+CEG_RevAdj)</f>
        <v>0</v>
      </c>
      <c r="AG253" s="8" t="n">
        <f aca="false">AG248*INDEX(Prices!AG:AG,CEG_Assets!$AN$9)*CEG_Assets!$J$9*AG252/1000000*(1+CEG_RevAdj)</f>
        <v>0</v>
      </c>
      <c r="AH253" s="8" t="n">
        <f aca="false">AH248*INDEX(Prices!AH:AH,CEG_Assets!$AN$9)*CEG_Assets!$J$9*AH252/1000000*(1+CEG_RevAdj)</f>
        <v>0</v>
      </c>
      <c r="AI253" s="8" t="n">
        <f aca="false">AI248*INDEX(Prices!AI:AI,CEG_Assets!$AN$9)*CEG_Assets!$J$9*AI252/1000000*(1+CEG_RevAdj)</f>
        <v>0</v>
      </c>
      <c r="AJ253" s="8" t="n">
        <f aca="false">AJ248*INDEX(Prices!AJ:AJ,CEG_Assets!$AN$9)*CEG_Assets!$J$9*AJ252/1000000*(1+CEG_RevAdj)</f>
        <v>0</v>
      </c>
      <c r="AK253" s="8" t="n">
        <f aca="false">AK248*INDEX(Prices!AK:AK,CEG_Assets!$AN$9)*CEG_Assets!$J$9*AK252/1000000*(1+CEG_RevAdj)</f>
        <v>0</v>
      </c>
      <c r="AL253" s="8" t="n">
        <f aca="false">AL248*INDEX(Prices!AL:AL,CEG_Assets!$AN$9)*CEG_Assets!$J$9*AL252/1000000*(1+CEG_RevAdj)</f>
        <v>0</v>
      </c>
      <c r="AM253" s="8" t="n">
        <f aca="false">AM248*INDEX(Prices!AM:AM,CEG_Assets!$AN$9)*CEG_Assets!$J$9*AM252/1000000*(1+CEG_RevAdj)</f>
        <v>0</v>
      </c>
      <c r="AN253" s="8" t="n">
        <f aca="false">AN248*INDEX(Prices!AN:AN,CEG_Assets!$AN$9)*CEG_Assets!$J$9*AN252/1000000*(1+CEG_RevAdj)</f>
        <v>0</v>
      </c>
      <c r="AO253" s="8" t="n">
        <f aca="false">AO248*INDEX(Prices!AO:AO,CEG_Assets!$AN$9)*CEG_Assets!$J$9*AO252/1000000*(1+CEG_RevAdj)</f>
        <v>0</v>
      </c>
      <c r="AP253" s="8" t="n">
        <f aca="false">AP248*INDEX(Prices!AP:AP,CEG_Assets!$AN$9)*CEG_Assets!$J$9*AP252/1000000*(1+CEG_RevAdj)</f>
        <v>0</v>
      </c>
      <c r="AQ253" s="8" t="n">
        <f aca="false">AQ248*INDEX(Prices!AQ:AQ,CEG_Assets!$AN$9)*CEG_Assets!$J$9*AQ252/1000000*(1+CEG_RevAdj)</f>
        <v>0</v>
      </c>
      <c r="AR253" s="8" t="n">
        <f aca="false">AR248*INDEX(Prices!AR:AR,CEG_Assets!$AN$9)*CEG_Assets!$J$9*AR252/1000000*(1+CEG_RevAdj)</f>
        <v>0</v>
      </c>
      <c r="AS253" s="8" t="n">
        <f aca="false">AS248*INDEX(Prices!AS:AS,CEG_Assets!$AN$9)*CEG_Assets!$J$9*AS252/1000000*(1+CEG_RevAdj)</f>
        <v>0</v>
      </c>
    </row>
    <row r="254" customFormat="false" ht="15" hidden="false" customHeight="false" outlineLevel="0" collapsed="false">
      <c r="A254" s="6" t="s">
        <v>441</v>
      </c>
      <c r="B254" s="6" t="s">
        <v>442</v>
      </c>
      <c r="C254" s="9" t="n">
        <f aca="false">SUM(G254:AS254)</f>
        <v>0</v>
      </c>
      <c r="G254" s="8" t="n">
        <f aca="false">(CEG_Assets!$D$9-G247)*INDEX(Prices!G:G,CEG_Assets!$AP$9)*365*CEG_Assets!$T$9*G246/1000000*(1+CEG_RevAdj)</f>
        <v>0</v>
      </c>
      <c r="H254" s="8" t="n">
        <f aca="false">(CEG_Assets!$D$9-H247)*INDEX(Prices!H:H,CEG_Assets!$AP$9)*365*CEG_Assets!$T$9*H246/1000000*(1+CEG_RevAdj)</f>
        <v>0</v>
      </c>
      <c r="I254" s="8" t="n">
        <f aca="false">(CEG_Assets!$D$9-I247)*INDEX(Prices!I:I,CEG_Assets!$AP$9)*365*CEG_Assets!$T$9*I246/1000000*(1+CEG_RevAdj)</f>
        <v>0</v>
      </c>
      <c r="J254" s="8" t="n">
        <f aca="false">(CEG_Assets!$D$9-J247)*INDEX(Prices!J:J,CEG_Assets!$AP$9)*365*CEG_Assets!$T$9*J246/1000000*(1+CEG_RevAdj)</f>
        <v>0</v>
      </c>
      <c r="K254" s="8" t="n">
        <f aca="false">(CEG_Assets!$D$9-K247)*INDEX(Prices!K:K,CEG_Assets!$AP$9)*365*CEG_Assets!$T$9*K246/1000000*(1+CEG_RevAdj)</f>
        <v>0</v>
      </c>
      <c r="L254" s="8" t="n">
        <f aca="false">(CEG_Assets!$D$9-L247)*INDEX(Prices!L:L,CEG_Assets!$AP$9)*365*CEG_Assets!$T$9*L246/1000000*(1+CEG_RevAdj)</f>
        <v>0</v>
      </c>
      <c r="M254" s="8" t="n">
        <f aca="false">(CEG_Assets!$D$9-M247)*INDEX(Prices!M:M,CEG_Assets!$AP$9)*365*CEG_Assets!$T$9*M246/1000000*(1+CEG_RevAdj)</f>
        <v>0</v>
      </c>
      <c r="N254" s="8" t="n">
        <f aca="false">(CEG_Assets!$D$9-N247)*INDEX(Prices!N:N,CEG_Assets!$AP$9)*365*CEG_Assets!$T$9*N246/1000000*(1+CEG_RevAdj)</f>
        <v>0</v>
      </c>
      <c r="O254" s="8" t="n">
        <f aca="false">(CEG_Assets!$D$9-O247)*INDEX(Prices!O:O,CEG_Assets!$AP$9)*365*CEG_Assets!$T$9*O246/1000000*(1+CEG_RevAdj)</f>
        <v>0</v>
      </c>
      <c r="P254" s="8" t="n">
        <f aca="false">(CEG_Assets!$D$9-P247)*INDEX(Prices!P:P,CEG_Assets!$AP$9)*365*CEG_Assets!$T$9*P246/1000000*(1+CEG_RevAdj)</f>
        <v>0</v>
      </c>
      <c r="Q254" s="8" t="n">
        <f aca="false">(CEG_Assets!$D$9-Q247)*INDEX(Prices!Q:Q,CEG_Assets!$AP$9)*365*CEG_Assets!$T$9*Q246/1000000*(1+CEG_RevAdj)</f>
        <v>0</v>
      </c>
      <c r="R254" s="8" t="n">
        <f aca="false">(CEG_Assets!$D$9-R247)*INDEX(Prices!R:R,CEG_Assets!$AP$9)*365*CEG_Assets!$T$9*R246/1000000*(1+CEG_RevAdj)</f>
        <v>0</v>
      </c>
      <c r="S254" s="8" t="n">
        <f aca="false">(CEG_Assets!$D$9-S247)*INDEX(Prices!S:S,CEG_Assets!$AP$9)*365*CEG_Assets!$T$9*S246/1000000*(1+CEG_RevAdj)</f>
        <v>0</v>
      </c>
      <c r="T254" s="8" t="n">
        <f aca="false">(CEG_Assets!$D$9-T247)*INDEX(Prices!T:T,CEG_Assets!$AP$9)*365*CEG_Assets!$T$9*T246/1000000*(1+CEG_RevAdj)</f>
        <v>0</v>
      </c>
      <c r="U254" s="8" t="n">
        <f aca="false">(CEG_Assets!$D$9-U247)*INDEX(Prices!U:U,CEG_Assets!$AP$9)*365*CEG_Assets!$T$9*U246/1000000*(1+CEG_RevAdj)</f>
        <v>0</v>
      </c>
      <c r="V254" s="8" t="n">
        <f aca="false">(CEG_Assets!$D$9-V247)*INDEX(Prices!V:V,CEG_Assets!$AP$9)*365*CEG_Assets!$T$9*V246/1000000*(1+CEG_RevAdj)</f>
        <v>0</v>
      </c>
      <c r="W254" s="8" t="n">
        <f aca="false">(CEG_Assets!$D$9-W247)*INDEX(Prices!W:W,CEG_Assets!$AP$9)*365*CEG_Assets!$T$9*W246/1000000*(1+CEG_RevAdj)</f>
        <v>0</v>
      </c>
      <c r="X254" s="8" t="n">
        <f aca="false">(CEG_Assets!$D$9-X247)*INDEX(Prices!X:X,CEG_Assets!$AP$9)*365*CEG_Assets!$T$9*X246/1000000*(1+CEG_RevAdj)</f>
        <v>0</v>
      </c>
      <c r="Y254" s="8" t="n">
        <f aca="false">(CEG_Assets!$D$9-Y247)*INDEX(Prices!Y:Y,CEG_Assets!$AP$9)*365*CEG_Assets!$T$9*Y246/1000000*(1+CEG_RevAdj)</f>
        <v>0</v>
      </c>
      <c r="Z254" s="8" t="n">
        <f aca="false">(CEG_Assets!$D$9-Z247)*INDEX(Prices!Z:Z,CEG_Assets!$AP$9)*365*CEG_Assets!$T$9*Z246/1000000*(1+CEG_RevAdj)</f>
        <v>0</v>
      </c>
      <c r="AA254" s="8" t="n">
        <f aca="false">(CEG_Assets!$D$9-AA247)*INDEX(Prices!AA:AA,CEG_Assets!$AP$9)*365*CEG_Assets!$T$9*AA246/1000000*(1+CEG_RevAdj)</f>
        <v>0</v>
      </c>
      <c r="AB254" s="8" t="n">
        <f aca="false">(CEG_Assets!$D$9-AB247)*INDEX(Prices!AB:AB,CEG_Assets!$AP$9)*365*CEG_Assets!$T$9*AB246/1000000*(1+CEG_RevAdj)</f>
        <v>0</v>
      </c>
      <c r="AC254" s="8" t="n">
        <f aca="false">(CEG_Assets!$D$9-AC247)*INDEX(Prices!AC:AC,CEG_Assets!$AP$9)*365*CEG_Assets!$T$9*AC246/1000000*(1+CEG_RevAdj)</f>
        <v>0</v>
      </c>
      <c r="AD254" s="8" t="n">
        <f aca="false">(CEG_Assets!$D$9-AD247)*INDEX(Prices!AD:AD,CEG_Assets!$AP$9)*365*CEG_Assets!$T$9*AD246/1000000*(1+CEG_RevAdj)</f>
        <v>0</v>
      </c>
      <c r="AE254" s="8" t="n">
        <f aca="false">(CEG_Assets!$D$9-AE247)*INDEX(Prices!AE:AE,CEG_Assets!$AP$9)*365*CEG_Assets!$T$9*AE246/1000000*(1+CEG_RevAdj)</f>
        <v>0</v>
      </c>
      <c r="AF254" s="8" t="n">
        <f aca="false">(CEG_Assets!$D$9-AF247)*INDEX(Prices!AF:AF,CEG_Assets!$AP$9)*365*CEG_Assets!$T$9*AF246/1000000*(1+CEG_RevAdj)</f>
        <v>0</v>
      </c>
      <c r="AG254" s="8" t="n">
        <f aca="false">(CEG_Assets!$D$9-AG247)*INDEX(Prices!AG:AG,CEG_Assets!$AP$9)*365*CEG_Assets!$T$9*AG246/1000000*(1+CEG_RevAdj)</f>
        <v>0</v>
      </c>
      <c r="AH254" s="8" t="n">
        <f aca="false">(CEG_Assets!$D$9-AH247)*INDEX(Prices!AH:AH,CEG_Assets!$AP$9)*365*CEG_Assets!$T$9*AH246/1000000*(1+CEG_RevAdj)</f>
        <v>0</v>
      </c>
      <c r="AI254" s="8" t="n">
        <f aca="false">(CEG_Assets!$D$9-AI247)*INDEX(Prices!AI:AI,CEG_Assets!$AP$9)*365*CEG_Assets!$T$9*AI246/1000000*(1+CEG_RevAdj)</f>
        <v>0</v>
      </c>
      <c r="AJ254" s="8" t="n">
        <f aca="false">(CEG_Assets!$D$9-AJ247)*INDEX(Prices!AJ:AJ,CEG_Assets!$AP$9)*365*CEG_Assets!$T$9*AJ246/1000000*(1+CEG_RevAdj)</f>
        <v>0</v>
      </c>
      <c r="AK254" s="8" t="n">
        <f aca="false">(CEG_Assets!$D$9-AK247)*INDEX(Prices!AK:AK,CEG_Assets!$AP$9)*365*CEG_Assets!$T$9*AK246/1000000*(1+CEG_RevAdj)</f>
        <v>0</v>
      </c>
      <c r="AL254" s="8" t="n">
        <f aca="false">(CEG_Assets!$D$9-AL247)*INDEX(Prices!AL:AL,CEG_Assets!$AP$9)*365*CEG_Assets!$T$9*AL246/1000000*(1+CEG_RevAdj)</f>
        <v>0</v>
      </c>
      <c r="AM254" s="8" t="n">
        <f aca="false">(CEG_Assets!$D$9-AM247)*INDEX(Prices!AM:AM,CEG_Assets!$AP$9)*365*CEG_Assets!$T$9*AM246/1000000*(1+CEG_RevAdj)</f>
        <v>0</v>
      </c>
      <c r="AN254" s="8" t="n">
        <f aca="false">(CEG_Assets!$D$9-AN247)*INDEX(Prices!AN:AN,CEG_Assets!$AP$9)*365*CEG_Assets!$T$9*AN246/1000000*(1+CEG_RevAdj)</f>
        <v>0</v>
      </c>
      <c r="AO254" s="8" t="n">
        <f aca="false">(CEG_Assets!$D$9-AO247)*INDEX(Prices!AO:AO,CEG_Assets!$AP$9)*365*CEG_Assets!$T$9*AO246/1000000*(1+CEG_RevAdj)</f>
        <v>0</v>
      </c>
      <c r="AP254" s="8" t="n">
        <f aca="false">(CEG_Assets!$D$9-AP247)*INDEX(Prices!AP:AP,CEG_Assets!$AP$9)*365*CEG_Assets!$T$9*AP246/1000000*(1+CEG_RevAdj)</f>
        <v>0</v>
      </c>
      <c r="AQ254" s="8" t="n">
        <f aca="false">(CEG_Assets!$D$9-AQ247)*INDEX(Prices!AQ:AQ,CEG_Assets!$AP$9)*365*CEG_Assets!$T$9*AQ246/1000000*(1+CEG_RevAdj)</f>
        <v>0</v>
      </c>
      <c r="AR254" s="8" t="n">
        <f aca="false">(CEG_Assets!$D$9-AR247)*INDEX(Prices!AR:AR,CEG_Assets!$AP$9)*365*CEG_Assets!$T$9*AR246/1000000*(1+CEG_RevAdj)</f>
        <v>0</v>
      </c>
      <c r="AS254" s="8" t="n">
        <f aca="false">(CEG_Assets!$D$9-AS247)*INDEX(Prices!AS:AS,CEG_Assets!$AP$9)*365*CEG_Assets!$T$9*AS246/1000000*(1+CEG_RevAdj)</f>
        <v>0</v>
      </c>
    </row>
    <row r="255" customFormat="false" ht="15" hidden="false" customHeight="false" outlineLevel="0" collapsed="false">
      <c r="A255" s="6" t="s">
        <v>443</v>
      </c>
      <c r="B255" s="6" t="s">
        <v>444</v>
      </c>
      <c r="C255" s="9" t="n">
        <f aca="false">SUM(G255:AS255)</f>
        <v>0</v>
      </c>
      <c r="G255" s="8" t="n">
        <f aca="false">G249*(CEG_Assets!$AD$9+CEG_PPAAdj)/1000000*(1+CEG_RevAdj)</f>
        <v>0</v>
      </c>
      <c r="H255" s="8" t="n">
        <f aca="false">H249*(CEG_Assets!$AD$9+CEG_PPAAdj)/1000000*(1+CEG_RevAdj)</f>
        <v>0</v>
      </c>
      <c r="I255" s="8" t="n">
        <f aca="false">I249*(CEG_Assets!$AD$9+CEG_PPAAdj)/1000000*(1+CEG_RevAdj)</f>
        <v>0</v>
      </c>
      <c r="J255" s="8" t="n">
        <f aca="false">J249*(CEG_Assets!$AD$9+CEG_PPAAdj)/1000000*(1+CEG_RevAdj)</f>
        <v>0</v>
      </c>
      <c r="K255" s="8" t="n">
        <f aca="false">K249*(CEG_Assets!$AD$9+CEG_PPAAdj)/1000000*(1+CEG_RevAdj)</f>
        <v>0</v>
      </c>
      <c r="L255" s="8" t="n">
        <f aca="false">L249*(CEG_Assets!$AD$9+CEG_PPAAdj)/1000000*(1+CEG_RevAdj)</f>
        <v>0</v>
      </c>
      <c r="M255" s="8" t="n">
        <f aca="false">M249*(CEG_Assets!$AD$9+CEG_PPAAdj)/1000000*(1+CEG_RevAdj)</f>
        <v>0</v>
      </c>
      <c r="N255" s="8" t="n">
        <f aca="false">N249*(CEG_Assets!$AD$9+CEG_PPAAdj)/1000000*(1+CEG_RevAdj)</f>
        <v>0</v>
      </c>
      <c r="O255" s="8" t="n">
        <f aca="false">O249*(CEG_Assets!$AD$9+CEG_PPAAdj)/1000000*(1+CEG_RevAdj)</f>
        <v>0</v>
      </c>
      <c r="P255" s="8" t="n">
        <f aca="false">P249*(CEG_Assets!$AD$9+CEG_PPAAdj)/1000000*(1+CEG_RevAdj)</f>
        <v>0</v>
      </c>
      <c r="Q255" s="8" t="n">
        <f aca="false">Q249*(CEG_Assets!$AD$9+CEG_PPAAdj)/1000000*(1+CEG_RevAdj)</f>
        <v>0</v>
      </c>
      <c r="R255" s="8" t="n">
        <f aca="false">R249*(CEG_Assets!$AD$9+CEG_PPAAdj)/1000000*(1+CEG_RevAdj)</f>
        <v>0</v>
      </c>
      <c r="S255" s="8" t="n">
        <f aca="false">S249*(CEG_Assets!$AD$9+CEG_PPAAdj)/1000000*(1+CEG_RevAdj)</f>
        <v>0</v>
      </c>
      <c r="T255" s="8" t="n">
        <f aca="false">T249*(CEG_Assets!$AD$9+CEG_PPAAdj)/1000000*(1+CEG_RevAdj)</f>
        <v>0</v>
      </c>
      <c r="U255" s="8" t="n">
        <f aca="false">U249*(CEG_Assets!$AD$9+CEG_PPAAdj)/1000000*(1+CEG_RevAdj)</f>
        <v>0</v>
      </c>
      <c r="V255" s="8" t="n">
        <f aca="false">V249*(CEG_Assets!$AD$9+CEG_PPAAdj)/1000000*(1+CEG_RevAdj)</f>
        <v>0</v>
      </c>
      <c r="W255" s="8" t="n">
        <f aca="false">W249*(CEG_Assets!$AD$9+CEG_PPAAdj)/1000000*(1+CEG_RevAdj)</f>
        <v>0</v>
      </c>
      <c r="X255" s="8" t="n">
        <f aca="false">X249*(CEG_Assets!$AD$9+CEG_PPAAdj)/1000000*(1+CEG_RevAdj)</f>
        <v>0</v>
      </c>
      <c r="Y255" s="8" t="n">
        <f aca="false">Y249*(CEG_Assets!$AD$9+CEG_PPAAdj)/1000000*(1+CEG_RevAdj)</f>
        <v>0</v>
      </c>
      <c r="Z255" s="8" t="n">
        <f aca="false">Z249*(CEG_Assets!$AD$9+CEG_PPAAdj)/1000000*(1+CEG_RevAdj)</f>
        <v>0</v>
      </c>
      <c r="AA255" s="8" t="n">
        <f aca="false">AA249*(CEG_Assets!$AD$9+CEG_PPAAdj)/1000000*(1+CEG_RevAdj)</f>
        <v>0</v>
      </c>
      <c r="AB255" s="8" t="n">
        <f aca="false">AB249*(CEG_Assets!$AD$9+CEG_PPAAdj)/1000000*(1+CEG_RevAdj)</f>
        <v>0</v>
      </c>
      <c r="AC255" s="8" t="n">
        <f aca="false">AC249*(CEG_Assets!$AD$9+CEG_PPAAdj)/1000000*(1+CEG_RevAdj)</f>
        <v>0</v>
      </c>
      <c r="AD255" s="8" t="n">
        <f aca="false">AD249*(CEG_Assets!$AD$9+CEG_PPAAdj)/1000000*(1+CEG_RevAdj)</f>
        <v>0</v>
      </c>
      <c r="AE255" s="8" t="n">
        <f aca="false">AE249*(CEG_Assets!$AD$9+CEG_PPAAdj)/1000000*(1+CEG_RevAdj)</f>
        <v>0</v>
      </c>
      <c r="AF255" s="8" t="n">
        <f aca="false">AF249*(CEG_Assets!$AD$9+CEG_PPAAdj)/1000000*(1+CEG_RevAdj)</f>
        <v>0</v>
      </c>
      <c r="AG255" s="8" t="n">
        <f aca="false">AG249*(CEG_Assets!$AD$9+CEG_PPAAdj)/1000000*(1+CEG_RevAdj)</f>
        <v>0</v>
      </c>
      <c r="AH255" s="8" t="n">
        <f aca="false">AH249*(CEG_Assets!$AD$9+CEG_PPAAdj)/1000000*(1+CEG_RevAdj)</f>
        <v>0</v>
      </c>
      <c r="AI255" s="8" t="n">
        <f aca="false">AI249*(CEG_Assets!$AD$9+CEG_PPAAdj)/1000000*(1+CEG_RevAdj)</f>
        <v>0</v>
      </c>
      <c r="AJ255" s="8" t="n">
        <f aca="false">AJ249*(CEG_Assets!$AD$9+CEG_PPAAdj)/1000000*(1+CEG_RevAdj)</f>
        <v>0</v>
      </c>
      <c r="AK255" s="8" t="n">
        <f aca="false">AK249*(CEG_Assets!$AD$9+CEG_PPAAdj)/1000000*(1+CEG_RevAdj)</f>
        <v>0</v>
      </c>
      <c r="AL255" s="8" t="n">
        <f aca="false">AL249*(CEG_Assets!$AD$9+CEG_PPAAdj)/1000000*(1+CEG_RevAdj)</f>
        <v>0</v>
      </c>
      <c r="AM255" s="8" t="n">
        <f aca="false">AM249*(CEG_Assets!$AD$9+CEG_PPAAdj)/1000000*(1+CEG_RevAdj)</f>
        <v>0</v>
      </c>
      <c r="AN255" s="8" t="n">
        <f aca="false">AN249*(CEG_Assets!$AD$9+CEG_PPAAdj)/1000000*(1+CEG_RevAdj)</f>
        <v>0</v>
      </c>
      <c r="AO255" s="8" t="n">
        <f aca="false">AO249*(CEG_Assets!$AD$9+CEG_PPAAdj)/1000000*(1+CEG_RevAdj)</f>
        <v>0</v>
      </c>
      <c r="AP255" s="8" t="n">
        <f aca="false">AP249*(CEG_Assets!$AD$9+CEG_PPAAdj)/1000000*(1+CEG_RevAdj)</f>
        <v>0</v>
      </c>
      <c r="AQ255" s="8" t="n">
        <f aca="false">AQ249*(CEG_Assets!$AD$9+CEG_PPAAdj)/1000000*(1+CEG_RevAdj)</f>
        <v>0</v>
      </c>
      <c r="AR255" s="8" t="n">
        <f aca="false">AR249*(CEG_Assets!$AD$9+CEG_PPAAdj)/1000000*(1+CEG_RevAdj)</f>
        <v>0</v>
      </c>
      <c r="AS255" s="8" t="n">
        <f aca="false">AS249*(CEG_Assets!$AD$9+CEG_PPAAdj)/1000000*(1+CEG_RevAdj)</f>
        <v>0</v>
      </c>
    </row>
    <row r="256" customFormat="false" ht="15" hidden="false" customHeight="false" outlineLevel="0" collapsed="false">
      <c r="A256" s="6" t="s">
        <v>445</v>
      </c>
      <c r="B256" s="6" t="s">
        <v>446</v>
      </c>
      <c r="C256" s="9" t="n">
        <f aca="false">SUM(G256:AS256)</f>
        <v>0</v>
      </c>
      <c r="G256" s="8" t="n">
        <f aca="false">IF(G$3&lt;=CEG_Assets!$V$9,G248*CEG_Assets!$U$9,0)/1000000*(1+CEG_RevAdj)</f>
        <v>0</v>
      </c>
      <c r="H256" s="8" t="n">
        <f aca="false">IF(H$3&lt;=CEG_Assets!$V$9,H248*CEG_Assets!$U$9,0)/1000000*(1+CEG_RevAdj)</f>
        <v>0</v>
      </c>
      <c r="I256" s="8" t="n">
        <f aca="false">IF(I$3&lt;=CEG_Assets!$V$9,I248*CEG_Assets!$U$9,0)/1000000*(1+CEG_RevAdj)</f>
        <v>0</v>
      </c>
      <c r="J256" s="8" t="n">
        <f aca="false">IF(J$3&lt;=CEG_Assets!$V$9,J248*CEG_Assets!$U$9,0)/1000000*(1+CEG_RevAdj)</f>
        <v>0</v>
      </c>
      <c r="K256" s="8" t="n">
        <f aca="false">IF(K$3&lt;=CEG_Assets!$V$9,K248*CEG_Assets!$U$9,0)/1000000*(1+CEG_RevAdj)</f>
        <v>0</v>
      </c>
      <c r="L256" s="8" t="n">
        <f aca="false">IF(L$3&lt;=CEG_Assets!$V$9,L248*CEG_Assets!$U$9,0)/1000000*(1+CEG_RevAdj)</f>
        <v>0</v>
      </c>
      <c r="M256" s="8" t="n">
        <f aca="false">IF(M$3&lt;=CEG_Assets!$V$9,M248*CEG_Assets!$U$9,0)/1000000*(1+CEG_RevAdj)</f>
        <v>0</v>
      </c>
      <c r="N256" s="8" t="n">
        <f aca="false">IF(N$3&lt;=CEG_Assets!$V$9,N248*CEG_Assets!$U$9,0)/1000000*(1+CEG_RevAdj)</f>
        <v>0</v>
      </c>
      <c r="O256" s="8" t="n">
        <f aca="false">IF(O$3&lt;=CEG_Assets!$V$9,O248*CEG_Assets!$U$9,0)/1000000*(1+CEG_RevAdj)</f>
        <v>0</v>
      </c>
      <c r="P256" s="8" t="n">
        <f aca="false">IF(P$3&lt;=CEG_Assets!$V$9,P248*CEG_Assets!$U$9,0)/1000000*(1+CEG_RevAdj)</f>
        <v>0</v>
      </c>
      <c r="Q256" s="8" t="n">
        <f aca="false">IF(Q$3&lt;=CEG_Assets!$V$9,Q248*CEG_Assets!$U$9,0)/1000000*(1+CEG_RevAdj)</f>
        <v>0</v>
      </c>
      <c r="R256" s="8" t="n">
        <f aca="false">IF(R$3&lt;=CEG_Assets!$V$9,R248*CEG_Assets!$U$9,0)/1000000*(1+CEG_RevAdj)</f>
        <v>0</v>
      </c>
      <c r="S256" s="8" t="n">
        <f aca="false">IF(S$3&lt;=CEG_Assets!$V$9,S248*CEG_Assets!$U$9,0)/1000000*(1+CEG_RevAdj)</f>
        <v>0</v>
      </c>
      <c r="T256" s="8" t="n">
        <f aca="false">IF(T$3&lt;=CEG_Assets!$V$9,T248*CEG_Assets!$U$9,0)/1000000*(1+CEG_RevAdj)</f>
        <v>0</v>
      </c>
      <c r="U256" s="8" t="n">
        <f aca="false">IF(U$3&lt;=CEG_Assets!$V$9,U248*CEG_Assets!$U$9,0)/1000000*(1+CEG_RevAdj)</f>
        <v>0</v>
      </c>
      <c r="V256" s="8" t="n">
        <f aca="false">IF(V$3&lt;=CEG_Assets!$V$9,V248*CEG_Assets!$U$9,0)/1000000*(1+CEG_RevAdj)</f>
        <v>0</v>
      </c>
      <c r="W256" s="8" t="n">
        <f aca="false">IF(W$3&lt;=CEG_Assets!$V$9,W248*CEG_Assets!$U$9,0)/1000000*(1+CEG_RevAdj)</f>
        <v>0</v>
      </c>
      <c r="X256" s="8" t="n">
        <f aca="false">IF(X$3&lt;=CEG_Assets!$V$9,X248*CEG_Assets!$U$9,0)/1000000*(1+CEG_RevAdj)</f>
        <v>0</v>
      </c>
      <c r="Y256" s="8" t="n">
        <f aca="false">IF(Y$3&lt;=CEG_Assets!$V$9,Y248*CEG_Assets!$U$9,0)/1000000*(1+CEG_RevAdj)</f>
        <v>0</v>
      </c>
      <c r="Z256" s="8" t="n">
        <f aca="false">IF(Z$3&lt;=CEG_Assets!$V$9,Z248*CEG_Assets!$U$9,0)/1000000*(1+CEG_RevAdj)</f>
        <v>0</v>
      </c>
      <c r="AA256" s="8" t="n">
        <f aca="false">IF(AA$3&lt;=CEG_Assets!$V$9,AA248*CEG_Assets!$U$9,0)/1000000*(1+CEG_RevAdj)</f>
        <v>0</v>
      </c>
      <c r="AB256" s="8" t="n">
        <f aca="false">IF(AB$3&lt;=CEG_Assets!$V$9,AB248*CEG_Assets!$U$9,0)/1000000*(1+CEG_RevAdj)</f>
        <v>0</v>
      </c>
      <c r="AC256" s="8" t="n">
        <f aca="false">IF(AC$3&lt;=CEG_Assets!$V$9,AC248*CEG_Assets!$U$9,0)/1000000*(1+CEG_RevAdj)</f>
        <v>0</v>
      </c>
      <c r="AD256" s="8" t="n">
        <f aca="false">IF(AD$3&lt;=CEG_Assets!$V$9,AD248*CEG_Assets!$U$9,0)/1000000*(1+CEG_RevAdj)</f>
        <v>0</v>
      </c>
      <c r="AE256" s="8" t="n">
        <f aca="false">IF(AE$3&lt;=CEG_Assets!$V$9,AE248*CEG_Assets!$U$9,0)/1000000*(1+CEG_RevAdj)</f>
        <v>0</v>
      </c>
      <c r="AF256" s="8" t="n">
        <f aca="false">IF(AF$3&lt;=CEG_Assets!$V$9,AF248*CEG_Assets!$U$9,0)/1000000*(1+CEG_RevAdj)</f>
        <v>0</v>
      </c>
      <c r="AG256" s="8" t="n">
        <f aca="false">IF(AG$3&lt;=CEG_Assets!$V$9,AG248*CEG_Assets!$U$9,0)/1000000*(1+CEG_RevAdj)</f>
        <v>0</v>
      </c>
      <c r="AH256" s="8" t="n">
        <f aca="false">IF(AH$3&lt;=CEG_Assets!$V$9,AH248*CEG_Assets!$U$9,0)/1000000*(1+CEG_RevAdj)</f>
        <v>0</v>
      </c>
      <c r="AI256" s="8" t="n">
        <f aca="false">IF(AI$3&lt;=CEG_Assets!$V$9,AI248*CEG_Assets!$U$9,0)/1000000*(1+CEG_RevAdj)</f>
        <v>0</v>
      </c>
      <c r="AJ256" s="8" t="n">
        <f aca="false">IF(AJ$3&lt;=CEG_Assets!$V$9,AJ248*CEG_Assets!$U$9,0)/1000000*(1+CEG_RevAdj)</f>
        <v>0</v>
      </c>
      <c r="AK256" s="8" t="n">
        <f aca="false">IF(AK$3&lt;=CEG_Assets!$V$9,AK248*CEG_Assets!$U$9,0)/1000000*(1+CEG_RevAdj)</f>
        <v>0</v>
      </c>
      <c r="AL256" s="8" t="n">
        <f aca="false">IF(AL$3&lt;=CEG_Assets!$V$9,AL248*CEG_Assets!$U$9,0)/1000000*(1+CEG_RevAdj)</f>
        <v>0</v>
      </c>
      <c r="AM256" s="8" t="n">
        <f aca="false">IF(AM$3&lt;=CEG_Assets!$V$9,AM248*CEG_Assets!$U$9,0)/1000000*(1+CEG_RevAdj)</f>
        <v>0</v>
      </c>
      <c r="AN256" s="8" t="n">
        <f aca="false">IF(AN$3&lt;=CEG_Assets!$V$9,AN248*CEG_Assets!$U$9,0)/1000000*(1+CEG_RevAdj)</f>
        <v>0</v>
      </c>
      <c r="AO256" s="8" t="n">
        <f aca="false">IF(AO$3&lt;=CEG_Assets!$V$9,AO248*CEG_Assets!$U$9,0)/1000000*(1+CEG_RevAdj)</f>
        <v>0</v>
      </c>
      <c r="AP256" s="8" t="n">
        <f aca="false">IF(AP$3&lt;=CEG_Assets!$V$9,AP248*CEG_Assets!$U$9,0)/1000000*(1+CEG_RevAdj)</f>
        <v>0</v>
      </c>
      <c r="AQ256" s="8" t="n">
        <f aca="false">IF(AQ$3&lt;=CEG_Assets!$V$9,AQ248*CEG_Assets!$U$9,0)/1000000*(1+CEG_RevAdj)</f>
        <v>0</v>
      </c>
      <c r="AR256" s="8" t="n">
        <f aca="false">IF(AR$3&lt;=CEG_Assets!$V$9,AR248*CEG_Assets!$U$9,0)/1000000*(1+CEG_RevAdj)</f>
        <v>0</v>
      </c>
      <c r="AS256" s="8" t="n">
        <f aca="false">IF(AS$3&lt;=CEG_Assets!$V$9,AS248*CEG_Assets!$U$9,0)/1000000*(1+CEG_RevAdj)</f>
        <v>0</v>
      </c>
    </row>
    <row r="257" customFormat="false" ht="15" hidden="false" customHeight="false" outlineLevel="0" collapsed="false">
      <c r="A257" s="6" t="s">
        <v>447</v>
      </c>
      <c r="B257" s="6" t="s">
        <v>448</v>
      </c>
      <c r="C257" s="9" t="n">
        <f aca="false">SUM(G257:AS257)</f>
        <v>0</v>
      </c>
      <c r="G257" s="8" t="n">
        <f aca="false">G253+G254+G255+G256</f>
        <v>0</v>
      </c>
      <c r="H257" s="8" t="n">
        <f aca="false">H253+H254+H255+H256</f>
        <v>0</v>
      </c>
      <c r="I257" s="8" t="n">
        <f aca="false">I253+I254+I255+I256</f>
        <v>0</v>
      </c>
      <c r="J257" s="8" t="n">
        <f aca="false">J253+J254+J255+J256</f>
        <v>0</v>
      </c>
      <c r="K257" s="8" t="n">
        <f aca="false">K253+K254+K255+K256</f>
        <v>0</v>
      </c>
      <c r="L257" s="8" t="n">
        <f aca="false">L253+L254+L255+L256</f>
        <v>0</v>
      </c>
      <c r="M257" s="8" t="n">
        <f aca="false">M253+M254+M255+M256</f>
        <v>0</v>
      </c>
      <c r="N257" s="8" t="n">
        <f aca="false">N253+N254+N255+N256</f>
        <v>0</v>
      </c>
      <c r="O257" s="8" t="n">
        <f aca="false">O253+O254+O255+O256</f>
        <v>0</v>
      </c>
      <c r="P257" s="8" t="n">
        <f aca="false">P253+P254+P255+P256</f>
        <v>0</v>
      </c>
      <c r="Q257" s="8" t="n">
        <f aca="false">Q253+Q254+Q255+Q256</f>
        <v>0</v>
      </c>
      <c r="R257" s="8" t="n">
        <f aca="false">R253+R254+R255+R256</f>
        <v>0</v>
      </c>
      <c r="S257" s="8" t="n">
        <f aca="false">S253+S254+S255+S256</f>
        <v>0</v>
      </c>
      <c r="T257" s="8" t="n">
        <f aca="false">T253+T254+T255+T256</f>
        <v>0</v>
      </c>
      <c r="U257" s="8" t="n">
        <f aca="false">U253+U254+U255+U256</f>
        <v>0</v>
      </c>
      <c r="V257" s="8" t="n">
        <f aca="false">V253+V254+V255+V256</f>
        <v>0</v>
      </c>
      <c r="W257" s="8" t="n">
        <f aca="false">W253+W254+W255+W256</f>
        <v>0</v>
      </c>
      <c r="X257" s="8" t="n">
        <f aca="false">X253+X254+X255+X256</f>
        <v>0</v>
      </c>
      <c r="Y257" s="8" t="n">
        <f aca="false">Y253+Y254+Y255+Y256</f>
        <v>0</v>
      </c>
      <c r="Z257" s="8" t="n">
        <f aca="false">Z253+Z254+Z255+Z256</f>
        <v>0</v>
      </c>
      <c r="AA257" s="8" t="n">
        <f aca="false">AA253+AA254+AA255+AA256</f>
        <v>0</v>
      </c>
      <c r="AB257" s="8" t="n">
        <f aca="false">AB253+AB254+AB255+AB256</f>
        <v>0</v>
      </c>
      <c r="AC257" s="8" t="n">
        <f aca="false">AC253+AC254+AC255+AC256</f>
        <v>0</v>
      </c>
      <c r="AD257" s="8" t="n">
        <f aca="false">AD253+AD254+AD255+AD256</f>
        <v>0</v>
      </c>
      <c r="AE257" s="8" t="n">
        <f aca="false">AE253+AE254+AE255+AE256</f>
        <v>0</v>
      </c>
      <c r="AF257" s="8" t="n">
        <f aca="false">AF253+AF254+AF255+AF256</f>
        <v>0</v>
      </c>
      <c r="AG257" s="8" t="n">
        <f aca="false">AG253+AG254+AG255+AG256</f>
        <v>0</v>
      </c>
      <c r="AH257" s="8" t="n">
        <f aca="false">AH253+AH254+AH255+AH256</f>
        <v>0</v>
      </c>
      <c r="AI257" s="8" t="n">
        <f aca="false">AI253+AI254+AI255+AI256</f>
        <v>0</v>
      </c>
      <c r="AJ257" s="8" t="n">
        <f aca="false">AJ253+AJ254+AJ255+AJ256</f>
        <v>0</v>
      </c>
      <c r="AK257" s="8" t="n">
        <f aca="false">AK253+AK254+AK255+AK256</f>
        <v>0</v>
      </c>
      <c r="AL257" s="8" t="n">
        <f aca="false">AL253+AL254+AL255+AL256</f>
        <v>0</v>
      </c>
      <c r="AM257" s="8" t="n">
        <f aca="false">AM253+AM254+AM255+AM256</f>
        <v>0</v>
      </c>
      <c r="AN257" s="8" t="n">
        <f aca="false">AN253+AN254+AN255+AN256</f>
        <v>0</v>
      </c>
      <c r="AO257" s="8" t="n">
        <f aca="false">AO253+AO254+AO255+AO256</f>
        <v>0</v>
      </c>
      <c r="AP257" s="8" t="n">
        <f aca="false">AP253+AP254+AP255+AP256</f>
        <v>0</v>
      </c>
      <c r="AQ257" s="8" t="n">
        <f aca="false">AQ253+AQ254+AQ255+AQ256</f>
        <v>0</v>
      </c>
      <c r="AR257" s="8" t="n">
        <f aca="false">AR253+AR254+AR255+AR256</f>
        <v>0</v>
      </c>
      <c r="AS257" s="8" t="n">
        <f aca="false">AS253+AS254+AS255+AS256</f>
        <v>0</v>
      </c>
    </row>
    <row r="258" customFormat="false" ht="15" hidden="false" customHeight="false" outlineLevel="0" collapsed="false">
      <c r="A258" s="6" t="s">
        <v>449</v>
      </c>
      <c r="B258" s="6" t="s">
        <v>450</v>
      </c>
      <c r="C258" s="9" t="n">
        <f aca="false">SUM(G258:AS258)</f>
        <v>0</v>
      </c>
      <c r="G258" s="8" t="n">
        <f aca="false">((CEG_Assets!$K$9*G250+CEG_Assets!$M$9*G$4)*G248*G252+CEG_Assets!$N$9*(1+CEG_Assets!$Q$9)^(G$3-2026)*(G248+G249))/1000000*(1+CEG_FuelAdj)</f>
        <v>0</v>
      </c>
      <c r="H258" s="8" t="n">
        <f aca="false">((CEG_Assets!$K$9*H250+CEG_Assets!$M$9*H$4)*H248*H252+CEG_Assets!$N$9*(1+CEG_Assets!$Q$9)^(H$3-2026)*(H248+H249))/1000000*(1+CEG_FuelAdj)</f>
        <v>0</v>
      </c>
      <c r="I258" s="8" t="n">
        <f aca="false">((CEG_Assets!$K$9*I250+CEG_Assets!$M$9*I$4)*I248*I252+CEG_Assets!$N$9*(1+CEG_Assets!$Q$9)^(I$3-2026)*(I248+I249))/1000000*(1+CEG_FuelAdj)</f>
        <v>0</v>
      </c>
      <c r="J258" s="8" t="n">
        <f aca="false">((CEG_Assets!$K$9*J250+CEG_Assets!$M$9*J$4)*J248*J252+CEG_Assets!$N$9*(1+CEG_Assets!$Q$9)^(J$3-2026)*(J248+J249))/1000000*(1+CEG_FuelAdj)</f>
        <v>0</v>
      </c>
      <c r="K258" s="8" t="n">
        <f aca="false">((CEG_Assets!$K$9*K250+CEG_Assets!$M$9*K$4)*K248*K252+CEG_Assets!$N$9*(1+CEG_Assets!$Q$9)^(K$3-2026)*(K248+K249))/1000000*(1+CEG_FuelAdj)</f>
        <v>0</v>
      </c>
      <c r="L258" s="8" t="n">
        <f aca="false">((CEG_Assets!$K$9*L250+CEG_Assets!$M$9*L$4)*L248*L252+CEG_Assets!$N$9*(1+CEG_Assets!$Q$9)^(L$3-2026)*(L248+L249))/1000000*(1+CEG_FuelAdj)</f>
        <v>0</v>
      </c>
      <c r="M258" s="8" t="n">
        <f aca="false">((CEG_Assets!$K$9*M250+CEG_Assets!$M$9*M$4)*M248*M252+CEG_Assets!$N$9*(1+CEG_Assets!$Q$9)^(M$3-2026)*(M248+M249))/1000000*(1+CEG_FuelAdj)</f>
        <v>0</v>
      </c>
      <c r="N258" s="8" t="n">
        <f aca="false">((CEG_Assets!$K$9*N250+CEG_Assets!$M$9*N$4)*N248*N252+CEG_Assets!$N$9*(1+CEG_Assets!$Q$9)^(N$3-2026)*(N248+N249))/1000000*(1+CEG_FuelAdj)</f>
        <v>0</v>
      </c>
      <c r="O258" s="8" t="n">
        <f aca="false">((CEG_Assets!$K$9*O250+CEG_Assets!$M$9*O$4)*O248*O252+CEG_Assets!$N$9*(1+CEG_Assets!$Q$9)^(O$3-2026)*(O248+O249))/1000000*(1+CEG_FuelAdj)</f>
        <v>0</v>
      </c>
      <c r="P258" s="8" t="n">
        <f aca="false">((CEG_Assets!$K$9*P250+CEG_Assets!$M$9*P$4)*P248*P252+CEG_Assets!$N$9*(1+CEG_Assets!$Q$9)^(P$3-2026)*(P248+P249))/1000000*(1+CEG_FuelAdj)</f>
        <v>0</v>
      </c>
      <c r="Q258" s="8" t="n">
        <f aca="false">((CEG_Assets!$K$9*Q250+CEG_Assets!$M$9*Q$4)*Q248*Q252+CEG_Assets!$N$9*(1+CEG_Assets!$Q$9)^(Q$3-2026)*(Q248+Q249))/1000000*(1+CEG_FuelAdj)</f>
        <v>0</v>
      </c>
      <c r="R258" s="8" t="n">
        <f aca="false">((CEG_Assets!$K$9*R250+CEG_Assets!$M$9*R$4)*R248*R252+CEG_Assets!$N$9*(1+CEG_Assets!$Q$9)^(R$3-2026)*(R248+R249))/1000000*(1+CEG_FuelAdj)</f>
        <v>0</v>
      </c>
      <c r="S258" s="8" t="n">
        <f aca="false">((CEG_Assets!$K$9*S250+CEG_Assets!$M$9*S$4)*S248*S252+CEG_Assets!$N$9*(1+CEG_Assets!$Q$9)^(S$3-2026)*(S248+S249))/1000000*(1+CEG_FuelAdj)</f>
        <v>0</v>
      </c>
      <c r="T258" s="8" t="n">
        <f aca="false">((CEG_Assets!$K$9*T250+CEG_Assets!$M$9*T$4)*T248*T252+CEG_Assets!$N$9*(1+CEG_Assets!$Q$9)^(T$3-2026)*(T248+T249))/1000000*(1+CEG_FuelAdj)</f>
        <v>0</v>
      </c>
      <c r="U258" s="8" t="n">
        <f aca="false">((CEG_Assets!$K$9*U250+CEG_Assets!$M$9*U$4)*U248*U252+CEG_Assets!$N$9*(1+CEG_Assets!$Q$9)^(U$3-2026)*(U248+U249))/1000000*(1+CEG_FuelAdj)</f>
        <v>0</v>
      </c>
      <c r="V258" s="8" t="n">
        <f aca="false">((CEG_Assets!$K$9*V250+CEG_Assets!$M$9*V$4)*V248*V252+CEG_Assets!$N$9*(1+CEG_Assets!$Q$9)^(V$3-2026)*(V248+V249))/1000000*(1+CEG_FuelAdj)</f>
        <v>0</v>
      </c>
      <c r="W258" s="8" t="n">
        <f aca="false">((CEG_Assets!$K$9*W250+CEG_Assets!$M$9*W$4)*W248*W252+CEG_Assets!$N$9*(1+CEG_Assets!$Q$9)^(W$3-2026)*(W248+W249))/1000000*(1+CEG_FuelAdj)</f>
        <v>0</v>
      </c>
      <c r="X258" s="8" t="n">
        <f aca="false">((CEG_Assets!$K$9*X250+CEG_Assets!$M$9*X$4)*X248*X252+CEG_Assets!$N$9*(1+CEG_Assets!$Q$9)^(X$3-2026)*(X248+X249))/1000000*(1+CEG_FuelAdj)</f>
        <v>0</v>
      </c>
      <c r="Y258" s="8" t="n">
        <f aca="false">((CEG_Assets!$K$9*Y250+CEG_Assets!$M$9*Y$4)*Y248*Y252+CEG_Assets!$N$9*(1+CEG_Assets!$Q$9)^(Y$3-2026)*(Y248+Y249))/1000000*(1+CEG_FuelAdj)</f>
        <v>0</v>
      </c>
      <c r="Z258" s="8" t="n">
        <f aca="false">((CEG_Assets!$K$9*Z250+CEG_Assets!$M$9*Z$4)*Z248*Z252+CEG_Assets!$N$9*(1+CEG_Assets!$Q$9)^(Z$3-2026)*(Z248+Z249))/1000000*(1+CEG_FuelAdj)</f>
        <v>0</v>
      </c>
      <c r="AA258" s="8" t="n">
        <f aca="false">((CEG_Assets!$K$9*AA250+CEG_Assets!$M$9*AA$4)*AA248*AA252+CEG_Assets!$N$9*(1+CEG_Assets!$Q$9)^(AA$3-2026)*(AA248+AA249))/1000000*(1+CEG_FuelAdj)</f>
        <v>0</v>
      </c>
      <c r="AB258" s="8" t="n">
        <f aca="false">((CEG_Assets!$K$9*AB250+CEG_Assets!$M$9*AB$4)*AB248*AB252+CEG_Assets!$N$9*(1+CEG_Assets!$Q$9)^(AB$3-2026)*(AB248+AB249))/1000000*(1+CEG_FuelAdj)</f>
        <v>0</v>
      </c>
      <c r="AC258" s="8" t="n">
        <f aca="false">((CEG_Assets!$K$9*AC250+CEG_Assets!$M$9*AC$4)*AC248*AC252+CEG_Assets!$N$9*(1+CEG_Assets!$Q$9)^(AC$3-2026)*(AC248+AC249))/1000000*(1+CEG_FuelAdj)</f>
        <v>0</v>
      </c>
      <c r="AD258" s="8" t="n">
        <f aca="false">((CEG_Assets!$K$9*AD250+CEG_Assets!$M$9*AD$4)*AD248*AD252+CEG_Assets!$N$9*(1+CEG_Assets!$Q$9)^(AD$3-2026)*(AD248+AD249))/1000000*(1+CEG_FuelAdj)</f>
        <v>0</v>
      </c>
      <c r="AE258" s="8" t="n">
        <f aca="false">((CEG_Assets!$K$9*AE250+CEG_Assets!$M$9*AE$4)*AE248*AE252+CEG_Assets!$N$9*(1+CEG_Assets!$Q$9)^(AE$3-2026)*(AE248+AE249))/1000000*(1+CEG_FuelAdj)</f>
        <v>0</v>
      </c>
      <c r="AF258" s="8" t="n">
        <f aca="false">((CEG_Assets!$K$9*AF250+CEG_Assets!$M$9*AF$4)*AF248*AF252+CEG_Assets!$N$9*(1+CEG_Assets!$Q$9)^(AF$3-2026)*(AF248+AF249))/1000000*(1+CEG_FuelAdj)</f>
        <v>0</v>
      </c>
      <c r="AG258" s="8" t="n">
        <f aca="false">((CEG_Assets!$K$9*AG250+CEG_Assets!$M$9*AG$4)*AG248*AG252+CEG_Assets!$N$9*(1+CEG_Assets!$Q$9)^(AG$3-2026)*(AG248+AG249))/1000000*(1+CEG_FuelAdj)</f>
        <v>0</v>
      </c>
      <c r="AH258" s="8" t="n">
        <f aca="false">((CEG_Assets!$K$9*AH250+CEG_Assets!$M$9*AH$4)*AH248*AH252+CEG_Assets!$N$9*(1+CEG_Assets!$Q$9)^(AH$3-2026)*(AH248+AH249))/1000000*(1+CEG_FuelAdj)</f>
        <v>0</v>
      </c>
      <c r="AI258" s="8" t="n">
        <f aca="false">((CEG_Assets!$K$9*AI250+CEG_Assets!$M$9*AI$4)*AI248*AI252+CEG_Assets!$N$9*(1+CEG_Assets!$Q$9)^(AI$3-2026)*(AI248+AI249))/1000000*(1+CEG_FuelAdj)</f>
        <v>0</v>
      </c>
      <c r="AJ258" s="8" t="n">
        <f aca="false">((CEG_Assets!$K$9*AJ250+CEG_Assets!$M$9*AJ$4)*AJ248*AJ252+CEG_Assets!$N$9*(1+CEG_Assets!$Q$9)^(AJ$3-2026)*(AJ248+AJ249))/1000000*(1+CEG_FuelAdj)</f>
        <v>0</v>
      </c>
      <c r="AK258" s="8" t="n">
        <f aca="false">((CEG_Assets!$K$9*AK250+CEG_Assets!$M$9*AK$4)*AK248*AK252+CEG_Assets!$N$9*(1+CEG_Assets!$Q$9)^(AK$3-2026)*(AK248+AK249))/1000000*(1+CEG_FuelAdj)</f>
        <v>0</v>
      </c>
      <c r="AL258" s="8" t="n">
        <f aca="false">((CEG_Assets!$K$9*AL250+CEG_Assets!$M$9*AL$4)*AL248*AL252+CEG_Assets!$N$9*(1+CEG_Assets!$Q$9)^(AL$3-2026)*(AL248+AL249))/1000000*(1+CEG_FuelAdj)</f>
        <v>0</v>
      </c>
      <c r="AM258" s="8" t="n">
        <f aca="false">((CEG_Assets!$K$9*AM250+CEG_Assets!$M$9*AM$4)*AM248*AM252+CEG_Assets!$N$9*(1+CEG_Assets!$Q$9)^(AM$3-2026)*(AM248+AM249))/1000000*(1+CEG_FuelAdj)</f>
        <v>0</v>
      </c>
      <c r="AN258" s="8" t="n">
        <f aca="false">((CEG_Assets!$K$9*AN250+CEG_Assets!$M$9*AN$4)*AN248*AN252+CEG_Assets!$N$9*(1+CEG_Assets!$Q$9)^(AN$3-2026)*(AN248+AN249))/1000000*(1+CEG_FuelAdj)</f>
        <v>0</v>
      </c>
      <c r="AO258" s="8" t="n">
        <f aca="false">((CEG_Assets!$K$9*AO250+CEG_Assets!$M$9*AO$4)*AO248*AO252+CEG_Assets!$N$9*(1+CEG_Assets!$Q$9)^(AO$3-2026)*(AO248+AO249))/1000000*(1+CEG_FuelAdj)</f>
        <v>0</v>
      </c>
      <c r="AP258" s="8" t="n">
        <f aca="false">((CEG_Assets!$K$9*AP250+CEG_Assets!$M$9*AP$4)*AP248*AP252+CEG_Assets!$N$9*(1+CEG_Assets!$Q$9)^(AP$3-2026)*(AP248+AP249))/1000000*(1+CEG_FuelAdj)</f>
        <v>0</v>
      </c>
      <c r="AQ258" s="8" t="n">
        <f aca="false">((CEG_Assets!$K$9*AQ250+CEG_Assets!$M$9*AQ$4)*AQ248*AQ252+CEG_Assets!$N$9*(1+CEG_Assets!$Q$9)^(AQ$3-2026)*(AQ248+AQ249))/1000000*(1+CEG_FuelAdj)</f>
        <v>0</v>
      </c>
      <c r="AR258" s="8" t="n">
        <f aca="false">((CEG_Assets!$K$9*AR250+CEG_Assets!$M$9*AR$4)*AR248*AR252+CEG_Assets!$N$9*(1+CEG_Assets!$Q$9)^(AR$3-2026)*(AR248+AR249))/1000000*(1+CEG_FuelAdj)</f>
        <v>0</v>
      </c>
      <c r="AS258" s="8" t="n">
        <f aca="false">((CEG_Assets!$K$9*AS250+CEG_Assets!$M$9*AS$4)*AS248*AS252+CEG_Assets!$N$9*(1+CEG_Assets!$Q$9)^(AS$3-2026)*(AS248+AS249))/1000000*(1+CEG_FuelAdj)</f>
        <v>0</v>
      </c>
    </row>
    <row r="259" customFormat="false" ht="15" hidden="false" customHeight="false" outlineLevel="0" collapsed="false">
      <c r="A259" s="6" t="s">
        <v>451</v>
      </c>
      <c r="B259" s="6" t="s">
        <v>452</v>
      </c>
      <c r="C259" s="9" t="n">
        <f aca="false">SUM(G259:AS259)</f>
        <v>0</v>
      </c>
      <c r="G259" s="8" t="n">
        <f aca="false">G257-G258</f>
        <v>0</v>
      </c>
      <c r="H259" s="8" t="n">
        <f aca="false">H257-H258</f>
        <v>0</v>
      </c>
      <c r="I259" s="8" t="n">
        <f aca="false">I257-I258</f>
        <v>0</v>
      </c>
      <c r="J259" s="8" t="n">
        <f aca="false">J257-J258</f>
        <v>0</v>
      </c>
      <c r="K259" s="8" t="n">
        <f aca="false">K257-K258</f>
        <v>0</v>
      </c>
      <c r="L259" s="8" t="n">
        <f aca="false">L257-L258</f>
        <v>0</v>
      </c>
      <c r="M259" s="8" t="n">
        <f aca="false">M257-M258</f>
        <v>0</v>
      </c>
      <c r="N259" s="8" t="n">
        <f aca="false">N257-N258</f>
        <v>0</v>
      </c>
      <c r="O259" s="8" t="n">
        <f aca="false">O257-O258</f>
        <v>0</v>
      </c>
      <c r="P259" s="8" t="n">
        <f aca="false">P257-P258</f>
        <v>0</v>
      </c>
      <c r="Q259" s="8" t="n">
        <f aca="false">Q257-Q258</f>
        <v>0</v>
      </c>
      <c r="R259" s="8" t="n">
        <f aca="false">R257-R258</f>
        <v>0</v>
      </c>
      <c r="S259" s="8" t="n">
        <f aca="false">S257-S258</f>
        <v>0</v>
      </c>
      <c r="T259" s="8" t="n">
        <f aca="false">T257-T258</f>
        <v>0</v>
      </c>
      <c r="U259" s="8" t="n">
        <f aca="false">U257-U258</f>
        <v>0</v>
      </c>
      <c r="V259" s="8" t="n">
        <f aca="false">V257-V258</f>
        <v>0</v>
      </c>
      <c r="W259" s="8" t="n">
        <f aca="false">W257-W258</f>
        <v>0</v>
      </c>
      <c r="X259" s="8" t="n">
        <f aca="false">X257-X258</f>
        <v>0</v>
      </c>
      <c r="Y259" s="8" t="n">
        <f aca="false">Y257-Y258</f>
        <v>0</v>
      </c>
      <c r="Z259" s="8" t="n">
        <f aca="false">Z257-Z258</f>
        <v>0</v>
      </c>
      <c r="AA259" s="8" t="n">
        <f aca="false">AA257-AA258</f>
        <v>0</v>
      </c>
      <c r="AB259" s="8" t="n">
        <f aca="false">AB257-AB258</f>
        <v>0</v>
      </c>
      <c r="AC259" s="8" t="n">
        <f aca="false">AC257-AC258</f>
        <v>0</v>
      </c>
      <c r="AD259" s="8" t="n">
        <f aca="false">AD257-AD258</f>
        <v>0</v>
      </c>
      <c r="AE259" s="8" t="n">
        <f aca="false">AE257-AE258</f>
        <v>0</v>
      </c>
      <c r="AF259" s="8" t="n">
        <f aca="false">AF257-AF258</f>
        <v>0</v>
      </c>
      <c r="AG259" s="8" t="n">
        <f aca="false">AG257-AG258</f>
        <v>0</v>
      </c>
      <c r="AH259" s="8" t="n">
        <f aca="false">AH257-AH258</f>
        <v>0</v>
      </c>
      <c r="AI259" s="8" t="n">
        <f aca="false">AI257-AI258</f>
        <v>0</v>
      </c>
      <c r="AJ259" s="8" t="n">
        <f aca="false">AJ257-AJ258</f>
        <v>0</v>
      </c>
      <c r="AK259" s="8" t="n">
        <f aca="false">AK257-AK258</f>
        <v>0</v>
      </c>
      <c r="AL259" s="8" t="n">
        <f aca="false">AL257-AL258</f>
        <v>0</v>
      </c>
      <c r="AM259" s="8" t="n">
        <f aca="false">AM257-AM258</f>
        <v>0</v>
      </c>
      <c r="AN259" s="8" t="n">
        <f aca="false">AN257-AN258</f>
        <v>0</v>
      </c>
      <c r="AO259" s="8" t="n">
        <f aca="false">AO257-AO258</f>
        <v>0</v>
      </c>
      <c r="AP259" s="8" t="n">
        <f aca="false">AP257-AP258</f>
        <v>0</v>
      </c>
      <c r="AQ259" s="8" t="n">
        <f aca="false">AQ257-AQ258</f>
        <v>0</v>
      </c>
      <c r="AR259" s="8" t="n">
        <f aca="false">AR257-AR258</f>
        <v>0</v>
      </c>
      <c r="AS259" s="8" t="n">
        <f aca="false">AS257-AS258</f>
        <v>0</v>
      </c>
    </row>
    <row r="260" customFormat="false" ht="15" hidden="false" customHeight="false" outlineLevel="0" collapsed="false">
      <c r="A260" s="6" t="s">
        <v>453</v>
      </c>
      <c r="B260" s="6" t="s">
        <v>454</v>
      </c>
      <c r="C260" s="9" t="n">
        <f aca="false">SUM(G260:AS260)</f>
        <v>0</v>
      </c>
      <c r="G260" s="8" t="n">
        <f aca="false">(CEG_Assets!$R$9*CEG_Assets!$D$9*1000*G$4*G246+CEG_Assets!$O$9*(1+CEG_Assets!$Q$9)^(G$3-2026)*(G248+G249))/1000000*(1+CEG_OMAdj)</f>
        <v>0</v>
      </c>
      <c r="H260" s="8" t="n">
        <f aca="false">(CEG_Assets!$R$9*CEG_Assets!$D$9*1000*H$4*H246+CEG_Assets!$O$9*(1+CEG_Assets!$Q$9)^(H$3-2026)*(H248+H249))/1000000*(1+CEG_OMAdj)</f>
        <v>0</v>
      </c>
      <c r="I260" s="8" t="n">
        <f aca="false">(CEG_Assets!$R$9*CEG_Assets!$D$9*1000*I$4*I246+CEG_Assets!$O$9*(1+CEG_Assets!$Q$9)^(I$3-2026)*(I248+I249))/1000000*(1+CEG_OMAdj)</f>
        <v>0</v>
      </c>
      <c r="J260" s="8" t="n">
        <f aca="false">(CEG_Assets!$R$9*CEG_Assets!$D$9*1000*J$4*J246+CEG_Assets!$O$9*(1+CEG_Assets!$Q$9)^(J$3-2026)*(J248+J249))/1000000*(1+CEG_OMAdj)</f>
        <v>0</v>
      </c>
      <c r="K260" s="8" t="n">
        <f aca="false">(CEG_Assets!$R$9*CEG_Assets!$D$9*1000*K$4*K246+CEG_Assets!$O$9*(1+CEG_Assets!$Q$9)^(K$3-2026)*(K248+K249))/1000000*(1+CEG_OMAdj)</f>
        <v>0</v>
      </c>
      <c r="L260" s="8" t="n">
        <f aca="false">(CEG_Assets!$R$9*CEG_Assets!$D$9*1000*L$4*L246+CEG_Assets!$O$9*(1+CEG_Assets!$Q$9)^(L$3-2026)*(L248+L249))/1000000*(1+CEG_OMAdj)</f>
        <v>0</v>
      </c>
      <c r="M260" s="8" t="n">
        <f aca="false">(CEG_Assets!$R$9*CEG_Assets!$D$9*1000*M$4*M246+CEG_Assets!$O$9*(1+CEG_Assets!$Q$9)^(M$3-2026)*(M248+M249))/1000000*(1+CEG_OMAdj)</f>
        <v>0</v>
      </c>
      <c r="N260" s="8" t="n">
        <f aca="false">(CEG_Assets!$R$9*CEG_Assets!$D$9*1000*N$4*N246+CEG_Assets!$O$9*(1+CEG_Assets!$Q$9)^(N$3-2026)*(N248+N249))/1000000*(1+CEG_OMAdj)</f>
        <v>0</v>
      </c>
      <c r="O260" s="8" t="n">
        <f aca="false">(CEG_Assets!$R$9*CEG_Assets!$D$9*1000*O$4*O246+CEG_Assets!$O$9*(1+CEG_Assets!$Q$9)^(O$3-2026)*(O248+O249))/1000000*(1+CEG_OMAdj)</f>
        <v>0</v>
      </c>
      <c r="P260" s="8" t="n">
        <f aca="false">(CEG_Assets!$R$9*CEG_Assets!$D$9*1000*P$4*P246+CEG_Assets!$O$9*(1+CEG_Assets!$Q$9)^(P$3-2026)*(P248+P249))/1000000*(1+CEG_OMAdj)</f>
        <v>0</v>
      </c>
      <c r="Q260" s="8" t="n">
        <f aca="false">(CEG_Assets!$R$9*CEG_Assets!$D$9*1000*Q$4*Q246+CEG_Assets!$O$9*(1+CEG_Assets!$Q$9)^(Q$3-2026)*(Q248+Q249))/1000000*(1+CEG_OMAdj)</f>
        <v>0</v>
      </c>
      <c r="R260" s="8" t="n">
        <f aca="false">(CEG_Assets!$R$9*CEG_Assets!$D$9*1000*R$4*R246+CEG_Assets!$O$9*(1+CEG_Assets!$Q$9)^(R$3-2026)*(R248+R249))/1000000*(1+CEG_OMAdj)</f>
        <v>0</v>
      </c>
      <c r="S260" s="8" t="n">
        <f aca="false">(CEG_Assets!$R$9*CEG_Assets!$D$9*1000*S$4*S246+CEG_Assets!$O$9*(1+CEG_Assets!$Q$9)^(S$3-2026)*(S248+S249))/1000000*(1+CEG_OMAdj)</f>
        <v>0</v>
      </c>
      <c r="T260" s="8" t="n">
        <f aca="false">(CEG_Assets!$R$9*CEG_Assets!$D$9*1000*T$4*T246+CEG_Assets!$O$9*(1+CEG_Assets!$Q$9)^(T$3-2026)*(T248+T249))/1000000*(1+CEG_OMAdj)</f>
        <v>0</v>
      </c>
      <c r="U260" s="8" t="n">
        <f aca="false">(CEG_Assets!$R$9*CEG_Assets!$D$9*1000*U$4*U246+CEG_Assets!$O$9*(1+CEG_Assets!$Q$9)^(U$3-2026)*(U248+U249))/1000000*(1+CEG_OMAdj)</f>
        <v>0</v>
      </c>
      <c r="V260" s="8" t="n">
        <f aca="false">(CEG_Assets!$R$9*CEG_Assets!$D$9*1000*V$4*V246+CEG_Assets!$O$9*(1+CEG_Assets!$Q$9)^(V$3-2026)*(V248+V249))/1000000*(1+CEG_OMAdj)</f>
        <v>0</v>
      </c>
      <c r="W260" s="8" t="n">
        <f aca="false">(CEG_Assets!$R$9*CEG_Assets!$D$9*1000*W$4*W246+CEG_Assets!$O$9*(1+CEG_Assets!$Q$9)^(W$3-2026)*(W248+W249))/1000000*(1+CEG_OMAdj)</f>
        <v>0</v>
      </c>
      <c r="X260" s="8" t="n">
        <f aca="false">(CEG_Assets!$R$9*CEG_Assets!$D$9*1000*X$4*X246+CEG_Assets!$O$9*(1+CEG_Assets!$Q$9)^(X$3-2026)*(X248+X249))/1000000*(1+CEG_OMAdj)</f>
        <v>0</v>
      </c>
      <c r="Y260" s="8" t="n">
        <f aca="false">(CEG_Assets!$R$9*CEG_Assets!$D$9*1000*Y$4*Y246+CEG_Assets!$O$9*(1+CEG_Assets!$Q$9)^(Y$3-2026)*(Y248+Y249))/1000000*(1+CEG_OMAdj)</f>
        <v>0</v>
      </c>
      <c r="Z260" s="8" t="n">
        <f aca="false">(CEG_Assets!$R$9*CEG_Assets!$D$9*1000*Z$4*Z246+CEG_Assets!$O$9*(1+CEG_Assets!$Q$9)^(Z$3-2026)*(Z248+Z249))/1000000*(1+CEG_OMAdj)</f>
        <v>0</v>
      </c>
      <c r="AA260" s="8" t="n">
        <f aca="false">(CEG_Assets!$R$9*CEG_Assets!$D$9*1000*AA$4*AA246+CEG_Assets!$O$9*(1+CEG_Assets!$Q$9)^(AA$3-2026)*(AA248+AA249))/1000000*(1+CEG_OMAdj)</f>
        <v>0</v>
      </c>
      <c r="AB260" s="8" t="n">
        <f aca="false">(CEG_Assets!$R$9*CEG_Assets!$D$9*1000*AB$4*AB246+CEG_Assets!$O$9*(1+CEG_Assets!$Q$9)^(AB$3-2026)*(AB248+AB249))/1000000*(1+CEG_OMAdj)</f>
        <v>0</v>
      </c>
      <c r="AC260" s="8" t="n">
        <f aca="false">(CEG_Assets!$R$9*CEG_Assets!$D$9*1000*AC$4*AC246+CEG_Assets!$O$9*(1+CEG_Assets!$Q$9)^(AC$3-2026)*(AC248+AC249))/1000000*(1+CEG_OMAdj)</f>
        <v>0</v>
      </c>
      <c r="AD260" s="8" t="n">
        <f aca="false">(CEG_Assets!$R$9*CEG_Assets!$D$9*1000*AD$4*AD246+CEG_Assets!$O$9*(1+CEG_Assets!$Q$9)^(AD$3-2026)*(AD248+AD249))/1000000*(1+CEG_OMAdj)</f>
        <v>0</v>
      </c>
      <c r="AE260" s="8" t="n">
        <f aca="false">(CEG_Assets!$R$9*CEG_Assets!$D$9*1000*AE$4*AE246+CEG_Assets!$O$9*(1+CEG_Assets!$Q$9)^(AE$3-2026)*(AE248+AE249))/1000000*(1+CEG_OMAdj)</f>
        <v>0</v>
      </c>
      <c r="AF260" s="8" t="n">
        <f aca="false">(CEG_Assets!$R$9*CEG_Assets!$D$9*1000*AF$4*AF246+CEG_Assets!$O$9*(1+CEG_Assets!$Q$9)^(AF$3-2026)*(AF248+AF249))/1000000*(1+CEG_OMAdj)</f>
        <v>0</v>
      </c>
      <c r="AG260" s="8" t="n">
        <f aca="false">(CEG_Assets!$R$9*CEG_Assets!$D$9*1000*AG$4*AG246+CEG_Assets!$O$9*(1+CEG_Assets!$Q$9)^(AG$3-2026)*(AG248+AG249))/1000000*(1+CEG_OMAdj)</f>
        <v>0</v>
      </c>
      <c r="AH260" s="8" t="n">
        <f aca="false">(CEG_Assets!$R$9*CEG_Assets!$D$9*1000*AH$4*AH246+CEG_Assets!$O$9*(1+CEG_Assets!$Q$9)^(AH$3-2026)*(AH248+AH249))/1000000*(1+CEG_OMAdj)</f>
        <v>0</v>
      </c>
      <c r="AI260" s="8" t="n">
        <f aca="false">(CEG_Assets!$R$9*CEG_Assets!$D$9*1000*AI$4*AI246+CEG_Assets!$O$9*(1+CEG_Assets!$Q$9)^(AI$3-2026)*(AI248+AI249))/1000000*(1+CEG_OMAdj)</f>
        <v>0</v>
      </c>
      <c r="AJ260" s="8" t="n">
        <f aca="false">(CEG_Assets!$R$9*CEG_Assets!$D$9*1000*AJ$4*AJ246+CEG_Assets!$O$9*(1+CEG_Assets!$Q$9)^(AJ$3-2026)*(AJ248+AJ249))/1000000*(1+CEG_OMAdj)</f>
        <v>0</v>
      </c>
      <c r="AK260" s="8" t="n">
        <f aca="false">(CEG_Assets!$R$9*CEG_Assets!$D$9*1000*AK$4*AK246+CEG_Assets!$O$9*(1+CEG_Assets!$Q$9)^(AK$3-2026)*(AK248+AK249))/1000000*(1+CEG_OMAdj)</f>
        <v>0</v>
      </c>
      <c r="AL260" s="8" t="n">
        <f aca="false">(CEG_Assets!$R$9*CEG_Assets!$D$9*1000*AL$4*AL246+CEG_Assets!$O$9*(1+CEG_Assets!$Q$9)^(AL$3-2026)*(AL248+AL249))/1000000*(1+CEG_OMAdj)</f>
        <v>0</v>
      </c>
      <c r="AM260" s="8" t="n">
        <f aca="false">(CEG_Assets!$R$9*CEG_Assets!$D$9*1000*AM$4*AM246+CEG_Assets!$O$9*(1+CEG_Assets!$Q$9)^(AM$3-2026)*(AM248+AM249))/1000000*(1+CEG_OMAdj)</f>
        <v>0</v>
      </c>
      <c r="AN260" s="8" t="n">
        <f aca="false">(CEG_Assets!$R$9*CEG_Assets!$D$9*1000*AN$4*AN246+CEG_Assets!$O$9*(1+CEG_Assets!$Q$9)^(AN$3-2026)*(AN248+AN249))/1000000*(1+CEG_OMAdj)</f>
        <v>0</v>
      </c>
      <c r="AO260" s="8" t="n">
        <f aca="false">(CEG_Assets!$R$9*CEG_Assets!$D$9*1000*AO$4*AO246+CEG_Assets!$O$9*(1+CEG_Assets!$Q$9)^(AO$3-2026)*(AO248+AO249))/1000000*(1+CEG_OMAdj)</f>
        <v>0</v>
      </c>
      <c r="AP260" s="8" t="n">
        <f aca="false">(CEG_Assets!$R$9*CEG_Assets!$D$9*1000*AP$4*AP246+CEG_Assets!$O$9*(1+CEG_Assets!$Q$9)^(AP$3-2026)*(AP248+AP249))/1000000*(1+CEG_OMAdj)</f>
        <v>0</v>
      </c>
      <c r="AQ260" s="8" t="n">
        <f aca="false">(CEG_Assets!$R$9*CEG_Assets!$D$9*1000*AQ$4*AQ246+CEG_Assets!$O$9*(1+CEG_Assets!$Q$9)^(AQ$3-2026)*(AQ248+AQ249))/1000000*(1+CEG_OMAdj)</f>
        <v>0</v>
      </c>
      <c r="AR260" s="8" t="n">
        <f aca="false">(CEG_Assets!$R$9*CEG_Assets!$D$9*1000*AR$4*AR246+CEG_Assets!$O$9*(1+CEG_Assets!$Q$9)^(AR$3-2026)*(AR248+AR249))/1000000*(1+CEG_OMAdj)</f>
        <v>0</v>
      </c>
      <c r="AS260" s="8" t="n">
        <f aca="false">(CEG_Assets!$R$9*CEG_Assets!$D$9*1000*AS$4*AS246+CEG_Assets!$O$9*(1+CEG_Assets!$Q$9)^(AS$3-2026)*(AS248+AS249))/1000000*(1+CEG_OMAdj)</f>
        <v>0</v>
      </c>
    </row>
    <row r="261" customFormat="false" ht="15" hidden="false" customHeight="false" outlineLevel="0" collapsed="false">
      <c r="A261" s="6" t="s">
        <v>455</v>
      </c>
      <c r="B261" s="6" t="s">
        <v>456</v>
      </c>
      <c r="C261" s="9" t="n">
        <f aca="false">SUM(G261:AS261)</f>
        <v>0</v>
      </c>
      <c r="G261" s="8" t="n">
        <f aca="false">G259-G260</f>
        <v>0</v>
      </c>
      <c r="H261" s="8" t="n">
        <f aca="false">H259-H260</f>
        <v>0</v>
      </c>
      <c r="I261" s="8" t="n">
        <f aca="false">I259-I260</f>
        <v>0</v>
      </c>
      <c r="J261" s="8" t="n">
        <f aca="false">J259-J260</f>
        <v>0</v>
      </c>
      <c r="K261" s="8" t="n">
        <f aca="false">K259-K260</f>
        <v>0</v>
      </c>
      <c r="L261" s="8" t="n">
        <f aca="false">L259-L260</f>
        <v>0</v>
      </c>
      <c r="M261" s="8" t="n">
        <f aca="false">M259-M260</f>
        <v>0</v>
      </c>
      <c r="N261" s="8" t="n">
        <f aca="false">N259-N260</f>
        <v>0</v>
      </c>
      <c r="O261" s="8" t="n">
        <f aca="false">O259-O260</f>
        <v>0</v>
      </c>
      <c r="P261" s="8" t="n">
        <f aca="false">P259-P260</f>
        <v>0</v>
      </c>
      <c r="Q261" s="8" t="n">
        <f aca="false">Q259-Q260</f>
        <v>0</v>
      </c>
      <c r="R261" s="8" t="n">
        <f aca="false">R259-R260</f>
        <v>0</v>
      </c>
      <c r="S261" s="8" t="n">
        <f aca="false">S259-S260</f>
        <v>0</v>
      </c>
      <c r="T261" s="8" t="n">
        <f aca="false">T259-T260</f>
        <v>0</v>
      </c>
      <c r="U261" s="8" t="n">
        <f aca="false">U259-U260</f>
        <v>0</v>
      </c>
      <c r="V261" s="8" t="n">
        <f aca="false">V259-V260</f>
        <v>0</v>
      </c>
      <c r="W261" s="8" t="n">
        <f aca="false">W259-W260</f>
        <v>0</v>
      </c>
      <c r="X261" s="8" t="n">
        <f aca="false">X259-X260</f>
        <v>0</v>
      </c>
      <c r="Y261" s="8" t="n">
        <f aca="false">Y259-Y260</f>
        <v>0</v>
      </c>
      <c r="Z261" s="8" t="n">
        <f aca="false">Z259-Z260</f>
        <v>0</v>
      </c>
      <c r="AA261" s="8" t="n">
        <f aca="false">AA259-AA260</f>
        <v>0</v>
      </c>
      <c r="AB261" s="8" t="n">
        <f aca="false">AB259-AB260</f>
        <v>0</v>
      </c>
      <c r="AC261" s="8" t="n">
        <f aca="false">AC259-AC260</f>
        <v>0</v>
      </c>
      <c r="AD261" s="8" t="n">
        <f aca="false">AD259-AD260</f>
        <v>0</v>
      </c>
      <c r="AE261" s="8" t="n">
        <f aca="false">AE259-AE260</f>
        <v>0</v>
      </c>
      <c r="AF261" s="8" t="n">
        <f aca="false">AF259-AF260</f>
        <v>0</v>
      </c>
      <c r="AG261" s="8" t="n">
        <f aca="false">AG259-AG260</f>
        <v>0</v>
      </c>
      <c r="AH261" s="8" t="n">
        <f aca="false">AH259-AH260</f>
        <v>0</v>
      </c>
      <c r="AI261" s="8" t="n">
        <f aca="false">AI259-AI260</f>
        <v>0</v>
      </c>
      <c r="AJ261" s="8" t="n">
        <f aca="false">AJ259-AJ260</f>
        <v>0</v>
      </c>
      <c r="AK261" s="8" t="n">
        <f aca="false">AK259-AK260</f>
        <v>0</v>
      </c>
      <c r="AL261" s="8" t="n">
        <f aca="false">AL259-AL260</f>
        <v>0</v>
      </c>
      <c r="AM261" s="8" t="n">
        <f aca="false">AM259-AM260</f>
        <v>0</v>
      </c>
      <c r="AN261" s="8" t="n">
        <f aca="false">AN259-AN260</f>
        <v>0</v>
      </c>
      <c r="AO261" s="8" t="n">
        <f aca="false">AO259-AO260</f>
        <v>0</v>
      </c>
      <c r="AP261" s="8" t="n">
        <f aca="false">AP259-AP260</f>
        <v>0</v>
      </c>
      <c r="AQ261" s="8" t="n">
        <f aca="false">AQ259-AQ260</f>
        <v>0</v>
      </c>
      <c r="AR261" s="8" t="n">
        <f aca="false">AR259-AR260</f>
        <v>0</v>
      </c>
      <c r="AS261" s="8" t="n">
        <f aca="false">AS259-AS260</f>
        <v>0</v>
      </c>
    </row>
    <row r="262" customFormat="false" ht="15" hidden="false" customHeight="false" outlineLevel="0" collapsed="false">
      <c r="A262" s="6" t="s">
        <v>457</v>
      </c>
      <c r="B262" s="6" t="s">
        <v>458</v>
      </c>
      <c r="C262" s="9" t="n">
        <f aca="false">SUM(G262:AS262)</f>
        <v>0</v>
      </c>
      <c r="G262" s="8" t="n">
        <f aca="false">((CEG_Assets!$S$9*CEG_Assets!$D$9*1000*G$4*G246+CEG_Assets!$P$9*(1+CEG_Assets!$Q$9)^(G$3-2026)*(G248+G249))/1000000+IF(G$3=CEG_Assets!$AH$9,CEG_Assets!$AG$9,0))*(1+CEG_CapexAdj)</f>
        <v>0</v>
      </c>
      <c r="H262" s="8" t="n">
        <f aca="false">((CEG_Assets!$S$9*CEG_Assets!$D$9*1000*H$4*H246+CEG_Assets!$P$9*(1+CEG_Assets!$Q$9)^(H$3-2026)*(H248+H249))/1000000+IF(H$3=CEG_Assets!$AH$9,CEG_Assets!$AG$9,0))*(1+CEG_CapexAdj)</f>
        <v>0</v>
      </c>
      <c r="I262" s="8" t="n">
        <f aca="false">((CEG_Assets!$S$9*CEG_Assets!$D$9*1000*I$4*I246+CEG_Assets!$P$9*(1+CEG_Assets!$Q$9)^(I$3-2026)*(I248+I249))/1000000+IF(I$3=CEG_Assets!$AH$9,CEG_Assets!$AG$9,0))*(1+CEG_CapexAdj)</f>
        <v>0</v>
      </c>
      <c r="J262" s="8" t="n">
        <f aca="false">((CEG_Assets!$S$9*CEG_Assets!$D$9*1000*J$4*J246+CEG_Assets!$P$9*(1+CEG_Assets!$Q$9)^(J$3-2026)*(J248+J249))/1000000+IF(J$3=CEG_Assets!$AH$9,CEG_Assets!$AG$9,0))*(1+CEG_CapexAdj)</f>
        <v>0</v>
      </c>
      <c r="K262" s="8" t="n">
        <f aca="false">((CEG_Assets!$S$9*CEG_Assets!$D$9*1000*K$4*K246+CEG_Assets!$P$9*(1+CEG_Assets!$Q$9)^(K$3-2026)*(K248+K249))/1000000+IF(K$3=CEG_Assets!$AH$9,CEG_Assets!$AG$9,0))*(1+CEG_CapexAdj)</f>
        <v>0</v>
      </c>
      <c r="L262" s="8" t="n">
        <f aca="false">((CEG_Assets!$S$9*CEG_Assets!$D$9*1000*L$4*L246+CEG_Assets!$P$9*(1+CEG_Assets!$Q$9)^(L$3-2026)*(L248+L249))/1000000+IF(L$3=CEG_Assets!$AH$9,CEG_Assets!$AG$9,0))*(1+CEG_CapexAdj)</f>
        <v>0</v>
      </c>
      <c r="M262" s="8" t="n">
        <f aca="false">((CEG_Assets!$S$9*CEG_Assets!$D$9*1000*M$4*M246+CEG_Assets!$P$9*(1+CEG_Assets!$Q$9)^(M$3-2026)*(M248+M249))/1000000+IF(M$3=CEG_Assets!$AH$9,CEG_Assets!$AG$9,0))*(1+CEG_CapexAdj)</f>
        <v>0</v>
      </c>
      <c r="N262" s="8" t="n">
        <f aca="false">((CEG_Assets!$S$9*CEG_Assets!$D$9*1000*N$4*N246+CEG_Assets!$P$9*(1+CEG_Assets!$Q$9)^(N$3-2026)*(N248+N249))/1000000+IF(N$3=CEG_Assets!$AH$9,CEG_Assets!$AG$9,0))*(1+CEG_CapexAdj)</f>
        <v>0</v>
      </c>
      <c r="O262" s="8" t="n">
        <f aca="false">((CEG_Assets!$S$9*CEG_Assets!$D$9*1000*O$4*O246+CEG_Assets!$P$9*(1+CEG_Assets!$Q$9)^(O$3-2026)*(O248+O249))/1000000+IF(O$3=CEG_Assets!$AH$9,CEG_Assets!$AG$9,0))*(1+CEG_CapexAdj)</f>
        <v>0</v>
      </c>
      <c r="P262" s="8" t="n">
        <f aca="false">((CEG_Assets!$S$9*CEG_Assets!$D$9*1000*P$4*P246+CEG_Assets!$P$9*(1+CEG_Assets!$Q$9)^(P$3-2026)*(P248+P249))/1000000+IF(P$3=CEG_Assets!$AH$9,CEG_Assets!$AG$9,0))*(1+CEG_CapexAdj)</f>
        <v>0</v>
      </c>
      <c r="Q262" s="8" t="n">
        <f aca="false">((CEG_Assets!$S$9*CEG_Assets!$D$9*1000*Q$4*Q246+CEG_Assets!$P$9*(1+CEG_Assets!$Q$9)^(Q$3-2026)*(Q248+Q249))/1000000+IF(Q$3=CEG_Assets!$AH$9,CEG_Assets!$AG$9,0))*(1+CEG_CapexAdj)</f>
        <v>0</v>
      </c>
      <c r="R262" s="8" t="n">
        <f aca="false">((CEG_Assets!$S$9*CEG_Assets!$D$9*1000*R$4*R246+CEG_Assets!$P$9*(1+CEG_Assets!$Q$9)^(R$3-2026)*(R248+R249))/1000000+IF(R$3=CEG_Assets!$AH$9,CEG_Assets!$AG$9,0))*(1+CEG_CapexAdj)</f>
        <v>0</v>
      </c>
      <c r="S262" s="8" t="n">
        <f aca="false">((CEG_Assets!$S$9*CEG_Assets!$D$9*1000*S$4*S246+CEG_Assets!$P$9*(1+CEG_Assets!$Q$9)^(S$3-2026)*(S248+S249))/1000000+IF(S$3=CEG_Assets!$AH$9,CEG_Assets!$AG$9,0))*(1+CEG_CapexAdj)</f>
        <v>0</v>
      </c>
      <c r="T262" s="8" t="n">
        <f aca="false">((CEG_Assets!$S$9*CEG_Assets!$D$9*1000*T$4*T246+CEG_Assets!$P$9*(1+CEG_Assets!$Q$9)^(T$3-2026)*(T248+T249))/1000000+IF(T$3=CEG_Assets!$AH$9,CEG_Assets!$AG$9,0))*(1+CEG_CapexAdj)</f>
        <v>0</v>
      </c>
      <c r="U262" s="8" t="n">
        <f aca="false">((CEG_Assets!$S$9*CEG_Assets!$D$9*1000*U$4*U246+CEG_Assets!$P$9*(1+CEG_Assets!$Q$9)^(U$3-2026)*(U248+U249))/1000000+IF(U$3=CEG_Assets!$AH$9,CEG_Assets!$AG$9,0))*(1+CEG_CapexAdj)</f>
        <v>0</v>
      </c>
      <c r="V262" s="8" t="n">
        <f aca="false">((CEG_Assets!$S$9*CEG_Assets!$D$9*1000*V$4*V246+CEG_Assets!$P$9*(1+CEG_Assets!$Q$9)^(V$3-2026)*(V248+V249))/1000000+IF(V$3=CEG_Assets!$AH$9,CEG_Assets!$AG$9,0))*(1+CEG_CapexAdj)</f>
        <v>0</v>
      </c>
      <c r="W262" s="8" t="n">
        <f aca="false">((CEG_Assets!$S$9*CEG_Assets!$D$9*1000*W$4*W246+CEG_Assets!$P$9*(1+CEG_Assets!$Q$9)^(W$3-2026)*(W248+W249))/1000000+IF(W$3=CEG_Assets!$AH$9,CEG_Assets!$AG$9,0))*(1+CEG_CapexAdj)</f>
        <v>0</v>
      </c>
      <c r="X262" s="8" t="n">
        <f aca="false">((CEG_Assets!$S$9*CEG_Assets!$D$9*1000*X$4*X246+CEG_Assets!$P$9*(1+CEG_Assets!$Q$9)^(X$3-2026)*(X248+X249))/1000000+IF(X$3=CEG_Assets!$AH$9,CEG_Assets!$AG$9,0))*(1+CEG_CapexAdj)</f>
        <v>0</v>
      </c>
      <c r="Y262" s="8" t="n">
        <f aca="false">((CEG_Assets!$S$9*CEG_Assets!$D$9*1000*Y$4*Y246+CEG_Assets!$P$9*(1+CEG_Assets!$Q$9)^(Y$3-2026)*(Y248+Y249))/1000000+IF(Y$3=CEG_Assets!$AH$9,CEG_Assets!$AG$9,0))*(1+CEG_CapexAdj)</f>
        <v>0</v>
      </c>
      <c r="Z262" s="8" t="n">
        <f aca="false">((CEG_Assets!$S$9*CEG_Assets!$D$9*1000*Z$4*Z246+CEG_Assets!$P$9*(1+CEG_Assets!$Q$9)^(Z$3-2026)*(Z248+Z249))/1000000+IF(Z$3=CEG_Assets!$AH$9,CEG_Assets!$AG$9,0))*(1+CEG_CapexAdj)</f>
        <v>0</v>
      </c>
      <c r="AA262" s="8" t="n">
        <f aca="false">((CEG_Assets!$S$9*CEG_Assets!$D$9*1000*AA$4*AA246+CEG_Assets!$P$9*(1+CEG_Assets!$Q$9)^(AA$3-2026)*(AA248+AA249))/1000000+IF(AA$3=CEG_Assets!$AH$9,CEG_Assets!$AG$9,0))*(1+CEG_CapexAdj)</f>
        <v>0</v>
      </c>
      <c r="AB262" s="8" t="n">
        <f aca="false">((CEG_Assets!$S$9*CEG_Assets!$D$9*1000*AB$4*AB246+CEG_Assets!$P$9*(1+CEG_Assets!$Q$9)^(AB$3-2026)*(AB248+AB249))/1000000+IF(AB$3=CEG_Assets!$AH$9,CEG_Assets!$AG$9,0))*(1+CEG_CapexAdj)</f>
        <v>0</v>
      </c>
      <c r="AC262" s="8" t="n">
        <f aca="false">((CEG_Assets!$S$9*CEG_Assets!$D$9*1000*AC$4*AC246+CEG_Assets!$P$9*(1+CEG_Assets!$Q$9)^(AC$3-2026)*(AC248+AC249))/1000000+IF(AC$3=CEG_Assets!$AH$9,CEG_Assets!$AG$9,0))*(1+CEG_CapexAdj)</f>
        <v>0</v>
      </c>
      <c r="AD262" s="8" t="n">
        <f aca="false">((CEG_Assets!$S$9*CEG_Assets!$D$9*1000*AD$4*AD246+CEG_Assets!$P$9*(1+CEG_Assets!$Q$9)^(AD$3-2026)*(AD248+AD249))/1000000+IF(AD$3=CEG_Assets!$AH$9,CEG_Assets!$AG$9,0))*(1+CEG_CapexAdj)</f>
        <v>0</v>
      </c>
      <c r="AE262" s="8" t="n">
        <f aca="false">((CEG_Assets!$S$9*CEG_Assets!$D$9*1000*AE$4*AE246+CEG_Assets!$P$9*(1+CEG_Assets!$Q$9)^(AE$3-2026)*(AE248+AE249))/1000000+IF(AE$3=CEG_Assets!$AH$9,CEG_Assets!$AG$9,0))*(1+CEG_CapexAdj)</f>
        <v>0</v>
      </c>
      <c r="AF262" s="8" t="n">
        <f aca="false">((CEG_Assets!$S$9*CEG_Assets!$D$9*1000*AF$4*AF246+CEG_Assets!$P$9*(1+CEG_Assets!$Q$9)^(AF$3-2026)*(AF248+AF249))/1000000+IF(AF$3=CEG_Assets!$AH$9,CEG_Assets!$AG$9,0))*(1+CEG_CapexAdj)</f>
        <v>0</v>
      </c>
      <c r="AG262" s="8" t="n">
        <f aca="false">((CEG_Assets!$S$9*CEG_Assets!$D$9*1000*AG$4*AG246+CEG_Assets!$P$9*(1+CEG_Assets!$Q$9)^(AG$3-2026)*(AG248+AG249))/1000000+IF(AG$3=CEG_Assets!$AH$9,CEG_Assets!$AG$9,0))*(1+CEG_CapexAdj)</f>
        <v>0</v>
      </c>
      <c r="AH262" s="8" t="n">
        <f aca="false">((CEG_Assets!$S$9*CEG_Assets!$D$9*1000*AH$4*AH246+CEG_Assets!$P$9*(1+CEG_Assets!$Q$9)^(AH$3-2026)*(AH248+AH249))/1000000+IF(AH$3=CEG_Assets!$AH$9,CEG_Assets!$AG$9,0))*(1+CEG_CapexAdj)</f>
        <v>0</v>
      </c>
      <c r="AI262" s="8" t="n">
        <f aca="false">((CEG_Assets!$S$9*CEG_Assets!$D$9*1000*AI$4*AI246+CEG_Assets!$P$9*(1+CEG_Assets!$Q$9)^(AI$3-2026)*(AI248+AI249))/1000000+IF(AI$3=CEG_Assets!$AH$9,CEG_Assets!$AG$9,0))*(1+CEG_CapexAdj)</f>
        <v>0</v>
      </c>
      <c r="AJ262" s="8" t="n">
        <f aca="false">((CEG_Assets!$S$9*CEG_Assets!$D$9*1000*AJ$4*AJ246+CEG_Assets!$P$9*(1+CEG_Assets!$Q$9)^(AJ$3-2026)*(AJ248+AJ249))/1000000+IF(AJ$3=CEG_Assets!$AH$9,CEG_Assets!$AG$9,0))*(1+CEG_CapexAdj)</f>
        <v>0</v>
      </c>
      <c r="AK262" s="8" t="n">
        <f aca="false">((CEG_Assets!$S$9*CEG_Assets!$D$9*1000*AK$4*AK246+CEG_Assets!$P$9*(1+CEG_Assets!$Q$9)^(AK$3-2026)*(AK248+AK249))/1000000+IF(AK$3=CEG_Assets!$AH$9,CEG_Assets!$AG$9,0))*(1+CEG_CapexAdj)</f>
        <v>0</v>
      </c>
      <c r="AL262" s="8" t="n">
        <f aca="false">((CEG_Assets!$S$9*CEG_Assets!$D$9*1000*AL$4*AL246+CEG_Assets!$P$9*(1+CEG_Assets!$Q$9)^(AL$3-2026)*(AL248+AL249))/1000000+IF(AL$3=CEG_Assets!$AH$9,CEG_Assets!$AG$9,0))*(1+CEG_CapexAdj)</f>
        <v>0</v>
      </c>
      <c r="AM262" s="8" t="n">
        <f aca="false">((CEG_Assets!$S$9*CEG_Assets!$D$9*1000*AM$4*AM246+CEG_Assets!$P$9*(1+CEG_Assets!$Q$9)^(AM$3-2026)*(AM248+AM249))/1000000+IF(AM$3=CEG_Assets!$AH$9,CEG_Assets!$AG$9,0))*(1+CEG_CapexAdj)</f>
        <v>0</v>
      </c>
      <c r="AN262" s="8" t="n">
        <f aca="false">((CEG_Assets!$S$9*CEG_Assets!$D$9*1000*AN$4*AN246+CEG_Assets!$P$9*(1+CEG_Assets!$Q$9)^(AN$3-2026)*(AN248+AN249))/1000000+IF(AN$3=CEG_Assets!$AH$9,CEG_Assets!$AG$9,0))*(1+CEG_CapexAdj)</f>
        <v>0</v>
      </c>
      <c r="AO262" s="8" t="n">
        <f aca="false">((CEG_Assets!$S$9*CEG_Assets!$D$9*1000*AO$4*AO246+CEG_Assets!$P$9*(1+CEG_Assets!$Q$9)^(AO$3-2026)*(AO248+AO249))/1000000+IF(AO$3=CEG_Assets!$AH$9,CEG_Assets!$AG$9,0))*(1+CEG_CapexAdj)</f>
        <v>0</v>
      </c>
      <c r="AP262" s="8" t="n">
        <f aca="false">((CEG_Assets!$S$9*CEG_Assets!$D$9*1000*AP$4*AP246+CEG_Assets!$P$9*(1+CEG_Assets!$Q$9)^(AP$3-2026)*(AP248+AP249))/1000000+IF(AP$3=CEG_Assets!$AH$9,CEG_Assets!$AG$9,0))*(1+CEG_CapexAdj)</f>
        <v>0</v>
      </c>
      <c r="AQ262" s="8" t="n">
        <f aca="false">((CEG_Assets!$S$9*CEG_Assets!$D$9*1000*AQ$4*AQ246+CEG_Assets!$P$9*(1+CEG_Assets!$Q$9)^(AQ$3-2026)*(AQ248+AQ249))/1000000+IF(AQ$3=CEG_Assets!$AH$9,CEG_Assets!$AG$9,0))*(1+CEG_CapexAdj)</f>
        <v>0</v>
      </c>
      <c r="AR262" s="8" t="n">
        <f aca="false">((CEG_Assets!$S$9*CEG_Assets!$D$9*1000*AR$4*AR246+CEG_Assets!$P$9*(1+CEG_Assets!$Q$9)^(AR$3-2026)*(AR248+AR249))/1000000+IF(AR$3=CEG_Assets!$AH$9,CEG_Assets!$AG$9,0))*(1+CEG_CapexAdj)</f>
        <v>0</v>
      </c>
      <c r="AS262" s="8" t="n">
        <f aca="false">((CEG_Assets!$S$9*CEG_Assets!$D$9*1000*AS$4*AS246+CEG_Assets!$P$9*(1+CEG_Assets!$Q$9)^(AS$3-2026)*(AS248+AS249))/1000000+IF(AS$3=CEG_Assets!$AH$9,CEG_Assets!$AG$9,0))*(1+CEG_CapexAdj)</f>
        <v>0</v>
      </c>
    </row>
    <row r="263" customFormat="false" ht="15" hidden="false" customHeight="false" outlineLevel="0" collapsed="false">
      <c r="A263" s="6" t="s">
        <v>459</v>
      </c>
      <c r="B263" s="6" t="s">
        <v>460</v>
      </c>
      <c r="C263" s="9" t="n">
        <f aca="false">SUM(G263:AS263)</f>
        <v>0</v>
      </c>
      <c r="G263" s="8" t="n">
        <f aca="false">IF(CEG_Assets!$Y$9=1,MAX(0,G261-G262),G261-G262)</f>
        <v>0</v>
      </c>
      <c r="H263" s="8" t="n">
        <f aca="false">IF(CEG_Assets!$Y$9=1,MAX(0,H261-H262),H261-H262)</f>
        <v>0</v>
      </c>
      <c r="I263" s="8" t="n">
        <f aca="false">IF(CEG_Assets!$Y$9=1,MAX(0,I261-I262),I261-I262)</f>
        <v>0</v>
      </c>
      <c r="J263" s="8" t="n">
        <f aca="false">IF(CEG_Assets!$Y$9=1,MAX(0,J261-J262),J261-J262)</f>
        <v>0</v>
      </c>
      <c r="K263" s="8" t="n">
        <f aca="false">IF(CEG_Assets!$Y$9=1,MAX(0,K261-K262),K261-K262)</f>
        <v>0</v>
      </c>
      <c r="L263" s="8" t="n">
        <f aca="false">IF(CEG_Assets!$Y$9=1,MAX(0,L261-L262),L261-L262)</f>
        <v>0</v>
      </c>
      <c r="M263" s="8" t="n">
        <f aca="false">IF(CEG_Assets!$Y$9=1,MAX(0,M261-M262),M261-M262)</f>
        <v>0</v>
      </c>
      <c r="N263" s="8" t="n">
        <f aca="false">IF(CEG_Assets!$Y$9=1,MAX(0,N261-N262),N261-N262)</f>
        <v>0</v>
      </c>
      <c r="O263" s="8" t="n">
        <f aca="false">IF(CEG_Assets!$Y$9=1,MAX(0,O261-O262),O261-O262)</f>
        <v>0</v>
      </c>
      <c r="P263" s="8" t="n">
        <f aca="false">IF(CEG_Assets!$Y$9=1,MAX(0,P261-P262),P261-P262)</f>
        <v>0</v>
      </c>
      <c r="Q263" s="8" t="n">
        <f aca="false">IF(CEG_Assets!$Y$9=1,MAX(0,Q261-Q262),Q261-Q262)</f>
        <v>0</v>
      </c>
      <c r="R263" s="8" t="n">
        <f aca="false">IF(CEG_Assets!$Y$9=1,MAX(0,R261-R262),R261-R262)</f>
        <v>0</v>
      </c>
      <c r="S263" s="8" t="n">
        <f aca="false">IF(CEG_Assets!$Y$9=1,MAX(0,S261-S262),S261-S262)</f>
        <v>0</v>
      </c>
      <c r="T263" s="8" t="n">
        <f aca="false">IF(CEG_Assets!$Y$9=1,MAX(0,T261-T262),T261-T262)</f>
        <v>0</v>
      </c>
      <c r="U263" s="8" t="n">
        <f aca="false">IF(CEG_Assets!$Y$9=1,MAX(0,U261-U262),U261-U262)</f>
        <v>0</v>
      </c>
      <c r="V263" s="8" t="n">
        <f aca="false">IF(CEG_Assets!$Y$9=1,MAX(0,V261-V262),V261-V262)</f>
        <v>0</v>
      </c>
      <c r="W263" s="8" t="n">
        <f aca="false">IF(CEG_Assets!$Y$9=1,MAX(0,W261-W262),W261-W262)</f>
        <v>0</v>
      </c>
      <c r="X263" s="8" t="n">
        <f aca="false">IF(CEG_Assets!$Y$9=1,MAX(0,X261-X262),X261-X262)</f>
        <v>0</v>
      </c>
      <c r="Y263" s="8" t="n">
        <f aca="false">IF(CEG_Assets!$Y$9=1,MAX(0,Y261-Y262),Y261-Y262)</f>
        <v>0</v>
      </c>
      <c r="Z263" s="8" t="n">
        <f aca="false">IF(CEG_Assets!$Y$9=1,MAX(0,Z261-Z262),Z261-Z262)</f>
        <v>0</v>
      </c>
      <c r="AA263" s="8" t="n">
        <f aca="false">IF(CEG_Assets!$Y$9=1,MAX(0,AA261-AA262),AA261-AA262)</f>
        <v>0</v>
      </c>
      <c r="AB263" s="8" t="n">
        <f aca="false">IF(CEG_Assets!$Y$9=1,MAX(0,AB261-AB262),AB261-AB262)</f>
        <v>0</v>
      </c>
      <c r="AC263" s="8" t="n">
        <f aca="false">IF(CEG_Assets!$Y$9=1,MAX(0,AC261-AC262),AC261-AC262)</f>
        <v>0</v>
      </c>
      <c r="AD263" s="8" t="n">
        <f aca="false">IF(CEG_Assets!$Y$9=1,MAX(0,AD261-AD262),AD261-AD262)</f>
        <v>0</v>
      </c>
      <c r="AE263" s="8" t="n">
        <f aca="false">IF(CEG_Assets!$Y$9=1,MAX(0,AE261-AE262),AE261-AE262)</f>
        <v>0</v>
      </c>
      <c r="AF263" s="8" t="n">
        <f aca="false">IF(CEG_Assets!$Y$9=1,MAX(0,AF261-AF262),AF261-AF262)</f>
        <v>0</v>
      </c>
      <c r="AG263" s="8" t="n">
        <f aca="false">IF(CEG_Assets!$Y$9=1,MAX(0,AG261-AG262),AG261-AG262)</f>
        <v>0</v>
      </c>
      <c r="AH263" s="8" t="n">
        <f aca="false">IF(CEG_Assets!$Y$9=1,MAX(0,AH261-AH262),AH261-AH262)</f>
        <v>0</v>
      </c>
      <c r="AI263" s="8" t="n">
        <f aca="false">IF(CEG_Assets!$Y$9=1,MAX(0,AI261-AI262),AI261-AI262)</f>
        <v>0</v>
      </c>
      <c r="AJ263" s="8" t="n">
        <f aca="false">IF(CEG_Assets!$Y$9=1,MAX(0,AJ261-AJ262),AJ261-AJ262)</f>
        <v>0</v>
      </c>
      <c r="AK263" s="8" t="n">
        <f aca="false">IF(CEG_Assets!$Y$9=1,MAX(0,AK261-AK262),AK261-AK262)</f>
        <v>0</v>
      </c>
      <c r="AL263" s="8" t="n">
        <f aca="false">IF(CEG_Assets!$Y$9=1,MAX(0,AL261-AL262),AL261-AL262)</f>
        <v>0</v>
      </c>
      <c r="AM263" s="8" t="n">
        <f aca="false">IF(CEG_Assets!$Y$9=1,MAX(0,AM261-AM262),AM261-AM262)</f>
        <v>0</v>
      </c>
      <c r="AN263" s="8" t="n">
        <f aca="false">IF(CEG_Assets!$Y$9=1,MAX(0,AN261-AN262),AN261-AN262)</f>
        <v>0</v>
      </c>
      <c r="AO263" s="8" t="n">
        <f aca="false">IF(CEG_Assets!$Y$9=1,MAX(0,AO261-AO262),AO261-AO262)</f>
        <v>0</v>
      </c>
      <c r="AP263" s="8" t="n">
        <f aca="false">IF(CEG_Assets!$Y$9=1,MAX(0,AP261-AP262),AP261-AP262)</f>
        <v>0</v>
      </c>
      <c r="AQ263" s="8" t="n">
        <f aca="false">IF(CEG_Assets!$Y$9=1,MAX(0,AQ261-AQ262),AQ261-AQ262)</f>
        <v>0</v>
      </c>
      <c r="AR263" s="8" t="n">
        <f aca="false">IF(CEG_Assets!$Y$9=1,MAX(0,AR261-AR262),AR261-AR262)</f>
        <v>0</v>
      </c>
      <c r="AS263" s="8" t="n">
        <f aca="false">IF(CEG_Assets!$Y$9=1,MAX(0,AS261-AS262),AS261-AS262)</f>
        <v>0</v>
      </c>
    </row>
    <row r="264" customFormat="false" ht="15" hidden="false" customHeight="false" outlineLevel="0" collapsed="false">
      <c r="A264" s="6" t="s">
        <v>461</v>
      </c>
      <c r="B264" s="6" t="s">
        <v>462</v>
      </c>
      <c r="C264" s="9" t="n">
        <f aca="false">SUM(G264:AS264)</f>
        <v>0</v>
      </c>
      <c r="G264" s="8" t="n">
        <f aca="false">IF(AND(CEG_Assets!$W$9=1,G$3&lt;=PTCLast,G248&gt;0),G248*MAX(0,PTCCredit*(1+Infl)^(G$3-PTCBase)-0.8*MAX(0,(G253+G254+G256)*1000000/MAX(1,G248)-PTCThresh*(1+Infl)^(G$3-PTCBase)))/1000000,0)</f>
        <v>0</v>
      </c>
      <c r="H264" s="8" t="n">
        <f aca="false">IF(AND(CEG_Assets!$W$9=1,H$3&lt;=PTCLast,H248&gt;0),H248*MAX(0,PTCCredit*(1+Infl)^(H$3-PTCBase)-0.8*MAX(0,(H253+H254+H256)*1000000/MAX(1,H248)-PTCThresh*(1+Infl)^(H$3-PTCBase)))/1000000,0)</f>
        <v>0</v>
      </c>
      <c r="I264" s="8" t="n">
        <f aca="false">IF(AND(CEG_Assets!$W$9=1,I$3&lt;=PTCLast,I248&gt;0),I248*MAX(0,PTCCredit*(1+Infl)^(I$3-PTCBase)-0.8*MAX(0,(I253+I254+I256)*1000000/MAX(1,I248)-PTCThresh*(1+Infl)^(I$3-PTCBase)))/1000000,0)</f>
        <v>0</v>
      </c>
      <c r="J264" s="8" t="n">
        <f aca="false">IF(AND(CEG_Assets!$W$9=1,J$3&lt;=PTCLast,J248&gt;0),J248*MAX(0,PTCCredit*(1+Infl)^(J$3-PTCBase)-0.8*MAX(0,(J253+J254+J256)*1000000/MAX(1,J248)-PTCThresh*(1+Infl)^(J$3-PTCBase)))/1000000,0)</f>
        <v>0</v>
      </c>
      <c r="K264" s="8" t="n">
        <f aca="false">IF(AND(CEG_Assets!$W$9=1,K$3&lt;=PTCLast,K248&gt;0),K248*MAX(0,PTCCredit*(1+Infl)^(K$3-PTCBase)-0.8*MAX(0,(K253+K254+K256)*1000000/MAX(1,K248)-PTCThresh*(1+Infl)^(K$3-PTCBase)))/1000000,0)</f>
        <v>0</v>
      </c>
      <c r="L264" s="8" t="n">
        <f aca="false">IF(AND(CEG_Assets!$W$9=1,L$3&lt;=PTCLast,L248&gt;0),L248*MAX(0,PTCCredit*(1+Infl)^(L$3-PTCBase)-0.8*MAX(0,(L253+L254+L256)*1000000/MAX(1,L248)-PTCThresh*(1+Infl)^(L$3-PTCBase)))/1000000,0)</f>
        <v>0</v>
      </c>
      <c r="M264" s="8" t="n">
        <f aca="false">IF(AND(CEG_Assets!$W$9=1,M$3&lt;=PTCLast,M248&gt;0),M248*MAX(0,PTCCredit*(1+Infl)^(M$3-PTCBase)-0.8*MAX(0,(M253+M254+M256)*1000000/MAX(1,M248)-PTCThresh*(1+Infl)^(M$3-PTCBase)))/1000000,0)</f>
        <v>0</v>
      </c>
      <c r="N264" s="8" t="n">
        <f aca="false">IF(AND(CEG_Assets!$W$9=1,N$3&lt;=PTCLast,N248&gt;0),N248*MAX(0,PTCCredit*(1+Infl)^(N$3-PTCBase)-0.8*MAX(0,(N253+N254+N256)*1000000/MAX(1,N248)-PTCThresh*(1+Infl)^(N$3-PTCBase)))/1000000,0)</f>
        <v>0</v>
      </c>
      <c r="O264" s="8" t="n">
        <f aca="false">IF(AND(CEG_Assets!$W$9=1,O$3&lt;=PTCLast,O248&gt;0),O248*MAX(0,PTCCredit*(1+Infl)^(O$3-PTCBase)-0.8*MAX(0,(O253+O254+O256)*1000000/MAX(1,O248)-PTCThresh*(1+Infl)^(O$3-PTCBase)))/1000000,0)</f>
        <v>0</v>
      </c>
      <c r="P264" s="8" t="n">
        <f aca="false">IF(AND(CEG_Assets!$W$9=1,P$3&lt;=PTCLast,P248&gt;0),P248*MAX(0,PTCCredit*(1+Infl)^(P$3-PTCBase)-0.8*MAX(0,(P253+P254+P256)*1000000/MAX(1,P248)-PTCThresh*(1+Infl)^(P$3-PTCBase)))/1000000,0)</f>
        <v>0</v>
      </c>
      <c r="Q264" s="8" t="n">
        <f aca="false">IF(AND(CEG_Assets!$W$9=1,Q$3&lt;=PTCLast,Q248&gt;0),Q248*MAX(0,PTCCredit*(1+Infl)^(Q$3-PTCBase)-0.8*MAX(0,(Q253+Q254+Q256)*1000000/MAX(1,Q248)-PTCThresh*(1+Infl)^(Q$3-PTCBase)))/1000000,0)</f>
        <v>0</v>
      </c>
      <c r="R264" s="8" t="n">
        <f aca="false">IF(AND(CEG_Assets!$W$9=1,R$3&lt;=PTCLast,R248&gt;0),R248*MAX(0,PTCCredit*(1+Infl)^(R$3-PTCBase)-0.8*MAX(0,(R253+R254+R256)*1000000/MAX(1,R248)-PTCThresh*(1+Infl)^(R$3-PTCBase)))/1000000,0)</f>
        <v>0</v>
      </c>
      <c r="S264" s="8" t="n">
        <f aca="false">IF(AND(CEG_Assets!$W$9=1,S$3&lt;=PTCLast,S248&gt;0),S248*MAX(0,PTCCredit*(1+Infl)^(S$3-PTCBase)-0.8*MAX(0,(S253+S254+S256)*1000000/MAX(1,S248)-PTCThresh*(1+Infl)^(S$3-PTCBase)))/1000000,0)</f>
        <v>0</v>
      </c>
      <c r="T264" s="8" t="n">
        <f aca="false">IF(AND(CEG_Assets!$W$9=1,T$3&lt;=PTCLast,T248&gt;0),T248*MAX(0,PTCCredit*(1+Infl)^(T$3-PTCBase)-0.8*MAX(0,(T253+T254+T256)*1000000/MAX(1,T248)-PTCThresh*(1+Infl)^(T$3-PTCBase)))/1000000,0)</f>
        <v>0</v>
      </c>
      <c r="U264" s="8" t="n">
        <f aca="false">IF(AND(CEG_Assets!$W$9=1,U$3&lt;=PTCLast,U248&gt;0),U248*MAX(0,PTCCredit*(1+Infl)^(U$3-PTCBase)-0.8*MAX(0,(U253+U254+U256)*1000000/MAX(1,U248)-PTCThresh*(1+Infl)^(U$3-PTCBase)))/1000000,0)</f>
        <v>0</v>
      </c>
      <c r="V264" s="8" t="n">
        <f aca="false">IF(AND(CEG_Assets!$W$9=1,V$3&lt;=PTCLast,V248&gt;0),V248*MAX(0,PTCCredit*(1+Infl)^(V$3-PTCBase)-0.8*MAX(0,(V253+V254+V256)*1000000/MAX(1,V248)-PTCThresh*(1+Infl)^(V$3-PTCBase)))/1000000,0)</f>
        <v>0</v>
      </c>
      <c r="W264" s="8" t="n">
        <f aca="false">IF(AND(CEG_Assets!$W$9=1,W$3&lt;=PTCLast,W248&gt;0),W248*MAX(0,PTCCredit*(1+Infl)^(W$3-PTCBase)-0.8*MAX(0,(W253+W254+W256)*1000000/MAX(1,W248)-PTCThresh*(1+Infl)^(W$3-PTCBase)))/1000000,0)</f>
        <v>0</v>
      </c>
      <c r="X264" s="8" t="n">
        <f aca="false">IF(AND(CEG_Assets!$W$9=1,X$3&lt;=PTCLast,X248&gt;0),X248*MAX(0,PTCCredit*(1+Infl)^(X$3-PTCBase)-0.8*MAX(0,(X253+X254+X256)*1000000/MAX(1,X248)-PTCThresh*(1+Infl)^(X$3-PTCBase)))/1000000,0)</f>
        <v>0</v>
      </c>
      <c r="Y264" s="8" t="n">
        <f aca="false">IF(AND(CEG_Assets!$W$9=1,Y$3&lt;=PTCLast,Y248&gt;0),Y248*MAX(0,PTCCredit*(1+Infl)^(Y$3-PTCBase)-0.8*MAX(0,(Y253+Y254+Y256)*1000000/MAX(1,Y248)-PTCThresh*(1+Infl)^(Y$3-PTCBase)))/1000000,0)</f>
        <v>0</v>
      </c>
      <c r="Z264" s="8" t="n">
        <f aca="false">IF(AND(CEG_Assets!$W$9=1,Z$3&lt;=PTCLast,Z248&gt;0),Z248*MAX(0,PTCCredit*(1+Infl)^(Z$3-PTCBase)-0.8*MAX(0,(Z253+Z254+Z256)*1000000/MAX(1,Z248)-PTCThresh*(1+Infl)^(Z$3-PTCBase)))/1000000,0)</f>
        <v>0</v>
      </c>
      <c r="AA264" s="8" t="n">
        <f aca="false">IF(AND(CEG_Assets!$W$9=1,AA$3&lt;=PTCLast,AA248&gt;0),AA248*MAX(0,PTCCredit*(1+Infl)^(AA$3-PTCBase)-0.8*MAX(0,(AA253+AA254+AA256)*1000000/MAX(1,AA248)-PTCThresh*(1+Infl)^(AA$3-PTCBase)))/1000000,0)</f>
        <v>0</v>
      </c>
      <c r="AB264" s="8" t="n">
        <f aca="false">IF(AND(CEG_Assets!$W$9=1,AB$3&lt;=PTCLast,AB248&gt;0),AB248*MAX(0,PTCCredit*(1+Infl)^(AB$3-PTCBase)-0.8*MAX(0,(AB253+AB254+AB256)*1000000/MAX(1,AB248)-PTCThresh*(1+Infl)^(AB$3-PTCBase)))/1000000,0)</f>
        <v>0</v>
      </c>
      <c r="AC264" s="8" t="n">
        <f aca="false">IF(AND(CEG_Assets!$W$9=1,AC$3&lt;=PTCLast,AC248&gt;0),AC248*MAX(0,PTCCredit*(1+Infl)^(AC$3-PTCBase)-0.8*MAX(0,(AC253+AC254+AC256)*1000000/MAX(1,AC248)-PTCThresh*(1+Infl)^(AC$3-PTCBase)))/1000000,0)</f>
        <v>0</v>
      </c>
      <c r="AD264" s="8" t="n">
        <f aca="false">IF(AND(CEG_Assets!$W$9=1,AD$3&lt;=PTCLast,AD248&gt;0),AD248*MAX(0,PTCCredit*(1+Infl)^(AD$3-PTCBase)-0.8*MAX(0,(AD253+AD254+AD256)*1000000/MAX(1,AD248)-PTCThresh*(1+Infl)^(AD$3-PTCBase)))/1000000,0)</f>
        <v>0</v>
      </c>
      <c r="AE264" s="8" t="n">
        <f aca="false">IF(AND(CEG_Assets!$W$9=1,AE$3&lt;=PTCLast,AE248&gt;0),AE248*MAX(0,PTCCredit*(1+Infl)^(AE$3-PTCBase)-0.8*MAX(0,(AE253+AE254+AE256)*1000000/MAX(1,AE248)-PTCThresh*(1+Infl)^(AE$3-PTCBase)))/1000000,0)</f>
        <v>0</v>
      </c>
      <c r="AF264" s="8" t="n">
        <f aca="false">IF(AND(CEG_Assets!$W$9=1,AF$3&lt;=PTCLast,AF248&gt;0),AF248*MAX(0,PTCCredit*(1+Infl)^(AF$3-PTCBase)-0.8*MAX(0,(AF253+AF254+AF256)*1000000/MAX(1,AF248)-PTCThresh*(1+Infl)^(AF$3-PTCBase)))/1000000,0)</f>
        <v>0</v>
      </c>
      <c r="AG264" s="8" t="n">
        <f aca="false">IF(AND(CEG_Assets!$W$9=1,AG$3&lt;=PTCLast,AG248&gt;0),AG248*MAX(0,PTCCredit*(1+Infl)^(AG$3-PTCBase)-0.8*MAX(0,(AG253+AG254+AG256)*1000000/MAX(1,AG248)-PTCThresh*(1+Infl)^(AG$3-PTCBase)))/1000000,0)</f>
        <v>0</v>
      </c>
      <c r="AH264" s="8" t="n">
        <f aca="false">IF(AND(CEG_Assets!$W$9=1,AH$3&lt;=PTCLast,AH248&gt;0),AH248*MAX(0,PTCCredit*(1+Infl)^(AH$3-PTCBase)-0.8*MAX(0,(AH253+AH254+AH256)*1000000/MAX(1,AH248)-PTCThresh*(1+Infl)^(AH$3-PTCBase)))/1000000,0)</f>
        <v>0</v>
      </c>
      <c r="AI264" s="8" t="n">
        <f aca="false">IF(AND(CEG_Assets!$W$9=1,AI$3&lt;=PTCLast,AI248&gt;0),AI248*MAX(0,PTCCredit*(1+Infl)^(AI$3-PTCBase)-0.8*MAX(0,(AI253+AI254+AI256)*1000000/MAX(1,AI248)-PTCThresh*(1+Infl)^(AI$3-PTCBase)))/1000000,0)</f>
        <v>0</v>
      </c>
      <c r="AJ264" s="8" t="n">
        <f aca="false">IF(AND(CEG_Assets!$W$9=1,AJ$3&lt;=PTCLast,AJ248&gt;0),AJ248*MAX(0,PTCCredit*(1+Infl)^(AJ$3-PTCBase)-0.8*MAX(0,(AJ253+AJ254+AJ256)*1000000/MAX(1,AJ248)-PTCThresh*(1+Infl)^(AJ$3-PTCBase)))/1000000,0)</f>
        <v>0</v>
      </c>
      <c r="AK264" s="8" t="n">
        <f aca="false">IF(AND(CEG_Assets!$W$9=1,AK$3&lt;=PTCLast,AK248&gt;0),AK248*MAX(0,PTCCredit*(1+Infl)^(AK$3-PTCBase)-0.8*MAX(0,(AK253+AK254+AK256)*1000000/MAX(1,AK248)-PTCThresh*(1+Infl)^(AK$3-PTCBase)))/1000000,0)</f>
        <v>0</v>
      </c>
      <c r="AL264" s="8" t="n">
        <f aca="false">IF(AND(CEG_Assets!$W$9=1,AL$3&lt;=PTCLast,AL248&gt;0),AL248*MAX(0,PTCCredit*(1+Infl)^(AL$3-PTCBase)-0.8*MAX(0,(AL253+AL254+AL256)*1000000/MAX(1,AL248)-PTCThresh*(1+Infl)^(AL$3-PTCBase)))/1000000,0)</f>
        <v>0</v>
      </c>
      <c r="AM264" s="8" t="n">
        <f aca="false">IF(AND(CEG_Assets!$W$9=1,AM$3&lt;=PTCLast,AM248&gt;0),AM248*MAX(0,PTCCredit*(1+Infl)^(AM$3-PTCBase)-0.8*MAX(0,(AM253+AM254+AM256)*1000000/MAX(1,AM248)-PTCThresh*(1+Infl)^(AM$3-PTCBase)))/1000000,0)</f>
        <v>0</v>
      </c>
      <c r="AN264" s="8" t="n">
        <f aca="false">IF(AND(CEG_Assets!$W$9=1,AN$3&lt;=PTCLast,AN248&gt;0),AN248*MAX(0,PTCCredit*(1+Infl)^(AN$3-PTCBase)-0.8*MAX(0,(AN253+AN254+AN256)*1000000/MAX(1,AN248)-PTCThresh*(1+Infl)^(AN$3-PTCBase)))/1000000,0)</f>
        <v>0</v>
      </c>
      <c r="AO264" s="8" t="n">
        <f aca="false">IF(AND(CEG_Assets!$W$9=1,AO$3&lt;=PTCLast,AO248&gt;0),AO248*MAX(0,PTCCredit*(1+Infl)^(AO$3-PTCBase)-0.8*MAX(0,(AO253+AO254+AO256)*1000000/MAX(1,AO248)-PTCThresh*(1+Infl)^(AO$3-PTCBase)))/1000000,0)</f>
        <v>0</v>
      </c>
      <c r="AP264" s="8" t="n">
        <f aca="false">IF(AND(CEG_Assets!$W$9=1,AP$3&lt;=PTCLast,AP248&gt;0),AP248*MAX(0,PTCCredit*(1+Infl)^(AP$3-PTCBase)-0.8*MAX(0,(AP253+AP254+AP256)*1000000/MAX(1,AP248)-PTCThresh*(1+Infl)^(AP$3-PTCBase)))/1000000,0)</f>
        <v>0</v>
      </c>
      <c r="AQ264" s="8" t="n">
        <f aca="false">IF(AND(CEG_Assets!$W$9=1,AQ$3&lt;=PTCLast,AQ248&gt;0),AQ248*MAX(0,PTCCredit*(1+Infl)^(AQ$3-PTCBase)-0.8*MAX(0,(AQ253+AQ254+AQ256)*1000000/MAX(1,AQ248)-PTCThresh*(1+Infl)^(AQ$3-PTCBase)))/1000000,0)</f>
        <v>0</v>
      </c>
      <c r="AR264" s="8" t="n">
        <f aca="false">IF(AND(CEG_Assets!$W$9=1,AR$3&lt;=PTCLast,AR248&gt;0),AR248*MAX(0,PTCCredit*(1+Infl)^(AR$3-PTCBase)-0.8*MAX(0,(AR253+AR254+AR256)*1000000/MAX(1,AR248)-PTCThresh*(1+Infl)^(AR$3-PTCBase)))/1000000,0)</f>
        <v>0</v>
      </c>
      <c r="AS264" s="8" t="n">
        <f aca="false">IF(AND(CEG_Assets!$W$9=1,AS$3&lt;=PTCLast,AS248&gt;0),AS248*MAX(0,PTCCredit*(1+Infl)^(AS$3-PTCBase)-0.8*MAX(0,(AS253+AS254+AS256)*1000000/MAX(1,AS248)-PTCThresh*(1+Infl)^(AS$3-PTCBase)))/1000000,0)</f>
        <v>0</v>
      </c>
    </row>
    <row r="265" customFormat="false" ht="15" hidden="false" customHeight="false" outlineLevel="0" collapsed="false">
      <c r="A265" s="6" t="s">
        <v>463</v>
      </c>
      <c r="B265" s="6" t="s">
        <v>464</v>
      </c>
      <c r="G265" s="8" t="n">
        <f aca="false">G255-G249*(CEG_Assets!$N$9*(1+CEG_FuelAdj)+CEG_Assets!$O$9*(1+CEG_OMAdj)+CEG_Assets!$P$9*(1+CEG_CapexAdj))*(1+CEG_Assets!$Q$9)^(G$3-2026)/1000000</f>
        <v>0</v>
      </c>
      <c r="H265" s="8" t="n">
        <f aca="false">H255-H249*(CEG_Assets!$N$9*(1+CEG_FuelAdj)+CEG_Assets!$O$9*(1+CEG_OMAdj)+CEG_Assets!$P$9*(1+CEG_CapexAdj))*(1+CEG_Assets!$Q$9)^(H$3-2026)/1000000</f>
        <v>0</v>
      </c>
      <c r="I265" s="8" t="n">
        <f aca="false">I255-I249*(CEG_Assets!$N$9*(1+CEG_FuelAdj)+CEG_Assets!$O$9*(1+CEG_OMAdj)+CEG_Assets!$P$9*(1+CEG_CapexAdj))*(1+CEG_Assets!$Q$9)^(I$3-2026)/1000000</f>
        <v>0</v>
      </c>
      <c r="J265" s="8" t="n">
        <f aca="false">J255-J249*(CEG_Assets!$N$9*(1+CEG_FuelAdj)+CEG_Assets!$O$9*(1+CEG_OMAdj)+CEG_Assets!$P$9*(1+CEG_CapexAdj))*(1+CEG_Assets!$Q$9)^(J$3-2026)/1000000</f>
        <v>0</v>
      </c>
      <c r="K265" s="8" t="n">
        <f aca="false">K255-K249*(CEG_Assets!$N$9*(1+CEG_FuelAdj)+CEG_Assets!$O$9*(1+CEG_OMAdj)+CEG_Assets!$P$9*(1+CEG_CapexAdj))*(1+CEG_Assets!$Q$9)^(K$3-2026)/1000000</f>
        <v>0</v>
      </c>
      <c r="L265" s="8" t="n">
        <f aca="false">L255-L249*(CEG_Assets!$N$9*(1+CEG_FuelAdj)+CEG_Assets!$O$9*(1+CEG_OMAdj)+CEG_Assets!$P$9*(1+CEG_CapexAdj))*(1+CEG_Assets!$Q$9)^(L$3-2026)/1000000</f>
        <v>0</v>
      </c>
      <c r="M265" s="8" t="n">
        <f aca="false">M255-M249*(CEG_Assets!$N$9*(1+CEG_FuelAdj)+CEG_Assets!$O$9*(1+CEG_OMAdj)+CEG_Assets!$P$9*(1+CEG_CapexAdj))*(1+CEG_Assets!$Q$9)^(M$3-2026)/1000000</f>
        <v>0</v>
      </c>
      <c r="N265" s="8" t="n">
        <f aca="false">N255-N249*(CEG_Assets!$N$9*(1+CEG_FuelAdj)+CEG_Assets!$O$9*(1+CEG_OMAdj)+CEG_Assets!$P$9*(1+CEG_CapexAdj))*(1+CEG_Assets!$Q$9)^(N$3-2026)/1000000</f>
        <v>0</v>
      </c>
      <c r="O265" s="8" t="n">
        <f aca="false">O255-O249*(CEG_Assets!$N$9*(1+CEG_FuelAdj)+CEG_Assets!$O$9*(1+CEG_OMAdj)+CEG_Assets!$P$9*(1+CEG_CapexAdj))*(1+CEG_Assets!$Q$9)^(O$3-2026)/1000000</f>
        <v>0</v>
      </c>
      <c r="P265" s="8" t="n">
        <f aca="false">P255-P249*(CEG_Assets!$N$9*(1+CEG_FuelAdj)+CEG_Assets!$O$9*(1+CEG_OMAdj)+CEG_Assets!$P$9*(1+CEG_CapexAdj))*(1+CEG_Assets!$Q$9)^(P$3-2026)/1000000</f>
        <v>0</v>
      </c>
      <c r="Q265" s="8" t="n">
        <f aca="false">Q255-Q249*(CEG_Assets!$N$9*(1+CEG_FuelAdj)+CEG_Assets!$O$9*(1+CEG_OMAdj)+CEG_Assets!$P$9*(1+CEG_CapexAdj))*(1+CEG_Assets!$Q$9)^(Q$3-2026)/1000000</f>
        <v>0</v>
      </c>
      <c r="R265" s="8" t="n">
        <f aca="false">R255-R249*(CEG_Assets!$N$9*(1+CEG_FuelAdj)+CEG_Assets!$O$9*(1+CEG_OMAdj)+CEG_Assets!$P$9*(1+CEG_CapexAdj))*(1+CEG_Assets!$Q$9)^(R$3-2026)/1000000</f>
        <v>0</v>
      </c>
      <c r="S265" s="8" t="n">
        <f aca="false">S255-S249*(CEG_Assets!$N$9*(1+CEG_FuelAdj)+CEG_Assets!$O$9*(1+CEG_OMAdj)+CEG_Assets!$P$9*(1+CEG_CapexAdj))*(1+CEG_Assets!$Q$9)^(S$3-2026)/1000000</f>
        <v>0</v>
      </c>
      <c r="T265" s="8" t="n">
        <f aca="false">T255-T249*(CEG_Assets!$N$9*(1+CEG_FuelAdj)+CEG_Assets!$O$9*(1+CEG_OMAdj)+CEG_Assets!$P$9*(1+CEG_CapexAdj))*(1+CEG_Assets!$Q$9)^(T$3-2026)/1000000</f>
        <v>0</v>
      </c>
      <c r="U265" s="8" t="n">
        <f aca="false">U255-U249*(CEG_Assets!$N$9*(1+CEG_FuelAdj)+CEG_Assets!$O$9*(1+CEG_OMAdj)+CEG_Assets!$P$9*(1+CEG_CapexAdj))*(1+CEG_Assets!$Q$9)^(U$3-2026)/1000000</f>
        <v>0</v>
      </c>
      <c r="V265" s="8" t="n">
        <f aca="false">V255-V249*(CEG_Assets!$N$9*(1+CEG_FuelAdj)+CEG_Assets!$O$9*(1+CEG_OMAdj)+CEG_Assets!$P$9*(1+CEG_CapexAdj))*(1+CEG_Assets!$Q$9)^(V$3-2026)/1000000</f>
        <v>0</v>
      </c>
      <c r="W265" s="8" t="n">
        <f aca="false">W255-W249*(CEG_Assets!$N$9*(1+CEG_FuelAdj)+CEG_Assets!$O$9*(1+CEG_OMAdj)+CEG_Assets!$P$9*(1+CEG_CapexAdj))*(1+CEG_Assets!$Q$9)^(W$3-2026)/1000000</f>
        <v>0</v>
      </c>
      <c r="X265" s="8" t="n">
        <f aca="false">X255-X249*(CEG_Assets!$N$9*(1+CEG_FuelAdj)+CEG_Assets!$O$9*(1+CEG_OMAdj)+CEG_Assets!$P$9*(1+CEG_CapexAdj))*(1+CEG_Assets!$Q$9)^(X$3-2026)/1000000</f>
        <v>0</v>
      </c>
      <c r="Y265" s="8" t="n">
        <f aca="false">Y255-Y249*(CEG_Assets!$N$9*(1+CEG_FuelAdj)+CEG_Assets!$O$9*(1+CEG_OMAdj)+CEG_Assets!$P$9*(1+CEG_CapexAdj))*(1+CEG_Assets!$Q$9)^(Y$3-2026)/1000000</f>
        <v>0</v>
      </c>
      <c r="Z265" s="8" t="n">
        <f aca="false">Z255-Z249*(CEG_Assets!$N$9*(1+CEG_FuelAdj)+CEG_Assets!$O$9*(1+CEG_OMAdj)+CEG_Assets!$P$9*(1+CEG_CapexAdj))*(1+CEG_Assets!$Q$9)^(Z$3-2026)/1000000</f>
        <v>0</v>
      </c>
      <c r="AA265" s="8" t="n">
        <f aca="false">AA255-AA249*(CEG_Assets!$N$9*(1+CEG_FuelAdj)+CEG_Assets!$O$9*(1+CEG_OMAdj)+CEG_Assets!$P$9*(1+CEG_CapexAdj))*(1+CEG_Assets!$Q$9)^(AA$3-2026)/1000000</f>
        <v>0</v>
      </c>
      <c r="AB265" s="8" t="n">
        <f aca="false">AB255-AB249*(CEG_Assets!$N$9*(1+CEG_FuelAdj)+CEG_Assets!$O$9*(1+CEG_OMAdj)+CEG_Assets!$P$9*(1+CEG_CapexAdj))*(1+CEG_Assets!$Q$9)^(AB$3-2026)/1000000</f>
        <v>0</v>
      </c>
      <c r="AC265" s="8" t="n">
        <f aca="false">AC255-AC249*(CEG_Assets!$N$9*(1+CEG_FuelAdj)+CEG_Assets!$O$9*(1+CEG_OMAdj)+CEG_Assets!$P$9*(1+CEG_CapexAdj))*(1+CEG_Assets!$Q$9)^(AC$3-2026)/1000000</f>
        <v>0</v>
      </c>
      <c r="AD265" s="8" t="n">
        <f aca="false">AD255-AD249*(CEG_Assets!$N$9*(1+CEG_FuelAdj)+CEG_Assets!$O$9*(1+CEG_OMAdj)+CEG_Assets!$P$9*(1+CEG_CapexAdj))*(1+CEG_Assets!$Q$9)^(AD$3-2026)/1000000</f>
        <v>0</v>
      </c>
      <c r="AE265" s="8" t="n">
        <f aca="false">AE255-AE249*(CEG_Assets!$N$9*(1+CEG_FuelAdj)+CEG_Assets!$O$9*(1+CEG_OMAdj)+CEG_Assets!$P$9*(1+CEG_CapexAdj))*(1+CEG_Assets!$Q$9)^(AE$3-2026)/1000000</f>
        <v>0</v>
      </c>
      <c r="AF265" s="8" t="n">
        <f aca="false">AF255-AF249*(CEG_Assets!$N$9*(1+CEG_FuelAdj)+CEG_Assets!$O$9*(1+CEG_OMAdj)+CEG_Assets!$P$9*(1+CEG_CapexAdj))*(1+CEG_Assets!$Q$9)^(AF$3-2026)/1000000</f>
        <v>0</v>
      </c>
      <c r="AG265" s="8" t="n">
        <f aca="false">AG255-AG249*(CEG_Assets!$N$9*(1+CEG_FuelAdj)+CEG_Assets!$O$9*(1+CEG_OMAdj)+CEG_Assets!$P$9*(1+CEG_CapexAdj))*(1+CEG_Assets!$Q$9)^(AG$3-2026)/1000000</f>
        <v>0</v>
      </c>
      <c r="AH265" s="8" t="n">
        <f aca="false">AH255-AH249*(CEG_Assets!$N$9*(1+CEG_FuelAdj)+CEG_Assets!$O$9*(1+CEG_OMAdj)+CEG_Assets!$P$9*(1+CEG_CapexAdj))*(1+CEG_Assets!$Q$9)^(AH$3-2026)/1000000</f>
        <v>0</v>
      </c>
      <c r="AI265" s="8" t="n">
        <f aca="false">AI255-AI249*(CEG_Assets!$N$9*(1+CEG_FuelAdj)+CEG_Assets!$O$9*(1+CEG_OMAdj)+CEG_Assets!$P$9*(1+CEG_CapexAdj))*(1+CEG_Assets!$Q$9)^(AI$3-2026)/1000000</f>
        <v>0</v>
      </c>
      <c r="AJ265" s="8" t="n">
        <f aca="false">AJ255-AJ249*(CEG_Assets!$N$9*(1+CEG_FuelAdj)+CEG_Assets!$O$9*(1+CEG_OMAdj)+CEG_Assets!$P$9*(1+CEG_CapexAdj))*(1+CEG_Assets!$Q$9)^(AJ$3-2026)/1000000</f>
        <v>0</v>
      </c>
      <c r="AK265" s="8" t="n">
        <f aca="false">AK255-AK249*(CEG_Assets!$N$9*(1+CEG_FuelAdj)+CEG_Assets!$O$9*(1+CEG_OMAdj)+CEG_Assets!$P$9*(1+CEG_CapexAdj))*(1+CEG_Assets!$Q$9)^(AK$3-2026)/1000000</f>
        <v>0</v>
      </c>
      <c r="AL265" s="8" t="n">
        <f aca="false">AL255-AL249*(CEG_Assets!$N$9*(1+CEG_FuelAdj)+CEG_Assets!$O$9*(1+CEG_OMAdj)+CEG_Assets!$P$9*(1+CEG_CapexAdj))*(1+CEG_Assets!$Q$9)^(AL$3-2026)/1000000</f>
        <v>0</v>
      </c>
      <c r="AM265" s="8" t="n">
        <f aca="false">AM255-AM249*(CEG_Assets!$N$9*(1+CEG_FuelAdj)+CEG_Assets!$O$9*(1+CEG_OMAdj)+CEG_Assets!$P$9*(1+CEG_CapexAdj))*(1+CEG_Assets!$Q$9)^(AM$3-2026)/1000000</f>
        <v>0</v>
      </c>
      <c r="AN265" s="8" t="n">
        <f aca="false">AN255-AN249*(CEG_Assets!$N$9*(1+CEG_FuelAdj)+CEG_Assets!$O$9*(1+CEG_OMAdj)+CEG_Assets!$P$9*(1+CEG_CapexAdj))*(1+CEG_Assets!$Q$9)^(AN$3-2026)/1000000</f>
        <v>0</v>
      </c>
      <c r="AO265" s="8" t="n">
        <f aca="false">AO255-AO249*(CEG_Assets!$N$9*(1+CEG_FuelAdj)+CEG_Assets!$O$9*(1+CEG_OMAdj)+CEG_Assets!$P$9*(1+CEG_CapexAdj))*(1+CEG_Assets!$Q$9)^(AO$3-2026)/1000000</f>
        <v>0</v>
      </c>
      <c r="AP265" s="8" t="n">
        <f aca="false">AP255-AP249*(CEG_Assets!$N$9*(1+CEG_FuelAdj)+CEG_Assets!$O$9*(1+CEG_OMAdj)+CEG_Assets!$P$9*(1+CEG_CapexAdj))*(1+CEG_Assets!$Q$9)^(AP$3-2026)/1000000</f>
        <v>0</v>
      </c>
      <c r="AQ265" s="8" t="n">
        <f aca="false">AQ255-AQ249*(CEG_Assets!$N$9*(1+CEG_FuelAdj)+CEG_Assets!$O$9*(1+CEG_OMAdj)+CEG_Assets!$P$9*(1+CEG_CapexAdj))*(1+CEG_Assets!$Q$9)^(AQ$3-2026)/1000000</f>
        <v>0</v>
      </c>
      <c r="AR265" s="8" t="n">
        <f aca="false">AR255-AR249*(CEG_Assets!$N$9*(1+CEG_FuelAdj)+CEG_Assets!$O$9*(1+CEG_OMAdj)+CEG_Assets!$P$9*(1+CEG_CapexAdj))*(1+CEG_Assets!$Q$9)^(AR$3-2026)/1000000</f>
        <v>0</v>
      </c>
      <c r="AS265" s="8" t="n">
        <f aca="false">AS255-AS249*(CEG_Assets!$N$9*(1+CEG_FuelAdj)+CEG_Assets!$O$9*(1+CEG_OMAdj)+CEG_Assets!$P$9*(1+CEG_CapexAdj))*(1+CEG_Assets!$Q$9)^(AS$3-2026)/1000000</f>
        <v>0</v>
      </c>
    </row>
    <row r="266" customFormat="false" ht="15" hidden="false" customHeight="false" outlineLevel="0" collapsed="false">
      <c r="A266" s="6" t="s">
        <v>465</v>
      </c>
      <c r="B266" s="6" t="s">
        <v>466</v>
      </c>
      <c r="G266" s="8" t="n">
        <f aca="false">G263-G265</f>
        <v>0</v>
      </c>
      <c r="H266" s="8" t="n">
        <f aca="false">H263-H265</f>
        <v>0</v>
      </c>
      <c r="I266" s="8" t="n">
        <f aca="false">I263-I265</f>
        <v>0</v>
      </c>
      <c r="J266" s="8" t="n">
        <f aca="false">J263-J265</f>
        <v>0</v>
      </c>
      <c r="K266" s="8" t="n">
        <f aca="false">K263-K265</f>
        <v>0</v>
      </c>
      <c r="L266" s="8" t="n">
        <f aca="false">L263-L265</f>
        <v>0</v>
      </c>
      <c r="M266" s="8" t="n">
        <f aca="false">M263-M265</f>
        <v>0</v>
      </c>
      <c r="N266" s="8" t="n">
        <f aca="false">N263-N265</f>
        <v>0</v>
      </c>
      <c r="O266" s="8" t="n">
        <f aca="false">O263-O265</f>
        <v>0</v>
      </c>
      <c r="P266" s="8" t="n">
        <f aca="false">P263-P265</f>
        <v>0</v>
      </c>
      <c r="Q266" s="8" t="n">
        <f aca="false">Q263-Q265</f>
        <v>0</v>
      </c>
      <c r="R266" s="8" t="n">
        <f aca="false">R263-R265</f>
        <v>0</v>
      </c>
      <c r="S266" s="8" t="n">
        <f aca="false">S263-S265</f>
        <v>0</v>
      </c>
      <c r="T266" s="8" t="n">
        <f aca="false">T263-T265</f>
        <v>0</v>
      </c>
      <c r="U266" s="8" t="n">
        <f aca="false">U263-U265</f>
        <v>0</v>
      </c>
      <c r="V266" s="8" t="n">
        <f aca="false">V263-V265</f>
        <v>0</v>
      </c>
      <c r="W266" s="8" t="n">
        <f aca="false">W263-W265</f>
        <v>0</v>
      </c>
      <c r="X266" s="8" t="n">
        <f aca="false">X263-X265</f>
        <v>0</v>
      </c>
      <c r="Y266" s="8" t="n">
        <f aca="false">Y263-Y265</f>
        <v>0</v>
      </c>
      <c r="Z266" s="8" t="n">
        <f aca="false">Z263-Z265</f>
        <v>0</v>
      </c>
      <c r="AA266" s="8" t="n">
        <f aca="false">AA263-AA265</f>
        <v>0</v>
      </c>
      <c r="AB266" s="8" t="n">
        <f aca="false">AB263-AB265</f>
        <v>0</v>
      </c>
      <c r="AC266" s="8" t="n">
        <f aca="false">AC263-AC265</f>
        <v>0</v>
      </c>
      <c r="AD266" s="8" t="n">
        <f aca="false">AD263-AD265</f>
        <v>0</v>
      </c>
      <c r="AE266" s="8" t="n">
        <f aca="false">AE263-AE265</f>
        <v>0</v>
      </c>
      <c r="AF266" s="8" t="n">
        <f aca="false">AF263-AF265</f>
        <v>0</v>
      </c>
      <c r="AG266" s="8" t="n">
        <f aca="false">AG263-AG265</f>
        <v>0</v>
      </c>
      <c r="AH266" s="8" t="n">
        <f aca="false">AH263-AH265</f>
        <v>0</v>
      </c>
      <c r="AI266" s="8" t="n">
        <f aca="false">AI263-AI265</f>
        <v>0</v>
      </c>
      <c r="AJ266" s="8" t="n">
        <f aca="false">AJ263-AJ265</f>
        <v>0</v>
      </c>
      <c r="AK266" s="8" t="n">
        <f aca="false">AK263-AK265</f>
        <v>0</v>
      </c>
      <c r="AL266" s="8" t="n">
        <f aca="false">AL263-AL265</f>
        <v>0</v>
      </c>
      <c r="AM266" s="8" t="n">
        <f aca="false">AM263-AM265</f>
        <v>0</v>
      </c>
      <c r="AN266" s="8" t="n">
        <f aca="false">AN263-AN265</f>
        <v>0</v>
      </c>
      <c r="AO266" s="8" t="n">
        <f aca="false">AO263-AO265</f>
        <v>0</v>
      </c>
      <c r="AP266" s="8" t="n">
        <f aca="false">AP263-AP265</f>
        <v>0</v>
      </c>
      <c r="AQ266" s="8" t="n">
        <f aca="false">AQ263-AQ265</f>
        <v>0</v>
      </c>
      <c r="AR266" s="8" t="n">
        <f aca="false">AR263-AR265</f>
        <v>0</v>
      </c>
      <c r="AS266" s="8" t="n">
        <f aca="false">AS263-AS265</f>
        <v>0</v>
      </c>
    </row>
    <row r="267" customFormat="false" ht="15" hidden="false" customHeight="false" outlineLevel="0" collapsed="false">
      <c r="A267" s="6" t="s">
        <v>467</v>
      </c>
      <c r="B267" s="6" t="s">
        <v>468</v>
      </c>
      <c r="G267" s="8" t="n">
        <f aca="false">G266*(1-TaxRate)+G264</f>
        <v>0</v>
      </c>
      <c r="H267" s="8" t="n">
        <f aca="false">H266*(1-TaxRate)+H264</f>
        <v>0</v>
      </c>
      <c r="I267" s="8" t="n">
        <f aca="false">I266*(1-TaxRate)+I264</f>
        <v>0</v>
      </c>
      <c r="J267" s="8" t="n">
        <f aca="false">J266*(1-TaxRate)+J264</f>
        <v>0</v>
      </c>
      <c r="K267" s="8" t="n">
        <f aca="false">K266*(1-TaxRate)+K264</f>
        <v>0</v>
      </c>
      <c r="L267" s="8" t="n">
        <f aca="false">L266*(1-TaxRate)+L264</f>
        <v>0</v>
      </c>
      <c r="M267" s="8" t="n">
        <f aca="false">M266*(1-TaxRate)+M264</f>
        <v>0</v>
      </c>
      <c r="N267" s="8" t="n">
        <f aca="false">N266*(1-TaxRate)+N264</f>
        <v>0</v>
      </c>
      <c r="O267" s="8" t="n">
        <f aca="false">O266*(1-TaxRate)+O264</f>
        <v>0</v>
      </c>
      <c r="P267" s="8" t="n">
        <f aca="false">P266*(1-TaxRate)+P264</f>
        <v>0</v>
      </c>
      <c r="Q267" s="8" t="n">
        <f aca="false">Q266*(1-TaxRate)+Q264</f>
        <v>0</v>
      </c>
      <c r="R267" s="8" t="n">
        <f aca="false">R266*(1-TaxRate)+R264</f>
        <v>0</v>
      </c>
      <c r="S267" s="8" t="n">
        <f aca="false">S266*(1-TaxRate)+S264</f>
        <v>0</v>
      </c>
      <c r="T267" s="8" t="n">
        <f aca="false">T266*(1-TaxRate)+T264</f>
        <v>0</v>
      </c>
      <c r="U267" s="8" t="n">
        <f aca="false">U266*(1-TaxRate)+U264</f>
        <v>0</v>
      </c>
      <c r="V267" s="8" t="n">
        <f aca="false">V266*(1-TaxRate)+V264</f>
        <v>0</v>
      </c>
      <c r="W267" s="8" t="n">
        <f aca="false">W266*(1-TaxRate)+W264</f>
        <v>0</v>
      </c>
      <c r="X267" s="8" t="n">
        <f aca="false">X266*(1-TaxRate)+X264</f>
        <v>0</v>
      </c>
      <c r="Y267" s="8" t="n">
        <f aca="false">Y266*(1-TaxRate)+Y264</f>
        <v>0</v>
      </c>
      <c r="Z267" s="8" t="n">
        <f aca="false">Z266*(1-TaxRate)+Z264</f>
        <v>0</v>
      </c>
      <c r="AA267" s="8" t="n">
        <f aca="false">AA266*(1-TaxRate)+AA264</f>
        <v>0</v>
      </c>
      <c r="AB267" s="8" t="n">
        <f aca="false">AB266*(1-TaxRate)+AB264</f>
        <v>0</v>
      </c>
      <c r="AC267" s="8" t="n">
        <f aca="false">AC266*(1-TaxRate)+AC264</f>
        <v>0</v>
      </c>
      <c r="AD267" s="8" t="n">
        <f aca="false">AD266*(1-TaxRate)+AD264</f>
        <v>0</v>
      </c>
      <c r="AE267" s="8" t="n">
        <f aca="false">AE266*(1-TaxRate)+AE264</f>
        <v>0</v>
      </c>
      <c r="AF267" s="8" t="n">
        <f aca="false">AF266*(1-TaxRate)+AF264</f>
        <v>0</v>
      </c>
      <c r="AG267" s="8" t="n">
        <f aca="false">AG266*(1-TaxRate)+AG264</f>
        <v>0</v>
      </c>
      <c r="AH267" s="8" t="n">
        <f aca="false">AH266*(1-TaxRate)+AH264</f>
        <v>0</v>
      </c>
      <c r="AI267" s="8" t="n">
        <f aca="false">AI266*(1-TaxRate)+AI264</f>
        <v>0</v>
      </c>
      <c r="AJ267" s="8" t="n">
        <f aca="false">AJ266*(1-TaxRate)+AJ264</f>
        <v>0</v>
      </c>
      <c r="AK267" s="8" t="n">
        <f aca="false">AK266*(1-TaxRate)+AK264</f>
        <v>0</v>
      </c>
      <c r="AL267" s="8" t="n">
        <f aca="false">AL266*(1-TaxRate)+AL264</f>
        <v>0</v>
      </c>
      <c r="AM267" s="8" t="n">
        <f aca="false">AM266*(1-TaxRate)+AM264</f>
        <v>0</v>
      </c>
      <c r="AN267" s="8" t="n">
        <f aca="false">AN266*(1-TaxRate)+AN264</f>
        <v>0</v>
      </c>
      <c r="AO267" s="8" t="n">
        <f aca="false">AO266*(1-TaxRate)+AO264</f>
        <v>0</v>
      </c>
      <c r="AP267" s="8" t="n">
        <f aca="false">AP266*(1-TaxRate)+AP264</f>
        <v>0</v>
      </c>
      <c r="AQ267" s="8" t="n">
        <f aca="false">AQ266*(1-TaxRate)+AQ264</f>
        <v>0</v>
      </c>
      <c r="AR267" s="8" t="n">
        <f aca="false">AR266*(1-TaxRate)+AR264</f>
        <v>0</v>
      </c>
      <c r="AS267" s="8" t="n">
        <f aca="false">AS266*(1-TaxRate)+AS264</f>
        <v>0</v>
      </c>
    </row>
    <row r="268" customFormat="false" ht="15" hidden="false" customHeight="false" outlineLevel="0" collapsed="false">
      <c r="A268" s="6" t="s">
        <v>469</v>
      </c>
      <c r="B268" s="6" t="s">
        <v>470</v>
      </c>
      <c r="G268" s="8" t="n">
        <f aca="false">G265*(1-TaxRate)</f>
        <v>0</v>
      </c>
      <c r="H268" s="8" t="n">
        <f aca="false">H265*(1-TaxRate)</f>
        <v>0</v>
      </c>
      <c r="I268" s="8" t="n">
        <f aca="false">I265*(1-TaxRate)</f>
        <v>0</v>
      </c>
      <c r="J268" s="8" t="n">
        <f aca="false">J265*(1-TaxRate)</f>
        <v>0</v>
      </c>
      <c r="K268" s="8" t="n">
        <f aca="false">K265*(1-TaxRate)</f>
        <v>0</v>
      </c>
      <c r="L268" s="8" t="n">
        <f aca="false">L265*(1-TaxRate)</f>
        <v>0</v>
      </c>
      <c r="M268" s="8" t="n">
        <f aca="false">M265*(1-TaxRate)</f>
        <v>0</v>
      </c>
      <c r="N268" s="8" t="n">
        <f aca="false">N265*(1-TaxRate)</f>
        <v>0</v>
      </c>
      <c r="O268" s="8" t="n">
        <f aca="false">O265*(1-TaxRate)</f>
        <v>0</v>
      </c>
      <c r="P268" s="8" t="n">
        <f aca="false">P265*(1-TaxRate)</f>
        <v>0</v>
      </c>
      <c r="Q268" s="8" t="n">
        <f aca="false">Q265*(1-TaxRate)</f>
        <v>0</v>
      </c>
      <c r="R268" s="8" t="n">
        <f aca="false">R265*(1-TaxRate)</f>
        <v>0</v>
      </c>
      <c r="S268" s="8" t="n">
        <f aca="false">S265*(1-TaxRate)</f>
        <v>0</v>
      </c>
      <c r="T268" s="8" t="n">
        <f aca="false">T265*(1-TaxRate)</f>
        <v>0</v>
      </c>
      <c r="U268" s="8" t="n">
        <f aca="false">U265*(1-TaxRate)</f>
        <v>0</v>
      </c>
      <c r="V268" s="8" t="n">
        <f aca="false">V265*(1-TaxRate)</f>
        <v>0</v>
      </c>
      <c r="W268" s="8" t="n">
        <f aca="false">W265*(1-TaxRate)</f>
        <v>0</v>
      </c>
      <c r="X268" s="8" t="n">
        <f aca="false">X265*(1-TaxRate)</f>
        <v>0</v>
      </c>
      <c r="Y268" s="8" t="n">
        <f aca="false">Y265*(1-TaxRate)</f>
        <v>0</v>
      </c>
      <c r="Z268" s="8" t="n">
        <f aca="false">Z265*(1-TaxRate)</f>
        <v>0</v>
      </c>
      <c r="AA268" s="8" t="n">
        <f aca="false">AA265*(1-TaxRate)</f>
        <v>0</v>
      </c>
      <c r="AB268" s="8" t="n">
        <f aca="false">AB265*(1-TaxRate)</f>
        <v>0</v>
      </c>
      <c r="AC268" s="8" t="n">
        <f aca="false">AC265*(1-TaxRate)</f>
        <v>0</v>
      </c>
      <c r="AD268" s="8" t="n">
        <f aca="false">AD265*(1-TaxRate)</f>
        <v>0</v>
      </c>
      <c r="AE268" s="8" t="n">
        <f aca="false">AE265*(1-TaxRate)</f>
        <v>0</v>
      </c>
      <c r="AF268" s="8" t="n">
        <f aca="false">AF265*(1-TaxRate)</f>
        <v>0</v>
      </c>
      <c r="AG268" s="8" t="n">
        <f aca="false">AG265*(1-TaxRate)</f>
        <v>0</v>
      </c>
      <c r="AH268" s="8" t="n">
        <f aca="false">AH265*(1-TaxRate)</f>
        <v>0</v>
      </c>
      <c r="AI268" s="8" t="n">
        <f aca="false">AI265*(1-TaxRate)</f>
        <v>0</v>
      </c>
      <c r="AJ268" s="8" t="n">
        <f aca="false">AJ265*(1-TaxRate)</f>
        <v>0</v>
      </c>
      <c r="AK268" s="8" t="n">
        <f aca="false">AK265*(1-TaxRate)</f>
        <v>0</v>
      </c>
      <c r="AL268" s="8" t="n">
        <f aca="false">AL265*(1-TaxRate)</f>
        <v>0</v>
      </c>
      <c r="AM268" s="8" t="n">
        <f aca="false">AM265*(1-TaxRate)</f>
        <v>0</v>
      </c>
      <c r="AN268" s="8" t="n">
        <f aca="false">AN265*(1-TaxRate)</f>
        <v>0</v>
      </c>
      <c r="AO268" s="8" t="n">
        <f aca="false">AO265*(1-TaxRate)</f>
        <v>0</v>
      </c>
      <c r="AP268" s="8" t="n">
        <f aca="false">AP265*(1-TaxRate)</f>
        <v>0</v>
      </c>
      <c r="AQ268" s="8" t="n">
        <f aca="false">AQ265*(1-TaxRate)</f>
        <v>0</v>
      </c>
      <c r="AR268" s="8" t="n">
        <f aca="false">AR265*(1-TaxRate)</f>
        <v>0</v>
      </c>
      <c r="AS268" s="8" t="n">
        <f aca="false">AS265*(1-TaxRate)</f>
        <v>0</v>
      </c>
    </row>
    <row r="269" customFormat="false" ht="15" hidden="false" customHeight="false" outlineLevel="0" collapsed="false">
      <c r="A269" s="6" t="s">
        <v>471</v>
      </c>
      <c r="B269" s="6" t="s">
        <v>472</v>
      </c>
      <c r="G269" s="42" t="n">
        <f aca="false">(1+CEG_Assets!$AE$9)^-(G$3+0.5-ValDate)</f>
        <v>0.943913469359513</v>
      </c>
      <c r="H269" s="42" t="n">
        <f aca="false">(1+CEG_Assets!$AE$9)^-(H$3+0.5-ValDate)</f>
        <v>0.87399395311066</v>
      </c>
      <c r="I269" s="42" t="n">
        <f aca="false">(1+CEG_Assets!$AE$9)^-(I$3+0.5-ValDate)</f>
        <v>0.809253660287648</v>
      </c>
      <c r="J269" s="42" t="n">
        <f aca="false">(1+CEG_Assets!$AE$9)^-(J$3+0.5-ValDate)</f>
        <v>0.749308944710785</v>
      </c>
      <c r="K269" s="42" t="n">
        <f aca="false">(1+CEG_Assets!$AE$9)^-(K$3+0.5-ValDate)</f>
        <v>0.693804578435912</v>
      </c>
      <c r="L269" s="42" t="n">
        <f aca="false">(1+CEG_Assets!$AE$9)^-(L$3+0.5-ValDate)</f>
        <v>0.642411646699918</v>
      </c>
      <c r="M269" s="42" t="n">
        <f aca="false">(1+CEG_Assets!$AE$9)^-(M$3+0.5-ValDate)</f>
        <v>0.594825598796221</v>
      </c>
      <c r="N269" s="42" t="n">
        <f aca="false">(1+CEG_Assets!$AE$9)^-(N$3+0.5-ValDate)</f>
        <v>0.550764443329834</v>
      </c>
      <c r="O269" s="42" t="n">
        <f aca="false">(1+CEG_Assets!$AE$9)^-(O$3+0.5-ValDate)</f>
        <v>0.509967077157254</v>
      </c>
      <c r="P269" s="42" t="n">
        <f aca="false">(1+CEG_Assets!$AE$9)^-(P$3+0.5-ValDate)</f>
        <v>0.472191738108568</v>
      </c>
      <c r="Q269" s="42" t="n">
        <f aca="false">(1+CEG_Assets!$AE$9)^-(Q$3+0.5-ValDate)</f>
        <v>0.437214572322748</v>
      </c>
      <c r="R269" s="42" t="n">
        <f aca="false">(1+CEG_Assets!$AE$9)^-(R$3+0.5-ValDate)</f>
        <v>0.404828307706248</v>
      </c>
      <c r="S269" s="42" t="n">
        <f aca="false">(1+CEG_Assets!$AE$9)^-(S$3+0.5-ValDate)</f>
        <v>0.374841025653934</v>
      </c>
      <c r="T269" s="42" t="n">
        <f aca="false">(1+CEG_Assets!$AE$9)^-(T$3+0.5-ValDate)</f>
        <v>0.347075023753642</v>
      </c>
      <c r="U269" s="42" t="n">
        <f aca="false">(1+CEG_Assets!$AE$9)^-(U$3+0.5-ValDate)</f>
        <v>0.321365762734854</v>
      </c>
      <c r="V269" s="42" t="n">
        <f aca="false">(1+CEG_Assets!$AE$9)^-(V$3+0.5-ValDate)</f>
        <v>0.297560891421161</v>
      </c>
      <c r="W269" s="42" t="n">
        <f aca="false">(1+CEG_Assets!$AE$9)^-(W$3+0.5-ValDate)</f>
        <v>0.275519343908482</v>
      </c>
      <c r="X269" s="42" t="n">
        <f aca="false">(1+CEG_Assets!$AE$9)^-(X$3+0.5-ValDate)</f>
        <v>0.255110503618965</v>
      </c>
      <c r="Y269" s="42" t="n">
        <f aca="false">(1+CEG_Assets!$AE$9)^-(Y$3+0.5-ValDate)</f>
        <v>0.23621342927682</v>
      </c>
      <c r="Z269" s="42" t="n">
        <f aca="false">(1+CEG_Assets!$AE$9)^-(Z$3+0.5-ValDate)</f>
        <v>0.218716138219277</v>
      </c>
      <c r="AA269" s="42" t="n">
        <f aca="false">(1+CEG_Assets!$AE$9)^-(AA$3+0.5-ValDate)</f>
        <v>0.202514942795627</v>
      </c>
      <c r="AB269" s="42" t="n">
        <f aca="false">(1+CEG_Assets!$AE$9)^-(AB$3+0.5-ValDate)</f>
        <v>0.187513835921877</v>
      </c>
      <c r="AC269" s="42" t="n">
        <f aca="false">(1+CEG_Assets!$AE$9)^-(AC$3+0.5-ValDate)</f>
        <v>0.173623922149886</v>
      </c>
      <c r="AD269" s="42" t="n">
        <f aca="false">(1+CEG_Assets!$AE$9)^-(AD$3+0.5-ValDate)</f>
        <v>0.160762890879524</v>
      </c>
      <c r="AE269" s="42" t="n">
        <f aca="false">(1+CEG_Assets!$AE$9)^-(AE$3+0.5-ValDate)</f>
        <v>0.148854528592152</v>
      </c>
      <c r="AF269" s="42" t="n">
        <f aca="false">(1+CEG_Assets!$AE$9)^-(AF$3+0.5-ValDate)</f>
        <v>0.137828267214956</v>
      </c>
      <c r="AG269" s="42" t="n">
        <f aca="false">(1+CEG_Assets!$AE$9)^-(AG$3+0.5-ValDate)</f>
        <v>0.127618765939774</v>
      </c>
      <c r="AH269" s="42" t="n">
        <f aca="false">(1+CEG_Assets!$AE$9)^-(AH$3+0.5-ValDate)</f>
        <v>0.118165524018309</v>
      </c>
      <c r="AI269" s="42" t="n">
        <f aca="false">(1+CEG_Assets!$AE$9)^-(AI$3+0.5-ValDate)</f>
        <v>0.109412522239175</v>
      </c>
      <c r="AJ269" s="42" t="n">
        <f aca="false">(1+CEG_Assets!$AE$9)^-(AJ$3+0.5-ValDate)</f>
        <v>0.101307890962199</v>
      </c>
      <c r="AK269" s="42" t="n">
        <f aca="false">(1+CEG_Assets!$AE$9)^-(AK$3+0.5-ValDate)</f>
        <v>0.0938036027427768</v>
      </c>
      <c r="AL269" s="42" t="n">
        <f aca="false">(1+CEG_Assets!$AE$9)^-(AL$3+0.5-ValDate)</f>
        <v>0.0868551877247934</v>
      </c>
      <c r="AM269" s="42" t="n">
        <f aca="false">(1+CEG_Assets!$AE$9)^-(AM$3+0.5-ValDate)</f>
        <v>0.0804214701155494</v>
      </c>
      <c r="AN269" s="42" t="n">
        <f aca="false">(1+CEG_Assets!$AE$9)^-(AN$3+0.5-ValDate)</f>
        <v>0.0744643241810643</v>
      </c>
      <c r="AO269" s="42" t="n">
        <f aca="false">(1+CEG_Assets!$AE$9)^-(AO$3+0.5-ValDate)</f>
        <v>0.0689484483158002</v>
      </c>
      <c r="AP269" s="42" t="n">
        <f aca="false">(1+CEG_Assets!$AE$9)^-(AP$3+0.5-ValDate)</f>
        <v>0.0638411558479632</v>
      </c>
      <c r="AQ269" s="42" t="n">
        <f aca="false">(1+CEG_Assets!$AE$9)^-(AQ$3+0.5-ValDate)</f>
        <v>0.0591121813407066</v>
      </c>
      <c r="AR269" s="42" t="n">
        <f aca="false">(1+CEG_Assets!$AE$9)^-(AR$3+0.5-ValDate)</f>
        <v>0.054733501241395</v>
      </c>
      <c r="AS269" s="42" t="n">
        <f aca="false">(1+CEG_Assets!$AE$9)^-(AS$3+0.5-ValDate)</f>
        <v>0.0506791678161065</v>
      </c>
    </row>
    <row r="270" customFormat="false" ht="15" hidden="false" customHeight="false" outlineLevel="0" collapsed="false">
      <c r="A270" s="6" t="s">
        <v>473</v>
      </c>
      <c r="B270" s="6" t="s">
        <v>474</v>
      </c>
      <c r="G270" s="42" t="n">
        <f aca="false">(1+CEG_Assets!$AF$9)^-(G$3+0.5-ValDate)</f>
        <v>0.943913469359513</v>
      </c>
      <c r="H270" s="42" t="n">
        <f aca="false">(1+CEG_Assets!$AF$9)^-(H$3+0.5-ValDate)</f>
        <v>0.87399395311066</v>
      </c>
      <c r="I270" s="42" t="n">
        <f aca="false">(1+CEG_Assets!$AF$9)^-(I$3+0.5-ValDate)</f>
        <v>0.809253660287648</v>
      </c>
      <c r="J270" s="42" t="n">
        <f aca="false">(1+CEG_Assets!$AF$9)^-(J$3+0.5-ValDate)</f>
        <v>0.749308944710785</v>
      </c>
      <c r="K270" s="42" t="n">
        <f aca="false">(1+CEG_Assets!$AF$9)^-(K$3+0.5-ValDate)</f>
        <v>0.693804578435912</v>
      </c>
      <c r="L270" s="42" t="n">
        <f aca="false">(1+CEG_Assets!$AF$9)^-(L$3+0.5-ValDate)</f>
        <v>0.642411646699918</v>
      </c>
      <c r="M270" s="42" t="n">
        <f aca="false">(1+CEG_Assets!$AF$9)^-(M$3+0.5-ValDate)</f>
        <v>0.594825598796221</v>
      </c>
      <c r="N270" s="42" t="n">
        <f aca="false">(1+CEG_Assets!$AF$9)^-(N$3+0.5-ValDate)</f>
        <v>0.550764443329834</v>
      </c>
      <c r="O270" s="42" t="n">
        <f aca="false">(1+CEG_Assets!$AF$9)^-(O$3+0.5-ValDate)</f>
        <v>0.509967077157254</v>
      </c>
      <c r="P270" s="42" t="n">
        <f aca="false">(1+CEG_Assets!$AF$9)^-(P$3+0.5-ValDate)</f>
        <v>0.472191738108568</v>
      </c>
      <c r="Q270" s="42" t="n">
        <f aca="false">(1+CEG_Assets!$AF$9)^-(Q$3+0.5-ValDate)</f>
        <v>0.437214572322748</v>
      </c>
      <c r="R270" s="42" t="n">
        <f aca="false">(1+CEG_Assets!$AF$9)^-(R$3+0.5-ValDate)</f>
        <v>0.404828307706248</v>
      </c>
      <c r="S270" s="42" t="n">
        <f aca="false">(1+CEG_Assets!$AF$9)^-(S$3+0.5-ValDate)</f>
        <v>0.374841025653934</v>
      </c>
      <c r="T270" s="42" t="n">
        <f aca="false">(1+CEG_Assets!$AF$9)^-(T$3+0.5-ValDate)</f>
        <v>0.347075023753642</v>
      </c>
      <c r="U270" s="42" t="n">
        <f aca="false">(1+CEG_Assets!$AF$9)^-(U$3+0.5-ValDate)</f>
        <v>0.321365762734854</v>
      </c>
      <c r="V270" s="42" t="n">
        <f aca="false">(1+CEG_Assets!$AF$9)^-(V$3+0.5-ValDate)</f>
        <v>0.297560891421161</v>
      </c>
      <c r="W270" s="42" t="n">
        <f aca="false">(1+CEG_Assets!$AF$9)^-(W$3+0.5-ValDate)</f>
        <v>0.275519343908482</v>
      </c>
      <c r="X270" s="42" t="n">
        <f aca="false">(1+CEG_Assets!$AF$9)^-(X$3+0.5-ValDate)</f>
        <v>0.255110503618965</v>
      </c>
      <c r="Y270" s="42" t="n">
        <f aca="false">(1+CEG_Assets!$AF$9)^-(Y$3+0.5-ValDate)</f>
        <v>0.23621342927682</v>
      </c>
      <c r="Z270" s="42" t="n">
        <f aca="false">(1+CEG_Assets!$AF$9)^-(Z$3+0.5-ValDate)</f>
        <v>0.218716138219277</v>
      </c>
      <c r="AA270" s="42" t="n">
        <f aca="false">(1+CEG_Assets!$AF$9)^-(AA$3+0.5-ValDate)</f>
        <v>0.202514942795627</v>
      </c>
      <c r="AB270" s="42" t="n">
        <f aca="false">(1+CEG_Assets!$AF$9)^-(AB$3+0.5-ValDate)</f>
        <v>0.187513835921877</v>
      </c>
      <c r="AC270" s="42" t="n">
        <f aca="false">(1+CEG_Assets!$AF$9)^-(AC$3+0.5-ValDate)</f>
        <v>0.173623922149886</v>
      </c>
      <c r="AD270" s="42" t="n">
        <f aca="false">(1+CEG_Assets!$AF$9)^-(AD$3+0.5-ValDate)</f>
        <v>0.160762890879524</v>
      </c>
      <c r="AE270" s="42" t="n">
        <f aca="false">(1+CEG_Assets!$AF$9)^-(AE$3+0.5-ValDate)</f>
        <v>0.148854528592152</v>
      </c>
      <c r="AF270" s="42" t="n">
        <f aca="false">(1+CEG_Assets!$AF$9)^-(AF$3+0.5-ValDate)</f>
        <v>0.137828267214956</v>
      </c>
      <c r="AG270" s="42" t="n">
        <f aca="false">(1+CEG_Assets!$AF$9)^-(AG$3+0.5-ValDate)</f>
        <v>0.127618765939774</v>
      </c>
      <c r="AH270" s="42" t="n">
        <f aca="false">(1+CEG_Assets!$AF$9)^-(AH$3+0.5-ValDate)</f>
        <v>0.118165524018309</v>
      </c>
      <c r="AI270" s="42" t="n">
        <f aca="false">(1+CEG_Assets!$AF$9)^-(AI$3+0.5-ValDate)</f>
        <v>0.109412522239175</v>
      </c>
      <c r="AJ270" s="42" t="n">
        <f aca="false">(1+CEG_Assets!$AF$9)^-(AJ$3+0.5-ValDate)</f>
        <v>0.101307890962199</v>
      </c>
      <c r="AK270" s="42" t="n">
        <f aca="false">(1+CEG_Assets!$AF$9)^-(AK$3+0.5-ValDate)</f>
        <v>0.0938036027427768</v>
      </c>
      <c r="AL270" s="42" t="n">
        <f aca="false">(1+CEG_Assets!$AF$9)^-(AL$3+0.5-ValDate)</f>
        <v>0.0868551877247934</v>
      </c>
      <c r="AM270" s="42" t="n">
        <f aca="false">(1+CEG_Assets!$AF$9)^-(AM$3+0.5-ValDate)</f>
        <v>0.0804214701155494</v>
      </c>
      <c r="AN270" s="42" t="n">
        <f aca="false">(1+CEG_Assets!$AF$9)^-(AN$3+0.5-ValDate)</f>
        <v>0.0744643241810643</v>
      </c>
      <c r="AO270" s="42" t="n">
        <f aca="false">(1+CEG_Assets!$AF$9)^-(AO$3+0.5-ValDate)</f>
        <v>0.0689484483158002</v>
      </c>
      <c r="AP270" s="42" t="n">
        <f aca="false">(1+CEG_Assets!$AF$9)^-(AP$3+0.5-ValDate)</f>
        <v>0.0638411558479632</v>
      </c>
      <c r="AQ270" s="42" t="n">
        <f aca="false">(1+CEG_Assets!$AF$9)^-(AQ$3+0.5-ValDate)</f>
        <v>0.0591121813407066</v>
      </c>
      <c r="AR270" s="42" t="n">
        <f aca="false">(1+CEG_Assets!$AF$9)^-(AR$3+0.5-ValDate)</f>
        <v>0.054733501241395</v>
      </c>
      <c r="AS270" s="42" t="n">
        <f aca="false">(1+CEG_Assets!$AF$9)^-(AS$3+0.5-ValDate)</f>
        <v>0.0506791678161065</v>
      </c>
    </row>
    <row r="271" customFormat="false" ht="15" hidden="false" customHeight="false" outlineLevel="0" collapsed="false">
      <c r="A271" s="6" t="s">
        <v>475</v>
      </c>
      <c r="B271" s="6" t="s">
        <v>476</v>
      </c>
      <c r="C271" s="43" t="n">
        <f aca="false">SUM(G271:AS271)</f>
        <v>0</v>
      </c>
      <c r="D271" s="8" t="n">
        <f aca="false">SUMIF($G$3:$AS$3,"&lt;="&amp;Horizon,G271:AS271)</f>
        <v>0</v>
      </c>
      <c r="E271" s="8" t="n">
        <f aca="false">(C271-D271)*(1+CEG_Assets!$AE$9)^(Horizon+1-ValDate)</f>
        <v>0</v>
      </c>
      <c r="G271" s="8" t="n">
        <f aca="false">G267*G269</f>
        <v>0</v>
      </c>
      <c r="H271" s="8" t="n">
        <f aca="false">H267*H269</f>
        <v>0</v>
      </c>
      <c r="I271" s="8" t="n">
        <f aca="false">I267*I269</f>
        <v>0</v>
      </c>
      <c r="J271" s="8" t="n">
        <f aca="false">J267*J269</f>
        <v>0</v>
      </c>
      <c r="K271" s="8" t="n">
        <f aca="false">K267*K269</f>
        <v>0</v>
      </c>
      <c r="L271" s="8" t="n">
        <f aca="false">L267*L269</f>
        <v>0</v>
      </c>
      <c r="M271" s="8" t="n">
        <f aca="false">M267*M269</f>
        <v>0</v>
      </c>
      <c r="N271" s="8" t="n">
        <f aca="false">N267*N269</f>
        <v>0</v>
      </c>
      <c r="O271" s="8" t="n">
        <f aca="false">O267*O269</f>
        <v>0</v>
      </c>
      <c r="P271" s="8" t="n">
        <f aca="false">P267*P269</f>
        <v>0</v>
      </c>
      <c r="Q271" s="8" t="n">
        <f aca="false">Q267*Q269</f>
        <v>0</v>
      </c>
      <c r="R271" s="8" t="n">
        <f aca="false">R267*R269</f>
        <v>0</v>
      </c>
      <c r="S271" s="8" t="n">
        <f aca="false">S267*S269</f>
        <v>0</v>
      </c>
      <c r="T271" s="8" t="n">
        <f aca="false">T267*T269</f>
        <v>0</v>
      </c>
      <c r="U271" s="8" t="n">
        <f aca="false">U267*U269</f>
        <v>0</v>
      </c>
      <c r="V271" s="8" t="n">
        <f aca="false">V267*V269</f>
        <v>0</v>
      </c>
      <c r="W271" s="8" t="n">
        <f aca="false">W267*W269</f>
        <v>0</v>
      </c>
      <c r="X271" s="8" t="n">
        <f aca="false">X267*X269</f>
        <v>0</v>
      </c>
      <c r="Y271" s="8" t="n">
        <f aca="false">Y267*Y269</f>
        <v>0</v>
      </c>
      <c r="Z271" s="8" t="n">
        <f aca="false">Z267*Z269</f>
        <v>0</v>
      </c>
      <c r="AA271" s="8" t="n">
        <f aca="false">AA267*AA269</f>
        <v>0</v>
      </c>
      <c r="AB271" s="8" t="n">
        <f aca="false">AB267*AB269</f>
        <v>0</v>
      </c>
      <c r="AC271" s="8" t="n">
        <f aca="false">AC267*AC269</f>
        <v>0</v>
      </c>
      <c r="AD271" s="8" t="n">
        <f aca="false">AD267*AD269</f>
        <v>0</v>
      </c>
      <c r="AE271" s="8" t="n">
        <f aca="false">AE267*AE269</f>
        <v>0</v>
      </c>
      <c r="AF271" s="8" t="n">
        <f aca="false">AF267*AF269</f>
        <v>0</v>
      </c>
      <c r="AG271" s="8" t="n">
        <f aca="false">AG267*AG269</f>
        <v>0</v>
      </c>
      <c r="AH271" s="8" t="n">
        <f aca="false">AH267*AH269</f>
        <v>0</v>
      </c>
      <c r="AI271" s="8" t="n">
        <f aca="false">AI267*AI269</f>
        <v>0</v>
      </c>
      <c r="AJ271" s="8" t="n">
        <f aca="false">AJ267*AJ269</f>
        <v>0</v>
      </c>
      <c r="AK271" s="8" t="n">
        <f aca="false">AK267*AK269</f>
        <v>0</v>
      </c>
      <c r="AL271" s="8" t="n">
        <f aca="false">AL267*AL269</f>
        <v>0</v>
      </c>
      <c r="AM271" s="8" t="n">
        <f aca="false">AM267*AM269</f>
        <v>0</v>
      </c>
      <c r="AN271" s="8" t="n">
        <f aca="false">AN267*AN269</f>
        <v>0</v>
      </c>
      <c r="AO271" s="8" t="n">
        <f aca="false">AO267*AO269</f>
        <v>0</v>
      </c>
      <c r="AP271" s="8" t="n">
        <f aca="false">AP267*AP269</f>
        <v>0</v>
      </c>
      <c r="AQ271" s="8" t="n">
        <f aca="false">AQ267*AQ269</f>
        <v>0</v>
      </c>
      <c r="AR271" s="8" t="n">
        <f aca="false">AR267*AR269</f>
        <v>0</v>
      </c>
      <c r="AS271" s="8" t="n">
        <f aca="false">AS267*AS269</f>
        <v>0</v>
      </c>
    </row>
    <row r="272" customFormat="false" ht="15" hidden="false" customHeight="false" outlineLevel="0" collapsed="false">
      <c r="A272" s="6" t="s">
        <v>477</v>
      </c>
      <c r="B272" s="6" t="s">
        <v>478</v>
      </c>
      <c r="C272" s="43" t="n">
        <f aca="false">SUM(G272:AS272)</f>
        <v>0</v>
      </c>
      <c r="D272" s="8" t="n">
        <f aca="false">SUMIF($G$3:$AS$3,"&lt;="&amp;Horizon,G272:AS272)</f>
        <v>0</v>
      </c>
      <c r="E272" s="8" t="n">
        <f aca="false">(C272-D272)*(1+CEG_Assets!$AF$9)^(Horizon+1-ValDate)</f>
        <v>0</v>
      </c>
      <c r="G272" s="8" t="n">
        <f aca="false">G268*G270</f>
        <v>0</v>
      </c>
      <c r="H272" s="8" t="n">
        <f aca="false">H268*H270</f>
        <v>0</v>
      </c>
      <c r="I272" s="8" t="n">
        <f aca="false">I268*I270</f>
        <v>0</v>
      </c>
      <c r="J272" s="8" t="n">
        <f aca="false">J268*J270</f>
        <v>0</v>
      </c>
      <c r="K272" s="8" t="n">
        <f aca="false">K268*K270</f>
        <v>0</v>
      </c>
      <c r="L272" s="8" t="n">
        <f aca="false">L268*L270</f>
        <v>0</v>
      </c>
      <c r="M272" s="8" t="n">
        <f aca="false">M268*M270</f>
        <v>0</v>
      </c>
      <c r="N272" s="8" t="n">
        <f aca="false">N268*N270</f>
        <v>0</v>
      </c>
      <c r="O272" s="8" t="n">
        <f aca="false">O268*O270</f>
        <v>0</v>
      </c>
      <c r="P272" s="8" t="n">
        <f aca="false">P268*P270</f>
        <v>0</v>
      </c>
      <c r="Q272" s="8" t="n">
        <f aca="false">Q268*Q270</f>
        <v>0</v>
      </c>
      <c r="R272" s="8" t="n">
        <f aca="false">R268*R270</f>
        <v>0</v>
      </c>
      <c r="S272" s="8" t="n">
        <f aca="false">S268*S270</f>
        <v>0</v>
      </c>
      <c r="T272" s="8" t="n">
        <f aca="false">T268*T270</f>
        <v>0</v>
      </c>
      <c r="U272" s="8" t="n">
        <f aca="false">U268*U270</f>
        <v>0</v>
      </c>
      <c r="V272" s="8" t="n">
        <f aca="false">V268*V270</f>
        <v>0</v>
      </c>
      <c r="W272" s="8" t="n">
        <f aca="false">W268*W270</f>
        <v>0</v>
      </c>
      <c r="X272" s="8" t="n">
        <f aca="false">X268*X270</f>
        <v>0</v>
      </c>
      <c r="Y272" s="8" t="n">
        <f aca="false">Y268*Y270</f>
        <v>0</v>
      </c>
      <c r="Z272" s="8" t="n">
        <f aca="false">Z268*Z270</f>
        <v>0</v>
      </c>
      <c r="AA272" s="8" t="n">
        <f aca="false">AA268*AA270</f>
        <v>0</v>
      </c>
      <c r="AB272" s="8" t="n">
        <f aca="false">AB268*AB270</f>
        <v>0</v>
      </c>
      <c r="AC272" s="8" t="n">
        <f aca="false">AC268*AC270</f>
        <v>0</v>
      </c>
      <c r="AD272" s="8" t="n">
        <f aca="false">AD268*AD270</f>
        <v>0</v>
      </c>
      <c r="AE272" s="8" t="n">
        <f aca="false">AE268*AE270</f>
        <v>0</v>
      </c>
      <c r="AF272" s="8" t="n">
        <f aca="false">AF268*AF270</f>
        <v>0</v>
      </c>
      <c r="AG272" s="8" t="n">
        <f aca="false">AG268*AG270</f>
        <v>0</v>
      </c>
      <c r="AH272" s="8" t="n">
        <f aca="false">AH268*AH270</f>
        <v>0</v>
      </c>
      <c r="AI272" s="8" t="n">
        <f aca="false">AI268*AI270</f>
        <v>0</v>
      </c>
      <c r="AJ272" s="8" t="n">
        <f aca="false">AJ268*AJ270</f>
        <v>0</v>
      </c>
      <c r="AK272" s="8" t="n">
        <f aca="false">AK268*AK270</f>
        <v>0</v>
      </c>
      <c r="AL272" s="8" t="n">
        <f aca="false">AL268*AL270</f>
        <v>0</v>
      </c>
      <c r="AM272" s="8" t="n">
        <f aca="false">AM268*AM270</f>
        <v>0</v>
      </c>
      <c r="AN272" s="8" t="n">
        <f aca="false">AN268*AN270</f>
        <v>0</v>
      </c>
      <c r="AO272" s="8" t="n">
        <f aca="false">AO268*AO270</f>
        <v>0</v>
      </c>
      <c r="AP272" s="8" t="n">
        <f aca="false">AP268*AP270</f>
        <v>0</v>
      </c>
      <c r="AQ272" s="8" t="n">
        <f aca="false">AQ268*AQ270</f>
        <v>0</v>
      </c>
      <c r="AR272" s="8" t="n">
        <f aca="false">AR268*AR270</f>
        <v>0</v>
      </c>
      <c r="AS272" s="8" t="n">
        <f aca="false">AS268*AS270</f>
        <v>0</v>
      </c>
    </row>
    <row r="273" customFormat="false" ht="15" hidden="false" customHeight="false" outlineLevel="0" collapsed="false">
      <c r="A273" s="6" t="s">
        <v>479</v>
      </c>
      <c r="B273" s="6" t="s">
        <v>480</v>
      </c>
      <c r="C273" s="43" t="n">
        <f aca="false">IF(CEG_Assets!$H$9="$/kW",CEG_Assets!$D$9*CEG_Assets!$AI$9*(1+0.4*(PJMWLR/PJMWLRBase-1))/1000,0)</f>
        <v>855</v>
      </c>
      <c r="E273" s="8" t="n">
        <f aca="false">C273</f>
        <v>855</v>
      </c>
      <c r="G273" s="8" t="n">
        <f aca="false">0</f>
        <v>0</v>
      </c>
      <c r="H273" s="8" t="n">
        <f aca="false">0</f>
        <v>0</v>
      </c>
      <c r="I273" s="8" t="n">
        <f aca="false">0</f>
        <v>0</v>
      </c>
      <c r="J273" s="8" t="n">
        <f aca="false">0</f>
        <v>0</v>
      </c>
      <c r="K273" s="8" t="n">
        <f aca="false">0</f>
        <v>0</v>
      </c>
      <c r="L273" s="8" t="n">
        <f aca="false">0</f>
        <v>0</v>
      </c>
      <c r="M273" s="8" t="n">
        <f aca="false">0</f>
        <v>0</v>
      </c>
      <c r="N273" s="8" t="n">
        <f aca="false">0</f>
        <v>0</v>
      </c>
      <c r="O273" s="8" t="n">
        <f aca="false">0</f>
        <v>0</v>
      </c>
      <c r="P273" s="8" t="n">
        <f aca="false">0</f>
        <v>0</v>
      </c>
      <c r="Q273" s="8" t="n">
        <f aca="false">0</f>
        <v>0</v>
      </c>
      <c r="R273" s="8" t="n">
        <f aca="false">0</f>
        <v>0</v>
      </c>
      <c r="S273" s="8" t="n">
        <f aca="false">0</f>
        <v>0</v>
      </c>
      <c r="T273" s="8" t="n">
        <f aca="false">0</f>
        <v>0</v>
      </c>
      <c r="U273" s="8" t="n">
        <f aca="false">0</f>
        <v>0</v>
      </c>
      <c r="V273" s="8" t="n">
        <f aca="false">0</f>
        <v>0</v>
      </c>
      <c r="W273" s="8" t="n">
        <f aca="false">0</f>
        <v>0</v>
      </c>
      <c r="X273" s="8" t="n">
        <f aca="false">0</f>
        <v>0</v>
      </c>
      <c r="Y273" s="8" t="n">
        <f aca="false">0</f>
        <v>0</v>
      </c>
      <c r="Z273" s="8" t="n">
        <f aca="false">0</f>
        <v>0</v>
      </c>
      <c r="AA273" s="8" t="n">
        <f aca="false">0</f>
        <v>0</v>
      </c>
      <c r="AB273" s="8" t="n">
        <f aca="false">0</f>
        <v>0</v>
      </c>
      <c r="AC273" s="8" t="n">
        <f aca="false">0</f>
        <v>0</v>
      </c>
      <c r="AD273" s="8" t="n">
        <f aca="false">0</f>
        <v>0</v>
      </c>
      <c r="AE273" s="8" t="n">
        <f aca="false">0</f>
        <v>0</v>
      </c>
      <c r="AF273" s="8" t="n">
        <f aca="false">0</f>
        <v>0</v>
      </c>
      <c r="AG273" s="8" t="n">
        <f aca="false">0</f>
        <v>0</v>
      </c>
      <c r="AH273" s="8" t="n">
        <f aca="false">0</f>
        <v>0</v>
      </c>
      <c r="AI273" s="8" t="n">
        <f aca="false">0</f>
        <v>0</v>
      </c>
      <c r="AJ273" s="8" t="n">
        <f aca="false">0</f>
        <v>0</v>
      </c>
      <c r="AK273" s="8" t="n">
        <f aca="false">0</f>
        <v>0</v>
      </c>
      <c r="AL273" s="8" t="n">
        <f aca="false">0</f>
        <v>0</v>
      </c>
      <c r="AM273" s="8" t="n">
        <f aca="false">0</f>
        <v>0</v>
      </c>
      <c r="AN273" s="8" t="n">
        <f aca="false">0</f>
        <v>0</v>
      </c>
      <c r="AO273" s="8" t="n">
        <f aca="false">0</f>
        <v>0</v>
      </c>
      <c r="AP273" s="8" t="n">
        <f aca="false">0</f>
        <v>0</v>
      </c>
      <c r="AQ273" s="8" t="n">
        <f aca="false">0</f>
        <v>0</v>
      </c>
      <c r="AR273" s="8" t="n">
        <f aca="false">0</f>
        <v>0</v>
      </c>
      <c r="AS273" s="8" t="n">
        <f aca="false">0</f>
        <v>0</v>
      </c>
    </row>
    <row r="275" customFormat="false" ht="15" hidden="false" customHeight="false" outlineLevel="0" collapsed="false">
      <c r="A275" s="54" t="str">
        <f aca="false">CEG_Assets!$A$10</f>
        <v>Gas - ERCOT CCGT (Colorado Bend II, Wolf Hollow II, etc.)</v>
      </c>
    </row>
    <row r="276" customFormat="false" ht="15" hidden="false" customHeight="false" outlineLevel="0" collapsed="false">
      <c r="A276" s="6" t="s">
        <v>425</v>
      </c>
      <c r="B276" s="6" t="s">
        <v>426</v>
      </c>
      <c r="G276" s="47" t="n">
        <f aca="false">IF(AND(G$3&gt;=CEG_Assets!$E$10,G$3&lt;=CEG_Assets!$F$10,CEG_Assets!$H$10="Cashflow"),1,0)</f>
        <v>1</v>
      </c>
      <c r="H276" s="47" t="n">
        <f aca="false">IF(AND(H$3&gt;=CEG_Assets!$E$10,H$3&lt;=CEG_Assets!$F$10,CEG_Assets!$H$10="Cashflow"),1,0)</f>
        <v>1</v>
      </c>
      <c r="I276" s="47" t="n">
        <f aca="false">IF(AND(I$3&gt;=CEG_Assets!$E$10,I$3&lt;=CEG_Assets!$F$10,CEG_Assets!$H$10="Cashflow"),1,0)</f>
        <v>1</v>
      </c>
      <c r="J276" s="47" t="n">
        <f aca="false">IF(AND(J$3&gt;=CEG_Assets!$E$10,J$3&lt;=CEG_Assets!$F$10,CEG_Assets!$H$10="Cashflow"),1,0)</f>
        <v>1</v>
      </c>
      <c r="K276" s="47" t="n">
        <f aca="false">IF(AND(K$3&gt;=CEG_Assets!$E$10,K$3&lt;=CEG_Assets!$F$10,CEG_Assets!$H$10="Cashflow"),1,0)</f>
        <v>1</v>
      </c>
      <c r="L276" s="47" t="n">
        <f aca="false">IF(AND(L$3&gt;=CEG_Assets!$E$10,L$3&lt;=CEG_Assets!$F$10,CEG_Assets!$H$10="Cashflow"),1,0)</f>
        <v>1</v>
      </c>
      <c r="M276" s="47" t="n">
        <f aca="false">IF(AND(M$3&gt;=CEG_Assets!$E$10,M$3&lt;=CEG_Assets!$F$10,CEG_Assets!$H$10="Cashflow"),1,0)</f>
        <v>1</v>
      </c>
      <c r="N276" s="47" t="n">
        <f aca="false">IF(AND(N$3&gt;=CEG_Assets!$E$10,N$3&lt;=CEG_Assets!$F$10,CEG_Assets!$H$10="Cashflow"),1,0)</f>
        <v>1</v>
      </c>
      <c r="O276" s="47" t="n">
        <f aca="false">IF(AND(O$3&gt;=CEG_Assets!$E$10,O$3&lt;=CEG_Assets!$F$10,CEG_Assets!$H$10="Cashflow"),1,0)</f>
        <v>1</v>
      </c>
      <c r="P276" s="47" t="n">
        <f aca="false">IF(AND(P$3&gt;=CEG_Assets!$E$10,P$3&lt;=CEG_Assets!$F$10,CEG_Assets!$H$10="Cashflow"),1,0)</f>
        <v>1</v>
      </c>
      <c r="Q276" s="47" t="n">
        <f aca="false">IF(AND(Q$3&gt;=CEG_Assets!$E$10,Q$3&lt;=CEG_Assets!$F$10,CEG_Assets!$H$10="Cashflow"),1,0)</f>
        <v>1</v>
      </c>
      <c r="R276" s="47" t="n">
        <f aca="false">IF(AND(R$3&gt;=CEG_Assets!$E$10,R$3&lt;=CEG_Assets!$F$10,CEG_Assets!$H$10="Cashflow"),1,0)</f>
        <v>1</v>
      </c>
      <c r="S276" s="47" t="n">
        <f aca="false">IF(AND(S$3&gt;=CEG_Assets!$E$10,S$3&lt;=CEG_Assets!$F$10,CEG_Assets!$H$10="Cashflow"),1,0)</f>
        <v>1</v>
      </c>
      <c r="T276" s="47" t="n">
        <f aca="false">IF(AND(T$3&gt;=CEG_Assets!$E$10,T$3&lt;=CEG_Assets!$F$10,CEG_Assets!$H$10="Cashflow"),1,0)</f>
        <v>1</v>
      </c>
      <c r="U276" s="47" t="n">
        <f aca="false">IF(AND(U$3&gt;=CEG_Assets!$E$10,U$3&lt;=CEG_Assets!$F$10,CEG_Assets!$H$10="Cashflow"),1,0)</f>
        <v>1</v>
      </c>
      <c r="V276" s="47" t="n">
        <f aca="false">IF(AND(V$3&gt;=CEG_Assets!$E$10,V$3&lt;=CEG_Assets!$F$10,CEG_Assets!$H$10="Cashflow"),1,0)</f>
        <v>1</v>
      </c>
      <c r="W276" s="47" t="n">
        <f aca="false">IF(AND(W$3&gt;=CEG_Assets!$E$10,W$3&lt;=CEG_Assets!$F$10,CEG_Assets!$H$10="Cashflow"),1,0)</f>
        <v>1</v>
      </c>
      <c r="X276" s="47" t="n">
        <f aca="false">IF(AND(X$3&gt;=CEG_Assets!$E$10,X$3&lt;=CEG_Assets!$F$10,CEG_Assets!$H$10="Cashflow"),1,0)</f>
        <v>1</v>
      </c>
      <c r="Y276" s="47" t="n">
        <f aca="false">IF(AND(Y$3&gt;=CEG_Assets!$E$10,Y$3&lt;=CEG_Assets!$F$10,CEG_Assets!$H$10="Cashflow"),1,0)</f>
        <v>1</v>
      </c>
      <c r="Z276" s="47" t="n">
        <f aca="false">IF(AND(Z$3&gt;=CEG_Assets!$E$10,Z$3&lt;=CEG_Assets!$F$10,CEG_Assets!$H$10="Cashflow"),1,0)</f>
        <v>1</v>
      </c>
      <c r="AA276" s="47" t="n">
        <f aca="false">IF(AND(AA$3&gt;=CEG_Assets!$E$10,AA$3&lt;=CEG_Assets!$F$10,CEG_Assets!$H$10="Cashflow"),1,0)</f>
        <v>1</v>
      </c>
      <c r="AB276" s="47" t="n">
        <f aca="false">IF(AND(AB$3&gt;=CEG_Assets!$E$10,AB$3&lt;=CEG_Assets!$F$10,CEG_Assets!$H$10="Cashflow"),1,0)</f>
        <v>1</v>
      </c>
      <c r="AC276" s="47" t="n">
        <f aca="false">IF(AND(AC$3&gt;=CEG_Assets!$E$10,AC$3&lt;=CEG_Assets!$F$10,CEG_Assets!$H$10="Cashflow"),1,0)</f>
        <v>1</v>
      </c>
      <c r="AD276" s="47" t="n">
        <f aca="false">IF(AND(AD$3&gt;=CEG_Assets!$E$10,AD$3&lt;=CEG_Assets!$F$10,CEG_Assets!$H$10="Cashflow"),1,0)</f>
        <v>1</v>
      </c>
      <c r="AE276" s="47" t="n">
        <f aca="false">IF(AND(AE$3&gt;=CEG_Assets!$E$10,AE$3&lt;=CEG_Assets!$F$10,CEG_Assets!$H$10="Cashflow"),1,0)</f>
        <v>0</v>
      </c>
      <c r="AF276" s="47" t="n">
        <f aca="false">IF(AND(AF$3&gt;=CEG_Assets!$E$10,AF$3&lt;=CEG_Assets!$F$10,CEG_Assets!$H$10="Cashflow"),1,0)</f>
        <v>0</v>
      </c>
      <c r="AG276" s="47" t="n">
        <f aca="false">IF(AND(AG$3&gt;=CEG_Assets!$E$10,AG$3&lt;=CEG_Assets!$F$10,CEG_Assets!$H$10="Cashflow"),1,0)</f>
        <v>0</v>
      </c>
      <c r="AH276" s="47" t="n">
        <f aca="false">IF(AND(AH$3&gt;=CEG_Assets!$E$10,AH$3&lt;=CEG_Assets!$F$10,CEG_Assets!$H$10="Cashflow"),1,0)</f>
        <v>0</v>
      </c>
      <c r="AI276" s="47" t="n">
        <f aca="false">IF(AND(AI$3&gt;=CEG_Assets!$E$10,AI$3&lt;=CEG_Assets!$F$10,CEG_Assets!$H$10="Cashflow"),1,0)</f>
        <v>0</v>
      </c>
      <c r="AJ276" s="47" t="n">
        <f aca="false">IF(AND(AJ$3&gt;=CEG_Assets!$E$10,AJ$3&lt;=CEG_Assets!$F$10,CEG_Assets!$H$10="Cashflow"),1,0)</f>
        <v>0</v>
      </c>
      <c r="AK276" s="47" t="n">
        <f aca="false">IF(AND(AK$3&gt;=CEG_Assets!$E$10,AK$3&lt;=CEG_Assets!$F$10,CEG_Assets!$H$10="Cashflow"),1,0)</f>
        <v>0</v>
      </c>
      <c r="AL276" s="47" t="n">
        <f aca="false">IF(AND(AL$3&gt;=CEG_Assets!$E$10,AL$3&lt;=CEG_Assets!$F$10,CEG_Assets!$H$10="Cashflow"),1,0)</f>
        <v>0</v>
      </c>
      <c r="AM276" s="47" t="n">
        <f aca="false">IF(AND(AM$3&gt;=CEG_Assets!$E$10,AM$3&lt;=CEG_Assets!$F$10,CEG_Assets!$H$10="Cashflow"),1,0)</f>
        <v>0</v>
      </c>
      <c r="AN276" s="47" t="n">
        <f aca="false">IF(AND(AN$3&gt;=CEG_Assets!$E$10,AN$3&lt;=CEG_Assets!$F$10,CEG_Assets!$H$10="Cashflow"),1,0)</f>
        <v>0</v>
      </c>
      <c r="AO276" s="47" t="n">
        <f aca="false">IF(AND(AO$3&gt;=CEG_Assets!$E$10,AO$3&lt;=CEG_Assets!$F$10,CEG_Assets!$H$10="Cashflow"),1,0)</f>
        <v>0</v>
      </c>
      <c r="AP276" s="47" t="n">
        <f aca="false">IF(AND(AP$3&gt;=CEG_Assets!$E$10,AP$3&lt;=CEG_Assets!$F$10,CEG_Assets!$H$10="Cashflow"),1,0)</f>
        <v>0</v>
      </c>
      <c r="AQ276" s="47" t="n">
        <f aca="false">IF(AND(AQ$3&gt;=CEG_Assets!$E$10,AQ$3&lt;=CEG_Assets!$F$10,CEG_Assets!$H$10="Cashflow"),1,0)</f>
        <v>0</v>
      </c>
      <c r="AR276" s="47" t="n">
        <f aca="false">IF(AND(AR$3&gt;=CEG_Assets!$E$10,AR$3&lt;=CEG_Assets!$F$10,CEG_Assets!$H$10="Cashflow"),1,0)</f>
        <v>0</v>
      </c>
      <c r="AS276" s="47" t="n">
        <f aca="false">IF(AND(AS$3&gt;=CEG_Assets!$E$10,AS$3&lt;=CEG_Assets!$F$10,CEG_Assets!$H$10="Cashflow"),1,0)</f>
        <v>0</v>
      </c>
    </row>
    <row r="277" customFormat="false" ht="15" hidden="false" customHeight="false" outlineLevel="0" collapsed="false">
      <c r="A277" s="6" t="s">
        <v>427</v>
      </c>
      <c r="B277" s="6" t="s">
        <v>428</v>
      </c>
      <c r="G277" s="9" t="n">
        <f aca="false">IF(AND(G$3&gt;=CEG_Assets!$AA$10,G$3&lt;=CEG_Assets!$AB$10),MIN(CEG_Assets!$D$10,CEG_Assets!$Z$10*MIN(1,(G$3-CEG_Assets!$AA$10+1)/MAX(1,CEG_Assets!$AC$10))),0)*G276</f>
        <v>0</v>
      </c>
      <c r="H277" s="9" t="n">
        <f aca="false">IF(AND(H$3&gt;=CEG_Assets!$AA$10,H$3&lt;=CEG_Assets!$AB$10),MIN(CEG_Assets!$D$10,CEG_Assets!$Z$10*MIN(1,(H$3-CEG_Assets!$AA$10+1)/MAX(1,CEG_Assets!$AC$10))),0)*H276</f>
        <v>0</v>
      </c>
      <c r="I277" s="9" t="n">
        <f aca="false">IF(AND(I$3&gt;=CEG_Assets!$AA$10,I$3&lt;=CEG_Assets!$AB$10),MIN(CEG_Assets!$D$10,CEG_Assets!$Z$10*MIN(1,(I$3-CEG_Assets!$AA$10+1)/MAX(1,CEG_Assets!$AC$10))),0)*I276</f>
        <v>0</v>
      </c>
      <c r="J277" s="9" t="n">
        <f aca="false">IF(AND(J$3&gt;=CEG_Assets!$AA$10,J$3&lt;=CEG_Assets!$AB$10),MIN(CEG_Assets!$D$10,CEG_Assets!$Z$10*MIN(1,(J$3-CEG_Assets!$AA$10+1)/MAX(1,CEG_Assets!$AC$10))),0)*J276</f>
        <v>0</v>
      </c>
      <c r="K277" s="9" t="n">
        <f aca="false">IF(AND(K$3&gt;=CEG_Assets!$AA$10,K$3&lt;=CEG_Assets!$AB$10),MIN(CEG_Assets!$D$10,CEG_Assets!$Z$10*MIN(1,(K$3-CEG_Assets!$AA$10+1)/MAX(1,CEG_Assets!$AC$10))),0)*K276</f>
        <v>0</v>
      </c>
      <c r="L277" s="9" t="n">
        <f aca="false">IF(AND(L$3&gt;=CEG_Assets!$AA$10,L$3&lt;=CEG_Assets!$AB$10),MIN(CEG_Assets!$D$10,CEG_Assets!$Z$10*MIN(1,(L$3-CEG_Assets!$AA$10+1)/MAX(1,CEG_Assets!$AC$10))),0)*L276</f>
        <v>0</v>
      </c>
      <c r="M277" s="9" t="n">
        <f aca="false">IF(AND(M$3&gt;=CEG_Assets!$AA$10,M$3&lt;=CEG_Assets!$AB$10),MIN(CEG_Assets!$D$10,CEG_Assets!$Z$10*MIN(1,(M$3-CEG_Assets!$AA$10+1)/MAX(1,CEG_Assets!$AC$10))),0)*M276</f>
        <v>0</v>
      </c>
      <c r="N277" s="9" t="n">
        <f aca="false">IF(AND(N$3&gt;=CEG_Assets!$AA$10,N$3&lt;=CEG_Assets!$AB$10),MIN(CEG_Assets!$D$10,CEG_Assets!$Z$10*MIN(1,(N$3-CEG_Assets!$AA$10+1)/MAX(1,CEG_Assets!$AC$10))),0)*N276</f>
        <v>0</v>
      </c>
      <c r="O277" s="9" t="n">
        <f aca="false">IF(AND(O$3&gt;=CEG_Assets!$AA$10,O$3&lt;=CEG_Assets!$AB$10),MIN(CEG_Assets!$D$10,CEG_Assets!$Z$10*MIN(1,(O$3-CEG_Assets!$AA$10+1)/MAX(1,CEG_Assets!$AC$10))),0)*O276</f>
        <v>0</v>
      </c>
      <c r="P277" s="9" t="n">
        <f aca="false">IF(AND(P$3&gt;=CEG_Assets!$AA$10,P$3&lt;=CEG_Assets!$AB$10),MIN(CEG_Assets!$D$10,CEG_Assets!$Z$10*MIN(1,(P$3-CEG_Assets!$AA$10+1)/MAX(1,CEG_Assets!$AC$10))),0)*P276</f>
        <v>0</v>
      </c>
      <c r="Q277" s="9" t="n">
        <f aca="false">IF(AND(Q$3&gt;=CEG_Assets!$AA$10,Q$3&lt;=CEG_Assets!$AB$10),MIN(CEG_Assets!$D$10,CEG_Assets!$Z$10*MIN(1,(Q$3-CEG_Assets!$AA$10+1)/MAX(1,CEG_Assets!$AC$10))),0)*Q276</f>
        <v>0</v>
      </c>
      <c r="R277" s="9" t="n">
        <f aca="false">IF(AND(R$3&gt;=CEG_Assets!$AA$10,R$3&lt;=CEG_Assets!$AB$10),MIN(CEG_Assets!$D$10,CEG_Assets!$Z$10*MIN(1,(R$3-CEG_Assets!$AA$10+1)/MAX(1,CEG_Assets!$AC$10))),0)*R276</f>
        <v>0</v>
      </c>
      <c r="S277" s="9" t="n">
        <f aca="false">IF(AND(S$3&gt;=CEG_Assets!$AA$10,S$3&lt;=CEG_Assets!$AB$10),MIN(CEG_Assets!$D$10,CEG_Assets!$Z$10*MIN(1,(S$3-CEG_Assets!$AA$10+1)/MAX(1,CEG_Assets!$AC$10))),0)*S276</f>
        <v>0</v>
      </c>
      <c r="T277" s="9" t="n">
        <f aca="false">IF(AND(T$3&gt;=CEG_Assets!$AA$10,T$3&lt;=CEG_Assets!$AB$10),MIN(CEG_Assets!$D$10,CEG_Assets!$Z$10*MIN(1,(T$3-CEG_Assets!$AA$10+1)/MAX(1,CEG_Assets!$AC$10))),0)*T276</f>
        <v>0</v>
      </c>
      <c r="U277" s="9" t="n">
        <f aca="false">IF(AND(U$3&gt;=CEG_Assets!$AA$10,U$3&lt;=CEG_Assets!$AB$10),MIN(CEG_Assets!$D$10,CEG_Assets!$Z$10*MIN(1,(U$3-CEG_Assets!$AA$10+1)/MAX(1,CEG_Assets!$AC$10))),0)*U276</f>
        <v>0</v>
      </c>
      <c r="V277" s="9" t="n">
        <f aca="false">IF(AND(V$3&gt;=CEG_Assets!$AA$10,V$3&lt;=CEG_Assets!$AB$10),MIN(CEG_Assets!$D$10,CEG_Assets!$Z$10*MIN(1,(V$3-CEG_Assets!$AA$10+1)/MAX(1,CEG_Assets!$AC$10))),0)*V276</f>
        <v>0</v>
      </c>
      <c r="W277" s="9" t="n">
        <f aca="false">IF(AND(W$3&gt;=CEG_Assets!$AA$10,W$3&lt;=CEG_Assets!$AB$10),MIN(CEG_Assets!$D$10,CEG_Assets!$Z$10*MIN(1,(W$3-CEG_Assets!$AA$10+1)/MAX(1,CEG_Assets!$AC$10))),0)*W276</f>
        <v>0</v>
      </c>
      <c r="X277" s="9" t="n">
        <f aca="false">IF(AND(X$3&gt;=CEG_Assets!$AA$10,X$3&lt;=CEG_Assets!$AB$10),MIN(CEG_Assets!$D$10,CEG_Assets!$Z$10*MIN(1,(X$3-CEG_Assets!$AA$10+1)/MAX(1,CEG_Assets!$AC$10))),0)*X276</f>
        <v>0</v>
      </c>
      <c r="Y277" s="9" t="n">
        <f aca="false">IF(AND(Y$3&gt;=CEG_Assets!$AA$10,Y$3&lt;=CEG_Assets!$AB$10),MIN(CEG_Assets!$D$10,CEG_Assets!$Z$10*MIN(1,(Y$3-CEG_Assets!$AA$10+1)/MAX(1,CEG_Assets!$AC$10))),0)*Y276</f>
        <v>0</v>
      </c>
      <c r="Z277" s="9" t="n">
        <f aca="false">IF(AND(Z$3&gt;=CEG_Assets!$AA$10,Z$3&lt;=CEG_Assets!$AB$10),MIN(CEG_Assets!$D$10,CEG_Assets!$Z$10*MIN(1,(Z$3-CEG_Assets!$AA$10+1)/MAX(1,CEG_Assets!$AC$10))),0)*Z276</f>
        <v>0</v>
      </c>
      <c r="AA277" s="9" t="n">
        <f aca="false">IF(AND(AA$3&gt;=CEG_Assets!$AA$10,AA$3&lt;=CEG_Assets!$AB$10),MIN(CEG_Assets!$D$10,CEG_Assets!$Z$10*MIN(1,(AA$3-CEG_Assets!$AA$10+1)/MAX(1,CEG_Assets!$AC$10))),0)*AA276</f>
        <v>0</v>
      </c>
      <c r="AB277" s="9" t="n">
        <f aca="false">IF(AND(AB$3&gt;=CEG_Assets!$AA$10,AB$3&lt;=CEG_Assets!$AB$10),MIN(CEG_Assets!$D$10,CEG_Assets!$Z$10*MIN(1,(AB$3-CEG_Assets!$AA$10+1)/MAX(1,CEG_Assets!$AC$10))),0)*AB276</f>
        <v>0</v>
      </c>
      <c r="AC277" s="9" t="n">
        <f aca="false">IF(AND(AC$3&gt;=CEG_Assets!$AA$10,AC$3&lt;=CEG_Assets!$AB$10),MIN(CEG_Assets!$D$10,CEG_Assets!$Z$10*MIN(1,(AC$3-CEG_Assets!$AA$10+1)/MAX(1,CEG_Assets!$AC$10))),0)*AC276</f>
        <v>0</v>
      </c>
      <c r="AD277" s="9" t="n">
        <f aca="false">IF(AND(AD$3&gt;=CEG_Assets!$AA$10,AD$3&lt;=CEG_Assets!$AB$10),MIN(CEG_Assets!$D$10,CEG_Assets!$Z$10*MIN(1,(AD$3-CEG_Assets!$AA$10+1)/MAX(1,CEG_Assets!$AC$10))),0)*AD276</f>
        <v>0</v>
      </c>
      <c r="AE277" s="9" t="n">
        <f aca="false">IF(AND(AE$3&gt;=CEG_Assets!$AA$10,AE$3&lt;=CEG_Assets!$AB$10),MIN(CEG_Assets!$D$10,CEG_Assets!$Z$10*MIN(1,(AE$3-CEG_Assets!$AA$10+1)/MAX(1,CEG_Assets!$AC$10))),0)*AE276</f>
        <v>0</v>
      </c>
      <c r="AF277" s="9" t="n">
        <f aca="false">IF(AND(AF$3&gt;=CEG_Assets!$AA$10,AF$3&lt;=CEG_Assets!$AB$10),MIN(CEG_Assets!$D$10,CEG_Assets!$Z$10*MIN(1,(AF$3-CEG_Assets!$AA$10+1)/MAX(1,CEG_Assets!$AC$10))),0)*AF276</f>
        <v>0</v>
      </c>
      <c r="AG277" s="9" t="n">
        <f aca="false">IF(AND(AG$3&gt;=CEG_Assets!$AA$10,AG$3&lt;=CEG_Assets!$AB$10),MIN(CEG_Assets!$D$10,CEG_Assets!$Z$10*MIN(1,(AG$3-CEG_Assets!$AA$10+1)/MAX(1,CEG_Assets!$AC$10))),0)*AG276</f>
        <v>0</v>
      </c>
      <c r="AH277" s="9" t="n">
        <f aca="false">IF(AND(AH$3&gt;=CEG_Assets!$AA$10,AH$3&lt;=CEG_Assets!$AB$10),MIN(CEG_Assets!$D$10,CEG_Assets!$Z$10*MIN(1,(AH$3-CEG_Assets!$AA$10+1)/MAX(1,CEG_Assets!$AC$10))),0)*AH276</f>
        <v>0</v>
      </c>
      <c r="AI277" s="9" t="n">
        <f aca="false">IF(AND(AI$3&gt;=CEG_Assets!$AA$10,AI$3&lt;=CEG_Assets!$AB$10),MIN(CEG_Assets!$D$10,CEG_Assets!$Z$10*MIN(1,(AI$3-CEG_Assets!$AA$10+1)/MAX(1,CEG_Assets!$AC$10))),0)*AI276</f>
        <v>0</v>
      </c>
      <c r="AJ277" s="9" t="n">
        <f aca="false">IF(AND(AJ$3&gt;=CEG_Assets!$AA$10,AJ$3&lt;=CEG_Assets!$AB$10),MIN(CEG_Assets!$D$10,CEG_Assets!$Z$10*MIN(1,(AJ$3-CEG_Assets!$AA$10+1)/MAX(1,CEG_Assets!$AC$10))),0)*AJ276</f>
        <v>0</v>
      </c>
      <c r="AK277" s="9" t="n">
        <f aca="false">IF(AND(AK$3&gt;=CEG_Assets!$AA$10,AK$3&lt;=CEG_Assets!$AB$10),MIN(CEG_Assets!$D$10,CEG_Assets!$Z$10*MIN(1,(AK$3-CEG_Assets!$AA$10+1)/MAX(1,CEG_Assets!$AC$10))),0)*AK276</f>
        <v>0</v>
      </c>
      <c r="AL277" s="9" t="n">
        <f aca="false">IF(AND(AL$3&gt;=CEG_Assets!$AA$10,AL$3&lt;=CEG_Assets!$AB$10),MIN(CEG_Assets!$D$10,CEG_Assets!$Z$10*MIN(1,(AL$3-CEG_Assets!$AA$10+1)/MAX(1,CEG_Assets!$AC$10))),0)*AL276</f>
        <v>0</v>
      </c>
      <c r="AM277" s="9" t="n">
        <f aca="false">IF(AND(AM$3&gt;=CEG_Assets!$AA$10,AM$3&lt;=CEG_Assets!$AB$10),MIN(CEG_Assets!$D$10,CEG_Assets!$Z$10*MIN(1,(AM$3-CEG_Assets!$AA$10+1)/MAX(1,CEG_Assets!$AC$10))),0)*AM276</f>
        <v>0</v>
      </c>
      <c r="AN277" s="9" t="n">
        <f aca="false">IF(AND(AN$3&gt;=CEG_Assets!$AA$10,AN$3&lt;=CEG_Assets!$AB$10),MIN(CEG_Assets!$D$10,CEG_Assets!$Z$10*MIN(1,(AN$3-CEG_Assets!$AA$10+1)/MAX(1,CEG_Assets!$AC$10))),0)*AN276</f>
        <v>0</v>
      </c>
      <c r="AO277" s="9" t="n">
        <f aca="false">IF(AND(AO$3&gt;=CEG_Assets!$AA$10,AO$3&lt;=CEG_Assets!$AB$10),MIN(CEG_Assets!$D$10,CEG_Assets!$Z$10*MIN(1,(AO$3-CEG_Assets!$AA$10+1)/MAX(1,CEG_Assets!$AC$10))),0)*AO276</f>
        <v>0</v>
      </c>
      <c r="AP277" s="9" t="n">
        <f aca="false">IF(AND(AP$3&gt;=CEG_Assets!$AA$10,AP$3&lt;=CEG_Assets!$AB$10),MIN(CEG_Assets!$D$10,CEG_Assets!$Z$10*MIN(1,(AP$3-CEG_Assets!$AA$10+1)/MAX(1,CEG_Assets!$AC$10))),0)*AP276</f>
        <v>0</v>
      </c>
      <c r="AQ277" s="9" t="n">
        <f aca="false">IF(AND(AQ$3&gt;=CEG_Assets!$AA$10,AQ$3&lt;=CEG_Assets!$AB$10),MIN(CEG_Assets!$D$10,CEG_Assets!$Z$10*MIN(1,(AQ$3-CEG_Assets!$AA$10+1)/MAX(1,CEG_Assets!$AC$10))),0)*AQ276</f>
        <v>0</v>
      </c>
      <c r="AR277" s="9" t="n">
        <f aca="false">IF(AND(AR$3&gt;=CEG_Assets!$AA$10,AR$3&lt;=CEG_Assets!$AB$10),MIN(CEG_Assets!$D$10,CEG_Assets!$Z$10*MIN(1,(AR$3-CEG_Assets!$AA$10+1)/MAX(1,CEG_Assets!$AC$10))),0)*AR276</f>
        <v>0</v>
      </c>
      <c r="AS277" s="9" t="n">
        <f aca="false">IF(AND(AS$3&gt;=CEG_Assets!$AA$10,AS$3&lt;=CEG_Assets!$AB$10),MIN(CEG_Assets!$D$10,CEG_Assets!$Z$10*MIN(1,(AS$3-CEG_Assets!$AA$10+1)/MAX(1,CEG_Assets!$AC$10))),0)*AS276</f>
        <v>0</v>
      </c>
    </row>
    <row r="278" customFormat="false" ht="15" hidden="false" customHeight="false" outlineLevel="0" collapsed="false">
      <c r="A278" s="6" t="s">
        <v>429</v>
      </c>
      <c r="B278" s="6" t="s">
        <v>430</v>
      </c>
      <c r="G278" s="9" t="n">
        <f aca="false">(CEG_Assets!$D$10-G277)*8760*CEG_Assets!$I$10*G276</f>
        <v>11081400</v>
      </c>
      <c r="H278" s="9" t="n">
        <f aca="false">(CEG_Assets!$D$10-H277)*8760*CEG_Assets!$I$10*H276</f>
        <v>11081400</v>
      </c>
      <c r="I278" s="9" t="n">
        <f aca="false">(CEG_Assets!$D$10-I277)*8760*CEG_Assets!$I$10*I276</f>
        <v>11081400</v>
      </c>
      <c r="J278" s="9" t="n">
        <f aca="false">(CEG_Assets!$D$10-J277)*8760*CEG_Assets!$I$10*J276</f>
        <v>11081400</v>
      </c>
      <c r="K278" s="9" t="n">
        <f aca="false">(CEG_Assets!$D$10-K277)*8760*CEG_Assets!$I$10*K276</f>
        <v>11081400</v>
      </c>
      <c r="L278" s="9" t="n">
        <f aca="false">(CEG_Assets!$D$10-L277)*8760*CEG_Assets!$I$10*L276</f>
        <v>11081400</v>
      </c>
      <c r="M278" s="9" t="n">
        <f aca="false">(CEG_Assets!$D$10-M277)*8760*CEG_Assets!$I$10*M276</f>
        <v>11081400</v>
      </c>
      <c r="N278" s="9" t="n">
        <f aca="false">(CEG_Assets!$D$10-N277)*8760*CEG_Assets!$I$10*N276</f>
        <v>11081400</v>
      </c>
      <c r="O278" s="9" t="n">
        <f aca="false">(CEG_Assets!$D$10-O277)*8760*CEG_Assets!$I$10*O276</f>
        <v>11081400</v>
      </c>
      <c r="P278" s="9" t="n">
        <f aca="false">(CEG_Assets!$D$10-P277)*8760*CEG_Assets!$I$10*P276</f>
        <v>11081400</v>
      </c>
      <c r="Q278" s="9" t="n">
        <f aca="false">(CEG_Assets!$D$10-Q277)*8760*CEG_Assets!$I$10*Q276</f>
        <v>11081400</v>
      </c>
      <c r="R278" s="9" t="n">
        <f aca="false">(CEG_Assets!$D$10-R277)*8760*CEG_Assets!$I$10*R276</f>
        <v>11081400</v>
      </c>
      <c r="S278" s="9" t="n">
        <f aca="false">(CEG_Assets!$D$10-S277)*8760*CEG_Assets!$I$10*S276</f>
        <v>11081400</v>
      </c>
      <c r="T278" s="9" t="n">
        <f aca="false">(CEG_Assets!$D$10-T277)*8760*CEG_Assets!$I$10*T276</f>
        <v>11081400</v>
      </c>
      <c r="U278" s="9" t="n">
        <f aca="false">(CEG_Assets!$D$10-U277)*8760*CEG_Assets!$I$10*U276</f>
        <v>11081400</v>
      </c>
      <c r="V278" s="9" t="n">
        <f aca="false">(CEG_Assets!$D$10-V277)*8760*CEG_Assets!$I$10*V276</f>
        <v>11081400</v>
      </c>
      <c r="W278" s="9" t="n">
        <f aca="false">(CEG_Assets!$D$10-W277)*8760*CEG_Assets!$I$10*W276</f>
        <v>11081400</v>
      </c>
      <c r="X278" s="9" t="n">
        <f aca="false">(CEG_Assets!$D$10-X277)*8760*CEG_Assets!$I$10*X276</f>
        <v>11081400</v>
      </c>
      <c r="Y278" s="9" t="n">
        <f aca="false">(CEG_Assets!$D$10-Y277)*8760*CEG_Assets!$I$10*Y276</f>
        <v>11081400</v>
      </c>
      <c r="Z278" s="9" t="n">
        <f aca="false">(CEG_Assets!$D$10-Z277)*8760*CEG_Assets!$I$10*Z276</f>
        <v>11081400</v>
      </c>
      <c r="AA278" s="9" t="n">
        <f aca="false">(CEG_Assets!$D$10-AA277)*8760*CEG_Assets!$I$10*AA276</f>
        <v>11081400</v>
      </c>
      <c r="AB278" s="9" t="n">
        <f aca="false">(CEG_Assets!$D$10-AB277)*8760*CEG_Assets!$I$10*AB276</f>
        <v>11081400</v>
      </c>
      <c r="AC278" s="9" t="n">
        <f aca="false">(CEG_Assets!$D$10-AC277)*8760*CEG_Assets!$I$10*AC276</f>
        <v>11081400</v>
      </c>
      <c r="AD278" s="9" t="n">
        <f aca="false">(CEG_Assets!$D$10-AD277)*8760*CEG_Assets!$I$10*AD276</f>
        <v>11081400</v>
      </c>
      <c r="AE278" s="9" t="n">
        <f aca="false">(CEG_Assets!$D$10-AE277)*8760*CEG_Assets!$I$10*AE276</f>
        <v>0</v>
      </c>
      <c r="AF278" s="9" t="n">
        <f aca="false">(CEG_Assets!$D$10-AF277)*8760*CEG_Assets!$I$10*AF276</f>
        <v>0</v>
      </c>
      <c r="AG278" s="9" t="n">
        <f aca="false">(CEG_Assets!$D$10-AG277)*8760*CEG_Assets!$I$10*AG276</f>
        <v>0</v>
      </c>
      <c r="AH278" s="9" t="n">
        <f aca="false">(CEG_Assets!$D$10-AH277)*8760*CEG_Assets!$I$10*AH276</f>
        <v>0</v>
      </c>
      <c r="AI278" s="9" t="n">
        <f aca="false">(CEG_Assets!$D$10-AI277)*8760*CEG_Assets!$I$10*AI276</f>
        <v>0</v>
      </c>
      <c r="AJ278" s="9" t="n">
        <f aca="false">(CEG_Assets!$D$10-AJ277)*8760*CEG_Assets!$I$10*AJ276</f>
        <v>0</v>
      </c>
      <c r="AK278" s="9" t="n">
        <f aca="false">(CEG_Assets!$D$10-AK277)*8760*CEG_Assets!$I$10*AK276</f>
        <v>0</v>
      </c>
      <c r="AL278" s="9" t="n">
        <f aca="false">(CEG_Assets!$D$10-AL277)*8760*CEG_Assets!$I$10*AL276</f>
        <v>0</v>
      </c>
      <c r="AM278" s="9" t="n">
        <f aca="false">(CEG_Assets!$D$10-AM277)*8760*CEG_Assets!$I$10*AM276</f>
        <v>0</v>
      </c>
      <c r="AN278" s="9" t="n">
        <f aca="false">(CEG_Assets!$D$10-AN277)*8760*CEG_Assets!$I$10*AN276</f>
        <v>0</v>
      </c>
      <c r="AO278" s="9" t="n">
        <f aca="false">(CEG_Assets!$D$10-AO277)*8760*CEG_Assets!$I$10*AO276</f>
        <v>0</v>
      </c>
      <c r="AP278" s="9" t="n">
        <f aca="false">(CEG_Assets!$D$10-AP277)*8760*CEG_Assets!$I$10*AP276</f>
        <v>0</v>
      </c>
      <c r="AQ278" s="9" t="n">
        <f aca="false">(CEG_Assets!$D$10-AQ277)*8760*CEG_Assets!$I$10*AQ276</f>
        <v>0</v>
      </c>
      <c r="AR278" s="9" t="n">
        <f aca="false">(CEG_Assets!$D$10-AR277)*8760*CEG_Assets!$I$10*AR276</f>
        <v>0</v>
      </c>
      <c r="AS278" s="9" t="n">
        <f aca="false">(CEG_Assets!$D$10-AS277)*8760*CEG_Assets!$I$10*AS276</f>
        <v>0</v>
      </c>
    </row>
    <row r="279" customFormat="false" ht="15" hidden="false" customHeight="false" outlineLevel="0" collapsed="false">
      <c r="A279" s="6" t="s">
        <v>431</v>
      </c>
      <c r="B279" s="6" t="s">
        <v>432</v>
      </c>
      <c r="G279" s="9" t="n">
        <f aca="false">G277*8760*CEG_Assets!$I$10*G276</f>
        <v>0</v>
      </c>
      <c r="H279" s="9" t="n">
        <f aca="false">H277*8760*CEG_Assets!$I$10*H276</f>
        <v>0</v>
      </c>
      <c r="I279" s="9" t="n">
        <f aca="false">I277*8760*CEG_Assets!$I$10*I276</f>
        <v>0</v>
      </c>
      <c r="J279" s="9" t="n">
        <f aca="false">J277*8760*CEG_Assets!$I$10*J276</f>
        <v>0</v>
      </c>
      <c r="K279" s="9" t="n">
        <f aca="false">K277*8760*CEG_Assets!$I$10*K276</f>
        <v>0</v>
      </c>
      <c r="L279" s="9" t="n">
        <f aca="false">L277*8760*CEG_Assets!$I$10*L276</f>
        <v>0</v>
      </c>
      <c r="M279" s="9" t="n">
        <f aca="false">M277*8760*CEG_Assets!$I$10*M276</f>
        <v>0</v>
      </c>
      <c r="N279" s="9" t="n">
        <f aca="false">N277*8760*CEG_Assets!$I$10*N276</f>
        <v>0</v>
      </c>
      <c r="O279" s="9" t="n">
        <f aca="false">O277*8760*CEG_Assets!$I$10*O276</f>
        <v>0</v>
      </c>
      <c r="P279" s="9" t="n">
        <f aca="false">P277*8760*CEG_Assets!$I$10*P276</f>
        <v>0</v>
      </c>
      <c r="Q279" s="9" t="n">
        <f aca="false">Q277*8760*CEG_Assets!$I$10*Q276</f>
        <v>0</v>
      </c>
      <c r="R279" s="9" t="n">
        <f aca="false">R277*8760*CEG_Assets!$I$10*R276</f>
        <v>0</v>
      </c>
      <c r="S279" s="9" t="n">
        <f aca="false">S277*8760*CEG_Assets!$I$10*S276</f>
        <v>0</v>
      </c>
      <c r="T279" s="9" t="n">
        <f aca="false">T277*8760*CEG_Assets!$I$10*T276</f>
        <v>0</v>
      </c>
      <c r="U279" s="9" t="n">
        <f aca="false">U277*8760*CEG_Assets!$I$10*U276</f>
        <v>0</v>
      </c>
      <c r="V279" s="9" t="n">
        <f aca="false">V277*8760*CEG_Assets!$I$10*V276</f>
        <v>0</v>
      </c>
      <c r="W279" s="9" t="n">
        <f aca="false">W277*8760*CEG_Assets!$I$10*W276</f>
        <v>0</v>
      </c>
      <c r="X279" s="9" t="n">
        <f aca="false">X277*8760*CEG_Assets!$I$10*X276</f>
        <v>0</v>
      </c>
      <c r="Y279" s="9" t="n">
        <f aca="false">Y277*8760*CEG_Assets!$I$10*Y276</f>
        <v>0</v>
      </c>
      <c r="Z279" s="9" t="n">
        <f aca="false">Z277*8760*CEG_Assets!$I$10*Z276</f>
        <v>0</v>
      </c>
      <c r="AA279" s="9" t="n">
        <f aca="false">AA277*8760*CEG_Assets!$I$10*AA276</f>
        <v>0</v>
      </c>
      <c r="AB279" s="9" t="n">
        <f aca="false">AB277*8760*CEG_Assets!$I$10*AB276</f>
        <v>0</v>
      </c>
      <c r="AC279" s="9" t="n">
        <f aca="false">AC277*8760*CEG_Assets!$I$10*AC276</f>
        <v>0</v>
      </c>
      <c r="AD279" s="9" t="n">
        <f aca="false">AD277*8760*CEG_Assets!$I$10*AD276</f>
        <v>0</v>
      </c>
      <c r="AE279" s="9" t="n">
        <f aca="false">AE277*8760*CEG_Assets!$I$10*AE276</f>
        <v>0</v>
      </c>
      <c r="AF279" s="9" t="n">
        <f aca="false">AF277*8760*CEG_Assets!$I$10*AF276</f>
        <v>0</v>
      </c>
      <c r="AG279" s="9" t="n">
        <f aca="false">AG277*8760*CEG_Assets!$I$10*AG276</f>
        <v>0</v>
      </c>
      <c r="AH279" s="9" t="n">
        <f aca="false">AH277*8760*CEG_Assets!$I$10*AH276</f>
        <v>0</v>
      </c>
      <c r="AI279" s="9" t="n">
        <f aca="false">AI277*8760*CEG_Assets!$I$10*AI276</f>
        <v>0</v>
      </c>
      <c r="AJ279" s="9" t="n">
        <f aca="false">AJ277*8760*CEG_Assets!$I$10*AJ276</f>
        <v>0</v>
      </c>
      <c r="AK279" s="9" t="n">
        <f aca="false">AK277*8760*CEG_Assets!$I$10*AK276</f>
        <v>0</v>
      </c>
      <c r="AL279" s="9" t="n">
        <f aca="false">AL277*8760*CEG_Assets!$I$10*AL276</f>
        <v>0</v>
      </c>
      <c r="AM279" s="9" t="n">
        <f aca="false">AM277*8760*CEG_Assets!$I$10*AM276</f>
        <v>0</v>
      </c>
      <c r="AN279" s="9" t="n">
        <f aca="false">AN277*8760*CEG_Assets!$I$10*AN276</f>
        <v>0</v>
      </c>
      <c r="AO279" s="9" t="n">
        <f aca="false">AO277*8760*CEG_Assets!$I$10*AO276</f>
        <v>0</v>
      </c>
      <c r="AP279" s="9" t="n">
        <f aca="false">AP277*8760*CEG_Assets!$I$10*AP276</f>
        <v>0</v>
      </c>
      <c r="AQ279" s="9" t="n">
        <f aca="false">AQ277*8760*CEG_Assets!$I$10*AQ276</f>
        <v>0</v>
      </c>
      <c r="AR279" s="9" t="n">
        <f aca="false">AR277*8760*CEG_Assets!$I$10*AR276</f>
        <v>0</v>
      </c>
      <c r="AS279" s="9" t="n">
        <f aca="false">AS277*8760*CEG_Assets!$I$10*AS276</f>
        <v>0</v>
      </c>
    </row>
    <row r="280" customFormat="false" ht="15" hidden="false" customHeight="false" outlineLevel="0" collapsed="false">
      <c r="A280" s="6" t="s">
        <v>433</v>
      </c>
      <c r="B280" s="6" t="s">
        <v>434</v>
      </c>
      <c r="G280" s="7" t="n">
        <f aca="false">IF(ISNUMBER(CEG_Assets!$L$10),CEG_Assets!$L$10*G$4,INDEX(Prices!G:G,CEG_Assets!$AO$10)+FuelAdder*G$4)</f>
        <v>4.131</v>
      </c>
      <c r="H280" s="7" t="n">
        <f aca="false">IF(ISNUMBER(CEG_Assets!$L$10),CEG_Assets!$L$10*H$4,INDEX(Prices!H:H,CEG_Assets!$AO$10)+FuelAdder*H$4)</f>
        <v>4.21362</v>
      </c>
      <c r="I280" s="7" t="n">
        <f aca="false">IF(ISNUMBER(CEG_Assets!$L$10),CEG_Assets!$L$10*I$4,INDEX(Prices!I:I,CEG_Assets!$AO$10)+FuelAdder*I$4)</f>
        <v>4.4040132</v>
      </c>
      <c r="J280" s="7" t="n">
        <f aca="false">IF(ISNUMBER(CEG_Assets!$L$10),CEG_Assets!$L$10*J$4,INDEX(Prices!J:J,CEG_Assets!$AO$10)+FuelAdder*J$4)</f>
        <v>4.492093464</v>
      </c>
      <c r="K280" s="7" t="n">
        <f aca="false">IF(ISNUMBER(CEG_Assets!$L$10),CEG_Assets!$L$10*K$4,INDEX(Prices!K:K,CEG_Assets!$AO$10)+FuelAdder*K$4)</f>
        <v>4.58193533328</v>
      </c>
      <c r="L280" s="7" t="n">
        <f aca="false">IF(ISNUMBER(CEG_Assets!$L$10),CEG_Assets!$L$10*L$4,INDEX(Prices!L:L,CEG_Assets!$AO$10)+FuelAdder*L$4)</f>
        <v>4.6735740399456</v>
      </c>
      <c r="M280" s="7" t="n">
        <f aca="false">IF(ISNUMBER(CEG_Assets!$L$10),CEG_Assets!$L$10*M$4,INDEX(Prices!M:M,CEG_Assets!$AO$10)+FuelAdder*M$4)</f>
        <v>4.76704552074451</v>
      </c>
      <c r="N280" s="7" t="n">
        <f aca="false">IF(ISNUMBER(CEG_Assets!$L$10),CEG_Assets!$L$10*N$4,INDEX(Prices!N:N,CEG_Assets!$AO$10)+FuelAdder*N$4)</f>
        <v>4.8623864311594</v>
      </c>
      <c r="O280" s="7" t="n">
        <f aca="false">IF(ISNUMBER(CEG_Assets!$L$10),CEG_Assets!$L$10*O$4,INDEX(Prices!O:O,CEG_Assets!$AO$10)+FuelAdder*O$4)</f>
        <v>4.95963415978259</v>
      </c>
      <c r="P280" s="7" t="n">
        <f aca="false">IF(ISNUMBER(CEG_Assets!$L$10),CEG_Assets!$L$10*P$4,INDEX(Prices!P:P,CEG_Assets!$AO$10)+FuelAdder*P$4)</f>
        <v>5.05882684297824</v>
      </c>
      <c r="Q280" s="7" t="n">
        <f aca="false">IF(ISNUMBER(CEG_Assets!$L$10),CEG_Assets!$L$10*Q$4,INDEX(Prices!Q:Q,CEG_Assets!$AO$10)+FuelAdder*Q$4)</f>
        <v>5.16000337983781</v>
      </c>
      <c r="R280" s="7" t="n">
        <f aca="false">IF(ISNUMBER(CEG_Assets!$L$10),CEG_Assets!$L$10*R$4,INDEX(Prices!R:R,CEG_Assets!$AO$10)+FuelAdder*R$4)</f>
        <v>5.26320344743456</v>
      </c>
      <c r="S280" s="7" t="n">
        <f aca="false">IF(ISNUMBER(CEG_Assets!$L$10),CEG_Assets!$L$10*S$4,INDEX(Prices!S:S,CEG_Assets!$AO$10)+FuelAdder*S$4)</f>
        <v>5.36846751638326</v>
      </c>
      <c r="T280" s="7" t="n">
        <f aca="false">IF(ISNUMBER(CEG_Assets!$L$10),CEG_Assets!$L$10*T$4,INDEX(Prices!T:T,CEG_Assets!$AO$10)+FuelAdder*T$4)</f>
        <v>5.47583686671092</v>
      </c>
      <c r="U280" s="7" t="n">
        <f aca="false">IF(ISNUMBER(CEG_Assets!$L$10),CEG_Assets!$L$10*U$4,INDEX(Prices!U:U,CEG_Assets!$AO$10)+FuelAdder*U$4)</f>
        <v>5.58535360404514</v>
      </c>
      <c r="V280" s="7" t="n">
        <f aca="false">IF(ISNUMBER(CEG_Assets!$L$10),CEG_Assets!$L$10*V$4,INDEX(Prices!V:V,CEG_Assets!$AO$10)+FuelAdder*V$4)</f>
        <v>5.69706067612604</v>
      </c>
      <c r="W280" s="7" t="n">
        <f aca="false">IF(ISNUMBER(CEG_Assets!$L$10),CEG_Assets!$L$10*W$4,INDEX(Prices!W:W,CEG_Assets!$AO$10)+FuelAdder*W$4)</f>
        <v>5.81100188964856</v>
      </c>
      <c r="X280" s="7" t="n">
        <f aca="false">IF(ISNUMBER(CEG_Assets!$L$10),CEG_Assets!$L$10*X$4,INDEX(Prices!X:X,CEG_Assets!$AO$10)+FuelAdder*X$4)</f>
        <v>5.92722192744153</v>
      </c>
      <c r="Y280" s="7" t="n">
        <f aca="false">IF(ISNUMBER(CEG_Assets!$L$10),CEG_Assets!$L$10*Y$4,INDEX(Prices!Y:Y,CEG_Assets!$AO$10)+FuelAdder*Y$4)</f>
        <v>6.04576636599037</v>
      </c>
      <c r="Z280" s="7" t="n">
        <f aca="false">IF(ISNUMBER(CEG_Assets!$L$10),CEG_Assets!$L$10*Z$4,INDEX(Prices!Z:Z,CEG_Assets!$AO$10)+FuelAdder*Z$4)</f>
        <v>6.16668169331017</v>
      </c>
      <c r="AA280" s="7" t="n">
        <f aca="false">IF(ISNUMBER(CEG_Assets!$L$10),CEG_Assets!$L$10*AA$4,INDEX(Prices!AA:AA,CEG_Assets!$AO$10)+FuelAdder*AA$4)</f>
        <v>6.29001532717638</v>
      </c>
      <c r="AB280" s="7" t="n">
        <f aca="false">IF(ISNUMBER(CEG_Assets!$L$10),CEG_Assets!$L$10*AB$4,INDEX(Prices!AB:AB,CEG_Assets!$AO$10)+FuelAdder*AB$4)</f>
        <v>6.4158156337199</v>
      </c>
      <c r="AC280" s="7" t="n">
        <f aca="false">IF(ISNUMBER(CEG_Assets!$L$10),CEG_Assets!$L$10*AC$4,INDEX(Prices!AC:AC,CEG_Assets!$AO$10)+FuelAdder*AC$4)</f>
        <v>6.5441319463943</v>
      </c>
      <c r="AD280" s="7" t="n">
        <f aca="false">IF(ISNUMBER(CEG_Assets!$L$10),CEG_Assets!$L$10*AD$4,INDEX(Prices!AD:AD,CEG_Assets!$AO$10)+FuelAdder*AD$4)</f>
        <v>6.67501458532219</v>
      </c>
      <c r="AE280" s="7" t="n">
        <f aca="false">IF(ISNUMBER(CEG_Assets!$L$10),CEG_Assets!$L$10*AE$4,INDEX(Prices!AE:AE,CEG_Assets!$AO$10)+FuelAdder*AE$4)</f>
        <v>6.80851487702863</v>
      </c>
      <c r="AF280" s="7" t="n">
        <f aca="false">IF(ISNUMBER(CEG_Assets!$L$10),CEG_Assets!$L$10*AF$4,INDEX(Prices!AF:AF,CEG_Assets!$AO$10)+FuelAdder*AF$4)</f>
        <v>6.94468517456921</v>
      </c>
      <c r="AG280" s="7" t="n">
        <f aca="false">IF(ISNUMBER(CEG_Assets!$L$10),CEG_Assets!$L$10*AG$4,INDEX(Prices!AG:AG,CEG_Assets!$AO$10)+FuelAdder*AG$4)</f>
        <v>7.08357887806059</v>
      </c>
      <c r="AH280" s="7" t="n">
        <f aca="false">IF(ISNUMBER(CEG_Assets!$L$10),CEG_Assets!$L$10*AH$4,INDEX(Prices!AH:AH,CEG_Assets!$AO$10)+FuelAdder*AH$4)</f>
        <v>7.2252504556218</v>
      </c>
      <c r="AI280" s="7" t="n">
        <f aca="false">IF(ISNUMBER(CEG_Assets!$L$10),CEG_Assets!$L$10*AI$4,INDEX(Prices!AI:AI,CEG_Assets!$AO$10)+FuelAdder*AI$4)</f>
        <v>7.36975546473424</v>
      </c>
      <c r="AJ280" s="7" t="n">
        <f aca="false">IF(ISNUMBER(CEG_Assets!$L$10),CEG_Assets!$L$10*AJ$4,INDEX(Prices!AJ:AJ,CEG_Assets!$AO$10)+FuelAdder*AJ$4)</f>
        <v>7.51715057402892</v>
      </c>
      <c r="AK280" s="7" t="n">
        <f aca="false">IF(ISNUMBER(CEG_Assets!$L$10),CEG_Assets!$L$10*AK$4,INDEX(Prices!AK:AK,CEG_Assets!$AO$10)+FuelAdder*AK$4)</f>
        <v>7.6674935855095</v>
      </c>
      <c r="AL280" s="7" t="n">
        <f aca="false">IF(ISNUMBER(CEG_Assets!$L$10),CEG_Assets!$L$10*AL$4,INDEX(Prices!AL:AL,CEG_Assets!$AO$10)+FuelAdder*AL$4)</f>
        <v>7.82084345721969</v>
      </c>
      <c r="AM280" s="7" t="n">
        <f aca="false">IF(ISNUMBER(CEG_Assets!$L$10),CEG_Assets!$L$10*AM$4,INDEX(Prices!AM:AM,CEG_Assets!$AO$10)+FuelAdder*AM$4)</f>
        <v>7.97726032636409</v>
      </c>
      <c r="AN280" s="7" t="n">
        <f aca="false">IF(ISNUMBER(CEG_Assets!$L$10),CEG_Assets!$L$10*AN$4,INDEX(Prices!AN:AN,CEG_Assets!$AO$10)+FuelAdder*AN$4)</f>
        <v>8.13680553289137</v>
      </c>
      <c r="AO280" s="7" t="n">
        <f aca="false">IF(ISNUMBER(CEG_Assets!$L$10),CEG_Assets!$L$10*AO$4,INDEX(Prices!AO:AO,CEG_Assets!$AO$10)+FuelAdder*AO$4)</f>
        <v>8.29954164354919</v>
      </c>
      <c r="AP280" s="7" t="n">
        <f aca="false">IF(ISNUMBER(CEG_Assets!$L$10),CEG_Assets!$L$10*AP$4,INDEX(Prices!AP:AP,CEG_Assets!$AO$10)+FuelAdder*AP$4)</f>
        <v>8.46553247642018</v>
      </c>
      <c r="AQ280" s="7" t="n">
        <f aca="false">IF(ISNUMBER(CEG_Assets!$L$10),CEG_Assets!$L$10*AQ$4,INDEX(Prices!AQ:AQ,CEG_Assets!$AO$10)+FuelAdder*AQ$4)</f>
        <v>8.63484312594858</v>
      </c>
      <c r="AR280" s="7" t="n">
        <f aca="false">IF(ISNUMBER(CEG_Assets!$L$10),CEG_Assets!$L$10*AR$4,INDEX(Prices!AR:AR,CEG_Assets!$AO$10)+FuelAdder*AR$4)</f>
        <v>8.80753998846755</v>
      </c>
      <c r="AS280" s="7" t="n">
        <f aca="false">IF(ISNUMBER(CEG_Assets!$L$10),CEG_Assets!$L$10*AS$4,INDEX(Prices!AS:AS,CEG_Assets!$AO$10)+FuelAdder*AS$4)</f>
        <v>8.9836907882369</v>
      </c>
    </row>
    <row r="281" customFormat="false" ht="15" hidden="false" customHeight="false" outlineLevel="0" collapsed="false">
      <c r="A281" s="6" t="s">
        <v>435</v>
      </c>
      <c r="B281" s="6" t="s">
        <v>436</v>
      </c>
      <c r="G281" s="7" t="n">
        <f aca="false">INDEX(Prices!G:G,CEG_Assets!$AN$10)*CEG_Assets!$J$10-CEG_Assets!$K$10*G280-CEG_Assets!$M$10*G$4</f>
        <v>25.4868</v>
      </c>
      <c r="H281" s="7" t="n">
        <f aca="false">INDEX(Prices!H:H,CEG_Assets!$AN$10)*CEG_Assets!$J$10-CEG_Assets!$K$10*H280-CEG_Assets!$M$10*H$4</f>
        <v>27.220536</v>
      </c>
      <c r="I281" s="7" t="n">
        <f aca="false">INDEX(Prices!I:I,CEG_Assets!$AN$10)*CEG_Assets!$J$10-CEG_Assets!$K$10*I280-CEG_Assets!$M$10*I$4</f>
        <v>27.6449532</v>
      </c>
      <c r="J281" s="7" t="n">
        <f aca="false">INDEX(Prices!J:J,CEG_Assets!$AN$10)*CEG_Assets!$J$10-CEG_Assets!$K$10*J280-CEG_Assets!$M$10*J$4</f>
        <v>28.8792900288</v>
      </c>
      <c r="K281" s="7" t="n">
        <f aca="false">INDEX(Prices!K:K,CEG_Assets!$AN$10)*CEG_Assets!$J$10-CEG_Assets!$K$10*K280-CEG_Assets!$M$10*K$4</f>
        <v>29.456875829376</v>
      </c>
      <c r="L281" s="7" t="n">
        <f aca="false">INDEX(Prices!L:L,CEG_Assets!$AN$10)*CEG_Assets!$J$10-CEG_Assets!$K$10*L280-CEG_Assets!$M$10*L$4</f>
        <v>30.0460133459635</v>
      </c>
      <c r="M281" s="7" t="n">
        <f aca="false">INDEX(Prices!M:M,CEG_Assets!$AN$10)*CEG_Assets!$J$10-CEG_Assets!$K$10*M280-CEG_Assets!$M$10*M$4</f>
        <v>30.6469336128828</v>
      </c>
      <c r="N281" s="7" t="n">
        <f aca="false">INDEX(Prices!N:N,CEG_Assets!$AN$10)*CEG_Assets!$J$10-CEG_Assets!$K$10*N280-CEG_Assets!$M$10*N$4</f>
        <v>31.2598722851405</v>
      </c>
      <c r="O281" s="7" t="n">
        <f aca="false">INDEX(Prices!O:O,CEG_Assets!$AN$10)*CEG_Assets!$J$10-CEG_Assets!$K$10*O280-CEG_Assets!$M$10*O$4</f>
        <v>31.8850697308433</v>
      </c>
      <c r="P281" s="7" t="n">
        <f aca="false">INDEX(Prices!P:P,CEG_Assets!$AN$10)*CEG_Assets!$J$10-CEG_Assets!$K$10*P280-CEG_Assets!$M$10*P$4</f>
        <v>32.5227711254601</v>
      </c>
      <c r="Q281" s="7" t="n">
        <f aca="false">INDEX(Prices!Q:Q,CEG_Assets!$AN$10)*CEG_Assets!$J$10-CEG_Assets!$K$10*Q280-CEG_Assets!$M$10*Q$4</f>
        <v>33.1732265479693</v>
      </c>
      <c r="R281" s="7" t="n">
        <f aca="false">INDEX(Prices!R:R,CEG_Assets!$AN$10)*CEG_Assets!$J$10-CEG_Assets!$K$10*R280-CEG_Assets!$M$10*R$4</f>
        <v>33.8366910789287</v>
      </c>
      <c r="S281" s="7" t="n">
        <f aca="false">INDEX(Prices!S:S,CEG_Assets!$AN$10)*CEG_Assets!$J$10-CEG_Assets!$K$10*S280-CEG_Assets!$M$10*S$4</f>
        <v>34.5134249005073</v>
      </c>
      <c r="T281" s="7" t="n">
        <f aca="false">INDEX(Prices!T:T,CEG_Assets!$AN$10)*CEG_Assets!$J$10-CEG_Assets!$K$10*T280-CEG_Assets!$M$10*T$4</f>
        <v>35.2036933985174</v>
      </c>
      <c r="U281" s="7" t="n">
        <f aca="false">INDEX(Prices!U:U,CEG_Assets!$AN$10)*CEG_Assets!$J$10-CEG_Assets!$K$10*U280-CEG_Assets!$M$10*U$4</f>
        <v>35.9077672664878</v>
      </c>
      <c r="V281" s="7" t="n">
        <f aca="false">INDEX(Prices!V:V,CEG_Assets!$AN$10)*CEG_Assets!$J$10-CEG_Assets!$K$10*V280-CEG_Assets!$M$10*V$4</f>
        <v>36.6259226118175</v>
      </c>
      <c r="W281" s="7" t="n">
        <f aca="false">INDEX(Prices!W:W,CEG_Assets!$AN$10)*CEG_Assets!$J$10-CEG_Assets!$K$10*W280-CEG_Assets!$M$10*W$4</f>
        <v>37.3584410640539</v>
      </c>
      <c r="X281" s="7" t="n">
        <f aca="false">INDEX(Prices!X:X,CEG_Assets!$AN$10)*CEG_Assets!$J$10-CEG_Assets!$K$10*X280-CEG_Assets!$M$10*X$4</f>
        <v>38.105609885335</v>
      </c>
      <c r="Y281" s="7" t="n">
        <f aca="false">INDEX(Prices!Y:Y,CEG_Assets!$AN$10)*CEG_Assets!$J$10-CEG_Assets!$K$10*Y280-CEG_Assets!$M$10*Y$4</f>
        <v>38.8677220830417</v>
      </c>
      <c r="Z281" s="7" t="n">
        <f aca="false">INDEX(Prices!Z:Z,CEG_Assets!$AN$10)*CEG_Assets!$J$10-CEG_Assets!$K$10*Z280-CEG_Assets!$M$10*Z$4</f>
        <v>39.6450765247025</v>
      </c>
      <c r="AA281" s="7" t="n">
        <f aca="false">INDEX(Prices!AA:AA,CEG_Assets!$AN$10)*CEG_Assets!$J$10-CEG_Assets!$K$10*AA280-CEG_Assets!$M$10*AA$4</f>
        <v>40.4379780551966</v>
      </c>
      <c r="AB281" s="7" t="n">
        <f aca="false">INDEX(Prices!AB:AB,CEG_Assets!$AN$10)*CEG_Assets!$J$10-CEG_Assets!$K$10*AB280-CEG_Assets!$M$10*AB$4</f>
        <v>41.2467376163005</v>
      </c>
      <c r="AC281" s="7" t="n">
        <f aca="false">INDEX(Prices!AC:AC,CEG_Assets!$AN$10)*CEG_Assets!$J$10-CEG_Assets!$K$10*AC280-CEG_Assets!$M$10*AC$4</f>
        <v>42.0716723686265</v>
      </c>
      <c r="AD281" s="7" t="n">
        <f aca="false">INDEX(Prices!AD:AD,CEG_Assets!$AN$10)*CEG_Assets!$J$10-CEG_Assets!$K$10*AD280-CEG_Assets!$M$10*AD$4</f>
        <v>42.913105815999</v>
      </c>
      <c r="AE281" s="7" t="n">
        <f aca="false">INDEX(Prices!AE:AE,CEG_Assets!$AN$10)*CEG_Assets!$J$10-CEG_Assets!$K$10*AE280-CEG_Assets!$M$10*AE$4</f>
        <v>43.771367932319</v>
      </c>
      <c r="AF281" s="7" t="n">
        <f aca="false">INDEX(Prices!AF:AF,CEG_Assets!$AN$10)*CEG_Assets!$J$10-CEG_Assets!$K$10*AF280-CEG_Assets!$M$10*AF$4</f>
        <v>44.6467952909654</v>
      </c>
      <c r="AG281" s="7" t="n">
        <f aca="false">INDEX(Prices!AG:AG,CEG_Assets!$AN$10)*CEG_Assets!$J$10-CEG_Assets!$K$10*AG280-CEG_Assets!$M$10*AG$4</f>
        <v>45.5397311967847</v>
      </c>
      <c r="AH281" s="7" t="n">
        <f aca="false">INDEX(Prices!AH:AH,CEG_Assets!$AN$10)*CEG_Assets!$J$10-CEG_Assets!$K$10*AH280-CEG_Assets!$M$10*AH$4</f>
        <v>46.4505258207204</v>
      </c>
      <c r="AI281" s="7" t="n">
        <f aca="false">INDEX(Prices!AI:AI,CEG_Assets!$AN$10)*CEG_Assets!$J$10-CEG_Assets!$K$10*AI280-CEG_Assets!$M$10*AI$4</f>
        <v>47.3795363371348</v>
      </c>
      <c r="AJ281" s="7" t="n">
        <f aca="false">INDEX(Prices!AJ:AJ,CEG_Assets!$AN$10)*CEG_Assets!$J$10-CEG_Assets!$K$10*AJ280-CEG_Assets!$M$10*AJ$4</f>
        <v>48.3271270638775</v>
      </c>
      <c r="AK281" s="7" t="n">
        <f aca="false">INDEX(Prices!AK:AK,CEG_Assets!$AN$10)*CEG_Assets!$J$10-CEG_Assets!$K$10*AK280-CEG_Assets!$M$10*AK$4</f>
        <v>49.2936696051551</v>
      </c>
      <c r="AL281" s="7" t="n">
        <f aca="false">INDEX(Prices!AL:AL,CEG_Assets!$AN$10)*CEG_Assets!$J$10-CEG_Assets!$K$10*AL280-CEG_Assets!$M$10*AL$4</f>
        <v>50.2795429972582</v>
      </c>
      <c r="AM281" s="7" t="n">
        <f aca="false">INDEX(Prices!AM:AM,CEG_Assets!$AN$10)*CEG_Assets!$J$10-CEG_Assets!$K$10*AM280-CEG_Assets!$M$10*AM$4</f>
        <v>51.2851338572033</v>
      </c>
      <c r="AN281" s="7" t="n">
        <f aca="false">INDEX(Prices!AN:AN,CEG_Assets!$AN$10)*CEG_Assets!$J$10-CEG_Assets!$K$10*AN280-CEG_Assets!$M$10*AN$4</f>
        <v>52.3108365343474</v>
      </c>
      <c r="AO281" s="7" t="n">
        <f aca="false">INDEX(Prices!AO:AO,CEG_Assets!$AN$10)*CEG_Assets!$J$10-CEG_Assets!$K$10*AO280-CEG_Assets!$M$10*AO$4</f>
        <v>53.3570532650344</v>
      </c>
      <c r="AP281" s="7" t="n">
        <f aca="false">INDEX(Prices!AP:AP,CEG_Assets!$AN$10)*CEG_Assets!$J$10-CEG_Assets!$K$10*AP280-CEG_Assets!$M$10*AP$4</f>
        <v>54.424194330335</v>
      </c>
      <c r="AQ281" s="7" t="n">
        <f aca="false">INDEX(Prices!AQ:AQ,CEG_Assets!$AN$10)*CEG_Assets!$J$10-CEG_Assets!$K$10*AQ280-CEG_Assets!$M$10*AQ$4</f>
        <v>55.5126782169417</v>
      </c>
      <c r="AR281" s="7" t="n">
        <f aca="false">INDEX(Prices!AR:AR,CEG_Assets!$AN$10)*CEG_Assets!$J$10-CEG_Assets!$K$10*AR280-CEG_Assets!$M$10*AR$4</f>
        <v>56.6229317812806</v>
      </c>
      <c r="AS281" s="7" t="n">
        <f aca="false">INDEX(Prices!AS:AS,CEG_Assets!$AN$10)*CEG_Assets!$J$10-CEG_Assets!$K$10*AS280-CEG_Assets!$M$10*AS$4</f>
        <v>57.7553904169062</v>
      </c>
    </row>
    <row r="282" customFormat="false" ht="15" hidden="false" customHeight="false" outlineLevel="0" collapsed="false">
      <c r="A282" s="6" t="s">
        <v>437</v>
      </c>
      <c r="B282" s="6" t="s">
        <v>438</v>
      </c>
      <c r="G282" s="47" t="n">
        <f aca="false">IF(CEG_Assets!$X$10=1,IF(G281&gt;0,1,0),1)</f>
        <v>1</v>
      </c>
      <c r="H282" s="47" t="n">
        <f aca="false">IF(CEG_Assets!$X$10=1,IF(H281&gt;0,1,0),1)</f>
        <v>1</v>
      </c>
      <c r="I282" s="47" t="n">
        <f aca="false">IF(CEG_Assets!$X$10=1,IF(I281&gt;0,1,0),1)</f>
        <v>1</v>
      </c>
      <c r="J282" s="47" t="n">
        <f aca="false">IF(CEG_Assets!$X$10=1,IF(J281&gt;0,1,0),1)</f>
        <v>1</v>
      </c>
      <c r="K282" s="47" t="n">
        <f aca="false">IF(CEG_Assets!$X$10=1,IF(K281&gt;0,1,0),1)</f>
        <v>1</v>
      </c>
      <c r="L282" s="47" t="n">
        <f aca="false">IF(CEG_Assets!$X$10=1,IF(L281&gt;0,1,0),1)</f>
        <v>1</v>
      </c>
      <c r="M282" s="47" t="n">
        <f aca="false">IF(CEG_Assets!$X$10=1,IF(M281&gt;0,1,0),1)</f>
        <v>1</v>
      </c>
      <c r="N282" s="47" t="n">
        <f aca="false">IF(CEG_Assets!$X$10=1,IF(N281&gt;0,1,0),1)</f>
        <v>1</v>
      </c>
      <c r="O282" s="47" t="n">
        <f aca="false">IF(CEG_Assets!$X$10=1,IF(O281&gt;0,1,0),1)</f>
        <v>1</v>
      </c>
      <c r="P282" s="47" t="n">
        <f aca="false">IF(CEG_Assets!$X$10=1,IF(P281&gt;0,1,0),1)</f>
        <v>1</v>
      </c>
      <c r="Q282" s="47" t="n">
        <f aca="false">IF(CEG_Assets!$X$10=1,IF(Q281&gt;0,1,0),1)</f>
        <v>1</v>
      </c>
      <c r="R282" s="47" t="n">
        <f aca="false">IF(CEG_Assets!$X$10=1,IF(R281&gt;0,1,0),1)</f>
        <v>1</v>
      </c>
      <c r="S282" s="47" t="n">
        <f aca="false">IF(CEG_Assets!$X$10=1,IF(S281&gt;0,1,0),1)</f>
        <v>1</v>
      </c>
      <c r="T282" s="47" t="n">
        <f aca="false">IF(CEG_Assets!$X$10=1,IF(T281&gt;0,1,0),1)</f>
        <v>1</v>
      </c>
      <c r="U282" s="47" t="n">
        <f aca="false">IF(CEG_Assets!$X$10=1,IF(U281&gt;0,1,0),1)</f>
        <v>1</v>
      </c>
      <c r="V282" s="47" t="n">
        <f aca="false">IF(CEG_Assets!$X$10=1,IF(V281&gt;0,1,0),1)</f>
        <v>1</v>
      </c>
      <c r="W282" s="47" t="n">
        <f aca="false">IF(CEG_Assets!$X$10=1,IF(W281&gt;0,1,0),1)</f>
        <v>1</v>
      </c>
      <c r="X282" s="47" t="n">
        <f aca="false">IF(CEG_Assets!$X$10=1,IF(X281&gt;0,1,0),1)</f>
        <v>1</v>
      </c>
      <c r="Y282" s="47" t="n">
        <f aca="false">IF(CEG_Assets!$X$10=1,IF(Y281&gt;0,1,0),1)</f>
        <v>1</v>
      </c>
      <c r="Z282" s="47" t="n">
        <f aca="false">IF(CEG_Assets!$X$10=1,IF(Z281&gt;0,1,0),1)</f>
        <v>1</v>
      </c>
      <c r="AA282" s="47" t="n">
        <f aca="false">IF(CEG_Assets!$X$10=1,IF(AA281&gt;0,1,0),1)</f>
        <v>1</v>
      </c>
      <c r="AB282" s="47" t="n">
        <f aca="false">IF(CEG_Assets!$X$10=1,IF(AB281&gt;0,1,0),1)</f>
        <v>1</v>
      </c>
      <c r="AC282" s="47" t="n">
        <f aca="false">IF(CEG_Assets!$X$10=1,IF(AC281&gt;0,1,0),1)</f>
        <v>1</v>
      </c>
      <c r="AD282" s="47" t="n">
        <f aca="false">IF(CEG_Assets!$X$10=1,IF(AD281&gt;0,1,0),1)</f>
        <v>1</v>
      </c>
      <c r="AE282" s="47" t="n">
        <f aca="false">IF(CEG_Assets!$X$10=1,IF(AE281&gt;0,1,0),1)</f>
        <v>1</v>
      </c>
      <c r="AF282" s="47" t="n">
        <f aca="false">IF(CEG_Assets!$X$10=1,IF(AF281&gt;0,1,0),1)</f>
        <v>1</v>
      </c>
      <c r="AG282" s="47" t="n">
        <f aca="false">IF(CEG_Assets!$X$10=1,IF(AG281&gt;0,1,0),1)</f>
        <v>1</v>
      </c>
      <c r="AH282" s="47" t="n">
        <f aca="false">IF(CEG_Assets!$X$10=1,IF(AH281&gt;0,1,0),1)</f>
        <v>1</v>
      </c>
      <c r="AI282" s="47" t="n">
        <f aca="false">IF(CEG_Assets!$X$10=1,IF(AI281&gt;0,1,0),1)</f>
        <v>1</v>
      </c>
      <c r="AJ282" s="47" t="n">
        <f aca="false">IF(CEG_Assets!$X$10=1,IF(AJ281&gt;0,1,0),1)</f>
        <v>1</v>
      </c>
      <c r="AK282" s="47" t="n">
        <f aca="false">IF(CEG_Assets!$X$10=1,IF(AK281&gt;0,1,0),1)</f>
        <v>1</v>
      </c>
      <c r="AL282" s="47" t="n">
        <f aca="false">IF(CEG_Assets!$X$10=1,IF(AL281&gt;0,1,0),1)</f>
        <v>1</v>
      </c>
      <c r="AM282" s="47" t="n">
        <f aca="false">IF(CEG_Assets!$X$10=1,IF(AM281&gt;0,1,0),1)</f>
        <v>1</v>
      </c>
      <c r="AN282" s="47" t="n">
        <f aca="false">IF(CEG_Assets!$X$10=1,IF(AN281&gt;0,1,0),1)</f>
        <v>1</v>
      </c>
      <c r="AO282" s="47" t="n">
        <f aca="false">IF(CEG_Assets!$X$10=1,IF(AO281&gt;0,1,0),1)</f>
        <v>1</v>
      </c>
      <c r="AP282" s="47" t="n">
        <f aca="false">IF(CEG_Assets!$X$10=1,IF(AP281&gt;0,1,0),1)</f>
        <v>1</v>
      </c>
      <c r="AQ282" s="47" t="n">
        <f aca="false">IF(CEG_Assets!$X$10=1,IF(AQ281&gt;0,1,0),1)</f>
        <v>1</v>
      </c>
      <c r="AR282" s="47" t="n">
        <f aca="false">IF(CEG_Assets!$X$10=1,IF(AR281&gt;0,1,0),1)</f>
        <v>1</v>
      </c>
      <c r="AS282" s="47" t="n">
        <f aca="false">IF(CEG_Assets!$X$10=1,IF(AS281&gt;0,1,0),1)</f>
        <v>1</v>
      </c>
    </row>
    <row r="283" customFormat="false" ht="15" hidden="false" customHeight="false" outlineLevel="0" collapsed="false">
      <c r="A283" s="6" t="s">
        <v>439</v>
      </c>
      <c r="B283" s="6" t="s">
        <v>440</v>
      </c>
      <c r="C283" s="9" t="n">
        <f aca="false">SUM(G283:AS283)</f>
        <v>20603.249210346</v>
      </c>
      <c r="G283" s="8" t="n">
        <f aca="false">G278*INDEX(Prices!G:G,CEG_Assets!$AN$10)*CEG_Assets!$J$10*G282/1000000*(1+CEG_RevAdj)</f>
        <v>651.58632</v>
      </c>
      <c r="H283" s="8" t="n">
        <f aca="false">H278*INDEX(Prices!H:H,CEG_Assets!$AN$10)*CEG_Assets!$J$10*H282/1000000*(1+CEG_RevAdj)</f>
        <v>678.18168</v>
      </c>
      <c r="I283" s="8" t="n">
        <f aca="false">I278*INDEX(Prices!I:I,CEG_Assets!$AN$10)*CEG_Assets!$J$10*I282/1000000*(1+CEG_RevAdj)</f>
        <v>698.882580045936</v>
      </c>
      <c r="J283" s="8" t="n">
        <f aca="false">J278*INDEX(Prices!J:J,CEG_Assets!$AN$10)*CEG_Assets!$J$10*J282/1000000*(1+CEG_RevAdj)</f>
        <v>720.41151609371</v>
      </c>
      <c r="K283" s="8" t="n">
        <f aca="false">K278*INDEX(Prices!K:K,CEG_Assets!$AN$10)*CEG_Assets!$J$10*K282/1000000*(1+CEG_RevAdj)</f>
        <v>734.819746415584</v>
      </c>
      <c r="L283" s="8" t="n">
        <f aca="false">L278*INDEX(Prices!L:L,CEG_Assets!$AN$10)*CEG_Assets!$J$10*L282/1000000*(1+CEG_RevAdj)</f>
        <v>749.516141343895</v>
      </c>
      <c r="M283" s="8" t="n">
        <f aca="false">M278*INDEX(Prices!M:M,CEG_Assets!$AN$10)*CEG_Assets!$J$10*M282/1000000*(1+CEG_RevAdj)</f>
        <v>764.506464170773</v>
      </c>
      <c r="N283" s="8" t="n">
        <f aca="false">N278*INDEX(Prices!N:N,CEG_Assets!$AN$10)*CEG_Assets!$J$10*N282/1000000*(1+CEG_RevAdj)</f>
        <v>779.796593454189</v>
      </c>
      <c r="O283" s="8" t="n">
        <f aca="false">O278*INDEX(Prices!O:O,CEG_Assets!$AN$10)*CEG_Assets!$J$10*O282/1000000*(1+CEG_RevAdj)</f>
        <v>795.392525323273</v>
      </c>
      <c r="P283" s="8" t="n">
        <f aca="false">P278*INDEX(Prices!P:P,CEG_Assets!$AN$10)*CEG_Assets!$J$10*P282/1000000*(1+CEG_RevAdj)</f>
        <v>811.300375829738</v>
      </c>
      <c r="Q283" s="8" t="n">
        <f aca="false">Q278*INDEX(Prices!Q:Q,CEG_Assets!$AN$10)*CEG_Assets!$J$10*Q282/1000000*(1+CEG_RevAdj)</f>
        <v>827.526383346333</v>
      </c>
      <c r="R283" s="8" t="n">
        <f aca="false">R278*INDEX(Prices!R:R,CEG_Assets!$AN$10)*CEG_Assets!$J$10*R282/1000000*(1+CEG_RevAdj)</f>
        <v>844.076911013259</v>
      </c>
      <c r="S283" s="8" t="n">
        <f aca="false">S278*INDEX(Prices!S:S,CEG_Assets!$AN$10)*CEG_Assets!$J$10*S282/1000000*(1+CEG_RevAdj)</f>
        <v>860.958449233525</v>
      </c>
      <c r="T283" s="8" t="n">
        <f aca="false">T278*INDEX(Prices!T:T,CEG_Assets!$AN$10)*CEG_Assets!$J$10*T282/1000000*(1+CEG_RevAdj)</f>
        <v>878.177618218195</v>
      </c>
      <c r="U283" s="8" t="n">
        <f aca="false">U278*INDEX(Prices!U:U,CEG_Assets!$AN$10)*CEG_Assets!$J$10*U282/1000000*(1+CEG_RevAdj)</f>
        <v>895.741170582559</v>
      </c>
      <c r="V283" s="8" t="n">
        <f aca="false">V278*INDEX(Prices!V:V,CEG_Assets!$AN$10)*CEG_Assets!$J$10*V282/1000000*(1+CEG_RevAdj)</f>
        <v>913.65599399421</v>
      </c>
      <c r="W283" s="8" t="n">
        <f aca="false">W278*INDEX(Prices!W:W,CEG_Assets!$AN$10)*CEG_Assets!$J$10*W282/1000000*(1+CEG_RevAdj)</f>
        <v>931.929113874095</v>
      </c>
      <c r="X283" s="8" t="n">
        <f aca="false">X278*INDEX(Prices!X:X,CEG_Assets!$AN$10)*CEG_Assets!$J$10*X282/1000000*(1+CEG_RevAdj)</f>
        <v>950.567696151577</v>
      </c>
      <c r="Y283" s="8" t="n">
        <f aca="false">Y278*INDEX(Prices!Y:Y,CEG_Assets!$AN$10)*CEG_Assets!$J$10*Y282/1000000*(1+CEG_RevAdj)</f>
        <v>969.579050074608</v>
      </c>
      <c r="Z283" s="8" t="n">
        <f aca="false">Z278*INDEX(Prices!Z:Z,CEG_Assets!$AN$10)*CEG_Assets!$J$10*Z282/1000000*(1+CEG_RevAdj)</f>
        <v>988.9706310761</v>
      </c>
      <c r="AA283" s="8" t="n">
        <f aca="false">AA278*INDEX(Prices!AA:AA,CEG_Assets!$AN$10)*CEG_Assets!$J$10*AA282/1000000*(1+CEG_RevAdj)</f>
        <v>1008.75004369762</v>
      </c>
      <c r="AB283" s="8" t="n">
        <f aca="false">AB278*INDEX(Prices!AB:AB,CEG_Assets!$AN$10)*CEG_Assets!$J$10*AB282/1000000*(1+CEG_RevAdj)</f>
        <v>1028.92504457157</v>
      </c>
      <c r="AC283" s="8" t="n">
        <f aca="false">AC278*INDEX(Prices!AC:AC,CEG_Assets!$AN$10)*CEG_Assets!$J$10*AC282/1000000*(1+CEG_RevAdj)</f>
        <v>1049.50354546301</v>
      </c>
      <c r="AD283" s="8" t="n">
        <f aca="false">AD278*INDEX(Prices!AD:AD,CEG_Assets!$AN$10)*CEG_Assets!$J$10*AD282/1000000*(1+CEG_RevAdj)</f>
        <v>1070.49361637227</v>
      </c>
      <c r="AE283" s="8" t="n">
        <f aca="false">AE278*INDEX(Prices!AE:AE,CEG_Assets!$AN$10)*CEG_Assets!$J$10*AE282/1000000*(1+CEG_RevAdj)</f>
        <v>0</v>
      </c>
      <c r="AF283" s="8" t="n">
        <f aca="false">AF278*INDEX(Prices!AF:AF,CEG_Assets!$AN$10)*CEG_Assets!$J$10*AF282/1000000*(1+CEG_RevAdj)</f>
        <v>0</v>
      </c>
      <c r="AG283" s="8" t="n">
        <f aca="false">AG278*INDEX(Prices!AG:AG,CEG_Assets!$AN$10)*CEG_Assets!$J$10*AG282/1000000*(1+CEG_RevAdj)</f>
        <v>0</v>
      </c>
      <c r="AH283" s="8" t="n">
        <f aca="false">AH278*INDEX(Prices!AH:AH,CEG_Assets!$AN$10)*CEG_Assets!$J$10*AH282/1000000*(1+CEG_RevAdj)</f>
        <v>0</v>
      </c>
      <c r="AI283" s="8" t="n">
        <f aca="false">AI278*INDEX(Prices!AI:AI,CEG_Assets!$AN$10)*CEG_Assets!$J$10*AI282/1000000*(1+CEG_RevAdj)</f>
        <v>0</v>
      </c>
      <c r="AJ283" s="8" t="n">
        <f aca="false">AJ278*INDEX(Prices!AJ:AJ,CEG_Assets!$AN$10)*CEG_Assets!$J$10*AJ282/1000000*(1+CEG_RevAdj)</f>
        <v>0</v>
      </c>
      <c r="AK283" s="8" t="n">
        <f aca="false">AK278*INDEX(Prices!AK:AK,CEG_Assets!$AN$10)*CEG_Assets!$J$10*AK282/1000000*(1+CEG_RevAdj)</f>
        <v>0</v>
      </c>
      <c r="AL283" s="8" t="n">
        <f aca="false">AL278*INDEX(Prices!AL:AL,CEG_Assets!$AN$10)*CEG_Assets!$J$10*AL282/1000000*(1+CEG_RevAdj)</f>
        <v>0</v>
      </c>
      <c r="AM283" s="8" t="n">
        <f aca="false">AM278*INDEX(Prices!AM:AM,CEG_Assets!$AN$10)*CEG_Assets!$J$10*AM282/1000000*(1+CEG_RevAdj)</f>
        <v>0</v>
      </c>
      <c r="AN283" s="8" t="n">
        <f aca="false">AN278*INDEX(Prices!AN:AN,CEG_Assets!$AN$10)*CEG_Assets!$J$10*AN282/1000000*(1+CEG_RevAdj)</f>
        <v>0</v>
      </c>
      <c r="AO283" s="8" t="n">
        <f aca="false">AO278*INDEX(Prices!AO:AO,CEG_Assets!$AN$10)*CEG_Assets!$J$10*AO282/1000000*(1+CEG_RevAdj)</f>
        <v>0</v>
      </c>
      <c r="AP283" s="8" t="n">
        <f aca="false">AP278*INDEX(Prices!AP:AP,CEG_Assets!$AN$10)*CEG_Assets!$J$10*AP282/1000000*(1+CEG_RevAdj)</f>
        <v>0</v>
      </c>
      <c r="AQ283" s="8" t="n">
        <f aca="false">AQ278*INDEX(Prices!AQ:AQ,CEG_Assets!$AN$10)*CEG_Assets!$J$10*AQ282/1000000*(1+CEG_RevAdj)</f>
        <v>0</v>
      </c>
      <c r="AR283" s="8" t="n">
        <f aca="false">AR278*INDEX(Prices!AR:AR,CEG_Assets!$AN$10)*CEG_Assets!$J$10*AR282/1000000*(1+CEG_RevAdj)</f>
        <v>0</v>
      </c>
      <c r="AS283" s="8" t="n">
        <f aca="false">AS278*INDEX(Prices!AS:AS,CEG_Assets!$AN$10)*CEG_Assets!$J$10*AS282/1000000*(1+CEG_RevAdj)</f>
        <v>0</v>
      </c>
    </row>
    <row r="284" customFormat="false" ht="15" hidden="false" customHeight="false" outlineLevel="0" collapsed="false">
      <c r="A284" s="6" t="s">
        <v>441</v>
      </c>
      <c r="B284" s="6" t="s">
        <v>442</v>
      </c>
      <c r="C284" s="9" t="n">
        <f aca="false">SUM(G284:AS284)</f>
        <v>0</v>
      </c>
      <c r="G284" s="8" t="n">
        <f aca="false">(CEG_Assets!$D$10-G277)*INDEX(Prices!G:G,CEG_Assets!$AP$10)*365*CEG_Assets!$T$10*G276/1000000*(1+CEG_RevAdj)</f>
        <v>0</v>
      </c>
      <c r="H284" s="8" t="n">
        <f aca="false">(CEG_Assets!$D$10-H277)*INDEX(Prices!H:H,CEG_Assets!$AP$10)*365*CEG_Assets!$T$10*H276/1000000*(1+CEG_RevAdj)</f>
        <v>0</v>
      </c>
      <c r="I284" s="8" t="n">
        <f aca="false">(CEG_Assets!$D$10-I277)*INDEX(Prices!I:I,CEG_Assets!$AP$10)*365*CEG_Assets!$T$10*I276/1000000*(1+CEG_RevAdj)</f>
        <v>0</v>
      </c>
      <c r="J284" s="8" t="n">
        <f aca="false">(CEG_Assets!$D$10-J277)*INDEX(Prices!J:J,CEG_Assets!$AP$10)*365*CEG_Assets!$T$10*J276/1000000*(1+CEG_RevAdj)</f>
        <v>0</v>
      </c>
      <c r="K284" s="8" t="n">
        <f aca="false">(CEG_Assets!$D$10-K277)*INDEX(Prices!K:K,CEG_Assets!$AP$10)*365*CEG_Assets!$T$10*K276/1000000*(1+CEG_RevAdj)</f>
        <v>0</v>
      </c>
      <c r="L284" s="8" t="n">
        <f aca="false">(CEG_Assets!$D$10-L277)*INDEX(Prices!L:L,CEG_Assets!$AP$10)*365*CEG_Assets!$T$10*L276/1000000*(1+CEG_RevAdj)</f>
        <v>0</v>
      </c>
      <c r="M284" s="8" t="n">
        <f aca="false">(CEG_Assets!$D$10-M277)*INDEX(Prices!M:M,CEG_Assets!$AP$10)*365*CEG_Assets!$T$10*M276/1000000*(1+CEG_RevAdj)</f>
        <v>0</v>
      </c>
      <c r="N284" s="8" t="n">
        <f aca="false">(CEG_Assets!$D$10-N277)*INDEX(Prices!N:N,CEG_Assets!$AP$10)*365*CEG_Assets!$T$10*N276/1000000*(1+CEG_RevAdj)</f>
        <v>0</v>
      </c>
      <c r="O284" s="8" t="n">
        <f aca="false">(CEG_Assets!$D$10-O277)*INDEX(Prices!O:O,CEG_Assets!$AP$10)*365*CEG_Assets!$T$10*O276/1000000*(1+CEG_RevAdj)</f>
        <v>0</v>
      </c>
      <c r="P284" s="8" t="n">
        <f aca="false">(CEG_Assets!$D$10-P277)*INDEX(Prices!P:P,CEG_Assets!$AP$10)*365*CEG_Assets!$T$10*P276/1000000*(1+CEG_RevAdj)</f>
        <v>0</v>
      </c>
      <c r="Q284" s="8" t="n">
        <f aca="false">(CEG_Assets!$D$10-Q277)*INDEX(Prices!Q:Q,CEG_Assets!$AP$10)*365*CEG_Assets!$T$10*Q276/1000000*(1+CEG_RevAdj)</f>
        <v>0</v>
      </c>
      <c r="R284" s="8" t="n">
        <f aca="false">(CEG_Assets!$D$10-R277)*INDEX(Prices!R:R,CEG_Assets!$AP$10)*365*CEG_Assets!$T$10*R276/1000000*(1+CEG_RevAdj)</f>
        <v>0</v>
      </c>
      <c r="S284" s="8" t="n">
        <f aca="false">(CEG_Assets!$D$10-S277)*INDEX(Prices!S:S,CEG_Assets!$AP$10)*365*CEG_Assets!$T$10*S276/1000000*(1+CEG_RevAdj)</f>
        <v>0</v>
      </c>
      <c r="T284" s="8" t="n">
        <f aca="false">(CEG_Assets!$D$10-T277)*INDEX(Prices!T:T,CEG_Assets!$AP$10)*365*CEG_Assets!$T$10*T276/1000000*(1+CEG_RevAdj)</f>
        <v>0</v>
      </c>
      <c r="U284" s="8" t="n">
        <f aca="false">(CEG_Assets!$D$10-U277)*INDEX(Prices!U:U,CEG_Assets!$AP$10)*365*CEG_Assets!$T$10*U276/1000000*(1+CEG_RevAdj)</f>
        <v>0</v>
      </c>
      <c r="V284" s="8" t="n">
        <f aca="false">(CEG_Assets!$D$10-V277)*INDEX(Prices!V:V,CEG_Assets!$AP$10)*365*CEG_Assets!$T$10*V276/1000000*(1+CEG_RevAdj)</f>
        <v>0</v>
      </c>
      <c r="W284" s="8" t="n">
        <f aca="false">(CEG_Assets!$D$10-W277)*INDEX(Prices!W:W,CEG_Assets!$AP$10)*365*CEG_Assets!$T$10*W276/1000000*(1+CEG_RevAdj)</f>
        <v>0</v>
      </c>
      <c r="X284" s="8" t="n">
        <f aca="false">(CEG_Assets!$D$10-X277)*INDEX(Prices!X:X,CEG_Assets!$AP$10)*365*CEG_Assets!$T$10*X276/1000000*(1+CEG_RevAdj)</f>
        <v>0</v>
      </c>
      <c r="Y284" s="8" t="n">
        <f aca="false">(CEG_Assets!$D$10-Y277)*INDEX(Prices!Y:Y,CEG_Assets!$AP$10)*365*CEG_Assets!$T$10*Y276/1000000*(1+CEG_RevAdj)</f>
        <v>0</v>
      </c>
      <c r="Z284" s="8" t="n">
        <f aca="false">(CEG_Assets!$D$10-Z277)*INDEX(Prices!Z:Z,CEG_Assets!$AP$10)*365*CEG_Assets!$T$10*Z276/1000000*(1+CEG_RevAdj)</f>
        <v>0</v>
      </c>
      <c r="AA284" s="8" t="n">
        <f aca="false">(CEG_Assets!$D$10-AA277)*INDEX(Prices!AA:AA,CEG_Assets!$AP$10)*365*CEG_Assets!$T$10*AA276/1000000*(1+CEG_RevAdj)</f>
        <v>0</v>
      </c>
      <c r="AB284" s="8" t="n">
        <f aca="false">(CEG_Assets!$D$10-AB277)*INDEX(Prices!AB:AB,CEG_Assets!$AP$10)*365*CEG_Assets!$T$10*AB276/1000000*(1+CEG_RevAdj)</f>
        <v>0</v>
      </c>
      <c r="AC284" s="8" t="n">
        <f aca="false">(CEG_Assets!$D$10-AC277)*INDEX(Prices!AC:AC,CEG_Assets!$AP$10)*365*CEG_Assets!$T$10*AC276/1000000*(1+CEG_RevAdj)</f>
        <v>0</v>
      </c>
      <c r="AD284" s="8" t="n">
        <f aca="false">(CEG_Assets!$D$10-AD277)*INDEX(Prices!AD:AD,CEG_Assets!$AP$10)*365*CEG_Assets!$T$10*AD276/1000000*(1+CEG_RevAdj)</f>
        <v>0</v>
      </c>
      <c r="AE284" s="8" t="n">
        <f aca="false">(CEG_Assets!$D$10-AE277)*INDEX(Prices!AE:AE,CEG_Assets!$AP$10)*365*CEG_Assets!$T$10*AE276/1000000*(1+CEG_RevAdj)</f>
        <v>0</v>
      </c>
      <c r="AF284" s="8" t="n">
        <f aca="false">(CEG_Assets!$D$10-AF277)*INDEX(Prices!AF:AF,CEG_Assets!$AP$10)*365*CEG_Assets!$T$10*AF276/1000000*(1+CEG_RevAdj)</f>
        <v>0</v>
      </c>
      <c r="AG284" s="8" t="n">
        <f aca="false">(CEG_Assets!$D$10-AG277)*INDEX(Prices!AG:AG,CEG_Assets!$AP$10)*365*CEG_Assets!$T$10*AG276/1000000*(1+CEG_RevAdj)</f>
        <v>0</v>
      </c>
      <c r="AH284" s="8" t="n">
        <f aca="false">(CEG_Assets!$D$10-AH277)*INDEX(Prices!AH:AH,CEG_Assets!$AP$10)*365*CEG_Assets!$T$10*AH276/1000000*(1+CEG_RevAdj)</f>
        <v>0</v>
      </c>
      <c r="AI284" s="8" t="n">
        <f aca="false">(CEG_Assets!$D$10-AI277)*INDEX(Prices!AI:AI,CEG_Assets!$AP$10)*365*CEG_Assets!$T$10*AI276/1000000*(1+CEG_RevAdj)</f>
        <v>0</v>
      </c>
      <c r="AJ284" s="8" t="n">
        <f aca="false">(CEG_Assets!$D$10-AJ277)*INDEX(Prices!AJ:AJ,CEG_Assets!$AP$10)*365*CEG_Assets!$T$10*AJ276/1000000*(1+CEG_RevAdj)</f>
        <v>0</v>
      </c>
      <c r="AK284" s="8" t="n">
        <f aca="false">(CEG_Assets!$D$10-AK277)*INDEX(Prices!AK:AK,CEG_Assets!$AP$10)*365*CEG_Assets!$T$10*AK276/1000000*(1+CEG_RevAdj)</f>
        <v>0</v>
      </c>
      <c r="AL284" s="8" t="n">
        <f aca="false">(CEG_Assets!$D$10-AL277)*INDEX(Prices!AL:AL,CEG_Assets!$AP$10)*365*CEG_Assets!$T$10*AL276/1000000*(1+CEG_RevAdj)</f>
        <v>0</v>
      </c>
      <c r="AM284" s="8" t="n">
        <f aca="false">(CEG_Assets!$D$10-AM277)*INDEX(Prices!AM:AM,CEG_Assets!$AP$10)*365*CEG_Assets!$T$10*AM276/1000000*(1+CEG_RevAdj)</f>
        <v>0</v>
      </c>
      <c r="AN284" s="8" t="n">
        <f aca="false">(CEG_Assets!$D$10-AN277)*INDEX(Prices!AN:AN,CEG_Assets!$AP$10)*365*CEG_Assets!$T$10*AN276/1000000*(1+CEG_RevAdj)</f>
        <v>0</v>
      </c>
      <c r="AO284" s="8" t="n">
        <f aca="false">(CEG_Assets!$D$10-AO277)*INDEX(Prices!AO:AO,CEG_Assets!$AP$10)*365*CEG_Assets!$T$10*AO276/1000000*(1+CEG_RevAdj)</f>
        <v>0</v>
      </c>
      <c r="AP284" s="8" t="n">
        <f aca="false">(CEG_Assets!$D$10-AP277)*INDEX(Prices!AP:AP,CEG_Assets!$AP$10)*365*CEG_Assets!$T$10*AP276/1000000*(1+CEG_RevAdj)</f>
        <v>0</v>
      </c>
      <c r="AQ284" s="8" t="n">
        <f aca="false">(CEG_Assets!$D$10-AQ277)*INDEX(Prices!AQ:AQ,CEG_Assets!$AP$10)*365*CEG_Assets!$T$10*AQ276/1000000*(1+CEG_RevAdj)</f>
        <v>0</v>
      </c>
      <c r="AR284" s="8" t="n">
        <f aca="false">(CEG_Assets!$D$10-AR277)*INDEX(Prices!AR:AR,CEG_Assets!$AP$10)*365*CEG_Assets!$T$10*AR276/1000000*(1+CEG_RevAdj)</f>
        <v>0</v>
      </c>
      <c r="AS284" s="8" t="n">
        <f aca="false">(CEG_Assets!$D$10-AS277)*INDEX(Prices!AS:AS,CEG_Assets!$AP$10)*365*CEG_Assets!$T$10*AS276/1000000*(1+CEG_RevAdj)</f>
        <v>0</v>
      </c>
    </row>
    <row r="285" customFormat="false" ht="15" hidden="false" customHeight="false" outlineLevel="0" collapsed="false">
      <c r="A285" s="6" t="s">
        <v>443</v>
      </c>
      <c r="B285" s="6" t="s">
        <v>444</v>
      </c>
      <c r="C285" s="9" t="n">
        <f aca="false">SUM(G285:AS285)</f>
        <v>0</v>
      </c>
      <c r="G285" s="8" t="n">
        <f aca="false">G279*(CEG_Assets!$AD$10+CEG_PPAAdj)/1000000*(1+CEG_RevAdj)</f>
        <v>0</v>
      </c>
      <c r="H285" s="8" t="n">
        <f aca="false">H279*(CEG_Assets!$AD$10+CEG_PPAAdj)/1000000*(1+CEG_RevAdj)</f>
        <v>0</v>
      </c>
      <c r="I285" s="8" t="n">
        <f aca="false">I279*(CEG_Assets!$AD$10+CEG_PPAAdj)/1000000*(1+CEG_RevAdj)</f>
        <v>0</v>
      </c>
      <c r="J285" s="8" t="n">
        <f aca="false">J279*(CEG_Assets!$AD$10+CEG_PPAAdj)/1000000*(1+CEG_RevAdj)</f>
        <v>0</v>
      </c>
      <c r="K285" s="8" t="n">
        <f aca="false">K279*(CEG_Assets!$AD$10+CEG_PPAAdj)/1000000*(1+CEG_RevAdj)</f>
        <v>0</v>
      </c>
      <c r="L285" s="8" t="n">
        <f aca="false">L279*(CEG_Assets!$AD$10+CEG_PPAAdj)/1000000*(1+CEG_RevAdj)</f>
        <v>0</v>
      </c>
      <c r="M285" s="8" t="n">
        <f aca="false">M279*(CEG_Assets!$AD$10+CEG_PPAAdj)/1000000*(1+CEG_RevAdj)</f>
        <v>0</v>
      </c>
      <c r="N285" s="8" t="n">
        <f aca="false">N279*(CEG_Assets!$AD$10+CEG_PPAAdj)/1000000*(1+CEG_RevAdj)</f>
        <v>0</v>
      </c>
      <c r="O285" s="8" t="n">
        <f aca="false">O279*(CEG_Assets!$AD$10+CEG_PPAAdj)/1000000*(1+CEG_RevAdj)</f>
        <v>0</v>
      </c>
      <c r="P285" s="8" t="n">
        <f aca="false">P279*(CEG_Assets!$AD$10+CEG_PPAAdj)/1000000*(1+CEG_RevAdj)</f>
        <v>0</v>
      </c>
      <c r="Q285" s="8" t="n">
        <f aca="false">Q279*(CEG_Assets!$AD$10+CEG_PPAAdj)/1000000*(1+CEG_RevAdj)</f>
        <v>0</v>
      </c>
      <c r="R285" s="8" t="n">
        <f aca="false">R279*(CEG_Assets!$AD$10+CEG_PPAAdj)/1000000*(1+CEG_RevAdj)</f>
        <v>0</v>
      </c>
      <c r="S285" s="8" t="n">
        <f aca="false">S279*(CEG_Assets!$AD$10+CEG_PPAAdj)/1000000*(1+CEG_RevAdj)</f>
        <v>0</v>
      </c>
      <c r="T285" s="8" t="n">
        <f aca="false">T279*(CEG_Assets!$AD$10+CEG_PPAAdj)/1000000*(1+CEG_RevAdj)</f>
        <v>0</v>
      </c>
      <c r="U285" s="8" t="n">
        <f aca="false">U279*(CEG_Assets!$AD$10+CEG_PPAAdj)/1000000*(1+CEG_RevAdj)</f>
        <v>0</v>
      </c>
      <c r="V285" s="8" t="n">
        <f aca="false">V279*(CEG_Assets!$AD$10+CEG_PPAAdj)/1000000*(1+CEG_RevAdj)</f>
        <v>0</v>
      </c>
      <c r="W285" s="8" t="n">
        <f aca="false">W279*(CEG_Assets!$AD$10+CEG_PPAAdj)/1000000*(1+CEG_RevAdj)</f>
        <v>0</v>
      </c>
      <c r="X285" s="8" t="n">
        <f aca="false">X279*(CEG_Assets!$AD$10+CEG_PPAAdj)/1000000*(1+CEG_RevAdj)</f>
        <v>0</v>
      </c>
      <c r="Y285" s="8" t="n">
        <f aca="false">Y279*(CEG_Assets!$AD$10+CEG_PPAAdj)/1000000*(1+CEG_RevAdj)</f>
        <v>0</v>
      </c>
      <c r="Z285" s="8" t="n">
        <f aca="false">Z279*(CEG_Assets!$AD$10+CEG_PPAAdj)/1000000*(1+CEG_RevAdj)</f>
        <v>0</v>
      </c>
      <c r="AA285" s="8" t="n">
        <f aca="false">AA279*(CEG_Assets!$AD$10+CEG_PPAAdj)/1000000*(1+CEG_RevAdj)</f>
        <v>0</v>
      </c>
      <c r="AB285" s="8" t="n">
        <f aca="false">AB279*(CEG_Assets!$AD$10+CEG_PPAAdj)/1000000*(1+CEG_RevAdj)</f>
        <v>0</v>
      </c>
      <c r="AC285" s="8" t="n">
        <f aca="false">AC279*(CEG_Assets!$AD$10+CEG_PPAAdj)/1000000*(1+CEG_RevAdj)</f>
        <v>0</v>
      </c>
      <c r="AD285" s="8" t="n">
        <f aca="false">AD279*(CEG_Assets!$AD$10+CEG_PPAAdj)/1000000*(1+CEG_RevAdj)</f>
        <v>0</v>
      </c>
      <c r="AE285" s="8" t="n">
        <f aca="false">AE279*(CEG_Assets!$AD$10+CEG_PPAAdj)/1000000*(1+CEG_RevAdj)</f>
        <v>0</v>
      </c>
      <c r="AF285" s="8" t="n">
        <f aca="false">AF279*(CEG_Assets!$AD$10+CEG_PPAAdj)/1000000*(1+CEG_RevAdj)</f>
        <v>0</v>
      </c>
      <c r="AG285" s="8" t="n">
        <f aca="false">AG279*(CEG_Assets!$AD$10+CEG_PPAAdj)/1000000*(1+CEG_RevAdj)</f>
        <v>0</v>
      </c>
      <c r="AH285" s="8" t="n">
        <f aca="false">AH279*(CEG_Assets!$AD$10+CEG_PPAAdj)/1000000*(1+CEG_RevAdj)</f>
        <v>0</v>
      </c>
      <c r="AI285" s="8" t="n">
        <f aca="false">AI279*(CEG_Assets!$AD$10+CEG_PPAAdj)/1000000*(1+CEG_RevAdj)</f>
        <v>0</v>
      </c>
      <c r="AJ285" s="8" t="n">
        <f aca="false">AJ279*(CEG_Assets!$AD$10+CEG_PPAAdj)/1000000*(1+CEG_RevAdj)</f>
        <v>0</v>
      </c>
      <c r="AK285" s="8" t="n">
        <f aca="false">AK279*(CEG_Assets!$AD$10+CEG_PPAAdj)/1000000*(1+CEG_RevAdj)</f>
        <v>0</v>
      </c>
      <c r="AL285" s="8" t="n">
        <f aca="false">AL279*(CEG_Assets!$AD$10+CEG_PPAAdj)/1000000*(1+CEG_RevAdj)</f>
        <v>0</v>
      </c>
      <c r="AM285" s="8" t="n">
        <f aca="false">AM279*(CEG_Assets!$AD$10+CEG_PPAAdj)/1000000*(1+CEG_RevAdj)</f>
        <v>0</v>
      </c>
      <c r="AN285" s="8" t="n">
        <f aca="false">AN279*(CEG_Assets!$AD$10+CEG_PPAAdj)/1000000*(1+CEG_RevAdj)</f>
        <v>0</v>
      </c>
      <c r="AO285" s="8" t="n">
        <f aca="false">AO279*(CEG_Assets!$AD$10+CEG_PPAAdj)/1000000*(1+CEG_RevAdj)</f>
        <v>0</v>
      </c>
      <c r="AP285" s="8" t="n">
        <f aca="false">AP279*(CEG_Assets!$AD$10+CEG_PPAAdj)/1000000*(1+CEG_RevAdj)</f>
        <v>0</v>
      </c>
      <c r="AQ285" s="8" t="n">
        <f aca="false">AQ279*(CEG_Assets!$AD$10+CEG_PPAAdj)/1000000*(1+CEG_RevAdj)</f>
        <v>0</v>
      </c>
      <c r="AR285" s="8" t="n">
        <f aca="false">AR279*(CEG_Assets!$AD$10+CEG_PPAAdj)/1000000*(1+CEG_RevAdj)</f>
        <v>0</v>
      </c>
      <c r="AS285" s="8" t="n">
        <f aca="false">AS279*(CEG_Assets!$AD$10+CEG_PPAAdj)/1000000*(1+CEG_RevAdj)</f>
        <v>0</v>
      </c>
    </row>
    <row r="286" customFormat="false" ht="15" hidden="false" customHeight="false" outlineLevel="0" collapsed="false">
      <c r="A286" s="6" t="s">
        <v>445</v>
      </c>
      <c r="B286" s="6" t="s">
        <v>446</v>
      </c>
      <c r="C286" s="9" t="n">
        <f aca="false">SUM(G286:AS286)</f>
        <v>0</v>
      </c>
      <c r="G286" s="8" t="n">
        <f aca="false">IF(G$3&lt;=CEG_Assets!$V$10,G278*CEG_Assets!$U$10,0)/1000000*(1+CEG_RevAdj)</f>
        <v>0</v>
      </c>
      <c r="H286" s="8" t="n">
        <f aca="false">IF(H$3&lt;=CEG_Assets!$V$10,H278*CEG_Assets!$U$10,0)/1000000*(1+CEG_RevAdj)</f>
        <v>0</v>
      </c>
      <c r="I286" s="8" t="n">
        <f aca="false">IF(I$3&lt;=CEG_Assets!$V$10,I278*CEG_Assets!$U$10,0)/1000000*(1+CEG_RevAdj)</f>
        <v>0</v>
      </c>
      <c r="J286" s="8" t="n">
        <f aca="false">IF(J$3&lt;=CEG_Assets!$V$10,J278*CEG_Assets!$U$10,0)/1000000*(1+CEG_RevAdj)</f>
        <v>0</v>
      </c>
      <c r="K286" s="8" t="n">
        <f aca="false">IF(K$3&lt;=CEG_Assets!$V$10,K278*CEG_Assets!$U$10,0)/1000000*(1+CEG_RevAdj)</f>
        <v>0</v>
      </c>
      <c r="L286" s="8" t="n">
        <f aca="false">IF(L$3&lt;=CEG_Assets!$V$10,L278*CEG_Assets!$U$10,0)/1000000*(1+CEG_RevAdj)</f>
        <v>0</v>
      </c>
      <c r="M286" s="8" t="n">
        <f aca="false">IF(M$3&lt;=CEG_Assets!$V$10,M278*CEG_Assets!$U$10,0)/1000000*(1+CEG_RevAdj)</f>
        <v>0</v>
      </c>
      <c r="N286" s="8" t="n">
        <f aca="false">IF(N$3&lt;=CEG_Assets!$V$10,N278*CEG_Assets!$U$10,0)/1000000*(1+CEG_RevAdj)</f>
        <v>0</v>
      </c>
      <c r="O286" s="8" t="n">
        <f aca="false">IF(O$3&lt;=CEG_Assets!$V$10,O278*CEG_Assets!$U$10,0)/1000000*(1+CEG_RevAdj)</f>
        <v>0</v>
      </c>
      <c r="P286" s="8" t="n">
        <f aca="false">IF(P$3&lt;=CEG_Assets!$V$10,P278*CEG_Assets!$U$10,0)/1000000*(1+CEG_RevAdj)</f>
        <v>0</v>
      </c>
      <c r="Q286" s="8" t="n">
        <f aca="false">IF(Q$3&lt;=CEG_Assets!$V$10,Q278*CEG_Assets!$U$10,0)/1000000*(1+CEG_RevAdj)</f>
        <v>0</v>
      </c>
      <c r="R286" s="8" t="n">
        <f aca="false">IF(R$3&lt;=CEG_Assets!$V$10,R278*CEG_Assets!$U$10,0)/1000000*(1+CEG_RevAdj)</f>
        <v>0</v>
      </c>
      <c r="S286" s="8" t="n">
        <f aca="false">IF(S$3&lt;=CEG_Assets!$V$10,S278*CEG_Assets!$U$10,0)/1000000*(1+CEG_RevAdj)</f>
        <v>0</v>
      </c>
      <c r="T286" s="8" t="n">
        <f aca="false">IF(T$3&lt;=CEG_Assets!$V$10,T278*CEG_Assets!$U$10,0)/1000000*(1+CEG_RevAdj)</f>
        <v>0</v>
      </c>
      <c r="U286" s="8" t="n">
        <f aca="false">IF(U$3&lt;=CEG_Assets!$V$10,U278*CEG_Assets!$U$10,0)/1000000*(1+CEG_RevAdj)</f>
        <v>0</v>
      </c>
      <c r="V286" s="8" t="n">
        <f aca="false">IF(V$3&lt;=CEG_Assets!$V$10,V278*CEG_Assets!$U$10,0)/1000000*(1+CEG_RevAdj)</f>
        <v>0</v>
      </c>
      <c r="W286" s="8" t="n">
        <f aca="false">IF(W$3&lt;=CEG_Assets!$V$10,W278*CEG_Assets!$U$10,0)/1000000*(1+CEG_RevAdj)</f>
        <v>0</v>
      </c>
      <c r="X286" s="8" t="n">
        <f aca="false">IF(X$3&lt;=CEG_Assets!$V$10,X278*CEG_Assets!$U$10,0)/1000000*(1+CEG_RevAdj)</f>
        <v>0</v>
      </c>
      <c r="Y286" s="8" t="n">
        <f aca="false">IF(Y$3&lt;=CEG_Assets!$V$10,Y278*CEG_Assets!$U$10,0)/1000000*(1+CEG_RevAdj)</f>
        <v>0</v>
      </c>
      <c r="Z286" s="8" t="n">
        <f aca="false">IF(Z$3&lt;=CEG_Assets!$V$10,Z278*CEG_Assets!$U$10,0)/1000000*(1+CEG_RevAdj)</f>
        <v>0</v>
      </c>
      <c r="AA286" s="8" t="n">
        <f aca="false">IF(AA$3&lt;=CEG_Assets!$V$10,AA278*CEG_Assets!$U$10,0)/1000000*(1+CEG_RevAdj)</f>
        <v>0</v>
      </c>
      <c r="AB286" s="8" t="n">
        <f aca="false">IF(AB$3&lt;=CEG_Assets!$V$10,AB278*CEG_Assets!$U$10,0)/1000000*(1+CEG_RevAdj)</f>
        <v>0</v>
      </c>
      <c r="AC286" s="8" t="n">
        <f aca="false">IF(AC$3&lt;=CEG_Assets!$V$10,AC278*CEG_Assets!$U$10,0)/1000000*(1+CEG_RevAdj)</f>
        <v>0</v>
      </c>
      <c r="AD286" s="8" t="n">
        <f aca="false">IF(AD$3&lt;=CEG_Assets!$V$10,AD278*CEG_Assets!$U$10,0)/1000000*(1+CEG_RevAdj)</f>
        <v>0</v>
      </c>
      <c r="AE286" s="8" t="n">
        <f aca="false">IF(AE$3&lt;=CEG_Assets!$V$10,AE278*CEG_Assets!$U$10,0)/1000000*(1+CEG_RevAdj)</f>
        <v>0</v>
      </c>
      <c r="AF286" s="8" t="n">
        <f aca="false">IF(AF$3&lt;=CEG_Assets!$V$10,AF278*CEG_Assets!$U$10,0)/1000000*(1+CEG_RevAdj)</f>
        <v>0</v>
      </c>
      <c r="AG286" s="8" t="n">
        <f aca="false">IF(AG$3&lt;=CEG_Assets!$V$10,AG278*CEG_Assets!$U$10,0)/1000000*(1+CEG_RevAdj)</f>
        <v>0</v>
      </c>
      <c r="AH286" s="8" t="n">
        <f aca="false">IF(AH$3&lt;=CEG_Assets!$V$10,AH278*CEG_Assets!$U$10,0)/1000000*(1+CEG_RevAdj)</f>
        <v>0</v>
      </c>
      <c r="AI286" s="8" t="n">
        <f aca="false">IF(AI$3&lt;=CEG_Assets!$V$10,AI278*CEG_Assets!$U$10,0)/1000000*(1+CEG_RevAdj)</f>
        <v>0</v>
      </c>
      <c r="AJ286" s="8" t="n">
        <f aca="false">IF(AJ$3&lt;=CEG_Assets!$V$10,AJ278*CEG_Assets!$U$10,0)/1000000*(1+CEG_RevAdj)</f>
        <v>0</v>
      </c>
      <c r="AK286" s="8" t="n">
        <f aca="false">IF(AK$3&lt;=CEG_Assets!$V$10,AK278*CEG_Assets!$U$10,0)/1000000*(1+CEG_RevAdj)</f>
        <v>0</v>
      </c>
      <c r="AL286" s="8" t="n">
        <f aca="false">IF(AL$3&lt;=CEG_Assets!$V$10,AL278*CEG_Assets!$U$10,0)/1000000*(1+CEG_RevAdj)</f>
        <v>0</v>
      </c>
      <c r="AM286" s="8" t="n">
        <f aca="false">IF(AM$3&lt;=CEG_Assets!$V$10,AM278*CEG_Assets!$U$10,0)/1000000*(1+CEG_RevAdj)</f>
        <v>0</v>
      </c>
      <c r="AN286" s="8" t="n">
        <f aca="false">IF(AN$3&lt;=CEG_Assets!$V$10,AN278*CEG_Assets!$U$10,0)/1000000*(1+CEG_RevAdj)</f>
        <v>0</v>
      </c>
      <c r="AO286" s="8" t="n">
        <f aca="false">IF(AO$3&lt;=CEG_Assets!$V$10,AO278*CEG_Assets!$U$10,0)/1000000*(1+CEG_RevAdj)</f>
        <v>0</v>
      </c>
      <c r="AP286" s="8" t="n">
        <f aca="false">IF(AP$3&lt;=CEG_Assets!$V$10,AP278*CEG_Assets!$U$10,0)/1000000*(1+CEG_RevAdj)</f>
        <v>0</v>
      </c>
      <c r="AQ286" s="8" t="n">
        <f aca="false">IF(AQ$3&lt;=CEG_Assets!$V$10,AQ278*CEG_Assets!$U$10,0)/1000000*(1+CEG_RevAdj)</f>
        <v>0</v>
      </c>
      <c r="AR286" s="8" t="n">
        <f aca="false">IF(AR$3&lt;=CEG_Assets!$V$10,AR278*CEG_Assets!$U$10,0)/1000000*(1+CEG_RevAdj)</f>
        <v>0</v>
      </c>
      <c r="AS286" s="8" t="n">
        <f aca="false">IF(AS$3&lt;=CEG_Assets!$V$10,AS278*CEG_Assets!$U$10,0)/1000000*(1+CEG_RevAdj)</f>
        <v>0</v>
      </c>
    </row>
    <row r="287" customFormat="false" ht="15" hidden="false" customHeight="false" outlineLevel="0" collapsed="false">
      <c r="A287" s="6" t="s">
        <v>447</v>
      </c>
      <c r="B287" s="6" t="s">
        <v>448</v>
      </c>
      <c r="C287" s="9" t="n">
        <f aca="false">SUM(G287:AS287)</f>
        <v>20603.249210346</v>
      </c>
      <c r="G287" s="8" t="n">
        <f aca="false">G283+G284+G285+G286</f>
        <v>651.58632</v>
      </c>
      <c r="H287" s="8" t="n">
        <f aca="false">H283+H284+H285+H286</f>
        <v>678.18168</v>
      </c>
      <c r="I287" s="8" t="n">
        <f aca="false">I283+I284+I285+I286</f>
        <v>698.882580045936</v>
      </c>
      <c r="J287" s="8" t="n">
        <f aca="false">J283+J284+J285+J286</f>
        <v>720.41151609371</v>
      </c>
      <c r="K287" s="8" t="n">
        <f aca="false">K283+K284+K285+K286</f>
        <v>734.819746415584</v>
      </c>
      <c r="L287" s="8" t="n">
        <f aca="false">L283+L284+L285+L286</f>
        <v>749.516141343895</v>
      </c>
      <c r="M287" s="8" t="n">
        <f aca="false">M283+M284+M285+M286</f>
        <v>764.506464170773</v>
      </c>
      <c r="N287" s="8" t="n">
        <f aca="false">N283+N284+N285+N286</f>
        <v>779.796593454189</v>
      </c>
      <c r="O287" s="8" t="n">
        <f aca="false">O283+O284+O285+O286</f>
        <v>795.392525323273</v>
      </c>
      <c r="P287" s="8" t="n">
        <f aca="false">P283+P284+P285+P286</f>
        <v>811.300375829738</v>
      </c>
      <c r="Q287" s="8" t="n">
        <f aca="false">Q283+Q284+Q285+Q286</f>
        <v>827.526383346333</v>
      </c>
      <c r="R287" s="8" t="n">
        <f aca="false">R283+R284+R285+R286</f>
        <v>844.076911013259</v>
      </c>
      <c r="S287" s="8" t="n">
        <f aca="false">S283+S284+S285+S286</f>
        <v>860.958449233525</v>
      </c>
      <c r="T287" s="8" t="n">
        <f aca="false">T283+T284+T285+T286</f>
        <v>878.177618218195</v>
      </c>
      <c r="U287" s="8" t="n">
        <f aca="false">U283+U284+U285+U286</f>
        <v>895.741170582559</v>
      </c>
      <c r="V287" s="8" t="n">
        <f aca="false">V283+V284+V285+V286</f>
        <v>913.65599399421</v>
      </c>
      <c r="W287" s="8" t="n">
        <f aca="false">W283+W284+W285+W286</f>
        <v>931.929113874095</v>
      </c>
      <c r="X287" s="8" t="n">
        <f aca="false">X283+X284+X285+X286</f>
        <v>950.567696151577</v>
      </c>
      <c r="Y287" s="8" t="n">
        <f aca="false">Y283+Y284+Y285+Y286</f>
        <v>969.579050074608</v>
      </c>
      <c r="Z287" s="8" t="n">
        <f aca="false">Z283+Z284+Z285+Z286</f>
        <v>988.9706310761</v>
      </c>
      <c r="AA287" s="8" t="n">
        <f aca="false">AA283+AA284+AA285+AA286</f>
        <v>1008.75004369762</v>
      </c>
      <c r="AB287" s="8" t="n">
        <f aca="false">AB283+AB284+AB285+AB286</f>
        <v>1028.92504457157</v>
      </c>
      <c r="AC287" s="8" t="n">
        <f aca="false">AC283+AC284+AC285+AC286</f>
        <v>1049.50354546301</v>
      </c>
      <c r="AD287" s="8" t="n">
        <f aca="false">AD283+AD284+AD285+AD286</f>
        <v>1070.49361637227</v>
      </c>
      <c r="AE287" s="8" t="n">
        <f aca="false">AE283+AE284+AE285+AE286</f>
        <v>0</v>
      </c>
      <c r="AF287" s="8" t="n">
        <f aca="false">AF283+AF284+AF285+AF286</f>
        <v>0</v>
      </c>
      <c r="AG287" s="8" t="n">
        <f aca="false">AG283+AG284+AG285+AG286</f>
        <v>0</v>
      </c>
      <c r="AH287" s="8" t="n">
        <f aca="false">AH283+AH284+AH285+AH286</f>
        <v>0</v>
      </c>
      <c r="AI287" s="8" t="n">
        <f aca="false">AI283+AI284+AI285+AI286</f>
        <v>0</v>
      </c>
      <c r="AJ287" s="8" t="n">
        <f aca="false">AJ283+AJ284+AJ285+AJ286</f>
        <v>0</v>
      </c>
      <c r="AK287" s="8" t="n">
        <f aca="false">AK283+AK284+AK285+AK286</f>
        <v>0</v>
      </c>
      <c r="AL287" s="8" t="n">
        <f aca="false">AL283+AL284+AL285+AL286</f>
        <v>0</v>
      </c>
      <c r="AM287" s="8" t="n">
        <f aca="false">AM283+AM284+AM285+AM286</f>
        <v>0</v>
      </c>
      <c r="AN287" s="8" t="n">
        <f aca="false">AN283+AN284+AN285+AN286</f>
        <v>0</v>
      </c>
      <c r="AO287" s="8" t="n">
        <f aca="false">AO283+AO284+AO285+AO286</f>
        <v>0</v>
      </c>
      <c r="AP287" s="8" t="n">
        <f aca="false">AP283+AP284+AP285+AP286</f>
        <v>0</v>
      </c>
      <c r="AQ287" s="8" t="n">
        <f aca="false">AQ283+AQ284+AQ285+AQ286</f>
        <v>0</v>
      </c>
      <c r="AR287" s="8" t="n">
        <f aca="false">AR283+AR284+AR285+AR286</f>
        <v>0</v>
      </c>
      <c r="AS287" s="8" t="n">
        <f aca="false">AS283+AS284+AS285+AS286</f>
        <v>0</v>
      </c>
    </row>
    <row r="288" customFormat="false" ht="15" hidden="false" customHeight="false" outlineLevel="0" collapsed="false">
      <c r="A288" s="6" t="s">
        <v>449</v>
      </c>
      <c r="B288" s="6" t="s">
        <v>450</v>
      </c>
      <c r="C288" s="9" t="n">
        <f aca="false">SUM(G288:AS288)</f>
        <v>11461.5797488024</v>
      </c>
      <c r="G288" s="8" t="n">
        <f aca="false">((CEG_Assets!$K$10*G280+CEG_Assets!$M$10*G$4)*G278*G282+CEG_Assets!$N$10*(1+CEG_Assets!$Q$10)^(G$3-2026)*(G278+G279))/1000000*(1+CEG_FuelAdj)</f>
        <v>369.15689448</v>
      </c>
      <c r="H288" s="8" t="n">
        <f aca="false">((CEG_Assets!$K$10*H280+CEG_Assets!$M$10*H$4)*H278*H282+CEG_Assets!$N$10*(1+CEG_Assets!$Q$10)^(H$3-2026)*(H278+H279))/1000000*(1+CEG_FuelAdj)</f>
        <v>376.5400323696</v>
      </c>
      <c r="I288" s="8" t="n">
        <f aca="false">((CEG_Assets!$K$10*I280+CEG_Assets!$M$10*I$4)*I278*I282+CEG_Assets!$N$10*(1+CEG_Assets!$Q$10)^(I$3-2026)*(I278+I279))/1000000*(1+CEG_FuelAdj)</f>
        <v>392.537795655456</v>
      </c>
      <c r="J288" s="8" t="n">
        <f aca="false">((CEG_Assets!$K$10*J280+CEG_Assets!$M$10*J$4)*J278*J282+CEG_Assets!$N$10*(1+CEG_Assets!$Q$10)^(J$3-2026)*(J278+J279))/1000000*(1+CEG_FuelAdj)</f>
        <v>400.388551568565</v>
      </c>
      <c r="K288" s="8" t="n">
        <f aca="false">((CEG_Assets!$K$10*K280+CEG_Assets!$M$10*K$4)*K278*K282+CEG_Assets!$N$10*(1+CEG_Assets!$Q$10)^(K$3-2026)*(K278+K279))/1000000*(1+CEG_FuelAdj)</f>
        <v>408.396322599936</v>
      </c>
      <c r="L288" s="8" t="n">
        <f aca="false">((CEG_Assets!$K$10*L280+CEG_Assets!$M$10*L$4)*L278*L282+CEG_Assets!$N$10*(1+CEG_Assets!$Q$10)^(L$3-2026)*(L278+L279))/1000000*(1+CEG_FuelAdj)</f>
        <v>416.564249051935</v>
      </c>
      <c r="M288" s="8" t="n">
        <f aca="false">((CEG_Assets!$K$10*M280+CEG_Assets!$M$10*M$4)*M278*M282+CEG_Assets!$N$10*(1+CEG_Assets!$Q$10)^(M$3-2026)*(M278+M279))/1000000*(1+CEG_FuelAdj)</f>
        <v>424.895534032974</v>
      </c>
      <c r="N288" s="8" t="n">
        <f aca="false">((CEG_Assets!$K$10*N280+CEG_Assets!$M$10*N$4)*N278*N282+CEG_Assets!$N$10*(1+CEG_Assets!$Q$10)^(N$3-2026)*(N278+N279))/1000000*(1+CEG_FuelAdj)</f>
        <v>433.393444713633</v>
      </c>
      <c r="O288" s="8" t="n">
        <f aca="false">((CEG_Assets!$K$10*O280+CEG_Assets!$M$10*O$4)*O278*O282+CEG_Assets!$N$10*(1+CEG_Assets!$Q$10)^(O$3-2026)*(O278+O279))/1000000*(1+CEG_FuelAdj)</f>
        <v>442.061313607906</v>
      </c>
      <c r="P288" s="8" t="n">
        <f aca="false">((CEG_Assets!$K$10*P280+CEG_Assets!$M$10*P$4)*P278*P282+CEG_Assets!$N$10*(1+CEG_Assets!$Q$10)^(P$3-2026)*(P278+P279))/1000000*(1+CEG_FuelAdj)</f>
        <v>450.902539880064</v>
      </c>
      <c r="Q288" s="8" t="n">
        <f aca="false">((CEG_Assets!$K$10*Q280+CEG_Assets!$M$10*Q$4)*Q278*Q282+CEG_Assets!$N$10*(1+CEG_Assets!$Q$10)^(Q$3-2026)*(Q278+Q279))/1000000*(1+CEG_FuelAdj)</f>
        <v>459.920590677665</v>
      </c>
      <c r="R288" s="8" t="n">
        <f aca="false">((CEG_Assets!$K$10*R280+CEG_Assets!$M$10*R$4)*R278*R282+CEG_Assets!$N$10*(1+CEG_Assets!$Q$10)^(R$3-2026)*(R278+R279))/1000000*(1+CEG_FuelAdj)</f>
        <v>469.119002491219</v>
      </c>
      <c r="S288" s="8" t="n">
        <f aca="false">((CEG_Assets!$K$10*S280+CEG_Assets!$M$10*S$4)*S278*S282+CEG_Assets!$N$10*(1+CEG_Assets!$Q$10)^(S$3-2026)*(S278+S279))/1000000*(1+CEG_FuelAdj)</f>
        <v>478.501382541043</v>
      </c>
      <c r="T288" s="8" t="n">
        <f aca="false">((CEG_Assets!$K$10*T280+CEG_Assets!$M$10*T$4)*T278*T282+CEG_Assets!$N$10*(1+CEG_Assets!$Q$10)^(T$3-2026)*(T278+T279))/1000000*(1+CEG_FuelAdj)</f>
        <v>488.071410191864</v>
      </c>
      <c r="U288" s="8" t="n">
        <f aca="false">((CEG_Assets!$K$10*U280+CEG_Assets!$M$10*U$4)*U278*U282+CEG_Assets!$N$10*(1+CEG_Assets!$Q$10)^(U$3-2026)*(U278+U279))/1000000*(1+CEG_FuelAdj)</f>
        <v>497.832838395701</v>
      </c>
      <c r="V288" s="8" t="n">
        <f aca="false">((CEG_Assets!$K$10*V280+CEG_Assets!$M$10*V$4)*V278*V282+CEG_Assets!$N$10*(1+CEG_Assets!$Q$10)^(V$3-2026)*(V278+V279))/1000000*(1+CEG_FuelAdj)</f>
        <v>507.789495163615</v>
      </c>
      <c r="W288" s="8" t="n">
        <f aca="false">((CEG_Assets!$K$10*W280+CEG_Assets!$M$10*W$4)*W278*W282+CEG_Assets!$N$10*(1+CEG_Assets!$Q$10)^(W$3-2026)*(W278+W279))/1000000*(1+CEG_FuelAdj)</f>
        <v>517.945285066888</v>
      </c>
      <c r="X288" s="8" t="n">
        <f aca="false">((CEG_Assets!$K$10*X280+CEG_Assets!$M$10*X$4)*X278*X282+CEG_Assets!$N$10*(1+CEG_Assets!$Q$10)^(X$3-2026)*(X278+X279))/1000000*(1+CEG_FuelAdj)</f>
        <v>528.304190768226</v>
      </c>
      <c r="Y288" s="8" t="n">
        <f aca="false">((CEG_Assets!$K$10*Y280+CEG_Assets!$M$10*Y$4)*Y278*Y282+CEG_Assets!$N$10*(1+CEG_Assets!$Q$10)^(Y$3-2026)*(Y278+Y279))/1000000*(1+CEG_FuelAdj)</f>
        <v>538.87027458359</v>
      </c>
      <c r="Z288" s="8" t="n">
        <f aca="false">((CEG_Assets!$K$10*Z280+CEG_Assets!$M$10*Z$4)*Z278*Z282+CEG_Assets!$N$10*(1+CEG_Assets!$Q$10)^(Z$3-2026)*(Z278+Z279))/1000000*(1+CEG_FuelAdj)</f>
        <v>549.647680075262</v>
      </c>
      <c r="AA288" s="8" t="n">
        <f aca="false">((CEG_Assets!$K$10*AA280+CEG_Assets!$M$10*AA$4)*AA278*AA282+CEG_Assets!$N$10*(1+CEG_Assets!$Q$10)^(AA$3-2026)*(AA278+AA279))/1000000*(1+CEG_FuelAdj)</f>
        <v>560.640633676767</v>
      </c>
      <c r="AB288" s="8" t="n">
        <f aca="false">((CEG_Assets!$K$10*AB280+CEG_Assets!$M$10*AB$4)*AB278*AB282+CEG_Assets!$N$10*(1+CEG_Assets!$Q$10)^(AB$3-2026)*(AB278+AB279))/1000000*(1+CEG_FuelAdj)</f>
        <v>571.853446350302</v>
      </c>
      <c r="AC288" s="8" t="n">
        <f aca="false">((CEG_Assets!$K$10*AC280+CEG_Assets!$M$10*AC$4)*AC278*AC282+CEG_Assets!$N$10*(1+CEG_Assets!$Q$10)^(AC$3-2026)*(AC278+AC279))/1000000*(1+CEG_FuelAdj)</f>
        <v>583.290515277309</v>
      </c>
      <c r="AD288" s="8" t="n">
        <f aca="false">((CEG_Assets!$K$10*AD280+CEG_Assets!$M$10*AD$4)*AD278*AD282+CEG_Assets!$N$10*(1+CEG_Assets!$Q$10)^(AD$3-2026)*(AD278+AD279))/1000000*(1+CEG_FuelAdj)</f>
        <v>594.956325582855</v>
      </c>
      <c r="AE288" s="8" t="n">
        <f aca="false">((CEG_Assets!$K$10*AE280+CEG_Assets!$M$10*AE$4)*AE278*AE282+CEG_Assets!$N$10*(1+CEG_Assets!$Q$10)^(AE$3-2026)*(AE278+AE279))/1000000*(1+CEG_FuelAdj)</f>
        <v>0</v>
      </c>
      <c r="AF288" s="8" t="n">
        <f aca="false">((CEG_Assets!$K$10*AF280+CEG_Assets!$M$10*AF$4)*AF278*AF282+CEG_Assets!$N$10*(1+CEG_Assets!$Q$10)^(AF$3-2026)*(AF278+AF279))/1000000*(1+CEG_FuelAdj)</f>
        <v>0</v>
      </c>
      <c r="AG288" s="8" t="n">
        <f aca="false">((CEG_Assets!$K$10*AG280+CEG_Assets!$M$10*AG$4)*AG278*AG282+CEG_Assets!$N$10*(1+CEG_Assets!$Q$10)^(AG$3-2026)*(AG278+AG279))/1000000*(1+CEG_FuelAdj)</f>
        <v>0</v>
      </c>
      <c r="AH288" s="8" t="n">
        <f aca="false">((CEG_Assets!$K$10*AH280+CEG_Assets!$M$10*AH$4)*AH278*AH282+CEG_Assets!$N$10*(1+CEG_Assets!$Q$10)^(AH$3-2026)*(AH278+AH279))/1000000*(1+CEG_FuelAdj)</f>
        <v>0</v>
      </c>
      <c r="AI288" s="8" t="n">
        <f aca="false">((CEG_Assets!$K$10*AI280+CEG_Assets!$M$10*AI$4)*AI278*AI282+CEG_Assets!$N$10*(1+CEG_Assets!$Q$10)^(AI$3-2026)*(AI278+AI279))/1000000*(1+CEG_FuelAdj)</f>
        <v>0</v>
      </c>
      <c r="AJ288" s="8" t="n">
        <f aca="false">((CEG_Assets!$K$10*AJ280+CEG_Assets!$M$10*AJ$4)*AJ278*AJ282+CEG_Assets!$N$10*(1+CEG_Assets!$Q$10)^(AJ$3-2026)*(AJ278+AJ279))/1000000*(1+CEG_FuelAdj)</f>
        <v>0</v>
      </c>
      <c r="AK288" s="8" t="n">
        <f aca="false">((CEG_Assets!$K$10*AK280+CEG_Assets!$M$10*AK$4)*AK278*AK282+CEG_Assets!$N$10*(1+CEG_Assets!$Q$10)^(AK$3-2026)*(AK278+AK279))/1000000*(1+CEG_FuelAdj)</f>
        <v>0</v>
      </c>
      <c r="AL288" s="8" t="n">
        <f aca="false">((CEG_Assets!$K$10*AL280+CEG_Assets!$M$10*AL$4)*AL278*AL282+CEG_Assets!$N$10*(1+CEG_Assets!$Q$10)^(AL$3-2026)*(AL278+AL279))/1000000*(1+CEG_FuelAdj)</f>
        <v>0</v>
      </c>
      <c r="AM288" s="8" t="n">
        <f aca="false">((CEG_Assets!$K$10*AM280+CEG_Assets!$M$10*AM$4)*AM278*AM282+CEG_Assets!$N$10*(1+CEG_Assets!$Q$10)^(AM$3-2026)*(AM278+AM279))/1000000*(1+CEG_FuelAdj)</f>
        <v>0</v>
      </c>
      <c r="AN288" s="8" t="n">
        <f aca="false">((CEG_Assets!$K$10*AN280+CEG_Assets!$M$10*AN$4)*AN278*AN282+CEG_Assets!$N$10*(1+CEG_Assets!$Q$10)^(AN$3-2026)*(AN278+AN279))/1000000*(1+CEG_FuelAdj)</f>
        <v>0</v>
      </c>
      <c r="AO288" s="8" t="n">
        <f aca="false">((CEG_Assets!$K$10*AO280+CEG_Assets!$M$10*AO$4)*AO278*AO282+CEG_Assets!$N$10*(1+CEG_Assets!$Q$10)^(AO$3-2026)*(AO278+AO279))/1000000*(1+CEG_FuelAdj)</f>
        <v>0</v>
      </c>
      <c r="AP288" s="8" t="n">
        <f aca="false">((CEG_Assets!$K$10*AP280+CEG_Assets!$M$10*AP$4)*AP278*AP282+CEG_Assets!$N$10*(1+CEG_Assets!$Q$10)^(AP$3-2026)*(AP278+AP279))/1000000*(1+CEG_FuelAdj)</f>
        <v>0</v>
      </c>
      <c r="AQ288" s="8" t="n">
        <f aca="false">((CEG_Assets!$K$10*AQ280+CEG_Assets!$M$10*AQ$4)*AQ278*AQ282+CEG_Assets!$N$10*(1+CEG_Assets!$Q$10)^(AQ$3-2026)*(AQ278+AQ279))/1000000*(1+CEG_FuelAdj)</f>
        <v>0</v>
      </c>
      <c r="AR288" s="8" t="n">
        <f aca="false">((CEG_Assets!$K$10*AR280+CEG_Assets!$M$10*AR$4)*AR278*AR282+CEG_Assets!$N$10*(1+CEG_Assets!$Q$10)^(AR$3-2026)*(AR278+AR279))/1000000*(1+CEG_FuelAdj)</f>
        <v>0</v>
      </c>
      <c r="AS288" s="8" t="n">
        <f aca="false">((CEG_Assets!$K$10*AS280+CEG_Assets!$M$10*AS$4)*AS278*AS282+CEG_Assets!$N$10*(1+CEG_Assets!$Q$10)^(AS$3-2026)*(AS278+AS279))/1000000*(1+CEG_FuelAdj)</f>
        <v>0</v>
      </c>
    </row>
    <row r="289" customFormat="false" ht="15" hidden="false" customHeight="false" outlineLevel="0" collapsed="false">
      <c r="A289" s="6" t="s">
        <v>451</v>
      </c>
      <c r="B289" s="6" t="s">
        <v>452</v>
      </c>
      <c r="C289" s="9" t="n">
        <f aca="false">SUM(G289:AS289)</f>
        <v>9141.66946154365</v>
      </c>
      <c r="G289" s="8" t="n">
        <f aca="false">G287-G288</f>
        <v>282.42942552</v>
      </c>
      <c r="H289" s="8" t="n">
        <f aca="false">H287-H288</f>
        <v>301.6416476304</v>
      </c>
      <c r="I289" s="8" t="n">
        <f aca="false">I287-I288</f>
        <v>306.34478439048</v>
      </c>
      <c r="J289" s="8" t="n">
        <f aca="false">J287-J288</f>
        <v>320.022964525144</v>
      </c>
      <c r="K289" s="8" t="n">
        <f aca="false">K287-K288</f>
        <v>326.423423815647</v>
      </c>
      <c r="L289" s="8" t="n">
        <f aca="false">L287-L288</f>
        <v>332.95189229196</v>
      </c>
      <c r="M289" s="8" t="n">
        <f aca="false">M287-M288</f>
        <v>339.610930137799</v>
      </c>
      <c r="N289" s="8" t="n">
        <f aca="false">N287-N288</f>
        <v>346.403148740555</v>
      </c>
      <c r="O289" s="8" t="n">
        <f aca="false">O287-O288</f>
        <v>353.331211715366</v>
      </c>
      <c r="P289" s="8" t="n">
        <f aca="false">P287-P288</f>
        <v>360.397835949674</v>
      </c>
      <c r="Q289" s="8" t="n">
        <f aca="false">Q287-Q288</f>
        <v>367.605792668667</v>
      </c>
      <c r="R289" s="8" t="n">
        <f aca="false">R287-R288</f>
        <v>374.957908522041</v>
      </c>
      <c r="S289" s="8" t="n">
        <f aca="false">S287-S288</f>
        <v>382.457066692482</v>
      </c>
      <c r="T289" s="8" t="n">
        <f aca="false">T287-T288</f>
        <v>390.106208026331</v>
      </c>
      <c r="U289" s="8" t="n">
        <f aca="false">U287-U288</f>
        <v>397.908332186858</v>
      </c>
      <c r="V289" s="8" t="n">
        <f aca="false">V287-V288</f>
        <v>405.866498830595</v>
      </c>
      <c r="W289" s="8" t="n">
        <f aca="false">W287-W288</f>
        <v>413.983828807207</v>
      </c>
      <c r="X289" s="8" t="n">
        <f aca="false">X287-X288</f>
        <v>422.263505383351</v>
      </c>
      <c r="Y289" s="8" t="n">
        <f aca="false">Y287-Y288</f>
        <v>430.708775491018</v>
      </c>
      <c r="Z289" s="8" t="n">
        <f aca="false">Z287-Z288</f>
        <v>439.322951000839</v>
      </c>
      <c r="AA289" s="8" t="n">
        <f aca="false">AA287-AA288</f>
        <v>448.109410020855</v>
      </c>
      <c r="AB289" s="8" t="n">
        <f aca="false">AB287-AB288</f>
        <v>457.071598221272</v>
      </c>
      <c r="AC289" s="8" t="n">
        <f aca="false">AC287-AC288</f>
        <v>466.213030185698</v>
      </c>
      <c r="AD289" s="8" t="n">
        <f aca="false">AD287-AD288</f>
        <v>475.537290789412</v>
      </c>
      <c r="AE289" s="8" t="n">
        <f aca="false">AE287-AE288</f>
        <v>0</v>
      </c>
      <c r="AF289" s="8" t="n">
        <f aca="false">AF287-AF288</f>
        <v>0</v>
      </c>
      <c r="AG289" s="8" t="n">
        <f aca="false">AG287-AG288</f>
        <v>0</v>
      </c>
      <c r="AH289" s="8" t="n">
        <f aca="false">AH287-AH288</f>
        <v>0</v>
      </c>
      <c r="AI289" s="8" t="n">
        <f aca="false">AI287-AI288</f>
        <v>0</v>
      </c>
      <c r="AJ289" s="8" t="n">
        <f aca="false">AJ287-AJ288</f>
        <v>0</v>
      </c>
      <c r="AK289" s="8" t="n">
        <f aca="false">AK287-AK288</f>
        <v>0</v>
      </c>
      <c r="AL289" s="8" t="n">
        <f aca="false">AL287-AL288</f>
        <v>0</v>
      </c>
      <c r="AM289" s="8" t="n">
        <f aca="false">AM287-AM288</f>
        <v>0</v>
      </c>
      <c r="AN289" s="8" t="n">
        <f aca="false">AN287-AN288</f>
        <v>0</v>
      </c>
      <c r="AO289" s="8" t="n">
        <f aca="false">AO287-AO288</f>
        <v>0</v>
      </c>
      <c r="AP289" s="8" t="n">
        <f aca="false">AP287-AP288</f>
        <v>0</v>
      </c>
      <c r="AQ289" s="8" t="n">
        <f aca="false">AQ287-AQ288</f>
        <v>0</v>
      </c>
      <c r="AR289" s="8" t="n">
        <f aca="false">AR287-AR288</f>
        <v>0</v>
      </c>
      <c r="AS289" s="8" t="n">
        <f aca="false">AS287-AS288</f>
        <v>0</v>
      </c>
    </row>
    <row r="290" customFormat="false" ht="15" hidden="false" customHeight="false" outlineLevel="0" collapsed="false">
      <c r="A290" s="6" t="s">
        <v>453</v>
      </c>
      <c r="B290" s="6" t="s">
        <v>454</v>
      </c>
      <c r="C290" s="9" t="n">
        <f aca="false">SUM(G290:AS290)</f>
        <v>2283.83005963021</v>
      </c>
      <c r="G290" s="8" t="n">
        <f aca="false">(CEG_Assets!$R$10*CEG_Assets!$D$10*1000*G$4*G276+CEG_Assets!$O$10*(1+CEG_Assets!$Q$10)^(G$3-2026)*(G278+G279))/1000000*(1+CEG_OMAdj)</f>
        <v>75.072</v>
      </c>
      <c r="H290" s="8" t="n">
        <f aca="false">(CEG_Assets!$R$10*CEG_Assets!$D$10*1000*H$4*H276+CEG_Assets!$O$10*(1+CEG_Assets!$Q$10)^(H$3-2026)*(H278+H279))/1000000*(1+CEG_OMAdj)</f>
        <v>76.57344</v>
      </c>
      <c r="I290" s="8" t="n">
        <f aca="false">(CEG_Assets!$R$10*CEG_Assets!$D$10*1000*I$4*I276+CEG_Assets!$O$10*(1+CEG_Assets!$Q$10)^(I$3-2026)*(I278+I279))/1000000*(1+CEG_OMAdj)</f>
        <v>78.1049088</v>
      </c>
      <c r="J290" s="8" t="n">
        <f aca="false">(CEG_Assets!$R$10*CEG_Assets!$D$10*1000*J$4*J276+CEG_Assets!$O$10*(1+CEG_Assets!$Q$10)^(J$3-2026)*(J278+J279))/1000000*(1+CEG_OMAdj)</f>
        <v>79.667006976</v>
      </c>
      <c r="K290" s="8" t="n">
        <f aca="false">(CEG_Assets!$R$10*CEG_Assets!$D$10*1000*K$4*K276+CEG_Assets!$O$10*(1+CEG_Assets!$Q$10)^(K$3-2026)*(K278+K279))/1000000*(1+CEG_OMAdj)</f>
        <v>81.26034711552</v>
      </c>
      <c r="L290" s="8" t="n">
        <f aca="false">(CEG_Assets!$R$10*CEG_Assets!$D$10*1000*L$4*L276+CEG_Assets!$O$10*(1+CEG_Assets!$Q$10)^(L$3-2026)*(L278+L279))/1000000*(1+CEG_OMAdj)</f>
        <v>82.8855540578304</v>
      </c>
      <c r="M290" s="8" t="n">
        <f aca="false">(CEG_Assets!$R$10*CEG_Assets!$D$10*1000*M$4*M276+CEG_Assets!$O$10*(1+CEG_Assets!$Q$10)^(M$3-2026)*(M278+M279))/1000000*(1+CEG_OMAdj)</f>
        <v>84.543265138987</v>
      </c>
      <c r="N290" s="8" t="n">
        <f aca="false">(CEG_Assets!$R$10*CEG_Assets!$D$10*1000*N$4*N276+CEG_Assets!$O$10*(1+CEG_Assets!$Q$10)^(N$3-2026)*(N278+N279))/1000000*(1+CEG_OMAdj)</f>
        <v>86.2341304417668</v>
      </c>
      <c r="O290" s="8" t="n">
        <f aca="false">(CEG_Assets!$R$10*CEG_Assets!$D$10*1000*O$4*O276+CEG_Assets!$O$10*(1+CEG_Assets!$Q$10)^(O$3-2026)*(O278+O279))/1000000*(1+CEG_OMAdj)</f>
        <v>87.9588130506021</v>
      </c>
      <c r="P290" s="8" t="n">
        <f aca="false">(CEG_Assets!$R$10*CEG_Assets!$D$10*1000*P$4*P276+CEG_Assets!$O$10*(1+CEG_Assets!$Q$10)^(P$3-2026)*(P278+P279))/1000000*(1+CEG_OMAdj)</f>
        <v>89.7179893116142</v>
      </c>
      <c r="Q290" s="8" t="n">
        <f aca="false">(CEG_Assets!$R$10*CEG_Assets!$D$10*1000*Q$4*Q276+CEG_Assets!$O$10*(1+CEG_Assets!$Q$10)^(Q$3-2026)*(Q278+Q279))/1000000*(1+CEG_OMAdj)</f>
        <v>91.5123490978464</v>
      </c>
      <c r="R290" s="8" t="n">
        <f aca="false">(CEG_Assets!$R$10*CEG_Assets!$D$10*1000*R$4*R276+CEG_Assets!$O$10*(1+CEG_Assets!$Q$10)^(R$3-2026)*(R278+R279))/1000000*(1+CEG_OMAdj)</f>
        <v>93.3425960798033</v>
      </c>
      <c r="S290" s="8" t="n">
        <f aca="false">(CEG_Assets!$R$10*CEG_Assets!$D$10*1000*S$4*S276+CEG_Assets!$O$10*(1+CEG_Assets!$Q$10)^(S$3-2026)*(S278+S279))/1000000*(1+CEG_OMAdj)</f>
        <v>95.2094480013994</v>
      </c>
      <c r="T290" s="8" t="n">
        <f aca="false">(CEG_Assets!$R$10*CEG_Assets!$D$10*1000*T$4*T276+CEG_Assets!$O$10*(1+CEG_Assets!$Q$10)^(T$3-2026)*(T278+T279))/1000000*(1+CEG_OMAdj)</f>
        <v>97.1136369614274</v>
      </c>
      <c r="U290" s="8" t="n">
        <f aca="false">(CEG_Assets!$R$10*CEG_Assets!$D$10*1000*U$4*U276+CEG_Assets!$O$10*(1+CEG_Assets!$Q$10)^(U$3-2026)*(U278+U279))/1000000*(1+CEG_OMAdj)</f>
        <v>99.055909700656</v>
      </c>
      <c r="V290" s="8" t="n">
        <f aca="false">(CEG_Assets!$R$10*CEG_Assets!$D$10*1000*V$4*V276+CEG_Assets!$O$10*(1+CEG_Assets!$Q$10)^(V$3-2026)*(V278+V279))/1000000*(1+CEG_OMAdj)</f>
        <v>101.037027894669</v>
      </c>
      <c r="W290" s="8" t="n">
        <f aca="false">(CEG_Assets!$R$10*CEG_Assets!$D$10*1000*W$4*W276+CEG_Assets!$O$10*(1+CEG_Assets!$Q$10)^(W$3-2026)*(W278+W279))/1000000*(1+CEG_OMAdj)</f>
        <v>103.057768452562</v>
      </c>
      <c r="X290" s="8" t="n">
        <f aca="false">(CEG_Assets!$R$10*CEG_Assets!$D$10*1000*X$4*X276+CEG_Assets!$O$10*(1+CEG_Assets!$Q$10)^(X$3-2026)*(X278+X279))/1000000*(1+CEG_OMAdj)</f>
        <v>105.118923821614</v>
      </c>
      <c r="Y290" s="8" t="n">
        <f aca="false">(CEG_Assets!$R$10*CEG_Assets!$D$10*1000*Y$4*Y276+CEG_Assets!$O$10*(1+CEG_Assets!$Q$10)^(Y$3-2026)*(Y278+Y279))/1000000*(1+CEG_OMAdj)</f>
        <v>107.221302298046</v>
      </c>
      <c r="Z290" s="8" t="n">
        <f aca="false">(CEG_Assets!$R$10*CEG_Assets!$D$10*1000*Z$4*Z276+CEG_Assets!$O$10*(1+CEG_Assets!$Q$10)^(Z$3-2026)*(Z278+Z279))/1000000*(1+CEG_OMAdj)</f>
        <v>109.365728344007</v>
      </c>
      <c r="AA290" s="8" t="n">
        <f aca="false">(CEG_Assets!$R$10*CEG_Assets!$D$10*1000*AA$4*AA276+CEG_Assets!$O$10*(1+CEG_Assets!$Q$10)^(AA$3-2026)*(AA278+AA279))/1000000*(1+CEG_OMAdj)</f>
        <v>111.553042910887</v>
      </c>
      <c r="AB290" s="8" t="n">
        <f aca="false">(CEG_Assets!$R$10*CEG_Assets!$D$10*1000*AB$4*AB276+CEG_Assets!$O$10*(1+CEG_Assets!$Q$10)^(AB$3-2026)*(AB278+AB279))/1000000*(1+CEG_OMAdj)</f>
        <v>113.784103769105</v>
      </c>
      <c r="AC290" s="8" t="n">
        <f aca="false">(CEG_Assets!$R$10*CEG_Assets!$D$10*1000*AC$4*AC276+CEG_Assets!$O$10*(1+CEG_Assets!$Q$10)^(AC$3-2026)*(AC278+AC279))/1000000*(1+CEG_OMAdj)</f>
        <v>116.059785844487</v>
      </c>
      <c r="AD290" s="8" t="n">
        <f aca="false">(CEG_Assets!$R$10*CEG_Assets!$D$10*1000*AD$4*AD276+CEG_Assets!$O$10*(1+CEG_Assets!$Q$10)^(AD$3-2026)*(AD278+AD279))/1000000*(1+CEG_OMAdj)</f>
        <v>118.380981561377</v>
      </c>
      <c r="AE290" s="8" t="n">
        <f aca="false">(CEG_Assets!$R$10*CEG_Assets!$D$10*1000*AE$4*AE276+CEG_Assets!$O$10*(1+CEG_Assets!$Q$10)^(AE$3-2026)*(AE278+AE279))/1000000*(1+CEG_OMAdj)</f>
        <v>0</v>
      </c>
      <c r="AF290" s="8" t="n">
        <f aca="false">(CEG_Assets!$R$10*CEG_Assets!$D$10*1000*AF$4*AF276+CEG_Assets!$O$10*(1+CEG_Assets!$Q$10)^(AF$3-2026)*(AF278+AF279))/1000000*(1+CEG_OMAdj)</f>
        <v>0</v>
      </c>
      <c r="AG290" s="8" t="n">
        <f aca="false">(CEG_Assets!$R$10*CEG_Assets!$D$10*1000*AG$4*AG276+CEG_Assets!$O$10*(1+CEG_Assets!$Q$10)^(AG$3-2026)*(AG278+AG279))/1000000*(1+CEG_OMAdj)</f>
        <v>0</v>
      </c>
      <c r="AH290" s="8" t="n">
        <f aca="false">(CEG_Assets!$R$10*CEG_Assets!$D$10*1000*AH$4*AH276+CEG_Assets!$O$10*(1+CEG_Assets!$Q$10)^(AH$3-2026)*(AH278+AH279))/1000000*(1+CEG_OMAdj)</f>
        <v>0</v>
      </c>
      <c r="AI290" s="8" t="n">
        <f aca="false">(CEG_Assets!$R$10*CEG_Assets!$D$10*1000*AI$4*AI276+CEG_Assets!$O$10*(1+CEG_Assets!$Q$10)^(AI$3-2026)*(AI278+AI279))/1000000*(1+CEG_OMAdj)</f>
        <v>0</v>
      </c>
      <c r="AJ290" s="8" t="n">
        <f aca="false">(CEG_Assets!$R$10*CEG_Assets!$D$10*1000*AJ$4*AJ276+CEG_Assets!$O$10*(1+CEG_Assets!$Q$10)^(AJ$3-2026)*(AJ278+AJ279))/1000000*(1+CEG_OMAdj)</f>
        <v>0</v>
      </c>
      <c r="AK290" s="8" t="n">
        <f aca="false">(CEG_Assets!$R$10*CEG_Assets!$D$10*1000*AK$4*AK276+CEG_Assets!$O$10*(1+CEG_Assets!$Q$10)^(AK$3-2026)*(AK278+AK279))/1000000*(1+CEG_OMAdj)</f>
        <v>0</v>
      </c>
      <c r="AL290" s="8" t="n">
        <f aca="false">(CEG_Assets!$R$10*CEG_Assets!$D$10*1000*AL$4*AL276+CEG_Assets!$O$10*(1+CEG_Assets!$Q$10)^(AL$3-2026)*(AL278+AL279))/1000000*(1+CEG_OMAdj)</f>
        <v>0</v>
      </c>
      <c r="AM290" s="8" t="n">
        <f aca="false">(CEG_Assets!$R$10*CEG_Assets!$D$10*1000*AM$4*AM276+CEG_Assets!$O$10*(1+CEG_Assets!$Q$10)^(AM$3-2026)*(AM278+AM279))/1000000*(1+CEG_OMAdj)</f>
        <v>0</v>
      </c>
      <c r="AN290" s="8" t="n">
        <f aca="false">(CEG_Assets!$R$10*CEG_Assets!$D$10*1000*AN$4*AN276+CEG_Assets!$O$10*(1+CEG_Assets!$Q$10)^(AN$3-2026)*(AN278+AN279))/1000000*(1+CEG_OMAdj)</f>
        <v>0</v>
      </c>
      <c r="AO290" s="8" t="n">
        <f aca="false">(CEG_Assets!$R$10*CEG_Assets!$D$10*1000*AO$4*AO276+CEG_Assets!$O$10*(1+CEG_Assets!$Q$10)^(AO$3-2026)*(AO278+AO279))/1000000*(1+CEG_OMAdj)</f>
        <v>0</v>
      </c>
      <c r="AP290" s="8" t="n">
        <f aca="false">(CEG_Assets!$R$10*CEG_Assets!$D$10*1000*AP$4*AP276+CEG_Assets!$O$10*(1+CEG_Assets!$Q$10)^(AP$3-2026)*(AP278+AP279))/1000000*(1+CEG_OMAdj)</f>
        <v>0</v>
      </c>
      <c r="AQ290" s="8" t="n">
        <f aca="false">(CEG_Assets!$R$10*CEG_Assets!$D$10*1000*AQ$4*AQ276+CEG_Assets!$O$10*(1+CEG_Assets!$Q$10)^(AQ$3-2026)*(AQ278+AQ279))/1000000*(1+CEG_OMAdj)</f>
        <v>0</v>
      </c>
      <c r="AR290" s="8" t="n">
        <f aca="false">(CEG_Assets!$R$10*CEG_Assets!$D$10*1000*AR$4*AR276+CEG_Assets!$O$10*(1+CEG_Assets!$Q$10)^(AR$3-2026)*(AR278+AR279))/1000000*(1+CEG_OMAdj)</f>
        <v>0</v>
      </c>
      <c r="AS290" s="8" t="n">
        <f aca="false">(CEG_Assets!$R$10*CEG_Assets!$D$10*1000*AS$4*AS276+CEG_Assets!$O$10*(1+CEG_Assets!$Q$10)^(AS$3-2026)*(AS278+AS279))/1000000*(1+CEG_OMAdj)</f>
        <v>0</v>
      </c>
    </row>
    <row r="291" customFormat="false" ht="15" hidden="false" customHeight="false" outlineLevel="0" collapsed="false">
      <c r="A291" s="6" t="s">
        <v>455</v>
      </c>
      <c r="B291" s="6" t="s">
        <v>456</v>
      </c>
      <c r="C291" s="9" t="n">
        <f aca="false">SUM(G291:AS291)</f>
        <v>6857.83940191345</v>
      </c>
      <c r="G291" s="8" t="n">
        <f aca="false">G289-G290</f>
        <v>207.35742552</v>
      </c>
      <c r="H291" s="8" t="n">
        <f aca="false">H289-H290</f>
        <v>225.0682076304</v>
      </c>
      <c r="I291" s="8" t="n">
        <f aca="false">I289-I290</f>
        <v>228.23987559048</v>
      </c>
      <c r="J291" s="8" t="n">
        <f aca="false">J289-J290</f>
        <v>240.355957549144</v>
      </c>
      <c r="K291" s="8" t="n">
        <f aca="false">K289-K290</f>
        <v>245.163076700127</v>
      </c>
      <c r="L291" s="8" t="n">
        <f aca="false">L289-L290</f>
        <v>250.06633823413</v>
      </c>
      <c r="M291" s="8" t="n">
        <f aca="false">M289-M290</f>
        <v>255.067664998812</v>
      </c>
      <c r="N291" s="8" t="n">
        <f aca="false">N289-N290</f>
        <v>260.169018298789</v>
      </c>
      <c r="O291" s="8" t="n">
        <f aca="false">O289-O290</f>
        <v>265.372398664764</v>
      </c>
      <c r="P291" s="8" t="n">
        <f aca="false">P289-P290</f>
        <v>270.67984663806</v>
      </c>
      <c r="Q291" s="8" t="n">
        <f aca="false">Q289-Q290</f>
        <v>276.093443570821</v>
      </c>
      <c r="R291" s="8" t="n">
        <f aca="false">R289-R290</f>
        <v>281.615312442237</v>
      </c>
      <c r="S291" s="8" t="n">
        <f aca="false">S289-S290</f>
        <v>287.247618691082</v>
      </c>
      <c r="T291" s="8" t="n">
        <f aca="false">T289-T290</f>
        <v>292.992571064904</v>
      </c>
      <c r="U291" s="8" t="n">
        <f aca="false">U289-U290</f>
        <v>298.852422486202</v>
      </c>
      <c r="V291" s="8" t="n">
        <f aca="false">V289-V290</f>
        <v>304.829470935926</v>
      </c>
      <c r="W291" s="8" t="n">
        <f aca="false">W289-W290</f>
        <v>310.926060354644</v>
      </c>
      <c r="X291" s="8" t="n">
        <f aca="false">X289-X290</f>
        <v>317.144581561737</v>
      </c>
      <c r="Y291" s="8" t="n">
        <f aca="false">Y289-Y290</f>
        <v>323.487473192972</v>
      </c>
      <c r="Z291" s="8" t="n">
        <f aca="false">Z289-Z290</f>
        <v>329.957222656832</v>
      </c>
      <c r="AA291" s="8" t="n">
        <f aca="false">AA289-AA290</f>
        <v>336.556367109968</v>
      </c>
      <c r="AB291" s="8" t="n">
        <f aca="false">AB289-AB290</f>
        <v>343.287494452168</v>
      </c>
      <c r="AC291" s="8" t="n">
        <f aca="false">AC289-AC290</f>
        <v>350.153244341211</v>
      </c>
      <c r="AD291" s="8" t="n">
        <f aca="false">AD289-AD290</f>
        <v>357.156309228035</v>
      </c>
      <c r="AE291" s="8" t="n">
        <f aca="false">AE289-AE290</f>
        <v>0</v>
      </c>
      <c r="AF291" s="8" t="n">
        <f aca="false">AF289-AF290</f>
        <v>0</v>
      </c>
      <c r="AG291" s="8" t="n">
        <f aca="false">AG289-AG290</f>
        <v>0</v>
      </c>
      <c r="AH291" s="8" t="n">
        <f aca="false">AH289-AH290</f>
        <v>0</v>
      </c>
      <c r="AI291" s="8" t="n">
        <f aca="false">AI289-AI290</f>
        <v>0</v>
      </c>
      <c r="AJ291" s="8" t="n">
        <f aca="false">AJ289-AJ290</f>
        <v>0</v>
      </c>
      <c r="AK291" s="8" t="n">
        <f aca="false">AK289-AK290</f>
        <v>0</v>
      </c>
      <c r="AL291" s="8" t="n">
        <f aca="false">AL289-AL290</f>
        <v>0</v>
      </c>
      <c r="AM291" s="8" t="n">
        <f aca="false">AM289-AM290</f>
        <v>0</v>
      </c>
      <c r="AN291" s="8" t="n">
        <f aca="false">AN289-AN290</f>
        <v>0</v>
      </c>
      <c r="AO291" s="8" t="n">
        <f aca="false">AO289-AO290</f>
        <v>0</v>
      </c>
      <c r="AP291" s="8" t="n">
        <f aca="false">AP289-AP290</f>
        <v>0</v>
      </c>
      <c r="AQ291" s="8" t="n">
        <f aca="false">AQ289-AQ290</f>
        <v>0</v>
      </c>
      <c r="AR291" s="8" t="n">
        <f aca="false">AR289-AR290</f>
        <v>0</v>
      </c>
      <c r="AS291" s="8" t="n">
        <f aca="false">AS289-AS290</f>
        <v>0</v>
      </c>
    </row>
    <row r="292" customFormat="false" ht="15" hidden="false" customHeight="false" outlineLevel="0" collapsed="false">
      <c r="A292" s="6" t="s">
        <v>457</v>
      </c>
      <c r="B292" s="6" t="s">
        <v>458</v>
      </c>
      <c r="C292" s="9" t="n">
        <f aca="false">SUM(G292:AS292)</f>
        <v>856.436272361328</v>
      </c>
      <c r="G292" s="8" t="n">
        <f aca="false">((CEG_Assets!$S$10*CEG_Assets!$D$10*1000*G$4*G276+CEG_Assets!$P$10*(1+CEG_Assets!$Q$10)^(G$3-2026)*(G278+G279))/1000000+IF(G$3=CEG_Assets!$AH$10,CEG_Assets!$AG$10,0))*(1+CEG_CapexAdj)</f>
        <v>28.152</v>
      </c>
      <c r="H292" s="8" t="n">
        <f aca="false">((CEG_Assets!$S$10*CEG_Assets!$D$10*1000*H$4*H276+CEG_Assets!$P$10*(1+CEG_Assets!$Q$10)^(H$3-2026)*(H278+H279))/1000000+IF(H$3=CEG_Assets!$AH$10,CEG_Assets!$AG$10,0))*(1+CEG_CapexAdj)</f>
        <v>28.71504</v>
      </c>
      <c r="I292" s="8" t="n">
        <f aca="false">((CEG_Assets!$S$10*CEG_Assets!$D$10*1000*I$4*I276+CEG_Assets!$P$10*(1+CEG_Assets!$Q$10)^(I$3-2026)*(I278+I279))/1000000+IF(I$3=CEG_Assets!$AH$10,CEG_Assets!$AG$10,0))*(1+CEG_CapexAdj)</f>
        <v>29.2893408</v>
      </c>
      <c r="J292" s="8" t="n">
        <f aca="false">((CEG_Assets!$S$10*CEG_Assets!$D$10*1000*J$4*J276+CEG_Assets!$P$10*(1+CEG_Assets!$Q$10)^(J$3-2026)*(J278+J279))/1000000+IF(J$3=CEG_Assets!$AH$10,CEG_Assets!$AG$10,0))*(1+CEG_CapexAdj)</f>
        <v>29.875127616</v>
      </c>
      <c r="K292" s="8" t="n">
        <f aca="false">((CEG_Assets!$S$10*CEG_Assets!$D$10*1000*K$4*K276+CEG_Assets!$P$10*(1+CEG_Assets!$Q$10)^(K$3-2026)*(K278+K279))/1000000+IF(K$3=CEG_Assets!$AH$10,CEG_Assets!$AG$10,0))*(1+CEG_CapexAdj)</f>
        <v>30.47263016832</v>
      </c>
      <c r="L292" s="8" t="n">
        <f aca="false">((CEG_Assets!$S$10*CEG_Assets!$D$10*1000*L$4*L276+CEG_Assets!$P$10*(1+CEG_Assets!$Q$10)^(L$3-2026)*(L278+L279))/1000000+IF(L$3=CEG_Assets!$AH$10,CEG_Assets!$AG$10,0))*(1+CEG_CapexAdj)</f>
        <v>31.0820827716864</v>
      </c>
      <c r="M292" s="8" t="n">
        <f aca="false">((CEG_Assets!$S$10*CEG_Assets!$D$10*1000*M$4*M276+CEG_Assets!$P$10*(1+CEG_Assets!$Q$10)^(M$3-2026)*(M278+M279))/1000000+IF(M$3=CEG_Assets!$AH$10,CEG_Assets!$AG$10,0))*(1+CEG_CapexAdj)</f>
        <v>31.7037244271201</v>
      </c>
      <c r="N292" s="8" t="n">
        <f aca="false">((CEG_Assets!$S$10*CEG_Assets!$D$10*1000*N$4*N276+CEG_Assets!$P$10*(1+CEG_Assets!$Q$10)^(N$3-2026)*(N278+N279))/1000000+IF(N$3=CEG_Assets!$AH$10,CEG_Assets!$AG$10,0))*(1+CEG_CapexAdj)</f>
        <v>32.3377989156625</v>
      </c>
      <c r="O292" s="8" t="n">
        <f aca="false">((CEG_Assets!$S$10*CEG_Assets!$D$10*1000*O$4*O276+CEG_Assets!$P$10*(1+CEG_Assets!$Q$10)^(O$3-2026)*(O278+O279))/1000000+IF(O$3=CEG_Assets!$AH$10,CEG_Assets!$AG$10,0))*(1+CEG_CapexAdj)</f>
        <v>32.9845548939758</v>
      </c>
      <c r="P292" s="8" t="n">
        <f aca="false">((CEG_Assets!$S$10*CEG_Assets!$D$10*1000*P$4*P276+CEG_Assets!$P$10*(1+CEG_Assets!$Q$10)^(P$3-2026)*(P278+P279))/1000000+IF(P$3=CEG_Assets!$AH$10,CEG_Assets!$AG$10,0))*(1+CEG_CapexAdj)</f>
        <v>33.6442459918553</v>
      </c>
      <c r="Q292" s="8" t="n">
        <f aca="false">((CEG_Assets!$S$10*CEG_Assets!$D$10*1000*Q$4*Q276+CEG_Assets!$P$10*(1+CEG_Assets!$Q$10)^(Q$3-2026)*(Q278+Q279))/1000000+IF(Q$3=CEG_Assets!$AH$10,CEG_Assets!$AG$10,0))*(1+CEG_CapexAdj)</f>
        <v>34.3171309116924</v>
      </c>
      <c r="R292" s="8" t="n">
        <f aca="false">((CEG_Assets!$S$10*CEG_Assets!$D$10*1000*R$4*R276+CEG_Assets!$P$10*(1+CEG_Assets!$Q$10)^(R$3-2026)*(R278+R279))/1000000+IF(R$3=CEG_Assets!$AH$10,CEG_Assets!$AG$10,0))*(1+CEG_CapexAdj)</f>
        <v>35.0034735299263</v>
      </c>
      <c r="S292" s="8" t="n">
        <f aca="false">((CEG_Assets!$S$10*CEG_Assets!$D$10*1000*S$4*S276+CEG_Assets!$P$10*(1+CEG_Assets!$Q$10)^(S$3-2026)*(S278+S279))/1000000+IF(S$3=CEG_Assets!$AH$10,CEG_Assets!$AG$10,0))*(1+CEG_CapexAdj)</f>
        <v>35.7035430005248</v>
      </c>
      <c r="T292" s="8" t="n">
        <f aca="false">((CEG_Assets!$S$10*CEG_Assets!$D$10*1000*T$4*T276+CEG_Assets!$P$10*(1+CEG_Assets!$Q$10)^(T$3-2026)*(T278+T279))/1000000+IF(T$3=CEG_Assets!$AH$10,CEG_Assets!$AG$10,0))*(1+CEG_CapexAdj)</f>
        <v>36.4176138605353</v>
      </c>
      <c r="U292" s="8" t="n">
        <f aca="false">((CEG_Assets!$S$10*CEG_Assets!$D$10*1000*U$4*U276+CEG_Assets!$P$10*(1+CEG_Assets!$Q$10)^(U$3-2026)*(U278+U279))/1000000+IF(U$3=CEG_Assets!$AH$10,CEG_Assets!$AG$10,0))*(1+CEG_CapexAdj)</f>
        <v>37.145966137746</v>
      </c>
      <c r="V292" s="8" t="n">
        <f aca="false">((CEG_Assets!$S$10*CEG_Assets!$D$10*1000*V$4*V276+CEG_Assets!$P$10*(1+CEG_Assets!$Q$10)^(V$3-2026)*(V278+V279))/1000000+IF(V$3=CEG_Assets!$AH$10,CEG_Assets!$AG$10,0))*(1+CEG_CapexAdj)</f>
        <v>37.8888854605009</v>
      </c>
      <c r="W292" s="8" t="n">
        <f aca="false">((CEG_Assets!$S$10*CEG_Assets!$D$10*1000*W$4*W276+CEG_Assets!$P$10*(1+CEG_Assets!$Q$10)^(W$3-2026)*(W278+W279))/1000000+IF(W$3=CEG_Assets!$AH$10,CEG_Assets!$AG$10,0))*(1+CEG_CapexAdj)</f>
        <v>38.6466631697109</v>
      </c>
      <c r="X292" s="8" t="n">
        <f aca="false">((CEG_Assets!$S$10*CEG_Assets!$D$10*1000*X$4*X276+CEG_Assets!$P$10*(1+CEG_Assets!$Q$10)^(X$3-2026)*(X278+X279))/1000000+IF(X$3=CEG_Assets!$AH$10,CEG_Assets!$AG$10,0))*(1+CEG_CapexAdj)</f>
        <v>39.4195964331052</v>
      </c>
      <c r="Y292" s="8" t="n">
        <f aca="false">((CEG_Assets!$S$10*CEG_Assets!$D$10*1000*Y$4*Y276+CEG_Assets!$P$10*(1+CEG_Assets!$Q$10)^(Y$3-2026)*(Y278+Y279))/1000000+IF(Y$3=CEG_Assets!$AH$10,CEG_Assets!$AG$10,0))*(1+CEG_CapexAdj)</f>
        <v>40.2079883617673</v>
      </c>
      <c r="Z292" s="8" t="n">
        <f aca="false">((CEG_Assets!$S$10*CEG_Assets!$D$10*1000*Z$4*Z276+CEG_Assets!$P$10*(1+CEG_Assets!$Q$10)^(Z$3-2026)*(Z278+Z279))/1000000+IF(Z$3=CEG_Assets!$AH$10,CEG_Assets!$AG$10,0))*(1+CEG_CapexAdj)</f>
        <v>41.0121481290026</v>
      </c>
      <c r="AA292" s="8" t="n">
        <f aca="false">((CEG_Assets!$S$10*CEG_Assets!$D$10*1000*AA$4*AA276+CEG_Assets!$P$10*(1+CEG_Assets!$Q$10)^(AA$3-2026)*(AA278+AA279))/1000000+IF(AA$3=CEG_Assets!$AH$10,CEG_Assets!$AG$10,0))*(1+CEG_CapexAdj)</f>
        <v>41.8323910915826</v>
      </c>
      <c r="AB292" s="8" t="n">
        <f aca="false">((CEG_Assets!$S$10*CEG_Assets!$D$10*1000*AB$4*AB276+CEG_Assets!$P$10*(1+CEG_Assets!$Q$10)^(AB$3-2026)*(AB278+AB279))/1000000+IF(AB$3=CEG_Assets!$AH$10,CEG_Assets!$AG$10,0))*(1+CEG_CapexAdj)</f>
        <v>42.6690389134143</v>
      </c>
      <c r="AC292" s="8" t="n">
        <f aca="false">((CEG_Assets!$S$10*CEG_Assets!$D$10*1000*AC$4*AC276+CEG_Assets!$P$10*(1+CEG_Assets!$Q$10)^(AC$3-2026)*(AC278+AC279))/1000000+IF(AC$3=CEG_Assets!$AH$10,CEG_Assets!$AG$10,0))*(1+CEG_CapexAdj)</f>
        <v>43.5224196916826</v>
      </c>
      <c r="AD292" s="8" t="n">
        <f aca="false">((CEG_Assets!$S$10*CEG_Assets!$D$10*1000*AD$4*AD276+CEG_Assets!$P$10*(1+CEG_Assets!$Q$10)^(AD$3-2026)*(AD278+AD279))/1000000+IF(AD$3=CEG_Assets!$AH$10,CEG_Assets!$AG$10,0))*(1+CEG_CapexAdj)</f>
        <v>44.3928680855162</v>
      </c>
      <c r="AE292" s="8" t="n">
        <f aca="false">((CEG_Assets!$S$10*CEG_Assets!$D$10*1000*AE$4*AE276+CEG_Assets!$P$10*(1+CEG_Assets!$Q$10)^(AE$3-2026)*(AE278+AE279))/1000000+IF(AE$3=CEG_Assets!$AH$10,CEG_Assets!$AG$10,0))*(1+CEG_CapexAdj)</f>
        <v>0</v>
      </c>
      <c r="AF292" s="8" t="n">
        <f aca="false">((CEG_Assets!$S$10*CEG_Assets!$D$10*1000*AF$4*AF276+CEG_Assets!$P$10*(1+CEG_Assets!$Q$10)^(AF$3-2026)*(AF278+AF279))/1000000+IF(AF$3=CEG_Assets!$AH$10,CEG_Assets!$AG$10,0))*(1+CEG_CapexAdj)</f>
        <v>0</v>
      </c>
      <c r="AG292" s="8" t="n">
        <f aca="false">((CEG_Assets!$S$10*CEG_Assets!$D$10*1000*AG$4*AG276+CEG_Assets!$P$10*(1+CEG_Assets!$Q$10)^(AG$3-2026)*(AG278+AG279))/1000000+IF(AG$3=CEG_Assets!$AH$10,CEG_Assets!$AG$10,0))*(1+CEG_CapexAdj)</f>
        <v>0</v>
      </c>
      <c r="AH292" s="8" t="n">
        <f aca="false">((CEG_Assets!$S$10*CEG_Assets!$D$10*1000*AH$4*AH276+CEG_Assets!$P$10*(1+CEG_Assets!$Q$10)^(AH$3-2026)*(AH278+AH279))/1000000+IF(AH$3=CEG_Assets!$AH$10,CEG_Assets!$AG$10,0))*(1+CEG_CapexAdj)</f>
        <v>0</v>
      </c>
      <c r="AI292" s="8" t="n">
        <f aca="false">((CEG_Assets!$S$10*CEG_Assets!$D$10*1000*AI$4*AI276+CEG_Assets!$P$10*(1+CEG_Assets!$Q$10)^(AI$3-2026)*(AI278+AI279))/1000000+IF(AI$3=CEG_Assets!$AH$10,CEG_Assets!$AG$10,0))*(1+CEG_CapexAdj)</f>
        <v>0</v>
      </c>
      <c r="AJ292" s="8" t="n">
        <f aca="false">((CEG_Assets!$S$10*CEG_Assets!$D$10*1000*AJ$4*AJ276+CEG_Assets!$P$10*(1+CEG_Assets!$Q$10)^(AJ$3-2026)*(AJ278+AJ279))/1000000+IF(AJ$3=CEG_Assets!$AH$10,CEG_Assets!$AG$10,0))*(1+CEG_CapexAdj)</f>
        <v>0</v>
      </c>
      <c r="AK292" s="8" t="n">
        <f aca="false">((CEG_Assets!$S$10*CEG_Assets!$D$10*1000*AK$4*AK276+CEG_Assets!$P$10*(1+CEG_Assets!$Q$10)^(AK$3-2026)*(AK278+AK279))/1000000+IF(AK$3=CEG_Assets!$AH$10,CEG_Assets!$AG$10,0))*(1+CEG_CapexAdj)</f>
        <v>0</v>
      </c>
      <c r="AL292" s="8" t="n">
        <f aca="false">((CEG_Assets!$S$10*CEG_Assets!$D$10*1000*AL$4*AL276+CEG_Assets!$P$10*(1+CEG_Assets!$Q$10)^(AL$3-2026)*(AL278+AL279))/1000000+IF(AL$3=CEG_Assets!$AH$10,CEG_Assets!$AG$10,0))*(1+CEG_CapexAdj)</f>
        <v>0</v>
      </c>
      <c r="AM292" s="8" t="n">
        <f aca="false">((CEG_Assets!$S$10*CEG_Assets!$D$10*1000*AM$4*AM276+CEG_Assets!$P$10*(1+CEG_Assets!$Q$10)^(AM$3-2026)*(AM278+AM279))/1000000+IF(AM$3=CEG_Assets!$AH$10,CEG_Assets!$AG$10,0))*(1+CEG_CapexAdj)</f>
        <v>0</v>
      </c>
      <c r="AN292" s="8" t="n">
        <f aca="false">((CEG_Assets!$S$10*CEG_Assets!$D$10*1000*AN$4*AN276+CEG_Assets!$P$10*(1+CEG_Assets!$Q$10)^(AN$3-2026)*(AN278+AN279))/1000000+IF(AN$3=CEG_Assets!$AH$10,CEG_Assets!$AG$10,0))*(1+CEG_CapexAdj)</f>
        <v>0</v>
      </c>
      <c r="AO292" s="8" t="n">
        <f aca="false">((CEG_Assets!$S$10*CEG_Assets!$D$10*1000*AO$4*AO276+CEG_Assets!$P$10*(1+CEG_Assets!$Q$10)^(AO$3-2026)*(AO278+AO279))/1000000+IF(AO$3=CEG_Assets!$AH$10,CEG_Assets!$AG$10,0))*(1+CEG_CapexAdj)</f>
        <v>0</v>
      </c>
      <c r="AP292" s="8" t="n">
        <f aca="false">((CEG_Assets!$S$10*CEG_Assets!$D$10*1000*AP$4*AP276+CEG_Assets!$P$10*(1+CEG_Assets!$Q$10)^(AP$3-2026)*(AP278+AP279))/1000000+IF(AP$3=CEG_Assets!$AH$10,CEG_Assets!$AG$10,0))*(1+CEG_CapexAdj)</f>
        <v>0</v>
      </c>
      <c r="AQ292" s="8" t="n">
        <f aca="false">((CEG_Assets!$S$10*CEG_Assets!$D$10*1000*AQ$4*AQ276+CEG_Assets!$P$10*(1+CEG_Assets!$Q$10)^(AQ$3-2026)*(AQ278+AQ279))/1000000+IF(AQ$3=CEG_Assets!$AH$10,CEG_Assets!$AG$10,0))*(1+CEG_CapexAdj)</f>
        <v>0</v>
      </c>
      <c r="AR292" s="8" t="n">
        <f aca="false">((CEG_Assets!$S$10*CEG_Assets!$D$10*1000*AR$4*AR276+CEG_Assets!$P$10*(1+CEG_Assets!$Q$10)^(AR$3-2026)*(AR278+AR279))/1000000+IF(AR$3=CEG_Assets!$AH$10,CEG_Assets!$AG$10,0))*(1+CEG_CapexAdj)</f>
        <v>0</v>
      </c>
      <c r="AS292" s="8" t="n">
        <f aca="false">((CEG_Assets!$S$10*CEG_Assets!$D$10*1000*AS$4*AS276+CEG_Assets!$P$10*(1+CEG_Assets!$Q$10)^(AS$3-2026)*(AS278+AS279))/1000000+IF(AS$3=CEG_Assets!$AH$10,CEG_Assets!$AG$10,0))*(1+CEG_CapexAdj)</f>
        <v>0</v>
      </c>
    </row>
    <row r="293" customFormat="false" ht="15" hidden="false" customHeight="false" outlineLevel="0" collapsed="false">
      <c r="A293" s="6" t="s">
        <v>459</v>
      </c>
      <c r="B293" s="6" t="s">
        <v>460</v>
      </c>
      <c r="C293" s="9" t="n">
        <f aca="false">SUM(G293:AS293)</f>
        <v>6001.40312955212</v>
      </c>
      <c r="G293" s="8" t="n">
        <f aca="false">IF(CEG_Assets!$Y$10=1,MAX(0,G291-G292),G291-G292)</f>
        <v>179.20542552</v>
      </c>
      <c r="H293" s="8" t="n">
        <f aca="false">IF(CEG_Assets!$Y$10=1,MAX(0,H291-H292),H291-H292)</f>
        <v>196.3531676304</v>
      </c>
      <c r="I293" s="8" t="n">
        <f aca="false">IF(CEG_Assets!$Y$10=1,MAX(0,I291-I292),I291-I292)</f>
        <v>198.95053479048</v>
      </c>
      <c r="J293" s="8" t="n">
        <f aca="false">IF(CEG_Assets!$Y$10=1,MAX(0,J291-J292),J291-J292)</f>
        <v>210.480829933144</v>
      </c>
      <c r="K293" s="8" t="n">
        <f aca="false">IF(CEG_Assets!$Y$10=1,MAX(0,K291-K292),K291-K292)</f>
        <v>214.690446531807</v>
      </c>
      <c r="L293" s="8" t="n">
        <f aca="false">IF(CEG_Assets!$Y$10=1,MAX(0,L291-L292),L291-L292)</f>
        <v>218.984255462443</v>
      </c>
      <c r="M293" s="8" t="n">
        <f aca="false">IF(CEG_Assets!$Y$10=1,MAX(0,M291-M292),M291-M292)</f>
        <v>223.363940571692</v>
      </c>
      <c r="N293" s="8" t="n">
        <f aca="false">IF(CEG_Assets!$Y$10=1,MAX(0,N291-N292),N291-N292)</f>
        <v>227.831219383126</v>
      </c>
      <c r="O293" s="8" t="n">
        <f aca="false">IF(CEG_Assets!$Y$10=1,MAX(0,O291-O292),O291-O292)</f>
        <v>232.387843770789</v>
      </c>
      <c r="P293" s="8" t="n">
        <f aca="false">IF(CEG_Assets!$Y$10=1,MAX(0,P291-P292),P291-P292)</f>
        <v>237.035600646204</v>
      </c>
      <c r="Q293" s="8" t="n">
        <f aca="false">IF(CEG_Assets!$Y$10=1,MAX(0,Q291-Q292),Q291-Q292)</f>
        <v>241.776312659129</v>
      </c>
      <c r="R293" s="8" t="n">
        <f aca="false">IF(CEG_Assets!$Y$10=1,MAX(0,R291-R292),R291-R292)</f>
        <v>246.611838912311</v>
      </c>
      <c r="S293" s="8" t="n">
        <f aca="false">IF(CEG_Assets!$Y$10=1,MAX(0,S291-S292),S291-S292)</f>
        <v>251.544075690557</v>
      </c>
      <c r="T293" s="8" t="n">
        <f aca="false">IF(CEG_Assets!$Y$10=1,MAX(0,T291-T292),T291-T292)</f>
        <v>256.574957204369</v>
      </c>
      <c r="U293" s="8" t="n">
        <f aca="false">IF(CEG_Assets!$Y$10=1,MAX(0,U291-U292),U291-U292)</f>
        <v>261.706456348456</v>
      </c>
      <c r="V293" s="8" t="n">
        <f aca="false">IF(CEG_Assets!$Y$10=1,MAX(0,V291-V292),V291-V292)</f>
        <v>266.940585475425</v>
      </c>
      <c r="W293" s="8" t="n">
        <f aca="false">IF(CEG_Assets!$Y$10=1,MAX(0,W291-W292),W291-W292)</f>
        <v>272.279397184934</v>
      </c>
      <c r="X293" s="8" t="n">
        <f aca="false">IF(CEG_Assets!$Y$10=1,MAX(0,X291-X292),X291-X292)</f>
        <v>277.724985128632</v>
      </c>
      <c r="Y293" s="8" t="n">
        <f aca="false">IF(CEG_Assets!$Y$10=1,MAX(0,Y291-Y292),Y291-Y292)</f>
        <v>283.279484831205</v>
      </c>
      <c r="Z293" s="8" t="n">
        <f aca="false">IF(CEG_Assets!$Y$10=1,MAX(0,Z291-Z292),Z291-Z292)</f>
        <v>288.945074527829</v>
      </c>
      <c r="AA293" s="8" t="n">
        <f aca="false">IF(CEG_Assets!$Y$10=1,MAX(0,AA291-AA292),AA291-AA292)</f>
        <v>294.723976018385</v>
      </c>
      <c r="AB293" s="8" t="n">
        <f aca="false">IF(CEG_Assets!$Y$10=1,MAX(0,AB291-AB292),AB291-AB292)</f>
        <v>300.618455538753</v>
      </c>
      <c r="AC293" s="8" t="n">
        <f aca="false">IF(CEG_Assets!$Y$10=1,MAX(0,AC291-AC292),AC291-AC292)</f>
        <v>306.630824649528</v>
      </c>
      <c r="AD293" s="8" t="n">
        <f aca="false">IF(CEG_Assets!$Y$10=1,MAX(0,AD291-AD292),AD291-AD292)</f>
        <v>312.763441142519</v>
      </c>
      <c r="AE293" s="8" t="n">
        <f aca="false">IF(CEG_Assets!$Y$10=1,MAX(0,AE291-AE292),AE291-AE292)</f>
        <v>0</v>
      </c>
      <c r="AF293" s="8" t="n">
        <f aca="false">IF(CEG_Assets!$Y$10=1,MAX(0,AF291-AF292),AF291-AF292)</f>
        <v>0</v>
      </c>
      <c r="AG293" s="8" t="n">
        <f aca="false">IF(CEG_Assets!$Y$10=1,MAX(0,AG291-AG292),AG291-AG292)</f>
        <v>0</v>
      </c>
      <c r="AH293" s="8" t="n">
        <f aca="false">IF(CEG_Assets!$Y$10=1,MAX(0,AH291-AH292),AH291-AH292)</f>
        <v>0</v>
      </c>
      <c r="AI293" s="8" t="n">
        <f aca="false">IF(CEG_Assets!$Y$10=1,MAX(0,AI291-AI292),AI291-AI292)</f>
        <v>0</v>
      </c>
      <c r="AJ293" s="8" t="n">
        <f aca="false">IF(CEG_Assets!$Y$10=1,MAX(0,AJ291-AJ292),AJ291-AJ292)</f>
        <v>0</v>
      </c>
      <c r="AK293" s="8" t="n">
        <f aca="false">IF(CEG_Assets!$Y$10=1,MAX(0,AK291-AK292),AK291-AK292)</f>
        <v>0</v>
      </c>
      <c r="AL293" s="8" t="n">
        <f aca="false">IF(CEG_Assets!$Y$10=1,MAX(0,AL291-AL292),AL291-AL292)</f>
        <v>0</v>
      </c>
      <c r="AM293" s="8" t="n">
        <f aca="false">IF(CEG_Assets!$Y$10=1,MAX(0,AM291-AM292),AM291-AM292)</f>
        <v>0</v>
      </c>
      <c r="AN293" s="8" t="n">
        <f aca="false">IF(CEG_Assets!$Y$10=1,MAX(0,AN291-AN292),AN291-AN292)</f>
        <v>0</v>
      </c>
      <c r="AO293" s="8" t="n">
        <f aca="false">IF(CEG_Assets!$Y$10=1,MAX(0,AO291-AO292),AO291-AO292)</f>
        <v>0</v>
      </c>
      <c r="AP293" s="8" t="n">
        <f aca="false">IF(CEG_Assets!$Y$10=1,MAX(0,AP291-AP292),AP291-AP292)</f>
        <v>0</v>
      </c>
      <c r="AQ293" s="8" t="n">
        <f aca="false">IF(CEG_Assets!$Y$10=1,MAX(0,AQ291-AQ292),AQ291-AQ292)</f>
        <v>0</v>
      </c>
      <c r="AR293" s="8" t="n">
        <f aca="false">IF(CEG_Assets!$Y$10=1,MAX(0,AR291-AR292),AR291-AR292)</f>
        <v>0</v>
      </c>
      <c r="AS293" s="8" t="n">
        <f aca="false">IF(CEG_Assets!$Y$10=1,MAX(0,AS291-AS292),AS291-AS292)</f>
        <v>0</v>
      </c>
    </row>
    <row r="294" customFormat="false" ht="15" hidden="false" customHeight="false" outlineLevel="0" collapsed="false">
      <c r="A294" s="6" t="s">
        <v>461</v>
      </c>
      <c r="B294" s="6" t="s">
        <v>462</v>
      </c>
      <c r="C294" s="9" t="n">
        <f aca="false">SUM(G294:AS294)</f>
        <v>0</v>
      </c>
      <c r="G294" s="8" t="n">
        <f aca="false">IF(AND(CEG_Assets!$W$10=1,G$3&lt;=PTCLast,G278&gt;0),G278*MAX(0,PTCCredit*(1+Infl)^(G$3-PTCBase)-0.8*MAX(0,(G283+G284+G286)*1000000/MAX(1,G278)-PTCThresh*(1+Infl)^(G$3-PTCBase)))/1000000,0)</f>
        <v>0</v>
      </c>
      <c r="H294" s="8" t="n">
        <f aca="false">IF(AND(CEG_Assets!$W$10=1,H$3&lt;=PTCLast,H278&gt;0),H278*MAX(0,PTCCredit*(1+Infl)^(H$3-PTCBase)-0.8*MAX(0,(H283+H284+H286)*1000000/MAX(1,H278)-PTCThresh*(1+Infl)^(H$3-PTCBase)))/1000000,0)</f>
        <v>0</v>
      </c>
      <c r="I294" s="8" t="n">
        <f aca="false">IF(AND(CEG_Assets!$W$10=1,I$3&lt;=PTCLast,I278&gt;0),I278*MAX(0,PTCCredit*(1+Infl)^(I$3-PTCBase)-0.8*MAX(0,(I283+I284+I286)*1000000/MAX(1,I278)-PTCThresh*(1+Infl)^(I$3-PTCBase)))/1000000,0)</f>
        <v>0</v>
      </c>
      <c r="J294" s="8" t="n">
        <f aca="false">IF(AND(CEG_Assets!$W$10=1,J$3&lt;=PTCLast,J278&gt;0),J278*MAX(0,PTCCredit*(1+Infl)^(J$3-PTCBase)-0.8*MAX(0,(J283+J284+J286)*1000000/MAX(1,J278)-PTCThresh*(1+Infl)^(J$3-PTCBase)))/1000000,0)</f>
        <v>0</v>
      </c>
      <c r="K294" s="8" t="n">
        <f aca="false">IF(AND(CEG_Assets!$W$10=1,K$3&lt;=PTCLast,K278&gt;0),K278*MAX(0,PTCCredit*(1+Infl)^(K$3-PTCBase)-0.8*MAX(0,(K283+K284+K286)*1000000/MAX(1,K278)-PTCThresh*(1+Infl)^(K$3-PTCBase)))/1000000,0)</f>
        <v>0</v>
      </c>
      <c r="L294" s="8" t="n">
        <f aca="false">IF(AND(CEG_Assets!$W$10=1,L$3&lt;=PTCLast,L278&gt;0),L278*MAX(0,PTCCredit*(1+Infl)^(L$3-PTCBase)-0.8*MAX(0,(L283+L284+L286)*1000000/MAX(1,L278)-PTCThresh*(1+Infl)^(L$3-PTCBase)))/1000000,0)</f>
        <v>0</v>
      </c>
      <c r="M294" s="8" t="n">
        <f aca="false">IF(AND(CEG_Assets!$W$10=1,M$3&lt;=PTCLast,M278&gt;0),M278*MAX(0,PTCCredit*(1+Infl)^(M$3-PTCBase)-0.8*MAX(0,(M283+M284+M286)*1000000/MAX(1,M278)-PTCThresh*(1+Infl)^(M$3-PTCBase)))/1000000,0)</f>
        <v>0</v>
      </c>
      <c r="N294" s="8" t="n">
        <f aca="false">IF(AND(CEG_Assets!$W$10=1,N$3&lt;=PTCLast,N278&gt;0),N278*MAX(0,PTCCredit*(1+Infl)^(N$3-PTCBase)-0.8*MAX(0,(N283+N284+N286)*1000000/MAX(1,N278)-PTCThresh*(1+Infl)^(N$3-PTCBase)))/1000000,0)</f>
        <v>0</v>
      </c>
      <c r="O294" s="8" t="n">
        <f aca="false">IF(AND(CEG_Assets!$W$10=1,O$3&lt;=PTCLast,O278&gt;0),O278*MAX(0,PTCCredit*(1+Infl)^(O$3-PTCBase)-0.8*MAX(0,(O283+O284+O286)*1000000/MAX(1,O278)-PTCThresh*(1+Infl)^(O$3-PTCBase)))/1000000,0)</f>
        <v>0</v>
      </c>
      <c r="P294" s="8" t="n">
        <f aca="false">IF(AND(CEG_Assets!$W$10=1,P$3&lt;=PTCLast,P278&gt;0),P278*MAX(0,PTCCredit*(1+Infl)^(P$3-PTCBase)-0.8*MAX(0,(P283+P284+P286)*1000000/MAX(1,P278)-PTCThresh*(1+Infl)^(P$3-PTCBase)))/1000000,0)</f>
        <v>0</v>
      </c>
      <c r="Q294" s="8" t="n">
        <f aca="false">IF(AND(CEG_Assets!$W$10=1,Q$3&lt;=PTCLast,Q278&gt;0),Q278*MAX(0,PTCCredit*(1+Infl)^(Q$3-PTCBase)-0.8*MAX(0,(Q283+Q284+Q286)*1000000/MAX(1,Q278)-PTCThresh*(1+Infl)^(Q$3-PTCBase)))/1000000,0)</f>
        <v>0</v>
      </c>
      <c r="R294" s="8" t="n">
        <f aca="false">IF(AND(CEG_Assets!$W$10=1,R$3&lt;=PTCLast,R278&gt;0),R278*MAX(0,PTCCredit*(1+Infl)^(R$3-PTCBase)-0.8*MAX(0,(R283+R284+R286)*1000000/MAX(1,R278)-PTCThresh*(1+Infl)^(R$3-PTCBase)))/1000000,0)</f>
        <v>0</v>
      </c>
      <c r="S294" s="8" t="n">
        <f aca="false">IF(AND(CEG_Assets!$W$10=1,S$3&lt;=PTCLast,S278&gt;0),S278*MAX(0,PTCCredit*(1+Infl)^(S$3-PTCBase)-0.8*MAX(0,(S283+S284+S286)*1000000/MAX(1,S278)-PTCThresh*(1+Infl)^(S$3-PTCBase)))/1000000,0)</f>
        <v>0</v>
      </c>
      <c r="T294" s="8" t="n">
        <f aca="false">IF(AND(CEG_Assets!$W$10=1,T$3&lt;=PTCLast,T278&gt;0),T278*MAX(0,PTCCredit*(1+Infl)^(T$3-PTCBase)-0.8*MAX(0,(T283+T284+T286)*1000000/MAX(1,T278)-PTCThresh*(1+Infl)^(T$3-PTCBase)))/1000000,0)</f>
        <v>0</v>
      </c>
      <c r="U294" s="8" t="n">
        <f aca="false">IF(AND(CEG_Assets!$W$10=1,U$3&lt;=PTCLast,U278&gt;0),U278*MAX(0,PTCCredit*(1+Infl)^(U$3-PTCBase)-0.8*MAX(0,(U283+U284+U286)*1000000/MAX(1,U278)-PTCThresh*(1+Infl)^(U$3-PTCBase)))/1000000,0)</f>
        <v>0</v>
      </c>
      <c r="V294" s="8" t="n">
        <f aca="false">IF(AND(CEG_Assets!$W$10=1,V$3&lt;=PTCLast,V278&gt;0),V278*MAX(0,PTCCredit*(1+Infl)^(V$3-PTCBase)-0.8*MAX(0,(V283+V284+V286)*1000000/MAX(1,V278)-PTCThresh*(1+Infl)^(V$3-PTCBase)))/1000000,0)</f>
        <v>0</v>
      </c>
      <c r="W294" s="8" t="n">
        <f aca="false">IF(AND(CEG_Assets!$W$10=1,W$3&lt;=PTCLast,W278&gt;0),W278*MAX(0,PTCCredit*(1+Infl)^(W$3-PTCBase)-0.8*MAX(0,(W283+W284+W286)*1000000/MAX(1,W278)-PTCThresh*(1+Infl)^(W$3-PTCBase)))/1000000,0)</f>
        <v>0</v>
      </c>
      <c r="X294" s="8" t="n">
        <f aca="false">IF(AND(CEG_Assets!$W$10=1,X$3&lt;=PTCLast,X278&gt;0),X278*MAX(0,PTCCredit*(1+Infl)^(X$3-PTCBase)-0.8*MAX(0,(X283+X284+X286)*1000000/MAX(1,X278)-PTCThresh*(1+Infl)^(X$3-PTCBase)))/1000000,0)</f>
        <v>0</v>
      </c>
      <c r="Y294" s="8" t="n">
        <f aca="false">IF(AND(CEG_Assets!$W$10=1,Y$3&lt;=PTCLast,Y278&gt;0),Y278*MAX(0,PTCCredit*(1+Infl)^(Y$3-PTCBase)-0.8*MAX(0,(Y283+Y284+Y286)*1000000/MAX(1,Y278)-PTCThresh*(1+Infl)^(Y$3-PTCBase)))/1000000,0)</f>
        <v>0</v>
      </c>
      <c r="Z294" s="8" t="n">
        <f aca="false">IF(AND(CEG_Assets!$W$10=1,Z$3&lt;=PTCLast,Z278&gt;0),Z278*MAX(0,PTCCredit*(1+Infl)^(Z$3-PTCBase)-0.8*MAX(0,(Z283+Z284+Z286)*1000000/MAX(1,Z278)-PTCThresh*(1+Infl)^(Z$3-PTCBase)))/1000000,0)</f>
        <v>0</v>
      </c>
      <c r="AA294" s="8" t="n">
        <f aca="false">IF(AND(CEG_Assets!$W$10=1,AA$3&lt;=PTCLast,AA278&gt;0),AA278*MAX(0,PTCCredit*(1+Infl)^(AA$3-PTCBase)-0.8*MAX(0,(AA283+AA284+AA286)*1000000/MAX(1,AA278)-PTCThresh*(1+Infl)^(AA$3-PTCBase)))/1000000,0)</f>
        <v>0</v>
      </c>
      <c r="AB294" s="8" t="n">
        <f aca="false">IF(AND(CEG_Assets!$W$10=1,AB$3&lt;=PTCLast,AB278&gt;0),AB278*MAX(0,PTCCredit*(1+Infl)^(AB$3-PTCBase)-0.8*MAX(0,(AB283+AB284+AB286)*1000000/MAX(1,AB278)-PTCThresh*(1+Infl)^(AB$3-PTCBase)))/1000000,0)</f>
        <v>0</v>
      </c>
      <c r="AC294" s="8" t="n">
        <f aca="false">IF(AND(CEG_Assets!$W$10=1,AC$3&lt;=PTCLast,AC278&gt;0),AC278*MAX(0,PTCCredit*(1+Infl)^(AC$3-PTCBase)-0.8*MAX(0,(AC283+AC284+AC286)*1000000/MAX(1,AC278)-PTCThresh*(1+Infl)^(AC$3-PTCBase)))/1000000,0)</f>
        <v>0</v>
      </c>
      <c r="AD294" s="8" t="n">
        <f aca="false">IF(AND(CEG_Assets!$W$10=1,AD$3&lt;=PTCLast,AD278&gt;0),AD278*MAX(0,PTCCredit*(1+Infl)^(AD$3-PTCBase)-0.8*MAX(0,(AD283+AD284+AD286)*1000000/MAX(1,AD278)-PTCThresh*(1+Infl)^(AD$3-PTCBase)))/1000000,0)</f>
        <v>0</v>
      </c>
      <c r="AE294" s="8" t="n">
        <f aca="false">IF(AND(CEG_Assets!$W$10=1,AE$3&lt;=PTCLast,AE278&gt;0),AE278*MAX(0,PTCCredit*(1+Infl)^(AE$3-PTCBase)-0.8*MAX(0,(AE283+AE284+AE286)*1000000/MAX(1,AE278)-PTCThresh*(1+Infl)^(AE$3-PTCBase)))/1000000,0)</f>
        <v>0</v>
      </c>
      <c r="AF294" s="8" t="n">
        <f aca="false">IF(AND(CEG_Assets!$W$10=1,AF$3&lt;=PTCLast,AF278&gt;0),AF278*MAX(0,PTCCredit*(1+Infl)^(AF$3-PTCBase)-0.8*MAX(0,(AF283+AF284+AF286)*1000000/MAX(1,AF278)-PTCThresh*(1+Infl)^(AF$3-PTCBase)))/1000000,0)</f>
        <v>0</v>
      </c>
      <c r="AG294" s="8" t="n">
        <f aca="false">IF(AND(CEG_Assets!$W$10=1,AG$3&lt;=PTCLast,AG278&gt;0),AG278*MAX(0,PTCCredit*(1+Infl)^(AG$3-PTCBase)-0.8*MAX(0,(AG283+AG284+AG286)*1000000/MAX(1,AG278)-PTCThresh*(1+Infl)^(AG$3-PTCBase)))/1000000,0)</f>
        <v>0</v>
      </c>
      <c r="AH294" s="8" t="n">
        <f aca="false">IF(AND(CEG_Assets!$W$10=1,AH$3&lt;=PTCLast,AH278&gt;0),AH278*MAX(0,PTCCredit*(1+Infl)^(AH$3-PTCBase)-0.8*MAX(0,(AH283+AH284+AH286)*1000000/MAX(1,AH278)-PTCThresh*(1+Infl)^(AH$3-PTCBase)))/1000000,0)</f>
        <v>0</v>
      </c>
      <c r="AI294" s="8" t="n">
        <f aca="false">IF(AND(CEG_Assets!$W$10=1,AI$3&lt;=PTCLast,AI278&gt;0),AI278*MAX(0,PTCCredit*(1+Infl)^(AI$3-PTCBase)-0.8*MAX(0,(AI283+AI284+AI286)*1000000/MAX(1,AI278)-PTCThresh*(1+Infl)^(AI$3-PTCBase)))/1000000,0)</f>
        <v>0</v>
      </c>
      <c r="AJ294" s="8" t="n">
        <f aca="false">IF(AND(CEG_Assets!$W$10=1,AJ$3&lt;=PTCLast,AJ278&gt;0),AJ278*MAX(0,PTCCredit*(1+Infl)^(AJ$3-PTCBase)-0.8*MAX(0,(AJ283+AJ284+AJ286)*1000000/MAX(1,AJ278)-PTCThresh*(1+Infl)^(AJ$3-PTCBase)))/1000000,0)</f>
        <v>0</v>
      </c>
      <c r="AK294" s="8" t="n">
        <f aca="false">IF(AND(CEG_Assets!$W$10=1,AK$3&lt;=PTCLast,AK278&gt;0),AK278*MAX(0,PTCCredit*(1+Infl)^(AK$3-PTCBase)-0.8*MAX(0,(AK283+AK284+AK286)*1000000/MAX(1,AK278)-PTCThresh*(1+Infl)^(AK$3-PTCBase)))/1000000,0)</f>
        <v>0</v>
      </c>
      <c r="AL294" s="8" t="n">
        <f aca="false">IF(AND(CEG_Assets!$W$10=1,AL$3&lt;=PTCLast,AL278&gt;0),AL278*MAX(0,PTCCredit*(1+Infl)^(AL$3-PTCBase)-0.8*MAX(0,(AL283+AL284+AL286)*1000000/MAX(1,AL278)-PTCThresh*(1+Infl)^(AL$3-PTCBase)))/1000000,0)</f>
        <v>0</v>
      </c>
      <c r="AM294" s="8" t="n">
        <f aca="false">IF(AND(CEG_Assets!$W$10=1,AM$3&lt;=PTCLast,AM278&gt;0),AM278*MAX(0,PTCCredit*(1+Infl)^(AM$3-PTCBase)-0.8*MAX(0,(AM283+AM284+AM286)*1000000/MAX(1,AM278)-PTCThresh*(1+Infl)^(AM$3-PTCBase)))/1000000,0)</f>
        <v>0</v>
      </c>
      <c r="AN294" s="8" t="n">
        <f aca="false">IF(AND(CEG_Assets!$W$10=1,AN$3&lt;=PTCLast,AN278&gt;0),AN278*MAX(0,PTCCredit*(1+Infl)^(AN$3-PTCBase)-0.8*MAX(0,(AN283+AN284+AN286)*1000000/MAX(1,AN278)-PTCThresh*(1+Infl)^(AN$3-PTCBase)))/1000000,0)</f>
        <v>0</v>
      </c>
      <c r="AO294" s="8" t="n">
        <f aca="false">IF(AND(CEG_Assets!$W$10=1,AO$3&lt;=PTCLast,AO278&gt;0),AO278*MAX(0,PTCCredit*(1+Infl)^(AO$3-PTCBase)-0.8*MAX(0,(AO283+AO284+AO286)*1000000/MAX(1,AO278)-PTCThresh*(1+Infl)^(AO$3-PTCBase)))/1000000,0)</f>
        <v>0</v>
      </c>
      <c r="AP294" s="8" t="n">
        <f aca="false">IF(AND(CEG_Assets!$W$10=1,AP$3&lt;=PTCLast,AP278&gt;0),AP278*MAX(0,PTCCredit*(1+Infl)^(AP$3-PTCBase)-0.8*MAX(0,(AP283+AP284+AP286)*1000000/MAX(1,AP278)-PTCThresh*(1+Infl)^(AP$3-PTCBase)))/1000000,0)</f>
        <v>0</v>
      </c>
      <c r="AQ294" s="8" t="n">
        <f aca="false">IF(AND(CEG_Assets!$W$10=1,AQ$3&lt;=PTCLast,AQ278&gt;0),AQ278*MAX(0,PTCCredit*(1+Infl)^(AQ$3-PTCBase)-0.8*MAX(0,(AQ283+AQ284+AQ286)*1000000/MAX(1,AQ278)-PTCThresh*(1+Infl)^(AQ$3-PTCBase)))/1000000,0)</f>
        <v>0</v>
      </c>
      <c r="AR294" s="8" t="n">
        <f aca="false">IF(AND(CEG_Assets!$W$10=1,AR$3&lt;=PTCLast,AR278&gt;0),AR278*MAX(0,PTCCredit*(1+Infl)^(AR$3-PTCBase)-0.8*MAX(0,(AR283+AR284+AR286)*1000000/MAX(1,AR278)-PTCThresh*(1+Infl)^(AR$3-PTCBase)))/1000000,0)</f>
        <v>0</v>
      </c>
      <c r="AS294" s="8" t="n">
        <f aca="false">IF(AND(CEG_Assets!$W$10=1,AS$3&lt;=PTCLast,AS278&gt;0),AS278*MAX(0,PTCCredit*(1+Infl)^(AS$3-PTCBase)-0.8*MAX(0,(AS283+AS284+AS286)*1000000/MAX(1,AS278)-PTCThresh*(1+Infl)^(AS$3-PTCBase)))/1000000,0)</f>
        <v>0</v>
      </c>
    </row>
    <row r="295" customFormat="false" ht="15" hidden="false" customHeight="false" outlineLevel="0" collapsed="false">
      <c r="A295" s="6" t="s">
        <v>463</v>
      </c>
      <c r="B295" s="6" t="s">
        <v>464</v>
      </c>
      <c r="G295" s="8" t="n">
        <f aca="false">G285-G279*(CEG_Assets!$N$10*(1+CEG_FuelAdj)+CEG_Assets!$O$10*(1+CEG_OMAdj)+CEG_Assets!$P$10*(1+CEG_CapexAdj))*(1+CEG_Assets!$Q$10)^(G$3-2026)/1000000</f>
        <v>0</v>
      </c>
      <c r="H295" s="8" t="n">
        <f aca="false">H285-H279*(CEG_Assets!$N$10*(1+CEG_FuelAdj)+CEG_Assets!$O$10*(1+CEG_OMAdj)+CEG_Assets!$P$10*(1+CEG_CapexAdj))*(1+CEG_Assets!$Q$10)^(H$3-2026)/1000000</f>
        <v>0</v>
      </c>
      <c r="I295" s="8" t="n">
        <f aca="false">I285-I279*(CEG_Assets!$N$10*(1+CEG_FuelAdj)+CEG_Assets!$O$10*(1+CEG_OMAdj)+CEG_Assets!$P$10*(1+CEG_CapexAdj))*(1+CEG_Assets!$Q$10)^(I$3-2026)/1000000</f>
        <v>0</v>
      </c>
      <c r="J295" s="8" t="n">
        <f aca="false">J285-J279*(CEG_Assets!$N$10*(1+CEG_FuelAdj)+CEG_Assets!$O$10*(1+CEG_OMAdj)+CEG_Assets!$P$10*(1+CEG_CapexAdj))*(1+CEG_Assets!$Q$10)^(J$3-2026)/1000000</f>
        <v>0</v>
      </c>
      <c r="K295" s="8" t="n">
        <f aca="false">K285-K279*(CEG_Assets!$N$10*(1+CEG_FuelAdj)+CEG_Assets!$O$10*(1+CEG_OMAdj)+CEG_Assets!$P$10*(1+CEG_CapexAdj))*(1+CEG_Assets!$Q$10)^(K$3-2026)/1000000</f>
        <v>0</v>
      </c>
      <c r="L295" s="8" t="n">
        <f aca="false">L285-L279*(CEG_Assets!$N$10*(1+CEG_FuelAdj)+CEG_Assets!$O$10*(1+CEG_OMAdj)+CEG_Assets!$P$10*(1+CEG_CapexAdj))*(1+CEG_Assets!$Q$10)^(L$3-2026)/1000000</f>
        <v>0</v>
      </c>
      <c r="M295" s="8" t="n">
        <f aca="false">M285-M279*(CEG_Assets!$N$10*(1+CEG_FuelAdj)+CEG_Assets!$O$10*(1+CEG_OMAdj)+CEG_Assets!$P$10*(1+CEG_CapexAdj))*(1+CEG_Assets!$Q$10)^(M$3-2026)/1000000</f>
        <v>0</v>
      </c>
      <c r="N295" s="8" t="n">
        <f aca="false">N285-N279*(CEG_Assets!$N$10*(1+CEG_FuelAdj)+CEG_Assets!$O$10*(1+CEG_OMAdj)+CEG_Assets!$P$10*(1+CEG_CapexAdj))*(1+CEG_Assets!$Q$10)^(N$3-2026)/1000000</f>
        <v>0</v>
      </c>
      <c r="O295" s="8" t="n">
        <f aca="false">O285-O279*(CEG_Assets!$N$10*(1+CEG_FuelAdj)+CEG_Assets!$O$10*(1+CEG_OMAdj)+CEG_Assets!$P$10*(1+CEG_CapexAdj))*(1+CEG_Assets!$Q$10)^(O$3-2026)/1000000</f>
        <v>0</v>
      </c>
      <c r="P295" s="8" t="n">
        <f aca="false">P285-P279*(CEG_Assets!$N$10*(1+CEG_FuelAdj)+CEG_Assets!$O$10*(1+CEG_OMAdj)+CEG_Assets!$P$10*(1+CEG_CapexAdj))*(1+CEG_Assets!$Q$10)^(P$3-2026)/1000000</f>
        <v>0</v>
      </c>
      <c r="Q295" s="8" t="n">
        <f aca="false">Q285-Q279*(CEG_Assets!$N$10*(1+CEG_FuelAdj)+CEG_Assets!$O$10*(1+CEG_OMAdj)+CEG_Assets!$P$10*(1+CEG_CapexAdj))*(1+CEG_Assets!$Q$10)^(Q$3-2026)/1000000</f>
        <v>0</v>
      </c>
      <c r="R295" s="8" t="n">
        <f aca="false">R285-R279*(CEG_Assets!$N$10*(1+CEG_FuelAdj)+CEG_Assets!$O$10*(1+CEG_OMAdj)+CEG_Assets!$P$10*(1+CEG_CapexAdj))*(1+CEG_Assets!$Q$10)^(R$3-2026)/1000000</f>
        <v>0</v>
      </c>
      <c r="S295" s="8" t="n">
        <f aca="false">S285-S279*(CEG_Assets!$N$10*(1+CEG_FuelAdj)+CEG_Assets!$O$10*(1+CEG_OMAdj)+CEG_Assets!$P$10*(1+CEG_CapexAdj))*(1+CEG_Assets!$Q$10)^(S$3-2026)/1000000</f>
        <v>0</v>
      </c>
      <c r="T295" s="8" t="n">
        <f aca="false">T285-T279*(CEG_Assets!$N$10*(1+CEG_FuelAdj)+CEG_Assets!$O$10*(1+CEG_OMAdj)+CEG_Assets!$P$10*(1+CEG_CapexAdj))*(1+CEG_Assets!$Q$10)^(T$3-2026)/1000000</f>
        <v>0</v>
      </c>
      <c r="U295" s="8" t="n">
        <f aca="false">U285-U279*(CEG_Assets!$N$10*(1+CEG_FuelAdj)+CEG_Assets!$O$10*(1+CEG_OMAdj)+CEG_Assets!$P$10*(1+CEG_CapexAdj))*(1+CEG_Assets!$Q$10)^(U$3-2026)/1000000</f>
        <v>0</v>
      </c>
      <c r="V295" s="8" t="n">
        <f aca="false">V285-V279*(CEG_Assets!$N$10*(1+CEG_FuelAdj)+CEG_Assets!$O$10*(1+CEG_OMAdj)+CEG_Assets!$P$10*(1+CEG_CapexAdj))*(1+CEG_Assets!$Q$10)^(V$3-2026)/1000000</f>
        <v>0</v>
      </c>
      <c r="W295" s="8" t="n">
        <f aca="false">W285-W279*(CEG_Assets!$N$10*(1+CEG_FuelAdj)+CEG_Assets!$O$10*(1+CEG_OMAdj)+CEG_Assets!$P$10*(1+CEG_CapexAdj))*(1+CEG_Assets!$Q$10)^(W$3-2026)/1000000</f>
        <v>0</v>
      </c>
      <c r="X295" s="8" t="n">
        <f aca="false">X285-X279*(CEG_Assets!$N$10*(1+CEG_FuelAdj)+CEG_Assets!$O$10*(1+CEG_OMAdj)+CEG_Assets!$P$10*(1+CEG_CapexAdj))*(1+CEG_Assets!$Q$10)^(X$3-2026)/1000000</f>
        <v>0</v>
      </c>
      <c r="Y295" s="8" t="n">
        <f aca="false">Y285-Y279*(CEG_Assets!$N$10*(1+CEG_FuelAdj)+CEG_Assets!$O$10*(1+CEG_OMAdj)+CEG_Assets!$P$10*(1+CEG_CapexAdj))*(1+CEG_Assets!$Q$10)^(Y$3-2026)/1000000</f>
        <v>0</v>
      </c>
      <c r="Z295" s="8" t="n">
        <f aca="false">Z285-Z279*(CEG_Assets!$N$10*(1+CEG_FuelAdj)+CEG_Assets!$O$10*(1+CEG_OMAdj)+CEG_Assets!$P$10*(1+CEG_CapexAdj))*(1+CEG_Assets!$Q$10)^(Z$3-2026)/1000000</f>
        <v>0</v>
      </c>
      <c r="AA295" s="8" t="n">
        <f aca="false">AA285-AA279*(CEG_Assets!$N$10*(1+CEG_FuelAdj)+CEG_Assets!$O$10*(1+CEG_OMAdj)+CEG_Assets!$P$10*(1+CEG_CapexAdj))*(1+CEG_Assets!$Q$10)^(AA$3-2026)/1000000</f>
        <v>0</v>
      </c>
      <c r="AB295" s="8" t="n">
        <f aca="false">AB285-AB279*(CEG_Assets!$N$10*(1+CEG_FuelAdj)+CEG_Assets!$O$10*(1+CEG_OMAdj)+CEG_Assets!$P$10*(1+CEG_CapexAdj))*(1+CEG_Assets!$Q$10)^(AB$3-2026)/1000000</f>
        <v>0</v>
      </c>
      <c r="AC295" s="8" t="n">
        <f aca="false">AC285-AC279*(CEG_Assets!$N$10*(1+CEG_FuelAdj)+CEG_Assets!$O$10*(1+CEG_OMAdj)+CEG_Assets!$P$10*(1+CEG_CapexAdj))*(1+CEG_Assets!$Q$10)^(AC$3-2026)/1000000</f>
        <v>0</v>
      </c>
      <c r="AD295" s="8" t="n">
        <f aca="false">AD285-AD279*(CEG_Assets!$N$10*(1+CEG_FuelAdj)+CEG_Assets!$O$10*(1+CEG_OMAdj)+CEG_Assets!$P$10*(1+CEG_CapexAdj))*(1+CEG_Assets!$Q$10)^(AD$3-2026)/1000000</f>
        <v>0</v>
      </c>
      <c r="AE295" s="8" t="n">
        <f aca="false">AE285-AE279*(CEG_Assets!$N$10*(1+CEG_FuelAdj)+CEG_Assets!$O$10*(1+CEG_OMAdj)+CEG_Assets!$P$10*(1+CEG_CapexAdj))*(1+CEG_Assets!$Q$10)^(AE$3-2026)/1000000</f>
        <v>0</v>
      </c>
      <c r="AF295" s="8" t="n">
        <f aca="false">AF285-AF279*(CEG_Assets!$N$10*(1+CEG_FuelAdj)+CEG_Assets!$O$10*(1+CEG_OMAdj)+CEG_Assets!$P$10*(1+CEG_CapexAdj))*(1+CEG_Assets!$Q$10)^(AF$3-2026)/1000000</f>
        <v>0</v>
      </c>
      <c r="AG295" s="8" t="n">
        <f aca="false">AG285-AG279*(CEG_Assets!$N$10*(1+CEG_FuelAdj)+CEG_Assets!$O$10*(1+CEG_OMAdj)+CEG_Assets!$P$10*(1+CEG_CapexAdj))*(1+CEG_Assets!$Q$10)^(AG$3-2026)/1000000</f>
        <v>0</v>
      </c>
      <c r="AH295" s="8" t="n">
        <f aca="false">AH285-AH279*(CEG_Assets!$N$10*(1+CEG_FuelAdj)+CEG_Assets!$O$10*(1+CEG_OMAdj)+CEG_Assets!$P$10*(1+CEG_CapexAdj))*(1+CEG_Assets!$Q$10)^(AH$3-2026)/1000000</f>
        <v>0</v>
      </c>
      <c r="AI295" s="8" t="n">
        <f aca="false">AI285-AI279*(CEG_Assets!$N$10*(1+CEG_FuelAdj)+CEG_Assets!$O$10*(1+CEG_OMAdj)+CEG_Assets!$P$10*(1+CEG_CapexAdj))*(1+CEG_Assets!$Q$10)^(AI$3-2026)/1000000</f>
        <v>0</v>
      </c>
      <c r="AJ295" s="8" t="n">
        <f aca="false">AJ285-AJ279*(CEG_Assets!$N$10*(1+CEG_FuelAdj)+CEG_Assets!$O$10*(1+CEG_OMAdj)+CEG_Assets!$P$10*(1+CEG_CapexAdj))*(1+CEG_Assets!$Q$10)^(AJ$3-2026)/1000000</f>
        <v>0</v>
      </c>
      <c r="AK295" s="8" t="n">
        <f aca="false">AK285-AK279*(CEG_Assets!$N$10*(1+CEG_FuelAdj)+CEG_Assets!$O$10*(1+CEG_OMAdj)+CEG_Assets!$P$10*(1+CEG_CapexAdj))*(1+CEG_Assets!$Q$10)^(AK$3-2026)/1000000</f>
        <v>0</v>
      </c>
      <c r="AL295" s="8" t="n">
        <f aca="false">AL285-AL279*(CEG_Assets!$N$10*(1+CEG_FuelAdj)+CEG_Assets!$O$10*(1+CEG_OMAdj)+CEG_Assets!$P$10*(1+CEG_CapexAdj))*(1+CEG_Assets!$Q$10)^(AL$3-2026)/1000000</f>
        <v>0</v>
      </c>
      <c r="AM295" s="8" t="n">
        <f aca="false">AM285-AM279*(CEG_Assets!$N$10*(1+CEG_FuelAdj)+CEG_Assets!$O$10*(1+CEG_OMAdj)+CEG_Assets!$P$10*(1+CEG_CapexAdj))*(1+CEG_Assets!$Q$10)^(AM$3-2026)/1000000</f>
        <v>0</v>
      </c>
      <c r="AN295" s="8" t="n">
        <f aca="false">AN285-AN279*(CEG_Assets!$N$10*(1+CEG_FuelAdj)+CEG_Assets!$O$10*(1+CEG_OMAdj)+CEG_Assets!$P$10*(1+CEG_CapexAdj))*(1+CEG_Assets!$Q$10)^(AN$3-2026)/1000000</f>
        <v>0</v>
      </c>
      <c r="AO295" s="8" t="n">
        <f aca="false">AO285-AO279*(CEG_Assets!$N$10*(1+CEG_FuelAdj)+CEG_Assets!$O$10*(1+CEG_OMAdj)+CEG_Assets!$P$10*(1+CEG_CapexAdj))*(1+CEG_Assets!$Q$10)^(AO$3-2026)/1000000</f>
        <v>0</v>
      </c>
      <c r="AP295" s="8" t="n">
        <f aca="false">AP285-AP279*(CEG_Assets!$N$10*(1+CEG_FuelAdj)+CEG_Assets!$O$10*(1+CEG_OMAdj)+CEG_Assets!$P$10*(1+CEG_CapexAdj))*(1+CEG_Assets!$Q$10)^(AP$3-2026)/1000000</f>
        <v>0</v>
      </c>
      <c r="AQ295" s="8" t="n">
        <f aca="false">AQ285-AQ279*(CEG_Assets!$N$10*(1+CEG_FuelAdj)+CEG_Assets!$O$10*(1+CEG_OMAdj)+CEG_Assets!$P$10*(1+CEG_CapexAdj))*(1+CEG_Assets!$Q$10)^(AQ$3-2026)/1000000</f>
        <v>0</v>
      </c>
      <c r="AR295" s="8" t="n">
        <f aca="false">AR285-AR279*(CEG_Assets!$N$10*(1+CEG_FuelAdj)+CEG_Assets!$O$10*(1+CEG_OMAdj)+CEG_Assets!$P$10*(1+CEG_CapexAdj))*(1+CEG_Assets!$Q$10)^(AR$3-2026)/1000000</f>
        <v>0</v>
      </c>
      <c r="AS295" s="8" t="n">
        <f aca="false">AS285-AS279*(CEG_Assets!$N$10*(1+CEG_FuelAdj)+CEG_Assets!$O$10*(1+CEG_OMAdj)+CEG_Assets!$P$10*(1+CEG_CapexAdj))*(1+CEG_Assets!$Q$10)^(AS$3-2026)/1000000</f>
        <v>0</v>
      </c>
    </row>
    <row r="296" customFormat="false" ht="15" hidden="false" customHeight="false" outlineLevel="0" collapsed="false">
      <c r="A296" s="6" t="s">
        <v>465</v>
      </c>
      <c r="B296" s="6" t="s">
        <v>466</v>
      </c>
      <c r="G296" s="8" t="n">
        <f aca="false">G293-G295</f>
        <v>179.20542552</v>
      </c>
      <c r="H296" s="8" t="n">
        <f aca="false">H293-H295</f>
        <v>196.3531676304</v>
      </c>
      <c r="I296" s="8" t="n">
        <f aca="false">I293-I295</f>
        <v>198.95053479048</v>
      </c>
      <c r="J296" s="8" t="n">
        <f aca="false">J293-J295</f>
        <v>210.480829933144</v>
      </c>
      <c r="K296" s="8" t="n">
        <f aca="false">K293-K295</f>
        <v>214.690446531807</v>
      </c>
      <c r="L296" s="8" t="n">
        <f aca="false">L293-L295</f>
        <v>218.984255462443</v>
      </c>
      <c r="M296" s="8" t="n">
        <f aca="false">M293-M295</f>
        <v>223.363940571692</v>
      </c>
      <c r="N296" s="8" t="n">
        <f aca="false">N293-N295</f>
        <v>227.831219383126</v>
      </c>
      <c r="O296" s="8" t="n">
        <f aca="false">O293-O295</f>
        <v>232.387843770789</v>
      </c>
      <c r="P296" s="8" t="n">
        <f aca="false">P293-P295</f>
        <v>237.035600646204</v>
      </c>
      <c r="Q296" s="8" t="n">
        <f aca="false">Q293-Q295</f>
        <v>241.776312659129</v>
      </c>
      <c r="R296" s="8" t="n">
        <f aca="false">R293-R295</f>
        <v>246.611838912311</v>
      </c>
      <c r="S296" s="8" t="n">
        <f aca="false">S293-S295</f>
        <v>251.544075690557</v>
      </c>
      <c r="T296" s="8" t="n">
        <f aca="false">T293-T295</f>
        <v>256.574957204369</v>
      </c>
      <c r="U296" s="8" t="n">
        <f aca="false">U293-U295</f>
        <v>261.706456348456</v>
      </c>
      <c r="V296" s="8" t="n">
        <f aca="false">V293-V295</f>
        <v>266.940585475425</v>
      </c>
      <c r="W296" s="8" t="n">
        <f aca="false">W293-W295</f>
        <v>272.279397184934</v>
      </c>
      <c r="X296" s="8" t="n">
        <f aca="false">X293-X295</f>
        <v>277.724985128632</v>
      </c>
      <c r="Y296" s="8" t="n">
        <f aca="false">Y293-Y295</f>
        <v>283.279484831205</v>
      </c>
      <c r="Z296" s="8" t="n">
        <f aca="false">Z293-Z295</f>
        <v>288.945074527829</v>
      </c>
      <c r="AA296" s="8" t="n">
        <f aca="false">AA293-AA295</f>
        <v>294.723976018385</v>
      </c>
      <c r="AB296" s="8" t="n">
        <f aca="false">AB293-AB295</f>
        <v>300.618455538753</v>
      </c>
      <c r="AC296" s="8" t="n">
        <f aca="false">AC293-AC295</f>
        <v>306.630824649528</v>
      </c>
      <c r="AD296" s="8" t="n">
        <f aca="false">AD293-AD295</f>
        <v>312.763441142519</v>
      </c>
      <c r="AE296" s="8" t="n">
        <f aca="false">AE293-AE295</f>
        <v>0</v>
      </c>
      <c r="AF296" s="8" t="n">
        <f aca="false">AF293-AF295</f>
        <v>0</v>
      </c>
      <c r="AG296" s="8" t="n">
        <f aca="false">AG293-AG295</f>
        <v>0</v>
      </c>
      <c r="AH296" s="8" t="n">
        <f aca="false">AH293-AH295</f>
        <v>0</v>
      </c>
      <c r="AI296" s="8" t="n">
        <f aca="false">AI293-AI295</f>
        <v>0</v>
      </c>
      <c r="AJ296" s="8" t="n">
        <f aca="false">AJ293-AJ295</f>
        <v>0</v>
      </c>
      <c r="AK296" s="8" t="n">
        <f aca="false">AK293-AK295</f>
        <v>0</v>
      </c>
      <c r="AL296" s="8" t="n">
        <f aca="false">AL293-AL295</f>
        <v>0</v>
      </c>
      <c r="AM296" s="8" t="n">
        <f aca="false">AM293-AM295</f>
        <v>0</v>
      </c>
      <c r="AN296" s="8" t="n">
        <f aca="false">AN293-AN295</f>
        <v>0</v>
      </c>
      <c r="AO296" s="8" t="n">
        <f aca="false">AO293-AO295</f>
        <v>0</v>
      </c>
      <c r="AP296" s="8" t="n">
        <f aca="false">AP293-AP295</f>
        <v>0</v>
      </c>
      <c r="AQ296" s="8" t="n">
        <f aca="false">AQ293-AQ295</f>
        <v>0</v>
      </c>
      <c r="AR296" s="8" t="n">
        <f aca="false">AR293-AR295</f>
        <v>0</v>
      </c>
      <c r="AS296" s="8" t="n">
        <f aca="false">AS293-AS295</f>
        <v>0</v>
      </c>
    </row>
    <row r="297" customFormat="false" ht="15" hidden="false" customHeight="false" outlineLevel="0" collapsed="false">
      <c r="A297" s="6" t="s">
        <v>467</v>
      </c>
      <c r="B297" s="6" t="s">
        <v>468</v>
      </c>
      <c r="G297" s="8" t="n">
        <f aca="false">G296*(1-TaxRate)+G294</f>
        <v>143.364340416</v>
      </c>
      <c r="H297" s="8" t="n">
        <f aca="false">H296*(1-TaxRate)+H294</f>
        <v>157.08253410432</v>
      </c>
      <c r="I297" s="8" t="n">
        <f aca="false">I296*(1-TaxRate)+I294</f>
        <v>159.160427832384</v>
      </c>
      <c r="J297" s="8" t="n">
        <f aca="false">J296*(1-TaxRate)+J294</f>
        <v>168.384663946516</v>
      </c>
      <c r="K297" s="8" t="n">
        <f aca="false">K296*(1-TaxRate)+K294</f>
        <v>171.752357225446</v>
      </c>
      <c r="L297" s="8" t="n">
        <f aca="false">L296*(1-TaxRate)+L294</f>
        <v>175.187404369955</v>
      </c>
      <c r="M297" s="8" t="n">
        <f aca="false">M296*(1-TaxRate)+M294</f>
        <v>178.691152457354</v>
      </c>
      <c r="N297" s="8" t="n">
        <f aca="false">N296*(1-TaxRate)+N294</f>
        <v>182.264975506501</v>
      </c>
      <c r="O297" s="8" t="n">
        <f aca="false">O296*(1-TaxRate)+O294</f>
        <v>185.910275016631</v>
      </c>
      <c r="P297" s="8" t="n">
        <f aca="false">P296*(1-TaxRate)+P294</f>
        <v>189.628480516964</v>
      </c>
      <c r="Q297" s="8" t="n">
        <f aca="false">Q296*(1-TaxRate)+Q294</f>
        <v>193.421050127303</v>
      </c>
      <c r="R297" s="8" t="n">
        <f aca="false">R296*(1-TaxRate)+R294</f>
        <v>197.289471129849</v>
      </c>
      <c r="S297" s="8" t="n">
        <f aca="false">S296*(1-TaxRate)+S294</f>
        <v>201.235260552446</v>
      </c>
      <c r="T297" s="8" t="n">
        <f aca="false">T296*(1-TaxRate)+T294</f>
        <v>205.259965763495</v>
      </c>
      <c r="U297" s="8" t="n">
        <f aca="false">U296*(1-TaxRate)+U294</f>
        <v>209.365165078765</v>
      </c>
      <c r="V297" s="8" t="n">
        <f aca="false">V296*(1-TaxRate)+V294</f>
        <v>213.55246838034</v>
      </c>
      <c r="W297" s="8" t="n">
        <f aca="false">W296*(1-TaxRate)+W294</f>
        <v>217.823517747947</v>
      </c>
      <c r="X297" s="8" t="n">
        <f aca="false">X296*(1-TaxRate)+X294</f>
        <v>222.179988102906</v>
      </c>
      <c r="Y297" s="8" t="n">
        <f aca="false">Y296*(1-TaxRate)+Y294</f>
        <v>226.623587864964</v>
      </c>
      <c r="Z297" s="8" t="n">
        <f aca="false">Z296*(1-TaxRate)+Z294</f>
        <v>231.156059622263</v>
      </c>
      <c r="AA297" s="8" t="n">
        <f aca="false">AA296*(1-TaxRate)+AA294</f>
        <v>235.779180814708</v>
      </c>
      <c r="AB297" s="8" t="n">
        <f aca="false">AB296*(1-TaxRate)+AB294</f>
        <v>240.494764431003</v>
      </c>
      <c r="AC297" s="8" t="n">
        <f aca="false">AC296*(1-TaxRate)+AC294</f>
        <v>245.304659719623</v>
      </c>
      <c r="AD297" s="8" t="n">
        <f aca="false">AD296*(1-TaxRate)+AD294</f>
        <v>250.210752914015</v>
      </c>
      <c r="AE297" s="8" t="n">
        <f aca="false">AE296*(1-TaxRate)+AE294</f>
        <v>0</v>
      </c>
      <c r="AF297" s="8" t="n">
        <f aca="false">AF296*(1-TaxRate)+AF294</f>
        <v>0</v>
      </c>
      <c r="AG297" s="8" t="n">
        <f aca="false">AG296*(1-TaxRate)+AG294</f>
        <v>0</v>
      </c>
      <c r="AH297" s="8" t="n">
        <f aca="false">AH296*(1-TaxRate)+AH294</f>
        <v>0</v>
      </c>
      <c r="AI297" s="8" t="n">
        <f aca="false">AI296*(1-TaxRate)+AI294</f>
        <v>0</v>
      </c>
      <c r="AJ297" s="8" t="n">
        <f aca="false">AJ296*(1-TaxRate)+AJ294</f>
        <v>0</v>
      </c>
      <c r="AK297" s="8" t="n">
        <f aca="false">AK296*(1-TaxRate)+AK294</f>
        <v>0</v>
      </c>
      <c r="AL297" s="8" t="n">
        <f aca="false">AL296*(1-TaxRate)+AL294</f>
        <v>0</v>
      </c>
      <c r="AM297" s="8" t="n">
        <f aca="false">AM296*(1-TaxRate)+AM294</f>
        <v>0</v>
      </c>
      <c r="AN297" s="8" t="n">
        <f aca="false">AN296*(1-TaxRate)+AN294</f>
        <v>0</v>
      </c>
      <c r="AO297" s="8" t="n">
        <f aca="false">AO296*(1-TaxRate)+AO294</f>
        <v>0</v>
      </c>
      <c r="AP297" s="8" t="n">
        <f aca="false">AP296*(1-TaxRate)+AP294</f>
        <v>0</v>
      </c>
      <c r="AQ297" s="8" t="n">
        <f aca="false">AQ296*(1-TaxRate)+AQ294</f>
        <v>0</v>
      </c>
      <c r="AR297" s="8" t="n">
        <f aca="false">AR296*(1-TaxRate)+AR294</f>
        <v>0</v>
      </c>
      <c r="AS297" s="8" t="n">
        <f aca="false">AS296*(1-TaxRate)+AS294</f>
        <v>0</v>
      </c>
    </row>
    <row r="298" customFormat="false" ht="15" hidden="false" customHeight="false" outlineLevel="0" collapsed="false">
      <c r="A298" s="6" t="s">
        <v>469</v>
      </c>
      <c r="B298" s="6" t="s">
        <v>470</v>
      </c>
      <c r="G298" s="8" t="n">
        <f aca="false">G295*(1-TaxRate)</f>
        <v>0</v>
      </c>
      <c r="H298" s="8" t="n">
        <f aca="false">H295*(1-TaxRate)</f>
        <v>0</v>
      </c>
      <c r="I298" s="8" t="n">
        <f aca="false">I295*(1-TaxRate)</f>
        <v>0</v>
      </c>
      <c r="J298" s="8" t="n">
        <f aca="false">J295*(1-TaxRate)</f>
        <v>0</v>
      </c>
      <c r="K298" s="8" t="n">
        <f aca="false">K295*(1-TaxRate)</f>
        <v>0</v>
      </c>
      <c r="L298" s="8" t="n">
        <f aca="false">L295*(1-TaxRate)</f>
        <v>0</v>
      </c>
      <c r="M298" s="8" t="n">
        <f aca="false">M295*(1-TaxRate)</f>
        <v>0</v>
      </c>
      <c r="N298" s="8" t="n">
        <f aca="false">N295*(1-TaxRate)</f>
        <v>0</v>
      </c>
      <c r="O298" s="8" t="n">
        <f aca="false">O295*(1-TaxRate)</f>
        <v>0</v>
      </c>
      <c r="P298" s="8" t="n">
        <f aca="false">P295*(1-TaxRate)</f>
        <v>0</v>
      </c>
      <c r="Q298" s="8" t="n">
        <f aca="false">Q295*(1-TaxRate)</f>
        <v>0</v>
      </c>
      <c r="R298" s="8" t="n">
        <f aca="false">R295*(1-TaxRate)</f>
        <v>0</v>
      </c>
      <c r="S298" s="8" t="n">
        <f aca="false">S295*(1-TaxRate)</f>
        <v>0</v>
      </c>
      <c r="T298" s="8" t="n">
        <f aca="false">T295*(1-TaxRate)</f>
        <v>0</v>
      </c>
      <c r="U298" s="8" t="n">
        <f aca="false">U295*(1-TaxRate)</f>
        <v>0</v>
      </c>
      <c r="V298" s="8" t="n">
        <f aca="false">V295*(1-TaxRate)</f>
        <v>0</v>
      </c>
      <c r="W298" s="8" t="n">
        <f aca="false">W295*(1-TaxRate)</f>
        <v>0</v>
      </c>
      <c r="X298" s="8" t="n">
        <f aca="false">X295*(1-TaxRate)</f>
        <v>0</v>
      </c>
      <c r="Y298" s="8" t="n">
        <f aca="false">Y295*(1-TaxRate)</f>
        <v>0</v>
      </c>
      <c r="Z298" s="8" t="n">
        <f aca="false">Z295*(1-TaxRate)</f>
        <v>0</v>
      </c>
      <c r="AA298" s="8" t="n">
        <f aca="false">AA295*(1-TaxRate)</f>
        <v>0</v>
      </c>
      <c r="AB298" s="8" t="n">
        <f aca="false">AB295*(1-TaxRate)</f>
        <v>0</v>
      </c>
      <c r="AC298" s="8" t="n">
        <f aca="false">AC295*(1-TaxRate)</f>
        <v>0</v>
      </c>
      <c r="AD298" s="8" t="n">
        <f aca="false">AD295*(1-TaxRate)</f>
        <v>0</v>
      </c>
      <c r="AE298" s="8" t="n">
        <f aca="false">AE295*(1-TaxRate)</f>
        <v>0</v>
      </c>
      <c r="AF298" s="8" t="n">
        <f aca="false">AF295*(1-TaxRate)</f>
        <v>0</v>
      </c>
      <c r="AG298" s="8" t="n">
        <f aca="false">AG295*(1-TaxRate)</f>
        <v>0</v>
      </c>
      <c r="AH298" s="8" t="n">
        <f aca="false">AH295*(1-TaxRate)</f>
        <v>0</v>
      </c>
      <c r="AI298" s="8" t="n">
        <f aca="false">AI295*(1-TaxRate)</f>
        <v>0</v>
      </c>
      <c r="AJ298" s="8" t="n">
        <f aca="false">AJ295*(1-TaxRate)</f>
        <v>0</v>
      </c>
      <c r="AK298" s="8" t="n">
        <f aca="false">AK295*(1-TaxRate)</f>
        <v>0</v>
      </c>
      <c r="AL298" s="8" t="n">
        <f aca="false">AL295*(1-TaxRate)</f>
        <v>0</v>
      </c>
      <c r="AM298" s="8" t="n">
        <f aca="false">AM295*(1-TaxRate)</f>
        <v>0</v>
      </c>
      <c r="AN298" s="8" t="n">
        <f aca="false">AN295*(1-TaxRate)</f>
        <v>0</v>
      </c>
      <c r="AO298" s="8" t="n">
        <f aca="false">AO295*(1-TaxRate)</f>
        <v>0</v>
      </c>
      <c r="AP298" s="8" t="n">
        <f aca="false">AP295*(1-TaxRate)</f>
        <v>0</v>
      </c>
      <c r="AQ298" s="8" t="n">
        <f aca="false">AQ295*(1-TaxRate)</f>
        <v>0</v>
      </c>
      <c r="AR298" s="8" t="n">
        <f aca="false">AR295*(1-TaxRate)</f>
        <v>0</v>
      </c>
      <c r="AS298" s="8" t="n">
        <f aca="false">AS295*(1-TaxRate)</f>
        <v>0</v>
      </c>
    </row>
    <row r="299" customFormat="false" ht="15" hidden="false" customHeight="false" outlineLevel="0" collapsed="false">
      <c r="A299" s="6" t="s">
        <v>471</v>
      </c>
      <c r="B299" s="6" t="s">
        <v>472</v>
      </c>
      <c r="G299" s="42" t="n">
        <f aca="false">(1+CEG_Assets!$AE$10)^-(G$3+0.5-ValDate)</f>
        <v>0.934199026996437</v>
      </c>
      <c r="H299" s="42" t="n">
        <f aca="false">(1+CEG_Assets!$AE$10)^-(H$3+0.5-ValDate)</f>
        <v>0.853149796343778</v>
      </c>
      <c r="I299" s="42" t="n">
        <f aca="false">(1+CEG_Assets!$AE$10)^-(I$3+0.5-ValDate)</f>
        <v>0.779132234103907</v>
      </c>
      <c r="J299" s="42" t="n">
        <f aca="false">(1+CEG_Assets!$AE$10)^-(J$3+0.5-ValDate)</f>
        <v>0.711536286852883</v>
      </c>
      <c r="K299" s="42" t="n">
        <f aca="false">(1+CEG_Assets!$AE$10)^-(K$3+0.5-ValDate)</f>
        <v>0.649804828176149</v>
      </c>
      <c r="L299" s="42" t="n">
        <f aca="false">(1+CEG_Assets!$AE$10)^-(L$3+0.5-ValDate)</f>
        <v>0.593429066827533</v>
      </c>
      <c r="M299" s="42" t="n">
        <f aca="false">(1+CEG_Assets!$AE$10)^-(M$3+0.5-ValDate)</f>
        <v>0.541944353267154</v>
      </c>
      <c r="N299" s="42" t="n">
        <f aca="false">(1+CEG_Assets!$AE$10)^-(N$3+0.5-ValDate)</f>
        <v>0.494926350015666</v>
      </c>
      <c r="O299" s="42" t="n">
        <f aca="false">(1+CEG_Assets!$AE$10)^-(O$3+0.5-ValDate)</f>
        <v>0.451987534260882</v>
      </c>
      <c r="P299" s="42" t="n">
        <f aca="false">(1+CEG_Assets!$AE$10)^-(P$3+0.5-ValDate)</f>
        <v>0.412774003891216</v>
      </c>
      <c r="Q299" s="42" t="n">
        <f aca="false">(1+CEG_Assets!$AE$10)^-(Q$3+0.5-ValDate)</f>
        <v>0.376962560631248</v>
      </c>
      <c r="R299" s="42" t="n">
        <f aca="false">(1+CEG_Assets!$AE$10)^-(R$3+0.5-ValDate)</f>
        <v>0.344258046238582</v>
      </c>
      <c r="S299" s="42" t="n">
        <f aca="false">(1+CEG_Assets!$AE$10)^-(S$3+0.5-ValDate)</f>
        <v>0.314390909806925</v>
      </c>
      <c r="T299" s="42" t="n">
        <f aca="false">(1+CEG_Assets!$AE$10)^-(T$3+0.5-ValDate)</f>
        <v>0.287114986125045</v>
      </c>
      <c r="U299" s="42" t="n">
        <f aca="false">(1+CEG_Assets!$AE$10)^-(U$3+0.5-ValDate)</f>
        <v>0.262205466780863</v>
      </c>
      <c r="V299" s="42" t="n">
        <f aca="false">(1+CEG_Assets!$AE$10)^-(V$3+0.5-ValDate)</f>
        <v>0.23945704728846</v>
      </c>
      <c r="W299" s="42" t="n">
        <f aca="false">(1+CEG_Assets!$AE$10)^-(W$3+0.5-ValDate)</f>
        <v>0.21868223496663</v>
      </c>
      <c r="X299" s="42" t="n">
        <f aca="false">(1+CEG_Assets!$AE$10)^-(X$3+0.5-ValDate)</f>
        <v>0.199709803622493</v>
      </c>
      <c r="Y299" s="42" t="n">
        <f aca="false">(1+CEG_Assets!$AE$10)^-(Y$3+0.5-ValDate)</f>
        <v>0.182383382303647</v>
      </c>
      <c r="Z299" s="42" t="n">
        <f aca="false">(1+CEG_Assets!$AE$10)^-(Z$3+0.5-ValDate)</f>
        <v>0.166560166487348</v>
      </c>
      <c r="AA299" s="42" t="n">
        <f aca="false">(1+CEG_Assets!$AE$10)^-(AA$3+0.5-ValDate)</f>
        <v>0.152109741084336</v>
      </c>
      <c r="AB299" s="42" t="n">
        <f aca="false">(1+CEG_Assets!$AE$10)^-(AB$3+0.5-ValDate)</f>
        <v>0.138913005556472</v>
      </c>
      <c r="AC299" s="42" t="n">
        <f aca="false">(1+CEG_Assets!$AE$10)^-(AC$3+0.5-ValDate)</f>
        <v>0.126861192289015</v>
      </c>
      <c r="AD299" s="42" t="n">
        <f aca="false">(1+CEG_Assets!$AE$10)^-(AD$3+0.5-ValDate)</f>
        <v>0.115854970126955</v>
      </c>
      <c r="AE299" s="42" t="n">
        <f aca="false">(1+CEG_Assets!$AE$10)^-(AE$3+0.5-ValDate)</f>
        <v>0.105803625686716</v>
      </c>
      <c r="AF299" s="42" t="n">
        <f aca="false">(1+CEG_Assets!$AE$10)^-(AF$3+0.5-ValDate)</f>
        <v>0.0966243156956315</v>
      </c>
      <c r="AG299" s="42" t="n">
        <f aca="false">(1+CEG_Assets!$AE$10)^-(AG$3+0.5-ValDate)</f>
        <v>0.0882413841969238</v>
      </c>
      <c r="AH299" s="42" t="n">
        <f aca="false">(1+CEG_Assets!$AE$10)^-(AH$3+0.5-ValDate)</f>
        <v>0.0805857389926244</v>
      </c>
      <c r="AI299" s="42" t="n">
        <f aca="false">(1+CEG_Assets!$AE$10)^-(AI$3+0.5-ValDate)</f>
        <v>0.0735942821850451</v>
      </c>
      <c r="AJ299" s="42" t="n">
        <f aca="false">(1+CEG_Assets!$AE$10)^-(AJ$3+0.5-ValDate)</f>
        <v>0.0672093901233289</v>
      </c>
      <c r="AK299" s="42" t="n">
        <f aca="false">(1+CEG_Assets!$AE$10)^-(AK$3+0.5-ValDate)</f>
        <v>0.0613784384687935</v>
      </c>
      <c r="AL299" s="42" t="n">
        <f aca="false">(1+CEG_Assets!$AE$10)^-(AL$3+0.5-ValDate)</f>
        <v>0.0560533684646516</v>
      </c>
      <c r="AM299" s="42" t="n">
        <f aca="false">(1+CEG_Assets!$AE$10)^-(AM$3+0.5-ValDate)</f>
        <v>0.0511902908352983</v>
      </c>
      <c r="AN299" s="42" t="n">
        <f aca="false">(1+CEG_Assets!$AE$10)^-(AN$3+0.5-ValDate)</f>
        <v>0.0467491240505007</v>
      </c>
      <c r="AO299" s="42" t="n">
        <f aca="false">(1+CEG_Assets!$AE$10)^-(AO$3+0.5-ValDate)</f>
        <v>0.04269326397306</v>
      </c>
      <c r="AP299" s="42" t="n">
        <f aca="false">(1+CEG_Assets!$AE$10)^-(AP$3+0.5-ValDate)</f>
        <v>0.0389892821671781</v>
      </c>
      <c r="AQ299" s="42" t="n">
        <f aca="false">(1+CEG_Assets!$AE$10)^-(AQ$3+0.5-ValDate)</f>
        <v>0.0356066503809846</v>
      </c>
      <c r="AR299" s="42" t="n">
        <f aca="false">(1+CEG_Assets!$AE$10)^-(AR$3+0.5-ValDate)</f>
        <v>0.032517488932406</v>
      </c>
      <c r="AS299" s="42" t="n">
        <f aca="false">(1+CEG_Assets!$AE$10)^-(AS$3+0.5-ValDate)</f>
        <v>0.0296963369245717</v>
      </c>
    </row>
    <row r="300" customFormat="false" ht="15" hidden="false" customHeight="false" outlineLevel="0" collapsed="false">
      <c r="A300" s="6" t="s">
        <v>473</v>
      </c>
      <c r="B300" s="6" t="s">
        <v>474</v>
      </c>
      <c r="G300" s="42" t="n">
        <f aca="false">(1+CEG_Assets!$AF$10)^-(G$3+0.5-ValDate)</f>
        <v>0.934199026996437</v>
      </c>
      <c r="H300" s="42" t="n">
        <f aca="false">(1+CEG_Assets!$AF$10)^-(H$3+0.5-ValDate)</f>
        <v>0.853149796343778</v>
      </c>
      <c r="I300" s="42" t="n">
        <f aca="false">(1+CEG_Assets!$AF$10)^-(I$3+0.5-ValDate)</f>
        <v>0.779132234103907</v>
      </c>
      <c r="J300" s="42" t="n">
        <f aca="false">(1+CEG_Assets!$AF$10)^-(J$3+0.5-ValDate)</f>
        <v>0.711536286852883</v>
      </c>
      <c r="K300" s="42" t="n">
        <f aca="false">(1+CEG_Assets!$AF$10)^-(K$3+0.5-ValDate)</f>
        <v>0.649804828176149</v>
      </c>
      <c r="L300" s="42" t="n">
        <f aca="false">(1+CEG_Assets!$AF$10)^-(L$3+0.5-ValDate)</f>
        <v>0.593429066827533</v>
      </c>
      <c r="M300" s="42" t="n">
        <f aca="false">(1+CEG_Assets!$AF$10)^-(M$3+0.5-ValDate)</f>
        <v>0.541944353267154</v>
      </c>
      <c r="N300" s="42" t="n">
        <f aca="false">(1+CEG_Assets!$AF$10)^-(N$3+0.5-ValDate)</f>
        <v>0.494926350015666</v>
      </c>
      <c r="O300" s="42" t="n">
        <f aca="false">(1+CEG_Assets!$AF$10)^-(O$3+0.5-ValDate)</f>
        <v>0.451987534260882</v>
      </c>
      <c r="P300" s="42" t="n">
        <f aca="false">(1+CEG_Assets!$AF$10)^-(P$3+0.5-ValDate)</f>
        <v>0.412774003891216</v>
      </c>
      <c r="Q300" s="42" t="n">
        <f aca="false">(1+CEG_Assets!$AF$10)^-(Q$3+0.5-ValDate)</f>
        <v>0.376962560631248</v>
      </c>
      <c r="R300" s="42" t="n">
        <f aca="false">(1+CEG_Assets!$AF$10)^-(R$3+0.5-ValDate)</f>
        <v>0.344258046238582</v>
      </c>
      <c r="S300" s="42" t="n">
        <f aca="false">(1+CEG_Assets!$AF$10)^-(S$3+0.5-ValDate)</f>
        <v>0.314390909806925</v>
      </c>
      <c r="T300" s="42" t="n">
        <f aca="false">(1+CEG_Assets!$AF$10)^-(T$3+0.5-ValDate)</f>
        <v>0.287114986125045</v>
      </c>
      <c r="U300" s="42" t="n">
        <f aca="false">(1+CEG_Assets!$AF$10)^-(U$3+0.5-ValDate)</f>
        <v>0.262205466780863</v>
      </c>
      <c r="V300" s="42" t="n">
        <f aca="false">(1+CEG_Assets!$AF$10)^-(V$3+0.5-ValDate)</f>
        <v>0.23945704728846</v>
      </c>
      <c r="W300" s="42" t="n">
        <f aca="false">(1+CEG_Assets!$AF$10)^-(W$3+0.5-ValDate)</f>
        <v>0.21868223496663</v>
      </c>
      <c r="X300" s="42" t="n">
        <f aca="false">(1+CEG_Assets!$AF$10)^-(X$3+0.5-ValDate)</f>
        <v>0.199709803622493</v>
      </c>
      <c r="Y300" s="42" t="n">
        <f aca="false">(1+CEG_Assets!$AF$10)^-(Y$3+0.5-ValDate)</f>
        <v>0.182383382303647</v>
      </c>
      <c r="Z300" s="42" t="n">
        <f aca="false">(1+CEG_Assets!$AF$10)^-(Z$3+0.5-ValDate)</f>
        <v>0.166560166487348</v>
      </c>
      <c r="AA300" s="42" t="n">
        <f aca="false">(1+CEG_Assets!$AF$10)^-(AA$3+0.5-ValDate)</f>
        <v>0.152109741084336</v>
      </c>
      <c r="AB300" s="42" t="n">
        <f aca="false">(1+CEG_Assets!$AF$10)^-(AB$3+0.5-ValDate)</f>
        <v>0.138913005556472</v>
      </c>
      <c r="AC300" s="42" t="n">
        <f aca="false">(1+CEG_Assets!$AF$10)^-(AC$3+0.5-ValDate)</f>
        <v>0.126861192289015</v>
      </c>
      <c r="AD300" s="42" t="n">
        <f aca="false">(1+CEG_Assets!$AF$10)^-(AD$3+0.5-ValDate)</f>
        <v>0.115854970126955</v>
      </c>
      <c r="AE300" s="42" t="n">
        <f aca="false">(1+CEG_Assets!$AF$10)^-(AE$3+0.5-ValDate)</f>
        <v>0.105803625686716</v>
      </c>
      <c r="AF300" s="42" t="n">
        <f aca="false">(1+CEG_Assets!$AF$10)^-(AF$3+0.5-ValDate)</f>
        <v>0.0966243156956315</v>
      </c>
      <c r="AG300" s="42" t="n">
        <f aca="false">(1+CEG_Assets!$AF$10)^-(AG$3+0.5-ValDate)</f>
        <v>0.0882413841969238</v>
      </c>
      <c r="AH300" s="42" t="n">
        <f aca="false">(1+CEG_Assets!$AF$10)^-(AH$3+0.5-ValDate)</f>
        <v>0.0805857389926244</v>
      </c>
      <c r="AI300" s="42" t="n">
        <f aca="false">(1+CEG_Assets!$AF$10)^-(AI$3+0.5-ValDate)</f>
        <v>0.0735942821850451</v>
      </c>
      <c r="AJ300" s="42" t="n">
        <f aca="false">(1+CEG_Assets!$AF$10)^-(AJ$3+0.5-ValDate)</f>
        <v>0.0672093901233289</v>
      </c>
      <c r="AK300" s="42" t="n">
        <f aca="false">(1+CEG_Assets!$AF$10)^-(AK$3+0.5-ValDate)</f>
        <v>0.0613784384687935</v>
      </c>
      <c r="AL300" s="42" t="n">
        <f aca="false">(1+CEG_Assets!$AF$10)^-(AL$3+0.5-ValDate)</f>
        <v>0.0560533684646516</v>
      </c>
      <c r="AM300" s="42" t="n">
        <f aca="false">(1+CEG_Assets!$AF$10)^-(AM$3+0.5-ValDate)</f>
        <v>0.0511902908352983</v>
      </c>
      <c r="AN300" s="42" t="n">
        <f aca="false">(1+CEG_Assets!$AF$10)^-(AN$3+0.5-ValDate)</f>
        <v>0.0467491240505007</v>
      </c>
      <c r="AO300" s="42" t="n">
        <f aca="false">(1+CEG_Assets!$AF$10)^-(AO$3+0.5-ValDate)</f>
        <v>0.04269326397306</v>
      </c>
      <c r="AP300" s="42" t="n">
        <f aca="false">(1+CEG_Assets!$AF$10)^-(AP$3+0.5-ValDate)</f>
        <v>0.0389892821671781</v>
      </c>
      <c r="AQ300" s="42" t="n">
        <f aca="false">(1+CEG_Assets!$AF$10)^-(AQ$3+0.5-ValDate)</f>
        <v>0.0356066503809846</v>
      </c>
      <c r="AR300" s="42" t="n">
        <f aca="false">(1+CEG_Assets!$AF$10)^-(AR$3+0.5-ValDate)</f>
        <v>0.032517488932406</v>
      </c>
      <c r="AS300" s="42" t="n">
        <f aca="false">(1+CEG_Assets!$AF$10)^-(AS$3+0.5-ValDate)</f>
        <v>0.0296963369245717</v>
      </c>
    </row>
    <row r="301" customFormat="false" ht="15" hidden="false" customHeight="false" outlineLevel="0" collapsed="false">
      <c r="A301" s="6" t="s">
        <v>475</v>
      </c>
      <c r="B301" s="6" t="s">
        <v>476</v>
      </c>
      <c r="C301" s="43" t="n">
        <f aca="false">SUM(G301:AS301)</f>
        <v>1746.96607127556</v>
      </c>
      <c r="D301" s="8" t="n">
        <f aca="false">SUMIF($G$3:$AS$3,"&lt;="&amp;Horizon,G301:AS301)</f>
        <v>511.764577568332</v>
      </c>
      <c r="E301" s="8" t="n">
        <f aca="false">(C301-D301)*(1+CEG_Assets!$AE$10)^(Horizon+1-ValDate)</f>
        <v>1816.55191773459</v>
      </c>
      <c r="G301" s="8" t="n">
        <f aca="false">G297*G299</f>
        <v>133.930827322613</v>
      </c>
      <c r="H301" s="8" t="n">
        <f aca="false">H297*H299</f>
        <v>134.014931980265</v>
      </c>
      <c r="I301" s="8" t="n">
        <f aca="false">I297*I299</f>
        <v>124.007019717979</v>
      </c>
      <c r="J301" s="8" t="n">
        <f aca="false">J297*J299</f>
        <v>119.811798547474</v>
      </c>
      <c r="K301" s="8" t="n">
        <f aca="false">K297*K299</f>
        <v>111.605510975729</v>
      </c>
      <c r="L301" s="8" t="n">
        <f aca="false">L297*L299</f>
        <v>103.9612978952</v>
      </c>
      <c r="M301" s="8" t="n">
        <f aca="false">M297*M299</f>
        <v>96.840661053063</v>
      </c>
      <c r="N301" s="8" t="n">
        <f aca="false">N297*N299</f>
        <v>90.2077390631272</v>
      </c>
      <c r="O301" s="8" t="n">
        <f aca="false">O297*O299</f>
        <v>84.0291267985294</v>
      </c>
      <c r="P301" s="8" t="n">
        <f aca="false">P297*P299</f>
        <v>78.2737071547945</v>
      </c>
      <c r="Q301" s="8" t="n">
        <f aca="false">Q297*Q299</f>
        <v>72.912494335973</v>
      </c>
      <c r="R301" s="8" t="n">
        <f aca="false">R297*R299</f>
        <v>67.918487874605</v>
      </c>
      <c r="S301" s="8" t="n">
        <f aca="false">S297*S299</f>
        <v>63.266536650317</v>
      </c>
      <c r="T301" s="8" t="n">
        <f aca="false">T297*T299</f>
        <v>58.9332122222131</v>
      </c>
      <c r="U301" s="8" t="n">
        <f aca="false">U297*U299</f>
        <v>54.89669083713</v>
      </c>
      <c r="V301" s="8" t="n">
        <f aca="false">V297*V299</f>
        <v>51.1366435195183</v>
      </c>
      <c r="W301" s="8" t="n">
        <f aca="false">W297*W299</f>
        <v>47.6341336894144</v>
      </c>
      <c r="X301" s="8" t="n">
        <f aca="false">X297*X299</f>
        <v>44.3715217928791</v>
      </c>
      <c r="Y301" s="8" t="n">
        <f aca="false">Y297*Y299</f>
        <v>41.3323764645997</v>
      </c>
      <c r="Z301" s="8" t="n">
        <f aca="false">Z297*Z299</f>
        <v>38.5013917752436</v>
      </c>
      <c r="AA301" s="8" t="n">
        <f aca="false">AA297*AA299</f>
        <v>35.8643101468022</v>
      </c>
      <c r="AB301" s="8" t="n">
        <f aca="false">AB297*AB299</f>
        <v>33.4078505477062</v>
      </c>
      <c r="AC301" s="8" t="n">
        <f aca="false">AC297*AC299</f>
        <v>31.1196416060825</v>
      </c>
      <c r="AD301" s="8" t="n">
        <f aca="false">AD297*AD299</f>
        <v>28.988159304296</v>
      </c>
      <c r="AE301" s="8" t="n">
        <f aca="false">AE297*AE299</f>
        <v>0</v>
      </c>
      <c r="AF301" s="8" t="n">
        <f aca="false">AF297*AF299</f>
        <v>0</v>
      </c>
      <c r="AG301" s="8" t="n">
        <f aca="false">AG297*AG299</f>
        <v>0</v>
      </c>
      <c r="AH301" s="8" t="n">
        <f aca="false">AH297*AH299</f>
        <v>0</v>
      </c>
      <c r="AI301" s="8" t="n">
        <f aca="false">AI297*AI299</f>
        <v>0</v>
      </c>
      <c r="AJ301" s="8" t="n">
        <f aca="false">AJ297*AJ299</f>
        <v>0</v>
      </c>
      <c r="AK301" s="8" t="n">
        <f aca="false">AK297*AK299</f>
        <v>0</v>
      </c>
      <c r="AL301" s="8" t="n">
        <f aca="false">AL297*AL299</f>
        <v>0</v>
      </c>
      <c r="AM301" s="8" t="n">
        <f aca="false">AM297*AM299</f>
        <v>0</v>
      </c>
      <c r="AN301" s="8" t="n">
        <f aca="false">AN297*AN299</f>
        <v>0</v>
      </c>
      <c r="AO301" s="8" t="n">
        <f aca="false">AO297*AO299</f>
        <v>0</v>
      </c>
      <c r="AP301" s="8" t="n">
        <f aca="false">AP297*AP299</f>
        <v>0</v>
      </c>
      <c r="AQ301" s="8" t="n">
        <f aca="false">AQ297*AQ299</f>
        <v>0</v>
      </c>
      <c r="AR301" s="8" t="n">
        <f aca="false">AR297*AR299</f>
        <v>0</v>
      </c>
      <c r="AS301" s="8" t="n">
        <f aca="false">AS297*AS299</f>
        <v>0</v>
      </c>
    </row>
    <row r="302" customFormat="false" ht="15" hidden="false" customHeight="false" outlineLevel="0" collapsed="false">
      <c r="A302" s="6" t="s">
        <v>477</v>
      </c>
      <c r="B302" s="6" t="s">
        <v>478</v>
      </c>
      <c r="C302" s="43" t="n">
        <f aca="false">SUM(G302:AS302)</f>
        <v>0</v>
      </c>
      <c r="D302" s="8" t="n">
        <f aca="false">SUMIF($G$3:$AS$3,"&lt;="&amp;Horizon,G302:AS302)</f>
        <v>0</v>
      </c>
      <c r="E302" s="8" t="n">
        <f aca="false">(C302-D302)*(1+CEG_Assets!$AF$10)^(Horizon+1-ValDate)</f>
        <v>0</v>
      </c>
      <c r="G302" s="8" t="n">
        <f aca="false">G298*G300</f>
        <v>0</v>
      </c>
      <c r="H302" s="8" t="n">
        <f aca="false">H298*H300</f>
        <v>0</v>
      </c>
      <c r="I302" s="8" t="n">
        <f aca="false">I298*I300</f>
        <v>0</v>
      </c>
      <c r="J302" s="8" t="n">
        <f aca="false">J298*J300</f>
        <v>0</v>
      </c>
      <c r="K302" s="8" t="n">
        <f aca="false">K298*K300</f>
        <v>0</v>
      </c>
      <c r="L302" s="8" t="n">
        <f aca="false">L298*L300</f>
        <v>0</v>
      </c>
      <c r="M302" s="8" t="n">
        <f aca="false">M298*M300</f>
        <v>0</v>
      </c>
      <c r="N302" s="8" t="n">
        <f aca="false">N298*N300</f>
        <v>0</v>
      </c>
      <c r="O302" s="8" t="n">
        <f aca="false">O298*O300</f>
        <v>0</v>
      </c>
      <c r="P302" s="8" t="n">
        <f aca="false">P298*P300</f>
        <v>0</v>
      </c>
      <c r="Q302" s="8" t="n">
        <f aca="false">Q298*Q300</f>
        <v>0</v>
      </c>
      <c r="R302" s="8" t="n">
        <f aca="false">R298*R300</f>
        <v>0</v>
      </c>
      <c r="S302" s="8" t="n">
        <f aca="false">S298*S300</f>
        <v>0</v>
      </c>
      <c r="T302" s="8" t="n">
        <f aca="false">T298*T300</f>
        <v>0</v>
      </c>
      <c r="U302" s="8" t="n">
        <f aca="false">U298*U300</f>
        <v>0</v>
      </c>
      <c r="V302" s="8" t="n">
        <f aca="false">V298*V300</f>
        <v>0</v>
      </c>
      <c r="W302" s="8" t="n">
        <f aca="false">W298*W300</f>
        <v>0</v>
      </c>
      <c r="X302" s="8" t="n">
        <f aca="false">X298*X300</f>
        <v>0</v>
      </c>
      <c r="Y302" s="8" t="n">
        <f aca="false">Y298*Y300</f>
        <v>0</v>
      </c>
      <c r="Z302" s="8" t="n">
        <f aca="false">Z298*Z300</f>
        <v>0</v>
      </c>
      <c r="AA302" s="8" t="n">
        <f aca="false">AA298*AA300</f>
        <v>0</v>
      </c>
      <c r="AB302" s="8" t="n">
        <f aca="false">AB298*AB300</f>
        <v>0</v>
      </c>
      <c r="AC302" s="8" t="n">
        <f aca="false">AC298*AC300</f>
        <v>0</v>
      </c>
      <c r="AD302" s="8" t="n">
        <f aca="false">AD298*AD300</f>
        <v>0</v>
      </c>
      <c r="AE302" s="8" t="n">
        <f aca="false">AE298*AE300</f>
        <v>0</v>
      </c>
      <c r="AF302" s="8" t="n">
        <f aca="false">AF298*AF300</f>
        <v>0</v>
      </c>
      <c r="AG302" s="8" t="n">
        <f aca="false">AG298*AG300</f>
        <v>0</v>
      </c>
      <c r="AH302" s="8" t="n">
        <f aca="false">AH298*AH300</f>
        <v>0</v>
      </c>
      <c r="AI302" s="8" t="n">
        <f aca="false">AI298*AI300</f>
        <v>0</v>
      </c>
      <c r="AJ302" s="8" t="n">
        <f aca="false">AJ298*AJ300</f>
        <v>0</v>
      </c>
      <c r="AK302" s="8" t="n">
        <f aca="false">AK298*AK300</f>
        <v>0</v>
      </c>
      <c r="AL302" s="8" t="n">
        <f aca="false">AL298*AL300</f>
        <v>0</v>
      </c>
      <c r="AM302" s="8" t="n">
        <f aca="false">AM298*AM300</f>
        <v>0</v>
      </c>
      <c r="AN302" s="8" t="n">
        <f aca="false">AN298*AN300</f>
        <v>0</v>
      </c>
      <c r="AO302" s="8" t="n">
        <f aca="false">AO298*AO300</f>
        <v>0</v>
      </c>
      <c r="AP302" s="8" t="n">
        <f aca="false">AP298*AP300</f>
        <v>0</v>
      </c>
      <c r="AQ302" s="8" t="n">
        <f aca="false">AQ298*AQ300</f>
        <v>0</v>
      </c>
      <c r="AR302" s="8" t="n">
        <f aca="false">AR298*AR300</f>
        <v>0</v>
      </c>
      <c r="AS302" s="8" t="n">
        <f aca="false">AS298*AS300</f>
        <v>0</v>
      </c>
    </row>
    <row r="303" customFormat="false" ht="15" hidden="false" customHeight="false" outlineLevel="0" collapsed="false">
      <c r="A303" s="6" t="s">
        <v>479</v>
      </c>
      <c r="B303" s="6" t="s">
        <v>480</v>
      </c>
      <c r="C303" s="43" t="n">
        <f aca="false">IF(CEG_Assets!$H$10="$/kW",CEG_Assets!$D$10*CEG_Assets!$AI$10*(1+0.4*(PJMWLR/PJMWLRBase-1))/1000,0)</f>
        <v>0</v>
      </c>
      <c r="E303" s="8" t="n">
        <f aca="false">C303</f>
        <v>0</v>
      </c>
      <c r="G303" s="8" t="n">
        <f aca="false">0</f>
        <v>0</v>
      </c>
      <c r="H303" s="8" t="n">
        <f aca="false">0</f>
        <v>0</v>
      </c>
      <c r="I303" s="8" t="n">
        <f aca="false">0</f>
        <v>0</v>
      </c>
      <c r="J303" s="8" t="n">
        <f aca="false">0</f>
        <v>0</v>
      </c>
      <c r="K303" s="8" t="n">
        <f aca="false">0</f>
        <v>0</v>
      </c>
      <c r="L303" s="8" t="n">
        <f aca="false">0</f>
        <v>0</v>
      </c>
      <c r="M303" s="8" t="n">
        <f aca="false">0</f>
        <v>0</v>
      </c>
      <c r="N303" s="8" t="n">
        <f aca="false">0</f>
        <v>0</v>
      </c>
      <c r="O303" s="8" t="n">
        <f aca="false">0</f>
        <v>0</v>
      </c>
      <c r="P303" s="8" t="n">
        <f aca="false">0</f>
        <v>0</v>
      </c>
      <c r="Q303" s="8" t="n">
        <f aca="false">0</f>
        <v>0</v>
      </c>
      <c r="R303" s="8" t="n">
        <f aca="false">0</f>
        <v>0</v>
      </c>
      <c r="S303" s="8" t="n">
        <f aca="false">0</f>
        <v>0</v>
      </c>
      <c r="T303" s="8" t="n">
        <f aca="false">0</f>
        <v>0</v>
      </c>
      <c r="U303" s="8" t="n">
        <f aca="false">0</f>
        <v>0</v>
      </c>
      <c r="V303" s="8" t="n">
        <f aca="false">0</f>
        <v>0</v>
      </c>
      <c r="W303" s="8" t="n">
        <f aca="false">0</f>
        <v>0</v>
      </c>
      <c r="X303" s="8" t="n">
        <f aca="false">0</f>
        <v>0</v>
      </c>
      <c r="Y303" s="8" t="n">
        <f aca="false">0</f>
        <v>0</v>
      </c>
      <c r="Z303" s="8" t="n">
        <f aca="false">0</f>
        <v>0</v>
      </c>
      <c r="AA303" s="8" t="n">
        <f aca="false">0</f>
        <v>0</v>
      </c>
      <c r="AB303" s="8" t="n">
        <f aca="false">0</f>
        <v>0</v>
      </c>
      <c r="AC303" s="8" t="n">
        <f aca="false">0</f>
        <v>0</v>
      </c>
      <c r="AD303" s="8" t="n">
        <f aca="false">0</f>
        <v>0</v>
      </c>
      <c r="AE303" s="8" t="n">
        <f aca="false">0</f>
        <v>0</v>
      </c>
      <c r="AF303" s="8" t="n">
        <f aca="false">0</f>
        <v>0</v>
      </c>
      <c r="AG303" s="8" t="n">
        <f aca="false">0</f>
        <v>0</v>
      </c>
      <c r="AH303" s="8" t="n">
        <f aca="false">0</f>
        <v>0</v>
      </c>
      <c r="AI303" s="8" t="n">
        <f aca="false">0</f>
        <v>0</v>
      </c>
      <c r="AJ303" s="8" t="n">
        <f aca="false">0</f>
        <v>0</v>
      </c>
      <c r="AK303" s="8" t="n">
        <f aca="false">0</f>
        <v>0</v>
      </c>
      <c r="AL303" s="8" t="n">
        <f aca="false">0</f>
        <v>0</v>
      </c>
      <c r="AM303" s="8" t="n">
        <f aca="false">0</f>
        <v>0</v>
      </c>
      <c r="AN303" s="8" t="n">
        <f aca="false">0</f>
        <v>0</v>
      </c>
      <c r="AO303" s="8" t="n">
        <f aca="false">0</f>
        <v>0</v>
      </c>
      <c r="AP303" s="8" t="n">
        <f aca="false">0</f>
        <v>0</v>
      </c>
      <c r="AQ303" s="8" t="n">
        <f aca="false">0</f>
        <v>0</v>
      </c>
      <c r="AR303" s="8" t="n">
        <f aca="false">0</f>
        <v>0</v>
      </c>
      <c r="AS303" s="8" t="n">
        <f aca="false">0</f>
        <v>0</v>
      </c>
    </row>
    <row r="305" customFormat="false" ht="15" hidden="false" customHeight="false" outlineLevel="0" collapsed="false">
      <c r="A305" s="54" t="str">
        <f aca="false">CEG_Assets!$A$11</f>
        <v>Gas/oil - ERCOT peakers &amp; steam (legacy CEG)</v>
      </c>
    </row>
    <row r="306" customFormat="false" ht="15" hidden="false" customHeight="false" outlineLevel="0" collapsed="false">
      <c r="A306" s="6" t="s">
        <v>425</v>
      </c>
      <c r="B306" s="6" t="s">
        <v>426</v>
      </c>
      <c r="G306" s="47" t="n">
        <f aca="false">IF(AND(G$3&gt;=CEG_Assets!$E$11,G$3&lt;=CEG_Assets!$F$11,CEG_Assets!$H$11="Cashflow"),1,0)</f>
        <v>1</v>
      </c>
      <c r="H306" s="47" t="n">
        <f aca="false">IF(AND(H$3&gt;=CEG_Assets!$E$11,H$3&lt;=CEG_Assets!$F$11,CEG_Assets!$H$11="Cashflow"),1,0)</f>
        <v>1</v>
      </c>
      <c r="I306" s="47" t="n">
        <f aca="false">IF(AND(I$3&gt;=CEG_Assets!$E$11,I$3&lt;=CEG_Assets!$F$11,CEG_Assets!$H$11="Cashflow"),1,0)</f>
        <v>1</v>
      </c>
      <c r="J306" s="47" t="n">
        <f aca="false">IF(AND(J$3&gt;=CEG_Assets!$E$11,J$3&lt;=CEG_Assets!$F$11,CEG_Assets!$H$11="Cashflow"),1,0)</f>
        <v>1</v>
      </c>
      <c r="K306" s="47" t="n">
        <f aca="false">IF(AND(K$3&gt;=CEG_Assets!$E$11,K$3&lt;=CEG_Assets!$F$11,CEG_Assets!$H$11="Cashflow"),1,0)</f>
        <v>1</v>
      </c>
      <c r="L306" s="47" t="n">
        <f aca="false">IF(AND(L$3&gt;=CEG_Assets!$E$11,L$3&lt;=CEG_Assets!$F$11,CEG_Assets!$H$11="Cashflow"),1,0)</f>
        <v>1</v>
      </c>
      <c r="M306" s="47" t="n">
        <f aca="false">IF(AND(M$3&gt;=CEG_Assets!$E$11,M$3&lt;=CEG_Assets!$F$11,CEG_Assets!$H$11="Cashflow"),1,0)</f>
        <v>1</v>
      </c>
      <c r="N306" s="47" t="n">
        <f aca="false">IF(AND(N$3&gt;=CEG_Assets!$E$11,N$3&lt;=CEG_Assets!$F$11,CEG_Assets!$H$11="Cashflow"),1,0)</f>
        <v>1</v>
      </c>
      <c r="O306" s="47" t="n">
        <f aca="false">IF(AND(O$3&gt;=CEG_Assets!$E$11,O$3&lt;=CEG_Assets!$F$11,CEG_Assets!$H$11="Cashflow"),1,0)</f>
        <v>1</v>
      </c>
      <c r="P306" s="47" t="n">
        <f aca="false">IF(AND(P$3&gt;=CEG_Assets!$E$11,P$3&lt;=CEG_Assets!$F$11,CEG_Assets!$H$11="Cashflow"),1,0)</f>
        <v>1</v>
      </c>
      <c r="Q306" s="47" t="n">
        <f aca="false">IF(AND(Q$3&gt;=CEG_Assets!$E$11,Q$3&lt;=CEG_Assets!$F$11,CEG_Assets!$H$11="Cashflow"),1,0)</f>
        <v>1</v>
      </c>
      <c r="R306" s="47" t="n">
        <f aca="false">IF(AND(R$3&gt;=CEG_Assets!$E$11,R$3&lt;=CEG_Assets!$F$11,CEG_Assets!$H$11="Cashflow"),1,0)</f>
        <v>1</v>
      </c>
      <c r="S306" s="47" t="n">
        <f aca="false">IF(AND(S$3&gt;=CEG_Assets!$E$11,S$3&lt;=CEG_Assets!$F$11,CEG_Assets!$H$11="Cashflow"),1,0)</f>
        <v>0</v>
      </c>
      <c r="T306" s="47" t="n">
        <f aca="false">IF(AND(T$3&gt;=CEG_Assets!$E$11,T$3&lt;=CEG_Assets!$F$11,CEG_Assets!$H$11="Cashflow"),1,0)</f>
        <v>0</v>
      </c>
      <c r="U306" s="47" t="n">
        <f aca="false">IF(AND(U$3&gt;=CEG_Assets!$E$11,U$3&lt;=CEG_Assets!$F$11,CEG_Assets!$H$11="Cashflow"),1,0)</f>
        <v>0</v>
      </c>
      <c r="V306" s="47" t="n">
        <f aca="false">IF(AND(V$3&gt;=CEG_Assets!$E$11,V$3&lt;=CEG_Assets!$F$11,CEG_Assets!$H$11="Cashflow"),1,0)</f>
        <v>0</v>
      </c>
      <c r="W306" s="47" t="n">
        <f aca="false">IF(AND(W$3&gt;=CEG_Assets!$E$11,W$3&lt;=CEG_Assets!$F$11,CEG_Assets!$H$11="Cashflow"),1,0)</f>
        <v>0</v>
      </c>
      <c r="X306" s="47" t="n">
        <f aca="false">IF(AND(X$3&gt;=CEG_Assets!$E$11,X$3&lt;=CEG_Assets!$F$11,CEG_Assets!$H$11="Cashflow"),1,0)</f>
        <v>0</v>
      </c>
      <c r="Y306" s="47" t="n">
        <f aca="false">IF(AND(Y$3&gt;=CEG_Assets!$E$11,Y$3&lt;=CEG_Assets!$F$11,CEG_Assets!$H$11="Cashflow"),1,0)</f>
        <v>0</v>
      </c>
      <c r="Z306" s="47" t="n">
        <f aca="false">IF(AND(Z$3&gt;=CEG_Assets!$E$11,Z$3&lt;=CEG_Assets!$F$11,CEG_Assets!$H$11="Cashflow"),1,0)</f>
        <v>0</v>
      </c>
      <c r="AA306" s="47" t="n">
        <f aca="false">IF(AND(AA$3&gt;=CEG_Assets!$E$11,AA$3&lt;=CEG_Assets!$F$11,CEG_Assets!$H$11="Cashflow"),1,0)</f>
        <v>0</v>
      </c>
      <c r="AB306" s="47" t="n">
        <f aca="false">IF(AND(AB$3&gt;=CEG_Assets!$E$11,AB$3&lt;=CEG_Assets!$F$11,CEG_Assets!$H$11="Cashflow"),1,0)</f>
        <v>0</v>
      </c>
      <c r="AC306" s="47" t="n">
        <f aca="false">IF(AND(AC$3&gt;=CEG_Assets!$E$11,AC$3&lt;=CEG_Assets!$F$11,CEG_Assets!$H$11="Cashflow"),1,0)</f>
        <v>0</v>
      </c>
      <c r="AD306" s="47" t="n">
        <f aca="false">IF(AND(AD$3&gt;=CEG_Assets!$E$11,AD$3&lt;=CEG_Assets!$F$11,CEG_Assets!$H$11="Cashflow"),1,0)</f>
        <v>0</v>
      </c>
      <c r="AE306" s="47" t="n">
        <f aca="false">IF(AND(AE$3&gt;=CEG_Assets!$E$11,AE$3&lt;=CEG_Assets!$F$11,CEG_Assets!$H$11="Cashflow"),1,0)</f>
        <v>0</v>
      </c>
      <c r="AF306" s="47" t="n">
        <f aca="false">IF(AND(AF$3&gt;=CEG_Assets!$E$11,AF$3&lt;=CEG_Assets!$F$11,CEG_Assets!$H$11="Cashflow"),1,0)</f>
        <v>0</v>
      </c>
      <c r="AG306" s="47" t="n">
        <f aca="false">IF(AND(AG$3&gt;=CEG_Assets!$E$11,AG$3&lt;=CEG_Assets!$F$11,CEG_Assets!$H$11="Cashflow"),1,0)</f>
        <v>0</v>
      </c>
      <c r="AH306" s="47" t="n">
        <f aca="false">IF(AND(AH$3&gt;=CEG_Assets!$E$11,AH$3&lt;=CEG_Assets!$F$11,CEG_Assets!$H$11="Cashflow"),1,0)</f>
        <v>0</v>
      </c>
      <c r="AI306" s="47" t="n">
        <f aca="false">IF(AND(AI$3&gt;=CEG_Assets!$E$11,AI$3&lt;=CEG_Assets!$F$11,CEG_Assets!$H$11="Cashflow"),1,0)</f>
        <v>0</v>
      </c>
      <c r="AJ306" s="47" t="n">
        <f aca="false">IF(AND(AJ$3&gt;=CEG_Assets!$E$11,AJ$3&lt;=CEG_Assets!$F$11,CEG_Assets!$H$11="Cashflow"),1,0)</f>
        <v>0</v>
      </c>
      <c r="AK306" s="47" t="n">
        <f aca="false">IF(AND(AK$3&gt;=CEG_Assets!$E$11,AK$3&lt;=CEG_Assets!$F$11,CEG_Assets!$H$11="Cashflow"),1,0)</f>
        <v>0</v>
      </c>
      <c r="AL306" s="47" t="n">
        <f aca="false">IF(AND(AL$3&gt;=CEG_Assets!$E$11,AL$3&lt;=CEG_Assets!$F$11,CEG_Assets!$H$11="Cashflow"),1,0)</f>
        <v>0</v>
      </c>
      <c r="AM306" s="47" t="n">
        <f aca="false">IF(AND(AM$3&gt;=CEG_Assets!$E$11,AM$3&lt;=CEG_Assets!$F$11,CEG_Assets!$H$11="Cashflow"),1,0)</f>
        <v>0</v>
      </c>
      <c r="AN306" s="47" t="n">
        <f aca="false">IF(AND(AN$3&gt;=CEG_Assets!$E$11,AN$3&lt;=CEG_Assets!$F$11,CEG_Assets!$H$11="Cashflow"),1,0)</f>
        <v>0</v>
      </c>
      <c r="AO306" s="47" t="n">
        <f aca="false">IF(AND(AO$3&gt;=CEG_Assets!$E$11,AO$3&lt;=CEG_Assets!$F$11,CEG_Assets!$H$11="Cashflow"),1,0)</f>
        <v>0</v>
      </c>
      <c r="AP306" s="47" t="n">
        <f aca="false">IF(AND(AP$3&gt;=CEG_Assets!$E$11,AP$3&lt;=CEG_Assets!$F$11,CEG_Assets!$H$11="Cashflow"),1,0)</f>
        <v>0</v>
      </c>
      <c r="AQ306" s="47" t="n">
        <f aca="false">IF(AND(AQ$3&gt;=CEG_Assets!$E$11,AQ$3&lt;=CEG_Assets!$F$11,CEG_Assets!$H$11="Cashflow"),1,0)</f>
        <v>0</v>
      </c>
      <c r="AR306" s="47" t="n">
        <f aca="false">IF(AND(AR$3&gt;=CEG_Assets!$E$11,AR$3&lt;=CEG_Assets!$F$11,CEG_Assets!$H$11="Cashflow"),1,0)</f>
        <v>0</v>
      </c>
      <c r="AS306" s="47" t="n">
        <f aca="false">IF(AND(AS$3&gt;=CEG_Assets!$E$11,AS$3&lt;=CEG_Assets!$F$11,CEG_Assets!$H$11="Cashflow"),1,0)</f>
        <v>0</v>
      </c>
    </row>
    <row r="307" customFormat="false" ht="15" hidden="false" customHeight="false" outlineLevel="0" collapsed="false">
      <c r="A307" s="6" t="s">
        <v>427</v>
      </c>
      <c r="B307" s="6" t="s">
        <v>428</v>
      </c>
      <c r="G307" s="9" t="n">
        <f aca="false">IF(AND(G$3&gt;=CEG_Assets!$AA$11,G$3&lt;=CEG_Assets!$AB$11),MIN(CEG_Assets!$D$11,CEG_Assets!$Z$11*MIN(1,(G$3-CEG_Assets!$AA$11+1)/MAX(1,CEG_Assets!$AC$11))),0)*G306</f>
        <v>0</v>
      </c>
      <c r="H307" s="9" t="n">
        <f aca="false">IF(AND(H$3&gt;=CEG_Assets!$AA$11,H$3&lt;=CEG_Assets!$AB$11),MIN(CEG_Assets!$D$11,CEG_Assets!$Z$11*MIN(1,(H$3-CEG_Assets!$AA$11+1)/MAX(1,CEG_Assets!$AC$11))),0)*H306</f>
        <v>0</v>
      </c>
      <c r="I307" s="9" t="n">
        <f aca="false">IF(AND(I$3&gt;=CEG_Assets!$AA$11,I$3&lt;=CEG_Assets!$AB$11),MIN(CEG_Assets!$D$11,CEG_Assets!$Z$11*MIN(1,(I$3-CEG_Assets!$AA$11+1)/MAX(1,CEG_Assets!$AC$11))),0)*I306</f>
        <v>0</v>
      </c>
      <c r="J307" s="9" t="n">
        <f aca="false">IF(AND(J$3&gt;=CEG_Assets!$AA$11,J$3&lt;=CEG_Assets!$AB$11),MIN(CEG_Assets!$D$11,CEG_Assets!$Z$11*MIN(1,(J$3-CEG_Assets!$AA$11+1)/MAX(1,CEG_Assets!$AC$11))),0)*J306</f>
        <v>0</v>
      </c>
      <c r="K307" s="9" t="n">
        <f aca="false">IF(AND(K$3&gt;=CEG_Assets!$AA$11,K$3&lt;=CEG_Assets!$AB$11),MIN(CEG_Assets!$D$11,CEG_Assets!$Z$11*MIN(1,(K$3-CEG_Assets!$AA$11+1)/MAX(1,CEG_Assets!$AC$11))),0)*K306</f>
        <v>0</v>
      </c>
      <c r="L307" s="9" t="n">
        <f aca="false">IF(AND(L$3&gt;=CEG_Assets!$AA$11,L$3&lt;=CEG_Assets!$AB$11),MIN(CEG_Assets!$D$11,CEG_Assets!$Z$11*MIN(1,(L$3-CEG_Assets!$AA$11+1)/MAX(1,CEG_Assets!$AC$11))),0)*L306</f>
        <v>0</v>
      </c>
      <c r="M307" s="9" t="n">
        <f aca="false">IF(AND(M$3&gt;=CEG_Assets!$AA$11,M$3&lt;=CEG_Assets!$AB$11),MIN(CEG_Assets!$D$11,CEG_Assets!$Z$11*MIN(1,(M$3-CEG_Assets!$AA$11+1)/MAX(1,CEG_Assets!$AC$11))),0)*M306</f>
        <v>0</v>
      </c>
      <c r="N307" s="9" t="n">
        <f aca="false">IF(AND(N$3&gt;=CEG_Assets!$AA$11,N$3&lt;=CEG_Assets!$AB$11),MIN(CEG_Assets!$D$11,CEG_Assets!$Z$11*MIN(1,(N$3-CEG_Assets!$AA$11+1)/MAX(1,CEG_Assets!$AC$11))),0)*N306</f>
        <v>0</v>
      </c>
      <c r="O307" s="9" t="n">
        <f aca="false">IF(AND(O$3&gt;=CEG_Assets!$AA$11,O$3&lt;=CEG_Assets!$AB$11),MIN(CEG_Assets!$D$11,CEG_Assets!$Z$11*MIN(1,(O$3-CEG_Assets!$AA$11+1)/MAX(1,CEG_Assets!$AC$11))),0)*O306</f>
        <v>0</v>
      </c>
      <c r="P307" s="9" t="n">
        <f aca="false">IF(AND(P$3&gt;=CEG_Assets!$AA$11,P$3&lt;=CEG_Assets!$AB$11),MIN(CEG_Assets!$D$11,CEG_Assets!$Z$11*MIN(1,(P$3-CEG_Assets!$AA$11+1)/MAX(1,CEG_Assets!$AC$11))),0)*P306</f>
        <v>0</v>
      </c>
      <c r="Q307" s="9" t="n">
        <f aca="false">IF(AND(Q$3&gt;=CEG_Assets!$AA$11,Q$3&lt;=CEG_Assets!$AB$11),MIN(CEG_Assets!$D$11,CEG_Assets!$Z$11*MIN(1,(Q$3-CEG_Assets!$AA$11+1)/MAX(1,CEG_Assets!$AC$11))),0)*Q306</f>
        <v>0</v>
      </c>
      <c r="R307" s="9" t="n">
        <f aca="false">IF(AND(R$3&gt;=CEG_Assets!$AA$11,R$3&lt;=CEG_Assets!$AB$11),MIN(CEG_Assets!$D$11,CEG_Assets!$Z$11*MIN(1,(R$3-CEG_Assets!$AA$11+1)/MAX(1,CEG_Assets!$AC$11))),0)*R306</f>
        <v>0</v>
      </c>
      <c r="S307" s="9" t="n">
        <f aca="false">IF(AND(S$3&gt;=CEG_Assets!$AA$11,S$3&lt;=CEG_Assets!$AB$11),MIN(CEG_Assets!$D$11,CEG_Assets!$Z$11*MIN(1,(S$3-CEG_Assets!$AA$11+1)/MAX(1,CEG_Assets!$AC$11))),0)*S306</f>
        <v>0</v>
      </c>
      <c r="T307" s="9" t="n">
        <f aca="false">IF(AND(T$3&gt;=CEG_Assets!$AA$11,T$3&lt;=CEG_Assets!$AB$11),MIN(CEG_Assets!$D$11,CEG_Assets!$Z$11*MIN(1,(T$3-CEG_Assets!$AA$11+1)/MAX(1,CEG_Assets!$AC$11))),0)*T306</f>
        <v>0</v>
      </c>
      <c r="U307" s="9" t="n">
        <f aca="false">IF(AND(U$3&gt;=CEG_Assets!$AA$11,U$3&lt;=CEG_Assets!$AB$11),MIN(CEG_Assets!$D$11,CEG_Assets!$Z$11*MIN(1,(U$3-CEG_Assets!$AA$11+1)/MAX(1,CEG_Assets!$AC$11))),0)*U306</f>
        <v>0</v>
      </c>
      <c r="V307" s="9" t="n">
        <f aca="false">IF(AND(V$3&gt;=CEG_Assets!$AA$11,V$3&lt;=CEG_Assets!$AB$11),MIN(CEG_Assets!$D$11,CEG_Assets!$Z$11*MIN(1,(V$3-CEG_Assets!$AA$11+1)/MAX(1,CEG_Assets!$AC$11))),0)*V306</f>
        <v>0</v>
      </c>
      <c r="W307" s="9" t="n">
        <f aca="false">IF(AND(W$3&gt;=CEG_Assets!$AA$11,W$3&lt;=CEG_Assets!$AB$11),MIN(CEG_Assets!$D$11,CEG_Assets!$Z$11*MIN(1,(W$3-CEG_Assets!$AA$11+1)/MAX(1,CEG_Assets!$AC$11))),0)*W306</f>
        <v>0</v>
      </c>
      <c r="X307" s="9" t="n">
        <f aca="false">IF(AND(X$3&gt;=CEG_Assets!$AA$11,X$3&lt;=CEG_Assets!$AB$11),MIN(CEG_Assets!$D$11,CEG_Assets!$Z$11*MIN(1,(X$3-CEG_Assets!$AA$11+1)/MAX(1,CEG_Assets!$AC$11))),0)*X306</f>
        <v>0</v>
      </c>
      <c r="Y307" s="9" t="n">
        <f aca="false">IF(AND(Y$3&gt;=CEG_Assets!$AA$11,Y$3&lt;=CEG_Assets!$AB$11),MIN(CEG_Assets!$D$11,CEG_Assets!$Z$11*MIN(1,(Y$3-CEG_Assets!$AA$11+1)/MAX(1,CEG_Assets!$AC$11))),0)*Y306</f>
        <v>0</v>
      </c>
      <c r="Z307" s="9" t="n">
        <f aca="false">IF(AND(Z$3&gt;=CEG_Assets!$AA$11,Z$3&lt;=CEG_Assets!$AB$11),MIN(CEG_Assets!$D$11,CEG_Assets!$Z$11*MIN(1,(Z$3-CEG_Assets!$AA$11+1)/MAX(1,CEG_Assets!$AC$11))),0)*Z306</f>
        <v>0</v>
      </c>
      <c r="AA307" s="9" t="n">
        <f aca="false">IF(AND(AA$3&gt;=CEG_Assets!$AA$11,AA$3&lt;=CEG_Assets!$AB$11),MIN(CEG_Assets!$D$11,CEG_Assets!$Z$11*MIN(1,(AA$3-CEG_Assets!$AA$11+1)/MAX(1,CEG_Assets!$AC$11))),0)*AA306</f>
        <v>0</v>
      </c>
      <c r="AB307" s="9" t="n">
        <f aca="false">IF(AND(AB$3&gt;=CEG_Assets!$AA$11,AB$3&lt;=CEG_Assets!$AB$11),MIN(CEG_Assets!$D$11,CEG_Assets!$Z$11*MIN(1,(AB$3-CEG_Assets!$AA$11+1)/MAX(1,CEG_Assets!$AC$11))),0)*AB306</f>
        <v>0</v>
      </c>
      <c r="AC307" s="9" t="n">
        <f aca="false">IF(AND(AC$3&gt;=CEG_Assets!$AA$11,AC$3&lt;=CEG_Assets!$AB$11),MIN(CEG_Assets!$D$11,CEG_Assets!$Z$11*MIN(1,(AC$3-CEG_Assets!$AA$11+1)/MAX(1,CEG_Assets!$AC$11))),0)*AC306</f>
        <v>0</v>
      </c>
      <c r="AD307" s="9" t="n">
        <f aca="false">IF(AND(AD$3&gt;=CEG_Assets!$AA$11,AD$3&lt;=CEG_Assets!$AB$11),MIN(CEG_Assets!$D$11,CEG_Assets!$Z$11*MIN(1,(AD$3-CEG_Assets!$AA$11+1)/MAX(1,CEG_Assets!$AC$11))),0)*AD306</f>
        <v>0</v>
      </c>
      <c r="AE307" s="9" t="n">
        <f aca="false">IF(AND(AE$3&gt;=CEG_Assets!$AA$11,AE$3&lt;=CEG_Assets!$AB$11),MIN(CEG_Assets!$D$11,CEG_Assets!$Z$11*MIN(1,(AE$3-CEG_Assets!$AA$11+1)/MAX(1,CEG_Assets!$AC$11))),0)*AE306</f>
        <v>0</v>
      </c>
      <c r="AF307" s="9" t="n">
        <f aca="false">IF(AND(AF$3&gt;=CEG_Assets!$AA$11,AF$3&lt;=CEG_Assets!$AB$11),MIN(CEG_Assets!$D$11,CEG_Assets!$Z$11*MIN(1,(AF$3-CEG_Assets!$AA$11+1)/MAX(1,CEG_Assets!$AC$11))),0)*AF306</f>
        <v>0</v>
      </c>
      <c r="AG307" s="9" t="n">
        <f aca="false">IF(AND(AG$3&gt;=CEG_Assets!$AA$11,AG$3&lt;=CEG_Assets!$AB$11),MIN(CEG_Assets!$D$11,CEG_Assets!$Z$11*MIN(1,(AG$3-CEG_Assets!$AA$11+1)/MAX(1,CEG_Assets!$AC$11))),0)*AG306</f>
        <v>0</v>
      </c>
      <c r="AH307" s="9" t="n">
        <f aca="false">IF(AND(AH$3&gt;=CEG_Assets!$AA$11,AH$3&lt;=CEG_Assets!$AB$11),MIN(CEG_Assets!$D$11,CEG_Assets!$Z$11*MIN(1,(AH$3-CEG_Assets!$AA$11+1)/MAX(1,CEG_Assets!$AC$11))),0)*AH306</f>
        <v>0</v>
      </c>
      <c r="AI307" s="9" t="n">
        <f aca="false">IF(AND(AI$3&gt;=CEG_Assets!$AA$11,AI$3&lt;=CEG_Assets!$AB$11),MIN(CEG_Assets!$D$11,CEG_Assets!$Z$11*MIN(1,(AI$3-CEG_Assets!$AA$11+1)/MAX(1,CEG_Assets!$AC$11))),0)*AI306</f>
        <v>0</v>
      </c>
      <c r="AJ307" s="9" t="n">
        <f aca="false">IF(AND(AJ$3&gt;=CEG_Assets!$AA$11,AJ$3&lt;=CEG_Assets!$AB$11),MIN(CEG_Assets!$D$11,CEG_Assets!$Z$11*MIN(1,(AJ$3-CEG_Assets!$AA$11+1)/MAX(1,CEG_Assets!$AC$11))),0)*AJ306</f>
        <v>0</v>
      </c>
      <c r="AK307" s="9" t="n">
        <f aca="false">IF(AND(AK$3&gt;=CEG_Assets!$AA$11,AK$3&lt;=CEG_Assets!$AB$11),MIN(CEG_Assets!$D$11,CEG_Assets!$Z$11*MIN(1,(AK$3-CEG_Assets!$AA$11+1)/MAX(1,CEG_Assets!$AC$11))),0)*AK306</f>
        <v>0</v>
      </c>
      <c r="AL307" s="9" t="n">
        <f aca="false">IF(AND(AL$3&gt;=CEG_Assets!$AA$11,AL$3&lt;=CEG_Assets!$AB$11),MIN(CEG_Assets!$D$11,CEG_Assets!$Z$11*MIN(1,(AL$3-CEG_Assets!$AA$11+1)/MAX(1,CEG_Assets!$AC$11))),0)*AL306</f>
        <v>0</v>
      </c>
      <c r="AM307" s="9" t="n">
        <f aca="false">IF(AND(AM$3&gt;=CEG_Assets!$AA$11,AM$3&lt;=CEG_Assets!$AB$11),MIN(CEG_Assets!$D$11,CEG_Assets!$Z$11*MIN(1,(AM$3-CEG_Assets!$AA$11+1)/MAX(1,CEG_Assets!$AC$11))),0)*AM306</f>
        <v>0</v>
      </c>
      <c r="AN307" s="9" t="n">
        <f aca="false">IF(AND(AN$3&gt;=CEG_Assets!$AA$11,AN$3&lt;=CEG_Assets!$AB$11),MIN(CEG_Assets!$D$11,CEG_Assets!$Z$11*MIN(1,(AN$3-CEG_Assets!$AA$11+1)/MAX(1,CEG_Assets!$AC$11))),0)*AN306</f>
        <v>0</v>
      </c>
      <c r="AO307" s="9" t="n">
        <f aca="false">IF(AND(AO$3&gt;=CEG_Assets!$AA$11,AO$3&lt;=CEG_Assets!$AB$11),MIN(CEG_Assets!$D$11,CEG_Assets!$Z$11*MIN(1,(AO$3-CEG_Assets!$AA$11+1)/MAX(1,CEG_Assets!$AC$11))),0)*AO306</f>
        <v>0</v>
      </c>
      <c r="AP307" s="9" t="n">
        <f aca="false">IF(AND(AP$3&gt;=CEG_Assets!$AA$11,AP$3&lt;=CEG_Assets!$AB$11),MIN(CEG_Assets!$D$11,CEG_Assets!$Z$11*MIN(1,(AP$3-CEG_Assets!$AA$11+1)/MAX(1,CEG_Assets!$AC$11))),0)*AP306</f>
        <v>0</v>
      </c>
      <c r="AQ307" s="9" t="n">
        <f aca="false">IF(AND(AQ$3&gt;=CEG_Assets!$AA$11,AQ$3&lt;=CEG_Assets!$AB$11),MIN(CEG_Assets!$D$11,CEG_Assets!$Z$11*MIN(1,(AQ$3-CEG_Assets!$AA$11+1)/MAX(1,CEG_Assets!$AC$11))),0)*AQ306</f>
        <v>0</v>
      </c>
      <c r="AR307" s="9" t="n">
        <f aca="false">IF(AND(AR$3&gt;=CEG_Assets!$AA$11,AR$3&lt;=CEG_Assets!$AB$11),MIN(CEG_Assets!$D$11,CEG_Assets!$Z$11*MIN(1,(AR$3-CEG_Assets!$AA$11+1)/MAX(1,CEG_Assets!$AC$11))),0)*AR306</f>
        <v>0</v>
      </c>
      <c r="AS307" s="9" t="n">
        <f aca="false">IF(AND(AS$3&gt;=CEG_Assets!$AA$11,AS$3&lt;=CEG_Assets!$AB$11),MIN(CEG_Assets!$D$11,CEG_Assets!$Z$11*MIN(1,(AS$3-CEG_Assets!$AA$11+1)/MAX(1,CEG_Assets!$AC$11))),0)*AS306</f>
        <v>0</v>
      </c>
    </row>
    <row r="308" customFormat="false" ht="15" hidden="false" customHeight="false" outlineLevel="0" collapsed="false">
      <c r="A308" s="6" t="s">
        <v>429</v>
      </c>
      <c r="B308" s="6" t="s">
        <v>430</v>
      </c>
      <c r="G308" s="9" t="n">
        <f aca="false">(CEG_Assets!$D$11-G307)*8760*CEG_Assets!$I$11*G306</f>
        <v>671191.2</v>
      </c>
      <c r="H308" s="9" t="n">
        <f aca="false">(CEG_Assets!$D$11-H307)*8760*CEG_Assets!$I$11*H306</f>
        <v>671191.2</v>
      </c>
      <c r="I308" s="9" t="n">
        <f aca="false">(CEG_Assets!$D$11-I307)*8760*CEG_Assets!$I$11*I306</f>
        <v>671191.2</v>
      </c>
      <c r="J308" s="9" t="n">
        <f aca="false">(CEG_Assets!$D$11-J307)*8760*CEG_Assets!$I$11*J306</f>
        <v>671191.2</v>
      </c>
      <c r="K308" s="9" t="n">
        <f aca="false">(CEG_Assets!$D$11-K307)*8760*CEG_Assets!$I$11*K306</f>
        <v>671191.2</v>
      </c>
      <c r="L308" s="9" t="n">
        <f aca="false">(CEG_Assets!$D$11-L307)*8760*CEG_Assets!$I$11*L306</f>
        <v>671191.2</v>
      </c>
      <c r="M308" s="9" t="n">
        <f aca="false">(CEG_Assets!$D$11-M307)*8760*CEG_Assets!$I$11*M306</f>
        <v>671191.2</v>
      </c>
      <c r="N308" s="9" t="n">
        <f aca="false">(CEG_Assets!$D$11-N307)*8760*CEG_Assets!$I$11*N306</f>
        <v>671191.2</v>
      </c>
      <c r="O308" s="9" t="n">
        <f aca="false">(CEG_Assets!$D$11-O307)*8760*CEG_Assets!$I$11*O306</f>
        <v>671191.2</v>
      </c>
      <c r="P308" s="9" t="n">
        <f aca="false">(CEG_Assets!$D$11-P307)*8760*CEG_Assets!$I$11*P306</f>
        <v>671191.2</v>
      </c>
      <c r="Q308" s="9" t="n">
        <f aca="false">(CEG_Assets!$D$11-Q307)*8760*CEG_Assets!$I$11*Q306</f>
        <v>671191.2</v>
      </c>
      <c r="R308" s="9" t="n">
        <f aca="false">(CEG_Assets!$D$11-R307)*8760*CEG_Assets!$I$11*R306</f>
        <v>671191.2</v>
      </c>
      <c r="S308" s="9" t="n">
        <f aca="false">(CEG_Assets!$D$11-S307)*8760*CEG_Assets!$I$11*S306</f>
        <v>0</v>
      </c>
      <c r="T308" s="9" t="n">
        <f aca="false">(CEG_Assets!$D$11-T307)*8760*CEG_Assets!$I$11*T306</f>
        <v>0</v>
      </c>
      <c r="U308" s="9" t="n">
        <f aca="false">(CEG_Assets!$D$11-U307)*8760*CEG_Assets!$I$11*U306</f>
        <v>0</v>
      </c>
      <c r="V308" s="9" t="n">
        <f aca="false">(CEG_Assets!$D$11-V307)*8760*CEG_Assets!$I$11*V306</f>
        <v>0</v>
      </c>
      <c r="W308" s="9" t="n">
        <f aca="false">(CEG_Assets!$D$11-W307)*8760*CEG_Assets!$I$11*W306</f>
        <v>0</v>
      </c>
      <c r="X308" s="9" t="n">
        <f aca="false">(CEG_Assets!$D$11-X307)*8760*CEG_Assets!$I$11*X306</f>
        <v>0</v>
      </c>
      <c r="Y308" s="9" t="n">
        <f aca="false">(CEG_Assets!$D$11-Y307)*8760*CEG_Assets!$I$11*Y306</f>
        <v>0</v>
      </c>
      <c r="Z308" s="9" t="n">
        <f aca="false">(CEG_Assets!$D$11-Z307)*8760*CEG_Assets!$I$11*Z306</f>
        <v>0</v>
      </c>
      <c r="AA308" s="9" t="n">
        <f aca="false">(CEG_Assets!$D$11-AA307)*8760*CEG_Assets!$I$11*AA306</f>
        <v>0</v>
      </c>
      <c r="AB308" s="9" t="n">
        <f aca="false">(CEG_Assets!$D$11-AB307)*8760*CEG_Assets!$I$11*AB306</f>
        <v>0</v>
      </c>
      <c r="AC308" s="9" t="n">
        <f aca="false">(CEG_Assets!$D$11-AC307)*8760*CEG_Assets!$I$11*AC306</f>
        <v>0</v>
      </c>
      <c r="AD308" s="9" t="n">
        <f aca="false">(CEG_Assets!$D$11-AD307)*8760*CEG_Assets!$I$11*AD306</f>
        <v>0</v>
      </c>
      <c r="AE308" s="9" t="n">
        <f aca="false">(CEG_Assets!$D$11-AE307)*8760*CEG_Assets!$I$11*AE306</f>
        <v>0</v>
      </c>
      <c r="AF308" s="9" t="n">
        <f aca="false">(CEG_Assets!$D$11-AF307)*8760*CEG_Assets!$I$11*AF306</f>
        <v>0</v>
      </c>
      <c r="AG308" s="9" t="n">
        <f aca="false">(CEG_Assets!$D$11-AG307)*8760*CEG_Assets!$I$11*AG306</f>
        <v>0</v>
      </c>
      <c r="AH308" s="9" t="n">
        <f aca="false">(CEG_Assets!$D$11-AH307)*8760*CEG_Assets!$I$11*AH306</f>
        <v>0</v>
      </c>
      <c r="AI308" s="9" t="n">
        <f aca="false">(CEG_Assets!$D$11-AI307)*8760*CEG_Assets!$I$11*AI306</f>
        <v>0</v>
      </c>
      <c r="AJ308" s="9" t="n">
        <f aca="false">(CEG_Assets!$D$11-AJ307)*8760*CEG_Assets!$I$11*AJ306</f>
        <v>0</v>
      </c>
      <c r="AK308" s="9" t="n">
        <f aca="false">(CEG_Assets!$D$11-AK307)*8760*CEG_Assets!$I$11*AK306</f>
        <v>0</v>
      </c>
      <c r="AL308" s="9" t="n">
        <f aca="false">(CEG_Assets!$D$11-AL307)*8760*CEG_Assets!$I$11*AL306</f>
        <v>0</v>
      </c>
      <c r="AM308" s="9" t="n">
        <f aca="false">(CEG_Assets!$D$11-AM307)*8760*CEG_Assets!$I$11*AM306</f>
        <v>0</v>
      </c>
      <c r="AN308" s="9" t="n">
        <f aca="false">(CEG_Assets!$D$11-AN307)*8760*CEG_Assets!$I$11*AN306</f>
        <v>0</v>
      </c>
      <c r="AO308" s="9" t="n">
        <f aca="false">(CEG_Assets!$D$11-AO307)*8760*CEG_Assets!$I$11*AO306</f>
        <v>0</v>
      </c>
      <c r="AP308" s="9" t="n">
        <f aca="false">(CEG_Assets!$D$11-AP307)*8760*CEG_Assets!$I$11*AP306</f>
        <v>0</v>
      </c>
      <c r="AQ308" s="9" t="n">
        <f aca="false">(CEG_Assets!$D$11-AQ307)*8760*CEG_Assets!$I$11*AQ306</f>
        <v>0</v>
      </c>
      <c r="AR308" s="9" t="n">
        <f aca="false">(CEG_Assets!$D$11-AR307)*8760*CEG_Assets!$I$11*AR306</f>
        <v>0</v>
      </c>
      <c r="AS308" s="9" t="n">
        <f aca="false">(CEG_Assets!$D$11-AS307)*8760*CEG_Assets!$I$11*AS306</f>
        <v>0</v>
      </c>
    </row>
    <row r="309" customFormat="false" ht="15" hidden="false" customHeight="false" outlineLevel="0" collapsed="false">
      <c r="A309" s="6" t="s">
        <v>431</v>
      </c>
      <c r="B309" s="6" t="s">
        <v>432</v>
      </c>
      <c r="G309" s="9" t="n">
        <f aca="false">G307*8760*CEG_Assets!$I$11*G306</f>
        <v>0</v>
      </c>
      <c r="H309" s="9" t="n">
        <f aca="false">H307*8760*CEG_Assets!$I$11*H306</f>
        <v>0</v>
      </c>
      <c r="I309" s="9" t="n">
        <f aca="false">I307*8760*CEG_Assets!$I$11*I306</f>
        <v>0</v>
      </c>
      <c r="J309" s="9" t="n">
        <f aca="false">J307*8760*CEG_Assets!$I$11*J306</f>
        <v>0</v>
      </c>
      <c r="K309" s="9" t="n">
        <f aca="false">K307*8760*CEG_Assets!$I$11*K306</f>
        <v>0</v>
      </c>
      <c r="L309" s="9" t="n">
        <f aca="false">L307*8760*CEG_Assets!$I$11*L306</f>
        <v>0</v>
      </c>
      <c r="M309" s="9" t="n">
        <f aca="false">M307*8760*CEG_Assets!$I$11*M306</f>
        <v>0</v>
      </c>
      <c r="N309" s="9" t="n">
        <f aca="false">N307*8760*CEG_Assets!$I$11*N306</f>
        <v>0</v>
      </c>
      <c r="O309" s="9" t="n">
        <f aca="false">O307*8760*CEG_Assets!$I$11*O306</f>
        <v>0</v>
      </c>
      <c r="P309" s="9" t="n">
        <f aca="false">P307*8760*CEG_Assets!$I$11*P306</f>
        <v>0</v>
      </c>
      <c r="Q309" s="9" t="n">
        <f aca="false">Q307*8760*CEG_Assets!$I$11*Q306</f>
        <v>0</v>
      </c>
      <c r="R309" s="9" t="n">
        <f aca="false">R307*8760*CEG_Assets!$I$11*R306</f>
        <v>0</v>
      </c>
      <c r="S309" s="9" t="n">
        <f aca="false">S307*8760*CEG_Assets!$I$11*S306</f>
        <v>0</v>
      </c>
      <c r="T309" s="9" t="n">
        <f aca="false">T307*8760*CEG_Assets!$I$11*T306</f>
        <v>0</v>
      </c>
      <c r="U309" s="9" t="n">
        <f aca="false">U307*8760*CEG_Assets!$I$11*U306</f>
        <v>0</v>
      </c>
      <c r="V309" s="9" t="n">
        <f aca="false">V307*8760*CEG_Assets!$I$11*V306</f>
        <v>0</v>
      </c>
      <c r="W309" s="9" t="n">
        <f aca="false">W307*8760*CEG_Assets!$I$11*W306</f>
        <v>0</v>
      </c>
      <c r="X309" s="9" t="n">
        <f aca="false">X307*8760*CEG_Assets!$I$11*X306</f>
        <v>0</v>
      </c>
      <c r="Y309" s="9" t="n">
        <f aca="false">Y307*8760*CEG_Assets!$I$11*Y306</f>
        <v>0</v>
      </c>
      <c r="Z309" s="9" t="n">
        <f aca="false">Z307*8760*CEG_Assets!$I$11*Z306</f>
        <v>0</v>
      </c>
      <c r="AA309" s="9" t="n">
        <f aca="false">AA307*8760*CEG_Assets!$I$11*AA306</f>
        <v>0</v>
      </c>
      <c r="AB309" s="9" t="n">
        <f aca="false">AB307*8760*CEG_Assets!$I$11*AB306</f>
        <v>0</v>
      </c>
      <c r="AC309" s="9" t="n">
        <f aca="false">AC307*8760*CEG_Assets!$I$11*AC306</f>
        <v>0</v>
      </c>
      <c r="AD309" s="9" t="n">
        <f aca="false">AD307*8760*CEG_Assets!$I$11*AD306</f>
        <v>0</v>
      </c>
      <c r="AE309" s="9" t="n">
        <f aca="false">AE307*8760*CEG_Assets!$I$11*AE306</f>
        <v>0</v>
      </c>
      <c r="AF309" s="9" t="n">
        <f aca="false">AF307*8760*CEG_Assets!$I$11*AF306</f>
        <v>0</v>
      </c>
      <c r="AG309" s="9" t="n">
        <f aca="false">AG307*8760*CEG_Assets!$I$11*AG306</f>
        <v>0</v>
      </c>
      <c r="AH309" s="9" t="n">
        <f aca="false">AH307*8760*CEG_Assets!$I$11*AH306</f>
        <v>0</v>
      </c>
      <c r="AI309" s="9" t="n">
        <f aca="false">AI307*8760*CEG_Assets!$I$11*AI306</f>
        <v>0</v>
      </c>
      <c r="AJ309" s="9" t="n">
        <f aca="false">AJ307*8760*CEG_Assets!$I$11*AJ306</f>
        <v>0</v>
      </c>
      <c r="AK309" s="9" t="n">
        <f aca="false">AK307*8760*CEG_Assets!$I$11*AK306</f>
        <v>0</v>
      </c>
      <c r="AL309" s="9" t="n">
        <f aca="false">AL307*8760*CEG_Assets!$I$11*AL306</f>
        <v>0</v>
      </c>
      <c r="AM309" s="9" t="n">
        <f aca="false">AM307*8760*CEG_Assets!$I$11*AM306</f>
        <v>0</v>
      </c>
      <c r="AN309" s="9" t="n">
        <f aca="false">AN307*8760*CEG_Assets!$I$11*AN306</f>
        <v>0</v>
      </c>
      <c r="AO309" s="9" t="n">
        <f aca="false">AO307*8760*CEG_Assets!$I$11*AO306</f>
        <v>0</v>
      </c>
      <c r="AP309" s="9" t="n">
        <f aca="false">AP307*8760*CEG_Assets!$I$11*AP306</f>
        <v>0</v>
      </c>
      <c r="AQ309" s="9" t="n">
        <f aca="false">AQ307*8760*CEG_Assets!$I$11*AQ306</f>
        <v>0</v>
      </c>
      <c r="AR309" s="9" t="n">
        <f aca="false">AR307*8760*CEG_Assets!$I$11*AR306</f>
        <v>0</v>
      </c>
      <c r="AS309" s="9" t="n">
        <f aca="false">AS307*8760*CEG_Assets!$I$11*AS306</f>
        <v>0</v>
      </c>
    </row>
    <row r="310" customFormat="false" ht="15" hidden="false" customHeight="false" outlineLevel="0" collapsed="false">
      <c r="A310" s="6" t="s">
        <v>433</v>
      </c>
      <c r="B310" s="6" t="s">
        <v>434</v>
      </c>
      <c r="G310" s="7" t="n">
        <f aca="false">IF(ISNUMBER(CEG_Assets!$L$11),CEG_Assets!$L$11*G$4,INDEX(Prices!G:G,CEG_Assets!$AO$11)+FuelAdder*G$4)</f>
        <v>4.131</v>
      </c>
      <c r="H310" s="7" t="n">
        <f aca="false">IF(ISNUMBER(CEG_Assets!$L$11),CEG_Assets!$L$11*H$4,INDEX(Prices!H:H,CEG_Assets!$AO$11)+FuelAdder*H$4)</f>
        <v>4.21362</v>
      </c>
      <c r="I310" s="7" t="n">
        <f aca="false">IF(ISNUMBER(CEG_Assets!$L$11),CEG_Assets!$L$11*I$4,INDEX(Prices!I:I,CEG_Assets!$AO$11)+FuelAdder*I$4)</f>
        <v>4.4040132</v>
      </c>
      <c r="J310" s="7" t="n">
        <f aca="false">IF(ISNUMBER(CEG_Assets!$L$11),CEG_Assets!$L$11*J$4,INDEX(Prices!J:J,CEG_Assets!$AO$11)+FuelAdder*J$4)</f>
        <v>4.492093464</v>
      </c>
      <c r="K310" s="7" t="n">
        <f aca="false">IF(ISNUMBER(CEG_Assets!$L$11),CEG_Assets!$L$11*K$4,INDEX(Prices!K:K,CEG_Assets!$AO$11)+FuelAdder*K$4)</f>
        <v>4.58193533328</v>
      </c>
      <c r="L310" s="7" t="n">
        <f aca="false">IF(ISNUMBER(CEG_Assets!$L$11),CEG_Assets!$L$11*L$4,INDEX(Prices!L:L,CEG_Assets!$AO$11)+FuelAdder*L$4)</f>
        <v>4.6735740399456</v>
      </c>
      <c r="M310" s="7" t="n">
        <f aca="false">IF(ISNUMBER(CEG_Assets!$L$11),CEG_Assets!$L$11*M$4,INDEX(Prices!M:M,CEG_Assets!$AO$11)+FuelAdder*M$4)</f>
        <v>4.76704552074451</v>
      </c>
      <c r="N310" s="7" t="n">
        <f aca="false">IF(ISNUMBER(CEG_Assets!$L$11),CEG_Assets!$L$11*N$4,INDEX(Prices!N:N,CEG_Assets!$AO$11)+FuelAdder*N$4)</f>
        <v>4.8623864311594</v>
      </c>
      <c r="O310" s="7" t="n">
        <f aca="false">IF(ISNUMBER(CEG_Assets!$L$11),CEG_Assets!$L$11*O$4,INDEX(Prices!O:O,CEG_Assets!$AO$11)+FuelAdder*O$4)</f>
        <v>4.95963415978259</v>
      </c>
      <c r="P310" s="7" t="n">
        <f aca="false">IF(ISNUMBER(CEG_Assets!$L$11),CEG_Assets!$L$11*P$4,INDEX(Prices!P:P,CEG_Assets!$AO$11)+FuelAdder*P$4)</f>
        <v>5.05882684297824</v>
      </c>
      <c r="Q310" s="7" t="n">
        <f aca="false">IF(ISNUMBER(CEG_Assets!$L$11),CEG_Assets!$L$11*Q$4,INDEX(Prices!Q:Q,CEG_Assets!$AO$11)+FuelAdder*Q$4)</f>
        <v>5.16000337983781</v>
      </c>
      <c r="R310" s="7" t="n">
        <f aca="false">IF(ISNUMBER(CEG_Assets!$L$11),CEG_Assets!$L$11*R$4,INDEX(Prices!R:R,CEG_Assets!$AO$11)+FuelAdder*R$4)</f>
        <v>5.26320344743456</v>
      </c>
      <c r="S310" s="7" t="n">
        <f aca="false">IF(ISNUMBER(CEG_Assets!$L$11),CEG_Assets!$L$11*S$4,INDEX(Prices!S:S,CEG_Assets!$AO$11)+FuelAdder*S$4)</f>
        <v>5.36846751638326</v>
      </c>
      <c r="T310" s="7" t="n">
        <f aca="false">IF(ISNUMBER(CEG_Assets!$L$11),CEG_Assets!$L$11*T$4,INDEX(Prices!T:T,CEG_Assets!$AO$11)+FuelAdder*T$4)</f>
        <v>5.47583686671092</v>
      </c>
      <c r="U310" s="7" t="n">
        <f aca="false">IF(ISNUMBER(CEG_Assets!$L$11),CEG_Assets!$L$11*U$4,INDEX(Prices!U:U,CEG_Assets!$AO$11)+FuelAdder*U$4)</f>
        <v>5.58535360404514</v>
      </c>
      <c r="V310" s="7" t="n">
        <f aca="false">IF(ISNUMBER(CEG_Assets!$L$11),CEG_Assets!$L$11*V$4,INDEX(Prices!V:V,CEG_Assets!$AO$11)+FuelAdder*V$4)</f>
        <v>5.69706067612604</v>
      </c>
      <c r="W310" s="7" t="n">
        <f aca="false">IF(ISNUMBER(CEG_Assets!$L$11),CEG_Assets!$L$11*W$4,INDEX(Prices!W:W,CEG_Assets!$AO$11)+FuelAdder*W$4)</f>
        <v>5.81100188964856</v>
      </c>
      <c r="X310" s="7" t="n">
        <f aca="false">IF(ISNUMBER(CEG_Assets!$L$11),CEG_Assets!$L$11*X$4,INDEX(Prices!X:X,CEG_Assets!$AO$11)+FuelAdder*X$4)</f>
        <v>5.92722192744153</v>
      </c>
      <c r="Y310" s="7" t="n">
        <f aca="false">IF(ISNUMBER(CEG_Assets!$L$11),CEG_Assets!$L$11*Y$4,INDEX(Prices!Y:Y,CEG_Assets!$AO$11)+FuelAdder*Y$4)</f>
        <v>6.04576636599037</v>
      </c>
      <c r="Z310" s="7" t="n">
        <f aca="false">IF(ISNUMBER(CEG_Assets!$L$11),CEG_Assets!$L$11*Z$4,INDEX(Prices!Z:Z,CEG_Assets!$AO$11)+FuelAdder*Z$4)</f>
        <v>6.16668169331017</v>
      </c>
      <c r="AA310" s="7" t="n">
        <f aca="false">IF(ISNUMBER(CEG_Assets!$L$11),CEG_Assets!$L$11*AA$4,INDEX(Prices!AA:AA,CEG_Assets!$AO$11)+FuelAdder*AA$4)</f>
        <v>6.29001532717638</v>
      </c>
      <c r="AB310" s="7" t="n">
        <f aca="false">IF(ISNUMBER(CEG_Assets!$L$11),CEG_Assets!$L$11*AB$4,INDEX(Prices!AB:AB,CEG_Assets!$AO$11)+FuelAdder*AB$4)</f>
        <v>6.4158156337199</v>
      </c>
      <c r="AC310" s="7" t="n">
        <f aca="false">IF(ISNUMBER(CEG_Assets!$L$11),CEG_Assets!$L$11*AC$4,INDEX(Prices!AC:AC,CEG_Assets!$AO$11)+FuelAdder*AC$4)</f>
        <v>6.5441319463943</v>
      </c>
      <c r="AD310" s="7" t="n">
        <f aca="false">IF(ISNUMBER(CEG_Assets!$L$11),CEG_Assets!$L$11*AD$4,INDEX(Prices!AD:AD,CEG_Assets!$AO$11)+FuelAdder*AD$4)</f>
        <v>6.67501458532219</v>
      </c>
      <c r="AE310" s="7" t="n">
        <f aca="false">IF(ISNUMBER(CEG_Assets!$L$11),CEG_Assets!$L$11*AE$4,INDEX(Prices!AE:AE,CEG_Assets!$AO$11)+FuelAdder*AE$4)</f>
        <v>6.80851487702863</v>
      </c>
      <c r="AF310" s="7" t="n">
        <f aca="false">IF(ISNUMBER(CEG_Assets!$L$11),CEG_Assets!$L$11*AF$4,INDEX(Prices!AF:AF,CEG_Assets!$AO$11)+FuelAdder*AF$4)</f>
        <v>6.94468517456921</v>
      </c>
      <c r="AG310" s="7" t="n">
        <f aca="false">IF(ISNUMBER(CEG_Assets!$L$11),CEG_Assets!$L$11*AG$4,INDEX(Prices!AG:AG,CEG_Assets!$AO$11)+FuelAdder*AG$4)</f>
        <v>7.08357887806059</v>
      </c>
      <c r="AH310" s="7" t="n">
        <f aca="false">IF(ISNUMBER(CEG_Assets!$L$11),CEG_Assets!$L$11*AH$4,INDEX(Prices!AH:AH,CEG_Assets!$AO$11)+FuelAdder*AH$4)</f>
        <v>7.2252504556218</v>
      </c>
      <c r="AI310" s="7" t="n">
        <f aca="false">IF(ISNUMBER(CEG_Assets!$L$11),CEG_Assets!$L$11*AI$4,INDEX(Prices!AI:AI,CEG_Assets!$AO$11)+FuelAdder*AI$4)</f>
        <v>7.36975546473424</v>
      </c>
      <c r="AJ310" s="7" t="n">
        <f aca="false">IF(ISNUMBER(CEG_Assets!$L$11),CEG_Assets!$L$11*AJ$4,INDEX(Prices!AJ:AJ,CEG_Assets!$AO$11)+FuelAdder*AJ$4)</f>
        <v>7.51715057402892</v>
      </c>
      <c r="AK310" s="7" t="n">
        <f aca="false">IF(ISNUMBER(CEG_Assets!$L$11),CEG_Assets!$L$11*AK$4,INDEX(Prices!AK:AK,CEG_Assets!$AO$11)+FuelAdder*AK$4)</f>
        <v>7.6674935855095</v>
      </c>
      <c r="AL310" s="7" t="n">
        <f aca="false">IF(ISNUMBER(CEG_Assets!$L$11),CEG_Assets!$L$11*AL$4,INDEX(Prices!AL:AL,CEG_Assets!$AO$11)+FuelAdder*AL$4)</f>
        <v>7.82084345721969</v>
      </c>
      <c r="AM310" s="7" t="n">
        <f aca="false">IF(ISNUMBER(CEG_Assets!$L$11),CEG_Assets!$L$11*AM$4,INDEX(Prices!AM:AM,CEG_Assets!$AO$11)+FuelAdder*AM$4)</f>
        <v>7.97726032636409</v>
      </c>
      <c r="AN310" s="7" t="n">
        <f aca="false">IF(ISNUMBER(CEG_Assets!$L$11),CEG_Assets!$L$11*AN$4,INDEX(Prices!AN:AN,CEG_Assets!$AO$11)+FuelAdder*AN$4)</f>
        <v>8.13680553289137</v>
      </c>
      <c r="AO310" s="7" t="n">
        <f aca="false">IF(ISNUMBER(CEG_Assets!$L$11),CEG_Assets!$L$11*AO$4,INDEX(Prices!AO:AO,CEG_Assets!$AO$11)+FuelAdder*AO$4)</f>
        <v>8.29954164354919</v>
      </c>
      <c r="AP310" s="7" t="n">
        <f aca="false">IF(ISNUMBER(CEG_Assets!$L$11),CEG_Assets!$L$11*AP$4,INDEX(Prices!AP:AP,CEG_Assets!$AO$11)+FuelAdder*AP$4)</f>
        <v>8.46553247642018</v>
      </c>
      <c r="AQ310" s="7" t="n">
        <f aca="false">IF(ISNUMBER(CEG_Assets!$L$11),CEG_Assets!$L$11*AQ$4,INDEX(Prices!AQ:AQ,CEG_Assets!$AO$11)+FuelAdder*AQ$4)</f>
        <v>8.63484312594858</v>
      </c>
      <c r="AR310" s="7" t="n">
        <f aca="false">IF(ISNUMBER(CEG_Assets!$L$11),CEG_Assets!$L$11*AR$4,INDEX(Prices!AR:AR,CEG_Assets!$AO$11)+FuelAdder*AR$4)</f>
        <v>8.80753998846755</v>
      </c>
      <c r="AS310" s="7" t="n">
        <f aca="false">IF(ISNUMBER(CEG_Assets!$L$11),CEG_Assets!$L$11*AS$4,INDEX(Prices!AS:AS,CEG_Assets!$AO$11)+FuelAdder*AS$4)</f>
        <v>8.9836907882369</v>
      </c>
    </row>
    <row r="311" customFormat="false" ht="15" hidden="false" customHeight="false" outlineLevel="0" collapsed="false">
      <c r="A311" s="6" t="s">
        <v>435</v>
      </c>
      <c r="B311" s="6" t="s">
        <v>436</v>
      </c>
      <c r="G311" s="7" t="n">
        <f aca="false">INDEX(Prices!G:G,CEG_Assets!$AN$11)*CEG_Assets!$J$11-CEG_Assets!$K$11*G310-CEG_Assets!$M$11*G$4</f>
        <v>74.0245</v>
      </c>
      <c r="H311" s="7" t="n">
        <f aca="false">INDEX(Prices!H:H,CEG_Assets!$AN$11)*CEG_Assets!$J$11-CEG_Assets!$K$11*H310-CEG_Assets!$M$11*H$4</f>
        <v>78.05499</v>
      </c>
      <c r="I311" s="7" t="n">
        <f aca="false">INDEX(Prices!I:I,CEG_Assets!$AN$11)*CEG_Assets!$J$11-CEG_Assets!$K$11*I310-CEG_Assets!$M$11*I$4</f>
        <v>79.8436469</v>
      </c>
      <c r="J311" s="7" t="n">
        <f aca="false">INDEX(Prices!J:J,CEG_Assets!$AN$11)*CEG_Assets!$J$11-CEG_Assets!$K$11*J310-CEG_Assets!$M$11*J$4</f>
        <v>82.860181848</v>
      </c>
      <c r="K311" s="7" t="n">
        <f aca="false">INDEX(Prices!K:K,CEG_Assets!$AN$11)*CEG_Assets!$J$11-CEG_Assets!$K$11*K310-CEG_Assets!$M$11*K$4</f>
        <v>84.51738548496</v>
      </c>
      <c r="L311" s="7" t="n">
        <f aca="false">INDEX(Prices!L:L,CEG_Assets!$AN$11)*CEG_Assets!$J$11-CEG_Assets!$K$11*L310-CEG_Assets!$M$11*L$4</f>
        <v>86.2077331946592</v>
      </c>
      <c r="M311" s="7" t="n">
        <f aca="false">INDEX(Prices!M:M,CEG_Assets!$AN$11)*CEG_Assets!$J$11-CEG_Assets!$K$11*M310-CEG_Assets!$M$11*M$4</f>
        <v>87.9318878585524</v>
      </c>
      <c r="N311" s="7" t="n">
        <f aca="false">INDEX(Prices!N:N,CEG_Assets!$AN$11)*CEG_Assets!$J$11-CEG_Assets!$K$11*N310-CEG_Assets!$M$11*N$4</f>
        <v>89.6905256157235</v>
      </c>
      <c r="O311" s="7" t="n">
        <f aca="false">INDEX(Prices!O:O,CEG_Assets!$AN$11)*CEG_Assets!$J$11-CEG_Assets!$K$11*O310-CEG_Assets!$M$11*O$4</f>
        <v>91.4843361280379</v>
      </c>
      <c r="P311" s="7" t="n">
        <f aca="false">INDEX(Prices!P:P,CEG_Assets!$AN$11)*CEG_Assets!$J$11-CEG_Assets!$K$11*P310-CEG_Assets!$M$11*P$4</f>
        <v>93.3140228505987</v>
      </c>
      <c r="Q311" s="7" t="n">
        <f aca="false">INDEX(Prices!Q:Q,CEG_Assets!$AN$11)*CEG_Assets!$J$11-CEG_Assets!$K$11*Q310-CEG_Assets!$M$11*Q$4</f>
        <v>95.1803033076107</v>
      </c>
      <c r="R311" s="7" t="n">
        <f aca="false">INDEX(Prices!R:R,CEG_Assets!$AN$11)*CEG_Assets!$J$11-CEG_Assets!$K$11*R310-CEG_Assets!$M$11*R$4</f>
        <v>97.0839093737629</v>
      </c>
      <c r="S311" s="7" t="n">
        <f aca="false">INDEX(Prices!S:S,CEG_Assets!$AN$11)*CEG_Assets!$J$11-CEG_Assets!$K$11*S310-CEG_Assets!$M$11*S$4</f>
        <v>99.0255875612381</v>
      </c>
      <c r="T311" s="7" t="n">
        <f aca="false">INDEX(Prices!T:T,CEG_Assets!$AN$11)*CEG_Assets!$J$11-CEG_Assets!$K$11*T310-CEG_Assets!$M$11*T$4</f>
        <v>101.006099312463</v>
      </c>
      <c r="U311" s="7" t="n">
        <f aca="false">INDEX(Prices!U:U,CEG_Assets!$AN$11)*CEG_Assets!$J$11-CEG_Assets!$K$11*U310-CEG_Assets!$M$11*U$4</f>
        <v>103.026221298712</v>
      </c>
      <c r="V311" s="7" t="n">
        <f aca="false">INDEX(Prices!V:V,CEG_Assets!$AN$11)*CEG_Assets!$J$11-CEG_Assets!$K$11*V310-CEG_Assets!$M$11*V$4</f>
        <v>105.086745724686</v>
      </c>
      <c r="W311" s="7" t="n">
        <f aca="false">INDEX(Prices!W:W,CEG_Assets!$AN$11)*CEG_Assets!$J$11-CEG_Assets!$K$11*W310-CEG_Assets!$M$11*W$4</f>
        <v>107.18848063918</v>
      </c>
      <c r="X311" s="7" t="n">
        <f aca="false">INDEX(Prices!X:X,CEG_Assets!$AN$11)*CEG_Assets!$J$11-CEG_Assets!$K$11*X310-CEG_Assets!$M$11*X$4</f>
        <v>109.332250251964</v>
      </c>
      <c r="Y311" s="7" t="n">
        <f aca="false">INDEX(Prices!Y:Y,CEG_Assets!$AN$11)*CEG_Assets!$J$11-CEG_Assets!$K$11*Y310-CEG_Assets!$M$11*Y$4</f>
        <v>111.518895257003</v>
      </c>
      <c r="Z311" s="7" t="n">
        <f aca="false">INDEX(Prices!Z:Z,CEG_Assets!$AN$11)*CEG_Assets!$J$11-CEG_Assets!$K$11*Z310-CEG_Assets!$M$11*Z$4</f>
        <v>113.749273162143</v>
      </c>
      <c r="AA311" s="7" t="n">
        <f aca="false">INDEX(Prices!AA:AA,CEG_Assets!$AN$11)*CEG_Assets!$J$11-CEG_Assets!$K$11*AA310-CEG_Assets!$M$11*AA$4</f>
        <v>116.024258625386</v>
      </c>
      <c r="AB311" s="7" t="n">
        <f aca="false">INDEX(Prices!AB:AB,CEG_Assets!$AN$11)*CEG_Assets!$J$11-CEG_Assets!$K$11*AB310-CEG_Assets!$M$11*AB$4</f>
        <v>118.344743797894</v>
      </c>
      <c r="AC311" s="7" t="n">
        <f aca="false">INDEX(Prices!AC:AC,CEG_Assets!$AN$11)*CEG_Assets!$J$11-CEG_Assets!$K$11*AC310-CEG_Assets!$M$11*AC$4</f>
        <v>120.711638673852</v>
      </c>
      <c r="AD311" s="7" t="n">
        <f aca="false">INDEX(Prices!AD:AD,CEG_Assets!$AN$11)*CEG_Assets!$J$11-CEG_Assets!$K$11*AD310-CEG_Assets!$M$11*AD$4</f>
        <v>123.125871447329</v>
      </c>
      <c r="AE311" s="7" t="n">
        <f aca="false">INDEX(Prices!AE:AE,CEG_Assets!$AN$11)*CEG_Assets!$J$11-CEG_Assets!$K$11*AE310-CEG_Assets!$M$11*AE$4</f>
        <v>125.588388876275</v>
      </c>
      <c r="AF311" s="7" t="n">
        <f aca="false">INDEX(Prices!AF:AF,CEG_Assets!$AN$11)*CEG_Assets!$J$11-CEG_Assets!$K$11*AF310-CEG_Assets!$M$11*AF$4</f>
        <v>128.100156653801</v>
      </c>
      <c r="AG311" s="7" t="n">
        <f aca="false">INDEX(Prices!AG:AG,CEG_Assets!$AN$11)*CEG_Assets!$J$11-CEG_Assets!$K$11*AG310-CEG_Assets!$M$11*AG$4</f>
        <v>130.662159786877</v>
      </c>
      <c r="AH311" s="7" t="n">
        <f aca="false">INDEX(Prices!AH:AH,CEG_Assets!$AN$11)*CEG_Assets!$J$11-CEG_Assets!$K$11*AH310-CEG_Assets!$M$11*AH$4</f>
        <v>133.275402982614</v>
      </c>
      <c r="AI311" s="7" t="n">
        <f aca="false">INDEX(Prices!AI:AI,CEG_Assets!$AN$11)*CEG_Assets!$J$11-CEG_Assets!$K$11*AI310-CEG_Assets!$M$11*AI$4</f>
        <v>135.940911042267</v>
      </c>
      <c r="AJ311" s="7" t="n">
        <f aca="false">INDEX(Prices!AJ:AJ,CEG_Assets!$AN$11)*CEG_Assets!$J$11-CEG_Assets!$K$11*AJ310-CEG_Assets!$M$11*AJ$4</f>
        <v>138.659729263112</v>
      </c>
      <c r="AK311" s="7" t="n">
        <f aca="false">INDEX(Prices!AK:AK,CEG_Assets!$AN$11)*CEG_Assets!$J$11-CEG_Assets!$K$11*AK310-CEG_Assets!$M$11*AK$4</f>
        <v>141.432923848374</v>
      </c>
      <c r="AL311" s="7" t="n">
        <f aca="false">INDEX(Prices!AL:AL,CEG_Assets!$AN$11)*CEG_Assets!$J$11-CEG_Assets!$K$11*AL310-CEG_Assets!$M$11*AL$4</f>
        <v>144.261582325342</v>
      </c>
      <c r="AM311" s="7" t="n">
        <f aca="false">INDEX(Prices!AM:AM,CEG_Assets!$AN$11)*CEG_Assets!$J$11-CEG_Assets!$K$11*AM310-CEG_Assets!$M$11*AM$4</f>
        <v>147.146813971848</v>
      </c>
      <c r="AN311" s="7" t="n">
        <f aca="false">INDEX(Prices!AN:AN,CEG_Assets!$AN$11)*CEG_Assets!$J$11-CEG_Assets!$K$11*AN310-CEG_Assets!$M$11*AN$4</f>
        <v>150.089750251285</v>
      </c>
      <c r="AO311" s="7" t="n">
        <f aca="false">INDEX(Prices!AO:AO,CEG_Assets!$AN$11)*CEG_Assets!$J$11-CEG_Assets!$K$11*AO310-CEG_Assets!$M$11*AO$4</f>
        <v>153.091545256311</v>
      </c>
      <c r="AP311" s="7" t="n">
        <f aca="false">INDEX(Prices!AP:AP,CEG_Assets!$AN$11)*CEG_Assets!$J$11-CEG_Assets!$K$11*AP310-CEG_Assets!$M$11*AP$4</f>
        <v>156.153376161437</v>
      </c>
      <c r="AQ311" s="7" t="n">
        <f aca="false">INDEX(Prices!AQ:AQ,CEG_Assets!$AN$11)*CEG_Assets!$J$11-CEG_Assets!$K$11*AQ310-CEG_Assets!$M$11*AQ$4</f>
        <v>159.276443684666</v>
      </c>
      <c r="AR311" s="7" t="n">
        <f aca="false">INDEX(Prices!AR:AR,CEG_Assets!$AN$11)*CEG_Assets!$J$11-CEG_Assets!$K$11*AR310-CEG_Assets!$M$11*AR$4</f>
        <v>162.461972558359</v>
      </c>
      <c r="AS311" s="7" t="n">
        <f aca="false">INDEX(Prices!AS:AS,CEG_Assets!$AN$11)*CEG_Assets!$J$11-CEG_Assets!$K$11*AS310-CEG_Assets!$M$11*AS$4</f>
        <v>165.711212009527</v>
      </c>
    </row>
    <row r="312" customFormat="false" ht="15" hidden="false" customHeight="false" outlineLevel="0" collapsed="false">
      <c r="A312" s="6" t="s">
        <v>437</v>
      </c>
      <c r="B312" s="6" t="s">
        <v>438</v>
      </c>
      <c r="G312" s="47" t="n">
        <f aca="false">IF(CEG_Assets!$X$11=1,IF(G311&gt;0,1,0),1)</f>
        <v>1</v>
      </c>
      <c r="H312" s="47" t="n">
        <f aca="false">IF(CEG_Assets!$X$11=1,IF(H311&gt;0,1,0),1)</f>
        <v>1</v>
      </c>
      <c r="I312" s="47" t="n">
        <f aca="false">IF(CEG_Assets!$X$11=1,IF(I311&gt;0,1,0),1)</f>
        <v>1</v>
      </c>
      <c r="J312" s="47" t="n">
        <f aca="false">IF(CEG_Assets!$X$11=1,IF(J311&gt;0,1,0),1)</f>
        <v>1</v>
      </c>
      <c r="K312" s="47" t="n">
        <f aca="false">IF(CEG_Assets!$X$11=1,IF(K311&gt;0,1,0),1)</f>
        <v>1</v>
      </c>
      <c r="L312" s="47" t="n">
        <f aca="false">IF(CEG_Assets!$X$11=1,IF(L311&gt;0,1,0),1)</f>
        <v>1</v>
      </c>
      <c r="M312" s="47" t="n">
        <f aca="false">IF(CEG_Assets!$X$11=1,IF(M311&gt;0,1,0),1)</f>
        <v>1</v>
      </c>
      <c r="N312" s="47" t="n">
        <f aca="false">IF(CEG_Assets!$X$11=1,IF(N311&gt;0,1,0),1)</f>
        <v>1</v>
      </c>
      <c r="O312" s="47" t="n">
        <f aca="false">IF(CEG_Assets!$X$11=1,IF(O311&gt;0,1,0),1)</f>
        <v>1</v>
      </c>
      <c r="P312" s="47" t="n">
        <f aca="false">IF(CEG_Assets!$X$11=1,IF(P311&gt;0,1,0),1)</f>
        <v>1</v>
      </c>
      <c r="Q312" s="47" t="n">
        <f aca="false">IF(CEG_Assets!$X$11=1,IF(Q311&gt;0,1,0),1)</f>
        <v>1</v>
      </c>
      <c r="R312" s="47" t="n">
        <f aca="false">IF(CEG_Assets!$X$11=1,IF(R311&gt;0,1,0),1)</f>
        <v>1</v>
      </c>
      <c r="S312" s="47" t="n">
        <f aca="false">IF(CEG_Assets!$X$11=1,IF(S311&gt;0,1,0),1)</f>
        <v>1</v>
      </c>
      <c r="T312" s="47" t="n">
        <f aca="false">IF(CEG_Assets!$X$11=1,IF(T311&gt;0,1,0),1)</f>
        <v>1</v>
      </c>
      <c r="U312" s="47" t="n">
        <f aca="false">IF(CEG_Assets!$X$11=1,IF(U311&gt;0,1,0),1)</f>
        <v>1</v>
      </c>
      <c r="V312" s="47" t="n">
        <f aca="false">IF(CEG_Assets!$X$11=1,IF(V311&gt;0,1,0),1)</f>
        <v>1</v>
      </c>
      <c r="W312" s="47" t="n">
        <f aca="false">IF(CEG_Assets!$X$11=1,IF(W311&gt;0,1,0),1)</f>
        <v>1</v>
      </c>
      <c r="X312" s="47" t="n">
        <f aca="false">IF(CEG_Assets!$X$11=1,IF(X311&gt;0,1,0),1)</f>
        <v>1</v>
      </c>
      <c r="Y312" s="47" t="n">
        <f aca="false">IF(CEG_Assets!$X$11=1,IF(Y311&gt;0,1,0),1)</f>
        <v>1</v>
      </c>
      <c r="Z312" s="47" t="n">
        <f aca="false">IF(CEG_Assets!$X$11=1,IF(Z311&gt;0,1,0),1)</f>
        <v>1</v>
      </c>
      <c r="AA312" s="47" t="n">
        <f aca="false">IF(CEG_Assets!$X$11=1,IF(AA311&gt;0,1,0),1)</f>
        <v>1</v>
      </c>
      <c r="AB312" s="47" t="n">
        <f aca="false">IF(CEG_Assets!$X$11=1,IF(AB311&gt;0,1,0),1)</f>
        <v>1</v>
      </c>
      <c r="AC312" s="47" t="n">
        <f aca="false">IF(CEG_Assets!$X$11=1,IF(AC311&gt;0,1,0),1)</f>
        <v>1</v>
      </c>
      <c r="AD312" s="47" t="n">
        <f aca="false">IF(CEG_Assets!$X$11=1,IF(AD311&gt;0,1,0),1)</f>
        <v>1</v>
      </c>
      <c r="AE312" s="47" t="n">
        <f aca="false">IF(CEG_Assets!$X$11=1,IF(AE311&gt;0,1,0),1)</f>
        <v>1</v>
      </c>
      <c r="AF312" s="47" t="n">
        <f aca="false">IF(CEG_Assets!$X$11=1,IF(AF311&gt;0,1,0),1)</f>
        <v>1</v>
      </c>
      <c r="AG312" s="47" t="n">
        <f aca="false">IF(CEG_Assets!$X$11=1,IF(AG311&gt;0,1,0),1)</f>
        <v>1</v>
      </c>
      <c r="AH312" s="47" t="n">
        <f aca="false">IF(CEG_Assets!$X$11=1,IF(AH311&gt;0,1,0),1)</f>
        <v>1</v>
      </c>
      <c r="AI312" s="47" t="n">
        <f aca="false">IF(CEG_Assets!$X$11=1,IF(AI311&gt;0,1,0),1)</f>
        <v>1</v>
      </c>
      <c r="AJ312" s="47" t="n">
        <f aca="false">IF(CEG_Assets!$X$11=1,IF(AJ311&gt;0,1,0),1)</f>
        <v>1</v>
      </c>
      <c r="AK312" s="47" t="n">
        <f aca="false">IF(CEG_Assets!$X$11=1,IF(AK311&gt;0,1,0),1)</f>
        <v>1</v>
      </c>
      <c r="AL312" s="47" t="n">
        <f aca="false">IF(CEG_Assets!$X$11=1,IF(AL311&gt;0,1,0),1)</f>
        <v>1</v>
      </c>
      <c r="AM312" s="47" t="n">
        <f aca="false">IF(CEG_Assets!$X$11=1,IF(AM311&gt;0,1,0),1)</f>
        <v>1</v>
      </c>
      <c r="AN312" s="47" t="n">
        <f aca="false">IF(CEG_Assets!$X$11=1,IF(AN311&gt;0,1,0),1)</f>
        <v>1</v>
      </c>
      <c r="AO312" s="47" t="n">
        <f aca="false">IF(CEG_Assets!$X$11=1,IF(AO311&gt;0,1,0),1)</f>
        <v>1</v>
      </c>
      <c r="AP312" s="47" t="n">
        <f aca="false">IF(CEG_Assets!$X$11=1,IF(AP311&gt;0,1,0),1)</f>
        <v>1</v>
      </c>
      <c r="AQ312" s="47" t="n">
        <f aca="false">IF(CEG_Assets!$X$11=1,IF(AQ311&gt;0,1,0),1)</f>
        <v>1</v>
      </c>
      <c r="AR312" s="47" t="n">
        <f aca="false">IF(CEG_Assets!$X$11=1,IF(AR311&gt;0,1,0),1)</f>
        <v>1</v>
      </c>
      <c r="AS312" s="47" t="n">
        <f aca="false">IF(CEG_Assets!$X$11=1,IF(AS311&gt;0,1,0),1)</f>
        <v>1</v>
      </c>
    </row>
    <row r="313" customFormat="false" ht="15" hidden="false" customHeight="false" outlineLevel="0" collapsed="false">
      <c r="A313" s="6" t="s">
        <v>439</v>
      </c>
      <c r="B313" s="6" t="s">
        <v>440</v>
      </c>
      <c r="C313" s="9" t="n">
        <f aca="false">SUM(G313:AS313)</f>
        <v>1142.73799127429</v>
      </c>
      <c r="G313" s="8" t="n">
        <f aca="false">G308*INDEX(Prices!G:G,CEG_Assets!$AN$11)*CEG_Assets!$J$11*G312/1000000*(1+CEG_RevAdj)</f>
        <v>82.220922</v>
      </c>
      <c r="H313" s="8" t="n">
        <f aca="false">H308*INDEX(Prices!H:H,CEG_Assets!$AN$11)*CEG_Assets!$J$11*H312/1000000*(1+CEG_RevAdj)</f>
        <v>85.576878</v>
      </c>
      <c r="I313" s="8" t="n">
        <f aca="false">I308*INDEX(Prices!I:I,CEG_Assets!$AN$11)*CEG_Assets!$J$11*I312/1000000*(1+CEG_RevAdj)</f>
        <v>88.1890370275356</v>
      </c>
      <c r="J313" s="8" t="n">
        <f aca="false">J308*INDEX(Prices!J:J,CEG_Assets!$AN$11)*CEG_Assets!$J$11*J312/1000000*(1+CEG_RevAdj)</f>
        <v>90.9056824161726</v>
      </c>
      <c r="K313" s="8" t="n">
        <f aca="false">K308*INDEX(Prices!K:K,CEG_Assets!$AN$11)*CEG_Assets!$J$11*K312/1000000*(1+CEG_RevAdj)</f>
        <v>92.7237960644961</v>
      </c>
      <c r="L313" s="8" t="n">
        <f aca="false">L308*INDEX(Prices!L:L,CEG_Assets!$AN$11)*CEG_Assets!$J$11*L312/1000000*(1+CEG_RevAdj)</f>
        <v>94.578271985786</v>
      </c>
      <c r="M313" s="8" t="n">
        <f aca="false">M308*INDEX(Prices!M:M,CEG_Assets!$AN$11)*CEG_Assets!$J$11*M312/1000000*(1+CEG_RevAdj)</f>
        <v>96.4698374255017</v>
      </c>
      <c r="N313" s="8" t="n">
        <f aca="false">N308*INDEX(Prices!N:N,CEG_Assets!$AN$11)*CEG_Assets!$J$11*N312/1000000*(1+CEG_RevAdj)</f>
        <v>98.3992341740118</v>
      </c>
      <c r="O313" s="8" t="n">
        <f aca="false">O308*INDEX(Prices!O:O,CEG_Assets!$AN$11)*CEG_Assets!$J$11*O312/1000000*(1+CEG_RevAdj)</f>
        <v>100.367218857492</v>
      </c>
      <c r="P313" s="8" t="n">
        <f aca="false">P308*INDEX(Prices!P:P,CEG_Assets!$AN$11)*CEG_Assets!$J$11*P312/1000000*(1+CEG_RevAdj)</f>
        <v>102.374563234642</v>
      </c>
      <c r="Q313" s="8" t="n">
        <f aca="false">Q308*INDEX(Prices!Q:Q,CEG_Assets!$AN$11)*CEG_Assets!$J$11*Q312/1000000*(1+CEG_RevAdj)</f>
        <v>104.422054499335</v>
      </c>
      <c r="R313" s="8" t="n">
        <f aca="false">R308*INDEX(Prices!R:R,CEG_Assets!$AN$11)*CEG_Assets!$J$11*R312/1000000*(1+CEG_RevAdj)</f>
        <v>106.510495589321</v>
      </c>
      <c r="S313" s="8" t="n">
        <f aca="false">S308*INDEX(Prices!S:S,CEG_Assets!$AN$11)*CEG_Assets!$J$11*S312/1000000*(1+CEG_RevAdj)</f>
        <v>0</v>
      </c>
      <c r="T313" s="8" t="n">
        <f aca="false">T308*INDEX(Prices!T:T,CEG_Assets!$AN$11)*CEG_Assets!$J$11*T312/1000000*(1+CEG_RevAdj)</f>
        <v>0</v>
      </c>
      <c r="U313" s="8" t="n">
        <f aca="false">U308*INDEX(Prices!U:U,CEG_Assets!$AN$11)*CEG_Assets!$J$11*U312/1000000*(1+CEG_RevAdj)</f>
        <v>0</v>
      </c>
      <c r="V313" s="8" t="n">
        <f aca="false">V308*INDEX(Prices!V:V,CEG_Assets!$AN$11)*CEG_Assets!$J$11*V312/1000000*(1+CEG_RevAdj)</f>
        <v>0</v>
      </c>
      <c r="W313" s="8" t="n">
        <f aca="false">W308*INDEX(Prices!W:W,CEG_Assets!$AN$11)*CEG_Assets!$J$11*W312/1000000*(1+CEG_RevAdj)</f>
        <v>0</v>
      </c>
      <c r="X313" s="8" t="n">
        <f aca="false">X308*INDEX(Prices!X:X,CEG_Assets!$AN$11)*CEG_Assets!$J$11*X312/1000000*(1+CEG_RevAdj)</f>
        <v>0</v>
      </c>
      <c r="Y313" s="8" t="n">
        <f aca="false">Y308*INDEX(Prices!Y:Y,CEG_Assets!$AN$11)*CEG_Assets!$J$11*Y312/1000000*(1+CEG_RevAdj)</f>
        <v>0</v>
      </c>
      <c r="Z313" s="8" t="n">
        <f aca="false">Z308*INDEX(Prices!Z:Z,CEG_Assets!$AN$11)*CEG_Assets!$J$11*Z312/1000000*(1+CEG_RevAdj)</f>
        <v>0</v>
      </c>
      <c r="AA313" s="8" t="n">
        <f aca="false">AA308*INDEX(Prices!AA:AA,CEG_Assets!$AN$11)*CEG_Assets!$J$11*AA312/1000000*(1+CEG_RevAdj)</f>
        <v>0</v>
      </c>
      <c r="AB313" s="8" t="n">
        <f aca="false">AB308*INDEX(Prices!AB:AB,CEG_Assets!$AN$11)*CEG_Assets!$J$11*AB312/1000000*(1+CEG_RevAdj)</f>
        <v>0</v>
      </c>
      <c r="AC313" s="8" t="n">
        <f aca="false">AC308*INDEX(Prices!AC:AC,CEG_Assets!$AN$11)*CEG_Assets!$J$11*AC312/1000000*(1+CEG_RevAdj)</f>
        <v>0</v>
      </c>
      <c r="AD313" s="8" t="n">
        <f aca="false">AD308*INDEX(Prices!AD:AD,CEG_Assets!$AN$11)*CEG_Assets!$J$11*AD312/1000000*(1+CEG_RevAdj)</f>
        <v>0</v>
      </c>
      <c r="AE313" s="8" t="n">
        <f aca="false">AE308*INDEX(Prices!AE:AE,CEG_Assets!$AN$11)*CEG_Assets!$J$11*AE312/1000000*(1+CEG_RevAdj)</f>
        <v>0</v>
      </c>
      <c r="AF313" s="8" t="n">
        <f aca="false">AF308*INDEX(Prices!AF:AF,CEG_Assets!$AN$11)*CEG_Assets!$J$11*AF312/1000000*(1+CEG_RevAdj)</f>
        <v>0</v>
      </c>
      <c r="AG313" s="8" t="n">
        <f aca="false">AG308*INDEX(Prices!AG:AG,CEG_Assets!$AN$11)*CEG_Assets!$J$11*AG312/1000000*(1+CEG_RevAdj)</f>
        <v>0</v>
      </c>
      <c r="AH313" s="8" t="n">
        <f aca="false">AH308*INDEX(Prices!AH:AH,CEG_Assets!$AN$11)*CEG_Assets!$J$11*AH312/1000000*(1+CEG_RevAdj)</f>
        <v>0</v>
      </c>
      <c r="AI313" s="8" t="n">
        <f aca="false">AI308*INDEX(Prices!AI:AI,CEG_Assets!$AN$11)*CEG_Assets!$J$11*AI312/1000000*(1+CEG_RevAdj)</f>
        <v>0</v>
      </c>
      <c r="AJ313" s="8" t="n">
        <f aca="false">AJ308*INDEX(Prices!AJ:AJ,CEG_Assets!$AN$11)*CEG_Assets!$J$11*AJ312/1000000*(1+CEG_RevAdj)</f>
        <v>0</v>
      </c>
      <c r="AK313" s="8" t="n">
        <f aca="false">AK308*INDEX(Prices!AK:AK,CEG_Assets!$AN$11)*CEG_Assets!$J$11*AK312/1000000*(1+CEG_RevAdj)</f>
        <v>0</v>
      </c>
      <c r="AL313" s="8" t="n">
        <f aca="false">AL308*INDEX(Prices!AL:AL,CEG_Assets!$AN$11)*CEG_Assets!$J$11*AL312/1000000*(1+CEG_RevAdj)</f>
        <v>0</v>
      </c>
      <c r="AM313" s="8" t="n">
        <f aca="false">AM308*INDEX(Prices!AM:AM,CEG_Assets!$AN$11)*CEG_Assets!$J$11*AM312/1000000*(1+CEG_RevAdj)</f>
        <v>0</v>
      </c>
      <c r="AN313" s="8" t="n">
        <f aca="false">AN308*INDEX(Prices!AN:AN,CEG_Assets!$AN$11)*CEG_Assets!$J$11*AN312/1000000*(1+CEG_RevAdj)</f>
        <v>0</v>
      </c>
      <c r="AO313" s="8" t="n">
        <f aca="false">AO308*INDEX(Prices!AO:AO,CEG_Assets!$AN$11)*CEG_Assets!$J$11*AO312/1000000*(1+CEG_RevAdj)</f>
        <v>0</v>
      </c>
      <c r="AP313" s="8" t="n">
        <f aca="false">AP308*INDEX(Prices!AP:AP,CEG_Assets!$AN$11)*CEG_Assets!$J$11*AP312/1000000*(1+CEG_RevAdj)</f>
        <v>0</v>
      </c>
      <c r="AQ313" s="8" t="n">
        <f aca="false">AQ308*INDEX(Prices!AQ:AQ,CEG_Assets!$AN$11)*CEG_Assets!$J$11*AQ312/1000000*(1+CEG_RevAdj)</f>
        <v>0</v>
      </c>
      <c r="AR313" s="8" t="n">
        <f aca="false">AR308*INDEX(Prices!AR:AR,CEG_Assets!$AN$11)*CEG_Assets!$J$11*AR312/1000000*(1+CEG_RevAdj)</f>
        <v>0</v>
      </c>
      <c r="AS313" s="8" t="n">
        <f aca="false">AS308*INDEX(Prices!AS:AS,CEG_Assets!$AN$11)*CEG_Assets!$J$11*AS312/1000000*(1+CEG_RevAdj)</f>
        <v>0</v>
      </c>
    </row>
    <row r="314" customFormat="false" ht="15" hidden="false" customHeight="false" outlineLevel="0" collapsed="false">
      <c r="A314" s="6" t="s">
        <v>441</v>
      </c>
      <c r="B314" s="6" t="s">
        <v>442</v>
      </c>
      <c r="C314" s="9" t="n">
        <f aca="false">SUM(G314:AS314)</f>
        <v>0</v>
      </c>
      <c r="G314" s="8" t="n">
        <f aca="false">(CEG_Assets!$D$11-G307)*INDEX(Prices!G:G,CEG_Assets!$AP$11)*365*CEG_Assets!$T$11*G306/1000000*(1+CEG_RevAdj)</f>
        <v>0</v>
      </c>
      <c r="H314" s="8" t="n">
        <f aca="false">(CEG_Assets!$D$11-H307)*INDEX(Prices!H:H,CEG_Assets!$AP$11)*365*CEG_Assets!$T$11*H306/1000000*(1+CEG_RevAdj)</f>
        <v>0</v>
      </c>
      <c r="I314" s="8" t="n">
        <f aca="false">(CEG_Assets!$D$11-I307)*INDEX(Prices!I:I,CEG_Assets!$AP$11)*365*CEG_Assets!$T$11*I306/1000000*(1+CEG_RevAdj)</f>
        <v>0</v>
      </c>
      <c r="J314" s="8" t="n">
        <f aca="false">(CEG_Assets!$D$11-J307)*INDEX(Prices!J:J,CEG_Assets!$AP$11)*365*CEG_Assets!$T$11*J306/1000000*(1+CEG_RevAdj)</f>
        <v>0</v>
      </c>
      <c r="K314" s="8" t="n">
        <f aca="false">(CEG_Assets!$D$11-K307)*INDEX(Prices!K:K,CEG_Assets!$AP$11)*365*CEG_Assets!$T$11*K306/1000000*(1+CEG_RevAdj)</f>
        <v>0</v>
      </c>
      <c r="L314" s="8" t="n">
        <f aca="false">(CEG_Assets!$D$11-L307)*INDEX(Prices!L:L,CEG_Assets!$AP$11)*365*CEG_Assets!$T$11*L306/1000000*(1+CEG_RevAdj)</f>
        <v>0</v>
      </c>
      <c r="M314" s="8" t="n">
        <f aca="false">(CEG_Assets!$D$11-M307)*INDEX(Prices!M:M,CEG_Assets!$AP$11)*365*CEG_Assets!$T$11*M306/1000000*(1+CEG_RevAdj)</f>
        <v>0</v>
      </c>
      <c r="N314" s="8" t="n">
        <f aca="false">(CEG_Assets!$D$11-N307)*INDEX(Prices!N:N,CEG_Assets!$AP$11)*365*CEG_Assets!$T$11*N306/1000000*(1+CEG_RevAdj)</f>
        <v>0</v>
      </c>
      <c r="O314" s="8" t="n">
        <f aca="false">(CEG_Assets!$D$11-O307)*INDEX(Prices!O:O,CEG_Assets!$AP$11)*365*CEG_Assets!$T$11*O306/1000000*(1+CEG_RevAdj)</f>
        <v>0</v>
      </c>
      <c r="P314" s="8" t="n">
        <f aca="false">(CEG_Assets!$D$11-P307)*INDEX(Prices!P:P,CEG_Assets!$AP$11)*365*CEG_Assets!$T$11*P306/1000000*(1+CEG_RevAdj)</f>
        <v>0</v>
      </c>
      <c r="Q314" s="8" t="n">
        <f aca="false">(CEG_Assets!$D$11-Q307)*INDEX(Prices!Q:Q,CEG_Assets!$AP$11)*365*CEG_Assets!$T$11*Q306/1000000*(1+CEG_RevAdj)</f>
        <v>0</v>
      </c>
      <c r="R314" s="8" t="n">
        <f aca="false">(CEG_Assets!$D$11-R307)*INDEX(Prices!R:R,CEG_Assets!$AP$11)*365*CEG_Assets!$T$11*R306/1000000*(1+CEG_RevAdj)</f>
        <v>0</v>
      </c>
      <c r="S314" s="8" t="n">
        <f aca="false">(CEG_Assets!$D$11-S307)*INDEX(Prices!S:S,CEG_Assets!$AP$11)*365*CEG_Assets!$T$11*S306/1000000*(1+CEG_RevAdj)</f>
        <v>0</v>
      </c>
      <c r="T314" s="8" t="n">
        <f aca="false">(CEG_Assets!$D$11-T307)*INDEX(Prices!T:T,CEG_Assets!$AP$11)*365*CEG_Assets!$T$11*T306/1000000*(1+CEG_RevAdj)</f>
        <v>0</v>
      </c>
      <c r="U314" s="8" t="n">
        <f aca="false">(CEG_Assets!$D$11-U307)*INDEX(Prices!U:U,CEG_Assets!$AP$11)*365*CEG_Assets!$T$11*U306/1000000*(1+CEG_RevAdj)</f>
        <v>0</v>
      </c>
      <c r="V314" s="8" t="n">
        <f aca="false">(CEG_Assets!$D$11-V307)*INDEX(Prices!V:V,CEG_Assets!$AP$11)*365*CEG_Assets!$T$11*V306/1000000*(1+CEG_RevAdj)</f>
        <v>0</v>
      </c>
      <c r="W314" s="8" t="n">
        <f aca="false">(CEG_Assets!$D$11-W307)*INDEX(Prices!W:W,CEG_Assets!$AP$11)*365*CEG_Assets!$T$11*W306/1000000*(1+CEG_RevAdj)</f>
        <v>0</v>
      </c>
      <c r="X314" s="8" t="n">
        <f aca="false">(CEG_Assets!$D$11-X307)*INDEX(Prices!X:X,CEG_Assets!$AP$11)*365*CEG_Assets!$T$11*X306/1000000*(1+CEG_RevAdj)</f>
        <v>0</v>
      </c>
      <c r="Y314" s="8" t="n">
        <f aca="false">(CEG_Assets!$D$11-Y307)*INDEX(Prices!Y:Y,CEG_Assets!$AP$11)*365*CEG_Assets!$T$11*Y306/1000000*(1+CEG_RevAdj)</f>
        <v>0</v>
      </c>
      <c r="Z314" s="8" t="n">
        <f aca="false">(CEG_Assets!$D$11-Z307)*INDEX(Prices!Z:Z,CEG_Assets!$AP$11)*365*CEG_Assets!$T$11*Z306/1000000*(1+CEG_RevAdj)</f>
        <v>0</v>
      </c>
      <c r="AA314" s="8" t="n">
        <f aca="false">(CEG_Assets!$D$11-AA307)*INDEX(Prices!AA:AA,CEG_Assets!$AP$11)*365*CEG_Assets!$T$11*AA306/1000000*(1+CEG_RevAdj)</f>
        <v>0</v>
      </c>
      <c r="AB314" s="8" t="n">
        <f aca="false">(CEG_Assets!$D$11-AB307)*INDEX(Prices!AB:AB,CEG_Assets!$AP$11)*365*CEG_Assets!$T$11*AB306/1000000*(1+CEG_RevAdj)</f>
        <v>0</v>
      </c>
      <c r="AC314" s="8" t="n">
        <f aca="false">(CEG_Assets!$D$11-AC307)*INDEX(Prices!AC:AC,CEG_Assets!$AP$11)*365*CEG_Assets!$T$11*AC306/1000000*(1+CEG_RevAdj)</f>
        <v>0</v>
      </c>
      <c r="AD314" s="8" t="n">
        <f aca="false">(CEG_Assets!$D$11-AD307)*INDEX(Prices!AD:AD,CEG_Assets!$AP$11)*365*CEG_Assets!$T$11*AD306/1000000*(1+CEG_RevAdj)</f>
        <v>0</v>
      </c>
      <c r="AE314" s="8" t="n">
        <f aca="false">(CEG_Assets!$D$11-AE307)*INDEX(Prices!AE:AE,CEG_Assets!$AP$11)*365*CEG_Assets!$T$11*AE306/1000000*(1+CEG_RevAdj)</f>
        <v>0</v>
      </c>
      <c r="AF314" s="8" t="n">
        <f aca="false">(CEG_Assets!$D$11-AF307)*INDEX(Prices!AF:AF,CEG_Assets!$AP$11)*365*CEG_Assets!$T$11*AF306/1000000*(1+CEG_RevAdj)</f>
        <v>0</v>
      </c>
      <c r="AG314" s="8" t="n">
        <f aca="false">(CEG_Assets!$D$11-AG307)*INDEX(Prices!AG:AG,CEG_Assets!$AP$11)*365*CEG_Assets!$T$11*AG306/1000000*(1+CEG_RevAdj)</f>
        <v>0</v>
      </c>
      <c r="AH314" s="8" t="n">
        <f aca="false">(CEG_Assets!$D$11-AH307)*INDEX(Prices!AH:AH,CEG_Assets!$AP$11)*365*CEG_Assets!$T$11*AH306/1000000*(1+CEG_RevAdj)</f>
        <v>0</v>
      </c>
      <c r="AI314" s="8" t="n">
        <f aca="false">(CEG_Assets!$D$11-AI307)*INDEX(Prices!AI:AI,CEG_Assets!$AP$11)*365*CEG_Assets!$T$11*AI306/1000000*(1+CEG_RevAdj)</f>
        <v>0</v>
      </c>
      <c r="AJ314" s="8" t="n">
        <f aca="false">(CEG_Assets!$D$11-AJ307)*INDEX(Prices!AJ:AJ,CEG_Assets!$AP$11)*365*CEG_Assets!$T$11*AJ306/1000000*(1+CEG_RevAdj)</f>
        <v>0</v>
      </c>
      <c r="AK314" s="8" t="n">
        <f aca="false">(CEG_Assets!$D$11-AK307)*INDEX(Prices!AK:AK,CEG_Assets!$AP$11)*365*CEG_Assets!$T$11*AK306/1000000*(1+CEG_RevAdj)</f>
        <v>0</v>
      </c>
      <c r="AL314" s="8" t="n">
        <f aca="false">(CEG_Assets!$D$11-AL307)*INDEX(Prices!AL:AL,CEG_Assets!$AP$11)*365*CEG_Assets!$T$11*AL306/1000000*(1+CEG_RevAdj)</f>
        <v>0</v>
      </c>
      <c r="AM314" s="8" t="n">
        <f aca="false">(CEG_Assets!$D$11-AM307)*INDEX(Prices!AM:AM,CEG_Assets!$AP$11)*365*CEG_Assets!$T$11*AM306/1000000*(1+CEG_RevAdj)</f>
        <v>0</v>
      </c>
      <c r="AN314" s="8" t="n">
        <f aca="false">(CEG_Assets!$D$11-AN307)*INDEX(Prices!AN:AN,CEG_Assets!$AP$11)*365*CEG_Assets!$T$11*AN306/1000000*(1+CEG_RevAdj)</f>
        <v>0</v>
      </c>
      <c r="AO314" s="8" t="n">
        <f aca="false">(CEG_Assets!$D$11-AO307)*INDEX(Prices!AO:AO,CEG_Assets!$AP$11)*365*CEG_Assets!$T$11*AO306/1000000*(1+CEG_RevAdj)</f>
        <v>0</v>
      </c>
      <c r="AP314" s="8" t="n">
        <f aca="false">(CEG_Assets!$D$11-AP307)*INDEX(Prices!AP:AP,CEG_Assets!$AP$11)*365*CEG_Assets!$T$11*AP306/1000000*(1+CEG_RevAdj)</f>
        <v>0</v>
      </c>
      <c r="AQ314" s="8" t="n">
        <f aca="false">(CEG_Assets!$D$11-AQ307)*INDEX(Prices!AQ:AQ,CEG_Assets!$AP$11)*365*CEG_Assets!$T$11*AQ306/1000000*(1+CEG_RevAdj)</f>
        <v>0</v>
      </c>
      <c r="AR314" s="8" t="n">
        <f aca="false">(CEG_Assets!$D$11-AR307)*INDEX(Prices!AR:AR,CEG_Assets!$AP$11)*365*CEG_Assets!$T$11*AR306/1000000*(1+CEG_RevAdj)</f>
        <v>0</v>
      </c>
      <c r="AS314" s="8" t="n">
        <f aca="false">(CEG_Assets!$D$11-AS307)*INDEX(Prices!AS:AS,CEG_Assets!$AP$11)*365*CEG_Assets!$T$11*AS306/1000000*(1+CEG_RevAdj)</f>
        <v>0</v>
      </c>
    </row>
    <row r="315" customFormat="false" ht="15" hidden="false" customHeight="false" outlineLevel="0" collapsed="false">
      <c r="A315" s="6" t="s">
        <v>443</v>
      </c>
      <c r="B315" s="6" t="s">
        <v>444</v>
      </c>
      <c r="C315" s="9" t="n">
        <f aca="false">SUM(G315:AS315)</f>
        <v>0</v>
      </c>
      <c r="G315" s="8" t="n">
        <f aca="false">G309*(CEG_Assets!$AD$11+CEG_PPAAdj)/1000000*(1+CEG_RevAdj)</f>
        <v>0</v>
      </c>
      <c r="H315" s="8" t="n">
        <f aca="false">H309*(CEG_Assets!$AD$11+CEG_PPAAdj)/1000000*(1+CEG_RevAdj)</f>
        <v>0</v>
      </c>
      <c r="I315" s="8" t="n">
        <f aca="false">I309*(CEG_Assets!$AD$11+CEG_PPAAdj)/1000000*(1+CEG_RevAdj)</f>
        <v>0</v>
      </c>
      <c r="J315" s="8" t="n">
        <f aca="false">J309*(CEG_Assets!$AD$11+CEG_PPAAdj)/1000000*(1+CEG_RevAdj)</f>
        <v>0</v>
      </c>
      <c r="K315" s="8" t="n">
        <f aca="false">K309*(CEG_Assets!$AD$11+CEG_PPAAdj)/1000000*(1+CEG_RevAdj)</f>
        <v>0</v>
      </c>
      <c r="L315" s="8" t="n">
        <f aca="false">L309*(CEG_Assets!$AD$11+CEG_PPAAdj)/1000000*(1+CEG_RevAdj)</f>
        <v>0</v>
      </c>
      <c r="M315" s="8" t="n">
        <f aca="false">M309*(CEG_Assets!$AD$11+CEG_PPAAdj)/1000000*(1+CEG_RevAdj)</f>
        <v>0</v>
      </c>
      <c r="N315" s="8" t="n">
        <f aca="false">N309*(CEG_Assets!$AD$11+CEG_PPAAdj)/1000000*(1+CEG_RevAdj)</f>
        <v>0</v>
      </c>
      <c r="O315" s="8" t="n">
        <f aca="false">O309*(CEG_Assets!$AD$11+CEG_PPAAdj)/1000000*(1+CEG_RevAdj)</f>
        <v>0</v>
      </c>
      <c r="P315" s="8" t="n">
        <f aca="false">P309*(CEG_Assets!$AD$11+CEG_PPAAdj)/1000000*(1+CEG_RevAdj)</f>
        <v>0</v>
      </c>
      <c r="Q315" s="8" t="n">
        <f aca="false">Q309*(CEG_Assets!$AD$11+CEG_PPAAdj)/1000000*(1+CEG_RevAdj)</f>
        <v>0</v>
      </c>
      <c r="R315" s="8" t="n">
        <f aca="false">R309*(CEG_Assets!$AD$11+CEG_PPAAdj)/1000000*(1+CEG_RevAdj)</f>
        <v>0</v>
      </c>
      <c r="S315" s="8" t="n">
        <f aca="false">S309*(CEG_Assets!$AD$11+CEG_PPAAdj)/1000000*(1+CEG_RevAdj)</f>
        <v>0</v>
      </c>
      <c r="T315" s="8" t="n">
        <f aca="false">T309*(CEG_Assets!$AD$11+CEG_PPAAdj)/1000000*(1+CEG_RevAdj)</f>
        <v>0</v>
      </c>
      <c r="U315" s="8" t="n">
        <f aca="false">U309*(CEG_Assets!$AD$11+CEG_PPAAdj)/1000000*(1+CEG_RevAdj)</f>
        <v>0</v>
      </c>
      <c r="V315" s="8" t="n">
        <f aca="false">V309*(CEG_Assets!$AD$11+CEG_PPAAdj)/1000000*(1+CEG_RevAdj)</f>
        <v>0</v>
      </c>
      <c r="W315" s="8" t="n">
        <f aca="false">W309*(CEG_Assets!$AD$11+CEG_PPAAdj)/1000000*(1+CEG_RevAdj)</f>
        <v>0</v>
      </c>
      <c r="X315" s="8" t="n">
        <f aca="false">X309*(CEG_Assets!$AD$11+CEG_PPAAdj)/1000000*(1+CEG_RevAdj)</f>
        <v>0</v>
      </c>
      <c r="Y315" s="8" t="n">
        <f aca="false">Y309*(CEG_Assets!$AD$11+CEG_PPAAdj)/1000000*(1+CEG_RevAdj)</f>
        <v>0</v>
      </c>
      <c r="Z315" s="8" t="n">
        <f aca="false">Z309*(CEG_Assets!$AD$11+CEG_PPAAdj)/1000000*(1+CEG_RevAdj)</f>
        <v>0</v>
      </c>
      <c r="AA315" s="8" t="n">
        <f aca="false">AA309*(CEG_Assets!$AD$11+CEG_PPAAdj)/1000000*(1+CEG_RevAdj)</f>
        <v>0</v>
      </c>
      <c r="AB315" s="8" t="n">
        <f aca="false">AB309*(CEG_Assets!$AD$11+CEG_PPAAdj)/1000000*(1+CEG_RevAdj)</f>
        <v>0</v>
      </c>
      <c r="AC315" s="8" t="n">
        <f aca="false">AC309*(CEG_Assets!$AD$11+CEG_PPAAdj)/1000000*(1+CEG_RevAdj)</f>
        <v>0</v>
      </c>
      <c r="AD315" s="8" t="n">
        <f aca="false">AD309*(CEG_Assets!$AD$11+CEG_PPAAdj)/1000000*(1+CEG_RevAdj)</f>
        <v>0</v>
      </c>
      <c r="AE315" s="8" t="n">
        <f aca="false">AE309*(CEG_Assets!$AD$11+CEG_PPAAdj)/1000000*(1+CEG_RevAdj)</f>
        <v>0</v>
      </c>
      <c r="AF315" s="8" t="n">
        <f aca="false">AF309*(CEG_Assets!$AD$11+CEG_PPAAdj)/1000000*(1+CEG_RevAdj)</f>
        <v>0</v>
      </c>
      <c r="AG315" s="8" t="n">
        <f aca="false">AG309*(CEG_Assets!$AD$11+CEG_PPAAdj)/1000000*(1+CEG_RevAdj)</f>
        <v>0</v>
      </c>
      <c r="AH315" s="8" t="n">
        <f aca="false">AH309*(CEG_Assets!$AD$11+CEG_PPAAdj)/1000000*(1+CEG_RevAdj)</f>
        <v>0</v>
      </c>
      <c r="AI315" s="8" t="n">
        <f aca="false">AI309*(CEG_Assets!$AD$11+CEG_PPAAdj)/1000000*(1+CEG_RevAdj)</f>
        <v>0</v>
      </c>
      <c r="AJ315" s="8" t="n">
        <f aca="false">AJ309*(CEG_Assets!$AD$11+CEG_PPAAdj)/1000000*(1+CEG_RevAdj)</f>
        <v>0</v>
      </c>
      <c r="AK315" s="8" t="n">
        <f aca="false">AK309*(CEG_Assets!$AD$11+CEG_PPAAdj)/1000000*(1+CEG_RevAdj)</f>
        <v>0</v>
      </c>
      <c r="AL315" s="8" t="n">
        <f aca="false">AL309*(CEG_Assets!$AD$11+CEG_PPAAdj)/1000000*(1+CEG_RevAdj)</f>
        <v>0</v>
      </c>
      <c r="AM315" s="8" t="n">
        <f aca="false">AM309*(CEG_Assets!$AD$11+CEG_PPAAdj)/1000000*(1+CEG_RevAdj)</f>
        <v>0</v>
      </c>
      <c r="AN315" s="8" t="n">
        <f aca="false">AN309*(CEG_Assets!$AD$11+CEG_PPAAdj)/1000000*(1+CEG_RevAdj)</f>
        <v>0</v>
      </c>
      <c r="AO315" s="8" t="n">
        <f aca="false">AO309*(CEG_Assets!$AD$11+CEG_PPAAdj)/1000000*(1+CEG_RevAdj)</f>
        <v>0</v>
      </c>
      <c r="AP315" s="8" t="n">
        <f aca="false">AP309*(CEG_Assets!$AD$11+CEG_PPAAdj)/1000000*(1+CEG_RevAdj)</f>
        <v>0</v>
      </c>
      <c r="AQ315" s="8" t="n">
        <f aca="false">AQ309*(CEG_Assets!$AD$11+CEG_PPAAdj)/1000000*(1+CEG_RevAdj)</f>
        <v>0</v>
      </c>
      <c r="AR315" s="8" t="n">
        <f aca="false">AR309*(CEG_Assets!$AD$11+CEG_PPAAdj)/1000000*(1+CEG_RevAdj)</f>
        <v>0</v>
      </c>
      <c r="AS315" s="8" t="n">
        <f aca="false">AS309*(CEG_Assets!$AD$11+CEG_PPAAdj)/1000000*(1+CEG_RevAdj)</f>
        <v>0</v>
      </c>
    </row>
    <row r="316" customFormat="false" ht="15" hidden="false" customHeight="false" outlineLevel="0" collapsed="false">
      <c r="A316" s="6" t="s">
        <v>445</v>
      </c>
      <c r="B316" s="6" t="s">
        <v>446</v>
      </c>
      <c r="C316" s="9" t="n">
        <f aca="false">SUM(G316:AS316)</f>
        <v>0</v>
      </c>
      <c r="G316" s="8" t="n">
        <f aca="false">IF(G$3&lt;=CEG_Assets!$V$11,G308*CEG_Assets!$U$11,0)/1000000*(1+CEG_RevAdj)</f>
        <v>0</v>
      </c>
      <c r="H316" s="8" t="n">
        <f aca="false">IF(H$3&lt;=CEG_Assets!$V$11,H308*CEG_Assets!$U$11,0)/1000000*(1+CEG_RevAdj)</f>
        <v>0</v>
      </c>
      <c r="I316" s="8" t="n">
        <f aca="false">IF(I$3&lt;=CEG_Assets!$V$11,I308*CEG_Assets!$U$11,0)/1000000*(1+CEG_RevAdj)</f>
        <v>0</v>
      </c>
      <c r="J316" s="8" t="n">
        <f aca="false">IF(J$3&lt;=CEG_Assets!$V$11,J308*CEG_Assets!$U$11,0)/1000000*(1+CEG_RevAdj)</f>
        <v>0</v>
      </c>
      <c r="K316" s="8" t="n">
        <f aca="false">IF(K$3&lt;=CEG_Assets!$V$11,K308*CEG_Assets!$U$11,0)/1000000*(1+CEG_RevAdj)</f>
        <v>0</v>
      </c>
      <c r="L316" s="8" t="n">
        <f aca="false">IF(L$3&lt;=CEG_Assets!$V$11,L308*CEG_Assets!$U$11,0)/1000000*(1+CEG_RevAdj)</f>
        <v>0</v>
      </c>
      <c r="M316" s="8" t="n">
        <f aca="false">IF(M$3&lt;=CEG_Assets!$V$11,M308*CEG_Assets!$U$11,0)/1000000*(1+CEG_RevAdj)</f>
        <v>0</v>
      </c>
      <c r="N316" s="8" t="n">
        <f aca="false">IF(N$3&lt;=CEG_Assets!$V$11,N308*CEG_Assets!$U$11,0)/1000000*(1+CEG_RevAdj)</f>
        <v>0</v>
      </c>
      <c r="O316" s="8" t="n">
        <f aca="false">IF(O$3&lt;=CEG_Assets!$V$11,O308*CEG_Assets!$U$11,0)/1000000*(1+CEG_RevAdj)</f>
        <v>0</v>
      </c>
      <c r="P316" s="8" t="n">
        <f aca="false">IF(P$3&lt;=CEG_Assets!$V$11,P308*CEG_Assets!$U$11,0)/1000000*(1+CEG_RevAdj)</f>
        <v>0</v>
      </c>
      <c r="Q316" s="8" t="n">
        <f aca="false">IF(Q$3&lt;=CEG_Assets!$V$11,Q308*CEG_Assets!$U$11,0)/1000000*(1+CEG_RevAdj)</f>
        <v>0</v>
      </c>
      <c r="R316" s="8" t="n">
        <f aca="false">IF(R$3&lt;=CEG_Assets!$V$11,R308*CEG_Assets!$U$11,0)/1000000*(1+CEG_RevAdj)</f>
        <v>0</v>
      </c>
      <c r="S316" s="8" t="n">
        <f aca="false">IF(S$3&lt;=CEG_Assets!$V$11,S308*CEG_Assets!$U$11,0)/1000000*(1+CEG_RevAdj)</f>
        <v>0</v>
      </c>
      <c r="T316" s="8" t="n">
        <f aca="false">IF(T$3&lt;=CEG_Assets!$V$11,T308*CEG_Assets!$U$11,0)/1000000*(1+CEG_RevAdj)</f>
        <v>0</v>
      </c>
      <c r="U316" s="8" t="n">
        <f aca="false">IF(U$3&lt;=CEG_Assets!$V$11,U308*CEG_Assets!$U$11,0)/1000000*(1+CEG_RevAdj)</f>
        <v>0</v>
      </c>
      <c r="V316" s="8" t="n">
        <f aca="false">IF(V$3&lt;=CEG_Assets!$V$11,V308*CEG_Assets!$U$11,0)/1000000*(1+CEG_RevAdj)</f>
        <v>0</v>
      </c>
      <c r="W316" s="8" t="n">
        <f aca="false">IF(W$3&lt;=CEG_Assets!$V$11,W308*CEG_Assets!$U$11,0)/1000000*(1+CEG_RevAdj)</f>
        <v>0</v>
      </c>
      <c r="X316" s="8" t="n">
        <f aca="false">IF(X$3&lt;=CEG_Assets!$V$11,X308*CEG_Assets!$U$11,0)/1000000*(1+CEG_RevAdj)</f>
        <v>0</v>
      </c>
      <c r="Y316" s="8" t="n">
        <f aca="false">IF(Y$3&lt;=CEG_Assets!$V$11,Y308*CEG_Assets!$U$11,0)/1000000*(1+CEG_RevAdj)</f>
        <v>0</v>
      </c>
      <c r="Z316" s="8" t="n">
        <f aca="false">IF(Z$3&lt;=CEG_Assets!$V$11,Z308*CEG_Assets!$U$11,0)/1000000*(1+CEG_RevAdj)</f>
        <v>0</v>
      </c>
      <c r="AA316" s="8" t="n">
        <f aca="false">IF(AA$3&lt;=CEG_Assets!$V$11,AA308*CEG_Assets!$U$11,0)/1000000*(1+CEG_RevAdj)</f>
        <v>0</v>
      </c>
      <c r="AB316" s="8" t="n">
        <f aca="false">IF(AB$3&lt;=CEG_Assets!$V$11,AB308*CEG_Assets!$U$11,0)/1000000*(1+CEG_RevAdj)</f>
        <v>0</v>
      </c>
      <c r="AC316" s="8" t="n">
        <f aca="false">IF(AC$3&lt;=CEG_Assets!$V$11,AC308*CEG_Assets!$U$11,0)/1000000*(1+CEG_RevAdj)</f>
        <v>0</v>
      </c>
      <c r="AD316" s="8" t="n">
        <f aca="false">IF(AD$3&lt;=CEG_Assets!$V$11,AD308*CEG_Assets!$U$11,0)/1000000*(1+CEG_RevAdj)</f>
        <v>0</v>
      </c>
      <c r="AE316" s="8" t="n">
        <f aca="false">IF(AE$3&lt;=CEG_Assets!$V$11,AE308*CEG_Assets!$U$11,0)/1000000*(1+CEG_RevAdj)</f>
        <v>0</v>
      </c>
      <c r="AF316" s="8" t="n">
        <f aca="false">IF(AF$3&lt;=CEG_Assets!$V$11,AF308*CEG_Assets!$U$11,0)/1000000*(1+CEG_RevAdj)</f>
        <v>0</v>
      </c>
      <c r="AG316" s="8" t="n">
        <f aca="false">IF(AG$3&lt;=CEG_Assets!$V$11,AG308*CEG_Assets!$U$11,0)/1000000*(1+CEG_RevAdj)</f>
        <v>0</v>
      </c>
      <c r="AH316" s="8" t="n">
        <f aca="false">IF(AH$3&lt;=CEG_Assets!$V$11,AH308*CEG_Assets!$U$11,0)/1000000*(1+CEG_RevAdj)</f>
        <v>0</v>
      </c>
      <c r="AI316" s="8" t="n">
        <f aca="false">IF(AI$3&lt;=CEG_Assets!$V$11,AI308*CEG_Assets!$U$11,0)/1000000*(1+CEG_RevAdj)</f>
        <v>0</v>
      </c>
      <c r="AJ316" s="8" t="n">
        <f aca="false">IF(AJ$3&lt;=CEG_Assets!$V$11,AJ308*CEG_Assets!$U$11,0)/1000000*(1+CEG_RevAdj)</f>
        <v>0</v>
      </c>
      <c r="AK316" s="8" t="n">
        <f aca="false">IF(AK$3&lt;=CEG_Assets!$V$11,AK308*CEG_Assets!$U$11,0)/1000000*(1+CEG_RevAdj)</f>
        <v>0</v>
      </c>
      <c r="AL316" s="8" t="n">
        <f aca="false">IF(AL$3&lt;=CEG_Assets!$V$11,AL308*CEG_Assets!$U$11,0)/1000000*(1+CEG_RevAdj)</f>
        <v>0</v>
      </c>
      <c r="AM316" s="8" t="n">
        <f aca="false">IF(AM$3&lt;=CEG_Assets!$V$11,AM308*CEG_Assets!$U$11,0)/1000000*(1+CEG_RevAdj)</f>
        <v>0</v>
      </c>
      <c r="AN316" s="8" t="n">
        <f aca="false">IF(AN$3&lt;=CEG_Assets!$V$11,AN308*CEG_Assets!$U$11,0)/1000000*(1+CEG_RevAdj)</f>
        <v>0</v>
      </c>
      <c r="AO316" s="8" t="n">
        <f aca="false">IF(AO$3&lt;=CEG_Assets!$V$11,AO308*CEG_Assets!$U$11,0)/1000000*(1+CEG_RevAdj)</f>
        <v>0</v>
      </c>
      <c r="AP316" s="8" t="n">
        <f aca="false">IF(AP$3&lt;=CEG_Assets!$V$11,AP308*CEG_Assets!$U$11,0)/1000000*(1+CEG_RevAdj)</f>
        <v>0</v>
      </c>
      <c r="AQ316" s="8" t="n">
        <f aca="false">IF(AQ$3&lt;=CEG_Assets!$V$11,AQ308*CEG_Assets!$U$11,0)/1000000*(1+CEG_RevAdj)</f>
        <v>0</v>
      </c>
      <c r="AR316" s="8" t="n">
        <f aca="false">IF(AR$3&lt;=CEG_Assets!$V$11,AR308*CEG_Assets!$U$11,0)/1000000*(1+CEG_RevAdj)</f>
        <v>0</v>
      </c>
      <c r="AS316" s="8" t="n">
        <f aca="false">IF(AS$3&lt;=CEG_Assets!$V$11,AS308*CEG_Assets!$U$11,0)/1000000*(1+CEG_RevAdj)</f>
        <v>0</v>
      </c>
    </row>
    <row r="317" customFormat="false" ht="15" hidden="false" customHeight="false" outlineLevel="0" collapsed="false">
      <c r="A317" s="6" t="s">
        <v>447</v>
      </c>
      <c r="B317" s="6" t="s">
        <v>448</v>
      </c>
      <c r="C317" s="9" t="n">
        <f aca="false">SUM(G317:AS317)</f>
        <v>1142.73799127429</v>
      </c>
      <c r="G317" s="8" t="n">
        <f aca="false">G313+G314+G315+G316</f>
        <v>82.220922</v>
      </c>
      <c r="H317" s="8" t="n">
        <f aca="false">H313+H314+H315+H316</f>
        <v>85.576878</v>
      </c>
      <c r="I317" s="8" t="n">
        <f aca="false">I313+I314+I315+I316</f>
        <v>88.1890370275356</v>
      </c>
      <c r="J317" s="8" t="n">
        <f aca="false">J313+J314+J315+J316</f>
        <v>90.9056824161726</v>
      </c>
      <c r="K317" s="8" t="n">
        <f aca="false">K313+K314+K315+K316</f>
        <v>92.7237960644961</v>
      </c>
      <c r="L317" s="8" t="n">
        <f aca="false">L313+L314+L315+L316</f>
        <v>94.578271985786</v>
      </c>
      <c r="M317" s="8" t="n">
        <f aca="false">M313+M314+M315+M316</f>
        <v>96.4698374255017</v>
      </c>
      <c r="N317" s="8" t="n">
        <f aca="false">N313+N314+N315+N316</f>
        <v>98.3992341740118</v>
      </c>
      <c r="O317" s="8" t="n">
        <f aca="false">O313+O314+O315+O316</f>
        <v>100.367218857492</v>
      </c>
      <c r="P317" s="8" t="n">
        <f aca="false">P313+P314+P315+P316</f>
        <v>102.374563234642</v>
      </c>
      <c r="Q317" s="8" t="n">
        <f aca="false">Q313+Q314+Q315+Q316</f>
        <v>104.422054499335</v>
      </c>
      <c r="R317" s="8" t="n">
        <f aca="false">R313+R314+R315+R316</f>
        <v>106.510495589321</v>
      </c>
      <c r="S317" s="8" t="n">
        <f aca="false">S313+S314+S315+S316</f>
        <v>0</v>
      </c>
      <c r="T317" s="8" t="n">
        <f aca="false">T313+T314+T315+T316</f>
        <v>0</v>
      </c>
      <c r="U317" s="8" t="n">
        <f aca="false">U313+U314+U315+U316</f>
        <v>0</v>
      </c>
      <c r="V317" s="8" t="n">
        <f aca="false">V313+V314+V315+V316</f>
        <v>0</v>
      </c>
      <c r="W317" s="8" t="n">
        <f aca="false">W313+W314+W315+W316</f>
        <v>0</v>
      </c>
      <c r="X317" s="8" t="n">
        <f aca="false">X313+X314+X315+X316</f>
        <v>0</v>
      </c>
      <c r="Y317" s="8" t="n">
        <f aca="false">Y313+Y314+Y315+Y316</f>
        <v>0</v>
      </c>
      <c r="Z317" s="8" t="n">
        <f aca="false">Z313+Z314+Z315+Z316</f>
        <v>0</v>
      </c>
      <c r="AA317" s="8" t="n">
        <f aca="false">AA313+AA314+AA315+AA316</f>
        <v>0</v>
      </c>
      <c r="AB317" s="8" t="n">
        <f aca="false">AB313+AB314+AB315+AB316</f>
        <v>0</v>
      </c>
      <c r="AC317" s="8" t="n">
        <f aca="false">AC313+AC314+AC315+AC316</f>
        <v>0</v>
      </c>
      <c r="AD317" s="8" t="n">
        <f aca="false">AD313+AD314+AD315+AD316</f>
        <v>0</v>
      </c>
      <c r="AE317" s="8" t="n">
        <f aca="false">AE313+AE314+AE315+AE316</f>
        <v>0</v>
      </c>
      <c r="AF317" s="8" t="n">
        <f aca="false">AF313+AF314+AF315+AF316</f>
        <v>0</v>
      </c>
      <c r="AG317" s="8" t="n">
        <f aca="false">AG313+AG314+AG315+AG316</f>
        <v>0</v>
      </c>
      <c r="AH317" s="8" t="n">
        <f aca="false">AH313+AH314+AH315+AH316</f>
        <v>0</v>
      </c>
      <c r="AI317" s="8" t="n">
        <f aca="false">AI313+AI314+AI315+AI316</f>
        <v>0</v>
      </c>
      <c r="AJ317" s="8" t="n">
        <f aca="false">AJ313+AJ314+AJ315+AJ316</f>
        <v>0</v>
      </c>
      <c r="AK317" s="8" t="n">
        <f aca="false">AK313+AK314+AK315+AK316</f>
        <v>0</v>
      </c>
      <c r="AL317" s="8" t="n">
        <f aca="false">AL313+AL314+AL315+AL316</f>
        <v>0</v>
      </c>
      <c r="AM317" s="8" t="n">
        <f aca="false">AM313+AM314+AM315+AM316</f>
        <v>0</v>
      </c>
      <c r="AN317" s="8" t="n">
        <f aca="false">AN313+AN314+AN315+AN316</f>
        <v>0</v>
      </c>
      <c r="AO317" s="8" t="n">
        <f aca="false">AO313+AO314+AO315+AO316</f>
        <v>0</v>
      </c>
      <c r="AP317" s="8" t="n">
        <f aca="false">AP313+AP314+AP315+AP316</f>
        <v>0</v>
      </c>
      <c r="AQ317" s="8" t="n">
        <f aca="false">AQ313+AQ314+AQ315+AQ316</f>
        <v>0</v>
      </c>
      <c r="AR317" s="8" t="n">
        <f aca="false">AR313+AR314+AR315+AR316</f>
        <v>0</v>
      </c>
      <c r="AS317" s="8" t="n">
        <f aca="false">AS313+AS314+AS315+AS316</f>
        <v>0</v>
      </c>
    </row>
    <row r="318" customFormat="false" ht="15" hidden="false" customHeight="false" outlineLevel="0" collapsed="false">
      <c r="A318" s="6" t="s">
        <v>449</v>
      </c>
      <c r="B318" s="6" t="s">
        <v>450</v>
      </c>
      <c r="C318" s="9" t="n">
        <f aca="false">SUM(G318:AS318)</f>
        <v>444.569319752862</v>
      </c>
      <c r="G318" s="8" t="n">
        <f aca="false">((CEG_Assets!$K$11*G310+CEG_Assets!$M$11*G$4)*G308*G312+CEG_Assets!$N$11*(1+CEG_Assets!$Q$11)^(G$3-2026)*(G308+G309))/1000000*(1+CEG_FuelAdj)</f>
        <v>32.5363290156</v>
      </c>
      <c r="H318" s="8" t="n">
        <f aca="false">((CEG_Assets!$K$11*H310+CEG_Assets!$M$11*H$4)*H308*H312+CEG_Assets!$N$11*(1+CEG_Assets!$Q$11)^(H$3-2026)*(H308+H309))/1000000*(1+CEG_FuelAdj)</f>
        <v>33.187055595912</v>
      </c>
      <c r="I318" s="8" t="n">
        <f aca="false">((CEG_Assets!$K$11*I310+CEG_Assets!$M$11*I$4)*I308*I312+CEG_Assets!$N$11*(1+CEG_Assets!$Q$11)^(I$3-2026)*(I308+I309))/1000000*(1+CEG_FuelAdj)</f>
        <v>34.5986838523483</v>
      </c>
      <c r="J318" s="8" t="n">
        <f aca="false">((CEG_Assets!$K$11*J310+CEG_Assets!$M$11*J$4)*J308*J312+CEG_Assets!$N$11*(1+CEG_Assets!$Q$11)^(J$3-2026)*(J308+J309))/1000000*(1+CEG_FuelAdj)</f>
        <v>35.2906575293953</v>
      </c>
      <c r="K318" s="8" t="n">
        <f aca="false">((CEG_Assets!$K$11*K310+CEG_Assets!$M$11*K$4)*K308*K312+CEG_Assets!$N$11*(1+CEG_Assets!$Q$11)^(K$3-2026)*(K308+K309))/1000000*(1+CEG_FuelAdj)</f>
        <v>35.9964706799832</v>
      </c>
      <c r="L318" s="8" t="n">
        <f aca="false">((CEG_Assets!$K$11*L310+CEG_Assets!$M$11*L$4)*L308*L312+CEG_Assets!$N$11*(1+CEG_Assets!$Q$11)^(L$3-2026)*(L308+L309))/1000000*(1+CEG_FuelAdj)</f>
        <v>36.7164000935829</v>
      </c>
      <c r="M318" s="8" t="n">
        <f aca="false">((CEG_Assets!$K$11*M310+CEG_Assets!$M$11*M$4)*M308*M312+CEG_Assets!$N$11*(1+CEG_Assets!$Q$11)^(M$3-2026)*(M308+M309))/1000000*(1+CEG_FuelAdj)</f>
        <v>37.4507280954545</v>
      </c>
      <c r="N318" s="8" t="n">
        <f aca="false">((CEG_Assets!$K$11*N310+CEG_Assets!$M$11*N$4)*N308*N312+CEG_Assets!$N$11*(1+CEG_Assets!$Q$11)^(N$3-2026)*(N308+N309))/1000000*(1+CEG_FuelAdj)</f>
        <v>38.1997426573636</v>
      </c>
      <c r="O318" s="8" t="n">
        <f aca="false">((CEG_Assets!$K$11*O310+CEG_Assets!$M$11*O$4)*O308*O312+CEG_Assets!$N$11*(1+CEG_Assets!$Q$11)^(O$3-2026)*(O308+O309))/1000000*(1+CEG_FuelAdj)</f>
        <v>38.9637375105109</v>
      </c>
      <c r="P318" s="8" t="n">
        <f aca="false">((CEG_Assets!$K$11*P310+CEG_Assets!$M$11*P$4)*P308*P312+CEG_Assets!$N$11*(1+CEG_Assets!$Q$11)^(P$3-2026)*(P308+P309))/1000000*(1+CEG_FuelAdj)</f>
        <v>39.7430122607211</v>
      </c>
      <c r="Q318" s="8" t="n">
        <f aca="false">((CEG_Assets!$K$11*Q310+CEG_Assets!$M$11*Q$4)*Q308*Q312+CEG_Assets!$N$11*(1+CEG_Assets!$Q$11)^(Q$3-2026)*(Q308+Q309))/1000000*(1+CEG_FuelAdj)</f>
        <v>40.5378725059355</v>
      </c>
      <c r="R318" s="8" t="n">
        <f aca="false">((CEG_Assets!$K$11*R310+CEG_Assets!$M$11*R$4)*R308*R312+CEG_Assets!$N$11*(1+CEG_Assets!$Q$11)^(R$3-2026)*(R308+R309))/1000000*(1+CEG_FuelAdj)</f>
        <v>41.3486299560542</v>
      </c>
      <c r="S318" s="8" t="n">
        <f aca="false">((CEG_Assets!$K$11*S310+CEG_Assets!$M$11*S$4)*S308*S312+CEG_Assets!$N$11*(1+CEG_Assets!$Q$11)^(S$3-2026)*(S308+S309))/1000000*(1+CEG_FuelAdj)</f>
        <v>0</v>
      </c>
      <c r="T318" s="8" t="n">
        <f aca="false">((CEG_Assets!$K$11*T310+CEG_Assets!$M$11*T$4)*T308*T312+CEG_Assets!$N$11*(1+CEG_Assets!$Q$11)^(T$3-2026)*(T308+T309))/1000000*(1+CEG_FuelAdj)</f>
        <v>0</v>
      </c>
      <c r="U318" s="8" t="n">
        <f aca="false">((CEG_Assets!$K$11*U310+CEG_Assets!$M$11*U$4)*U308*U312+CEG_Assets!$N$11*(1+CEG_Assets!$Q$11)^(U$3-2026)*(U308+U309))/1000000*(1+CEG_FuelAdj)</f>
        <v>0</v>
      </c>
      <c r="V318" s="8" t="n">
        <f aca="false">((CEG_Assets!$K$11*V310+CEG_Assets!$M$11*V$4)*V308*V312+CEG_Assets!$N$11*(1+CEG_Assets!$Q$11)^(V$3-2026)*(V308+V309))/1000000*(1+CEG_FuelAdj)</f>
        <v>0</v>
      </c>
      <c r="W318" s="8" t="n">
        <f aca="false">((CEG_Assets!$K$11*W310+CEG_Assets!$M$11*W$4)*W308*W312+CEG_Assets!$N$11*(1+CEG_Assets!$Q$11)^(W$3-2026)*(W308+W309))/1000000*(1+CEG_FuelAdj)</f>
        <v>0</v>
      </c>
      <c r="X318" s="8" t="n">
        <f aca="false">((CEG_Assets!$K$11*X310+CEG_Assets!$M$11*X$4)*X308*X312+CEG_Assets!$N$11*(1+CEG_Assets!$Q$11)^(X$3-2026)*(X308+X309))/1000000*(1+CEG_FuelAdj)</f>
        <v>0</v>
      </c>
      <c r="Y318" s="8" t="n">
        <f aca="false">((CEG_Assets!$K$11*Y310+CEG_Assets!$M$11*Y$4)*Y308*Y312+CEG_Assets!$N$11*(1+CEG_Assets!$Q$11)^(Y$3-2026)*(Y308+Y309))/1000000*(1+CEG_FuelAdj)</f>
        <v>0</v>
      </c>
      <c r="Z318" s="8" t="n">
        <f aca="false">((CEG_Assets!$K$11*Z310+CEG_Assets!$M$11*Z$4)*Z308*Z312+CEG_Assets!$N$11*(1+CEG_Assets!$Q$11)^(Z$3-2026)*(Z308+Z309))/1000000*(1+CEG_FuelAdj)</f>
        <v>0</v>
      </c>
      <c r="AA318" s="8" t="n">
        <f aca="false">((CEG_Assets!$K$11*AA310+CEG_Assets!$M$11*AA$4)*AA308*AA312+CEG_Assets!$N$11*(1+CEG_Assets!$Q$11)^(AA$3-2026)*(AA308+AA309))/1000000*(1+CEG_FuelAdj)</f>
        <v>0</v>
      </c>
      <c r="AB318" s="8" t="n">
        <f aca="false">((CEG_Assets!$K$11*AB310+CEG_Assets!$M$11*AB$4)*AB308*AB312+CEG_Assets!$N$11*(1+CEG_Assets!$Q$11)^(AB$3-2026)*(AB308+AB309))/1000000*(1+CEG_FuelAdj)</f>
        <v>0</v>
      </c>
      <c r="AC318" s="8" t="n">
        <f aca="false">((CEG_Assets!$K$11*AC310+CEG_Assets!$M$11*AC$4)*AC308*AC312+CEG_Assets!$N$11*(1+CEG_Assets!$Q$11)^(AC$3-2026)*(AC308+AC309))/1000000*(1+CEG_FuelAdj)</f>
        <v>0</v>
      </c>
      <c r="AD318" s="8" t="n">
        <f aca="false">((CEG_Assets!$K$11*AD310+CEG_Assets!$M$11*AD$4)*AD308*AD312+CEG_Assets!$N$11*(1+CEG_Assets!$Q$11)^(AD$3-2026)*(AD308+AD309))/1000000*(1+CEG_FuelAdj)</f>
        <v>0</v>
      </c>
      <c r="AE318" s="8" t="n">
        <f aca="false">((CEG_Assets!$K$11*AE310+CEG_Assets!$M$11*AE$4)*AE308*AE312+CEG_Assets!$N$11*(1+CEG_Assets!$Q$11)^(AE$3-2026)*(AE308+AE309))/1000000*(1+CEG_FuelAdj)</f>
        <v>0</v>
      </c>
      <c r="AF318" s="8" t="n">
        <f aca="false">((CEG_Assets!$K$11*AF310+CEG_Assets!$M$11*AF$4)*AF308*AF312+CEG_Assets!$N$11*(1+CEG_Assets!$Q$11)^(AF$3-2026)*(AF308+AF309))/1000000*(1+CEG_FuelAdj)</f>
        <v>0</v>
      </c>
      <c r="AG318" s="8" t="n">
        <f aca="false">((CEG_Assets!$K$11*AG310+CEG_Assets!$M$11*AG$4)*AG308*AG312+CEG_Assets!$N$11*(1+CEG_Assets!$Q$11)^(AG$3-2026)*(AG308+AG309))/1000000*(1+CEG_FuelAdj)</f>
        <v>0</v>
      </c>
      <c r="AH318" s="8" t="n">
        <f aca="false">((CEG_Assets!$K$11*AH310+CEG_Assets!$M$11*AH$4)*AH308*AH312+CEG_Assets!$N$11*(1+CEG_Assets!$Q$11)^(AH$3-2026)*(AH308+AH309))/1000000*(1+CEG_FuelAdj)</f>
        <v>0</v>
      </c>
      <c r="AI318" s="8" t="n">
        <f aca="false">((CEG_Assets!$K$11*AI310+CEG_Assets!$M$11*AI$4)*AI308*AI312+CEG_Assets!$N$11*(1+CEG_Assets!$Q$11)^(AI$3-2026)*(AI308+AI309))/1000000*(1+CEG_FuelAdj)</f>
        <v>0</v>
      </c>
      <c r="AJ318" s="8" t="n">
        <f aca="false">((CEG_Assets!$K$11*AJ310+CEG_Assets!$M$11*AJ$4)*AJ308*AJ312+CEG_Assets!$N$11*(1+CEG_Assets!$Q$11)^(AJ$3-2026)*(AJ308+AJ309))/1000000*(1+CEG_FuelAdj)</f>
        <v>0</v>
      </c>
      <c r="AK318" s="8" t="n">
        <f aca="false">((CEG_Assets!$K$11*AK310+CEG_Assets!$M$11*AK$4)*AK308*AK312+CEG_Assets!$N$11*(1+CEG_Assets!$Q$11)^(AK$3-2026)*(AK308+AK309))/1000000*(1+CEG_FuelAdj)</f>
        <v>0</v>
      </c>
      <c r="AL318" s="8" t="n">
        <f aca="false">((CEG_Assets!$K$11*AL310+CEG_Assets!$M$11*AL$4)*AL308*AL312+CEG_Assets!$N$11*(1+CEG_Assets!$Q$11)^(AL$3-2026)*(AL308+AL309))/1000000*(1+CEG_FuelAdj)</f>
        <v>0</v>
      </c>
      <c r="AM318" s="8" t="n">
        <f aca="false">((CEG_Assets!$K$11*AM310+CEG_Assets!$M$11*AM$4)*AM308*AM312+CEG_Assets!$N$11*(1+CEG_Assets!$Q$11)^(AM$3-2026)*(AM308+AM309))/1000000*(1+CEG_FuelAdj)</f>
        <v>0</v>
      </c>
      <c r="AN318" s="8" t="n">
        <f aca="false">((CEG_Assets!$K$11*AN310+CEG_Assets!$M$11*AN$4)*AN308*AN312+CEG_Assets!$N$11*(1+CEG_Assets!$Q$11)^(AN$3-2026)*(AN308+AN309))/1000000*(1+CEG_FuelAdj)</f>
        <v>0</v>
      </c>
      <c r="AO318" s="8" t="n">
        <f aca="false">((CEG_Assets!$K$11*AO310+CEG_Assets!$M$11*AO$4)*AO308*AO312+CEG_Assets!$N$11*(1+CEG_Assets!$Q$11)^(AO$3-2026)*(AO308+AO309))/1000000*(1+CEG_FuelAdj)</f>
        <v>0</v>
      </c>
      <c r="AP318" s="8" t="n">
        <f aca="false">((CEG_Assets!$K$11*AP310+CEG_Assets!$M$11*AP$4)*AP308*AP312+CEG_Assets!$N$11*(1+CEG_Assets!$Q$11)^(AP$3-2026)*(AP308+AP309))/1000000*(1+CEG_FuelAdj)</f>
        <v>0</v>
      </c>
      <c r="AQ318" s="8" t="n">
        <f aca="false">((CEG_Assets!$K$11*AQ310+CEG_Assets!$M$11*AQ$4)*AQ308*AQ312+CEG_Assets!$N$11*(1+CEG_Assets!$Q$11)^(AQ$3-2026)*(AQ308+AQ309))/1000000*(1+CEG_FuelAdj)</f>
        <v>0</v>
      </c>
      <c r="AR318" s="8" t="n">
        <f aca="false">((CEG_Assets!$K$11*AR310+CEG_Assets!$M$11*AR$4)*AR308*AR312+CEG_Assets!$N$11*(1+CEG_Assets!$Q$11)^(AR$3-2026)*(AR308+AR309))/1000000*(1+CEG_FuelAdj)</f>
        <v>0</v>
      </c>
      <c r="AS318" s="8" t="n">
        <f aca="false">((CEG_Assets!$K$11*AS310+CEG_Assets!$M$11*AS$4)*AS308*AS312+CEG_Assets!$N$11*(1+CEG_Assets!$Q$11)^(AS$3-2026)*(AS308+AS309))/1000000*(1+CEG_FuelAdj)</f>
        <v>0</v>
      </c>
    </row>
    <row r="319" customFormat="false" ht="15" hidden="false" customHeight="false" outlineLevel="0" collapsed="false">
      <c r="A319" s="6" t="s">
        <v>451</v>
      </c>
      <c r="B319" s="6" t="s">
        <v>452</v>
      </c>
      <c r="C319" s="9" t="n">
        <f aca="false">SUM(G319:AS319)</f>
        <v>698.168671521432</v>
      </c>
      <c r="G319" s="8" t="n">
        <f aca="false">G317-G318</f>
        <v>49.6845929844</v>
      </c>
      <c r="H319" s="8" t="n">
        <f aca="false">H317-H318</f>
        <v>52.389822404088</v>
      </c>
      <c r="I319" s="8" t="n">
        <f aca="false">I317-I318</f>
        <v>53.5903531751873</v>
      </c>
      <c r="J319" s="8" t="n">
        <f aca="false">J317-J318</f>
        <v>55.6150248867773</v>
      </c>
      <c r="K319" s="8" t="n">
        <f aca="false">K317-K318</f>
        <v>56.7273253845129</v>
      </c>
      <c r="L319" s="8" t="n">
        <f aca="false">L317-L318</f>
        <v>57.8618718922031</v>
      </c>
      <c r="M319" s="8" t="n">
        <f aca="false">M317-M318</f>
        <v>59.0191093300472</v>
      </c>
      <c r="N319" s="8" t="n">
        <f aca="false">N317-N318</f>
        <v>60.1994915166482</v>
      </c>
      <c r="O319" s="8" t="n">
        <f aca="false">O317-O318</f>
        <v>61.4034813469811</v>
      </c>
      <c r="P319" s="8" t="n">
        <f aca="false">P317-P318</f>
        <v>62.6315509739208</v>
      </c>
      <c r="Q319" s="8" t="n">
        <f aca="false">Q317-Q318</f>
        <v>63.8841819933992</v>
      </c>
      <c r="R319" s="8" t="n">
        <f aca="false">R317-R318</f>
        <v>65.1618656332672</v>
      </c>
      <c r="S319" s="8" t="n">
        <f aca="false">S317-S318</f>
        <v>0</v>
      </c>
      <c r="T319" s="8" t="n">
        <f aca="false">T317-T318</f>
        <v>0</v>
      </c>
      <c r="U319" s="8" t="n">
        <f aca="false">U317-U318</f>
        <v>0</v>
      </c>
      <c r="V319" s="8" t="n">
        <f aca="false">V317-V318</f>
        <v>0</v>
      </c>
      <c r="W319" s="8" t="n">
        <f aca="false">W317-W318</f>
        <v>0</v>
      </c>
      <c r="X319" s="8" t="n">
        <f aca="false">X317-X318</f>
        <v>0</v>
      </c>
      <c r="Y319" s="8" t="n">
        <f aca="false">Y317-Y318</f>
        <v>0</v>
      </c>
      <c r="Z319" s="8" t="n">
        <f aca="false">Z317-Z318</f>
        <v>0</v>
      </c>
      <c r="AA319" s="8" t="n">
        <f aca="false">AA317-AA318</f>
        <v>0</v>
      </c>
      <c r="AB319" s="8" t="n">
        <f aca="false">AB317-AB318</f>
        <v>0</v>
      </c>
      <c r="AC319" s="8" t="n">
        <f aca="false">AC317-AC318</f>
        <v>0</v>
      </c>
      <c r="AD319" s="8" t="n">
        <f aca="false">AD317-AD318</f>
        <v>0</v>
      </c>
      <c r="AE319" s="8" t="n">
        <f aca="false">AE317-AE318</f>
        <v>0</v>
      </c>
      <c r="AF319" s="8" t="n">
        <f aca="false">AF317-AF318</f>
        <v>0</v>
      </c>
      <c r="AG319" s="8" t="n">
        <f aca="false">AG317-AG318</f>
        <v>0</v>
      </c>
      <c r="AH319" s="8" t="n">
        <f aca="false">AH317-AH318</f>
        <v>0</v>
      </c>
      <c r="AI319" s="8" t="n">
        <f aca="false">AI317-AI318</f>
        <v>0</v>
      </c>
      <c r="AJ319" s="8" t="n">
        <f aca="false">AJ317-AJ318</f>
        <v>0</v>
      </c>
      <c r="AK319" s="8" t="n">
        <f aca="false">AK317-AK318</f>
        <v>0</v>
      </c>
      <c r="AL319" s="8" t="n">
        <f aca="false">AL317-AL318</f>
        <v>0</v>
      </c>
      <c r="AM319" s="8" t="n">
        <f aca="false">AM317-AM318</f>
        <v>0</v>
      </c>
      <c r="AN319" s="8" t="n">
        <f aca="false">AN317-AN318</f>
        <v>0</v>
      </c>
      <c r="AO319" s="8" t="n">
        <f aca="false">AO317-AO318</f>
        <v>0</v>
      </c>
      <c r="AP319" s="8" t="n">
        <f aca="false">AP317-AP318</f>
        <v>0</v>
      </c>
      <c r="AQ319" s="8" t="n">
        <f aca="false">AQ317-AQ318</f>
        <v>0</v>
      </c>
      <c r="AR319" s="8" t="n">
        <f aca="false">AR317-AR318</f>
        <v>0</v>
      </c>
      <c r="AS319" s="8" t="n">
        <f aca="false">AS317-AS318</f>
        <v>0</v>
      </c>
    </row>
    <row r="320" customFormat="false" ht="15" hidden="false" customHeight="false" outlineLevel="0" collapsed="false">
      <c r="A320" s="6" t="s">
        <v>453</v>
      </c>
      <c r="B320" s="6" t="s">
        <v>454</v>
      </c>
      <c r="C320" s="9" t="n">
        <f aca="false">SUM(G320:AS320)</f>
        <v>314.456100380548</v>
      </c>
      <c r="G320" s="8" t="n">
        <f aca="false">(CEG_Assets!$R$11*CEG_Assets!$D$11*1000*G$4*G306+CEG_Assets!$O$11*(1+CEG_Assets!$Q$11)^(G$3-2026)*(G308+G309))/1000000*(1+CEG_OMAdj)</f>
        <v>23.44572</v>
      </c>
      <c r="H320" s="8" t="n">
        <f aca="false">(CEG_Assets!$R$11*CEG_Assets!$D$11*1000*H$4*H306+CEG_Assets!$O$11*(1+CEG_Assets!$Q$11)^(H$3-2026)*(H308+H309))/1000000*(1+CEG_OMAdj)</f>
        <v>23.9146344</v>
      </c>
      <c r="I320" s="8" t="n">
        <f aca="false">(CEG_Assets!$R$11*CEG_Assets!$D$11*1000*I$4*I306+CEG_Assets!$O$11*(1+CEG_Assets!$Q$11)^(I$3-2026)*(I308+I309))/1000000*(1+CEG_OMAdj)</f>
        <v>24.392927088</v>
      </c>
      <c r="J320" s="8" t="n">
        <f aca="false">(CEG_Assets!$R$11*CEG_Assets!$D$11*1000*J$4*J306+CEG_Assets!$O$11*(1+CEG_Assets!$Q$11)^(J$3-2026)*(J308+J309))/1000000*(1+CEG_OMAdj)</f>
        <v>24.88078562976</v>
      </c>
      <c r="K320" s="8" t="n">
        <f aca="false">(CEG_Assets!$R$11*CEG_Assets!$D$11*1000*K$4*K306+CEG_Assets!$O$11*(1+CEG_Assets!$Q$11)^(K$3-2026)*(K308+K309))/1000000*(1+CEG_OMAdj)</f>
        <v>25.3784013423552</v>
      </c>
      <c r="L320" s="8" t="n">
        <f aca="false">(CEG_Assets!$R$11*CEG_Assets!$D$11*1000*L$4*L306+CEG_Assets!$O$11*(1+CEG_Assets!$Q$11)^(L$3-2026)*(L308+L309))/1000000*(1+CEG_OMAdj)</f>
        <v>25.8859693692023</v>
      </c>
      <c r="M320" s="8" t="n">
        <f aca="false">(CEG_Assets!$R$11*CEG_Assets!$D$11*1000*M$4*M306+CEG_Assets!$O$11*(1+CEG_Assets!$Q$11)^(M$3-2026)*(M308+M309))/1000000*(1+CEG_OMAdj)</f>
        <v>26.4036887565864</v>
      </c>
      <c r="N320" s="8" t="n">
        <f aca="false">(CEG_Assets!$R$11*CEG_Assets!$D$11*1000*N$4*N306+CEG_Assets!$O$11*(1+CEG_Assets!$Q$11)^(N$3-2026)*(N308+N309))/1000000*(1+CEG_OMAdj)</f>
        <v>26.9317625317181</v>
      </c>
      <c r="O320" s="8" t="n">
        <f aca="false">(CEG_Assets!$R$11*CEG_Assets!$D$11*1000*O$4*O306+CEG_Assets!$O$11*(1+CEG_Assets!$Q$11)^(O$3-2026)*(O308+O309))/1000000*(1+CEG_OMAdj)</f>
        <v>27.4703977823524</v>
      </c>
      <c r="P320" s="8" t="n">
        <f aca="false">(CEG_Assets!$R$11*CEG_Assets!$D$11*1000*P$4*P306+CEG_Assets!$O$11*(1+CEG_Assets!$Q$11)^(P$3-2026)*(P308+P309))/1000000*(1+CEG_OMAdj)</f>
        <v>28.0198057379995</v>
      </c>
      <c r="Q320" s="8" t="n">
        <f aca="false">(CEG_Assets!$R$11*CEG_Assets!$D$11*1000*Q$4*Q306+CEG_Assets!$O$11*(1+CEG_Assets!$Q$11)^(Q$3-2026)*(Q308+Q309))/1000000*(1+CEG_OMAdj)</f>
        <v>28.5802018527595</v>
      </c>
      <c r="R320" s="8" t="n">
        <f aca="false">(CEG_Assets!$R$11*CEG_Assets!$D$11*1000*R$4*R306+CEG_Assets!$O$11*(1+CEG_Assets!$Q$11)^(R$3-2026)*(R308+R309))/1000000*(1+CEG_OMAdj)</f>
        <v>29.1518058898147</v>
      </c>
      <c r="S320" s="8" t="n">
        <f aca="false">(CEG_Assets!$R$11*CEG_Assets!$D$11*1000*S$4*S306+CEG_Assets!$O$11*(1+CEG_Assets!$Q$11)^(S$3-2026)*(S308+S309))/1000000*(1+CEG_OMAdj)</f>
        <v>0</v>
      </c>
      <c r="T320" s="8" t="n">
        <f aca="false">(CEG_Assets!$R$11*CEG_Assets!$D$11*1000*T$4*T306+CEG_Assets!$O$11*(1+CEG_Assets!$Q$11)^(T$3-2026)*(T308+T309))/1000000*(1+CEG_OMAdj)</f>
        <v>0</v>
      </c>
      <c r="U320" s="8" t="n">
        <f aca="false">(CEG_Assets!$R$11*CEG_Assets!$D$11*1000*U$4*U306+CEG_Assets!$O$11*(1+CEG_Assets!$Q$11)^(U$3-2026)*(U308+U309))/1000000*(1+CEG_OMAdj)</f>
        <v>0</v>
      </c>
      <c r="V320" s="8" t="n">
        <f aca="false">(CEG_Assets!$R$11*CEG_Assets!$D$11*1000*V$4*V306+CEG_Assets!$O$11*(1+CEG_Assets!$Q$11)^(V$3-2026)*(V308+V309))/1000000*(1+CEG_OMAdj)</f>
        <v>0</v>
      </c>
      <c r="W320" s="8" t="n">
        <f aca="false">(CEG_Assets!$R$11*CEG_Assets!$D$11*1000*W$4*W306+CEG_Assets!$O$11*(1+CEG_Assets!$Q$11)^(W$3-2026)*(W308+W309))/1000000*(1+CEG_OMAdj)</f>
        <v>0</v>
      </c>
      <c r="X320" s="8" t="n">
        <f aca="false">(CEG_Assets!$R$11*CEG_Assets!$D$11*1000*X$4*X306+CEG_Assets!$O$11*(1+CEG_Assets!$Q$11)^(X$3-2026)*(X308+X309))/1000000*(1+CEG_OMAdj)</f>
        <v>0</v>
      </c>
      <c r="Y320" s="8" t="n">
        <f aca="false">(CEG_Assets!$R$11*CEG_Assets!$D$11*1000*Y$4*Y306+CEG_Assets!$O$11*(1+CEG_Assets!$Q$11)^(Y$3-2026)*(Y308+Y309))/1000000*(1+CEG_OMAdj)</f>
        <v>0</v>
      </c>
      <c r="Z320" s="8" t="n">
        <f aca="false">(CEG_Assets!$R$11*CEG_Assets!$D$11*1000*Z$4*Z306+CEG_Assets!$O$11*(1+CEG_Assets!$Q$11)^(Z$3-2026)*(Z308+Z309))/1000000*(1+CEG_OMAdj)</f>
        <v>0</v>
      </c>
      <c r="AA320" s="8" t="n">
        <f aca="false">(CEG_Assets!$R$11*CEG_Assets!$D$11*1000*AA$4*AA306+CEG_Assets!$O$11*(1+CEG_Assets!$Q$11)^(AA$3-2026)*(AA308+AA309))/1000000*(1+CEG_OMAdj)</f>
        <v>0</v>
      </c>
      <c r="AB320" s="8" t="n">
        <f aca="false">(CEG_Assets!$R$11*CEG_Assets!$D$11*1000*AB$4*AB306+CEG_Assets!$O$11*(1+CEG_Assets!$Q$11)^(AB$3-2026)*(AB308+AB309))/1000000*(1+CEG_OMAdj)</f>
        <v>0</v>
      </c>
      <c r="AC320" s="8" t="n">
        <f aca="false">(CEG_Assets!$R$11*CEG_Assets!$D$11*1000*AC$4*AC306+CEG_Assets!$O$11*(1+CEG_Assets!$Q$11)^(AC$3-2026)*(AC308+AC309))/1000000*(1+CEG_OMAdj)</f>
        <v>0</v>
      </c>
      <c r="AD320" s="8" t="n">
        <f aca="false">(CEG_Assets!$R$11*CEG_Assets!$D$11*1000*AD$4*AD306+CEG_Assets!$O$11*(1+CEG_Assets!$Q$11)^(AD$3-2026)*(AD308+AD309))/1000000*(1+CEG_OMAdj)</f>
        <v>0</v>
      </c>
      <c r="AE320" s="8" t="n">
        <f aca="false">(CEG_Assets!$R$11*CEG_Assets!$D$11*1000*AE$4*AE306+CEG_Assets!$O$11*(1+CEG_Assets!$Q$11)^(AE$3-2026)*(AE308+AE309))/1000000*(1+CEG_OMAdj)</f>
        <v>0</v>
      </c>
      <c r="AF320" s="8" t="n">
        <f aca="false">(CEG_Assets!$R$11*CEG_Assets!$D$11*1000*AF$4*AF306+CEG_Assets!$O$11*(1+CEG_Assets!$Q$11)^(AF$3-2026)*(AF308+AF309))/1000000*(1+CEG_OMAdj)</f>
        <v>0</v>
      </c>
      <c r="AG320" s="8" t="n">
        <f aca="false">(CEG_Assets!$R$11*CEG_Assets!$D$11*1000*AG$4*AG306+CEG_Assets!$O$11*(1+CEG_Assets!$Q$11)^(AG$3-2026)*(AG308+AG309))/1000000*(1+CEG_OMAdj)</f>
        <v>0</v>
      </c>
      <c r="AH320" s="8" t="n">
        <f aca="false">(CEG_Assets!$R$11*CEG_Assets!$D$11*1000*AH$4*AH306+CEG_Assets!$O$11*(1+CEG_Assets!$Q$11)^(AH$3-2026)*(AH308+AH309))/1000000*(1+CEG_OMAdj)</f>
        <v>0</v>
      </c>
      <c r="AI320" s="8" t="n">
        <f aca="false">(CEG_Assets!$R$11*CEG_Assets!$D$11*1000*AI$4*AI306+CEG_Assets!$O$11*(1+CEG_Assets!$Q$11)^(AI$3-2026)*(AI308+AI309))/1000000*(1+CEG_OMAdj)</f>
        <v>0</v>
      </c>
      <c r="AJ320" s="8" t="n">
        <f aca="false">(CEG_Assets!$R$11*CEG_Assets!$D$11*1000*AJ$4*AJ306+CEG_Assets!$O$11*(1+CEG_Assets!$Q$11)^(AJ$3-2026)*(AJ308+AJ309))/1000000*(1+CEG_OMAdj)</f>
        <v>0</v>
      </c>
      <c r="AK320" s="8" t="n">
        <f aca="false">(CEG_Assets!$R$11*CEG_Assets!$D$11*1000*AK$4*AK306+CEG_Assets!$O$11*(1+CEG_Assets!$Q$11)^(AK$3-2026)*(AK308+AK309))/1000000*(1+CEG_OMAdj)</f>
        <v>0</v>
      </c>
      <c r="AL320" s="8" t="n">
        <f aca="false">(CEG_Assets!$R$11*CEG_Assets!$D$11*1000*AL$4*AL306+CEG_Assets!$O$11*(1+CEG_Assets!$Q$11)^(AL$3-2026)*(AL308+AL309))/1000000*(1+CEG_OMAdj)</f>
        <v>0</v>
      </c>
      <c r="AM320" s="8" t="n">
        <f aca="false">(CEG_Assets!$R$11*CEG_Assets!$D$11*1000*AM$4*AM306+CEG_Assets!$O$11*(1+CEG_Assets!$Q$11)^(AM$3-2026)*(AM308+AM309))/1000000*(1+CEG_OMAdj)</f>
        <v>0</v>
      </c>
      <c r="AN320" s="8" t="n">
        <f aca="false">(CEG_Assets!$R$11*CEG_Assets!$D$11*1000*AN$4*AN306+CEG_Assets!$O$11*(1+CEG_Assets!$Q$11)^(AN$3-2026)*(AN308+AN309))/1000000*(1+CEG_OMAdj)</f>
        <v>0</v>
      </c>
      <c r="AO320" s="8" t="n">
        <f aca="false">(CEG_Assets!$R$11*CEG_Assets!$D$11*1000*AO$4*AO306+CEG_Assets!$O$11*(1+CEG_Assets!$Q$11)^(AO$3-2026)*(AO308+AO309))/1000000*(1+CEG_OMAdj)</f>
        <v>0</v>
      </c>
      <c r="AP320" s="8" t="n">
        <f aca="false">(CEG_Assets!$R$11*CEG_Assets!$D$11*1000*AP$4*AP306+CEG_Assets!$O$11*(1+CEG_Assets!$Q$11)^(AP$3-2026)*(AP308+AP309))/1000000*(1+CEG_OMAdj)</f>
        <v>0</v>
      </c>
      <c r="AQ320" s="8" t="n">
        <f aca="false">(CEG_Assets!$R$11*CEG_Assets!$D$11*1000*AQ$4*AQ306+CEG_Assets!$O$11*(1+CEG_Assets!$Q$11)^(AQ$3-2026)*(AQ308+AQ309))/1000000*(1+CEG_OMAdj)</f>
        <v>0</v>
      </c>
      <c r="AR320" s="8" t="n">
        <f aca="false">(CEG_Assets!$R$11*CEG_Assets!$D$11*1000*AR$4*AR306+CEG_Assets!$O$11*(1+CEG_Assets!$Q$11)^(AR$3-2026)*(AR308+AR309))/1000000*(1+CEG_OMAdj)</f>
        <v>0</v>
      </c>
      <c r="AS320" s="8" t="n">
        <f aca="false">(CEG_Assets!$R$11*CEG_Assets!$D$11*1000*AS$4*AS306+CEG_Assets!$O$11*(1+CEG_Assets!$Q$11)^(AS$3-2026)*(AS308+AS309))/1000000*(1+CEG_OMAdj)</f>
        <v>0</v>
      </c>
    </row>
    <row r="321" customFormat="false" ht="15" hidden="false" customHeight="false" outlineLevel="0" collapsed="false">
      <c r="A321" s="6" t="s">
        <v>455</v>
      </c>
      <c r="B321" s="6" t="s">
        <v>456</v>
      </c>
      <c r="C321" s="9" t="n">
        <f aca="false">SUM(G321:AS321)</f>
        <v>383.712571140884</v>
      </c>
      <c r="G321" s="8" t="n">
        <f aca="false">G319-G320</f>
        <v>26.2388729844</v>
      </c>
      <c r="H321" s="8" t="n">
        <f aca="false">H319-H320</f>
        <v>28.475188004088</v>
      </c>
      <c r="I321" s="8" t="n">
        <f aca="false">I319-I320</f>
        <v>29.1974260871873</v>
      </c>
      <c r="J321" s="8" t="n">
        <f aca="false">J319-J320</f>
        <v>30.7342392570173</v>
      </c>
      <c r="K321" s="8" t="n">
        <f aca="false">K319-K320</f>
        <v>31.3489240421577</v>
      </c>
      <c r="L321" s="8" t="n">
        <f aca="false">L319-L320</f>
        <v>31.9759025230008</v>
      </c>
      <c r="M321" s="8" t="n">
        <f aca="false">M319-M320</f>
        <v>32.6154205734609</v>
      </c>
      <c r="N321" s="8" t="n">
        <f aca="false">N319-N320</f>
        <v>33.2677289849301</v>
      </c>
      <c r="O321" s="8" t="n">
        <f aca="false">O319-O320</f>
        <v>33.9330835646287</v>
      </c>
      <c r="P321" s="8" t="n">
        <f aca="false">P319-P320</f>
        <v>34.6117452359213</v>
      </c>
      <c r="Q321" s="8" t="n">
        <f aca="false">Q319-Q320</f>
        <v>35.3039801406397</v>
      </c>
      <c r="R321" s="8" t="n">
        <f aca="false">R319-R320</f>
        <v>36.0100597434525</v>
      </c>
      <c r="S321" s="8" t="n">
        <f aca="false">S319-S320</f>
        <v>0</v>
      </c>
      <c r="T321" s="8" t="n">
        <f aca="false">T319-T320</f>
        <v>0</v>
      </c>
      <c r="U321" s="8" t="n">
        <f aca="false">U319-U320</f>
        <v>0</v>
      </c>
      <c r="V321" s="8" t="n">
        <f aca="false">V319-V320</f>
        <v>0</v>
      </c>
      <c r="W321" s="8" t="n">
        <f aca="false">W319-W320</f>
        <v>0</v>
      </c>
      <c r="X321" s="8" t="n">
        <f aca="false">X319-X320</f>
        <v>0</v>
      </c>
      <c r="Y321" s="8" t="n">
        <f aca="false">Y319-Y320</f>
        <v>0</v>
      </c>
      <c r="Z321" s="8" t="n">
        <f aca="false">Z319-Z320</f>
        <v>0</v>
      </c>
      <c r="AA321" s="8" t="n">
        <f aca="false">AA319-AA320</f>
        <v>0</v>
      </c>
      <c r="AB321" s="8" t="n">
        <f aca="false">AB319-AB320</f>
        <v>0</v>
      </c>
      <c r="AC321" s="8" t="n">
        <f aca="false">AC319-AC320</f>
        <v>0</v>
      </c>
      <c r="AD321" s="8" t="n">
        <f aca="false">AD319-AD320</f>
        <v>0</v>
      </c>
      <c r="AE321" s="8" t="n">
        <f aca="false">AE319-AE320</f>
        <v>0</v>
      </c>
      <c r="AF321" s="8" t="n">
        <f aca="false">AF319-AF320</f>
        <v>0</v>
      </c>
      <c r="AG321" s="8" t="n">
        <f aca="false">AG319-AG320</f>
        <v>0</v>
      </c>
      <c r="AH321" s="8" t="n">
        <f aca="false">AH319-AH320</f>
        <v>0</v>
      </c>
      <c r="AI321" s="8" t="n">
        <f aca="false">AI319-AI320</f>
        <v>0</v>
      </c>
      <c r="AJ321" s="8" t="n">
        <f aca="false">AJ319-AJ320</f>
        <v>0</v>
      </c>
      <c r="AK321" s="8" t="n">
        <f aca="false">AK319-AK320</f>
        <v>0</v>
      </c>
      <c r="AL321" s="8" t="n">
        <f aca="false">AL319-AL320</f>
        <v>0</v>
      </c>
      <c r="AM321" s="8" t="n">
        <f aca="false">AM319-AM320</f>
        <v>0</v>
      </c>
      <c r="AN321" s="8" t="n">
        <f aca="false">AN319-AN320</f>
        <v>0</v>
      </c>
      <c r="AO321" s="8" t="n">
        <f aca="false">AO319-AO320</f>
        <v>0</v>
      </c>
      <c r="AP321" s="8" t="n">
        <f aca="false">AP319-AP320</f>
        <v>0</v>
      </c>
      <c r="AQ321" s="8" t="n">
        <f aca="false">AQ319-AQ320</f>
        <v>0</v>
      </c>
      <c r="AR321" s="8" t="n">
        <f aca="false">AR319-AR320</f>
        <v>0</v>
      </c>
      <c r="AS321" s="8" t="n">
        <f aca="false">AS319-AS320</f>
        <v>0</v>
      </c>
    </row>
    <row r="322" customFormat="false" ht="15" hidden="false" customHeight="false" outlineLevel="0" collapsed="false">
      <c r="A322" s="6" t="s">
        <v>457</v>
      </c>
      <c r="B322" s="6" t="s">
        <v>458</v>
      </c>
      <c r="C322" s="9" t="n">
        <f aca="false">SUM(G322:AS322)</f>
        <v>87.3489167723745</v>
      </c>
      <c r="G322" s="8" t="n">
        <f aca="false">((CEG_Assets!$S$11*CEG_Assets!$D$11*1000*G$4*G306+CEG_Assets!$P$11*(1+CEG_Assets!$Q$11)^(G$3-2026)*(G308+G309))/1000000+IF(G$3=CEG_Assets!$AH$11,CEG_Assets!$AG$11,0))*(1+CEG_CapexAdj)</f>
        <v>6.5127</v>
      </c>
      <c r="H322" s="8" t="n">
        <f aca="false">((CEG_Assets!$S$11*CEG_Assets!$D$11*1000*H$4*H306+CEG_Assets!$P$11*(1+CEG_Assets!$Q$11)^(H$3-2026)*(H308+H309))/1000000+IF(H$3=CEG_Assets!$AH$11,CEG_Assets!$AG$11,0))*(1+CEG_CapexAdj)</f>
        <v>6.642954</v>
      </c>
      <c r="I322" s="8" t="n">
        <f aca="false">((CEG_Assets!$S$11*CEG_Assets!$D$11*1000*I$4*I306+CEG_Assets!$P$11*(1+CEG_Assets!$Q$11)^(I$3-2026)*(I308+I309))/1000000+IF(I$3=CEG_Assets!$AH$11,CEG_Assets!$AG$11,0))*(1+CEG_CapexAdj)</f>
        <v>6.77581308</v>
      </c>
      <c r="J322" s="8" t="n">
        <f aca="false">((CEG_Assets!$S$11*CEG_Assets!$D$11*1000*J$4*J306+CEG_Assets!$P$11*(1+CEG_Assets!$Q$11)^(J$3-2026)*(J308+J309))/1000000+IF(J$3=CEG_Assets!$AH$11,CEG_Assets!$AG$11,0))*(1+CEG_CapexAdj)</f>
        <v>6.9113293416</v>
      </c>
      <c r="K322" s="8" t="n">
        <f aca="false">((CEG_Assets!$S$11*CEG_Assets!$D$11*1000*K$4*K306+CEG_Assets!$P$11*(1+CEG_Assets!$Q$11)^(K$3-2026)*(K308+K309))/1000000+IF(K$3=CEG_Assets!$AH$11,CEG_Assets!$AG$11,0))*(1+CEG_CapexAdj)</f>
        <v>7.049555928432</v>
      </c>
      <c r="L322" s="8" t="n">
        <f aca="false">((CEG_Assets!$S$11*CEG_Assets!$D$11*1000*L$4*L306+CEG_Assets!$P$11*(1+CEG_Assets!$Q$11)^(L$3-2026)*(L308+L309))/1000000+IF(L$3=CEG_Assets!$AH$11,CEG_Assets!$AG$11,0))*(1+CEG_CapexAdj)</f>
        <v>7.19054704700064</v>
      </c>
      <c r="M322" s="8" t="n">
        <f aca="false">((CEG_Assets!$S$11*CEG_Assets!$D$11*1000*M$4*M306+CEG_Assets!$P$11*(1+CEG_Assets!$Q$11)^(M$3-2026)*(M308+M309))/1000000+IF(M$3=CEG_Assets!$AH$11,CEG_Assets!$AG$11,0))*(1+CEG_CapexAdj)</f>
        <v>7.33435798794065</v>
      </c>
      <c r="N322" s="8" t="n">
        <f aca="false">((CEG_Assets!$S$11*CEG_Assets!$D$11*1000*N$4*N306+CEG_Assets!$P$11*(1+CEG_Assets!$Q$11)^(N$3-2026)*(N308+N309))/1000000+IF(N$3=CEG_Assets!$AH$11,CEG_Assets!$AG$11,0))*(1+CEG_CapexAdj)</f>
        <v>7.48104514769947</v>
      </c>
      <c r="O322" s="8" t="n">
        <f aca="false">((CEG_Assets!$S$11*CEG_Assets!$D$11*1000*O$4*O306+CEG_Assets!$P$11*(1+CEG_Assets!$Q$11)^(O$3-2026)*(O308+O309))/1000000+IF(O$3=CEG_Assets!$AH$11,CEG_Assets!$AG$11,0))*(1+CEG_CapexAdj)</f>
        <v>7.63066605065346</v>
      </c>
      <c r="P322" s="8" t="n">
        <f aca="false">((CEG_Assets!$S$11*CEG_Assets!$D$11*1000*P$4*P306+CEG_Assets!$P$11*(1+CEG_Assets!$Q$11)^(P$3-2026)*(P308+P309))/1000000+IF(P$3=CEG_Assets!$AH$11,CEG_Assets!$AG$11,0))*(1+CEG_CapexAdj)</f>
        <v>7.78327937166653</v>
      </c>
      <c r="Q322" s="8" t="n">
        <f aca="false">((CEG_Assets!$S$11*CEG_Assets!$D$11*1000*Q$4*Q306+CEG_Assets!$P$11*(1+CEG_Assets!$Q$11)^(Q$3-2026)*(Q308+Q309))/1000000+IF(Q$3=CEG_Assets!$AH$11,CEG_Assets!$AG$11,0))*(1+CEG_CapexAdj)</f>
        <v>7.93894495909986</v>
      </c>
      <c r="R322" s="8" t="n">
        <f aca="false">((CEG_Assets!$S$11*CEG_Assets!$D$11*1000*R$4*R306+CEG_Assets!$P$11*(1+CEG_Assets!$Q$11)^(R$3-2026)*(R308+R309))/1000000+IF(R$3=CEG_Assets!$AH$11,CEG_Assets!$AG$11,0))*(1+CEG_CapexAdj)</f>
        <v>8.09772385828185</v>
      </c>
      <c r="S322" s="8" t="n">
        <f aca="false">((CEG_Assets!$S$11*CEG_Assets!$D$11*1000*S$4*S306+CEG_Assets!$P$11*(1+CEG_Assets!$Q$11)^(S$3-2026)*(S308+S309))/1000000+IF(S$3=CEG_Assets!$AH$11,CEG_Assets!$AG$11,0))*(1+CEG_CapexAdj)</f>
        <v>0</v>
      </c>
      <c r="T322" s="8" t="n">
        <f aca="false">((CEG_Assets!$S$11*CEG_Assets!$D$11*1000*T$4*T306+CEG_Assets!$P$11*(1+CEG_Assets!$Q$11)^(T$3-2026)*(T308+T309))/1000000+IF(T$3=CEG_Assets!$AH$11,CEG_Assets!$AG$11,0))*(1+CEG_CapexAdj)</f>
        <v>0</v>
      </c>
      <c r="U322" s="8" t="n">
        <f aca="false">((CEG_Assets!$S$11*CEG_Assets!$D$11*1000*U$4*U306+CEG_Assets!$P$11*(1+CEG_Assets!$Q$11)^(U$3-2026)*(U308+U309))/1000000+IF(U$3=CEG_Assets!$AH$11,CEG_Assets!$AG$11,0))*(1+CEG_CapexAdj)</f>
        <v>0</v>
      </c>
      <c r="V322" s="8" t="n">
        <f aca="false">((CEG_Assets!$S$11*CEG_Assets!$D$11*1000*V$4*V306+CEG_Assets!$P$11*(1+CEG_Assets!$Q$11)^(V$3-2026)*(V308+V309))/1000000+IF(V$3=CEG_Assets!$AH$11,CEG_Assets!$AG$11,0))*(1+CEG_CapexAdj)</f>
        <v>0</v>
      </c>
      <c r="W322" s="8" t="n">
        <f aca="false">((CEG_Assets!$S$11*CEG_Assets!$D$11*1000*W$4*W306+CEG_Assets!$P$11*(1+CEG_Assets!$Q$11)^(W$3-2026)*(W308+W309))/1000000+IF(W$3=CEG_Assets!$AH$11,CEG_Assets!$AG$11,0))*(1+CEG_CapexAdj)</f>
        <v>0</v>
      </c>
      <c r="X322" s="8" t="n">
        <f aca="false">((CEG_Assets!$S$11*CEG_Assets!$D$11*1000*X$4*X306+CEG_Assets!$P$11*(1+CEG_Assets!$Q$11)^(X$3-2026)*(X308+X309))/1000000+IF(X$3=CEG_Assets!$AH$11,CEG_Assets!$AG$11,0))*(1+CEG_CapexAdj)</f>
        <v>0</v>
      </c>
      <c r="Y322" s="8" t="n">
        <f aca="false">((CEG_Assets!$S$11*CEG_Assets!$D$11*1000*Y$4*Y306+CEG_Assets!$P$11*(1+CEG_Assets!$Q$11)^(Y$3-2026)*(Y308+Y309))/1000000+IF(Y$3=CEG_Assets!$AH$11,CEG_Assets!$AG$11,0))*(1+CEG_CapexAdj)</f>
        <v>0</v>
      </c>
      <c r="Z322" s="8" t="n">
        <f aca="false">((CEG_Assets!$S$11*CEG_Assets!$D$11*1000*Z$4*Z306+CEG_Assets!$P$11*(1+CEG_Assets!$Q$11)^(Z$3-2026)*(Z308+Z309))/1000000+IF(Z$3=CEG_Assets!$AH$11,CEG_Assets!$AG$11,0))*(1+CEG_CapexAdj)</f>
        <v>0</v>
      </c>
      <c r="AA322" s="8" t="n">
        <f aca="false">((CEG_Assets!$S$11*CEG_Assets!$D$11*1000*AA$4*AA306+CEG_Assets!$P$11*(1+CEG_Assets!$Q$11)^(AA$3-2026)*(AA308+AA309))/1000000+IF(AA$3=CEG_Assets!$AH$11,CEG_Assets!$AG$11,0))*(1+CEG_CapexAdj)</f>
        <v>0</v>
      </c>
      <c r="AB322" s="8" t="n">
        <f aca="false">((CEG_Assets!$S$11*CEG_Assets!$D$11*1000*AB$4*AB306+CEG_Assets!$P$11*(1+CEG_Assets!$Q$11)^(AB$3-2026)*(AB308+AB309))/1000000+IF(AB$3=CEG_Assets!$AH$11,CEG_Assets!$AG$11,0))*(1+CEG_CapexAdj)</f>
        <v>0</v>
      </c>
      <c r="AC322" s="8" t="n">
        <f aca="false">((CEG_Assets!$S$11*CEG_Assets!$D$11*1000*AC$4*AC306+CEG_Assets!$P$11*(1+CEG_Assets!$Q$11)^(AC$3-2026)*(AC308+AC309))/1000000+IF(AC$3=CEG_Assets!$AH$11,CEG_Assets!$AG$11,0))*(1+CEG_CapexAdj)</f>
        <v>0</v>
      </c>
      <c r="AD322" s="8" t="n">
        <f aca="false">((CEG_Assets!$S$11*CEG_Assets!$D$11*1000*AD$4*AD306+CEG_Assets!$P$11*(1+CEG_Assets!$Q$11)^(AD$3-2026)*(AD308+AD309))/1000000+IF(AD$3=CEG_Assets!$AH$11,CEG_Assets!$AG$11,0))*(1+CEG_CapexAdj)</f>
        <v>0</v>
      </c>
      <c r="AE322" s="8" t="n">
        <f aca="false">((CEG_Assets!$S$11*CEG_Assets!$D$11*1000*AE$4*AE306+CEG_Assets!$P$11*(1+CEG_Assets!$Q$11)^(AE$3-2026)*(AE308+AE309))/1000000+IF(AE$3=CEG_Assets!$AH$11,CEG_Assets!$AG$11,0))*(1+CEG_CapexAdj)</f>
        <v>0</v>
      </c>
      <c r="AF322" s="8" t="n">
        <f aca="false">((CEG_Assets!$S$11*CEG_Assets!$D$11*1000*AF$4*AF306+CEG_Assets!$P$11*(1+CEG_Assets!$Q$11)^(AF$3-2026)*(AF308+AF309))/1000000+IF(AF$3=CEG_Assets!$AH$11,CEG_Assets!$AG$11,0))*(1+CEG_CapexAdj)</f>
        <v>0</v>
      </c>
      <c r="AG322" s="8" t="n">
        <f aca="false">((CEG_Assets!$S$11*CEG_Assets!$D$11*1000*AG$4*AG306+CEG_Assets!$P$11*(1+CEG_Assets!$Q$11)^(AG$3-2026)*(AG308+AG309))/1000000+IF(AG$3=CEG_Assets!$AH$11,CEG_Assets!$AG$11,0))*(1+CEG_CapexAdj)</f>
        <v>0</v>
      </c>
      <c r="AH322" s="8" t="n">
        <f aca="false">((CEG_Assets!$S$11*CEG_Assets!$D$11*1000*AH$4*AH306+CEG_Assets!$P$11*(1+CEG_Assets!$Q$11)^(AH$3-2026)*(AH308+AH309))/1000000+IF(AH$3=CEG_Assets!$AH$11,CEG_Assets!$AG$11,0))*(1+CEG_CapexAdj)</f>
        <v>0</v>
      </c>
      <c r="AI322" s="8" t="n">
        <f aca="false">((CEG_Assets!$S$11*CEG_Assets!$D$11*1000*AI$4*AI306+CEG_Assets!$P$11*(1+CEG_Assets!$Q$11)^(AI$3-2026)*(AI308+AI309))/1000000+IF(AI$3=CEG_Assets!$AH$11,CEG_Assets!$AG$11,0))*(1+CEG_CapexAdj)</f>
        <v>0</v>
      </c>
      <c r="AJ322" s="8" t="n">
        <f aca="false">((CEG_Assets!$S$11*CEG_Assets!$D$11*1000*AJ$4*AJ306+CEG_Assets!$P$11*(1+CEG_Assets!$Q$11)^(AJ$3-2026)*(AJ308+AJ309))/1000000+IF(AJ$3=CEG_Assets!$AH$11,CEG_Assets!$AG$11,0))*(1+CEG_CapexAdj)</f>
        <v>0</v>
      </c>
      <c r="AK322" s="8" t="n">
        <f aca="false">((CEG_Assets!$S$11*CEG_Assets!$D$11*1000*AK$4*AK306+CEG_Assets!$P$11*(1+CEG_Assets!$Q$11)^(AK$3-2026)*(AK308+AK309))/1000000+IF(AK$3=CEG_Assets!$AH$11,CEG_Assets!$AG$11,0))*(1+CEG_CapexAdj)</f>
        <v>0</v>
      </c>
      <c r="AL322" s="8" t="n">
        <f aca="false">((CEG_Assets!$S$11*CEG_Assets!$D$11*1000*AL$4*AL306+CEG_Assets!$P$11*(1+CEG_Assets!$Q$11)^(AL$3-2026)*(AL308+AL309))/1000000+IF(AL$3=CEG_Assets!$AH$11,CEG_Assets!$AG$11,0))*(1+CEG_CapexAdj)</f>
        <v>0</v>
      </c>
      <c r="AM322" s="8" t="n">
        <f aca="false">((CEG_Assets!$S$11*CEG_Assets!$D$11*1000*AM$4*AM306+CEG_Assets!$P$11*(1+CEG_Assets!$Q$11)^(AM$3-2026)*(AM308+AM309))/1000000+IF(AM$3=CEG_Assets!$AH$11,CEG_Assets!$AG$11,0))*(1+CEG_CapexAdj)</f>
        <v>0</v>
      </c>
      <c r="AN322" s="8" t="n">
        <f aca="false">((CEG_Assets!$S$11*CEG_Assets!$D$11*1000*AN$4*AN306+CEG_Assets!$P$11*(1+CEG_Assets!$Q$11)^(AN$3-2026)*(AN308+AN309))/1000000+IF(AN$3=CEG_Assets!$AH$11,CEG_Assets!$AG$11,0))*(1+CEG_CapexAdj)</f>
        <v>0</v>
      </c>
      <c r="AO322" s="8" t="n">
        <f aca="false">((CEG_Assets!$S$11*CEG_Assets!$D$11*1000*AO$4*AO306+CEG_Assets!$P$11*(1+CEG_Assets!$Q$11)^(AO$3-2026)*(AO308+AO309))/1000000+IF(AO$3=CEG_Assets!$AH$11,CEG_Assets!$AG$11,0))*(1+CEG_CapexAdj)</f>
        <v>0</v>
      </c>
      <c r="AP322" s="8" t="n">
        <f aca="false">((CEG_Assets!$S$11*CEG_Assets!$D$11*1000*AP$4*AP306+CEG_Assets!$P$11*(1+CEG_Assets!$Q$11)^(AP$3-2026)*(AP308+AP309))/1000000+IF(AP$3=CEG_Assets!$AH$11,CEG_Assets!$AG$11,0))*(1+CEG_CapexAdj)</f>
        <v>0</v>
      </c>
      <c r="AQ322" s="8" t="n">
        <f aca="false">((CEG_Assets!$S$11*CEG_Assets!$D$11*1000*AQ$4*AQ306+CEG_Assets!$P$11*(1+CEG_Assets!$Q$11)^(AQ$3-2026)*(AQ308+AQ309))/1000000+IF(AQ$3=CEG_Assets!$AH$11,CEG_Assets!$AG$11,0))*(1+CEG_CapexAdj)</f>
        <v>0</v>
      </c>
      <c r="AR322" s="8" t="n">
        <f aca="false">((CEG_Assets!$S$11*CEG_Assets!$D$11*1000*AR$4*AR306+CEG_Assets!$P$11*(1+CEG_Assets!$Q$11)^(AR$3-2026)*(AR308+AR309))/1000000+IF(AR$3=CEG_Assets!$AH$11,CEG_Assets!$AG$11,0))*(1+CEG_CapexAdj)</f>
        <v>0</v>
      </c>
      <c r="AS322" s="8" t="n">
        <f aca="false">((CEG_Assets!$S$11*CEG_Assets!$D$11*1000*AS$4*AS306+CEG_Assets!$P$11*(1+CEG_Assets!$Q$11)^(AS$3-2026)*(AS308+AS309))/1000000+IF(AS$3=CEG_Assets!$AH$11,CEG_Assets!$AG$11,0))*(1+CEG_CapexAdj)</f>
        <v>0</v>
      </c>
    </row>
    <row r="323" customFormat="false" ht="15" hidden="false" customHeight="false" outlineLevel="0" collapsed="false">
      <c r="A323" s="6" t="s">
        <v>459</v>
      </c>
      <c r="B323" s="6" t="s">
        <v>460</v>
      </c>
      <c r="C323" s="9" t="n">
        <f aca="false">SUM(G323:AS323)</f>
        <v>296.36365436851</v>
      </c>
      <c r="G323" s="8" t="n">
        <f aca="false">IF(CEG_Assets!$Y$11=1,MAX(0,G321-G322),G321-G322)</f>
        <v>19.7261729844</v>
      </c>
      <c r="H323" s="8" t="n">
        <f aca="false">IF(CEG_Assets!$Y$11=1,MAX(0,H321-H322),H321-H322)</f>
        <v>21.832234004088</v>
      </c>
      <c r="I323" s="8" t="n">
        <f aca="false">IF(CEG_Assets!$Y$11=1,MAX(0,I321-I322),I321-I322)</f>
        <v>22.4216130071873</v>
      </c>
      <c r="J323" s="8" t="n">
        <f aca="false">IF(CEG_Assets!$Y$11=1,MAX(0,J321-J322),J321-J322)</f>
        <v>23.8229099154173</v>
      </c>
      <c r="K323" s="8" t="n">
        <f aca="false">IF(CEG_Assets!$Y$11=1,MAX(0,K321-K322),K321-K322)</f>
        <v>24.2993681137257</v>
      </c>
      <c r="L323" s="8" t="n">
        <f aca="false">IF(CEG_Assets!$Y$11=1,MAX(0,L321-L322),L321-L322)</f>
        <v>24.7853554760002</v>
      </c>
      <c r="M323" s="8" t="n">
        <f aca="false">IF(CEG_Assets!$Y$11=1,MAX(0,M321-M322),M321-M322)</f>
        <v>25.2810625855202</v>
      </c>
      <c r="N323" s="8" t="n">
        <f aca="false">IF(CEG_Assets!$Y$11=1,MAX(0,N321-N322),N321-N322)</f>
        <v>25.7866838372306</v>
      </c>
      <c r="O323" s="8" t="n">
        <f aca="false">IF(CEG_Assets!$Y$11=1,MAX(0,O321-O322),O321-O322)</f>
        <v>26.3024175139752</v>
      </c>
      <c r="P323" s="8" t="n">
        <f aca="false">IF(CEG_Assets!$Y$11=1,MAX(0,P321-P322),P321-P322)</f>
        <v>26.8284658642547</v>
      </c>
      <c r="Q323" s="8" t="n">
        <f aca="false">IF(CEG_Assets!$Y$11=1,MAX(0,Q321-Q322),Q321-Q322)</f>
        <v>27.3650351815398</v>
      </c>
      <c r="R323" s="8" t="n">
        <f aca="false">IF(CEG_Assets!$Y$11=1,MAX(0,R321-R322),R321-R322)</f>
        <v>27.9123358851707</v>
      </c>
      <c r="S323" s="8" t="n">
        <f aca="false">IF(CEG_Assets!$Y$11=1,MAX(0,S321-S322),S321-S322)</f>
        <v>0</v>
      </c>
      <c r="T323" s="8" t="n">
        <f aca="false">IF(CEG_Assets!$Y$11=1,MAX(0,T321-T322),T321-T322)</f>
        <v>0</v>
      </c>
      <c r="U323" s="8" t="n">
        <f aca="false">IF(CEG_Assets!$Y$11=1,MAX(0,U321-U322),U321-U322)</f>
        <v>0</v>
      </c>
      <c r="V323" s="8" t="n">
        <f aca="false">IF(CEG_Assets!$Y$11=1,MAX(0,V321-V322),V321-V322)</f>
        <v>0</v>
      </c>
      <c r="W323" s="8" t="n">
        <f aca="false">IF(CEG_Assets!$Y$11=1,MAX(0,W321-W322),W321-W322)</f>
        <v>0</v>
      </c>
      <c r="X323" s="8" t="n">
        <f aca="false">IF(CEG_Assets!$Y$11=1,MAX(0,X321-X322),X321-X322)</f>
        <v>0</v>
      </c>
      <c r="Y323" s="8" t="n">
        <f aca="false">IF(CEG_Assets!$Y$11=1,MAX(0,Y321-Y322),Y321-Y322)</f>
        <v>0</v>
      </c>
      <c r="Z323" s="8" t="n">
        <f aca="false">IF(CEG_Assets!$Y$11=1,MAX(0,Z321-Z322),Z321-Z322)</f>
        <v>0</v>
      </c>
      <c r="AA323" s="8" t="n">
        <f aca="false">IF(CEG_Assets!$Y$11=1,MAX(0,AA321-AA322),AA321-AA322)</f>
        <v>0</v>
      </c>
      <c r="AB323" s="8" t="n">
        <f aca="false">IF(CEG_Assets!$Y$11=1,MAX(0,AB321-AB322),AB321-AB322)</f>
        <v>0</v>
      </c>
      <c r="AC323" s="8" t="n">
        <f aca="false">IF(CEG_Assets!$Y$11=1,MAX(0,AC321-AC322),AC321-AC322)</f>
        <v>0</v>
      </c>
      <c r="AD323" s="8" t="n">
        <f aca="false">IF(CEG_Assets!$Y$11=1,MAX(0,AD321-AD322),AD321-AD322)</f>
        <v>0</v>
      </c>
      <c r="AE323" s="8" t="n">
        <f aca="false">IF(CEG_Assets!$Y$11=1,MAX(0,AE321-AE322),AE321-AE322)</f>
        <v>0</v>
      </c>
      <c r="AF323" s="8" t="n">
        <f aca="false">IF(CEG_Assets!$Y$11=1,MAX(0,AF321-AF322),AF321-AF322)</f>
        <v>0</v>
      </c>
      <c r="AG323" s="8" t="n">
        <f aca="false">IF(CEG_Assets!$Y$11=1,MAX(0,AG321-AG322),AG321-AG322)</f>
        <v>0</v>
      </c>
      <c r="AH323" s="8" t="n">
        <f aca="false">IF(CEG_Assets!$Y$11=1,MAX(0,AH321-AH322),AH321-AH322)</f>
        <v>0</v>
      </c>
      <c r="AI323" s="8" t="n">
        <f aca="false">IF(CEG_Assets!$Y$11=1,MAX(0,AI321-AI322),AI321-AI322)</f>
        <v>0</v>
      </c>
      <c r="AJ323" s="8" t="n">
        <f aca="false">IF(CEG_Assets!$Y$11=1,MAX(0,AJ321-AJ322),AJ321-AJ322)</f>
        <v>0</v>
      </c>
      <c r="AK323" s="8" t="n">
        <f aca="false">IF(CEG_Assets!$Y$11=1,MAX(0,AK321-AK322),AK321-AK322)</f>
        <v>0</v>
      </c>
      <c r="AL323" s="8" t="n">
        <f aca="false">IF(CEG_Assets!$Y$11=1,MAX(0,AL321-AL322),AL321-AL322)</f>
        <v>0</v>
      </c>
      <c r="AM323" s="8" t="n">
        <f aca="false">IF(CEG_Assets!$Y$11=1,MAX(0,AM321-AM322),AM321-AM322)</f>
        <v>0</v>
      </c>
      <c r="AN323" s="8" t="n">
        <f aca="false">IF(CEG_Assets!$Y$11=1,MAX(0,AN321-AN322),AN321-AN322)</f>
        <v>0</v>
      </c>
      <c r="AO323" s="8" t="n">
        <f aca="false">IF(CEG_Assets!$Y$11=1,MAX(0,AO321-AO322),AO321-AO322)</f>
        <v>0</v>
      </c>
      <c r="AP323" s="8" t="n">
        <f aca="false">IF(CEG_Assets!$Y$11=1,MAX(0,AP321-AP322),AP321-AP322)</f>
        <v>0</v>
      </c>
      <c r="AQ323" s="8" t="n">
        <f aca="false">IF(CEG_Assets!$Y$11=1,MAX(0,AQ321-AQ322),AQ321-AQ322)</f>
        <v>0</v>
      </c>
      <c r="AR323" s="8" t="n">
        <f aca="false">IF(CEG_Assets!$Y$11=1,MAX(0,AR321-AR322),AR321-AR322)</f>
        <v>0</v>
      </c>
      <c r="AS323" s="8" t="n">
        <f aca="false">IF(CEG_Assets!$Y$11=1,MAX(0,AS321-AS322),AS321-AS322)</f>
        <v>0</v>
      </c>
    </row>
    <row r="324" customFormat="false" ht="15" hidden="false" customHeight="false" outlineLevel="0" collapsed="false">
      <c r="A324" s="6" t="s">
        <v>461</v>
      </c>
      <c r="B324" s="6" t="s">
        <v>462</v>
      </c>
      <c r="C324" s="9" t="n">
        <f aca="false">SUM(G324:AS324)</f>
        <v>0</v>
      </c>
      <c r="G324" s="8" t="n">
        <f aca="false">IF(AND(CEG_Assets!$W$11=1,G$3&lt;=PTCLast,G308&gt;0),G308*MAX(0,PTCCredit*(1+Infl)^(G$3-PTCBase)-0.8*MAX(0,(G313+G314+G316)*1000000/MAX(1,G308)-PTCThresh*(1+Infl)^(G$3-PTCBase)))/1000000,0)</f>
        <v>0</v>
      </c>
      <c r="H324" s="8" t="n">
        <f aca="false">IF(AND(CEG_Assets!$W$11=1,H$3&lt;=PTCLast,H308&gt;0),H308*MAX(0,PTCCredit*(1+Infl)^(H$3-PTCBase)-0.8*MAX(0,(H313+H314+H316)*1000000/MAX(1,H308)-PTCThresh*(1+Infl)^(H$3-PTCBase)))/1000000,0)</f>
        <v>0</v>
      </c>
      <c r="I324" s="8" t="n">
        <f aca="false">IF(AND(CEG_Assets!$W$11=1,I$3&lt;=PTCLast,I308&gt;0),I308*MAX(0,PTCCredit*(1+Infl)^(I$3-PTCBase)-0.8*MAX(0,(I313+I314+I316)*1000000/MAX(1,I308)-PTCThresh*(1+Infl)^(I$3-PTCBase)))/1000000,0)</f>
        <v>0</v>
      </c>
      <c r="J324" s="8" t="n">
        <f aca="false">IF(AND(CEG_Assets!$W$11=1,J$3&lt;=PTCLast,J308&gt;0),J308*MAX(0,PTCCredit*(1+Infl)^(J$3-PTCBase)-0.8*MAX(0,(J313+J314+J316)*1000000/MAX(1,J308)-PTCThresh*(1+Infl)^(J$3-PTCBase)))/1000000,0)</f>
        <v>0</v>
      </c>
      <c r="K324" s="8" t="n">
        <f aca="false">IF(AND(CEG_Assets!$W$11=1,K$3&lt;=PTCLast,K308&gt;0),K308*MAX(0,PTCCredit*(1+Infl)^(K$3-PTCBase)-0.8*MAX(0,(K313+K314+K316)*1000000/MAX(1,K308)-PTCThresh*(1+Infl)^(K$3-PTCBase)))/1000000,0)</f>
        <v>0</v>
      </c>
      <c r="L324" s="8" t="n">
        <f aca="false">IF(AND(CEG_Assets!$W$11=1,L$3&lt;=PTCLast,L308&gt;0),L308*MAX(0,PTCCredit*(1+Infl)^(L$3-PTCBase)-0.8*MAX(0,(L313+L314+L316)*1000000/MAX(1,L308)-PTCThresh*(1+Infl)^(L$3-PTCBase)))/1000000,0)</f>
        <v>0</v>
      </c>
      <c r="M324" s="8" t="n">
        <f aca="false">IF(AND(CEG_Assets!$W$11=1,M$3&lt;=PTCLast,M308&gt;0),M308*MAX(0,PTCCredit*(1+Infl)^(M$3-PTCBase)-0.8*MAX(0,(M313+M314+M316)*1000000/MAX(1,M308)-PTCThresh*(1+Infl)^(M$3-PTCBase)))/1000000,0)</f>
        <v>0</v>
      </c>
      <c r="N324" s="8" t="n">
        <f aca="false">IF(AND(CEG_Assets!$W$11=1,N$3&lt;=PTCLast,N308&gt;0),N308*MAX(0,PTCCredit*(1+Infl)^(N$3-PTCBase)-0.8*MAX(0,(N313+N314+N316)*1000000/MAX(1,N308)-PTCThresh*(1+Infl)^(N$3-PTCBase)))/1000000,0)</f>
        <v>0</v>
      </c>
      <c r="O324" s="8" t="n">
        <f aca="false">IF(AND(CEG_Assets!$W$11=1,O$3&lt;=PTCLast,O308&gt;0),O308*MAX(0,PTCCredit*(1+Infl)^(O$3-PTCBase)-0.8*MAX(0,(O313+O314+O316)*1000000/MAX(1,O308)-PTCThresh*(1+Infl)^(O$3-PTCBase)))/1000000,0)</f>
        <v>0</v>
      </c>
      <c r="P324" s="8" t="n">
        <f aca="false">IF(AND(CEG_Assets!$W$11=1,P$3&lt;=PTCLast,P308&gt;0),P308*MAX(0,PTCCredit*(1+Infl)^(P$3-PTCBase)-0.8*MAX(0,(P313+P314+P316)*1000000/MAX(1,P308)-PTCThresh*(1+Infl)^(P$3-PTCBase)))/1000000,0)</f>
        <v>0</v>
      </c>
      <c r="Q324" s="8" t="n">
        <f aca="false">IF(AND(CEG_Assets!$W$11=1,Q$3&lt;=PTCLast,Q308&gt;0),Q308*MAX(0,PTCCredit*(1+Infl)^(Q$3-PTCBase)-0.8*MAX(0,(Q313+Q314+Q316)*1000000/MAX(1,Q308)-PTCThresh*(1+Infl)^(Q$3-PTCBase)))/1000000,0)</f>
        <v>0</v>
      </c>
      <c r="R324" s="8" t="n">
        <f aca="false">IF(AND(CEG_Assets!$W$11=1,R$3&lt;=PTCLast,R308&gt;0),R308*MAX(0,PTCCredit*(1+Infl)^(R$3-PTCBase)-0.8*MAX(0,(R313+R314+R316)*1000000/MAX(1,R308)-PTCThresh*(1+Infl)^(R$3-PTCBase)))/1000000,0)</f>
        <v>0</v>
      </c>
      <c r="S324" s="8" t="n">
        <f aca="false">IF(AND(CEG_Assets!$W$11=1,S$3&lt;=PTCLast,S308&gt;0),S308*MAX(0,PTCCredit*(1+Infl)^(S$3-PTCBase)-0.8*MAX(0,(S313+S314+S316)*1000000/MAX(1,S308)-PTCThresh*(1+Infl)^(S$3-PTCBase)))/1000000,0)</f>
        <v>0</v>
      </c>
      <c r="T324" s="8" t="n">
        <f aca="false">IF(AND(CEG_Assets!$W$11=1,T$3&lt;=PTCLast,T308&gt;0),T308*MAX(0,PTCCredit*(1+Infl)^(T$3-PTCBase)-0.8*MAX(0,(T313+T314+T316)*1000000/MAX(1,T308)-PTCThresh*(1+Infl)^(T$3-PTCBase)))/1000000,0)</f>
        <v>0</v>
      </c>
      <c r="U324" s="8" t="n">
        <f aca="false">IF(AND(CEG_Assets!$W$11=1,U$3&lt;=PTCLast,U308&gt;0),U308*MAX(0,PTCCredit*(1+Infl)^(U$3-PTCBase)-0.8*MAX(0,(U313+U314+U316)*1000000/MAX(1,U308)-PTCThresh*(1+Infl)^(U$3-PTCBase)))/1000000,0)</f>
        <v>0</v>
      </c>
      <c r="V324" s="8" t="n">
        <f aca="false">IF(AND(CEG_Assets!$W$11=1,V$3&lt;=PTCLast,V308&gt;0),V308*MAX(0,PTCCredit*(1+Infl)^(V$3-PTCBase)-0.8*MAX(0,(V313+V314+V316)*1000000/MAX(1,V308)-PTCThresh*(1+Infl)^(V$3-PTCBase)))/1000000,0)</f>
        <v>0</v>
      </c>
      <c r="W324" s="8" t="n">
        <f aca="false">IF(AND(CEG_Assets!$W$11=1,W$3&lt;=PTCLast,W308&gt;0),W308*MAX(0,PTCCredit*(1+Infl)^(W$3-PTCBase)-0.8*MAX(0,(W313+W314+W316)*1000000/MAX(1,W308)-PTCThresh*(1+Infl)^(W$3-PTCBase)))/1000000,0)</f>
        <v>0</v>
      </c>
      <c r="X324" s="8" t="n">
        <f aca="false">IF(AND(CEG_Assets!$W$11=1,X$3&lt;=PTCLast,X308&gt;0),X308*MAX(0,PTCCredit*(1+Infl)^(X$3-PTCBase)-0.8*MAX(0,(X313+X314+X316)*1000000/MAX(1,X308)-PTCThresh*(1+Infl)^(X$3-PTCBase)))/1000000,0)</f>
        <v>0</v>
      </c>
      <c r="Y324" s="8" t="n">
        <f aca="false">IF(AND(CEG_Assets!$W$11=1,Y$3&lt;=PTCLast,Y308&gt;0),Y308*MAX(0,PTCCredit*(1+Infl)^(Y$3-PTCBase)-0.8*MAX(0,(Y313+Y314+Y316)*1000000/MAX(1,Y308)-PTCThresh*(1+Infl)^(Y$3-PTCBase)))/1000000,0)</f>
        <v>0</v>
      </c>
      <c r="Z324" s="8" t="n">
        <f aca="false">IF(AND(CEG_Assets!$W$11=1,Z$3&lt;=PTCLast,Z308&gt;0),Z308*MAX(0,PTCCredit*(1+Infl)^(Z$3-PTCBase)-0.8*MAX(0,(Z313+Z314+Z316)*1000000/MAX(1,Z308)-PTCThresh*(1+Infl)^(Z$3-PTCBase)))/1000000,0)</f>
        <v>0</v>
      </c>
      <c r="AA324" s="8" t="n">
        <f aca="false">IF(AND(CEG_Assets!$W$11=1,AA$3&lt;=PTCLast,AA308&gt;0),AA308*MAX(0,PTCCredit*(1+Infl)^(AA$3-PTCBase)-0.8*MAX(0,(AA313+AA314+AA316)*1000000/MAX(1,AA308)-PTCThresh*(1+Infl)^(AA$3-PTCBase)))/1000000,0)</f>
        <v>0</v>
      </c>
      <c r="AB324" s="8" t="n">
        <f aca="false">IF(AND(CEG_Assets!$W$11=1,AB$3&lt;=PTCLast,AB308&gt;0),AB308*MAX(0,PTCCredit*(1+Infl)^(AB$3-PTCBase)-0.8*MAX(0,(AB313+AB314+AB316)*1000000/MAX(1,AB308)-PTCThresh*(1+Infl)^(AB$3-PTCBase)))/1000000,0)</f>
        <v>0</v>
      </c>
      <c r="AC324" s="8" t="n">
        <f aca="false">IF(AND(CEG_Assets!$W$11=1,AC$3&lt;=PTCLast,AC308&gt;0),AC308*MAX(0,PTCCredit*(1+Infl)^(AC$3-PTCBase)-0.8*MAX(0,(AC313+AC314+AC316)*1000000/MAX(1,AC308)-PTCThresh*(1+Infl)^(AC$3-PTCBase)))/1000000,0)</f>
        <v>0</v>
      </c>
      <c r="AD324" s="8" t="n">
        <f aca="false">IF(AND(CEG_Assets!$W$11=1,AD$3&lt;=PTCLast,AD308&gt;0),AD308*MAX(0,PTCCredit*(1+Infl)^(AD$3-PTCBase)-0.8*MAX(0,(AD313+AD314+AD316)*1000000/MAX(1,AD308)-PTCThresh*(1+Infl)^(AD$3-PTCBase)))/1000000,0)</f>
        <v>0</v>
      </c>
      <c r="AE324" s="8" t="n">
        <f aca="false">IF(AND(CEG_Assets!$W$11=1,AE$3&lt;=PTCLast,AE308&gt;0),AE308*MAX(0,PTCCredit*(1+Infl)^(AE$3-PTCBase)-0.8*MAX(0,(AE313+AE314+AE316)*1000000/MAX(1,AE308)-PTCThresh*(1+Infl)^(AE$3-PTCBase)))/1000000,0)</f>
        <v>0</v>
      </c>
      <c r="AF324" s="8" t="n">
        <f aca="false">IF(AND(CEG_Assets!$W$11=1,AF$3&lt;=PTCLast,AF308&gt;0),AF308*MAX(0,PTCCredit*(1+Infl)^(AF$3-PTCBase)-0.8*MAX(0,(AF313+AF314+AF316)*1000000/MAX(1,AF308)-PTCThresh*(1+Infl)^(AF$3-PTCBase)))/1000000,0)</f>
        <v>0</v>
      </c>
      <c r="AG324" s="8" t="n">
        <f aca="false">IF(AND(CEG_Assets!$W$11=1,AG$3&lt;=PTCLast,AG308&gt;0),AG308*MAX(0,PTCCredit*(1+Infl)^(AG$3-PTCBase)-0.8*MAX(0,(AG313+AG314+AG316)*1000000/MAX(1,AG308)-PTCThresh*(1+Infl)^(AG$3-PTCBase)))/1000000,0)</f>
        <v>0</v>
      </c>
      <c r="AH324" s="8" t="n">
        <f aca="false">IF(AND(CEG_Assets!$W$11=1,AH$3&lt;=PTCLast,AH308&gt;0),AH308*MAX(0,PTCCredit*(1+Infl)^(AH$3-PTCBase)-0.8*MAX(0,(AH313+AH314+AH316)*1000000/MAX(1,AH308)-PTCThresh*(1+Infl)^(AH$3-PTCBase)))/1000000,0)</f>
        <v>0</v>
      </c>
      <c r="AI324" s="8" t="n">
        <f aca="false">IF(AND(CEG_Assets!$W$11=1,AI$3&lt;=PTCLast,AI308&gt;0),AI308*MAX(0,PTCCredit*(1+Infl)^(AI$3-PTCBase)-0.8*MAX(0,(AI313+AI314+AI316)*1000000/MAX(1,AI308)-PTCThresh*(1+Infl)^(AI$3-PTCBase)))/1000000,0)</f>
        <v>0</v>
      </c>
      <c r="AJ324" s="8" t="n">
        <f aca="false">IF(AND(CEG_Assets!$W$11=1,AJ$3&lt;=PTCLast,AJ308&gt;0),AJ308*MAX(0,PTCCredit*(1+Infl)^(AJ$3-PTCBase)-0.8*MAX(0,(AJ313+AJ314+AJ316)*1000000/MAX(1,AJ308)-PTCThresh*(1+Infl)^(AJ$3-PTCBase)))/1000000,0)</f>
        <v>0</v>
      </c>
      <c r="AK324" s="8" t="n">
        <f aca="false">IF(AND(CEG_Assets!$W$11=1,AK$3&lt;=PTCLast,AK308&gt;0),AK308*MAX(0,PTCCredit*(1+Infl)^(AK$3-PTCBase)-0.8*MAX(0,(AK313+AK314+AK316)*1000000/MAX(1,AK308)-PTCThresh*(1+Infl)^(AK$3-PTCBase)))/1000000,0)</f>
        <v>0</v>
      </c>
      <c r="AL324" s="8" t="n">
        <f aca="false">IF(AND(CEG_Assets!$W$11=1,AL$3&lt;=PTCLast,AL308&gt;0),AL308*MAX(0,PTCCredit*(1+Infl)^(AL$3-PTCBase)-0.8*MAX(0,(AL313+AL314+AL316)*1000000/MAX(1,AL308)-PTCThresh*(1+Infl)^(AL$3-PTCBase)))/1000000,0)</f>
        <v>0</v>
      </c>
      <c r="AM324" s="8" t="n">
        <f aca="false">IF(AND(CEG_Assets!$W$11=1,AM$3&lt;=PTCLast,AM308&gt;0),AM308*MAX(0,PTCCredit*(1+Infl)^(AM$3-PTCBase)-0.8*MAX(0,(AM313+AM314+AM316)*1000000/MAX(1,AM308)-PTCThresh*(1+Infl)^(AM$3-PTCBase)))/1000000,0)</f>
        <v>0</v>
      </c>
      <c r="AN324" s="8" t="n">
        <f aca="false">IF(AND(CEG_Assets!$W$11=1,AN$3&lt;=PTCLast,AN308&gt;0),AN308*MAX(0,PTCCredit*(1+Infl)^(AN$3-PTCBase)-0.8*MAX(0,(AN313+AN314+AN316)*1000000/MAX(1,AN308)-PTCThresh*(1+Infl)^(AN$3-PTCBase)))/1000000,0)</f>
        <v>0</v>
      </c>
      <c r="AO324" s="8" t="n">
        <f aca="false">IF(AND(CEG_Assets!$W$11=1,AO$3&lt;=PTCLast,AO308&gt;0),AO308*MAX(0,PTCCredit*(1+Infl)^(AO$3-PTCBase)-0.8*MAX(0,(AO313+AO314+AO316)*1000000/MAX(1,AO308)-PTCThresh*(1+Infl)^(AO$3-PTCBase)))/1000000,0)</f>
        <v>0</v>
      </c>
      <c r="AP324" s="8" t="n">
        <f aca="false">IF(AND(CEG_Assets!$W$11=1,AP$3&lt;=PTCLast,AP308&gt;0),AP308*MAX(0,PTCCredit*(1+Infl)^(AP$3-PTCBase)-0.8*MAX(0,(AP313+AP314+AP316)*1000000/MAX(1,AP308)-PTCThresh*(1+Infl)^(AP$3-PTCBase)))/1000000,0)</f>
        <v>0</v>
      </c>
      <c r="AQ324" s="8" t="n">
        <f aca="false">IF(AND(CEG_Assets!$W$11=1,AQ$3&lt;=PTCLast,AQ308&gt;0),AQ308*MAX(0,PTCCredit*(1+Infl)^(AQ$3-PTCBase)-0.8*MAX(0,(AQ313+AQ314+AQ316)*1000000/MAX(1,AQ308)-PTCThresh*(1+Infl)^(AQ$3-PTCBase)))/1000000,0)</f>
        <v>0</v>
      </c>
      <c r="AR324" s="8" t="n">
        <f aca="false">IF(AND(CEG_Assets!$W$11=1,AR$3&lt;=PTCLast,AR308&gt;0),AR308*MAX(0,PTCCredit*(1+Infl)^(AR$3-PTCBase)-0.8*MAX(0,(AR313+AR314+AR316)*1000000/MAX(1,AR308)-PTCThresh*(1+Infl)^(AR$3-PTCBase)))/1000000,0)</f>
        <v>0</v>
      </c>
      <c r="AS324" s="8" t="n">
        <f aca="false">IF(AND(CEG_Assets!$W$11=1,AS$3&lt;=PTCLast,AS308&gt;0),AS308*MAX(0,PTCCredit*(1+Infl)^(AS$3-PTCBase)-0.8*MAX(0,(AS313+AS314+AS316)*1000000/MAX(1,AS308)-PTCThresh*(1+Infl)^(AS$3-PTCBase)))/1000000,0)</f>
        <v>0</v>
      </c>
    </row>
    <row r="325" customFormat="false" ht="15" hidden="false" customHeight="false" outlineLevel="0" collapsed="false">
      <c r="A325" s="6" t="s">
        <v>463</v>
      </c>
      <c r="B325" s="6" t="s">
        <v>464</v>
      </c>
      <c r="G325" s="8" t="n">
        <f aca="false">G315-G309*(CEG_Assets!$N$11*(1+CEG_FuelAdj)+CEG_Assets!$O$11*(1+CEG_OMAdj)+CEG_Assets!$P$11*(1+CEG_CapexAdj))*(1+CEG_Assets!$Q$11)^(G$3-2026)/1000000</f>
        <v>0</v>
      </c>
      <c r="H325" s="8" t="n">
        <f aca="false">H315-H309*(CEG_Assets!$N$11*(1+CEG_FuelAdj)+CEG_Assets!$O$11*(1+CEG_OMAdj)+CEG_Assets!$P$11*(1+CEG_CapexAdj))*(1+CEG_Assets!$Q$11)^(H$3-2026)/1000000</f>
        <v>0</v>
      </c>
      <c r="I325" s="8" t="n">
        <f aca="false">I315-I309*(CEG_Assets!$N$11*(1+CEG_FuelAdj)+CEG_Assets!$O$11*(1+CEG_OMAdj)+CEG_Assets!$P$11*(1+CEG_CapexAdj))*(1+CEG_Assets!$Q$11)^(I$3-2026)/1000000</f>
        <v>0</v>
      </c>
      <c r="J325" s="8" t="n">
        <f aca="false">J315-J309*(CEG_Assets!$N$11*(1+CEG_FuelAdj)+CEG_Assets!$O$11*(1+CEG_OMAdj)+CEG_Assets!$P$11*(1+CEG_CapexAdj))*(1+CEG_Assets!$Q$11)^(J$3-2026)/1000000</f>
        <v>0</v>
      </c>
      <c r="K325" s="8" t="n">
        <f aca="false">K315-K309*(CEG_Assets!$N$11*(1+CEG_FuelAdj)+CEG_Assets!$O$11*(1+CEG_OMAdj)+CEG_Assets!$P$11*(1+CEG_CapexAdj))*(1+CEG_Assets!$Q$11)^(K$3-2026)/1000000</f>
        <v>0</v>
      </c>
      <c r="L325" s="8" t="n">
        <f aca="false">L315-L309*(CEG_Assets!$N$11*(1+CEG_FuelAdj)+CEG_Assets!$O$11*(1+CEG_OMAdj)+CEG_Assets!$P$11*(1+CEG_CapexAdj))*(1+CEG_Assets!$Q$11)^(L$3-2026)/1000000</f>
        <v>0</v>
      </c>
      <c r="M325" s="8" t="n">
        <f aca="false">M315-M309*(CEG_Assets!$N$11*(1+CEG_FuelAdj)+CEG_Assets!$O$11*(1+CEG_OMAdj)+CEG_Assets!$P$11*(1+CEG_CapexAdj))*(1+CEG_Assets!$Q$11)^(M$3-2026)/1000000</f>
        <v>0</v>
      </c>
      <c r="N325" s="8" t="n">
        <f aca="false">N315-N309*(CEG_Assets!$N$11*(1+CEG_FuelAdj)+CEG_Assets!$O$11*(1+CEG_OMAdj)+CEG_Assets!$P$11*(1+CEG_CapexAdj))*(1+CEG_Assets!$Q$11)^(N$3-2026)/1000000</f>
        <v>0</v>
      </c>
      <c r="O325" s="8" t="n">
        <f aca="false">O315-O309*(CEG_Assets!$N$11*(1+CEG_FuelAdj)+CEG_Assets!$O$11*(1+CEG_OMAdj)+CEG_Assets!$P$11*(1+CEG_CapexAdj))*(1+CEG_Assets!$Q$11)^(O$3-2026)/1000000</f>
        <v>0</v>
      </c>
      <c r="P325" s="8" t="n">
        <f aca="false">P315-P309*(CEG_Assets!$N$11*(1+CEG_FuelAdj)+CEG_Assets!$O$11*(1+CEG_OMAdj)+CEG_Assets!$P$11*(1+CEG_CapexAdj))*(1+CEG_Assets!$Q$11)^(P$3-2026)/1000000</f>
        <v>0</v>
      </c>
      <c r="Q325" s="8" t="n">
        <f aca="false">Q315-Q309*(CEG_Assets!$N$11*(1+CEG_FuelAdj)+CEG_Assets!$O$11*(1+CEG_OMAdj)+CEG_Assets!$P$11*(1+CEG_CapexAdj))*(1+CEG_Assets!$Q$11)^(Q$3-2026)/1000000</f>
        <v>0</v>
      </c>
      <c r="R325" s="8" t="n">
        <f aca="false">R315-R309*(CEG_Assets!$N$11*(1+CEG_FuelAdj)+CEG_Assets!$O$11*(1+CEG_OMAdj)+CEG_Assets!$P$11*(1+CEG_CapexAdj))*(1+CEG_Assets!$Q$11)^(R$3-2026)/1000000</f>
        <v>0</v>
      </c>
      <c r="S325" s="8" t="n">
        <f aca="false">S315-S309*(CEG_Assets!$N$11*(1+CEG_FuelAdj)+CEG_Assets!$O$11*(1+CEG_OMAdj)+CEG_Assets!$P$11*(1+CEG_CapexAdj))*(1+CEG_Assets!$Q$11)^(S$3-2026)/1000000</f>
        <v>0</v>
      </c>
      <c r="T325" s="8" t="n">
        <f aca="false">T315-T309*(CEG_Assets!$N$11*(1+CEG_FuelAdj)+CEG_Assets!$O$11*(1+CEG_OMAdj)+CEG_Assets!$P$11*(1+CEG_CapexAdj))*(1+CEG_Assets!$Q$11)^(T$3-2026)/1000000</f>
        <v>0</v>
      </c>
      <c r="U325" s="8" t="n">
        <f aca="false">U315-U309*(CEG_Assets!$N$11*(1+CEG_FuelAdj)+CEG_Assets!$O$11*(1+CEG_OMAdj)+CEG_Assets!$P$11*(1+CEG_CapexAdj))*(1+CEG_Assets!$Q$11)^(U$3-2026)/1000000</f>
        <v>0</v>
      </c>
      <c r="V325" s="8" t="n">
        <f aca="false">V315-V309*(CEG_Assets!$N$11*(1+CEG_FuelAdj)+CEG_Assets!$O$11*(1+CEG_OMAdj)+CEG_Assets!$P$11*(1+CEG_CapexAdj))*(1+CEG_Assets!$Q$11)^(V$3-2026)/1000000</f>
        <v>0</v>
      </c>
      <c r="W325" s="8" t="n">
        <f aca="false">W315-W309*(CEG_Assets!$N$11*(1+CEG_FuelAdj)+CEG_Assets!$O$11*(1+CEG_OMAdj)+CEG_Assets!$P$11*(1+CEG_CapexAdj))*(1+CEG_Assets!$Q$11)^(W$3-2026)/1000000</f>
        <v>0</v>
      </c>
      <c r="X325" s="8" t="n">
        <f aca="false">X315-X309*(CEG_Assets!$N$11*(1+CEG_FuelAdj)+CEG_Assets!$O$11*(1+CEG_OMAdj)+CEG_Assets!$P$11*(1+CEG_CapexAdj))*(1+CEG_Assets!$Q$11)^(X$3-2026)/1000000</f>
        <v>0</v>
      </c>
      <c r="Y325" s="8" t="n">
        <f aca="false">Y315-Y309*(CEG_Assets!$N$11*(1+CEG_FuelAdj)+CEG_Assets!$O$11*(1+CEG_OMAdj)+CEG_Assets!$P$11*(1+CEG_CapexAdj))*(1+CEG_Assets!$Q$11)^(Y$3-2026)/1000000</f>
        <v>0</v>
      </c>
      <c r="Z325" s="8" t="n">
        <f aca="false">Z315-Z309*(CEG_Assets!$N$11*(1+CEG_FuelAdj)+CEG_Assets!$O$11*(1+CEG_OMAdj)+CEG_Assets!$P$11*(1+CEG_CapexAdj))*(1+CEG_Assets!$Q$11)^(Z$3-2026)/1000000</f>
        <v>0</v>
      </c>
      <c r="AA325" s="8" t="n">
        <f aca="false">AA315-AA309*(CEG_Assets!$N$11*(1+CEG_FuelAdj)+CEG_Assets!$O$11*(1+CEG_OMAdj)+CEG_Assets!$P$11*(1+CEG_CapexAdj))*(1+CEG_Assets!$Q$11)^(AA$3-2026)/1000000</f>
        <v>0</v>
      </c>
      <c r="AB325" s="8" t="n">
        <f aca="false">AB315-AB309*(CEG_Assets!$N$11*(1+CEG_FuelAdj)+CEG_Assets!$O$11*(1+CEG_OMAdj)+CEG_Assets!$P$11*(1+CEG_CapexAdj))*(1+CEG_Assets!$Q$11)^(AB$3-2026)/1000000</f>
        <v>0</v>
      </c>
      <c r="AC325" s="8" t="n">
        <f aca="false">AC315-AC309*(CEG_Assets!$N$11*(1+CEG_FuelAdj)+CEG_Assets!$O$11*(1+CEG_OMAdj)+CEG_Assets!$P$11*(1+CEG_CapexAdj))*(1+CEG_Assets!$Q$11)^(AC$3-2026)/1000000</f>
        <v>0</v>
      </c>
      <c r="AD325" s="8" t="n">
        <f aca="false">AD315-AD309*(CEG_Assets!$N$11*(1+CEG_FuelAdj)+CEG_Assets!$O$11*(1+CEG_OMAdj)+CEG_Assets!$P$11*(1+CEG_CapexAdj))*(1+CEG_Assets!$Q$11)^(AD$3-2026)/1000000</f>
        <v>0</v>
      </c>
      <c r="AE325" s="8" t="n">
        <f aca="false">AE315-AE309*(CEG_Assets!$N$11*(1+CEG_FuelAdj)+CEG_Assets!$O$11*(1+CEG_OMAdj)+CEG_Assets!$P$11*(1+CEG_CapexAdj))*(1+CEG_Assets!$Q$11)^(AE$3-2026)/1000000</f>
        <v>0</v>
      </c>
      <c r="AF325" s="8" t="n">
        <f aca="false">AF315-AF309*(CEG_Assets!$N$11*(1+CEG_FuelAdj)+CEG_Assets!$O$11*(1+CEG_OMAdj)+CEG_Assets!$P$11*(1+CEG_CapexAdj))*(1+CEG_Assets!$Q$11)^(AF$3-2026)/1000000</f>
        <v>0</v>
      </c>
      <c r="AG325" s="8" t="n">
        <f aca="false">AG315-AG309*(CEG_Assets!$N$11*(1+CEG_FuelAdj)+CEG_Assets!$O$11*(1+CEG_OMAdj)+CEG_Assets!$P$11*(1+CEG_CapexAdj))*(1+CEG_Assets!$Q$11)^(AG$3-2026)/1000000</f>
        <v>0</v>
      </c>
      <c r="AH325" s="8" t="n">
        <f aca="false">AH315-AH309*(CEG_Assets!$N$11*(1+CEG_FuelAdj)+CEG_Assets!$O$11*(1+CEG_OMAdj)+CEG_Assets!$P$11*(1+CEG_CapexAdj))*(1+CEG_Assets!$Q$11)^(AH$3-2026)/1000000</f>
        <v>0</v>
      </c>
      <c r="AI325" s="8" t="n">
        <f aca="false">AI315-AI309*(CEG_Assets!$N$11*(1+CEG_FuelAdj)+CEG_Assets!$O$11*(1+CEG_OMAdj)+CEG_Assets!$P$11*(1+CEG_CapexAdj))*(1+CEG_Assets!$Q$11)^(AI$3-2026)/1000000</f>
        <v>0</v>
      </c>
      <c r="AJ325" s="8" t="n">
        <f aca="false">AJ315-AJ309*(CEG_Assets!$N$11*(1+CEG_FuelAdj)+CEG_Assets!$O$11*(1+CEG_OMAdj)+CEG_Assets!$P$11*(1+CEG_CapexAdj))*(1+CEG_Assets!$Q$11)^(AJ$3-2026)/1000000</f>
        <v>0</v>
      </c>
      <c r="AK325" s="8" t="n">
        <f aca="false">AK315-AK309*(CEG_Assets!$N$11*(1+CEG_FuelAdj)+CEG_Assets!$O$11*(1+CEG_OMAdj)+CEG_Assets!$P$11*(1+CEG_CapexAdj))*(1+CEG_Assets!$Q$11)^(AK$3-2026)/1000000</f>
        <v>0</v>
      </c>
      <c r="AL325" s="8" t="n">
        <f aca="false">AL315-AL309*(CEG_Assets!$N$11*(1+CEG_FuelAdj)+CEG_Assets!$O$11*(1+CEG_OMAdj)+CEG_Assets!$P$11*(1+CEG_CapexAdj))*(1+CEG_Assets!$Q$11)^(AL$3-2026)/1000000</f>
        <v>0</v>
      </c>
      <c r="AM325" s="8" t="n">
        <f aca="false">AM315-AM309*(CEG_Assets!$N$11*(1+CEG_FuelAdj)+CEG_Assets!$O$11*(1+CEG_OMAdj)+CEG_Assets!$P$11*(1+CEG_CapexAdj))*(1+CEG_Assets!$Q$11)^(AM$3-2026)/1000000</f>
        <v>0</v>
      </c>
      <c r="AN325" s="8" t="n">
        <f aca="false">AN315-AN309*(CEG_Assets!$N$11*(1+CEG_FuelAdj)+CEG_Assets!$O$11*(1+CEG_OMAdj)+CEG_Assets!$P$11*(1+CEG_CapexAdj))*(1+CEG_Assets!$Q$11)^(AN$3-2026)/1000000</f>
        <v>0</v>
      </c>
      <c r="AO325" s="8" t="n">
        <f aca="false">AO315-AO309*(CEG_Assets!$N$11*(1+CEG_FuelAdj)+CEG_Assets!$O$11*(1+CEG_OMAdj)+CEG_Assets!$P$11*(1+CEG_CapexAdj))*(1+CEG_Assets!$Q$11)^(AO$3-2026)/1000000</f>
        <v>0</v>
      </c>
      <c r="AP325" s="8" t="n">
        <f aca="false">AP315-AP309*(CEG_Assets!$N$11*(1+CEG_FuelAdj)+CEG_Assets!$O$11*(1+CEG_OMAdj)+CEG_Assets!$P$11*(1+CEG_CapexAdj))*(1+CEG_Assets!$Q$11)^(AP$3-2026)/1000000</f>
        <v>0</v>
      </c>
      <c r="AQ325" s="8" t="n">
        <f aca="false">AQ315-AQ309*(CEG_Assets!$N$11*(1+CEG_FuelAdj)+CEG_Assets!$O$11*(1+CEG_OMAdj)+CEG_Assets!$P$11*(1+CEG_CapexAdj))*(1+CEG_Assets!$Q$11)^(AQ$3-2026)/1000000</f>
        <v>0</v>
      </c>
      <c r="AR325" s="8" t="n">
        <f aca="false">AR315-AR309*(CEG_Assets!$N$11*(1+CEG_FuelAdj)+CEG_Assets!$O$11*(1+CEG_OMAdj)+CEG_Assets!$P$11*(1+CEG_CapexAdj))*(1+CEG_Assets!$Q$11)^(AR$3-2026)/1000000</f>
        <v>0</v>
      </c>
      <c r="AS325" s="8" t="n">
        <f aca="false">AS315-AS309*(CEG_Assets!$N$11*(1+CEG_FuelAdj)+CEG_Assets!$O$11*(1+CEG_OMAdj)+CEG_Assets!$P$11*(1+CEG_CapexAdj))*(1+CEG_Assets!$Q$11)^(AS$3-2026)/1000000</f>
        <v>0</v>
      </c>
    </row>
    <row r="326" customFormat="false" ht="15" hidden="false" customHeight="false" outlineLevel="0" collapsed="false">
      <c r="A326" s="6" t="s">
        <v>465</v>
      </c>
      <c r="B326" s="6" t="s">
        <v>466</v>
      </c>
      <c r="G326" s="8" t="n">
        <f aca="false">G323-G325</f>
        <v>19.7261729844</v>
      </c>
      <c r="H326" s="8" t="n">
        <f aca="false">H323-H325</f>
        <v>21.832234004088</v>
      </c>
      <c r="I326" s="8" t="n">
        <f aca="false">I323-I325</f>
        <v>22.4216130071873</v>
      </c>
      <c r="J326" s="8" t="n">
        <f aca="false">J323-J325</f>
        <v>23.8229099154173</v>
      </c>
      <c r="K326" s="8" t="n">
        <f aca="false">K323-K325</f>
        <v>24.2993681137257</v>
      </c>
      <c r="L326" s="8" t="n">
        <f aca="false">L323-L325</f>
        <v>24.7853554760002</v>
      </c>
      <c r="M326" s="8" t="n">
        <f aca="false">M323-M325</f>
        <v>25.2810625855202</v>
      </c>
      <c r="N326" s="8" t="n">
        <f aca="false">N323-N325</f>
        <v>25.7866838372306</v>
      </c>
      <c r="O326" s="8" t="n">
        <f aca="false">O323-O325</f>
        <v>26.3024175139752</v>
      </c>
      <c r="P326" s="8" t="n">
        <f aca="false">P323-P325</f>
        <v>26.8284658642547</v>
      </c>
      <c r="Q326" s="8" t="n">
        <f aca="false">Q323-Q325</f>
        <v>27.3650351815398</v>
      </c>
      <c r="R326" s="8" t="n">
        <f aca="false">R323-R325</f>
        <v>27.9123358851707</v>
      </c>
      <c r="S326" s="8" t="n">
        <f aca="false">S323-S325</f>
        <v>0</v>
      </c>
      <c r="T326" s="8" t="n">
        <f aca="false">T323-T325</f>
        <v>0</v>
      </c>
      <c r="U326" s="8" t="n">
        <f aca="false">U323-U325</f>
        <v>0</v>
      </c>
      <c r="V326" s="8" t="n">
        <f aca="false">V323-V325</f>
        <v>0</v>
      </c>
      <c r="W326" s="8" t="n">
        <f aca="false">W323-W325</f>
        <v>0</v>
      </c>
      <c r="X326" s="8" t="n">
        <f aca="false">X323-X325</f>
        <v>0</v>
      </c>
      <c r="Y326" s="8" t="n">
        <f aca="false">Y323-Y325</f>
        <v>0</v>
      </c>
      <c r="Z326" s="8" t="n">
        <f aca="false">Z323-Z325</f>
        <v>0</v>
      </c>
      <c r="AA326" s="8" t="n">
        <f aca="false">AA323-AA325</f>
        <v>0</v>
      </c>
      <c r="AB326" s="8" t="n">
        <f aca="false">AB323-AB325</f>
        <v>0</v>
      </c>
      <c r="AC326" s="8" t="n">
        <f aca="false">AC323-AC325</f>
        <v>0</v>
      </c>
      <c r="AD326" s="8" t="n">
        <f aca="false">AD323-AD325</f>
        <v>0</v>
      </c>
      <c r="AE326" s="8" t="n">
        <f aca="false">AE323-AE325</f>
        <v>0</v>
      </c>
      <c r="AF326" s="8" t="n">
        <f aca="false">AF323-AF325</f>
        <v>0</v>
      </c>
      <c r="AG326" s="8" t="n">
        <f aca="false">AG323-AG325</f>
        <v>0</v>
      </c>
      <c r="AH326" s="8" t="n">
        <f aca="false">AH323-AH325</f>
        <v>0</v>
      </c>
      <c r="AI326" s="8" t="n">
        <f aca="false">AI323-AI325</f>
        <v>0</v>
      </c>
      <c r="AJ326" s="8" t="n">
        <f aca="false">AJ323-AJ325</f>
        <v>0</v>
      </c>
      <c r="AK326" s="8" t="n">
        <f aca="false">AK323-AK325</f>
        <v>0</v>
      </c>
      <c r="AL326" s="8" t="n">
        <f aca="false">AL323-AL325</f>
        <v>0</v>
      </c>
      <c r="AM326" s="8" t="n">
        <f aca="false">AM323-AM325</f>
        <v>0</v>
      </c>
      <c r="AN326" s="8" t="n">
        <f aca="false">AN323-AN325</f>
        <v>0</v>
      </c>
      <c r="AO326" s="8" t="n">
        <f aca="false">AO323-AO325</f>
        <v>0</v>
      </c>
      <c r="AP326" s="8" t="n">
        <f aca="false">AP323-AP325</f>
        <v>0</v>
      </c>
      <c r="AQ326" s="8" t="n">
        <f aca="false">AQ323-AQ325</f>
        <v>0</v>
      </c>
      <c r="AR326" s="8" t="n">
        <f aca="false">AR323-AR325</f>
        <v>0</v>
      </c>
      <c r="AS326" s="8" t="n">
        <f aca="false">AS323-AS325</f>
        <v>0</v>
      </c>
    </row>
    <row r="327" customFormat="false" ht="15" hidden="false" customHeight="false" outlineLevel="0" collapsed="false">
      <c r="A327" s="6" t="s">
        <v>467</v>
      </c>
      <c r="B327" s="6" t="s">
        <v>468</v>
      </c>
      <c r="G327" s="8" t="n">
        <f aca="false">G326*(1-TaxRate)+G324</f>
        <v>15.78093838752</v>
      </c>
      <c r="H327" s="8" t="n">
        <f aca="false">H326*(1-TaxRate)+H324</f>
        <v>17.4657872032704</v>
      </c>
      <c r="I327" s="8" t="n">
        <f aca="false">I326*(1-TaxRate)+I324</f>
        <v>17.9372904057498</v>
      </c>
      <c r="J327" s="8" t="n">
        <f aca="false">J326*(1-TaxRate)+J324</f>
        <v>19.0583279323339</v>
      </c>
      <c r="K327" s="8" t="n">
        <f aca="false">K326*(1-TaxRate)+K324</f>
        <v>19.4394944909805</v>
      </c>
      <c r="L327" s="8" t="n">
        <f aca="false">L326*(1-TaxRate)+L324</f>
        <v>19.8282843808002</v>
      </c>
      <c r="M327" s="8" t="n">
        <f aca="false">M326*(1-TaxRate)+M324</f>
        <v>20.2248500684162</v>
      </c>
      <c r="N327" s="8" t="n">
        <f aca="false">N326*(1-TaxRate)+N324</f>
        <v>20.6293470697845</v>
      </c>
      <c r="O327" s="8" t="n">
        <f aca="false">O326*(1-TaxRate)+O324</f>
        <v>21.0419340111802</v>
      </c>
      <c r="P327" s="8" t="n">
        <f aca="false">P326*(1-TaxRate)+P324</f>
        <v>21.4627726914038</v>
      </c>
      <c r="Q327" s="8" t="n">
        <f aca="false">Q326*(1-TaxRate)+Q324</f>
        <v>21.8920281452319</v>
      </c>
      <c r="R327" s="8" t="n">
        <f aca="false">R326*(1-TaxRate)+R324</f>
        <v>22.3298687081365</v>
      </c>
      <c r="S327" s="8" t="n">
        <f aca="false">S326*(1-TaxRate)+S324</f>
        <v>0</v>
      </c>
      <c r="T327" s="8" t="n">
        <f aca="false">T326*(1-TaxRate)+T324</f>
        <v>0</v>
      </c>
      <c r="U327" s="8" t="n">
        <f aca="false">U326*(1-TaxRate)+U324</f>
        <v>0</v>
      </c>
      <c r="V327" s="8" t="n">
        <f aca="false">V326*(1-TaxRate)+V324</f>
        <v>0</v>
      </c>
      <c r="W327" s="8" t="n">
        <f aca="false">W326*(1-TaxRate)+W324</f>
        <v>0</v>
      </c>
      <c r="X327" s="8" t="n">
        <f aca="false">X326*(1-TaxRate)+X324</f>
        <v>0</v>
      </c>
      <c r="Y327" s="8" t="n">
        <f aca="false">Y326*(1-TaxRate)+Y324</f>
        <v>0</v>
      </c>
      <c r="Z327" s="8" t="n">
        <f aca="false">Z326*(1-TaxRate)+Z324</f>
        <v>0</v>
      </c>
      <c r="AA327" s="8" t="n">
        <f aca="false">AA326*(1-TaxRate)+AA324</f>
        <v>0</v>
      </c>
      <c r="AB327" s="8" t="n">
        <f aca="false">AB326*(1-TaxRate)+AB324</f>
        <v>0</v>
      </c>
      <c r="AC327" s="8" t="n">
        <f aca="false">AC326*(1-TaxRate)+AC324</f>
        <v>0</v>
      </c>
      <c r="AD327" s="8" t="n">
        <f aca="false">AD326*(1-TaxRate)+AD324</f>
        <v>0</v>
      </c>
      <c r="AE327" s="8" t="n">
        <f aca="false">AE326*(1-TaxRate)+AE324</f>
        <v>0</v>
      </c>
      <c r="AF327" s="8" t="n">
        <f aca="false">AF326*(1-TaxRate)+AF324</f>
        <v>0</v>
      </c>
      <c r="AG327" s="8" t="n">
        <f aca="false">AG326*(1-TaxRate)+AG324</f>
        <v>0</v>
      </c>
      <c r="AH327" s="8" t="n">
        <f aca="false">AH326*(1-TaxRate)+AH324</f>
        <v>0</v>
      </c>
      <c r="AI327" s="8" t="n">
        <f aca="false">AI326*(1-TaxRate)+AI324</f>
        <v>0</v>
      </c>
      <c r="AJ327" s="8" t="n">
        <f aca="false">AJ326*(1-TaxRate)+AJ324</f>
        <v>0</v>
      </c>
      <c r="AK327" s="8" t="n">
        <f aca="false">AK326*(1-TaxRate)+AK324</f>
        <v>0</v>
      </c>
      <c r="AL327" s="8" t="n">
        <f aca="false">AL326*(1-TaxRate)+AL324</f>
        <v>0</v>
      </c>
      <c r="AM327" s="8" t="n">
        <f aca="false">AM326*(1-TaxRate)+AM324</f>
        <v>0</v>
      </c>
      <c r="AN327" s="8" t="n">
        <f aca="false">AN326*(1-TaxRate)+AN324</f>
        <v>0</v>
      </c>
      <c r="AO327" s="8" t="n">
        <f aca="false">AO326*(1-TaxRate)+AO324</f>
        <v>0</v>
      </c>
      <c r="AP327" s="8" t="n">
        <f aca="false">AP326*(1-TaxRate)+AP324</f>
        <v>0</v>
      </c>
      <c r="AQ327" s="8" t="n">
        <f aca="false">AQ326*(1-TaxRate)+AQ324</f>
        <v>0</v>
      </c>
      <c r="AR327" s="8" t="n">
        <f aca="false">AR326*(1-TaxRate)+AR324</f>
        <v>0</v>
      </c>
      <c r="AS327" s="8" t="n">
        <f aca="false">AS326*(1-TaxRate)+AS324</f>
        <v>0</v>
      </c>
    </row>
    <row r="328" customFormat="false" ht="15" hidden="false" customHeight="false" outlineLevel="0" collapsed="false">
      <c r="A328" s="6" t="s">
        <v>469</v>
      </c>
      <c r="B328" s="6" t="s">
        <v>470</v>
      </c>
      <c r="G328" s="8" t="n">
        <f aca="false">G325*(1-TaxRate)</f>
        <v>0</v>
      </c>
      <c r="H328" s="8" t="n">
        <f aca="false">H325*(1-TaxRate)</f>
        <v>0</v>
      </c>
      <c r="I328" s="8" t="n">
        <f aca="false">I325*(1-TaxRate)</f>
        <v>0</v>
      </c>
      <c r="J328" s="8" t="n">
        <f aca="false">J325*(1-TaxRate)</f>
        <v>0</v>
      </c>
      <c r="K328" s="8" t="n">
        <f aca="false">K325*(1-TaxRate)</f>
        <v>0</v>
      </c>
      <c r="L328" s="8" t="n">
        <f aca="false">L325*(1-TaxRate)</f>
        <v>0</v>
      </c>
      <c r="M328" s="8" t="n">
        <f aca="false">M325*(1-TaxRate)</f>
        <v>0</v>
      </c>
      <c r="N328" s="8" t="n">
        <f aca="false">N325*(1-TaxRate)</f>
        <v>0</v>
      </c>
      <c r="O328" s="8" t="n">
        <f aca="false">O325*(1-TaxRate)</f>
        <v>0</v>
      </c>
      <c r="P328" s="8" t="n">
        <f aca="false">P325*(1-TaxRate)</f>
        <v>0</v>
      </c>
      <c r="Q328" s="8" t="n">
        <f aca="false">Q325*(1-TaxRate)</f>
        <v>0</v>
      </c>
      <c r="R328" s="8" t="n">
        <f aca="false">R325*(1-TaxRate)</f>
        <v>0</v>
      </c>
      <c r="S328" s="8" t="n">
        <f aca="false">S325*(1-TaxRate)</f>
        <v>0</v>
      </c>
      <c r="T328" s="8" t="n">
        <f aca="false">T325*(1-TaxRate)</f>
        <v>0</v>
      </c>
      <c r="U328" s="8" t="n">
        <f aca="false">U325*(1-TaxRate)</f>
        <v>0</v>
      </c>
      <c r="V328" s="8" t="n">
        <f aca="false">V325*(1-TaxRate)</f>
        <v>0</v>
      </c>
      <c r="W328" s="8" t="n">
        <f aca="false">W325*(1-TaxRate)</f>
        <v>0</v>
      </c>
      <c r="X328" s="8" t="n">
        <f aca="false">X325*(1-TaxRate)</f>
        <v>0</v>
      </c>
      <c r="Y328" s="8" t="n">
        <f aca="false">Y325*(1-TaxRate)</f>
        <v>0</v>
      </c>
      <c r="Z328" s="8" t="n">
        <f aca="false">Z325*(1-TaxRate)</f>
        <v>0</v>
      </c>
      <c r="AA328" s="8" t="n">
        <f aca="false">AA325*(1-TaxRate)</f>
        <v>0</v>
      </c>
      <c r="AB328" s="8" t="n">
        <f aca="false">AB325*(1-TaxRate)</f>
        <v>0</v>
      </c>
      <c r="AC328" s="8" t="n">
        <f aca="false">AC325*(1-TaxRate)</f>
        <v>0</v>
      </c>
      <c r="AD328" s="8" t="n">
        <f aca="false">AD325*(1-TaxRate)</f>
        <v>0</v>
      </c>
      <c r="AE328" s="8" t="n">
        <f aca="false">AE325*(1-TaxRate)</f>
        <v>0</v>
      </c>
      <c r="AF328" s="8" t="n">
        <f aca="false">AF325*(1-TaxRate)</f>
        <v>0</v>
      </c>
      <c r="AG328" s="8" t="n">
        <f aca="false">AG325*(1-TaxRate)</f>
        <v>0</v>
      </c>
      <c r="AH328" s="8" t="n">
        <f aca="false">AH325*(1-TaxRate)</f>
        <v>0</v>
      </c>
      <c r="AI328" s="8" t="n">
        <f aca="false">AI325*(1-TaxRate)</f>
        <v>0</v>
      </c>
      <c r="AJ328" s="8" t="n">
        <f aca="false">AJ325*(1-TaxRate)</f>
        <v>0</v>
      </c>
      <c r="AK328" s="8" t="n">
        <f aca="false">AK325*(1-TaxRate)</f>
        <v>0</v>
      </c>
      <c r="AL328" s="8" t="n">
        <f aca="false">AL325*(1-TaxRate)</f>
        <v>0</v>
      </c>
      <c r="AM328" s="8" t="n">
        <f aca="false">AM325*(1-TaxRate)</f>
        <v>0</v>
      </c>
      <c r="AN328" s="8" t="n">
        <f aca="false">AN325*(1-TaxRate)</f>
        <v>0</v>
      </c>
      <c r="AO328" s="8" t="n">
        <f aca="false">AO325*(1-TaxRate)</f>
        <v>0</v>
      </c>
      <c r="AP328" s="8" t="n">
        <f aca="false">AP325*(1-TaxRate)</f>
        <v>0</v>
      </c>
      <c r="AQ328" s="8" t="n">
        <f aca="false">AQ325*(1-TaxRate)</f>
        <v>0</v>
      </c>
      <c r="AR328" s="8" t="n">
        <f aca="false">AR325*(1-TaxRate)</f>
        <v>0</v>
      </c>
      <c r="AS328" s="8" t="n">
        <f aca="false">AS325*(1-TaxRate)</f>
        <v>0</v>
      </c>
    </row>
    <row r="329" customFormat="false" ht="15" hidden="false" customHeight="false" outlineLevel="0" collapsed="false">
      <c r="A329" s="6" t="s">
        <v>471</v>
      </c>
      <c r="B329" s="6" t="s">
        <v>472</v>
      </c>
      <c r="G329" s="42" t="n">
        <f aca="false">(1+CEG_Assets!$AE$11)^-(G$3+0.5-ValDate)</f>
        <v>0.931012444622223</v>
      </c>
      <c r="H329" s="42" t="n">
        <f aca="false">(1+CEG_Assets!$AE$11)^-(H$3+0.5-ValDate)</f>
        <v>0.846374949656566</v>
      </c>
      <c r="I329" s="42" t="n">
        <f aca="false">(1+CEG_Assets!$AE$11)^-(I$3+0.5-ValDate)</f>
        <v>0.76943177241506</v>
      </c>
      <c r="J329" s="42" t="n">
        <f aca="false">(1+CEG_Assets!$AE$11)^-(J$3+0.5-ValDate)</f>
        <v>0.699483429468236</v>
      </c>
      <c r="K329" s="42" t="n">
        <f aca="false">(1+CEG_Assets!$AE$11)^-(K$3+0.5-ValDate)</f>
        <v>0.635894026789306</v>
      </c>
      <c r="L329" s="42" t="n">
        <f aca="false">(1+CEG_Assets!$AE$11)^-(L$3+0.5-ValDate)</f>
        <v>0.578085478899369</v>
      </c>
      <c r="M329" s="42" t="n">
        <f aca="false">(1+CEG_Assets!$AE$11)^-(M$3+0.5-ValDate)</f>
        <v>0.525532253544881</v>
      </c>
      <c r="N329" s="42" t="n">
        <f aca="false">(1+CEG_Assets!$AE$11)^-(N$3+0.5-ValDate)</f>
        <v>0.47775659413171</v>
      </c>
      <c r="O329" s="42" t="n">
        <f aca="false">(1+CEG_Assets!$AE$11)^-(O$3+0.5-ValDate)</f>
        <v>0.434324176483372</v>
      </c>
      <c r="P329" s="42" t="n">
        <f aca="false">(1+CEG_Assets!$AE$11)^-(P$3+0.5-ValDate)</f>
        <v>0.394840160439429</v>
      </c>
      <c r="Q329" s="42" t="n">
        <f aca="false">(1+CEG_Assets!$AE$11)^-(Q$3+0.5-ValDate)</f>
        <v>0.358945600399481</v>
      </c>
      <c r="R329" s="42" t="n">
        <f aca="false">(1+CEG_Assets!$AE$11)^-(R$3+0.5-ValDate)</f>
        <v>0.326314182181347</v>
      </c>
      <c r="S329" s="42" t="n">
        <f aca="false">(1+CEG_Assets!$AE$11)^-(S$3+0.5-ValDate)</f>
        <v>0.296649256528497</v>
      </c>
      <c r="T329" s="42" t="n">
        <f aca="false">(1+CEG_Assets!$AE$11)^-(T$3+0.5-ValDate)</f>
        <v>0.269681142298634</v>
      </c>
      <c r="U329" s="42" t="n">
        <f aca="false">(1+CEG_Assets!$AE$11)^-(U$3+0.5-ValDate)</f>
        <v>0.24516467481694</v>
      </c>
      <c r="V329" s="42" t="n">
        <f aca="false">(1+CEG_Assets!$AE$11)^-(V$3+0.5-ValDate)</f>
        <v>0.222876977106309</v>
      </c>
      <c r="W329" s="42" t="n">
        <f aca="false">(1+CEG_Assets!$AE$11)^-(W$3+0.5-ValDate)</f>
        <v>0.202615433733008</v>
      </c>
      <c r="X329" s="42" t="n">
        <f aca="false">(1+CEG_Assets!$AE$11)^-(X$3+0.5-ValDate)</f>
        <v>0.184195848848189</v>
      </c>
      <c r="Y329" s="42" t="n">
        <f aca="false">(1+CEG_Assets!$AE$11)^-(Y$3+0.5-ValDate)</f>
        <v>0.167450771680172</v>
      </c>
      <c r="Z329" s="42" t="n">
        <f aca="false">(1+CEG_Assets!$AE$11)^-(Z$3+0.5-ValDate)</f>
        <v>0.152227974254702</v>
      </c>
      <c r="AA329" s="42" t="n">
        <f aca="false">(1+CEG_Assets!$AE$11)^-(AA$3+0.5-ValDate)</f>
        <v>0.138389067504274</v>
      </c>
      <c r="AB329" s="42" t="n">
        <f aca="false">(1+CEG_Assets!$AE$11)^-(AB$3+0.5-ValDate)</f>
        <v>0.125808243185704</v>
      </c>
      <c r="AC329" s="42" t="n">
        <f aca="false">(1+CEG_Assets!$AE$11)^-(AC$3+0.5-ValDate)</f>
        <v>0.114371130168822</v>
      </c>
      <c r="AD329" s="42" t="n">
        <f aca="false">(1+CEG_Assets!$AE$11)^-(AD$3+0.5-ValDate)</f>
        <v>0.103973754698929</v>
      </c>
      <c r="AE329" s="42" t="n">
        <f aca="false">(1+CEG_Assets!$AE$11)^-(AE$3+0.5-ValDate)</f>
        <v>0.0945215951808443</v>
      </c>
      <c r="AF329" s="42" t="n">
        <f aca="false">(1+CEG_Assets!$AE$11)^-(AF$3+0.5-ValDate)</f>
        <v>0.0859287228916766</v>
      </c>
      <c r="AG329" s="42" t="n">
        <f aca="false">(1+CEG_Assets!$AE$11)^-(AG$3+0.5-ValDate)</f>
        <v>0.0781170208106151</v>
      </c>
      <c r="AH329" s="42" t="n">
        <f aca="false">(1+CEG_Assets!$AE$11)^-(AH$3+0.5-ValDate)</f>
        <v>0.0710154734641955</v>
      </c>
      <c r="AI329" s="42" t="n">
        <f aca="false">(1+CEG_Assets!$AE$11)^-(AI$3+0.5-ValDate)</f>
        <v>0.0645595213310868</v>
      </c>
      <c r="AJ329" s="42" t="n">
        <f aca="false">(1+CEG_Assets!$AE$11)^-(AJ$3+0.5-ValDate)</f>
        <v>0.0586904739373517</v>
      </c>
      <c r="AK329" s="42" t="n">
        <f aca="false">(1+CEG_Assets!$AE$11)^-(AK$3+0.5-ValDate)</f>
        <v>0.0533549763066833</v>
      </c>
      <c r="AL329" s="42" t="n">
        <f aca="false">(1+CEG_Assets!$AE$11)^-(AL$3+0.5-ValDate)</f>
        <v>0.0485045239151667</v>
      </c>
      <c r="AM329" s="42" t="n">
        <f aca="false">(1+CEG_Assets!$AE$11)^-(AM$3+0.5-ValDate)</f>
        <v>0.0440950217410606</v>
      </c>
      <c r="AN329" s="42" t="n">
        <f aca="false">(1+CEG_Assets!$AE$11)^-(AN$3+0.5-ValDate)</f>
        <v>0.0400863834009642</v>
      </c>
      <c r="AO329" s="42" t="n">
        <f aca="false">(1+CEG_Assets!$AE$11)^-(AO$3+0.5-ValDate)</f>
        <v>0.0364421667281493</v>
      </c>
      <c r="AP329" s="42" t="n">
        <f aca="false">(1+CEG_Assets!$AE$11)^-(AP$3+0.5-ValDate)</f>
        <v>0.0331292424801357</v>
      </c>
      <c r="AQ329" s="42" t="n">
        <f aca="false">(1+CEG_Assets!$AE$11)^-(AQ$3+0.5-ValDate)</f>
        <v>0.0301174931637597</v>
      </c>
      <c r="AR329" s="42" t="n">
        <f aca="false">(1+CEG_Assets!$AE$11)^-(AR$3+0.5-ValDate)</f>
        <v>0.0273795392397815</v>
      </c>
      <c r="AS329" s="42" t="n">
        <f aca="false">(1+CEG_Assets!$AE$11)^-(AS$3+0.5-ValDate)</f>
        <v>0.0248904902179832</v>
      </c>
    </row>
    <row r="330" customFormat="false" ht="15" hidden="false" customHeight="false" outlineLevel="0" collapsed="false">
      <c r="A330" s="6" t="s">
        <v>473</v>
      </c>
      <c r="B330" s="6" t="s">
        <v>474</v>
      </c>
      <c r="G330" s="42" t="n">
        <f aca="false">(1+CEG_Assets!$AF$11)^-(G$3+0.5-ValDate)</f>
        <v>0.931012444622223</v>
      </c>
      <c r="H330" s="42" t="n">
        <f aca="false">(1+CEG_Assets!$AF$11)^-(H$3+0.5-ValDate)</f>
        <v>0.846374949656566</v>
      </c>
      <c r="I330" s="42" t="n">
        <f aca="false">(1+CEG_Assets!$AF$11)^-(I$3+0.5-ValDate)</f>
        <v>0.76943177241506</v>
      </c>
      <c r="J330" s="42" t="n">
        <f aca="false">(1+CEG_Assets!$AF$11)^-(J$3+0.5-ValDate)</f>
        <v>0.699483429468236</v>
      </c>
      <c r="K330" s="42" t="n">
        <f aca="false">(1+CEG_Assets!$AF$11)^-(K$3+0.5-ValDate)</f>
        <v>0.635894026789306</v>
      </c>
      <c r="L330" s="42" t="n">
        <f aca="false">(1+CEG_Assets!$AF$11)^-(L$3+0.5-ValDate)</f>
        <v>0.578085478899369</v>
      </c>
      <c r="M330" s="42" t="n">
        <f aca="false">(1+CEG_Assets!$AF$11)^-(M$3+0.5-ValDate)</f>
        <v>0.525532253544881</v>
      </c>
      <c r="N330" s="42" t="n">
        <f aca="false">(1+CEG_Assets!$AF$11)^-(N$3+0.5-ValDate)</f>
        <v>0.47775659413171</v>
      </c>
      <c r="O330" s="42" t="n">
        <f aca="false">(1+CEG_Assets!$AF$11)^-(O$3+0.5-ValDate)</f>
        <v>0.434324176483372</v>
      </c>
      <c r="P330" s="42" t="n">
        <f aca="false">(1+CEG_Assets!$AF$11)^-(P$3+0.5-ValDate)</f>
        <v>0.394840160439429</v>
      </c>
      <c r="Q330" s="42" t="n">
        <f aca="false">(1+CEG_Assets!$AF$11)^-(Q$3+0.5-ValDate)</f>
        <v>0.358945600399481</v>
      </c>
      <c r="R330" s="42" t="n">
        <f aca="false">(1+CEG_Assets!$AF$11)^-(R$3+0.5-ValDate)</f>
        <v>0.326314182181347</v>
      </c>
      <c r="S330" s="42" t="n">
        <f aca="false">(1+CEG_Assets!$AF$11)^-(S$3+0.5-ValDate)</f>
        <v>0.296649256528497</v>
      </c>
      <c r="T330" s="42" t="n">
        <f aca="false">(1+CEG_Assets!$AF$11)^-(T$3+0.5-ValDate)</f>
        <v>0.269681142298634</v>
      </c>
      <c r="U330" s="42" t="n">
        <f aca="false">(1+CEG_Assets!$AF$11)^-(U$3+0.5-ValDate)</f>
        <v>0.24516467481694</v>
      </c>
      <c r="V330" s="42" t="n">
        <f aca="false">(1+CEG_Assets!$AF$11)^-(V$3+0.5-ValDate)</f>
        <v>0.222876977106309</v>
      </c>
      <c r="W330" s="42" t="n">
        <f aca="false">(1+CEG_Assets!$AF$11)^-(W$3+0.5-ValDate)</f>
        <v>0.202615433733008</v>
      </c>
      <c r="X330" s="42" t="n">
        <f aca="false">(1+CEG_Assets!$AF$11)^-(X$3+0.5-ValDate)</f>
        <v>0.184195848848189</v>
      </c>
      <c r="Y330" s="42" t="n">
        <f aca="false">(1+CEG_Assets!$AF$11)^-(Y$3+0.5-ValDate)</f>
        <v>0.167450771680172</v>
      </c>
      <c r="Z330" s="42" t="n">
        <f aca="false">(1+CEG_Assets!$AF$11)^-(Z$3+0.5-ValDate)</f>
        <v>0.152227974254702</v>
      </c>
      <c r="AA330" s="42" t="n">
        <f aca="false">(1+CEG_Assets!$AF$11)^-(AA$3+0.5-ValDate)</f>
        <v>0.138389067504274</v>
      </c>
      <c r="AB330" s="42" t="n">
        <f aca="false">(1+CEG_Assets!$AF$11)^-(AB$3+0.5-ValDate)</f>
        <v>0.125808243185704</v>
      </c>
      <c r="AC330" s="42" t="n">
        <f aca="false">(1+CEG_Assets!$AF$11)^-(AC$3+0.5-ValDate)</f>
        <v>0.114371130168822</v>
      </c>
      <c r="AD330" s="42" t="n">
        <f aca="false">(1+CEG_Assets!$AF$11)^-(AD$3+0.5-ValDate)</f>
        <v>0.103973754698929</v>
      </c>
      <c r="AE330" s="42" t="n">
        <f aca="false">(1+CEG_Assets!$AF$11)^-(AE$3+0.5-ValDate)</f>
        <v>0.0945215951808443</v>
      </c>
      <c r="AF330" s="42" t="n">
        <f aca="false">(1+CEG_Assets!$AF$11)^-(AF$3+0.5-ValDate)</f>
        <v>0.0859287228916766</v>
      </c>
      <c r="AG330" s="42" t="n">
        <f aca="false">(1+CEG_Assets!$AF$11)^-(AG$3+0.5-ValDate)</f>
        <v>0.0781170208106151</v>
      </c>
      <c r="AH330" s="42" t="n">
        <f aca="false">(1+CEG_Assets!$AF$11)^-(AH$3+0.5-ValDate)</f>
        <v>0.0710154734641955</v>
      </c>
      <c r="AI330" s="42" t="n">
        <f aca="false">(1+CEG_Assets!$AF$11)^-(AI$3+0.5-ValDate)</f>
        <v>0.0645595213310868</v>
      </c>
      <c r="AJ330" s="42" t="n">
        <f aca="false">(1+CEG_Assets!$AF$11)^-(AJ$3+0.5-ValDate)</f>
        <v>0.0586904739373517</v>
      </c>
      <c r="AK330" s="42" t="n">
        <f aca="false">(1+CEG_Assets!$AF$11)^-(AK$3+0.5-ValDate)</f>
        <v>0.0533549763066833</v>
      </c>
      <c r="AL330" s="42" t="n">
        <f aca="false">(1+CEG_Assets!$AF$11)^-(AL$3+0.5-ValDate)</f>
        <v>0.0485045239151667</v>
      </c>
      <c r="AM330" s="42" t="n">
        <f aca="false">(1+CEG_Assets!$AF$11)^-(AM$3+0.5-ValDate)</f>
        <v>0.0440950217410606</v>
      </c>
      <c r="AN330" s="42" t="n">
        <f aca="false">(1+CEG_Assets!$AF$11)^-(AN$3+0.5-ValDate)</f>
        <v>0.0400863834009642</v>
      </c>
      <c r="AO330" s="42" t="n">
        <f aca="false">(1+CEG_Assets!$AF$11)^-(AO$3+0.5-ValDate)</f>
        <v>0.0364421667281493</v>
      </c>
      <c r="AP330" s="42" t="n">
        <f aca="false">(1+CEG_Assets!$AF$11)^-(AP$3+0.5-ValDate)</f>
        <v>0.0331292424801357</v>
      </c>
      <c r="AQ330" s="42" t="n">
        <f aca="false">(1+CEG_Assets!$AF$11)^-(AQ$3+0.5-ValDate)</f>
        <v>0.0301174931637597</v>
      </c>
      <c r="AR330" s="42" t="n">
        <f aca="false">(1+CEG_Assets!$AF$11)^-(AR$3+0.5-ValDate)</f>
        <v>0.0273795392397815</v>
      </c>
      <c r="AS330" s="42" t="n">
        <f aca="false">(1+CEG_Assets!$AF$11)^-(AS$3+0.5-ValDate)</f>
        <v>0.0248904902179832</v>
      </c>
    </row>
    <row r="331" customFormat="false" ht="15" hidden="false" customHeight="false" outlineLevel="0" collapsed="false">
      <c r="A331" s="6" t="s">
        <v>475</v>
      </c>
      <c r="B331" s="6" t="s">
        <v>476</v>
      </c>
      <c r="C331" s="43" t="n">
        <f aca="false">SUM(G331:AS331)</f>
        <v>133.673865160903</v>
      </c>
      <c r="D331" s="8" t="n">
        <f aca="false">SUMIF($G$3:$AS$3,"&lt;="&amp;Horizon,G331:AS331)</f>
        <v>56.6073605227369</v>
      </c>
      <c r="E331" s="8" t="n">
        <f aca="false">(C331-D331)*(1+CEG_Assets!$AE$11)^(Horizon+1-ValDate)</f>
        <v>115.553890995677</v>
      </c>
      <c r="G331" s="8" t="n">
        <f aca="false">G327*G329</f>
        <v>14.6922500265977</v>
      </c>
      <c r="H331" s="8" t="n">
        <f aca="false">H327*H329</f>
        <v>14.7826047648803</v>
      </c>
      <c r="I331" s="8" t="n">
        <f aca="false">I327*I329</f>
        <v>13.8015211492197</v>
      </c>
      <c r="J331" s="8" t="n">
        <f aca="false">J327*J329</f>
        <v>13.3309845820392</v>
      </c>
      <c r="K331" s="8" t="n">
        <f aca="false">K327*K329</f>
        <v>12.3614584306181</v>
      </c>
      <c r="L331" s="8" t="n">
        <f aca="false">L327*L329</f>
        <v>11.4624432720277</v>
      </c>
      <c r="M331" s="8" t="n">
        <f aca="false">M327*M329</f>
        <v>10.6288110340621</v>
      </c>
      <c r="N331" s="8" t="n">
        <f aca="false">N327*N329</f>
        <v>9.85580659522121</v>
      </c>
      <c r="O331" s="8" t="n">
        <f aca="false">O327*O329</f>
        <v>9.1390206610233</v>
      </c>
      <c r="P331" s="8" t="n">
        <f aca="false">P327*P329</f>
        <v>8.47436461294888</v>
      </c>
      <c r="Q331" s="8" t="n">
        <f aca="false">Q327*Q329</f>
        <v>7.85804718655259</v>
      </c>
      <c r="R331" s="8" t="n">
        <f aca="false">R327*R329</f>
        <v>7.28655284571241</v>
      </c>
      <c r="S331" s="8" t="n">
        <f aca="false">S327*S329</f>
        <v>0</v>
      </c>
      <c r="T331" s="8" t="n">
        <f aca="false">T327*T329</f>
        <v>0</v>
      </c>
      <c r="U331" s="8" t="n">
        <f aca="false">U327*U329</f>
        <v>0</v>
      </c>
      <c r="V331" s="8" t="n">
        <f aca="false">V327*V329</f>
        <v>0</v>
      </c>
      <c r="W331" s="8" t="n">
        <f aca="false">W327*W329</f>
        <v>0</v>
      </c>
      <c r="X331" s="8" t="n">
        <f aca="false">X327*X329</f>
        <v>0</v>
      </c>
      <c r="Y331" s="8" t="n">
        <f aca="false">Y327*Y329</f>
        <v>0</v>
      </c>
      <c r="Z331" s="8" t="n">
        <f aca="false">Z327*Z329</f>
        <v>0</v>
      </c>
      <c r="AA331" s="8" t="n">
        <f aca="false">AA327*AA329</f>
        <v>0</v>
      </c>
      <c r="AB331" s="8" t="n">
        <f aca="false">AB327*AB329</f>
        <v>0</v>
      </c>
      <c r="AC331" s="8" t="n">
        <f aca="false">AC327*AC329</f>
        <v>0</v>
      </c>
      <c r="AD331" s="8" t="n">
        <f aca="false">AD327*AD329</f>
        <v>0</v>
      </c>
      <c r="AE331" s="8" t="n">
        <f aca="false">AE327*AE329</f>
        <v>0</v>
      </c>
      <c r="AF331" s="8" t="n">
        <f aca="false">AF327*AF329</f>
        <v>0</v>
      </c>
      <c r="AG331" s="8" t="n">
        <f aca="false">AG327*AG329</f>
        <v>0</v>
      </c>
      <c r="AH331" s="8" t="n">
        <f aca="false">AH327*AH329</f>
        <v>0</v>
      </c>
      <c r="AI331" s="8" t="n">
        <f aca="false">AI327*AI329</f>
        <v>0</v>
      </c>
      <c r="AJ331" s="8" t="n">
        <f aca="false">AJ327*AJ329</f>
        <v>0</v>
      </c>
      <c r="AK331" s="8" t="n">
        <f aca="false">AK327*AK329</f>
        <v>0</v>
      </c>
      <c r="AL331" s="8" t="n">
        <f aca="false">AL327*AL329</f>
        <v>0</v>
      </c>
      <c r="AM331" s="8" t="n">
        <f aca="false">AM327*AM329</f>
        <v>0</v>
      </c>
      <c r="AN331" s="8" t="n">
        <f aca="false">AN327*AN329</f>
        <v>0</v>
      </c>
      <c r="AO331" s="8" t="n">
        <f aca="false">AO327*AO329</f>
        <v>0</v>
      </c>
      <c r="AP331" s="8" t="n">
        <f aca="false">AP327*AP329</f>
        <v>0</v>
      </c>
      <c r="AQ331" s="8" t="n">
        <f aca="false">AQ327*AQ329</f>
        <v>0</v>
      </c>
      <c r="AR331" s="8" t="n">
        <f aca="false">AR327*AR329</f>
        <v>0</v>
      </c>
      <c r="AS331" s="8" t="n">
        <f aca="false">AS327*AS329</f>
        <v>0</v>
      </c>
    </row>
    <row r="332" customFormat="false" ht="15" hidden="false" customHeight="false" outlineLevel="0" collapsed="false">
      <c r="A332" s="6" t="s">
        <v>477</v>
      </c>
      <c r="B332" s="6" t="s">
        <v>478</v>
      </c>
      <c r="C332" s="43" t="n">
        <f aca="false">SUM(G332:AS332)</f>
        <v>0</v>
      </c>
      <c r="D332" s="8" t="n">
        <f aca="false">SUMIF($G$3:$AS$3,"&lt;="&amp;Horizon,G332:AS332)</f>
        <v>0</v>
      </c>
      <c r="E332" s="8" t="n">
        <f aca="false">(C332-D332)*(1+CEG_Assets!$AF$11)^(Horizon+1-ValDate)</f>
        <v>0</v>
      </c>
      <c r="G332" s="8" t="n">
        <f aca="false">G328*G330</f>
        <v>0</v>
      </c>
      <c r="H332" s="8" t="n">
        <f aca="false">H328*H330</f>
        <v>0</v>
      </c>
      <c r="I332" s="8" t="n">
        <f aca="false">I328*I330</f>
        <v>0</v>
      </c>
      <c r="J332" s="8" t="n">
        <f aca="false">J328*J330</f>
        <v>0</v>
      </c>
      <c r="K332" s="8" t="n">
        <f aca="false">K328*K330</f>
        <v>0</v>
      </c>
      <c r="L332" s="8" t="n">
        <f aca="false">L328*L330</f>
        <v>0</v>
      </c>
      <c r="M332" s="8" t="n">
        <f aca="false">M328*M330</f>
        <v>0</v>
      </c>
      <c r="N332" s="8" t="n">
        <f aca="false">N328*N330</f>
        <v>0</v>
      </c>
      <c r="O332" s="8" t="n">
        <f aca="false">O328*O330</f>
        <v>0</v>
      </c>
      <c r="P332" s="8" t="n">
        <f aca="false">P328*P330</f>
        <v>0</v>
      </c>
      <c r="Q332" s="8" t="n">
        <f aca="false">Q328*Q330</f>
        <v>0</v>
      </c>
      <c r="R332" s="8" t="n">
        <f aca="false">R328*R330</f>
        <v>0</v>
      </c>
      <c r="S332" s="8" t="n">
        <f aca="false">S328*S330</f>
        <v>0</v>
      </c>
      <c r="T332" s="8" t="n">
        <f aca="false">T328*T330</f>
        <v>0</v>
      </c>
      <c r="U332" s="8" t="n">
        <f aca="false">U328*U330</f>
        <v>0</v>
      </c>
      <c r="V332" s="8" t="n">
        <f aca="false">V328*V330</f>
        <v>0</v>
      </c>
      <c r="W332" s="8" t="n">
        <f aca="false">W328*W330</f>
        <v>0</v>
      </c>
      <c r="X332" s="8" t="n">
        <f aca="false">X328*X330</f>
        <v>0</v>
      </c>
      <c r="Y332" s="8" t="n">
        <f aca="false">Y328*Y330</f>
        <v>0</v>
      </c>
      <c r="Z332" s="8" t="n">
        <f aca="false">Z328*Z330</f>
        <v>0</v>
      </c>
      <c r="AA332" s="8" t="n">
        <f aca="false">AA328*AA330</f>
        <v>0</v>
      </c>
      <c r="AB332" s="8" t="n">
        <f aca="false">AB328*AB330</f>
        <v>0</v>
      </c>
      <c r="AC332" s="8" t="n">
        <f aca="false">AC328*AC330</f>
        <v>0</v>
      </c>
      <c r="AD332" s="8" t="n">
        <f aca="false">AD328*AD330</f>
        <v>0</v>
      </c>
      <c r="AE332" s="8" t="n">
        <f aca="false">AE328*AE330</f>
        <v>0</v>
      </c>
      <c r="AF332" s="8" t="n">
        <f aca="false">AF328*AF330</f>
        <v>0</v>
      </c>
      <c r="AG332" s="8" t="n">
        <f aca="false">AG328*AG330</f>
        <v>0</v>
      </c>
      <c r="AH332" s="8" t="n">
        <f aca="false">AH328*AH330</f>
        <v>0</v>
      </c>
      <c r="AI332" s="8" t="n">
        <f aca="false">AI328*AI330</f>
        <v>0</v>
      </c>
      <c r="AJ332" s="8" t="n">
        <f aca="false">AJ328*AJ330</f>
        <v>0</v>
      </c>
      <c r="AK332" s="8" t="n">
        <f aca="false">AK328*AK330</f>
        <v>0</v>
      </c>
      <c r="AL332" s="8" t="n">
        <f aca="false">AL328*AL330</f>
        <v>0</v>
      </c>
      <c r="AM332" s="8" t="n">
        <f aca="false">AM328*AM330</f>
        <v>0</v>
      </c>
      <c r="AN332" s="8" t="n">
        <f aca="false">AN328*AN330</f>
        <v>0</v>
      </c>
      <c r="AO332" s="8" t="n">
        <f aca="false">AO328*AO330</f>
        <v>0</v>
      </c>
      <c r="AP332" s="8" t="n">
        <f aca="false">AP328*AP330</f>
        <v>0</v>
      </c>
      <c r="AQ332" s="8" t="n">
        <f aca="false">AQ328*AQ330</f>
        <v>0</v>
      </c>
      <c r="AR332" s="8" t="n">
        <f aca="false">AR328*AR330</f>
        <v>0</v>
      </c>
      <c r="AS332" s="8" t="n">
        <f aca="false">AS328*AS330</f>
        <v>0</v>
      </c>
    </row>
    <row r="333" customFormat="false" ht="15" hidden="false" customHeight="false" outlineLevel="0" collapsed="false">
      <c r="A333" s="6" t="s">
        <v>479</v>
      </c>
      <c r="B333" s="6" t="s">
        <v>480</v>
      </c>
      <c r="C333" s="43" t="n">
        <f aca="false">IF(CEG_Assets!$H$11="$/kW",CEG_Assets!$D$11*CEG_Assets!$AI$11*(1+0.4*(PJMWLR/PJMWLRBase-1))/1000,0)</f>
        <v>0</v>
      </c>
      <c r="E333" s="8" t="n">
        <f aca="false">C333</f>
        <v>0</v>
      </c>
      <c r="G333" s="8" t="n">
        <f aca="false">0</f>
        <v>0</v>
      </c>
      <c r="H333" s="8" t="n">
        <f aca="false">0</f>
        <v>0</v>
      </c>
      <c r="I333" s="8" t="n">
        <f aca="false">0</f>
        <v>0</v>
      </c>
      <c r="J333" s="8" t="n">
        <f aca="false">0</f>
        <v>0</v>
      </c>
      <c r="K333" s="8" t="n">
        <f aca="false">0</f>
        <v>0</v>
      </c>
      <c r="L333" s="8" t="n">
        <f aca="false">0</f>
        <v>0</v>
      </c>
      <c r="M333" s="8" t="n">
        <f aca="false">0</f>
        <v>0</v>
      </c>
      <c r="N333" s="8" t="n">
        <f aca="false">0</f>
        <v>0</v>
      </c>
      <c r="O333" s="8" t="n">
        <f aca="false">0</f>
        <v>0</v>
      </c>
      <c r="P333" s="8" t="n">
        <f aca="false">0</f>
        <v>0</v>
      </c>
      <c r="Q333" s="8" t="n">
        <f aca="false">0</f>
        <v>0</v>
      </c>
      <c r="R333" s="8" t="n">
        <f aca="false">0</f>
        <v>0</v>
      </c>
      <c r="S333" s="8" t="n">
        <f aca="false">0</f>
        <v>0</v>
      </c>
      <c r="T333" s="8" t="n">
        <f aca="false">0</f>
        <v>0</v>
      </c>
      <c r="U333" s="8" t="n">
        <f aca="false">0</f>
        <v>0</v>
      </c>
      <c r="V333" s="8" t="n">
        <f aca="false">0</f>
        <v>0</v>
      </c>
      <c r="W333" s="8" t="n">
        <f aca="false">0</f>
        <v>0</v>
      </c>
      <c r="X333" s="8" t="n">
        <f aca="false">0</f>
        <v>0</v>
      </c>
      <c r="Y333" s="8" t="n">
        <f aca="false">0</f>
        <v>0</v>
      </c>
      <c r="Z333" s="8" t="n">
        <f aca="false">0</f>
        <v>0</v>
      </c>
      <c r="AA333" s="8" t="n">
        <f aca="false">0</f>
        <v>0</v>
      </c>
      <c r="AB333" s="8" t="n">
        <f aca="false">0</f>
        <v>0</v>
      </c>
      <c r="AC333" s="8" t="n">
        <f aca="false">0</f>
        <v>0</v>
      </c>
      <c r="AD333" s="8" t="n">
        <f aca="false">0</f>
        <v>0</v>
      </c>
      <c r="AE333" s="8" t="n">
        <f aca="false">0</f>
        <v>0</v>
      </c>
      <c r="AF333" s="8" t="n">
        <f aca="false">0</f>
        <v>0</v>
      </c>
      <c r="AG333" s="8" t="n">
        <f aca="false">0</f>
        <v>0</v>
      </c>
      <c r="AH333" s="8" t="n">
        <f aca="false">0</f>
        <v>0</v>
      </c>
      <c r="AI333" s="8" t="n">
        <f aca="false">0</f>
        <v>0</v>
      </c>
      <c r="AJ333" s="8" t="n">
        <f aca="false">0</f>
        <v>0</v>
      </c>
      <c r="AK333" s="8" t="n">
        <f aca="false">0</f>
        <v>0</v>
      </c>
      <c r="AL333" s="8" t="n">
        <f aca="false">0</f>
        <v>0</v>
      </c>
      <c r="AM333" s="8" t="n">
        <f aca="false">0</f>
        <v>0</v>
      </c>
      <c r="AN333" s="8" t="n">
        <f aca="false">0</f>
        <v>0</v>
      </c>
      <c r="AO333" s="8" t="n">
        <f aca="false">0</f>
        <v>0</v>
      </c>
      <c r="AP333" s="8" t="n">
        <f aca="false">0</f>
        <v>0</v>
      </c>
      <c r="AQ333" s="8" t="n">
        <f aca="false">0</f>
        <v>0</v>
      </c>
      <c r="AR333" s="8" t="n">
        <f aca="false">0</f>
        <v>0</v>
      </c>
      <c r="AS333" s="8" t="n">
        <f aca="false">0</f>
        <v>0</v>
      </c>
    </row>
    <row r="335" customFormat="false" ht="15" hidden="false" customHeight="false" outlineLevel="0" collapsed="false">
      <c r="A335" s="54" t="str">
        <f aca="false">CEG_Assets!$A$12</f>
        <v>Gas/oil - PJM/NE/other peakers &amp; oil (legacy CEG)</v>
      </c>
    </row>
    <row r="336" customFormat="false" ht="15" hidden="false" customHeight="false" outlineLevel="0" collapsed="false">
      <c r="A336" s="6" t="s">
        <v>425</v>
      </c>
      <c r="B336" s="6" t="s">
        <v>426</v>
      </c>
      <c r="G336" s="47" t="n">
        <f aca="false">IF(AND(G$3&gt;=CEG_Assets!$E$12,G$3&lt;=CEG_Assets!$F$12,CEG_Assets!$H$12="Cashflow"),1,0)</f>
        <v>1</v>
      </c>
      <c r="H336" s="47" t="n">
        <f aca="false">IF(AND(H$3&gt;=CEG_Assets!$E$12,H$3&lt;=CEG_Assets!$F$12,CEG_Assets!$H$12="Cashflow"),1,0)</f>
        <v>1</v>
      </c>
      <c r="I336" s="47" t="n">
        <f aca="false">IF(AND(I$3&gt;=CEG_Assets!$E$12,I$3&lt;=CEG_Assets!$F$12,CEG_Assets!$H$12="Cashflow"),1,0)</f>
        <v>1</v>
      </c>
      <c r="J336" s="47" t="n">
        <f aca="false">IF(AND(J$3&gt;=CEG_Assets!$E$12,J$3&lt;=CEG_Assets!$F$12,CEG_Assets!$H$12="Cashflow"),1,0)</f>
        <v>1</v>
      </c>
      <c r="K336" s="47" t="n">
        <f aca="false">IF(AND(K$3&gt;=CEG_Assets!$E$12,K$3&lt;=CEG_Assets!$F$12,CEG_Assets!$H$12="Cashflow"),1,0)</f>
        <v>1</v>
      </c>
      <c r="L336" s="47" t="n">
        <f aca="false">IF(AND(L$3&gt;=CEG_Assets!$E$12,L$3&lt;=CEG_Assets!$F$12,CEG_Assets!$H$12="Cashflow"),1,0)</f>
        <v>1</v>
      </c>
      <c r="M336" s="47" t="n">
        <f aca="false">IF(AND(M$3&gt;=CEG_Assets!$E$12,M$3&lt;=CEG_Assets!$F$12,CEG_Assets!$H$12="Cashflow"),1,0)</f>
        <v>1</v>
      </c>
      <c r="N336" s="47" t="n">
        <f aca="false">IF(AND(N$3&gt;=CEG_Assets!$E$12,N$3&lt;=CEG_Assets!$F$12,CEG_Assets!$H$12="Cashflow"),1,0)</f>
        <v>1</v>
      </c>
      <c r="O336" s="47" t="n">
        <f aca="false">IF(AND(O$3&gt;=CEG_Assets!$E$12,O$3&lt;=CEG_Assets!$F$12,CEG_Assets!$H$12="Cashflow"),1,0)</f>
        <v>1</v>
      </c>
      <c r="P336" s="47" t="n">
        <f aca="false">IF(AND(P$3&gt;=CEG_Assets!$E$12,P$3&lt;=CEG_Assets!$F$12,CEG_Assets!$H$12="Cashflow"),1,0)</f>
        <v>1</v>
      </c>
      <c r="Q336" s="47" t="n">
        <f aca="false">IF(AND(Q$3&gt;=CEG_Assets!$E$12,Q$3&lt;=CEG_Assets!$F$12,CEG_Assets!$H$12="Cashflow"),1,0)</f>
        <v>1</v>
      </c>
      <c r="R336" s="47" t="n">
        <f aca="false">IF(AND(R$3&gt;=CEG_Assets!$E$12,R$3&lt;=CEG_Assets!$F$12,CEG_Assets!$H$12="Cashflow"),1,0)</f>
        <v>1</v>
      </c>
      <c r="S336" s="47" t="n">
        <f aca="false">IF(AND(S$3&gt;=CEG_Assets!$E$12,S$3&lt;=CEG_Assets!$F$12,CEG_Assets!$H$12="Cashflow"),1,0)</f>
        <v>0</v>
      </c>
      <c r="T336" s="47" t="n">
        <f aca="false">IF(AND(T$3&gt;=CEG_Assets!$E$12,T$3&lt;=CEG_Assets!$F$12,CEG_Assets!$H$12="Cashflow"),1,0)</f>
        <v>0</v>
      </c>
      <c r="U336" s="47" t="n">
        <f aca="false">IF(AND(U$3&gt;=CEG_Assets!$E$12,U$3&lt;=CEG_Assets!$F$12,CEG_Assets!$H$12="Cashflow"),1,0)</f>
        <v>0</v>
      </c>
      <c r="V336" s="47" t="n">
        <f aca="false">IF(AND(V$3&gt;=CEG_Assets!$E$12,V$3&lt;=CEG_Assets!$F$12,CEG_Assets!$H$12="Cashflow"),1,0)</f>
        <v>0</v>
      </c>
      <c r="W336" s="47" t="n">
        <f aca="false">IF(AND(W$3&gt;=CEG_Assets!$E$12,W$3&lt;=CEG_Assets!$F$12,CEG_Assets!$H$12="Cashflow"),1,0)</f>
        <v>0</v>
      </c>
      <c r="X336" s="47" t="n">
        <f aca="false">IF(AND(X$3&gt;=CEG_Assets!$E$12,X$3&lt;=CEG_Assets!$F$12,CEG_Assets!$H$12="Cashflow"),1,0)</f>
        <v>0</v>
      </c>
      <c r="Y336" s="47" t="n">
        <f aca="false">IF(AND(Y$3&gt;=CEG_Assets!$E$12,Y$3&lt;=CEG_Assets!$F$12,CEG_Assets!$H$12="Cashflow"),1,0)</f>
        <v>0</v>
      </c>
      <c r="Z336" s="47" t="n">
        <f aca="false">IF(AND(Z$3&gt;=CEG_Assets!$E$12,Z$3&lt;=CEG_Assets!$F$12,CEG_Assets!$H$12="Cashflow"),1,0)</f>
        <v>0</v>
      </c>
      <c r="AA336" s="47" t="n">
        <f aca="false">IF(AND(AA$3&gt;=CEG_Assets!$E$12,AA$3&lt;=CEG_Assets!$F$12,CEG_Assets!$H$12="Cashflow"),1,0)</f>
        <v>0</v>
      </c>
      <c r="AB336" s="47" t="n">
        <f aca="false">IF(AND(AB$3&gt;=CEG_Assets!$E$12,AB$3&lt;=CEG_Assets!$F$12,CEG_Assets!$H$12="Cashflow"),1,0)</f>
        <v>0</v>
      </c>
      <c r="AC336" s="47" t="n">
        <f aca="false">IF(AND(AC$3&gt;=CEG_Assets!$E$12,AC$3&lt;=CEG_Assets!$F$12,CEG_Assets!$H$12="Cashflow"),1,0)</f>
        <v>0</v>
      </c>
      <c r="AD336" s="47" t="n">
        <f aca="false">IF(AND(AD$3&gt;=CEG_Assets!$E$12,AD$3&lt;=CEG_Assets!$F$12,CEG_Assets!$H$12="Cashflow"),1,0)</f>
        <v>0</v>
      </c>
      <c r="AE336" s="47" t="n">
        <f aca="false">IF(AND(AE$3&gt;=CEG_Assets!$E$12,AE$3&lt;=CEG_Assets!$F$12,CEG_Assets!$H$12="Cashflow"),1,0)</f>
        <v>0</v>
      </c>
      <c r="AF336" s="47" t="n">
        <f aca="false">IF(AND(AF$3&gt;=CEG_Assets!$E$12,AF$3&lt;=CEG_Assets!$F$12,CEG_Assets!$H$12="Cashflow"),1,0)</f>
        <v>0</v>
      </c>
      <c r="AG336" s="47" t="n">
        <f aca="false">IF(AND(AG$3&gt;=CEG_Assets!$E$12,AG$3&lt;=CEG_Assets!$F$12,CEG_Assets!$H$12="Cashflow"),1,0)</f>
        <v>0</v>
      </c>
      <c r="AH336" s="47" t="n">
        <f aca="false">IF(AND(AH$3&gt;=CEG_Assets!$E$12,AH$3&lt;=CEG_Assets!$F$12,CEG_Assets!$H$12="Cashflow"),1,0)</f>
        <v>0</v>
      </c>
      <c r="AI336" s="47" t="n">
        <f aca="false">IF(AND(AI$3&gt;=CEG_Assets!$E$12,AI$3&lt;=CEG_Assets!$F$12,CEG_Assets!$H$12="Cashflow"),1,0)</f>
        <v>0</v>
      </c>
      <c r="AJ336" s="47" t="n">
        <f aca="false">IF(AND(AJ$3&gt;=CEG_Assets!$E$12,AJ$3&lt;=CEG_Assets!$F$12,CEG_Assets!$H$12="Cashflow"),1,0)</f>
        <v>0</v>
      </c>
      <c r="AK336" s="47" t="n">
        <f aca="false">IF(AND(AK$3&gt;=CEG_Assets!$E$12,AK$3&lt;=CEG_Assets!$F$12,CEG_Assets!$H$12="Cashflow"),1,0)</f>
        <v>0</v>
      </c>
      <c r="AL336" s="47" t="n">
        <f aca="false">IF(AND(AL$3&gt;=CEG_Assets!$E$12,AL$3&lt;=CEG_Assets!$F$12,CEG_Assets!$H$12="Cashflow"),1,0)</f>
        <v>0</v>
      </c>
      <c r="AM336" s="47" t="n">
        <f aca="false">IF(AND(AM$3&gt;=CEG_Assets!$E$12,AM$3&lt;=CEG_Assets!$F$12,CEG_Assets!$H$12="Cashflow"),1,0)</f>
        <v>0</v>
      </c>
      <c r="AN336" s="47" t="n">
        <f aca="false">IF(AND(AN$3&gt;=CEG_Assets!$E$12,AN$3&lt;=CEG_Assets!$F$12,CEG_Assets!$H$12="Cashflow"),1,0)</f>
        <v>0</v>
      </c>
      <c r="AO336" s="47" t="n">
        <f aca="false">IF(AND(AO$3&gt;=CEG_Assets!$E$12,AO$3&lt;=CEG_Assets!$F$12,CEG_Assets!$H$12="Cashflow"),1,0)</f>
        <v>0</v>
      </c>
      <c r="AP336" s="47" t="n">
        <f aca="false">IF(AND(AP$3&gt;=CEG_Assets!$E$12,AP$3&lt;=CEG_Assets!$F$12,CEG_Assets!$H$12="Cashflow"),1,0)</f>
        <v>0</v>
      </c>
      <c r="AQ336" s="47" t="n">
        <f aca="false">IF(AND(AQ$3&gt;=CEG_Assets!$E$12,AQ$3&lt;=CEG_Assets!$F$12,CEG_Assets!$H$12="Cashflow"),1,0)</f>
        <v>0</v>
      </c>
      <c r="AR336" s="47" t="n">
        <f aca="false">IF(AND(AR$3&gt;=CEG_Assets!$E$12,AR$3&lt;=CEG_Assets!$F$12,CEG_Assets!$H$12="Cashflow"),1,0)</f>
        <v>0</v>
      </c>
      <c r="AS336" s="47" t="n">
        <f aca="false">IF(AND(AS$3&gt;=CEG_Assets!$E$12,AS$3&lt;=CEG_Assets!$F$12,CEG_Assets!$H$12="Cashflow"),1,0)</f>
        <v>0</v>
      </c>
    </row>
    <row r="337" customFormat="false" ht="15" hidden="false" customHeight="false" outlineLevel="0" collapsed="false">
      <c r="A337" s="6" t="s">
        <v>427</v>
      </c>
      <c r="B337" s="6" t="s">
        <v>428</v>
      </c>
      <c r="G337" s="9" t="n">
        <f aca="false">IF(AND(G$3&gt;=CEG_Assets!$AA$12,G$3&lt;=CEG_Assets!$AB$12),MIN(CEG_Assets!$D$12,CEG_Assets!$Z$12*MIN(1,(G$3-CEG_Assets!$AA$12+1)/MAX(1,CEG_Assets!$AC$12))),0)*G336</f>
        <v>0</v>
      </c>
      <c r="H337" s="9" t="n">
        <f aca="false">IF(AND(H$3&gt;=CEG_Assets!$AA$12,H$3&lt;=CEG_Assets!$AB$12),MIN(CEG_Assets!$D$12,CEG_Assets!$Z$12*MIN(1,(H$3-CEG_Assets!$AA$12+1)/MAX(1,CEG_Assets!$AC$12))),0)*H336</f>
        <v>0</v>
      </c>
      <c r="I337" s="9" t="n">
        <f aca="false">IF(AND(I$3&gt;=CEG_Assets!$AA$12,I$3&lt;=CEG_Assets!$AB$12),MIN(CEG_Assets!$D$12,CEG_Assets!$Z$12*MIN(1,(I$3-CEG_Assets!$AA$12+1)/MAX(1,CEG_Assets!$AC$12))),0)*I336</f>
        <v>0</v>
      </c>
      <c r="J337" s="9" t="n">
        <f aca="false">IF(AND(J$3&gt;=CEG_Assets!$AA$12,J$3&lt;=CEG_Assets!$AB$12),MIN(CEG_Assets!$D$12,CEG_Assets!$Z$12*MIN(1,(J$3-CEG_Assets!$AA$12+1)/MAX(1,CEG_Assets!$AC$12))),0)*J336</f>
        <v>0</v>
      </c>
      <c r="K337" s="9" t="n">
        <f aca="false">IF(AND(K$3&gt;=CEG_Assets!$AA$12,K$3&lt;=CEG_Assets!$AB$12),MIN(CEG_Assets!$D$12,CEG_Assets!$Z$12*MIN(1,(K$3-CEG_Assets!$AA$12+1)/MAX(1,CEG_Assets!$AC$12))),0)*K336</f>
        <v>0</v>
      </c>
      <c r="L337" s="9" t="n">
        <f aca="false">IF(AND(L$3&gt;=CEG_Assets!$AA$12,L$3&lt;=CEG_Assets!$AB$12),MIN(CEG_Assets!$D$12,CEG_Assets!$Z$12*MIN(1,(L$3-CEG_Assets!$AA$12+1)/MAX(1,CEG_Assets!$AC$12))),0)*L336</f>
        <v>0</v>
      </c>
      <c r="M337" s="9" t="n">
        <f aca="false">IF(AND(M$3&gt;=CEG_Assets!$AA$12,M$3&lt;=CEG_Assets!$AB$12),MIN(CEG_Assets!$D$12,CEG_Assets!$Z$12*MIN(1,(M$3-CEG_Assets!$AA$12+1)/MAX(1,CEG_Assets!$AC$12))),0)*M336</f>
        <v>0</v>
      </c>
      <c r="N337" s="9" t="n">
        <f aca="false">IF(AND(N$3&gt;=CEG_Assets!$AA$12,N$3&lt;=CEG_Assets!$AB$12),MIN(CEG_Assets!$D$12,CEG_Assets!$Z$12*MIN(1,(N$3-CEG_Assets!$AA$12+1)/MAX(1,CEG_Assets!$AC$12))),0)*N336</f>
        <v>0</v>
      </c>
      <c r="O337" s="9" t="n">
        <f aca="false">IF(AND(O$3&gt;=CEG_Assets!$AA$12,O$3&lt;=CEG_Assets!$AB$12),MIN(CEG_Assets!$D$12,CEG_Assets!$Z$12*MIN(1,(O$3-CEG_Assets!$AA$12+1)/MAX(1,CEG_Assets!$AC$12))),0)*O336</f>
        <v>0</v>
      </c>
      <c r="P337" s="9" t="n">
        <f aca="false">IF(AND(P$3&gt;=CEG_Assets!$AA$12,P$3&lt;=CEG_Assets!$AB$12),MIN(CEG_Assets!$D$12,CEG_Assets!$Z$12*MIN(1,(P$3-CEG_Assets!$AA$12+1)/MAX(1,CEG_Assets!$AC$12))),0)*P336</f>
        <v>0</v>
      </c>
      <c r="Q337" s="9" t="n">
        <f aca="false">IF(AND(Q$3&gt;=CEG_Assets!$AA$12,Q$3&lt;=CEG_Assets!$AB$12),MIN(CEG_Assets!$D$12,CEG_Assets!$Z$12*MIN(1,(Q$3-CEG_Assets!$AA$12+1)/MAX(1,CEG_Assets!$AC$12))),0)*Q336</f>
        <v>0</v>
      </c>
      <c r="R337" s="9" t="n">
        <f aca="false">IF(AND(R$3&gt;=CEG_Assets!$AA$12,R$3&lt;=CEG_Assets!$AB$12),MIN(CEG_Assets!$D$12,CEG_Assets!$Z$12*MIN(1,(R$3-CEG_Assets!$AA$12+1)/MAX(1,CEG_Assets!$AC$12))),0)*R336</f>
        <v>0</v>
      </c>
      <c r="S337" s="9" t="n">
        <f aca="false">IF(AND(S$3&gt;=CEG_Assets!$AA$12,S$3&lt;=CEG_Assets!$AB$12),MIN(CEG_Assets!$D$12,CEG_Assets!$Z$12*MIN(1,(S$3-CEG_Assets!$AA$12+1)/MAX(1,CEG_Assets!$AC$12))),0)*S336</f>
        <v>0</v>
      </c>
      <c r="T337" s="9" t="n">
        <f aca="false">IF(AND(T$3&gt;=CEG_Assets!$AA$12,T$3&lt;=CEG_Assets!$AB$12),MIN(CEG_Assets!$D$12,CEG_Assets!$Z$12*MIN(1,(T$3-CEG_Assets!$AA$12+1)/MAX(1,CEG_Assets!$AC$12))),0)*T336</f>
        <v>0</v>
      </c>
      <c r="U337" s="9" t="n">
        <f aca="false">IF(AND(U$3&gt;=CEG_Assets!$AA$12,U$3&lt;=CEG_Assets!$AB$12),MIN(CEG_Assets!$D$12,CEG_Assets!$Z$12*MIN(1,(U$3-CEG_Assets!$AA$12+1)/MAX(1,CEG_Assets!$AC$12))),0)*U336</f>
        <v>0</v>
      </c>
      <c r="V337" s="9" t="n">
        <f aca="false">IF(AND(V$3&gt;=CEG_Assets!$AA$12,V$3&lt;=CEG_Assets!$AB$12),MIN(CEG_Assets!$D$12,CEG_Assets!$Z$12*MIN(1,(V$3-CEG_Assets!$AA$12+1)/MAX(1,CEG_Assets!$AC$12))),0)*V336</f>
        <v>0</v>
      </c>
      <c r="W337" s="9" t="n">
        <f aca="false">IF(AND(W$3&gt;=CEG_Assets!$AA$12,W$3&lt;=CEG_Assets!$AB$12),MIN(CEG_Assets!$D$12,CEG_Assets!$Z$12*MIN(1,(W$3-CEG_Assets!$AA$12+1)/MAX(1,CEG_Assets!$AC$12))),0)*W336</f>
        <v>0</v>
      </c>
      <c r="X337" s="9" t="n">
        <f aca="false">IF(AND(X$3&gt;=CEG_Assets!$AA$12,X$3&lt;=CEG_Assets!$AB$12),MIN(CEG_Assets!$D$12,CEG_Assets!$Z$12*MIN(1,(X$3-CEG_Assets!$AA$12+1)/MAX(1,CEG_Assets!$AC$12))),0)*X336</f>
        <v>0</v>
      </c>
      <c r="Y337" s="9" t="n">
        <f aca="false">IF(AND(Y$3&gt;=CEG_Assets!$AA$12,Y$3&lt;=CEG_Assets!$AB$12),MIN(CEG_Assets!$D$12,CEG_Assets!$Z$12*MIN(1,(Y$3-CEG_Assets!$AA$12+1)/MAX(1,CEG_Assets!$AC$12))),0)*Y336</f>
        <v>0</v>
      </c>
      <c r="Z337" s="9" t="n">
        <f aca="false">IF(AND(Z$3&gt;=CEG_Assets!$AA$12,Z$3&lt;=CEG_Assets!$AB$12),MIN(CEG_Assets!$D$12,CEG_Assets!$Z$12*MIN(1,(Z$3-CEG_Assets!$AA$12+1)/MAX(1,CEG_Assets!$AC$12))),0)*Z336</f>
        <v>0</v>
      </c>
      <c r="AA337" s="9" t="n">
        <f aca="false">IF(AND(AA$3&gt;=CEG_Assets!$AA$12,AA$3&lt;=CEG_Assets!$AB$12),MIN(CEG_Assets!$D$12,CEG_Assets!$Z$12*MIN(1,(AA$3-CEG_Assets!$AA$12+1)/MAX(1,CEG_Assets!$AC$12))),0)*AA336</f>
        <v>0</v>
      </c>
      <c r="AB337" s="9" t="n">
        <f aca="false">IF(AND(AB$3&gt;=CEG_Assets!$AA$12,AB$3&lt;=CEG_Assets!$AB$12),MIN(CEG_Assets!$D$12,CEG_Assets!$Z$12*MIN(1,(AB$3-CEG_Assets!$AA$12+1)/MAX(1,CEG_Assets!$AC$12))),0)*AB336</f>
        <v>0</v>
      </c>
      <c r="AC337" s="9" t="n">
        <f aca="false">IF(AND(AC$3&gt;=CEG_Assets!$AA$12,AC$3&lt;=CEG_Assets!$AB$12),MIN(CEG_Assets!$D$12,CEG_Assets!$Z$12*MIN(1,(AC$3-CEG_Assets!$AA$12+1)/MAX(1,CEG_Assets!$AC$12))),0)*AC336</f>
        <v>0</v>
      </c>
      <c r="AD337" s="9" t="n">
        <f aca="false">IF(AND(AD$3&gt;=CEG_Assets!$AA$12,AD$3&lt;=CEG_Assets!$AB$12),MIN(CEG_Assets!$D$12,CEG_Assets!$Z$12*MIN(1,(AD$3-CEG_Assets!$AA$12+1)/MAX(1,CEG_Assets!$AC$12))),0)*AD336</f>
        <v>0</v>
      </c>
      <c r="AE337" s="9" t="n">
        <f aca="false">IF(AND(AE$3&gt;=CEG_Assets!$AA$12,AE$3&lt;=CEG_Assets!$AB$12),MIN(CEG_Assets!$D$12,CEG_Assets!$Z$12*MIN(1,(AE$3-CEG_Assets!$AA$12+1)/MAX(1,CEG_Assets!$AC$12))),0)*AE336</f>
        <v>0</v>
      </c>
      <c r="AF337" s="9" t="n">
        <f aca="false">IF(AND(AF$3&gt;=CEG_Assets!$AA$12,AF$3&lt;=CEG_Assets!$AB$12),MIN(CEG_Assets!$D$12,CEG_Assets!$Z$12*MIN(1,(AF$3-CEG_Assets!$AA$12+1)/MAX(1,CEG_Assets!$AC$12))),0)*AF336</f>
        <v>0</v>
      </c>
      <c r="AG337" s="9" t="n">
        <f aca="false">IF(AND(AG$3&gt;=CEG_Assets!$AA$12,AG$3&lt;=CEG_Assets!$AB$12),MIN(CEG_Assets!$D$12,CEG_Assets!$Z$12*MIN(1,(AG$3-CEG_Assets!$AA$12+1)/MAX(1,CEG_Assets!$AC$12))),0)*AG336</f>
        <v>0</v>
      </c>
      <c r="AH337" s="9" t="n">
        <f aca="false">IF(AND(AH$3&gt;=CEG_Assets!$AA$12,AH$3&lt;=CEG_Assets!$AB$12),MIN(CEG_Assets!$D$12,CEG_Assets!$Z$12*MIN(1,(AH$3-CEG_Assets!$AA$12+1)/MAX(1,CEG_Assets!$AC$12))),0)*AH336</f>
        <v>0</v>
      </c>
      <c r="AI337" s="9" t="n">
        <f aca="false">IF(AND(AI$3&gt;=CEG_Assets!$AA$12,AI$3&lt;=CEG_Assets!$AB$12),MIN(CEG_Assets!$D$12,CEG_Assets!$Z$12*MIN(1,(AI$3-CEG_Assets!$AA$12+1)/MAX(1,CEG_Assets!$AC$12))),0)*AI336</f>
        <v>0</v>
      </c>
      <c r="AJ337" s="9" t="n">
        <f aca="false">IF(AND(AJ$3&gt;=CEG_Assets!$AA$12,AJ$3&lt;=CEG_Assets!$AB$12),MIN(CEG_Assets!$D$12,CEG_Assets!$Z$12*MIN(1,(AJ$3-CEG_Assets!$AA$12+1)/MAX(1,CEG_Assets!$AC$12))),0)*AJ336</f>
        <v>0</v>
      </c>
      <c r="AK337" s="9" t="n">
        <f aca="false">IF(AND(AK$3&gt;=CEG_Assets!$AA$12,AK$3&lt;=CEG_Assets!$AB$12),MIN(CEG_Assets!$D$12,CEG_Assets!$Z$12*MIN(1,(AK$3-CEG_Assets!$AA$12+1)/MAX(1,CEG_Assets!$AC$12))),0)*AK336</f>
        <v>0</v>
      </c>
      <c r="AL337" s="9" t="n">
        <f aca="false">IF(AND(AL$3&gt;=CEG_Assets!$AA$12,AL$3&lt;=CEG_Assets!$AB$12),MIN(CEG_Assets!$D$12,CEG_Assets!$Z$12*MIN(1,(AL$3-CEG_Assets!$AA$12+1)/MAX(1,CEG_Assets!$AC$12))),0)*AL336</f>
        <v>0</v>
      </c>
      <c r="AM337" s="9" t="n">
        <f aca="false">IF(AND(AM$3&gt;=CEG_Assets!$AA$12,AM$3&lt;=CEG_Assets!$AB$12),MIN(CEG_Assets!$D$12,CEG_Assets!$Z$12*MIN(1,(AM$3-CEG_Assets!$AA$12+1)/MAX(1,CEG_Assets!$AC$12))),0)*AM336</f>
        <v>0</v>
      </c>
      <c r="AN337" s="9" t="n">
        <f aca="false">IF(AND(AN$3&gt;=CEG_Assets!$AA$12,AN$3&lt;=CEG_Assets!$AB$12),MIN(CEG_Assets!$D$12,CEG_Assets!$Z$12*MIN(1,(AN$3-CEG_Assets!$AA$12+1)/MAX(1,CEG_Assets!$AC$12))),0)*AN336</f>
        <v>0</v>
      </c>
      <c r="AO337" s="9" t="n">
        <f aca="false">IF(AND(AO$3&gt;=CEG_Assets!$AA$12,AO$3&lt;=CEG_Assets!$AB$12),MIN(CEG_Assets!$D$12,CEG_Assets!$Z$12*MIN(1,(AO$3-CEG_Assets!$AA$12+1)/MAX(1,CEG_Assets!$AC$12))),0)*AO336</f>
        <v>0</v>
      </c>
      <c r="AP337" s="9" t="n">
        <f aca="false">IF(AND(AP$3&gt;=CEG_Assets!$AA$12,AP$3&lt;=CEG_Assets!$AB$12),MIN(CEG_Assets!$D$12,CEG_Assets!$Z$12*MIN(1,(AP$3-CEG_Assets!$AA$12+1)/MAX(1,CEG_Assets!$AC$12))),0)*AP336</f>
        <v>0</v>
      </c>
      <c r="AQ337" s="9" t="n">
        <f aca="false">IF(AND(AQ$3&gt;=CEG_Assets!$AA$12,AQ$3&lt;=CEG_Assets!$AB$12),MIN(CEG_Assets!$D$12,CEG_Assets!$Z$12*MIN(1,(AQ$3-CEG_Assets!$AA$12+1)/MAX(1,CEG_Assets!$AC$12))),0)*AQ336</f>
        <v>0</v>
      </c>
      <c r="AR337" s="9" t="n">
        <f aca="false">IF(AND(AR$3&gt;=CEG_Assets!$AA$12,AR$3&lt;=CEG_Assets!$AB$12),MIN(CEG_Assets!$D$12,CEG_Assets!$Z$12*MIN(1,(AR$3-CEG_Assets!$AA$12+1)/MAX(1,CEG_Assets!$AC$12))),0)*AR336</f>
        <v>0</v>
      </c>
      <c r="AS337" s="9" t="n">
        <f aca="false">IF(AND(AS$3&gt;=CEG_Assets!$AA$12,AS$3&lt;=CEG_Assets!$AB$12),MIN(CEG_Assets!$D$12,CEG_Assets!$Z$12*MIN(1,(AS$3-CEG_Assets!$AA$12+1)/MAX(1,CEG_Assets!$AC$12))),0)*AS336</f>
        <v>0</v>
      </c>
    </row>
    <row r="338" customFormat="false" ht="15" hidden="false" customHeight="false" outlineLevel="0" collapsed="false">
      <c r="A338" s="6" t="s">
        <v>429</v>
      </c>
      <c r="B338" s="6" t="s">
        <v>430</v>
      </c>
      <c r="G338" s="9" t="n">
        <f aca="false">(CEG_Assets!$D$12-G337)*8760*CEG_Assets!$I$12*G336</f>
        <v>1357099.2</v>
      </c>
      <c r="H338" s="9" t="n">
        <f aca="false">(CEG_Assets!$D$12-H337)*8760*CEG_Assets!$I$12*H336</f>
        <v>1357099.2</v>
      </c>
      <c r="I338" s="9" t="n">
        <f aca="false">(CEG_Assets!$D$12-I337)*8760*CEG_Assets!$I$12*I336</f>
        <v>1357099.2</v>
      </c>
      <c r="J338" s="9" t="n">
        <f aca="false">(CEG_Assets!$D$12-J337)*8760*CEG_Assets!$I$12*J336</f>
        <v>1357099.2</v>
      </c>
      <c r="K338" s="9" t="n">
        <f aca="false">(CEG_Assets!$D$12-K337)*8760*CEG_Assets!$I$12*K336</f>
        <v>1357099.2</v>
      </c>
      <c r="L338" s="9" t="n">
        <f aca="false">(CEG_Assets!$D$12-L337)*8760*CEG_Assets!$I$12*L336</f>
        <v>1357099.2</v>
      </c>
      <c r="M338" s="9" t="n">
        <f aca="false">(CEG_Assets!$D$12-M337)*8760*CEG_Assets!$I$12*M336</f>
        <v>1357099.2</v>
      </c>
      <c r="N338" s="9" t="n">
        <f aca="false">(CEG_Assets!$D$12-N337)*8760*CEG_Assets!$I$12*N336</f>
        <v>1357099.2</v>
      </c>
      <c r="O338" s="9" t="n">
        <f aca="false">(CEG_Assets!$D$12-O337)*8760*CEG_Assets!$I$12*O336</f>
        <v>1357099.2</v>
      </c>
      <c r="P338" s="9" t="n">
        <f aca="false">(CEG_Assets!$D$12-P337)*8760*CEG_Assets!$I$12*P336</f>
        <v>1357099.2</v>
      </c>
      <c r="Q338" s="9" t="n">
        <f aca="false">(CEG_Assets!$D$12-Q337)*8760*CEG_Assets!$I$12*Q336</f>
        <v>1357099.2</v>
      </c>
      <c r="R338" s="9" t="n">
        <f aca="false">(CEG_Assets!$D$12-R337)*8760*CEG_Assets!$I$12*R336</f>
        <v>1357099.2</v>
      </c>
      <c r="S338" s="9" t="n">
        <f aca="false">(CEG_Assets!$D$12-S337)*8760*CEG_Assets!$I$12*S336</f>
        <v>0</v>
      </c>
      <c r="T338" s="9" t="n">
        <f aca="false">(CEG_Assets!$D$12-T337)*8760*CEG_Assets!$I$12*T336</f>
        <v>0</v>
      </c>
      <c r="U338" s="9" t="n">
        <f aca="false">(CEG_Assets!$D$12-U337)*8760*CEG_Assets!$I$12*U336</f>
        <v>0</v>
      </c>
      <c r="V338" s="9" t="n">
        <f aca="false">(CEG_Assets!$D$12-V337)*8760*CEG_Assets!$I$12*V336</f>
        <v>0</v>
      </c>
      <c r="W338" s="9" t="n">
        <f aca="false">(CEG_Assets!$D$12-W337)*8760*CEG_Assets!$I$12*W336</f>
        <v>0</v>
      </c>
      <c r="X338" s="9" t="n">
        <f aca="false">(CEG_Assets!$D$12-X337)*8760*CEG_Assets!$I$12*X336</f>
        <v>0</v>
      </c>
      <c r="Y338" s="9" t="n">
        <f aca="false">(CEG_Assets!$D$12-Y337)*8760*CEG_Assets!$I$12*Y336</f>
        <v>0</v>
      </c>
      <c r="Z338" s="9" t="n">
        <f aca="false">(CEG_Assets!$D$12-Z337)*8760*CEG_Assets!$I$12*Z336</f>
        <v>0</v>
      </c>
      <c r="AA338" s="9" t="n">
        <f aca="false">(CEG_Assets!$D$12-AA337)*8760*CEG_Assets!$I$12*AA336</f>
        <v>0</v>
      </c>
      <c r="AB338" s="9" t="n">
        <f aca="false">(CEG_Assets!$D$12-AB337)*8760*CEG_Assets!$I$12*AB336</f>
        <v>0</v>
      </c>
      <c r="AC338" s="9" t="n">
        <f aca="false">(CEG_Assets!$D$12-AC337)*8760*CEG_Assets!$I$12*AC336</f>
        <v>0</v>
      </c>
      <c r="AD338" s="9" t="n">
        <f aca="false">(CEG_Assets!$D$12-AD337)*8760*CEG_Assets!$I$12*AD336</f>
        <v>0</v>
      </c>
      <c r="AE338" s="9" t="n">
        <f aca="false">(CEG_Assets!$D$12-AE337)*8760*CEG_Assets!$I$12*AE336</f>
        <v>0</v>
      </c>
      <c r="AF338" s="9" t="n">
        <f aca="false">(CEG_Assets!$D$12-AF337)*8760*CEG_Assets!$I$12*AF336</f>
        <v>0</v>
      </c>
      <c r="AG338" s="9" t="n">
        <f aca="false">(CEG_Assets!$D$12-AG337)*8760*CEG_Assets!$I$12*AG336</f>
        <v>0</v>
      </c>
      <c r="AH338" s="9" t="n">
        <f aca="false">(CEG_Assets!$D$12-AH337)*8760*CEG_Assets!$I$12*AH336</f>
        <v>0</v>
      </c>
      <c r="AI338" s="9" t="n">
        <f aca="false">(CEG_Assets!$D$12-AI337)*8760*CEG_Assets!$I$12*AI336</f>
        <v>0</v>
      </c>
      <c r="AJ338" s="9" t="n">
        <f aca="false">(CEG_Assets!$D$12-AJ337)*8760*CEG_Assets!$I$12*AJ336</f>
        <v>0</v>
      </c>
      <c r="AK338" s="9" t="n">
        <f aca="false">(CEG_Assets!$D$12-AK337)*8760*CEG_Assets!$I$12*AK336</f>
        <v>0</v>
      </c>
      <c r="AL338" s="9" t="n">
        <f aca="false">(CEG_Assets!$D$12-AL337)*8760*CEG_Assets!$I$12*AL336</f>
        <v>0</v>
      </c>
      <c r="AM338" s="9" t="n">
        <f aca="false">(CEG_Assets!$D$12-AM337)*8760*CEG_Assets!$I$12*AM336</f>
        <v>0</v>
      </c>
      <c r="AN338" s="9" t="n">
        <f aca="false">(CEG_Assets!$D$12-AN337)*8760*CEG_Assets!$I$12*AN336</f>
        <v>0</v>
      </c>
      <c r="AO338" s="9" t="n">
        <f aca="false">(CEG_Assets!$D$12-AO337)*8760*CEG_Assets!$I$12*AO336</f>
        <v>0</v>
      </c>
      <c r="AP338" s="9" t="n">
        <f aca="false">(CEG_Assets!$D$12-AP337)*8760*CEG_Assets!$I$12*AP336</f>
        <v>0</v>
      </c>
      <c r="AQ338" s="9" t="n">
        <f aca="false">(CEG_Assets!$D$12-AQ337)*8760*CEG_Assets!$I$12*AQ336</f>
        <v>0</v>
      </c>
      <c r="AR338" s="9" t="n">
        <f aca="false">(CEG_Assets!$D$12-AR337)*8760*CEG_Assets!$I$12*AR336</f>
        <v>0</v>
      </c>
      <c r="AS338" s="9" t="n">
        <f aca="false">(CEG_Assets!$D$12-AS337)*8760*CEG_Assets!$I$12*AS336</f>
        <v>0</v>
      </c>
    </row>
    <row r="339" customFormat="false" ht="15" hidden="false" customHeight="false" outlineLevel="0" collapsed="false">
      <c r="A339" s="6" t="s">
        <v>431</v>
      </c>
      <c r="B339" s="6" t="s">
        <v>432</v>
      </c>
      <c r="G339" s="9" t="n">
        <f aca="false">G337*8760*CEG_Assets!$I$12*G336</f>
        <v>0</v>
      </c>
      <c r="H339" s="9" t="n">
        <f aca="false">H337*8760*CEG_Assets!$I$12*H336</f>
        <v>0</v>
      </c>
      <c r="I339" s="9" t="n">
        <f aca="false">I337*8760*CEG_Assets!$I$12*I336</f>
        <v>0</v>
      </c>
      <c r="J339" s="9" t="n">
        <f aca="false">J337*8760*CEG_Assets!$I$12*J336</f>
        <v>0</v>
      </c>
      <c r="K339" s="9" t="n">
        <f aca="false">K337*8760*CEG_Assets!$I$12*K336</f>
        <v>0</v>
      </c>
      <c r="L339" s="9" t="n">
        <f aca="false">L337*8760*CEG_Assets!$I$12*L336</f>
        <v>0</v>
      </c>
      <c r="M339" s="9" t="n">
        <f aca="false">M337*8760*CEG_Assets!$I$12*M336</f>
        <v>0</v>
      </c>
      <c r="N339" s="9" t="n">
        <f aca="false">N337*8760*CEG_Assets!$I$12*N336</f>
        <v>0</v>
      </c>
      <c r="O339" s="9" t="n">
        <f aca="false">O337*8760*CEG_Assets!$I$12*O336</f>
        <v>0</v>
      </c>
      <c r="P339" s="9" t="n">
        <f aca="false">P337*8760*CEG_Assets!$I$12*P336</f>
        <v>0</v>
      </c>
      <c r="Q339" s="9" t="n">
        <f aca="false">Q337*8760*CEG_Assets!$I$12*Q336</f>
        <v>0</v>
      </c>
      <c r="R339" s="9" t="n">
        <f aca="false">R337*8760*CEG_Assets!$I$12*R336</f>
        <v>0</v>
      </c>
      <c r="S339" s="9" t="n">
        <f aca="false">S337*8760*CEG_Assets!$I$12*S336</f>
        <v>0</v>
      </c>
      <c r="T339" s="9" t="n">
        <f aca="false">T337*8760*CEG_Assets!$I$12*T336</f>
        <v>0</v>
      </c>
      <c r="U339" s="9" t="n">
        <f aca="false">U337*8760*CEG_Assets!$I$12*U336</f>
        <v>0</v>
      </c>
      <c r="V339" s="9" t="n">
        <f aca="false">V337*8760*CEG_Assets!$I$12*V336</f>
        <v>0</v>
      </c>
      <c r="W339" s="9" t="n">
        <f aca="false">W337*8760*CEG_Assets!$I$12*W336</f>
        <v>0</v>
      </c>
      <c r="X339" s="9" t="n">
        <f aca="false">X337*8760*CEG_Assets!$I$12*X336</f>
        <v>0</v>
      </c>
      <c r="Y339" s="9" t="n">
        <f aca="false">Y337*8760*CEG_Assets!$I$12*Y336</f>
        <v>0</v>
      </c>
      <c r="Z339" s="9" t="n">
        <f aca="false">Z337*8760*CEG_Assets!$I$12*Z336</f>
        <v>0</v>
      </c>
      <c r="AA339" s="9" t="n">
        <f aca="false">AA337*8760*CEG_Assets!$I$12*AA336</f>
        <v>0</v>
      </c>
      <c r="AB339" s="9" t="n">
        <f aca="false">AB337*8760*CEG_Assets!$I$12*AB336</f>
        <v>0</v>
      </c>
      <c r="AC339" s="9" t="n">
        <f aca="false">AC337*8760*CEG_Assets!$I$12*AC336</f>
        <v>0</v>
      </c>
      <c r="AD339" s="9" t="n">
        <f aca="false">AD337*8760*CEG_Assets!$I$12*AD336</f>
        <v>0</v>
      </c>
      <c r="AE339" s="9" t="n">
        <f aca="false">AE337*8760*CEG_Assets!$I$12*AE336</f>
        <v>0</v>
      </c>
      <c r="AF339" s="9" t="n">
        <f aca="false">AF337*8760*CEG_Assets!$I$12*AF336</f>
        <v>0</v>
      </c>
      <c r="AG339" s="9" t="n">
        <f aca="false">AG337*8760*CEG_Assets!$I$12*AG336</f>
        <v>0</v>
      </c>
      <c r="AH339" s="9" t="n">
        <f aca="false">AH337*8760*CEG_Assets!$I$12*AH336</f>
        <v>0</v>
      </c>
      <c r="AI339" s="9" t="n">
        <f aca="false">AI337*8760*CEG_Assets!$I$12*AI336</f>
        <v>0</v>
      </c>
      <c r="AJ339" s="9" t="n">
        <f aca="false">AJ337*8760*CEG_Assets!$I$12*AJ336</f>
        <v>0</v>
      </c>
      <c r="AK339" s="9" t="n">
        <f aca="false">AK337*8760*CEG_Assets!$I$12*AK336</f>
        <v>0</v>
      </c>
      <c r="AL339" s="9" t="n">
        <f aca="false">AL337*8760*CEG_Assets!$I$12*AL336</f>
        <v>0</v>
      </c>
      <c r="AM339" s="9" t="n">
        <f aca="false">AM337*8760*CEG_Assets!$I$12*AM336</f>
        <v>0</v>
      </c>
      <c r="AN339" s="9" t="n">
        <f aca="false">AN337*8760*CEG_Assets!$I$12*AN336</f>
        <v>0</v>
      </c>
      <c r="AO339" s="9" t="n">
        <f aca="false">AO337*8760*CEG_Assets!$I$12*AO336</f>
        <v>0</v>
      </c>
      <c r="AP339" s="9" t="n">
        <f aca="false">AP337*8760*CEG_Assets!$I$12*AP336</f>
        <v>0</v>
      </c>
      <c r="AQ339" s="9" t="n">
        <f aca="false">AQ337*8760*CEG_Assets!$I$12*AQ336</f>
        <v>0</v>
      </c>
      <c r="AR339" s="9" t="n">
        <f aca="false">AR337*8760*CEG_Assets!$I$12*AR336</f>
        <v>0</v>
      </c>
      <c r="AS339" s="9" t="n">
        <f aca="false">AS337*8760*CEG_Assets!$I$12*AS336</f>
        <v>0</v>
      </c>
    </row>
    <row r="340" customFormat="false" ht="15" hidden="false" customHeight="false" outlineLevel="0" collapsed="false">
      <c r="A340" s="6" t="s">
        <v>433</v>
      </c>
      <c r="B340" s="6" t="s">
        <v>434</v>
      </c>
      <c r="G340" s="7" t="n">
        <f aca="false">IF(ISNUMBER(CEG_Assets!$L$12),CEG_Assets!$L$12*G$4,INDEX(Prices!G:G,CEG_Assets!$AO$12)+FuelAdder*G$4)</f>
        <v>3.927</v>
      </c>
      <c r="H340" s="7" t="n">
        <f aca="false">IF(ISNUMBER(CEG_Assets!$L$12),CEG_Assets!$L$12*H$4,INDEX(Prices!H:H,CEG_Assets!$AO$12)+FuelAdder*H$4)</f>
        <v>4.00554</v>
      </c>
      <c r="I340" s="7" t="n">
        <f aca="false">IF(ISNUMBER(CEG_Assets!$L$12),CEG_Assets!$L$12*I$4,INDEX(Prices!I:I,CEG_Assets!$AO$12)+FuelAdder*I$4)</f>
        <v>4.1917716</v>
      </c>
      <c r="J340" s="7" t="n">
        <f aca="false">IF(ISNUMBER(CEG_Assets!$L$12),CEG_Assets!$L$12*J$4,INDEX(Prices!J:J,CEG_Assets!$AO$12)+FuelAdder*J$4)</f>
        <v>4.275607032</v>
      </c>
      <c r="K340" s="7" t="n">
        <f aca="false">IF(ISNUMBER(CEG_Assets!$L$12),CEG_Assets!$L$12*K$4,INDEX(Prices!K:K,CEG_Assets!$AO$12)+FuelAdder*K$4)</f>
        <v>4.36111917264</v>
      </c>
      <c r="L340" s="7" t="n">
        <f aca="false">IF(ISNUMBER(CEG_Assets!$L$12),CEG_Assets!$L$12*L$4,INDEX(Prices!L:L,CEG_Assets!$AO$12)+FuelAdder*L$4)</f>
        <v>4.4483415560928</v>
      </c>
      <c r="M340" s="7" t="n">
        <f aca="false">IF(ISNUMBER(CEG_Assets!$L$12),CEG_Assets!$L$12*M$4,INDEX(Prices!M:M,CEG_Assets!$AO$12)+FuelAdder*M$4)</f>
        <v>4.53730838721466</v>
      </c>
      <c r="N340" s="7" t="n">
        <f aca="false">IF(ISNUMBER(CEG_Assets!$L$12),CEG_Assets!$L$12*N$4,INDEX(Prices!N:N,CEG_Assets!$AO$12)+FuelAdder*N$4)</f>
        <v>4.62805455495895</v>
      </c>
      <c r="O340" s="7" t="n">
        <f aca="false">IF(ISNUMBER(CEG_Assets!$L$12),CEG_Assets!$L$12*O$4,INDEX(Prices!O:O,CEG_Assets!$AO$12)+FuelAdder*O$4)</f>
        <v>4.72061564605813</v>
      </c>
      <c r="P340" s="7" t="n">
        <f aca="false">IF(ISNUMBER(CEG_Assets!$L$12),CEG_Assets!$L$12*P$4,INDEX(Prices!P:P,CEG_Assets!$AO$12)+FuelAdder*P$4)</f>
        <v>4.81502795897929</v>
      </c>
      <c r="Q340" s="7" t="n">
        <f aca="false">IF(ISNUMBER(CEG_Assets!$L$12),CEG_Assets!$L$12*Q$4,INDEX(Prices!Q:Q,CEG_Assets!$AO$12)+FuelAdder*Q$4)</f>
        <v>4.91132851815888</v>
      </c>
      <c r="R340" s="7" t="n">
        <f aca="false">IF(ISNUMBER(CEG_Assets!$L$12),CEG_Assets!$L$12*R$4,INDEX(Prices!R:R,CEG_Assets!$AO$12)+FuelAdder*R$4)</f>
        <v>5.00955508852206</v>
      </c>
      <c r="S340" s="7" t="n">
        <f aca="false">IF(ISNUMBER(CEG_Assets!$L$12),CEG_Assets!$L$12*S$4,INDEX(Prices!S:S,CEG_Assets!$AO$12)+FuelAdder*S$4)</f>
        <v>5.1097461902925</v>
      </c>
      <c r="T340" s="7" t="n">
        <f aca="false">IF(ISNUMBER(CEG_Assets!$L$12),CEG_Assets!$L$12*T$4,INDEX(Prices!T:T,CEG_Assets!$AO$12)+FuelAdder*T$4)</f>
        <v>5.21194111409835</v>
      </c>
      <c r="U340" s="7" t="n">
        <f aca="false">IF(ISNUMBER(CEG_Assets!$L$12),CEG_Assets!$L$12*U$4,INDEX(Prices!U:U,CEG_Assets!$AO$12)+FuelAdder*U$4)</f>
        <v>5.31617993638031</v>
      </c>
      <c r="V340" s="7" t="n">
        <f aca="false">IF(ISNUMBER(CEG_Assets!$L$12),CEG_Assets!$L$12*V$4,INDEX(Prices!V:V,CEG_Assets!$AO$12)+FuelAdder*V$4)</f>
        <v>5.42250353510792</v>
      </c>
      <c r="W340" s="7" t="n">
        <f aca="false">IF(ISNUMBER(CEG_Assets!$L$12),CEG_Assets!$L$12*W$4,INDEX(Prices!W:W,CEG_Assets!$AO$12)+FuelAdder*W$4)</f>
        <v>5.53095360581008</v>
      </c>
      <c r="X340" s="7" t="n">
        <f aca="false">IF(ISNUMBER(CEG_Assets!$L$12),CEG_Assets!$L$12*X$4,INDEX(Prices!X:X,CEG_Assets!$AO$12)+FuelAdder*X$4)</f>
        <v>5.64157267792628</v>
      </c>
      <c r="Y340" s="7" t="n">
        <f aca="false">IF(ISNUMBER(CEG_Assets!$L$12),CEG_Assets!$L$12*Y$4,INDEX(Prices!Y:Y,CEG_Assets!$AO$12)+FuelAdder*Y$4)</f>
        <v>5.75440413148481</v>
      </c>
      <c r="Z340" s="7" t="n">
        <f aca="false">IF(ISNUMBER(CEG_Assets!$L$12),CEG_Assets!$L$12*Z$4,INDEX(Prices!Z:Z,CEG_Assets!$AO$12)+FuelAdder*Z$4)</f>
        <v>5.8694922141145</v>
      </c>
      <c r="AA340" s="7" t="n">
        <f aca="false">IF(ISNUMBER(CEG_Assets!$L$12),CEG_Assets!$L$12*AA$4,INDEX(Prices!AA:AA,CEG_Assets!$AO$12)+FuelAdder*AA$4)</f>
        <v>5.98688205839679</v>
      </c>
      <c r="AB340" s="7" t="n">
        <f aca="false">IF(ISNUMBER(CEG_Assets!$L$12),CEG_Assets!$L$12*AB$4,INDEX(Prices!AB:AB,CEG_Assets!$AO$12)+FuelAdder*AB$4)</f>
        <v>6.10661969956473</v>
      </c>
      <c r="AC340" s="7" t="n">
        <f aca="false">IF(ISNUMBER(CEG_Assets!$L$12),CEG_Assets!$L$12*AC$4,INDEX(Prices!AC:AC,CEG_Assets!$AO$12)+FuelAdder*AC$4)</f>
        <v>6.22875209355602</v>
      </c>
      <c r="AD340" s="7" t="n">
        <f aca="false">IF(ISNUMBER(CEG_Assets!$L$12),CEG_Assets!$L$12*AD$4,INDEX(Prices!AD:AD,CEG_Assets!$AO$12)+FuelAdder*AD$4)</f>
        <v>6.35332713542714</v>
      </c>
      <c r="AE340" s="7" t="n">
        <f aca="false">IF(ISNUMBER(CEG_Assets!$L$12),CEG_Assets!$L$12*AE$4,INDEX(Prices!AE:AE,CEG_Assets!$AO$12)+FuelAdder*AE$4)</f>
        <v>6.48039367813569</v>
      </c>
      <c r="AF340" s="7" t="n">
        <f aca="false">IF(ISNUMBER(CEG_Assets!$L$12),CEG_Assets!$L$12*AF$4,INDEX(Prices!AF:AF,CEG_Assets!$AO$12)+FuelAdder*AF$4)</f>
        <v>6.6100015516984</v>
      </c>
      <c r="AG340" s="7" t="n">
        <f aca="false">IF(ISNUMBER(CEG_Assets!$L$12),CEG_Assets!$L$12*AG$4,INDEX(Prices!AG:AG,CEG_Assets!$AO$12)+FuelAdder*AG$4)</f>
        <v>6.74220158273237</v>
      </c>
      <c r="AH340" s="7" t="n">
        <f aca="false">IF(ISNUMBER(CEG_Assets!$L$12),CEG_Assets!$L$12*AH$4,INDEX(Prices!AH:AH,CEG_Assets!$AO$12)+FuelAdder*AH$4)</f>
        <v>6.87704561438702</v>
      </c>
      <c r="AI340" s="7" t="n">
        <f aca="false">IF(ISNUMBER(CEG_Assets!$L$12),CEG_Assets!$L$12*AI$4,INDEX(Prices!AI:AI,CEG_Assets!$AO$12)+FuelAdder*AI$4)</f>
        <v>7.01458652667476</v>
      </c>
      <c r="AJ340" s="7" t="n">
        <f aca="false">IF(ISNUMBER(CEG_Assets!$L$12),CEG_Assets!$L$12*AJ$4,INDEX(Prices!AJ:AJ,CEG_Assets!$AO$12)+FuelAdder*AJ$4)</f>
        <v>7.15487825720825</v>
      </c>
      <c r="AK340" s="7" t="n">
        <f aca="false">IF(ISNUMBER(CEG_Assets!$L$12),CEG_Assets!$L$12*AK$4,INDEX(Prices!AK:AK,CEG_Assets!$AO$12)+FuelAdder*AK$4)</f>
        <v>7.29797582235242</v>
      </c>
      <c r="AL340" s="7" t="n">
        <f aca="false">IF(ISNUMBER(CEG_Assets!$L$12),CEG_Assets!$L$12*AL$4,INDEX(Prices!AL:AL,CEG_Assets!$AO$12)+FuelAdder*AL$4)</f>
        <v>7.44393533879947</v>
      </c>
      <c r="AM340" s="7" t="n">
        <f aca="false">IF(ISNUMBER(CEG_Assets!$L$12),CEG_Assets!$L$12*AM$4,INDEX(Prices!AM:AM,CEG_Assets!$AO$12)+FuelAdder*AM$4)</f>
        <v>7.59281404557545</v>
      </c>
      <c r="AN340" s="7" t="n">
        <f aca="false">IF(ISNUMBER(CEG_Assets!$L$12),CEG_Assets!$L$12*AN$4,INDEX(Prices!AN:AN,CEG_Assets!$AO$12)+FuelAdder*AN$4)</f>
        <v>7.74467032648696</v>
      </c>
      <c r="AO340" s="7" t="n">
        <f aca="false">IF(ISNUMBER(CEG_Assets!$L$12),CEG_Assets!$L$12*AO$4,INDEX(Prices!AO:AO,CEG_Assets!$AO$12)+FuelAdder*AO$4)</f>
        <v>7.8995637330167</v>
      </c>
      <c r="AP340" s="7" t="n">
        <f aca="false">IF(ISNUMBER(CEG_Assets!$L$12),CEG_Assets!$L$12*AP$4,INDEX(Prices!AP:AP,CEG_Assets!$AO$12)+FuelAdder*AP$4)</f>
        <v>8.05755500767704</v>
      </c>
      <c r="AQ340" s="7" t="n">
        <f aca="false">IF(ISNUMBER(CEG_Assets!$L$12),CEG_Assets!$L$12*AQ$4,INDEX(Prices!AQ:AQ,CEG_Assets!$AO$12)+FuelAdder*AQ$4)</f>
        <v>8.21870610783058</v>
      </c>
      <c r="AR340" s="7" t="n">
        <f aca="false">IF(ISNUMBER(CEG_Assets!$L$12),CEG_Assets!$L$12*AR$4,INDEX(Prices!AR:AR,CEG_Assets!$AO$12)+FuelAdder*AR$4)</f>
        <v>8.38308022998719</v>
      </c>
      <c r="AS340" s="7" t="n">
        <f aca="false">IF(ISNUMBER(CEG_Assets!$L$12),CEG_Assets!$L$12*AS$4,INDEX(Prices!AS:AS,CEG_Assets!$AO$12)+FuelAdder*AS$4)</f>
        <v>8.55074183458693</v>
      </c>
    </row>
    <row r="341" customFormat="false" ht="15" hidden="false" customHeight="false" outlineLevel="0" collapsed="false">
      <c r="A341" s="6" t="s">
        <v>435</v>
      </c>
      <c r="B341" s="6" t="s">
        <v>436</v>
      </c>
      <c r="G341" s="7" t="n">
        <f aca="false">INDEX(Prices!G:G,CEG_Assets!$AN$12)*CEG_Assets!$J$12-CEG_Assets!$K$12*G340-CEG_Assets!$M$12*G$4</f>
        <v>133.6665</v>
      </c>
      <c r="H341" s="7" t="n">
        <f aca="false">INDEX(Prices!H:H,CEG_Assets!$AN$12)*CEG_Assets!$J$12-CEG_Assets!$K$12*H340-CEG_Assets!$M$12*H$4</f>
        <v>135.23983</v>
      </c>
      <c r="I341" s="7" t="n">
        <f aca="false">INDEX(Prices!I:I,CEG_Assets!$AN$12)*CEG_Assets!$J$12-CEG_Assets!$K$12*I340-CEG_Assets!$M$12*I$4</f>
        <v>118.06942295</v>
      </c>
      <c r="J341" s="7" t="n">
        <f aca="false">INDEX(Prices!J:J,CEG_Assets!$AN$12)*CEG_Assets!$J$12-CEG_Assets!$K$12*J340-CEG_Assets!$M$12*J$4</f>
        <v>112.667657454</v>
      </c>
      <c r="K341" s="7" t="n">
        <f aca="false">INDEX(Prices!K:K,CEG_Assets!$AN$12)*CEG_Assets!$J$12-CEG_Assets!$K$12*K340-CEG_Assets!$M$12*K$4</f>
        <v>114.92101060308</v>
      </c>
      <c r="L341" s="7" t="n">
        <f aca="false">INDEX(Prices!L:L,CEG_Assets!$AN$12)*CEG_Assets!$J$12-CEG_Assets!$K$12*L340-CEG_Assets!$M$12*L$4</f>
        <v>117.219430815142</v>
      </c>
      <c r="M341" s="7" t="n">
        <f aca="false">INDEX(Prices!M:M,CEG_Assets!$AN$12)*CEG_Assets!$J$12-CEG_Assets!$K$12*M340-CEG_Assets!$M$12*M$4</f>
        <v>119.563819431444</v>
      </c>
      <c r="N341" s="7" t="n">
        <f aca="false">INDEX(Prices!N:N,CEG_Assets!$AN$12)*CEG_Assets!$J$12-CEG_Assets!$K$12*N340-CEG_Assets!$M$12*N$4</f>
        <v>121.955095820073</v>
      </c>
      <c r="O341" s="7" t="n">
        <f aca="false">INDEX(Prices!O:O,CEG_Assets!$AN$12)*CEG_Assets!$J$12-CEG_Assets!$K$12*O340-CEG_Assets!$M$12*O$4</f>
        <v>124.394197736475</v>
      </c>
      <c r="P341" s="7" t="n">
        <f aca="false">INDEX(Prices!P:P,CEG_Assets!$AN$12)*CEG_Assets!$J$12-CEG_Assets!$K$12*P340-CEG_Assets!$M$12*P$4</f>
        <v>126.882081691204</v>
      </c>
      <c r="Q341" s="7" t="n">
        <f aca="false">INDEX(Prices!Q:Q,CEG_Assets!$AN$12)*CEG_Assets!$J$12-CEG_Assets!$K$12*Q340-CEG_Assets!$M$12*Q$4</f>
        <v>129.419723325028</v>
      </c>
      <c r="R341" s="7" t="n">
        <f aca="false">INDEX(Prices!R:R,CEG_Assets!$AN$12)*CEG_Assets!$J$12-CEG_Assets!$K$12*R340-CEG_Assets!$M$12*R$4</f>
        <v>132.008117791529</v>
      </c>
      <c r="S341" s="7" t="n">
        <f aca="false">INDEX(Prices!S:S,CEG_Assets!$AN$12)*CEG_Assets!$J$12-CEG_Assets!$K$12*S340-CEG_Assets!$M$12*S$4</f>
        <v>134.64828014736</v>
      </c>
      <c r="T341" s="7" t="n">
        <f aca="false">INDEX(Prices!T:T,CEG_Assets!$AN$12)*CEG_Assets!$J$12-CEG_Assets!$K$12*T340-CEG_Assets!$M$12*T$4</f>
        <v>137.341245750307</v>
      </c>
      <c r="U341" s="7" t="n">
        <f aca="false">INDEX(Prices!U:U,CEG_Assets!$AN$12)*CEG_Assets!$J$12-CEG_Assets!$K$12*U340-CEG_Assets!$M$12*U$4</f>
        <v>140.088070665313</v>
      </c>
      <c r="V341" s="7" t="n">
        <f aca="false">INDEX(Prices!V:V,CEG_Assets!$AN$12)*CEG_Assets!$J$12-CEG_Assets!$K$12*V340-CEG_Assets!$M$12*V$4</f>
        <v>142.889832078619</v>
      </c>
      <c r="W341" s="7" t="n">
        <f aca="false">INDEX(Prices!W:W,CEG_Assets!$AN$12)*CEG_Assets!$J$12-CEG_Assets!$K$12*W340-CEG_Assets!$M$12*W$4</f>
        <v>145.747628720192</v>
      </c>
      <c r="X341" s="7" t="n">
        <f aca="false">INDEX(Prices!X:X,CEG_Assets!$AN$12)*CEG_Assets!$J$12-CEG_Assets!$K$12*X340-CEG_Assets!$M$12*X$4</f>
        <v>148.662581294595</v>
      </c>
      <c r="Y341" s="7" t="n">
        <f aca="false">INDEX(Prices!Y:Y,CEG_Assets!$AN$12)*CEG_Assets!$J$12-CEG_Assets!$K$12*Y340-CEG_Assets!$M$12*Y$4</f>
        <v>151.635832920487</v>
      </c>
      <c r="Z341" s="7" t="n">
        <f aca="false">INDEX(Prices!Z:Z,CEG_Assets!$AN$12)*CEG_Assets!$J$12-CEG_Assets!$K$12*Z340-CEG_Assets!$M$12*Z$4</f>
        <v>154.668549578897</v>
      </c>
      <c r="AA341" s="7" t="n">
        <f aca="false">INDEX(Prices!AA:AA,CEG_Assets!$AN$12)*CEG_Assets!$J$12-CEG_Assets!$K$12*AA340-CEG_Assets!$M$12*AA$4</f>
        <v>157.761920570475</v>
      </c>
      <c r="AB341" s="7" t="n">
        <f aca="false">INDEX(Prices!AB:AB,CEG_Assets!$AN$12)*CEG_Assets!$J$12-CEG_Assets!$K$12*AB340-CEG_Assets!$M$12*AB$4</f>
        <v>160.917158981884</v>
      </c>
      <c r="AC341" s="7" t="n">
        <f aca="false">INDEX(Prices!AC:AC,CEG_Assets!$AN$12)*CEG_Assets!$J$12-CEG_Assets!$K$12*AC340-CEG_Assets!$M$12*AC$4</f>
        <v>164.135502161522</v>
      </c>
      <c r="AD341" s="7" t="n">
        <f aca="false">INDEX(Prices!AD:AD,CEG_Assets!$AN$12)*CEG_Assets!$J$12-CEG_Assets!$K$12*AD340-CEG_Assets!$M$12*AD$4</f>
        <v>167.418212204753</v>
      </c>
      <c r="AE341" s="7" t="n">
        <f aca="false">INDEX(Prices!AE:AE,CEG_Assets!$AN$12)*CEG_Assets!$J$12-CEG_Assets!$K$12*AE340-CEG_Assets!$M$12*AE$4</f>
        <v>170.766576448848</v>
      </c>
      <c r="AF341" s="7" t="n">
        <f aca="false">INDEX(Prices!AF:AF,CEG_Assets!$AN$12)*CEG_Assets!$J$12-CEG_Assets!$K$12*AF340-CEG_Assets!$M$12*AF$4</f>
        <v>174.181907977825</v>
      </c>
      <c r="AG341" s="7" t="n">
        <f aca="false">INDEX(Prices!AG:AG,CEG_Assets!$AN$12)*CEG_Assets!$J$12-CEG_Assets!$K$12*AG340-CEG_Assets!$M$12*AG$4</f>
        <v>177.665546137381</v>
      </c>
      <c r="AH341" s="7" t="n">
        <f aca="false">INDEX(Prices!AH:AH,CEG_Assets!$AN$12)*CEG_Assets!$J$12-CEG_Assets!$K$12*AH340-CEG_Assets!$M$12*AH$4</f>
        <v>181.218857060129</v>
      </c>
      <c r="AI341" s="7" t="n">
        <f aca="false">INDEX(Prices!AI:AI,CEG_Assets!$AN$12)*CEG_Assets!$J$12-CEG_Assets!$K$12*AI340-CEG_Assets!$M$12*AI$4</f>
        <v>184.843234201331</v>
      </c>
      <c r="AJ341" s="7" t="n">
        <f aca="false">INDEX(Prices!AJ:AJ,CEG_Assets!$AN$12)*CEG_Assets!$J$12-CEG_Assets!$K$12*AJ340-CEG_Assets!$M$12*AJ$4</f>
        <v>188.540098885358</v>
      </c>
      <c r="AK341" s="7" t="n">
        <f aca="false">INDEX(Prices!AK:AK,CEG_Assets!$AN$12)*CEG_Assets!$J$12-CEG_Assets!$K$12*AK340-CEG_Assets!$M$12*AK$4</f>
        <v>192.310900863065</v>
      </c>
      <c r="AL341" s="7" t="n">
        <f aca="false">INDEX(Prices!AL:AL,CEG_Assets!$AN$12)*CEG_Assets!$J$12-CEG_Assets!$K$12*AL340-CEG_Assets!$M$12*AL$4</f>
        <v>196.157118880326</v>
      </c>
      <c r="AM341" s="7" t="n">
        <f aca="false">INDEX(Prices!AM:AM,CEG_Assets!$AN$12)*CEG_Assets!$J$12-CEG_Assets!$K$12*AM340-CEG_Assets!$M$12*AM$4</f>
        <v>200.080261257933</v>
      </c>
      <c r="AN341" s="7" t="n">
        <f aca="false">INDEX(Prices!AN:AN,CEG_Assets!$AN$12)*CEG_Assets!$J$12-CEG_Assets!$K$12*AN340-CEG_Assets!$M$12*AN$4</f>
        <v>204.081866483092</v>
      </c>
      <c r="AO341" s="7" t="n">
        <f aca="false">INDEX(Prices!AO:AO,CEG_Assets!$AN$12)*CEG_Assets!$J$12-CEG_Assets!$K$12*AO340-CEG_Assets!$M$12*AO$4</f>
        <v>208.163503812753</v>
      </c>
      <c r="AP341" s="7" t="n">
        <f aca="false">INDEX(Prices!AP:AP,CEG_Assets!$AN$12)*CEG_Assets!$J$12-CEG_Assets!$K$12*AP340-CEG_Assets!$M$12*AP$4</f>
        <v>212.326773889009</v>
      </c>
      <c r="AQ341" s="7" t="n">
        <f aca="false">INDEX(Prices!AQ:AQ,CEG_Assets!$AN$12)*CEG_Assets!$J$12-CEG_Assets!$K$12*AQ340-CEG_Assets!$M$12*AQ$4</f>
        <v>216.573309366789</v>
      </c>
      <c r="AR341" s="7" t="n">
        <f aca="false">INDEX(Prices!AR:AR,CEG_Assets!$AN$12)*CEG_Assets!$J$12-CEG_Assets!$K$12*AR340-CEG_Assets!$M$12*AR$4</f>
        <v>220.904775554124</v>
      </c>
      <c r="AS341" s="7" t="n">
        <f aca="false">INDEX(Prices!AS:AS,CEG_Assets!$AN$12)*CEG_Assets!$J$12-CEG_Assets!$K$12*AS340-CEG_Assets!$M$12*AS$4</f>
        <v>225.322871065207</v>
      </c>
    </row>
    <row r="342" customFormat="false" ht="15" hidden="false" customHeight="false" outlineLevel="0" collapsed="false">
      <c r="A342" s="6" t="s">
        <v>437</v>
      </c>
      <c r="B342" s="6" t="s">
        <v>438</v>
      </c>
      <c r="G342" s="47" t="n">
        <f aca="false">IF(CEG_Assets!$X$12=1,IF(G341&gt;0,1,0),1)</f>
        <v>1</v>
      </c>
      <c r="H342" s="47" t="n">
        <f aca="false">IF(CEG_Assets!$X$12=1,IF(H341&gt;0,1,0),1)</f>
        <v>1</v>
      </c>
      <c r="I342" s="47" t="n">
        <f aca="false">IF(CEG_Assets!$X$12=1,IF(I341&gt;0,1,0),1)</f>
        <v>1</v>
      </c>
      <c r="J342" s="47" t="n">
        <f aca="false">IF(CEG_Assets!$X$12=1,IF(J341&gt;0,1,0),1)</f>
        <v>1</v>
      </c>
      <c r="K342" s="47" t="n">
        <f aca="false">IF(CEG_Assets!$X$12=1,IF(K341&gt;0,1,0),1)</f>
        <v>1</v>
      </c>
      <c r="L342" s="47" t="n">
        <f aca="false">IF(CEG_Assets!$X$12=1,IF(L341&gt;0,1,0),1)</f>
        <v>1</v>
      </c>
      <c r="M342" s="47" t="n">
        <f aca="false">IF(CEG_Assets!$X$12=1,IF(M341&gt;0,1,0),1)</f>
        <v>1</v>
      </c>
      <c r="N342" s="47" t="n">
        <f aca="false">IF(CEG_Assets!$X$12=1,IF(N341&gt;0,1,0),1)</f>
        <v>1</v>
      </c>
      <c r="O342" s="47" t="n">
        <f aca="false">IF(CEG_Assets!$X$12=1,IF(O341&gt;0,1,0),1)</f>
        <v>1</v>
      </c>
      <c r="P342" s="47" t="n">
        <f aca="false">IF(CEG_Assets!$X$12=1,IF(P341&gt;0,1,0),1)</f>
        <v>1</v>
      </c>
      <c r="Q342" s="47" t="n">
        <f aca="false">IF(CEG_Assets!$X$12=1,IF(Q341&gt;0,1,0),1)</f>
        <v>1</v>
      </c>
      <c r="R342" s="47" t="n">
        <f aca="false">IF(CEG_Assets!$X$12=1,IF(R341&gt;0,1,0),1)</f>
        <v>1</v>
      </c>
      <c r="S342" s="47" t="n">
        <f aca="false">IF(CEG_Assets!$X$12=1,IF(S341&gt;0,1,0),1)</f>
        <v>1</v>
      </c>
      <c r="T342" s="47" t="n">
        <f aca="false">IF(CEG_Assets!$X$12=1,IF(T341&gt;0,1,0),1)</f>
        <v>1</v>
      </c>
      <c r="U342" s="47" t="n">
        <f aca="false">IF(CEG_Assets!$X$12=1,IF(U341&gt;0,1,0),1)</f>
        <v>1</v>
      </c>
      <c r="V342" s="47" t="n">
        <f aca="false">IF(CEG_Assets!$X$12=1,IF(V341&gt;0,1,0),1)</f>
        <v>1</v>
      </c>
      <c r="W342" s="47" t="n">
        <f aca="false">IF(CEG_Assets!$X$12=1,IF(W341&gt;0,1,0),1)</f>
        <v>1</v>
      </c>
      <c r="X342" s="47" t="n">
        <f aca="false">IF(CEG_Assets!$X$12=1,IF(X341&gt;0,1,0),1)</f>
        <v>1</v>
      </c>
      <c r="Y342" s="47" t="n">
        <f aca="false">IF(CEG_Assets!$X$12=1,IF(Y341&gt;0,1,0),1)</f>
        <v>1</v>
      </c>
      <c r="Z342" s="47" t="n">
        <f aca="false">IF(CEG_Assets!$X$12=1,IF(Z341&gt;0,1,0),1)</f>
        <v>1</v>
      </c>
      <c r="AA342" s="47" t="n">
        <f aca="false">IF(CEG_Assets!$X$12=1,IF(AA341&gt;0,1,0),1)</f>
        <v>1</v>
      </c>
      <c r="AB342" s="47" t="n">
        <f aca="false">IF(CEG_Assets!$X$12=1,IF(AB341&gt;0,1,0),1)</f>
        <v>1</v>
      </c>
      <c r="AC342" s="47" t="n">
        <f aca="false">IF(CEG_Assets!$X$12=1,IF(AC341&gt;0,1,0),1)</f>
        <v>1</v>
      </c>
      <c r="AD342" s="47" t="n">
        <f aca="false">IF(CEG_Assets!$X$12=1,IF(AD341&gt;0,1,0),1)</f>
        <v>1</v>
      </c>
      <c r="AE342" s="47" t="n">
        <f aca="false">IF(CEG_Assets!$X$12=1,IF(AE341&gt;0,1,0),1)</f>
        <v>1</v>
      </c>
      <c r="AF342" s="47" t="n">
        <f aca="false">IF(CEG_Assets!$X$12=1,IF(AF341&gt;0,1,0),1)</f>
        <v>1</v>
      </c>
      <c r="AG342" s="47" t="n">
        <f aca="false">IF(CEG_Assets!$X$12=1,IF(AG341&gt;0,1,0),1)</f>
        <v>1</v>
      </c>
      <c r="AH342" s="47" t="n">
        <f aca="false">IF(CEG_Assets!$X$12=1,IF(AH341&gt;0,1,0),1)</f>
        <v>1</v>
      </c>
      <c r="AI342" s="47" t="n">
        <f aca="false">IF(CEG_Assets!$X$12=1,IF(AI341&gt;0,1,0),1)</f>
        <v>1</v>
      </c>
      <c r="AJ342" s="47" t="n">
        <f aca="false">IF(CEG_Assets!$X$12=1,IF(AJ341&gt;0,1,0),1)</f>
        <v>1</v>
      </c>
      <c r="AK342" s="47" t="n">
        <f aca="false">IF(CEG_Assets!$X$12=1,IF(AK341&gt;0,1,0),1)</f>
        <v>1</v>
      </c>
      <c r="AL342" s="47" t="n">
        <f aca="false">IF(CEG_Assets!$X$12=1,IF(AL341&gt;0,1,0),1)</f>
        <v>1</v>
      </c>
      <c r="AM342" s="47" t="n">
        <f aca="false">IF(CEG_Assets!$X$12=1,IF(AM341&gt;0,1,0),1)</f>
        <v>1</v>
      </c>
      <c r="AN342" s="47" t="n">
        <f aca="false">IF(CEG_Assets!$X$12=1,IF(AN341&gt;0,1,0),1)</f>
        <v>1</v>
      </c>
      <c r="AO342" s="47" t="n">
        <f aca="false">IF(CEG_Assets!$X$12=1,IF(AO341&gt;0,1,0),1)</f>
        <v>1</v>
      </c>
      <c r="AP342" s="47" t="n">
        <f aca="false">IF(CEG_Assets!$X$12=1,IF(AP341&gt;0,1,0),1)</f>
        <v>1</v>
      </c>
      <c r="AQ342" s="47" t="n">
        <f aca="false">IF(CEG_Assets!$X$12=1,IF(AQ341&gt;0,1,0),1)</f>
        <v>1</v>
      </c>
      <c r="AR342" s="47" t="n">
        <f aca="false">IF(CEG_Assets!$X$12=1,IF(AR341&gt;0,1,0),1)</f>
        <v>1</v>
      </c>
      <c r="AS342" s="47" t="n">
        <f aca="false">IF(CEG_Assets!$X$12=1,IF(AS341&gt;0,1,0),1)</f>
        <v>1</v>
      </c>
    </row>
    <row r="343" customFormat="false" ht="15" hidden="false" customHeight="false" outlineLevel="0" collapsed="false">
      <c r="A343" s="6" t="s">
        <v>439</v>
      </c>
      <c r="B343" s="6" t="s">
        <v>440</v>
      </c>
      <c r="C343" s="9" t="n">
        <f aca="false">SUM(G343:AS343)</f>
        <v>2876.55750753619</v>
      </c>
      <c r="G343" s="8" t="n">
        <f aca="false">G338*INDEX(Prices!G:G,CEG_Assets!$AN$12)*CEG_Assets!$J$12*G342/1000000*(1+CEG_RevAdj)</f>
        <v>244.277856</v>
      </c>
      <c r="H343" s="8" t="n">
        <f aca="false">H338*INDEX(Prices!H:H,CEG_Assets!$AN$12)*CEG_Assets!$J$12*H342/1000000*(1+CEG_RevAdj)</f>
        <v>247.670604</v>
      </c>
      <c r="I343" s="8" t="n">
        <f aca="false">I338*INDEX(Prices!I:I,CEG_Assets!$AN$12)*CEG_Assets!$J$12*I342/1000000*(1+CEG_RevAdj)</f>
        <v>227.163565860973</v>
      </c>
      <c r="J343" s="8" t="n">
        <f aca="false">J338*INDEX(Prices!J:J,CEG_Assets!$AN$12)*CEG_Assets!$J$12*J342/1000000*(1+CEG_RevAdj)</f>
        <v>221.171467156385</v>
      </c>
      <c r="K343" s="8" t="n">
        <f aca="false">K338*INDEX(Prices!K:K,CEG_Assets!$AN$12)*CEG_Assets!$J$12*K342/1000000*(1+CEG_RevAdj)</f>
        <v>225.594896499513</v>
      </c>
      <c r="L343" s="8" t="n">
        <f aca="false">L338*INDEX(Prices!L:L,CEG_Assets!$AN$12)*CEG_Assets!$J$12*L342/1000000*(1+CEG_RevAdj)</f>
        <v>230.106794429503</v>
      </c>
      <c r="M343" s="8" t="n">
        <f aca="false">M338*INDEX(Prices!M:M,CEG_Assets!$AN$12)*CEG_Assets!$J$12*M342/1000000*(1+CEG_RevAdj)</f>
        <v>234.708930318093</v>
      </c>
      <c r="N343" s="8" t="n">
        <f aca="false">N338*INDEX(Prices!N:N,CEG_Assets!$AN$12)*CEG_Assets!$J$12*N342/1000000*(1+CEG_RevAdj)</f>
        <v>239.403108924455</v>
      </c>
      <c r="O343" s="8" t="n">
        <f aca="false">O338*INDEX(Prices!O:O,CEG_Assets!$AN$12)*CEG_Assets!$J$12*O342/1000000*(1+CEG_RevAdj)</f>
        <v>244.191171102944</v>
      </c>
      <c r="P343" s="8" t="n">
        <f aca="false">P338*INDEX(Prices!P:P,CEG_Assets!$AN$12)*CEG_Assets!$J$12*P342/1000000*(1+CEG_RevAdj)</f>
        <v>249.074994525003</v>
      </c>
      <c r="Q343" s="8" t="n">
        <f aca="false">Q338*INDEX(Prices!Q:Q,CEG_Assets!$AN$12)*CEG_Assets!$J$12*Q342/1000000*(1+CEG_RevAdj)</f>
        <v>254.056494415503</v>
      </c>
      <c r="R343" s="8" t="n">
        <f aca="false">R338*INDEX(Prices!R:R,CEG_Assets!$AN$12)*CEG_Assets!$J$12*R342/1000000*(1+CEG_RevAdj)</f>
        <v>259.137624303813</v>
      </c>
      <c r="S343" s="8" t="n">
        <f aca="false">S338*INDEX(Prices!S:S,CEG_Assets!$AN$12)*CEG_Assets!$J$12*S342/1000000*(1+CEG_RevAdj)</f>
        <v>0</v>
      </c>
      <c r="T343" s="8" t="n">
        <f aca="false">T338*INDEX(Prices!T:T,CEG_Assets!$AN$12)*CEG_Assets!$J$12*T342/1000000*(1+CEG_RevAdj)</f>
        <v>0</v>
      </c>
      <c r="U343" s="8" t="n">
        <f aca="false">U338*INDEX(Prices!U:U,CEG_Assets!$AN$12)*CEG_Assets!$J$12*U342/1000000*(1+CEG_RevAdj)</f>
        <v>0</v>
      </c>
      <c r="V343" s="8" t="n">
        <f aca="false">V338*INDEX(Prices!V:V,CEG_Assets!$AN$12)*CEG_Assets!$J$12*V342/1000000*(1+CEG_RevAdj)</f>
        <v>0</v>
      </c>
      <c r="W343" s="8" t="n">
        <f aca="false">W338*INDEX(Prices!W:W,CEG_Assets!$AN$12)*CEG_Assets!$J$12*W342/1000000*(1+CEG_RevAdj)</f>
        <v>0</v>
      </c>
      <c r="X343" s="8" t="n">
        <f aca="false">X338*INDEX(Prices!X:X,CEG_Assets!$AN$12)*CEG_Assets!$J$12*X342/1000000*(1+CEG_RevAdj)</f>
        <v>0</v>
      </c>
      <c r="Y343" s="8" t="n">
        <f aca="false">Y338*INDEX(Prices!Y:Y,CEG_Assets!$AN$12)*CEG_Assets!$J$12*Y342/1000000*(1+CEG_RevAdj)</f>
        <v>0</v>
      </c>
      <c r="Z343" s="8" t="n">
        <f aca="false">Z338*INDEX(Prices!Z:Z,CEG_Assets!$AN$12)*CEG_Assets!$J$12*Z342/1000000*(1+CEG_RevAdj)</f>
        <v>0</v>
      </c>
      <c r="AA343" s="8" t="n">
        <f aca="false">AA338*INDEX(Prices!AA:AA,CEG_Assets!$AN$12)*CEG_Assets!$J$12*AA342/1000000*(1+CEG_RevAdj)</f>
        <v>0</v>
      </c>
      <c r="AB343" s="8" t="n">
        <f aca="false">AB338*INDEX(Prices!AB:AB,CEG_Assets!$AN$12)*CEG_Assets!$J$12*AB342/1000000*(1+CEG_RevAdj)</f>
        <v>0</v>
      </c>
      <c r="AC343" s="8" t="n">
        <f aca="false">AC338*INDEX(Prices!AC:AC,CEG_Assets!$AN$12)*CEG_Assets!$J$12*AC342/1000000*(1+CEG_RevAdj)</f>
        <v>0</v>
      </c>
      <c r="AD343" s="8" t="n">
        <f aca="false">AD338*INDEX(Prices!AD:AD,CEG_Assets!$AN$12)*CEG_Assets!$J$12*AD342/1000000*(1+CEG_RevAdj)</f>
        <v>0</v>
      </c>
      <c r="AE343" s="8" t="n">
        <f aca="false">AE338*INDEX(Prices!AE:AE,CEG_Assets!$AN$12)*CEG_Assets!$J$12*AE342/1000000*(1+CEG_RevAdj)</f>
        <v>0</v>
      </c>
      <c r="AF343" s="8" t="n">
        <f aca="false">AF338*INDEX(Prices!AF:AF,CEG_Assets!$AN$12)*CEG_Assets!$J$12*AF342/1000000*(1+CEG_RevAdj)</f>
        <v>0</v>
      </c>
      <c r="AG343" s="8" t="n">
        <f aca="false">AG338*INDEX(Prices!AG:AG,CEG_Assets!$AN$12)*CEG_Assets!$J$12*AG342/1000000*(1+CEG_RevAdj)</f>
        <v>0</v>
      </c>
      <c r="AH343" s="8" t="n">
        <f aca="false">AH338*INDEX(Prices!AH:AH,CEG_Assets!$AN$12)*CEG_Assets!$J$12*AH342/1000000*(1+CEG_RevAdj)</f>
        <v>0</v>
      </c>
      <c r="AI343" s="8" t="n">
        <f aca="false">AI338*INDEX(Prices!AI:AI,CEG_Assets!$AN$12)*CEG_Assets!$J$12*AI342/1000000*(1+CEG_RevAdj)</f>
        <v>0</v>
      </c>
      <c r="AJ343" s="8" t="n">
        <f aca="false">AJ338*INDEX(Prices!AJ:AJ,CEG_Assets!$AN$12)*CEG_Assets!$J$12*AJ342/1000000*(1+CEG_RevAdj)</f>
        <v>0</v>
      </c>
      <c r="AK343" s="8" t="n">
        <f aca="false">AK338*INDEX(Prices!AK:AK,CEG_Assets!$AN$12)*CEG_Assets!$J$12*AK342/1000000*(1+CEG_RevAdj)</f>
        <v>0</v>
      </c>
      <c r="AL343" s="8" t="n">
        <f aca="false">AL338*INDEX(Prices!AL:AL,CEG_Assets!$AN$12)*CEG_Assets!$J$12*AL342/1000000*(1+CEG_RevAdj)</f>
        <v>0</v>
      </c>
      <c r="AM343" s="8" t="n">
        <f aca="false">AM338*INDEX(Prices!AM:AM,CEG_Assets!$AN$12)*CEG_Assets!$J$12*AM342/1000000*(1+CEG_RevAdj)</f>
        <v>0</v>
      </c>
      <c r="AN343" s="8" t="n">
        <f aca="false">AN338*INDEX(Prices!AN:AN,CEG_Assets!$AN$12)*CEG_Assets!$J$12*AN342/1000000*(1+CEG_RevAdj)</f>
        <v>0</v>
      </c>
      <c r="AO343" s="8" t="n">
        <f aca="false">AO338*INDEX(Prices!AO:AO,CEG_Assets!$AN$12)*CEG_Assets!$J$12*AO342/1000000*(1+CEG_RevAdj)</f>
        <v>0</v>
      </c>
      <c r="AP343" s="8" t="n">
        <f aca="false">AP338*INDEX(Prices!AP:AP,CEG_Assets!$AN$12)*CEG_Assets!$J$12*AP342/1000000*(1+CEG_RevAdj)</f>
        <v>0</v>
      </c>
      <c r="AQ343" s="8" t="n">
        <f aca="false">AQ338*INDEX(Prices!AQ:AQ,CEG_Assets!$AN$12)*CEG_Assets!$J$12*AQ342/1000000*(1+CEG_RevAdj)</f>
        <v>0</v>
      </c>
      <c r="AR343" s="8" t="n">
        <f aca="false">AR338*INDEX(Prices!AR:AR,CEG_Assets!$AN$12)*CEG_Assets!$J$12*AR342/1000000*(1+CEG_RevAdj)</f>
        <v>0</v>
      </c>
      <c r="AS343" s="8" t="n">
        <f aca="false">AS338*INDEX(Prices!AS:AS,CEG_Assets!$AN$12)*CEG_Assets!$J$12*AS342/1000000*(1+CEG_RevAdj)</f>
        <v>0</v>
      </c>
    </row>
    <row r="344" customFormat="false" ht="15" hidden="false" customHeight="false" outlineLevel="0" collapsed="false">
      <c r="A344" s="6" t="s">
        <v>441</v>
      </c>
      <c r="B344" s="6" t="s">
        <v>442</v>
      </c>
      <c r="C344" s="9" t="n">
        <f aca="false">SUM(G344:AS344)</f>
        <v>1903.60407521234</v>
      </c>
      <c r="G344" s="8" t="n">
        <f aca="false">(CEG_Assets!$D$12-G337)*INDEX(Prices!G:G,CEG_Assets!$AP$12)*365*CEG_Assets!$T$12*G336/1000000*(1+CEG_RevAdj)</f>
        <v>187.53980028</v>
      </c>
      <c r="H344" s="8" t="n">
        <f aca="false">(CEG_Assets!$D$12-H337)*INDEX(Prices!H:H,CEG_Assets!$AP$12)*365*CEG_Assets!$T$12*H336/1000000*(1+CEG_RevAdj)</f>
        <v>185.76426216</v>
      </c>
      <c r="I344" s="8" t="n">
        <f aca="false">(CEG_Assets!$D$12-I337)*INDEX(Prices!I:I,CEG_Assets!$AP$12)*365*CEG_Assets!$T$12*I336/1000000*(1+CEG_RevAdj)</f>
        <v>157.08163506292</v>
      </c>
      <c r="J344" s="8" t="n">
        <f aca="false">(CEG_Assets!$D$12-J337)*INDEX(Prices!J:J,CEG_Assets!$AP$12)*365*CEG_Assets!$T$12*J336/1000000*(1+CEG_RevAdj)</f>
        <v>140.776082595734</v>
      </c>
      <c r="K344" s="8" t="n">
        <f aca="false">(CEG_Assets!$D$12-K337)*INDEX(Prices!K:K,CEG_Assets!$AP$12)*365*CEG_Assets!$T$12*K336/1000000*(1+CEG_RevAdj)</f>
        <v>143.591604247649</v>
      </c>
      <c r="L344" s="8" t="n">
        <f aca="false">(CEG_Assets!$D$12-L337)*INDEX(Prices!L:L,CEG_Assets!$AP$12)*365*CEG_Assets!$T$12*L336/1000000*(1+CEG_RevAdj)</f>
        <v>146.463436332602</v>
      </c>
      <c r="M344" s="8" t="n">
        <f aca="false">(CEG_Assets!$D$12-M337)*INDEX(Prices!M:M,CEG_Assets!$AP$12)*365*CEG_Assets!$T$12*M336/1000000*(1+CEG_RevAdj)</f>
        <v>149.392705059254</v>
      </c>
      <c r="N344" s="8" t="n">
        <f aca="false">(CEG_Assets!$D$12-N337)*INDEX(Prices!N:N,CEG_Assets!$AP$12)*365*CEG_Assets!$T$12*N336/1000000*(1+CEG_RevAdj)</f>
        <v>152.380559160439</v>
      </c>
      <c r="O344" s="8" t="n">
        <f aca="false">(CEG_Assets!$D$12-O337)*INDEX(Prices!O:O,CEG_Assets!$AP$12)*365*CEG_Assets!$T$12*O336/1000000*(1+CEG_RevAdj)</f>
        <v>155.428170343648</v>
      </c>
      <c r="P344" s="8" t="n">
        <f aca="false">(CEG_Assets!$D$12-P337)*INDEX(Prices!P:P,CEG_Assets!$AP$12)*365*CEG_Assets!$T$12*P336/1000000*(1+CEG_RevAdj)</f>
        <v>158.536733750521</v>
      </c>
      <c r="Q344" s="8" t="n">
        <f aca="false">(CEG_Assets!$D$12-Q337)*INDEX(Prices!Q:Q,CEG_Assets!$AP$12)*365*CEG_Assets!$T$12*Q336/1000000*(1+CEG_RevAdj)</f>
        <v>161.707468425531</v>
      </c>
      <c r="R344" s="8" t="n">
        <f aca="false">(CEG_Assets!$D$12-R337)*INDEX(Prices!R:R,CEG_Assets!$AP$12)*365*CEG_Assets!$T$12*R336/1000000*(1+CEG_RevAdj)</f>
        <v>164.941617794042</v>
      </c>
      <c r="S344" s="8" t="n">
        <f aca="false">(CEG_Assets!$D$12-S337)*INDEX(Prices!S:S,CEG_Assets!$AP$12)*365*CEG_Assets!$T$12*S336/1000000*(1+CEG_RevAdj)</f>
        <v>0</v>
      </c>
      <c r="T344" s="8" t="n">
        <f aca="false">(CEG_Assets!$D$12-T337)*INDEX(Prices!T:T,CEG_Assets!$AP$12)*365*CEG_Assets!$T$12*T336/1000000*(1+CEG_RevAdj)</f>
        <v>0</v>
      </c>
      <c r="U344" s="8" t="n">
        <f aca="false">(CEG_Assets!$D$12-U337)*INDEX(Prices!U:U,CEG_Assets!$AP$12)*365*CEG_Assets!$T$12*U336/1000000*(1+CEG_RevAdj)</f>
        <v>0</v>
      </c>
      <c r="V344" s="8" t="n">
        <f aca="false">(CEG_Assets!$D$12-V337)*INDEX(Prices!V:V,CEG_Assets!$AP$12)*365*CEG_Assets!$T$12*V336/1000000*(1+CEG_RevAdj)</f>
        <v>0</v>
      </c>
      <c r="W344" s="8" t="n">
        <f aca="false">(CEG_Assets!$D$12-W337)*INDEX(Prices!W:W,CEG_Assets!$AP$12)*365*CEG_Assets!$T$12*W336/1000000*(1+CEG_RevAdj)</f>
        <v>0</v>
      </c>
      <c r="X344" s="8" t="n">
        <f aca="false">(CEG_Assets!$D$12-X337)*INDEX(Prices!X:X,CEG_Assets!$AP$12)*365*CEG_Assets!$T$12*X336/1000000*(1+CEG_RevAdj)</f>
        <v>0</v>
      </c>
      <c r="Y344" s="8" t="n">
        <f aca="false">(CEG_Assets!$D$12-Y337)*INDEX(Prices!Y:Y,CEG_Assets!$AP$12)*365*CEG_Assets!$T$12*Y336/1000000*(1+CEG_RevAdj)</f>
        <v>0</v>
      </c>
      <c r="Z344" s="8" t="n">
        <f aca="false">(CEG_Assets!$D$12-Z337)*INDEX(Prices!Z:Z,CEG_Assets!$AP$12)*365*CEG_Assets!$T$12*Z336/1000000*(1+CEG_RevAdj)</f>
        <v>0</v>
      </c>
      <c r="AA344" s="8" t="n">
        <f aca="false">(CEG_Assets!$D$12-AA337)*INDEX(Prices!AA:AA,CEG_Assets!$AP$12)*365*CEG_Assets!$T$12*AA336/1000000*(1+CEG_RevAdj)</f>
        <v>0</v>
      </c>
      <c r="AB344" s="8" t="n">
        <f aca="false">(CEG_Assets!$D$12-AB337)*INDEX(Prices!AB:AB,CEG_Assets!$AP$12)*365*CEG_Assets!$T$12*AB336/1000000*(1+CEG_RevAdj)</f>
        <v>0</v>
      </c>
      <c r="AC344" s="8" t="n">
        <f aca="false">(CEG_Assets!$D$12-AC337)*INDEX(Prices!AC:AC,CEG_Assets!$AP$12)*365*CEG_Assets!$T$12*AC336/1000000*(1+CEG_RevAdj)</f>
        <v>0</v>
      </c>
      <c r="AD344" s="8" t="n">
        <f aca="false">(CEG_Assets!$D$12-AD337)*INDEX(Prices!AD:AD,CEG_Assets!$AP$12)*365*CEG_Assets!$T$12*AD336/1000000*(1+CEG_RevAdj)</f>
        <v>0</v>
      </c>
      <c r="AE344" s="8" t="n">
        <f aca="false">(CEG_Assets!$D$12-AE337)*INDEX(Prices!AE:AE,CEG_Assets!$AP$12)*365*CEG_Assets!$T$12*AE336/1000000*(1+CEG_RevAdj)</f>
        <v>0</v>
      </c>
      <c r="AF344" s="8" t="n">
        <f aca="false">(CEG_Assets!$D$12-AF337)*INDEX(Prices!AF:AF,CEG_Assets!$AP$12)*365*CEG_Assets!$T$12*AF336/1000000*(1+CEG_RevAdj)</f>
        <v>0</v>
      </c>
      <c r="AG344" s="8" t="n">
        <f aca="false">(CEG_Assets!$D$12-AG337)*INDEX(Prices!AG:AG,CEG_Assets!$AP$12)*365*CEG_Assets!$T$12*AG336/1000000*(1+CEG_RevAdj)</f>
        <v>0</v>
      </c>
      <c r="AH344" s="8" t="n">
        <f aca="false">(CEG_Assets!$D$12-AH337)*INDEX(Prices!AH:AH,CEG_Assets!$AP$12)*365*CEG_Assets!$T$12*AH336/1000000*(1+CEG_RevAdj)</f>
        <v>0</v>
      </c>
      <c r="AI344" s="8" t="n">
        <f aca="false">(CEG_Assets!$D$12-AI337)*INDEX(Prices!AI:AI,CEG_Assets!$AP$12)*365*CEG_Assets!$T$12*AI336/1000000*(1+CEG_RevAdj)</f>
        <v>0</v>
      </c>
      <c r="AJ344" s="8" t="n">
        <f aca="false">(CEG_Assets!$D$12-AJ337)*INDEX(Prices!AJ:AJ,CEG_Assets!$AP$12)*365*CEG_Assets!$T$12*AJ336/1000000*(1+CEG_RevAdj)</f>
        <v>0</v>
      </c>
      <c r="AK344" s="8" t="n">
        <f aca="false">(CEG_Assets!$D$12-AK337)*INDEX(Prices!AK:AK,CEG_Assets!$AP$12)*365*CEG_Assets!$T$12*AK336/1000000*(1+CEG_RevAdj)</f>
        <v>0</v>
      </c>
      <c r="AL344" s="8" t="n">
        <f aca="false">(CEG_Assets!$D$12-AL337)*INDEX(Prices!AL:AL,CEG_Assets!$AP$12)*365*CEG_Assets!$T$12*AL336/1000000*(1+CEG_RevAdj)</f>
        <v>0</v>
      </c>
      <c r="AM344" s="8" t="n">
        <f aca="false">(CEG_Assets!$D$12-AM337)*INDEX(Prices!AM:AM,CEG_Assets!$AP$12)*365*CEG_Assets!$T$12*AM336/1000000*(1+CEG_RevAdj)</f>
        <v>0</v>
      </c>
      <c r="AN344" s="8" t="n">
        <f aca="false">(CEG_Assets!$D$12-AN337)*INDEX(Prices!AN:AN,CEG_Assets!$AP$12)*365*CEG_Assets!$T$12*AN336/1000000*(1+CEG_RevAdj)</f>
        <v>0</v>
      </c>
      <c r="AO344" s="8" t="n">
        <f aca="false">(CEG_Assets!$D$12-AO337)*INDEX(Prices!AO:AO,CEG_Assets!$AP$12)*365*CEG_Assets!$T$12*AO336/1000000*(1+CEG_RevAdj)</f>
        <v>0</v>
      </c>
      <c r="AP344" s="8" t="n">
        <f aca="false">(CEG_Assets!$D$12-AP337)*INDEX(Prices!AP:AP,CEG_Assets!$AP$12)*365*CEG_Assets!$T$12*AP336/1000000*(1+CEG_RevAdj)</f>
        <v>0</v>
      </c>
      <c r="AQ344" s="8" t="n">
        <f aca="false">(CEG_Assets!$D$12-AQ337)*INDEX(Prices!AQ:AQ,CEG_Assets!$AP$12)*365*CEG_Assets!$T$12*AQ336/1000000*(1+CEG_RevAdj)</f>
        <v>0</v>
      </c>
      <c r="AR344" s="8" t="n">
        <f aca="false">(CEG_Assets!$D$12-AR337)*INDEX(Prices!AR:AR,CEG_Assets!$AP$12)*365*CEG_Assets!$T$12*AR336/1000000*(1+CEG_RevAdj)</f>
        <v>0</v>
      </c>
      <c r="AS344" s="8" t="n">
        <f aca="false">(CEG_Assets!$D$12-AS337)*INDEX(Prices!AS:AS,CEG_Assets!$AP$12)*365*CEG_Assets!$T$12*AS336/1000000*(1+CEG_RevAdj)</f>
        <v>0</v>
      </c>
    </row>
    <row r="345" customFormat="false" ht="15" hidden="false" customHeight="false" outlineLevel="0" collapsed="false">
      <c r="A345" s="6" t="s">
        <v>443</v>
      </c>
      <c r="B345" s="6" t="s">
        <v>444</v>
      </c>
      <c r="C345" s="9" t="n">
        <f aca="false">SUM(G345:AS345)</f>
        <v>0</v>
      </c>
      <c r="G345" s="8" t="n">
        <f aca="false">G339*(CEG_Assets!$AD$12+CEG_PPAAdj)/1000000*(1+CEG_RevAdj)</f>
        <v>0</v>
      </c>
      <c r="H345" s="8" t="n">
        <f aca="false">H339*(CEG_Assets!$AD$12+CEG_PPAAdj)/1000000*(1+CEG_RevAdj)</f>
        <v>0</v>
      </c>
      <c r="I345" s="8" t="n">
        <f aca="false">I339*(CEG_Assets!$AD$12+CEG_PPAAdj)/1000000*(1+CEG_RevAdj)</f>
        <v>0</v>
      </c>
      <c r="J345" s="8" t="n">
        <f aca="false">J339*(CEG_Assets!$AD$12+CEG_PPAAdj)/1000000*(1+CEG_RevAdj)</f>
        <v>0</v>
      </c>
      <c r="K345" s="8" t="n">
        <f aca="false">K339*(CEG_Assets!$AD$12+CEG_PPAAdj)/1000000*(1+CEG_RevAdj)</f>
        <v>0</v>
      </c>
      <c r="L345" s="8" t="n">
        <f aca="false">L339*(CEG_Assets!$AD$12+CEG_PPAAdj)/1000000*(1+CEG_RevAdj)</f>
        <v>0</v>
      </c>
      <c r="M345" s="8" t="n">
        <f aca="false">M339*(CEG_Assets!$AD$12+CEG_PPAAdj)/1000000*(1+CEG_RevAdj)</f>
        <v>0</v>
      </c>
      <c r="N345" s="8" t="n">
        <f aca="false">N339*(CEG_Assets!$AD$12+CEG_PPAAdj)/1000000*(1+CEG_RevAdj)</f>
        <v>0</v>
      </c>
      <c r="O345" s="8" t="n">
        <f aca="false">O339*(CEG_Assets!$AD$12+CEG_PPAAdj)/1000000*(1+CEG_RevAdj)</f>
        <v>0</v>
      </c>
      <c r="P345" s="8" t="n">
        <f aca="false">P339*(CEG_Assets!$AD$12+CEG_PPAAdj)/1000000*(1+CEG_RevAdj)</f>
        <v>0</v>
      </c>
      <c r="Q345" s="8" t="n">
        <f aca="false">Q339*(CEG_Assets!$AD$12+CEG_PPAAdj)/1000000*(1+CEG_RevAdj)</f>
        <v>0</v>
      </c>
      <c r="R345" s="8" t="n">
        <f aca="false">R339*(CEG_Assets!$AD$12+CEG_PPAAdj)/1000000*(1+CEG_RevAdj)</f>
        <v>0</v>
      </c>
      <c r="S345" s="8" t="n">
        <f aca="false">S339*(CEG_Assets!$AD$12+CEG_PPAAdj)/1000000*(1+CEG_RevAdj)</f>
        <v>0</v>
      </c>
      <c r="T345" s="8" t="n">
        <f aca="false">T339*(CEG_Assets!$AD$12+CEG_PPAAdj)/1000000*(1+CEG_RevAdj)</f>
        <v>0</v>
      </c>
      <c r="U345" s="8" t="n">
        <f aca="false">U339*(CEG_Assets!$AD$12+CEG_PPAAdj)/1000000*(1+CEG_RevAdj)</f>
        <v>0</v>
      </c>
      <c r="V345" s="8" t="n">
        <f aca="false">V339*(CEG_Assets!$AD$12+CEG_PPAAdj)/1000000*(1+CEG_RevAdj)</f>
        <v>0</v>
      </c>
      <c r="W345" s="8" t="n">
        <f aca="false">W339*(CEG_Assets!$AD$12+CEG_PPAAdj)/1000000*(1+CEG_RevAdj)</f>
        <v>0</v>
      </c>
      <c r="X345" s="8" t="n">
        <f aca="false">X339*(CEG_Assets!$AD$12+CEG_PPAAdj)/1000000*(1+CEG_RevAdj)</f>
        <v>0</v>
      </c>
      <c r="Y345" s="8" t="n">
        <f aca="false">Y339*(CEG_Assets!$AD$12+CEG_PPAAdj)/1000000*(1+CEG_RevAdj)</f>
        <v>0</v>
      </c>
      <c r="Z345" s="8" t="n">
        <f aca="false">Z339*(CEG_Assets!$AD$12+CEG_PPAAdj)/1000000*(1+CEG_RevAdj)</f>
        <v>0</v>
      </c>
      <c r="AA345" s="8" t="n">
        <f aca="false">AA339*(CEG_Assets!$AD$12+CEG_PPAAdj)/1000000*(1+CEG_RevAdj)</f>
        <v>0</v>
      </c>
      <c r="AB345" s="8" t="n">
        <f aca="false">AB339*(CEG_Assets!$AD$12+CEG_PPAAdj)/1000000*(1+CEG_RevAdj)</f>
        <v>0</v>
      </c>
      <c r="AC345" s="8" t="n">
        <f aca="false">AC339*(CEG_Assets!$AD$12+CEG_PPAAdj)/1000000*(1+CEG_RevAdj)</f>
        <v>0</v>
      </c>
      <c r="AD345" s="8" t="n">
        <f aca="false">AD339*(CEG_Assets!$AD$12+CEG_PPAAdj)/1000000*(1+CEG_RevAdj)</f>
        <v>0</v>
      </c>
      <c r="AE345" s="8" t="n">
        <f aca="false">AE339*(CEG_Assets!$AD$12+CEG_PPAAdj)/1000000*(1+CEG_RevAdj)</f>
        <v>0</v>
      </c>
      <c r="AF345" s="8" t="n">
        <f aca="false">AF339*(CEG_Assets!$AD$12+CEG_PPAAdj)/1000000*(1+CEG_RevAdj)</f>
        <v>0</v>
      </c>
      <c r="AG345" s="8" t="n">
        <f aca="false">AG339*(CEG_Assets!$AD$12+CEG_PPAAdj)/1000000*(1+CEG_RevAdj)</f>
        <v>0</v>
      </c>
      <c r="AH345" s="8" t="n">
        <f aca="false">AH339*(CEG_Assets!$AD$12+CEG_PPAAdj)/1000000*(1+CEG_RevAdj)</f>
        <v>0</v>
      </c>
      <c r="AI345" s="8" t="n">
        <f aca="false">AI339*(CEG_Assets!$AD$12+CEG_PPAAdj)/1000000*(1+CEG_RevAdj)</f>
        <v>0</v>
      </c>
      <c r="AJ345" s="8" t="n">
        <f aca="false">AJ339*(CEG_Assets!$AD$12+CEG_PPAAdj)/1000000*(1+CEG_RevAdj)</f>
        <v>0</v>
      </c>
      <c r="AK345" s="8" t="n">
        <f aca="false">AK339*(CEG_Assets!$AD$12+CEG_PPAAdj)/1000000*(1+CEG_RevAdj)</f>
        <v>0</v>
      </c>
      <c r="AL345" s="8" t="n">
        <f aca="false">AL339*(CEG_Assets!$AD$12+CEG_PPAAdj)/1000000*(1+CEG_RevAdj)</f>
        <v>0</v>
      </c>
      <c r="AM345" s="8" t="n">
        <f aca="false">AM339*(CEG_Assets!$AD$12+CEG_PPAAdj)/1000000*(1+CEG_RevAdj)</f>
        <v>0</v>
      </c>
      <c r="AN345" s="8" t="n">
        <f aca="false">AN339*(CEG_Assets!$AD$12+CEG_PPAAdj)/1000000*(1+CEG_RevAdj)</f>
        <v>0</v>
      </c>
      <c r="AO345" s="8" t="n">
        <f aca="false">AO339*(CEG_Assets!$AD$12+CEG_PPAAdj)/1000000*(1+CEG_RevAdj)</f>
        <v>0</v>
      </c>
      <c r="AP345" s="8" t="n">
        <f aca="false">AP339*(CEG_Assets!$AD$12+CEG_PPAAdj)/1000000*(1+CEG_RevAdj)</f>
        <v>0</v>
      </c>
      <c r="AQ345" s="8" t="n">
        <f aca="false">AQ339*(CEG_Assets!$AD$12+CEG_PPAAdj)/1000000*(1+CEG_RevAdj)</f>
        <v>0</v>
      </c>
      <c r="AR345" s="8" t="n">
        <f aca="false">AR339*(CEG_Assets!$AD$12+CEG_PPAAdj)/1000000*(1+CEG_RevAdj)</f>
        <v>0</v>
      </c>
      <c r="AS345" s="8" t="n">
        <f aca="false">AS339*(CEG_Assets!$AD$12+CEG_PPAAdj)/1000000*(1+CEG_RevAdj)</f>
        <v>0</v>
      </c>
    </row>
    <row r="346" customFormat="false" ht="15" hidden="false" customHeight="false" outlineLevel="0" collapsed="false">
      <c r="A346" s="6" t="s">
        <v>445</v>
      </c>
      <c r="B346" s="6" t="s">
        <v>446</v>
      </c>
      <c r="C346" s="9" t="n">
        <f aca="false">SUM(G346:AS346)</f>
        <v>0</v>
      </c>
      <c r="G346" s="8" t="n">
        <f aca="false">IF(G$3&lt;=CEG_Assets!$V$12,G338*CEG_Assets!$U$12,0)/1000000*(1+CEG_RevAdj)</f>
        <v>0</v>
      </c>
      <c r="H346" s="8" t="n">
        <f aca="false">IF(H$3&lt;=CEG_Assets!$V$12,H338*CEG_Assets!$U$12,0)/1000000*(1+CEG_RevAdj)</f>
        <v>0</v>
      </c>
      <c r="I346" s="8" t="n">
        <f aca="false">IF(I$3&lt;=CEG_Assets!$V$12,I338*CEG_Assets!$U$12,0)/1000000*(1+CEG_RevAdj)</f>
        <v>0</v>
      </c>
      <c r="J346" s="8" t="n">
        <f aca="false">IF(J$3&lt;=CEG_Assets!$V$12,J338*CEG_Assets!$U$12,0)/1000000*(1+CEG_RevAdj)</f>
        <v>0</v>
      </c>
      <c r="K346" s="8" t="n">
        <f aca="false">IF(K$3&lt;=CEG_Assets!$V$12,K338*CEG_Assets!$U$12,0)/1000000*(1+CEG_RevAdj)</f>
        <v>0</v>
      </c>
      <c r="L346" s="8" t="n">
        <f aca="false">IF(L$3&lt;=CEG_Assets!$V$12,L338*CEG_Assets!$U$12,0)/1000000*(1+CEG_RevAdj)</f>
        <v>0</v>
      </c>
      <c r="M346" s="8" t="n">
        <f aca="false">IF(M$3&lt;=CEG_Assets!$V$12,M338*CEG_Assets!$U$12,0)/1000000*(1+CEG_RevAdj)</f>
        <v>0</v>
      </c>
      <c r="N346" s="8" t="n">
        <f aca="false">IF(N$3&lt;=CEG_Assets!$V$12,N338*CEG_Assets!$U$12,0)/1000000*(1+CEG_RevAdj)</f>
        <v>0</v>
      </c>
      <c r="O346" s="8" t="n">
        <f aca="false">IF(O$3&lt;=CEG_Assets!$V$12,O338*CEG_Assets!$U$12,0)/1000000*(1+CEG_RevAdj)</f>
        <v>0</v>
      </c>
      <c r="P346" s="8" t="n">
        <f aca="false">IF(P$3&lt;=CEG_Assets!$V$12,P338*CEG_Assets!$U$12,0)/1000000*(1+CEG_RevAdj)</f>
        <v>0</v>
      </c>
      <c r="Q346" s="8" t="n">
        <f aca="false">IF(Q$3&lt;=CEG_Assets!$V$12,Q338*CEG_Assets!$U$12,0)/1000000*(1+CEG_RevAdj)</f>
        <v>0</v>
      </c>
      <c r="R346" s="8" t="n">
        <f aca="false">IF(R$3&lt;=CEG_Assets!$V$12,R338*CEG_Assets!$U$12,0)/1000000*(1+CEG_RevAdj)</f>
        <v>0</v>
      </c>
      <c r="S346" s="8" t="n">
        <f aca="false">IF(S$3&lt;=CEG_Assets!$V$12,S338*CEG_Assets!$U$12,0)/1000000*(1+CEG_RevAdj)</f>
        <v>0</v>
      </c>
      <c r="T346" s="8" t="n">
        <f aca="false">IF(T$3&lt;=CEG_Assets!$V$12,T338*CEG_Assets!$U$12,0)/1000000*(1+CEG_RevAdj)</f>
        <v>0</v>
      </c>
      <c r="U346" s="8" t="n">
        <f aca="false">IF(U$3&lt;=CEG_Assets!$V$12,U338*CEG_Assets!$U$12,0)/1000000*(1+CEG_RevAdj)</f>
        <v>0</v>
      </c>
      <c r="V346" s="8" t="n">
        <f aca="false">IF(V$3&lt;=CEG_Assets!$V$12,V338*CEG_Assets!$U$12,0)/1000000*(1+CEG_RevAdj)</f>
        <v>0</v>
      </c>
      <c r="W346" s="8" t="n">
        <f aca="false">IF(W$3&lt;=CEG_Assets!$V$12,W338*CEG_Assets!$U$12,0)/1000000*(1+CEG_RevAdj)</f>
        <v>0</v>
      </c>
      <c r="X346" s="8" t="n">
        <f aca="false">IF(X$3&lt;=CEG_Assets!$V$12,X338*CEG_Assets!$U$12,0)/1000000*(1+CEG_RevAdj)</f>
        <v>0</v>
      </c>
      <c r="Y346" s="8" t="n">
        <f aca="false">IF(Y$3&lt;=CEG_Assets!$V$12,Y338*CEG_Assets!$U$12,0)/1000000*(1+CEG_RevAdj)</f>
        <v>0</v>
      </c>
      <c r="Z346" s="8" t="n">
        <f aca="false">IF(Z$3&lt;=CEG_Assets!$V$12,Z338*CEG_Assets!$U$12,0)/1000000*(1+CEG_RevAdj)</f>
        <v>0</v>
      </c>
      <c r="AA346" s="8" t="n">
        <f aca="false">IF(AA$3&lt;=CEG_Assets!$V$12,AA338*CEG_Assets!$U$12,0)/1000000*(1+CEG_RevAdj)</f>
        <v>0</v>
      </c>
      <c r="AB346" s="8" t="n">
        <f aca="false">IF(AB$3&lt;=CEG_Assets!$V$12,AB338*CEG_Assets!$U$12,0)/1000000*(1+CEG_RevAdj)</f>
        <v>0</v>
      </c>
      <c r="AC346" s="8" t="n">
        <f aca="false">IF(AC$3&lt;=CEG_Assets!$V$12,AC338*CEG_Assets!$U$12,0)/1000000*(1+CEG_RevAdj)</f>
        <v>0</v>
      </c>
      <c r="AD346" s="8" t="n">
        <f aca="false">IF(AD$3&lt;=CEG_Assets!$V$12,AD338*CEG_Assets!$U$12,0)/1000000*(1+CEG_RevAdj)</f>
        <v>0</v>
      </c>
      <c r="AE346" s="8" t="n">
        <f aca="false">IF(AE$3&lt;=CEG_Assets!$V$12,AE338*CEG_Assets!$U$12,0)/1000000*(1+CEG_RevAdj)</f>
        <v>0</v>
      </c>
      <c r="AF346" s="8" t="n">
        <f aca="false">IF(AF$3&lt;=CEG_Assets!$V$12,AF338*CEG_Assets!$U$12,0)/1000000*(1+CEG_RevAdj)</f>
        <v>0</v>
      </c>
      <c r="AG346" s="8" t="n">
        <f aca="false">IF(AG$3&lt;=CEG_Assets!$V$12,AG338*CEG_Assets!$U$12,0)/1000000*(1+CEG_RevAdj)</f>
        <v>0</v>
      </c>
      <c r="AH346" s="8" t="n">
        <f aca="false">IF(AH$3&lt;=CEG_Assets!$V$12,AH338*CEG_Assets!$U$12,0)/1000000*(1+CEG_RevAdj)</f>
        <v>0</v>
      </c>
      <c r="AI346" s="8" t="n">
        <f aca="false">IF(AI$3&lt;=CEG_Assets!$V$12,AI338*CEG_Assets!$U$12,0)/1000000*(1+CEG_RevAdj)</f>
        <v>0</v>
      </c>
      <c r="AJ346" s="8" t="n">
        <f aca="false">IF(AJ$3&lt;=CEG_Assets!$V$12,AJ338*CEG_Assets!$U$12,0)/1000000*(1+CEG_RevAdj)</f>
        <v>0</v>
      </c>
      <c r="AK346" s="8" t="n">
        <f aca="false">IF(AK$3&lt;=CEG_Assets!$V$12,AK338*CEG_Assets!$U$12,0)/1000000*(1+CEG_RevAdj)</f>
        <v>0</v>
      </c>
      <c r="AL346" s="8" t="n">
        <f aca="false">IF(AL$3&lt;=CEG_Assets!$V$12,AL338*CEG_Assets!$U$12,0)/1000000*(1+CEG_RevAdj)</f>
        <v>0</v>
      </c>
      <c r="AM346" s="8" t="n">
        <f aca="false">IF(AM$3&lt;=CEG_Assets!$V$12,AM338*CEG_Assets!$U$12,0)/1000000*(1+CEG_RevAdj)</f>
        <v>0</v>
      </c>
      <c r="AN346" s="8" t="n">
        <f aca="false">IF(AN$3&lt;=CEG_Assets!$V$12,AN338*CEG_Assets!$U$12,0)/1000000*(1+CEG_RevAdj)</f>
        <v>0</v>
      </c>
      <c r="AO346" s="8" t="n">
        <f aca="false">IF(AO$3&lt;=CEG_Assets!$V$12,AO338*CEG_Assets!$U$12,0)/1000000*(1+CEG_RevAdj)</f>
        <v>0</v>
      </c>
      <c r="AP346" s="8" t="n">
        <f aca="false">IF(AP$3&lt;=CEG_Assets!$V$12,AP338*CEG_Assets!$U$12,0)/1000000*(1+CEG_RevAdj)</f>
        <v>0</v>
      </c>
      <c r="AQ346" s="8" t="n">
        <f aca="false">IF(AQ$3&lt;=CEG_Assets!$V$12,AQ338*CEG_Assets!$U$12,0)/1000000*(1+CEG_RevAdj)</f>
        <v>0</v>
      </c>
      <c r="AR346" s="8" t="n">
        <f aca="false">IF(AR$3&lt;=CEG_Assets!$V$12,AR338*CEG_Assets!$U$12,0)/1000000*(1+CEG_RevAdj)</f>
        <v>0</v>
      </c>
      <c r="AS346" s="8" t="n">
        <f aca="false">IF(AS$3&lt;=CEG_Assets!$V$12,AS338*CEG_Assets!$U$12,0)/1000000*(1+CEG_RevAdj)</f>
        <v>0</v>
      </c>
    </row>
    <row r="347" customFormat="false" ht="15" hidden="false" customHeight="false" outlineLevel="0" collapsed="false">
      <c r="A347" s="6" t="s">
        <v>447</v>
      </c>
      <c r="B347" s="6" t="s">
        <v>448</v>
      </c>
      <c r="C347" s="9" t="n">
        <f aca="false">SUM(G347:AS347)</f>
        <v>4780.16158274853</v>
      </c>
      <c r="G347" s="8" t="n">
        <f aca="false">G343+G344+G345+G346</f>
        <v>431.81765628</v>
      </c>
      <c r="H347" s="8" t="n">
        <f aca="false">H343+H344+H345+H346</f>
        <v>433.43486616</v>
      </c>
      <c r="I347" s="8" t="n">
        <f aca="false">I343+I344+I345+I346</f>
        <v>384.245200923893</v>
      </c>
      <c r="J347" s="8" t="n">
        <f aca="false">J343+J344+J345+J346</f>
        <v>361.94754975212</v>
      </c>
      <c r="K347" s="8" t="n">
        <f aca="false">K343+K344+K345+K346</f>
        <v>369.186500747162</v>
      </c>
      <c r="L347" s="8" t="n">
        <f aca="false">L343+L344+L345+L346</f>
        <v>376.570230762105</v>
      </c>
      <c r="M347" s="8" t="n">
        <f aca="false">M343+M344+M345+M346</f>
        <v>384.101635377347</v>
      </c>
      <c r="N347" s="8" t="n">
        <f aca="false">N343+N344+N345+N346</f>
        <v>391.783668084894</v>
      </c>
      <c r="O347" s="8" t="n">
        <f aca="false">O343+O344+O345+O346</f>
        <v>399.619341446592</v>
      </c>
      <c r="P347" s="8" t="n">
        <f aca="false">P343+P344+P345+P346</f>
        <v>407.611728275524</v>
      </c>
      <c r="Q347" s="8" t="n">
        <f aca="false">Q343+Q344+Q345+Q346</f>
        <v>415.763962841035</v>
      </c>
      <c r="R347" s="8" t="n">
        <f aca="false">R343+R344+R345+R346</f>
        <v>424.079242097855</v>
      </c>
      <c r="S347" s="8" t="n">
        <f aca="false">S343+S344+S345+S346</f>
        <v>0</v>
      </c>
      <c r="T347" s="8" t="n">
        <f aca="false">T343+T344+T345+T346</f>
        <v>0</v>
      </c>
      <c r="U347" s="8" t="n">
        <f aca="false">U343+U344+U345+U346</f>
        <v>0</v>
      </c>
      <c r="V347" s="8" t="n">
        <f aca="false">V343+V344+V345+V346</f>
        <v>0</v>
      </c>
      <c r="W347" s="8" t="n">
        <f aca="false">W343+W344+W345+W346</f>
        <v>0</v>
      </c>
      <c r="X347" s="8" t="n">
        <f aca="false">X343+X344+X345+X346</f>
        <v>0</v>
      </c>
      <c r="Y347" s="8" t="n">
        <f aca="false">Y343+Y344+Y345+Y346</f>
        <v>0</v>
      </c>
      <c r="Z347" s="8" t="n">
        <f aca="false">Z343+Z344+Z345+Z346</f>
        <v>0</v>
      </c>
      <c r="AA347" s="8" t="n">
        <f aca="false">AA343+AA344+AA345+AA346</f>
        <v>0</v>
      </c>
      <c r="AB347" s="8" t="n">
        <f aca="false">AB343+AB344+AB345+AB346</f>
        <v>0</v>
      </c>
      <c r="AC347" s="8" t="n">
        <f aca="false">AC343+AC344+AC345+AC346</f>
        <v>0</v>
      </c>
      <c r="AD347" s="8" t="n">
        <f aca="false">AD343+AD344+AD345+AD346</f>
        <v>0</v>
      </c>
      <c r="AE347" s="8" t="n">
        <f aca="false">AE343+AE344+AE345+AE346</f>
        <v>0</v>
      </c>
      <c r="AF347" s="8" t="n">
        <f aca="false">AF343+AF344+AF345+AF346</f>
        <v>0</v>
      </c>
      <c r="AG347" s="8" t="n">
        <f aca="false">AG343+AG344+AG345+AG346</f>
        <v>0</v>
      </c>
      <c r="AH347" s="8" t="n">
        <f aca="false">AH343+AH344+AH345+AH346</f>
        <v>0</v>
      </c>
      <c r="AI347" s="8" t="n">
        <f aca="false">AI343+AI344+AI345+AI346</f>
        <v>0</v>
      </c>
      <c r="AJ347" s="8" t="n">
        <f aca="false">AJ343+AJ344+AJ345+AJ346</f>
        <v>0</v>
      </c>
      <c r="AK347" s="8" t="n">
        <f aca="false">AK343+AK344+AK345+AK346</f>
        <v>0</v>
      </c>
      <c r="AL347" s="8" t="n">
        <f aca="false">AL343+AL344+AL345+AL346</f>
        <v>0</v>
      </c>
      <c r="AM347" s="8" t="n">
        <f aca="false">AM343+AM344+AM345+AM346</f>
        <v>0</v>
      </c>
      <c r="AN347" s="8" t="n">
        <f aca="false">AN343+AN344+AN345+AN346</f>
        <v>0</v>
      </c>
      <c r="AO347" s="8" t="n">
        <f aca="false">AO343+AO344+AO345+AO346</f>
        <v>0</v>
      </c>
      <c r="AP347" s="8" t="n">
        <f aca="false">AP343+AP344+AP345+AP346</f>
        <v>0</v>
      </c>
      <c r="AQ347" s="8" t="n">
        <f aca="false">AQ343+AQ344+AQ345+AQ346</f>
        <v>0</v>
      </c>
      <c r="AR347" s="8" t="n">
        <f aca="false">AR343+AR344+AR345+AR346</f>
        <v>0</v>
      </c>
      <c r="AS347" s="8" t="n">
        <f aca="false">AS343+AS344+AS345+AS346</f>
        <v>0</v>
      </c>
    </row>
    <row r="348" customFormat="false" ht="15" hidden="false" customHeight="false" outlineLevel="0" collapsed="false">
      <c r="A348" s="6" t="s">
        <v>449</v>
      </c>
      <c r="B348" s="6" t="s">
        <v>450</v>
      </c>
      <c r="C348" s="9" t="n">
        <f aca="false">SUM(G348:AS348)</f>
        <v>859.898749155343</v>
      </c>
      <c r="G348" s="8" t="n">
        <f aca="false">((CEG_Assets!$K$12*G340+CEG_Assets!$M$12*G$4)*G338*G342+CEG_Assets!$N$12*(1+CEG_Assets!$Q$12)^(G$3-2026)*(G338+G339))/1000000*(1+CEG_FuelAdj)</f>
        <v>62.8791557832</v>
      </c>
      <c r="H348" s="8" t="n">
        <f aca="false">((CEG_Assets!$K$12*H340+CEG_Assets!$M$12*H$4)*H338*H342+CEG_Assets!$N$12*(1+CEG_Assets!$Q$12)^(H$3-2026)*(H338+H339))/1000000*(1+CEG_FuelAdj)</f>
        <v>64.136738898864</v>
      </c>
      <c r="I348" s="8" t="n">
        <f aca="false">((CEG_Assets!$K$12*I340+CEG_Assets!$M$12*I$4)*I338*I342+CEG_Assets!$N$12*(1+CEG_Assets!$Q$12)^(I$3-2026)*(I338+I339))/1000000*(1+CEG_FuelAdj)</f>
        <v>66.9316464310666</v>
      </c>
      <c r="J348" s="8" t="n">
        <f aca="false">((CEG_Assets!$K$12*J340+CEG_Assets!$M$12*J$4)*J338*J342+CEG_Assets!$N$12*(1+CEG_Assets!$Q$12)^(J$3-2026)*(J338+J339))/1000000*(1+CEG_FuelAdj)</f>
        <v>68.2702793596879</v>
      </c>
      <c r="K348" s="8" t="n">
        <f aca="false">((CEG_Assets!$K$12*K340+CEG_Assets!$M$12*K$4)*K338*K342+CEG_Assets!$N$12*(1+CEG_Assets!$Q$12)^(K$3-2026)*(K338+K339))/1000000*(1+CEG_FuelAdj)</f>
        <v>69.6356849468817</v>
      </c>
      <c r="L348" s="8" t="n">
        <f aca="false">((CEG_Assets!$K$12*L340+CEG_Assets!$M$12*L$4)*L338*L342+CEG_Assets!$N$12*(1+CEG_Assets!$Q$12)^(L$3-2026)*(L338+L339))/1000000*(1+CEG_FuelAdj)</f>
        <v>71.0283986458193</v>
      </c>
      <c r="M348" s="8" t="n">
        <f aca="false">((CEG_Assets!$K$12*M340+CEG_Assets!$M$12*M$4)*M338*M342+CEG_Assets!$N$12*(1+CEG_Assets!$Q$12)^(M$3-2026)*(M338+M339))/1000000*(1+CEG_FuelAdj)</f>
        <v>72.4489666187357</v>
      </c>
      <c r="N348" s="8" t="n">
        <f aca="false">((CEG_Assets!$K$12*N340+CEG_Assets!$M$12*N$4)*N338*N342+CEG_Assets!$N$12*(1+CEG_Assets!$Q$12)^(N$3-2026)*(N338+N339))/1000000*(1+CEG_FuelAdj)</f>
        <v>73.8979459511104</v>
      </c>
      <c r="O348" s="8" t="n">
        <f aca="false">((CEG_Assets!$K$12*O340+CEG_Assets!$M$12*O$4)*O338*O342+CEG_Assets!$N$12*(1+CEG_Assets!$Q$12)^(O$3-2026)*(O338+O339))/1000000*(1+CEG_FuelAdj)</f>
        <v>75.3759048701326</v>
      </c>
      <c r="P348" s="8" t="n">
        <f aca="false">((CEG_Assets!$K$12*P340+CEG_Assets!$M$12*P$4)*P338*P342+CEG_Assets!$N$12*(1+CEG_Assets!$Q$12)^(P$3-2026)*(P338+P339))/1000000*(1+CEG_FuelAdj)</f>
        <v>76.8834229675353</v>
      </c>
      <c r="Q348" s="8" t="n">
        <f aca="false">((CEG_Assets!$K$12*Q340+CEG_Assets!$M$12*Q$4)*Q338*Q342+CEG_Assets!$N$12*(1+CEG_Assets!$Q$12)^(Q$3-2026)*(Q338+Q339))/1000000*(1+CEG_FuelAdj)</f>
        <v>78.421091426886</v>
      </c>
      <c r="R348" s="8" t="n">
        <f aca="false">((CEG_Assets!$K$12*R340+CEG_Assets!$M$12*R$4)*R338*R342+CEG_Assets!$N$12*(1+CEG_Assets!$Q$12)^(R$3-2026)*(R338+R339))/1000000*(1+CEG_FuelAdj)</f>
        <v>79.9895132554237</v>
      </c>
      <c r="S348" s="8" t="n">
        <f aca="false">((CEG_Assets!$K$12*S340+CEG_Assets!$M$12*S$4)*S338*S342+CEG_Assets!$N$12*(1+CEG_Assets!$Q$12)^(S$3-2026)*(S338+S339))/1000000*(1+CEG_FuelAdj)</f>
        <v>0</v>
      </c>
      <c r="T348" s="8" t="n">
        <f aca="false">((CEG_Assets!$K$12*T340+CEG_Assets!$M$12*T$4)*T338*T342+CEG_Assets!$N$12*(1+CEG_Assets!$Q$12)^(T$3-2026)*(T338+T339))/1000000*(1+CEG_FuelAdj)</f>
        <v>0</v>
      </c>
      <c r="U348" s="8" t="n">
        <f aca="false">((CEG_Assets!$K$12*U340+CEG_Assets!$M$12*U$4)*U338*U342+CEG_Assets!$N$12*(1+CEG_Assets!$Q$12)^(U$3-2026)*(U338+U339))/1000000*(1+CEG_FuelAdj)</f>
        <v>0</v>
      </c>
      <c r="V348" s="8" t="n">
        <f aca="false">((CEG_Assets!$K$12*V340+CEG_Assets!$M$12*V$4)*V338*V342+CEG_Assets!$N$12*(1+CEG_Assets!$Q$12)^(V$3-2026)*(V338+V339))/1000000*(1+CEG_FuelAdj)</f>
        <v>0</v>
      </c>
      <c r="W348" s="8" t="n">
        <f aca="false">((CEG_Assets!$K$12*W340+CEG_Assets!$M$12*W$4)*W338*W342+CEG_Assets!$N$12*(1+CEG_Assets!$Q$12)^(W$3-2026)*(W338+W339))/1000000*(1+CEG_FuelAdj)</f>
        <v>0</v>
      </c>
      <c r="X348" s="8" t="n">
        <f aca="false">((CEG_Assets!$K$12*X340+CEG_Assets!$M$12*X$4)*X338*X342+CEG_Assets!$N$12*(1+CEG_Assets!$Q$12)^(X$3-2026)*(X338+X339))/1000000*(1+CEG_FuelAdj)</f>
        <v>0</v>
      </c>
      <c r="Y348" s="8" t="n">
        <f aca="false">((CEG_Assets!$K$12*Y340+CEG_Assets!$M$12*Y$4)*Y338*Y342+CEG_Assets!$N$12*(1+CEG_Assets!$Q$12)^(Y$3-2026)*(Y338+Y339))/1000000*(1+CEG_FuelAdj)</f>
        <v>0</v>
      </c>
      <c r="Z348" s="8" t="n">
        <f aca="false">((CEG_Assets!$K$12*Z340+CEG_Assets!$M$12*Z$4)*Z338*Z342+CEG_Assets!$N$12*(1+CEG_Assets!$Q$12)^(Z$3-2026)*(Z338+Z339))/1000000*(1+CEG_FuelAdj)</f>
        <v>0</v>
      </c>
      <c r="AA348" s="8" t="n">
        <f aca="false">((CEG_Assets!$K$12*AA340+CEG_Assets!$M$12*AA$4)*AA338*AA342+CEG_Assets!$N$12*(1+CEG_Assets!$Q$12)^(AA$3-2026)*(AA338+AA339))/1000000*(1+CEG_FuelAdj)</f>
        <v>0</v>
      </c>
      <c r="AB348" s="8" t="n">
        <f aca="false">((CEG_Assets!$K$12*AB340+CEG_Assets!$M$12*AB$4)*AB338*AB342+CEG_Assets!$N$12*(1+CEG_Assets!$Q$12)^(AB$3-2026)*(AB338+AB339))/1000000*(1+CEG_FuelAdj)</f>
        <v>0</v>
      </c>
      <c r="AC348" s="8" t="n">
        <f aca="false">((CEG_Assets!$K$12*AC340+CEG_Assets!$M$12*AC$4)*AC338*AC342+CEG_Assets!$N$12*(1+CEG_Assets!$Q$12)^(AC$3-2026)*(AC338+AC339))/1000000*(1+CEG_FuelAdj)</f>
        <v>0</v>
      </c>
      <c r="AD348" s="8" t="n">
        <f aca="false">((CEG_Assets!$K$12*AD340+CEG_Assets!$M$12*AD$4)*AD338*AD342+CEG_Assets!$N$12*(1+CEG_Assets!$Q$12)^(AD$3-2026)*(AD338+AD339))/1000000*(1+CEG_FuelAdj)</f>
        <v>0</v>
      </c>
      <c r="AE348" s="8" t="n">
        <f aca="false">((CEG_Assets!$K$12*AE340+CEG_Assets!$M$12*AE$4)*AE338*AE342+CEG_Assets!$N$12*(1+CEG_Assets!$Q$12)^(AE$3-2026)*(AE338+AE339))/1000000*(1+CEG_FuelAdj)</f>
        <v>0</v>
      </c>
      <c r="AF348" s="8" t="n">
        <f aca="false">((CEG_Assets!$K$12*AF340+CEG_Assets!$M$12*AF$4)*AF338*AF342+CEG_Assets!$N$12*(1+CEG_Assets!$Q$12)^(AF$3-2026)*(AF338+AF339))/1000000*(1+CEG_FuelAdj)</f>
        <v>0</v>
      </c>
      <c r="AG348" s="8" t="n">
        <f aca="false">((CEG_Assets!$K$12*AG340+CEG_Assets!$M$12*AG$4)*AG338*AG342+CEG_Assets!$N$12*(1+CEG_Assets!$Q$12)^(AG$3-2026)*(AG338+AG339))/1000000*(1+CEG_FuelAdj)</f>
        <v>0</v>
      </c>
      <c r="AH348" s="8" t="n">
        <f aca="false">((CEG_Assets!$K$12*AH340+CEG_Assets!$M$12*AH$4)*AH338*AH342+CEG_Assets!$N$12*(1+CEG_Assets!$Q$12)^(AH$3-2026)*(AH338+AH339))/1000000*(1+CEG_FuelAdj)</f>
        <v>0</v>
      </c>
      <c r="AI348" s="8" t="n">
        <f aca="false">((CEG_Assets!$K$12*AI340+CEG_Assets!$M$12*AI$4)*AI338*AI342+CEG_Assets!$N$12*(1+CEG_Assets!$Q$12)^(AI$3-2026)*(AI338+AI339))/1000000*(1+CEG_FuelAdj)</f>
        <v>0</v>
      </c>
      <c r="AJ348" s="8" t="n">
        <f aca="false">((CEG_Assets!$K$12*AJ340+CEG_Assets!$M$12*AJ$4)*AJ338*AJ342+CEG_Assets!$N$12*(1+CEG_Assets!$Q$12)^(AJ$3-2026)*(AJ338+AJ339))/1000000*(1+CEG_FuelAdj)</f>
        <v>0</v>
      </c>
      <c r="AK348" s="8" t="n">
        <f aca="false">((CEG_Assets!$K$12*AK340+CEG_Assets!$M$12*AK$4)*AK338*AK342+CEG_Assets!$N$12*(1+CEG_Assets!$Q$12)^(AK$3-2026)*(AK338+AK339))/1000000*(1+CEG_FuelAdj)</f>
        <v>0</v>
      </c>
      <c r="AL348" s="8" t="n">
        <f aca="false">((CEG_Assets!$K$12*AL340+CEG_Assets!$M$12*AL$4)*AL338*AL342+CEG_Assets!$N$12*(1+CEG_Assets!$Q$12)^(AL$3-2026)*(AL338+AL339))/1000000*(1+CEG_FuelAdj)</f>
        <v>0</v>
      </c>
      <c r="AM348" s="8" t="n">
        <f aca="false">((CEG_Assets!$K$12*AM340+CEG_Assets!$M$12*AM$4)*AM338*AM342+CEG_Assets!$N$12*(1+CEG_Assets!$Q$12)^(AM$3-2026)*(AM338+AM339))/1000000*(1+CEG_FuelAdj)</f>
        <v>0</v>
      </c>
      <c r="AN348" s="8" t="n">
        <f aca="false">((CEG_Assets!$K$12*AN340+CEG_Assets!$M$12*AN$4)*AN338*AN342+CEG_Assets!$N$12*(1+CEG_Assets!$Q$12)^(AN$3-2026)*(AN338+AN339))/1000000*(1+CEG_FuelAdj)</f>
        <v>0</v>
      </c>
      <c r="AO348" s="8" t="n">
        <f aca="false">((CEG_Assets!$K$12*AO340+CEG_Assets!$M$12*AO$4)*AO338*AO342+CEG_Assets!$N$12*(1+CEG_Assets!$Q$12)^(AO$3-2026)*(AO338+AO339))/1000000*(1+CEG_FuelAdj)</f>
        <v>0</v>
      </c>
      <c r="AP348" s="8" t="n">
        <f aca="false">((CEG_Assets!$K$12*AP340+CEG_Assets!$M$12*AP$4)*AP338*AP342+CEG_Assets!$N$12*(1+CEG_Assets!$Q$12)^(AP$3-2026)*(AP338+AP339))/1000000*(1+CEG_FuelAdj)</f>
        <v>0</v>
      </c>
      <c r="AQ348" s="8" t="n">
        <f aca="false">((CEG_Assets!$K$12*AQ340+CEG_Assets!$M$12*AQ$4)*AQ338*AQ342+CEG_Assets!$N$12*(1+CEG_Assets!$Q$12)^(AQ$3-2026)*(AQ338+AQ339))/1000000*(1+CEG_FuelAdj)</f>
        <v>0</v>
      </c>
      <c r="AR348" s="8" t="n">
        <f aca="false">((CEG_Assets!$K$12*AR340+CEG_Assets!$M$12*AR$4)*AR338*AR342+CEG_Assets!$N$12*(1+CEG_Assets!$Q$12)^(AR$3-2026)*(AR338+AR339))/1000000*(1+CEG_FuelAdj)</f>
        <v>0</v>
      </c>
      <c r="AS348" s="8" t="n">
        <f aca="false">((CEG_Assets!$K$12*AS340+CEG_Assets!$M$12*AS$4)*AS338*AS342+CEG_Assets!$N$12*(1+CEG_Assets!$Q$12)^(AS$3-2026)*(AS338+AS339))/1000000*(1+CEG_FuelAdj)</f>
        <v>0</v>
      </c>
    </row>
    <row r="349" customFormat="false" ht="15" hidden="false" customHeight="false" outlineLevel="0" collapsed="false">
      <c r="A349" s="6" t="s">
        <v>451</v>
      </c>
      <c r="B349" s="6" t="s">
        <v>452</v>
      </c>
      <c r="C349" s="9" t="n">
        <f aca="false">SUM(G349:AS349)</f>
        <v>3920.26283359319</v>
      </c>
      <c r="G349" s="8" t="n">
        <f aca="false">G347-G348</f>
        <v>368.9385004968</v>
      </c>
      <c r="H349" s="8" t="n">
        <f aca="false">H347-H348</f>
        <v>369.298127261136</v>
      </c>
      <c r="I349" s="8" t="n">
        <f aca="false">I347-I348</f>
        <v>317.313554492827</v>
      </c>
      <c r="J349" s="8" t="n">
        <f aca="false">J347-J348</f>
        <v>293.677270392432</v>
      </c>
      <c r="K349" s="8" t="n">
        <f aca="false">K347-K348</f>
        <v>299.55081580028</v>
      </c>
      <c r="L349" s="8" t="n">
        <f aca="false">L347-L348</f>
        <v>305.541832116286</v>
      </c>
      <c r="M349" s="8" t="n">
        <f aca="false">M347-M348</f>
        <v>311.652668758612</v>
      </c>
      <c r="N349" s="8" t="n">
        <f aca="false">N347-N348</f>
        <v>317.885722133784</v>
      </c>
      <c r="O349" s="8" t="n">
        <f aca="false">O347-O348</f>
        <v>324.24343657646</v>
      </c>
      <c r="P349" s="8" t="n">
        <f aca="false">P347-P348</f>
        <v>330.728305307989</v>
      </c>
      <c r="Q349" s="8" t="n">
        <f aca="false">Q347-Q348</f>
        <v>337.342871414149</v>
      </c>
      <c r="R349" s="8" t="n">
        <f aca="false">R347-R348</f>
        <v>344.089728842432</v>
      </c>
      <c r="S349" s="8" t="n">
        <f aca="false">S347-S348</f>
        <v>0</v>
      </c>
      <c r="T349" s="8" t="n">
        <f aca="false">T347-T348</f>
        <v>0</v>
      </c>
      <c r="U349" s="8" t="n">
        <f aca="false">U347-U348</f>
        <v>0</v>
      </c>
      <c r="V349" s="8" t="n">
        <f aca="false">V347-V348</f>
        <v>0</v>
      </c>
      <c r="W349" s="8" t="n">
        <f aca="false">W347-W348</f>
        <v>0</v>
      </c>
      <c r="X349" s="8" t="n">
        <f aca="false">X347-X348</f>
        <v>0</v>
      </c>
      <c r="Y349" s="8" t="n">
        <f aca="false">Y347-Y348</f>
        <v>0</v>
      </c>
      <c r="Z349" s="8" t="n">
        <f aca="false">Z347-Z348</f>
        <v>0</v>
      </c>
      <c r="AA349" s="8" t="n">
        <f aca="false">AA347-AA348</f>
        <v>0</v>
      </c>
      <c r="AB349" s="8" t="n">
        <f aca="false">AB347-AB348</f>
        <v>0</v>
      </c>
      <c r="AC349" s="8" t="n">
        <f aca="false">AC347-AC348</f>
        <v>0</v>
      </c>
      <c r="AD349" s="8" t="n">
        <f aca="false">AD347-AD348</f>
        <v>0</v>
      </c>
      <c r="AE349" s="8" t="n">
        <f aca="false">AE347-AE348</f>
        <v>0</v>
      </c>
      <c r="AF349" s="8" t="n">
        <f aca="false">AF347-AF348</f>
        <v>0</v>
      </c>
      <c r="AG349" s="8" t="n">
        <f aca="false">AG347-AG348</f>
        <v>0</v>
      </c>
      <c r="AH349" s="8" t="n">
        <f aca="false">AH347-AH348</f>
        <v>0</v>
      </c>
      <c r="AI349" s="8" t="n">
        <f aca="false">AI347-AI348</f>
        <v>0</v>
      </c>
      <c r="AJ349" s="8" t="n">
        <f aca="false">AJ347-AJ348</f>
        <v>0</v>
      </c>
      <c r="AK349" s="8" t="n">
        <f aca="false">AK347-AK348</f>
        <v>0</v>
      </c>
      <c r="AL349" s="8" t="n">
        <f aca="false">AL347-AL348</f>
        <v>0</v>
      </c>
      <c r="AM349" s="8" t="n">
        <f aca="false">AM347-AM348</f>
        <v>0</v>
      </c>
      <c r="AN349" s="8" t="n">
        <f aca="false">AN347-AN348</f>
        <v>0</v>
      </c>
      <c r="AO349" s="8" t="n">
        <f aca="false">AO347-AO348</f>
        <v>0</v>
      </c>
      <c r="AP349" s="8" t="n">
        <f aca="false">AP347-AP348</f>
        <v>0</v>
      </c>
      <c r="AQ349" s="8" t="n">
        <f aca="false">AQ347-AQ348</f>
        <v>0</v>
      </c>
      <c r="AR349" s="8" t="n">
        <f aca="false">AR347-AR348</f>
        <v>0</v>
      </c>
      <c r="AS349" s="8" t="n">
        <f aca="false">AS347-AS348</f>
        <v>0</v>
      </c>
    </row>
    <row r="350" customFormat="false" ht="15" hidden="false" customHeight="false" outlineLevel="0" collapsed="false">
      <c r="A350" s="6" t="s">
        <v>453</v>
      </c>
      <c r="B350" s="6" t="s">
        <v>454</v>
      </c>
      <c r="C350" s="9" t="n">
        <f aca="false">SUM(G350:AS350)</f>
        <v>635.807087848532</v>
      </c>
      <c r="G350" s="8" t="n">
        <f aca="false">(CEG_Assets!$R$12*CEG_Assets!$D$12*1000*G$4*G336+CEG_Assets!$O$12*(1+CEG_Assets!$Q$12)^(G$3-2026)*(G338+G339))/1000000*(1+CEG_OMAdj)</f>
        <v>47.40552</v>
      </c>
      <c r="H350" s="8" t="n">
        <f aca="false">(CEG_Assets!$R$12*CEG_Assets!$D$12*1000*H$4*H336+CEG_Assets!$O$12*(1+CEG_Assets!$Q$12)^(H$3-2026)*(H338+H339))/1000000*(1+CEG_OMAdj)</f>
        <v>48.3536304</v>
      </c>
      <c r="I350" s="8" t="n">
        <f aca="false">(CEG_Assets!$R$12*CEG_Assets!$D$12*1000*I$4*I336+CEG_Assets!$O$12*(1+CEG_Assets!$Q$12)^(I$3-2026)*(I338+I339))/1000000*(1+CEG_OMAdj)</f>
        <v>49.320703008</v>
      </c>
      <c r="J350" s="8" t="n">
        <f aca="false">(CEG_Assets!$R$12*CEG_Assets!$D$12*1000*J$4*J336+CEG_Assets!$O$12*(1+CEG_Assets!$Q$12)^(J$3-2026)*(J338+J339))/1000000*(1+CEG_OMAdj)</f>
        <v>50.30711706816</v>
      </c>
      <c r="K350" s="8" t="n">
        <f aca="false">(CEG_Assets!$R$12*CEG_Assets!$D$12*1000*K$4*K336+CEG_Assets!$O$12*(1+CEG_Assets!$Q$12)^(K$3-2026)*(K338+K339))/1000000*(1+CEG_OMAdj)</f>
        <v>51.3132594095232</v>
      </c>
      <c r="L350" s="8" t="n">
        <f aca="false">(CEG_Assets!$R$12*CEG_Assets!$D$12*1000*L$4*L336+CEG_Assets!$O$12*(1+CEG_Assets!$Q$12)^(L$3-2026)*(L338+L339))/1000000*(1+CEG_OMAdj)</f>
        <v>52.3395245977137</v>
      </c>
      <c r="M350" s="8" t="n">
        <f aca="false">(CEG_Assets!$R$12*CEG_Assets!$D$12*1000*M$4*M336+CEG_Assets!$O$12*(1+CEG_Assets!$Q$12)^(M$3-2026)*(M338+M339))/1000000*(1+CEG_OMAdj)</f>
        <v>53.3863150896679</v>
      </c>
      <c r="N350" s="8" t="n">
        <f aca="false">(CEG_Assets!$R$12*CEG_Assets!$D$12*1000*N$4*N336+CEG_Assets!$O$12*(1+CEG_Assets!$Q$12)^(N$3-2026)*(N338+N339))/1000000*(1+CEG_OMAdj)</f>
        <v>54.4540413914613</v>
      </c>
      <c r="O350" s="8" t="n">
        <f aca="false">(CEG_Assets!$R$12*CEG_Assets!$D$12*1000*O$4*O336+CEG_Assets!$O$12*(1+CEG_Assets!$Q$12)^(O$3-2026)*(O338+O339))/1000000*(1+CEG_OMAdj)</f>
        <v>55.5431222192905</v>
      </c>
      <c r="P350" s="8" t="n">
        <f aca="false">(CEG_Assets!$R$12*CEG_Assets!$D$12*1000*P$4*P336+CEG_Assets!$O$12*(1+CEG_Assets!$Q$12)^(P$3-2026)*(P338+P339))/1000000*(1+CEG_OMAdj)</f>
        <v>56.6539846636764</v>
      </c>
      <c r="Q350" s="8" t="n">
        <f aca="false">(CEG_Assets!$R$12*CEG_Assets!$D$12*1000*Q$4*Q336+CEG_Assets!$O$12*(1+CEG_Assets!$Q$12)^(Q$3-2026)*(Q338+Q339))/1000000*(1+CEG_OMAdj)</f>
        <v>57.7870643569499</v>
      </c>
      <c r="R350" s="8" t="n">
        <f aca="false">(CEG_Assets!$R$12*CEG_Assets!$D$12*1000*R$4*R336+CEG_Assets!$O$12*(1+CEG_Assets!$Q$12)^(R$3-2026)*(R338+R339))/1000000*(1+CEG_OMAdj)</f>
        <v>58.9428056440889</v>
      </c>
      <c r="S350" s="8" t="n">
        <f aca="false">(CEG_Assets!$R$12*CEG_Assets!$D$12*1000*S$4*S336+CEG_Assets!$O$12*(1+CEG_Assets!$Q$12)^(S$3-2026)*(S338+S339))/1000000*(1+CEG_OMAdj)</f>
        <v>0</v>
      </c>
      <c r="T350" s="8" t="n">
        <f aca="false">(CEG_Assets!$R$12*CEG_Assets!$D$12*1000*T$4*T336+CEG_Assets!$O$12*(1+CEG_Assets!$Q$12)^(T$3-2026)*(T338+T339))/1000000*(1+CEG_OMAdj)</f>
        <v>0</v>
      </c>
      <c r="U350" s="8" t="n">
        <f aca="false">(CEG_Assets!$R$12*CEG_Assets!$D$12*1000*U$4*U336+CEG_Assets!$O$12*(1+CEG_Assets!$Q$12)^(U$3-2026)*(U338+U339))/1000000*(1+CEG_OMAdj)</f>
        <v>0</v>
      </c>
      <c r="V350" s="8" t="n">
        <f aca="false">(CEG_Assets!$R$12*CEG_Assets!$D$12*1000*V$4*V336+CEG_Assets!$O$12*(1+CEG_Assets!$Q$12)^(V$3-2026)*(V338+V339))/1000000*(1+CEG_OMAdj)</f>
        <v>0</v>
      </c>
      <c r="W350" s="8" t="n">
        <f aca="false">(CEG_Assets!$R$12*CEG_Assets!$D$12*1000*W$4*W336+CEG_Assets!$O$12*(1+CEG_Assets!$Q$12)^(W$3-2026)*(W338+W339))/1000000*(1+CEG_OMAdj)</f>
        <v>0</v>
      </c>
      <c r="X350" s="8" t="n">
        <f aca="false">(CEG_Assets!$R$12*CEG_Assets!$D$12*1000*X$4*X336+CEG_Assets!$O$12*(1+CEG_Assets!$Q$12)^(X$3-2026)*(X338+X339))/1000000*(1+CEG_OMAdj)</f>
        <v>0</v>
      </c>
      <c r="Y350" s="8" t="n">
        <f aca="false">(CEG_Assets!$R$12*CEG_Assets!$D$12*1000*Y$4*Y336+CEG_Assets!$O$12*(1+CEG_Assets!$Q$12)^(Y$3-2026)*(Y338+Y339))/1000000*(1+CEG_OMAdj)</f>
        <v>0</v>
      </c>
      <c r="Z350" s="8" t="n">
        <f aca="false">(CEG_Assets!$R$12*CEG_Assets!$D$12*1000*Z$4*Z336+CEG_Assets!$O$12*(1+CEG_Assets!$Q$12)^(Z$3-2026)*(Z338+Z339))/1000000*(1+CEG_OMAdj)</f>
        <v>0</v>
      </c>
      <c r="AA350" s="8" t="n">
        <f aca="false">(CEG_Assets!$R$12*CEG_Assets!$D$12*1000*AA$4*AA336+CEG_Assets!$O$12*(1+CEG_Assets!$Q$12)^(AA$3-2026)*(AA338+AA339))/1000000*(1+CEG_OMAdj)</f>
        <v>0</v>
      </c>
      <c r="AB350" s="8" t="n">
        <f aca="false">(CEG_Assets!$R$12*CEG_Assets!$D$12*1000*AB$4*AB336+CEG_Assets!$O$12*(1+CEG_Assets!$Q$12)^(AB$3-2026)*(AB338+AB339))/1000000*(1+CEG_OMAdj)</f>
        <v>0</v>
      </c>
      <c r="AC350" s="8" t="n">
        <f aca="false">(CEG_Assets!$R$12*CEG_Assets!$D$12*1000*AC$4*AC336+CEG_Assets!$O$12*(1+CEG_Assets!$Q$12)^(AC$3-2026)*(AC338+AC339))/1000000*(1+CEG_OMAdj)</f>
        <v>0</v>
      </c>
      <c r="AD350" s="8" t="n">
        <f aca="false">(CEG_Assets!$R$12*CEG_Assets!$D$12*1000*AD$4*AD336+CEG_Assets!$O$12*(1+CEG_Assets!$Q$12)^(AD$3-2026)*(AD338+AD339))/1000000*(1+CEG_OMAdj)</f>
        <v>0</v>
      </c>
      <c r="AE350" s="8" t="n">
        <f aca="false">(CEG_Assets!$R$12*CEG_Assets!$D$12*1000*AE$4*AE336+CEG_Assets!$O$12*(1+CEG_Assets!$Q$12)^(AE$3-2026)*(AE338+AE339))/1000000*(1+CEG_OMAdj)</f>
        <v>0</v>
      </c>
      <c r="AF350" s="8" t="n">
        <f aca="false">(CEG_Assets!$R$12*CEG_Assets!$D$12*1000*AF$4*AF336+CEG_Assets!$O$12*(1+CEG_Assets!$Q$12)^(AF$3-2026)*(AF338+AF339))/1000000*(1+CEG_OMAdj)</f>
        <v>0</v>
      </c>
      <c r="AG350" s="8" t="n">
        <f aca="false">(CEG_Assets!$R$12*CEG_Assets!$D$12*1000*AG$4*AG336+CEG_Assets!$O$12*(1+CEG_Assets!$Q$12)^(AG$3-2026)*(AG338+AG339))/1000000*(1+CEG_OMAdj)</f>
        <v>0</v>
      </c>
      <c r="AH350" s="8" t="n">
        <f aca="false">(CEG_Assets!$R$12*CEG_Assets!$D$12*1000*AH$4*AH336+CEG_Assets!$O$12*(1+CEG_Assets!$Q$12)^(AH$3-2026)*(AH338+AH339))/1000000*(1+CEG_OMAdj)</f>
        <v>0</v>
      </c>
      <c r="AI350" s="8" t="n">
        <f aca="false">(CEG_Assets!$R$12*CEG_Assets!$D$12*1000*AI$4*AI336+CEG_Assets!$O$12*(1+CEG_Assets!$Q$12)^(AI$3-2026)*(AI338+AI339))/1000000*(1+CEG_OMAdj)</f>
        <v>0</v>
      </c>
      <c r="AJ350" s="8" t="n">
        <f aca="false">(CEG_Assets!$R$12*CEG_Assets!$D$12*1000*AJ$4*AJ336+CEG_Assets!$O$12*(1+CEG_Assets!$Q$12)^(AJ$3-2026)*(AJ338+AJ339))/1000000*(1+CEG_OMAdj)</f>
        <v>0</v>
      </c>
      <c r="AK350" s="8" t="n">
        <f aca="false">(CEG_Assets!$R$12*CEG_Assets!$D$12*1000*AK$4*AK336+CEG_Assets!$O$12*(1+CEG_Assets!$Q$12)^(AK$3-2026)*(AK338+AK339))/1000000*(1+CEG_OMAdj)</f>
        <v>0</v>
      </c>
      <c r="AL350" s="8" t="n">
        <f aca="false">(CEG_Assets!$R$12*CEG_Assets!$D$12*1000*AL$4*AL336+CEG_Assets!$O$12*(1+CEG_Assets!$Q$12)^(AL$3-2026)*(AL338+AL339))/1000000*(1+CEG_OMAdj)</f>
        <v>0</v>
      </c>
      <c r="AM350" s="8" t="n">
        <f aca="false">(CEG_Assets!$R$12*CEG_Assets!$D$12*1000*AM$4*AM336+CEG_Assets!$O$12*(1+CEG_Assets!$Q$12)^(AM$3-2026)*(AM338+AM339))/1000000*(1+CEG_OMAdj)</f>
        <v>0</v>
      </c>
      <c r="AN350" s="8" t="n">
        <f aca="false">(CEG_Assets!$R$12*CEG_Assets!$D$12*1000*AN$4*AN336+CEG_Assets!$O$12*(1+CEG_Assets!$Q$12)^(AN$3-2026)*(AN338+AN339))/1000000*(1+CEG_OMAdj)</f>
        <v>0</v>
      </c>
      <c r="AO350" s="8" t="n">
        <f aca="false">(CEG_Assets!$R$12*CEG_Assets!$D$12*1000*AO$4*AO336+CEG_Assets!$O$12*(1+CEG_Assets!$Q$12)^(AO$3-2026)*(AO338+AO339))/1000000*(1+CEG_OMAdj)</f>
        <v>0</v>
      </c>
      <c r="AP350" s="8" t="n">
        <f aca="false">(CEG_Assets!$R$12*CEG_Assets!$D$12*1000*AP$4*AP336+CEG_Assets!$O$12*(1+CEG_Assets!$Q$12)^(AP$3-2026)*(AP338+AP339))/1000000*(1+CEG_OMAdj)</f>
        <v>0</v>
      </c>
      <c r="AQ350" s="8" t="n">
        <f aca="false">(CEG_Assets!$R$12*CEG_Assets!$D$12*1000*AQ$4*AQ336+CEG_Assets!$O$12*(1+CEG_Assets!$Q$12)^(AQ$3-2026)*(AQ338+AQ339))/1000000*(1+CEG_OMAdj)</f>
        <v>0</v>
      </c>
      <c r="AR350" s="8" t="n">
        <f aca="false">(CEG_Assets!$R$12*CEG_Assets!$D$12*1000*AR$4*AR336+CEG_Assets!$O$12*(1+CEG_Assets!$Q$12)^(AR$3-2026)*(AR338+AR339))/1000000*(1+CEG_OMAdj)</f>
        <v>0</v>
      </c>
      <c r="AS350" s="8" t="n">
        <f aca="false">(CEG_Assets!$R$12*CEG_Assets!$D$12*1000*AS$4*AS336+CEG_Assets!$O$12*(1+CEG_Assets!$Q$12)^(AS$3-2026)*(AS338+AS339))/1000000*(1+CEG_OMAdj)</f>
        <v>0</v>
      </c>
    </row>
    <row r="351" customFormat="false" ht="15" hidden="false" customHeight="false" outlineLevel="0" collapsed="false">
      <c r="A351" s="6" t="s">
        <v>455</v>
      </c>
      <c r="B351" s="6" t="s">
        <v>456</v>
      </c>
      <c r="C351" s="9" t="n">
        <f aca="false">SUM(G351:AS351)</f>
        <v>3284.45574574465</v>
      </c>
      <c r="G351" s="8" t="n">
        <f aca="false">G349-G350</f>
        <v>321.5329804968</v>
      </c>
      <c r="H351" s="8" t="n">
        <f aca="false">H349-H350</f>
        <v>320.944496861136</v>
      </c>
      <c r="I351" s="8" t="n">
        <f aca="false">I349-I350</f>
        <v>267.992851484827</v>
      </c>
      <c r="J351" s="8" t="n">
        <f aca="false">J349-J350</f>
        <v>243.370153324272</v>
      </c>
      <c r="K351" s="8" t="n">
        <f aca="false">K349-K350</f>
        <v>248.237556390757</v>
      </c>
      <c r="L351" s="8" t="n">
        <f aca="false">L349-L350</f>
        <v>253.202307518572</v>
      </c>
      <c r="M351" s="8" t="n">
        <f aca="false">M349-M350</f>
        <v>258.266353668944</v>
      </c>
      <c r="N351" s="8" t="n">
        <f aca="false">N349-N350</f>
        <v>263.431680742323</v>
      </c>
      <c r="O351" s="8" t="n">
        <f aca="false">O349-O350</f>
        <v>268.700314357169</v>
      </c>
      <c r="P351" s="8" t="n">
        <f aca="false">P349-P350</f>
        <v>274.074320644313</v>
      </c>
      <c r="Q351" s="8" t="n">
        <f aca="false">Q349-Q350</f>
        <v>279.555807057199</v>
      </c>
      <c r="R351" s="8" t="n">
        <f aca="false">R349-R350</f>
        <v>285.146923198343</v>
      </c>
      <c r="S351" s="8" t="n">
        <f aca="false">S349-S350</f>
        <v>0</v>
      </c>
      <c r="T351" s="8" t="n">
        <f aca="false">T349-T350</f>
        <v>0</v>
      </c>
      <c r="U351" s="8" t="n">
        <f aca="false">U349-U350</f>
        <v>0</v>
      </c>
      <c r="V351" s="8" t="n">
        <f aca="false">V349-V350</f>
        <v>0</v>
      </c>
      <c r="W351" s="8" t="n">
        <f aca="false">W349-W350</f>
        <v>0</v>
      </c>
      <c r="X351" s="8" t="n">
        <f aca="false">X349-X350</f>
        <v>0</v>
      </c>
      <c r="Y351" s="8" t="n">
        <f aca="false">Y349-Y350</f>
        <v>0</v>
      </c>
      <c r="Z351" s="8" t="n">
        <f aca="false">Z349-Z350</f>
        <v>0</v>
      </c>
      <c r="AA351" s="8" t="n">
        <f aca="false">AA349-AA350</f>
        <v>0</v>
      </c>
      <c r="AB351" s="8" t="n">
        <f aca="false">AB349-AB350</f>
        <v>0</v>
      </c>
      <c r="AC351" s="8" t="n">
        <f aca="false">AC349-AC350</f>
        <v>0</v>
      </c>
      <c r="AD351" s="8" t="n">
        <f aca="false">AD349-AD350</f>
        <v>0</v>
      </c>
      <c r="AE351" s="8" t="n">
        <f aca="false">AE349-AE350</f>
        <v>0</v>
      </c>
      <c r="AF351" s="8" t="n">
        <f aca="false">AF349-AF350</f>
        <v>0</v>
      </c>
      <c r="AG351" s="8" t="n">
        <f aca="false">AG349-AG350</f>
        <v>0</v>
      </c>
      <c r="AH351" s="8" t="n">
        <f aca="false">AH349-AH350</f>
        <v>0</v>
      </c>
      <c r="AI351" s="8" t="n">
        <f aca="false">AI349-AI350</f>
        <v>0</v>
      </c>
      <c r="AJ351" s="8" t="n">
        <f aca="false">AJ349-AJ350</f>
        <v>0</v>
      </c>
      <c r="AK351" s="8" t="n">
        <f aca="false">AK349-AK350</f>
        <v>0</v>
      </c>
      <c r="AL351" s="8" t="n">
        <f aca="false">AL349-AL350</f>
        <v>0</v>
      </c>
      <c r="AM351" s="8" t="n">
        <f aca="false">AM349-AM350</f>
        <v>0</v>
      </c>
      <c r="AN351" s="8" t="n">
        <f aca="false">AN349-AN350</f>
        <v>0</v>
      </c>
      <c r="AO351" s="8" t="n">
        <f aca="false">AO349-AO350</f>
        <v>0</v>
      </c>
      <c r="AP351" s="8" t="n">
        <f aca="false">AP349-AP350</f>
        <v>0</v>
      </c>
      <c r="AQ351" s="8" t="n">
        <f aca="false">AQ349-AQ350</f>
        <v>0</v>
      </c>
      <c r="AR351" s="8" t="n">
        <f aca="false">AR349-AR350</f>
        <v>0</v>
      </c>
      <c r="AS351" s="8" t="n">
        <f aca="false">AS349-AS350</f>
        <v>0</v>
      </c>
    </row>
    <row r="352" customFormat="false" ht="15" hidden="false" customHeight="false" outlineLevel="0" collapsed="false">
      <c r="A352" s="6" t="s">
        <v>457</v>
      </c>
      <c r="B352" s="6" t="s">
        <v>458</v>
      </c>
      <c r="C352" s="9" t="n">
        <f aca="false">SUM(G352:AS352)</f>
        <v>176.613079957926</v>
      </c>
      <c r="G352" s="8" t="n">
        <f aca="false">((CEG_Assets!$S$12*CEG_Assets!$D$12*1000*G$4*G336+CEG_Assets!$P$12*(1+CEG_Assets!$Q$12)^(G$3-2026)*(G338+G339))/1000000+IF(G$3=CEG_Assets!$AH$12,CEG_Assets!$AG$12,0))*(1+CEG_CapexAdj)</f>
        <v>13.1682</v>
      </c>
      <c r="H352" s="8" t="n">
        <f aca="false">((CEG_Assets!$S$12*CEG_Assets!$D$12*1000*H$4*H336+CEG_Assets!$P$12*(1+CEG_Assets!$Q$12)^(H$3-2026)*(H338+H339))/1000000+IF(H$3=CEG_Assets!$AH$12,CEG_Assets!$AG$12,0))*(1+CEG_CapexAdj)</f>
        <v>13.431564</v>
      </c>
      <c r="I352" s="8" t="n">
        <f aca="false">((CEG_Assets!$S$12*CEG_Assets!$D$12*1000*I$4*I336+CEG_Assets!$P$12*(1+CEG_Assets!$Q$12)^(I$3-2026)*(I338+I339))/1000000+IF(I$3=CEG_Assets!$AH$12,CEG_Assets!$AG$12,0))*(1+CEG_CapexAdj)</f>
        <v>13.70019528</v>
      </c>
      <c r="J352" s="8" t="n">
        <f aca="false">((CEG_Assets!$S$12*CEG_Assets!$D$12*1000*J$4*J336+CEG_Assets!$P$12*(1+CEG_Assets!$Q$12)^(J$3-2026)*(J338+J339))/1000000+IF(J$3=CEG_Assets!$AH$12,CEG_Assets!$AG$12,0))*(1+CEG_CapexAdj)</f>
        <v>13.9741991856</v>
      </c>
      <c r="K352" s="8" t="n">
        <f aca="false">((CEG_Assets!$S$12*CEG_Assets!$D$12*1000*K$4*K336+CEG_Assets!$P$12*(1+CEG_Assets!$Q$12)^(K$3-2026)*(K338+K339))/1000000+IF(K$3=CEG_Assets!$AH$12,CEG_Assets!$AG$12,0))*(1+CEG_CapexAdj)</f>
        <v>14.253683169312</v>
      </c>
      <c r="L352" s="8" t="n">
        <f aca="false">((CEG_Assets!$S$12*CEG_Assets!$D$12*1000*L$4*L336+CEG_Assets!$P$12*(1+CEG_Assets!$Q$12)^(L$3-2026)*(L338+L339))/1000000+IF(L$3=CEG_Assets!$AH$12,CEG_Assets!$AG$12,0))*(1+CEG_CapexAdj)</f>
        <v>14.5387568326982</v>
      </c>
      <c r="M352" s="8" t="n">
        <f aca="false">((CEG_Assets!$S$12*CEG_Assets!$D$12*1000*M$4*M336+CEG_Assets!$P$12*(1+CEG_Assets!$Q$12)^(M$3-2026)*(M338+M339))/1000000+IF(M$3=CEG_Assets!$AH$12,CEG_Assets!$AG$12,0))*(1+CEG_CapexAdj)</f>
        <v>14.8295319693522</v>
      </c>
      <c r="N352" s="8" t="n">
        <f aca="false">((CEG_Assets!$S$12*CEG_Assets!$D$12*1000*N$4*N336+CEG_Assets!$P$12*(1+CEG_Assets!$Q$12)^(N$3-2026)*(N338+N339))/1000000+IF(N$3=CEG_Assets!$AH$12,CEG_Assets!$AG$12,0))*(1+CEG_CapexAdj)</f>
        <v>15.1261226087393</v>
      </c>
      <c r="O352" s="8" t="n">
        <f aca="false">((CEG_Assets!$S$12*CEG_Assets!$D$12*1000*O$4*O336+CEG_Assets!$P$12*(1+CEG_Assets!$Q$12)^(O$3-2026)*(O338+O339))/1000000+IF(O$3=CEG_Assets!$AH$12,CEG_Assets!$AG$12,0))*(1+CEG_CapexAdj)</f>
        <v>15.428645060914</v>
      </c>
      <c r="P352" s="8" t="n">
        <f aca="false">((CEG_Assets!$S$12*CEG_Assets!$D$12*1000*P$4*P336+CEG_Assets!$P$12*(1+CEG_Assets!$Q$12)^(P$3-2026)*(P338+P339))/1000000+IF(P$3=CEG_Assets!$AH$12,CEG_Assets!$AG$12,0))*(1+CEG_CapexAdj)</f>
        <v>15.7372179621323</v>
      </c>
      <c r="Q352" s="8" t="n">
        <f aca="false">((CEG_Assets!$S$12*CEG_Assets!$D$12*1000*Q$4*Q336+CEG_Assets!$P$12*(1+CEG_Assets!$Q$12)^(Q$3-2026)*(Q338+Q339))/1000000+IF(Q$3=CEG_Assets!$AH$12,CEG_Assets!$AG$12,0))*(1+CEG_CapexAdj)</f>
        <v>16.051962321375</v>
      </c>
      <c r="R352" s="8" t="n">
        <f aca="false">((CEG_Assets!$S$12*CEG_Assets!$D$12*1000*R$4*R336+CEG_Assets!$P$12*(1+CEG_Assets!$Q$12)^(R$3-2026)*(R338+R339))/1000000+IF(R$3=CEG_Assets!$AH$12,CEG_Assets!$AG$12,0))*(1+CEG_CapexAdj)</f>
        <v>16.3730015678025</v>
      </c>
      <c r="S352" s="8" t="n">
        <f aca="false">((CEG_Assets!$S$12*CEG_Assets!$D$12*1000*S$4*S336+CEG_Assets!$P$12*(1+CEG_Assets!$Q$12)^(S$3-2026)*(S338+S339))/1000000+IF(S$3=CEG_Assets!$AH$12,CEG_Assets!$AG$12,0))*(1+CEG_CapexAdj)</f>
        <v>0</v>
      </c>
      <c r="T352" s="8" t="n">
        <f aca="false">((CEG_Assets!$S$12*CEG_Assets!$D$12*1000*T$4*T336+CEG_Assets!$P$12*(1+CEG_Assets!$Q$12)^(T$3-2026)*(T338+T339))/1000000+IF(T$3=CEG_Assets!$AH$12,CEG_Assets!$AG$12,0))*(1+CEG_CapexAdj)</f>
        <v>0</v>
      </c>
      <c r="U352" s="8" t="n">
        <f aca="false">((CEG_Assets!$S$12*CEG_Assets!$D$12*1000*U$4*U336+CEG_Assets!$P$12*(1+CEG_Assets!$Q$12)^(U$3-2026)*(U338+U339))/1000000+IF(U$3=CEG_Assets!$AH$12,CEG_Assets!$AG$12,0))*(1+CEG_CapexAdj)</f>
        <v>0</v>
      </c>
      <c r="V352" s="8" t="n">
        <f aca="false">((CEG_Assets!$S$12*CEG_Assets!$D$12*1000*V$4*V336+CEG_Assets!$P$12*(1+CEG_Assets!$Q$12)^(V$3-2026)*(V338+V339))/1000000+IF(V$3=CEG_Assets!$AH$12,CEG_Assets!$AG$12,0))*(1+CEG_CapexAdj)</f>
        <v>0</v>
      </c>
      <c r="W352" s="8" t="n">
        <f aca="false">((CEG_Assets!$S$12*CEG_Assets!$D$12*1000*W$4*W336+CEG_Assets!$P$12*(1+CEG_Assets!$Q$12)^(W$3-2026)*(W338+W339))/1000000+IF(W$3=CEG_Assets!$AH$12,CEG_Assets!$AG$12,0))*(1+CEG_CapexAdj)</f>
        <v>0</v>
      </c>
      <c r="X352" s="8" t="n">
        <f aca="false">((CEG_Assets!$S$12*CEG_Assets!$D$12*1000*X$4*X336+CEG_Assets!$P$12*(1+CEG_Assets!$Q$12)^(X$3-2026)*(X338+X339))/1000000+IF(X$3=CEG_Assets!$AH$12,CEG_Assets!$AG$12,0))*(1+CEG_CapexAdj)</f>
        <v>0</v>
      </c>
      <c r="Y352" s="8" t="n">
        <f aca="false">((CEG_Assets!$S$12*CEG_Assets!$D$12*1000*Y$4*Y336+CEG_Assets!$P$12*(1+CEG_Assets!$Q$12)^(Y$3-2026)*(Y338+Y339))/1000000+IF(Y$3=CEG_Assets!$AH$12,CEG_Assets!$AG$12,0))*(1+CEG_CapexAdj)</f>
        <v>0</v>
      </c>
      <c r="Z352" s="8" t="n">
        <f aca="false">((CEG_Assets!$S$12*CEG_Assets!$D$12*1000*Z$4*Z336+CEG_Assets!$P$12*(1+CEG_Assets!$Q$12)^(Z$3-2026)*(Z338+Z339))/1000000+IF(Z$3=CEG_Assets!$AH$12,CEG_Assets!$AG$12,0))*(1+CEG_CapexAdj)</f>
        <v>0</v>
      </c>
      <c r="AA352" s="8" t="n">
        <f aca="false">((CEG_Assets!$S$12*CEG_Assets!$D$12*1000*AA$4*AA336+CEG_Assets!$P$12*(1+CEG_Assets!$Q$12)^(AA$3-2026)*(AA338+AA339))/1000000+IF(AA$3=CEG_Assets!$AH$12,CEG_Assets!$AG$12,0))*(1+CEG_CapexAdj)</f>
        <v>0</v>
      </c>
      <c r="AB352" s="8" t="n">
        <f aca="false">((CEG_Assets!$S$12*CEG_Assets!$D$12*1000*AB$4*AB336+CEG_Assets!$P$12*(1+CEG_Assets!$Q$12)^(AB$3-2026)*(AB338+AB339))/1000000+IF(AB$3=CEG_Assets!$AH$12,CEG_Assets!$AG$12,0))*(1+CEG_CapexAdj)</f>
        <v>0</v>
      </c>
      <c r="AC352" s="8" t="n">
        <f aca="false">((CEG_Assets!$S$12*CEG_Assets!$D$12*1000*AC$4*AC336+CEG_Assets!$P$12*(1+CEG_Assets!$Q$12)^(AC$3-2026)*(AC338+AC339))/1000000+IF(AC$3=CEG_Assets!$AH$12,CEG_Assets!$AG$12,0))*(1+CEG_CapexAdj)</f>
        <v>0</v>
      </c>
      <c r="AD352" s="8" t="n">
        <f aca="false">((CEG_Assets!$S$12*CEG_Assets!$D$12*1000*AD$4*AD336+CEG_Assets!$P$12*(1+CEG_Assets!$Q$12)^(AD$3-2026)*(AD338+AD339))/1000000+IF(AD$3=CEG_Assets!$AH$12,CEG_Assets!$AG$12,0))*(1+CEG_CapexAdj)</f>
        <v>0</v>
      </c>
      <c r="AE352" s="8" t="n">
        <f aca="false">((CEG_Assets!$S$12*CEG_Assets!$D$12*1000*AE$4*AE336+CEG_Assets!$P$12*(1+CEG_Assets!$Q$12)^(AE$3-2026)*(AE338+AE339))/1000000+IF(AE$3=CEG_Assets!$AH$12,CEG_Assets!$AG$12,0))*(1+CEG_CapexAdj)</f>
        <v>0</v>
      </c>
      <c r="AF352" s="8" t="n">
        <f aca="false">((CEG_Assets!$S$12*CEG_Assets!$D$12*1000*AF$4*AF336+CEG_Assets!$P$12*(1+CEG_Assets!$Q$12)^(AF$3-2026)*(AF338+AF339))/1000000+IF(AF$3=CEG_Assets!$AH$12,CEG_Assets!$AG$12,0))*(1+CEG_CapexAdj)</f>
        <v>0</v>
      </c>
      <c r="AG352" s="8" t="n">
        <f aca="false">((CEG_Assets!$S$12*CEG_Assets!$D$12*1000*AG$4*AG336+CEG_Assets!$P$12*(1+CEG_Assets!$Q$12)^(AG$3-2026)*(AG338+AG339))/1000000+IF(AG$3=CEG_Assets!$AH$12,CEG_Assets!$AG$12,0))*(1+CEG_CapexAdj)</f>
        <v>0</v>
      </c>
      <c r="AH352" s="8" t="n">
        <f aca="false">((CEG_Assets!$S$12*CEG_Assets!$D$12*1000*AH$4*AH336+CEG_Assets!$P$12*(1+CEG_Assets!$Q$12)^(AH$3-2026)*(AH338+AH339))/1000000+IF(AH$3=CEG_Assets!$AH$12,CEG_Assets!$AG$12,0))*(1+CEG_CapexAdj)</f>
        <v>0</v>
      </c>
      <c r="AI352" s="8" t="n">
        <f aca="false">((CEG_Assets!$S$12*CEG_Assets!$D$12*1000*AI$4*AI336+CEG_Assets!$P$12*(1+CEG_Assets!$Q$12)^(AI$3-2026)*(AI338+AI339))/1000000+IF(AI$3=CEG_Assets!$AH$12,CEG_Assets!$AG$12,0))*(1+CEG_CapexAdj)</f>
        <v>0</v>
      </c>
      <c r="AJ352" s="8" t="n">
        <f aca="false">((CEG_Assets!$S$12*CEG_Assets!$D$12*1000*AJ$4*AJ336+CEG_Assets!$P$12*(1+CEG_Assets!$Q$12)^(AJ$3-2026)*(AJ338+AJ339))/1000000+IF(AJ$3=CEG_Assets!$AH$12,CEG_Assets!$AG$12,0))*(1+CEG_CapexAdj)</f>
        <v>0</v>
      </c>
      <c r="AK352" s="8" t="n">
        <f aca="false">((CEG_Assets!$S$12*CEG_Assets!$D$12*1000*AK$4*AK336+CEG_Assets!$P$12*(1+CEG_Assets!$Q$12)^(AK$3-2026)*(AK338+AK339))/1000000+IF(AK$3=CEG_Assets!$AH$12,CEG_Assets!$AG$12,0))*(1+CEG_CapexAdj)</f>
        <v>0</v>
      </c>
      <c r="AL352" s="8" t="n">
        <f aca="false">((CEG_Assets!$S$12*CEG_Assets!$D$12*1000*AL$4*AL336+CEG_Assets!$P$12*(1+CEG_Assets!$Q$12)^(AL$3-2026)*(AL338+AL339))/1000000+IF(AL$3=CEG_Assets!$AH$12,CEG_Assets!$AG$12,0))*(1+CEG_CapexAdj)</f>
        <v>0</v>
      </c>
      <c r="AM352" s="8" t="n">
        <f aca="false">((CEG_Assets!$S$12*CEG_Assets!$D$12*1000*AM$4*AM336+CEG_Assets!$P$12*(1+CEG_Assets!$Q$12)^(AM$3-2026)*(AM338+AM339))/1000000+IF(AM$3=CEG_Assets!$AH$12,CEG_Assets!$AG$12,0))*(1+CEG_CapexAdj)</f>
        <v>0</v>
      </c>
      <c r="AN352" s="8" t="n">
        <f aca="false">((CEG_Assets!$S$12*CEG_Assets!$D$12*1000*AN$4*AN336+CEG_Assets!$P$12*(1+CEG_Assets!$Q$12)^(AN$3-2026)*(AN338+AN339))/1000000+IF(AN$3=CEG_Assets!$AH$12,CEG_Assets!$AG$12,0))*(1+CEG_CapexAdj)</f>
        <v>0</v>
      </c>
      <c r="AO352" s="8" t="n">
        <f aca="false">((CEG_Assets!$S$12*CEG_Assets!$D$12*1000*AO$4*AO336+CEG_Assets!$P$12*(1+CEG_Assets!$Q$12)^(AO$3-2026)*(AO338+AO339))/1000000+IF(AO$3=CEG_Assets!$AH$12,CEG_Assets!$AG$12,0))*(1+CEG_CapexAdj)</f>
        <v>0</v>
      </c>
      <c r="AP352" s="8" t="n">
        <f aca="false">((CEG_Assets!$S$12*CEG_Assets!$D$12*1000*AP$4*AP336+CEG_Assets!$P$12*(1+CEG_Assets!$Q$12)^(AP$3-2026)*(AP338+AP339))/1000000+IF(AP$3=CEG_Assets!$AH$12,CEG_Assets!$AG$12,0))*(1+CEG_CapexAdj)</f>
        <v>0</v>
      </c>
      <c r="AQ352" s="8" t="n">
        <f aca="false">((CEG_Assets!$S$12*CEG_Assets!$D$12*1000*AQ$4*AQ336+CEG_Assets!$P$12*(1+CEG_Assets!$Q$12)^(AQ$3-2026)*(AQ338+AQ339))/1000000+IF(AQ$3=CEG_Assets!$AH$12,CEG_Assets!$AG$12,0))*(1+CEG_CapexAdj)</f>
        <v>0</v>
      </c>
      <c r="AR352" s="8" t="n">
        <f aca="false">((CEG_Assets!$S$12*CEG_Assets!$D$12*1000*AR$4*AR336+CEG_Assets!$P$12*(1+CEG_Assets!$Q$12)^(AR$3-2026)*(AR338+AR339))/1000000+IF(AR$3=CEG_Assets!$AH$12,CEG_Assets!$AG$12,0))*(1+CEG_CapexAdj)</f>
        <v>0</v>
      </c>
      <c r="AS352" s="8" t="n">
        <f aca="false">((CEG_Assets!$S$12*CEG_Assets!$D$12*1000*AS$4*AS336+CEG_Assets!$P$12*(1+CEG_Assets!$Q$12)^(AS$3-2026)*(AS338+AS339))/1000000+IF(AS$3=CEG_Assets!$AH$12,CEG_Assets!$AG$12,0))*(1+CEG_CapexAdj)</f>
        <v>0</v>
      </c>
    </row>
    <row r="353" customFormat="false" ht="15" hidden="false" customHeight="false" outlineLevel="0" collapsed="false">
      <c r="A353" s="6" t="s">
        <v>459</v>
      </c>
      <c r="B353" s="6" t="s">
        <v>460</v>
      </c>
      <c r="C353" s="9" t="n">
        <f aca="false">SUM(G353:AS353)</f>
        <v>3107.84266578673</v>
      </c>
      <c r="G353" s="8" t="n">
        <f aca="false">IF(CEG_Assets!$Y$12=1,MAX(0,G351-G352),G351-G352)</f>
        <v>308.3647804968</v>
      </c>
      <c r="H353" s="8" t="n">
        <f aca="false">IF(CEG_Assets!$Y$12=1,MAX(0,H351-H352),H351-H352)</f>
        <v>307.512932861136</v>
      </c>
      <c r="I353" s="8" t="n">
        <f aca="false">IF(CEG_Assets!$Y$12=1,MAX(0,I351-I352),I351-I352)</f>
        <v>254.292656204827</v>
      </c>
      <c r="J353" s="8" t="n">
        <f aca="false">IF(CEG_Assets!$Y$12=1,MAX(0,J351-J352),J351-J352)</f>
        <v>229.395954138672</v>
      </c>
      <c r="K353" s="8" t="n">
        <f aca="false">IF(CEG_Assets!$Y$12=1,MAX(0,K351-K352),K351-K352)</f>
        <v>233.983873221445</v>
      </c>
      <c r="L353" s="8" t="n">
        <f aca="false">IF(CEG_Assets!$Y$12=1,MAX(0,L351-L352),L351-L352)</f>
        <v>238.663550685874</v>
      </c>
      <c r="M353" s="8" t="n">
        <f aca="false">IF(CEG_Assets!$Y$12=1,MAX(0,M351-M352),M351-M352)</f>
        <v>243.436821699592</v>
      </c>
      <c r="N353" s="8" t="n">
        <f aca="false">IF(CEG_Assets!$Y$12=1,MAX(0,N351-N352),N351-N352)</f>
        <v>248.305558133583</v>
      </c>
      <c r="O353" s="8" t="n">
        <f aca="false">IF(CEG_Assets!$Y$12=1,MAX(0,O351-O352),O351-O352)</f>
        <v>253.271669296255</v>
      </c>
      <c r="P353" s="8" t="n">
        <f aca="false">IF(CEG_Assets!$Y$12=1,MAX(0,P351-P352),P351-P352)</f>
        <v>258.33710268218</v>
      </c>
      <c r="Q353" s="8" t="n">
        <f aca="false">IF(CEG_Assets!$Y$12=1,MAX(0,Q351-Q352),Q351-Q352)</f>
        <v>263.503844735824</v>
      </c>
      <c r="R353" s="8" t="n">
        <f aca="false">IF(CEG_Assets!$Y$12=1,MAX(0,R351-R352),R351-R352)</f>
        <v>268.77392163054</v>
      </c>
      <c r="S353" s="8" t="n">
        <f aca="false">IF(CEG_Assets!$Y$12=1,MAX(0,S351-S352),S351-S352)</f>
        <v>0</v>
      </c>
      <c r="T353" s="8" t="n">
        <f aca="false">IF(CEG_Assets!$Y$12=1,MAX(0,T351-T352),T351-T352)</f>
        <v>0</v>
      </c>
      <c r="U353" s="8" t="n">
        <f aca="false">IF(CEG_Assets!$Y$12=1,MAX(0,U351-U352),U351-U352)</f>
        <v>0</v>
      </c>
      <c r="V353" s="8" t="n">
        <f aca="false">IF(CEG_Assets!$Y$12=1,MAX(0,V351-V352),V351-V352)</f>
        <v>0</v>
      </c>
      <c r="W353" s="8" t="n">
        <f aca="false">IF(CEG_Assets!$Y$12=1,MAX(0,W351-W352),W351-W352)</f>
        <v>0</v>
      </c>
      <c r="X353" s="8" t="n">
        <f aca="false">IF(CEG_Assets!$Y$12=1,MAX(0,X351-X352),X351-X352)</f>
        <v>0</v>
      </c>
      <c r="Y353" s="8" t="n">
        <f aca="false">IF(CEG_Assets!$Y$12=1,MAX(0,Y351-Y352),Y351-Y352)</f>
        <v>0</v>
      </c>
      <c r="Z353" s="8" t="n">
        <f aca="false">IF(CEG_Assets!$Y$12=1,MAX(0,Z351-Z352),Z351-Z352)</f>
        <v>0</v>
      </c>
      <c r="AA353" s="8" t="n">
        <f aca="false">IF(CEG_Assets!$Y$12=1,MAX(0,AA351-AA352),AA351-AA352)</f>
        <v>0</v>
      </c>
      <c r="AB353" s="8" t="n">
        <f aca="false">IF(CEG_Assets!$Y$12=1,MAX(0,AB351-AB352),AB351-AB352)</f>
        <v>0</v>
      </c>
      <c r="AC353" s="8" t="n">
        <f aca="false">IF(CEG_Assets!$Y$12=1,MAX(0,AC351-AC352),AC351-AC352)</f>
        <v>0</v>
      </c>
      <c r="AD353" s="8" t="n">
        <f aca="false">IF(CEG_Assets!$Y$12=1,MAX(0,AD351-AD352),AD351-AD352)</f>
        <v>0</v>
      </c>
      <c r="AE353" s="8" t="n">
        <f aca="false">IF(CEG_Assets!$Y$12=1,MAX(0,AE351-AE352),AE351-AE352)</f>
        <v>0</v>
      </c>
      <c r="AF353" s="8" t="n">
        <f aca="false">IF(CEG_Assets!$Y$12=1,MAX(0,AF351-AF352),AF351-AF352)</f>
        <v>0</v>
      </c>
      <c r="AG353" s="8" t="n">
        <f aca="false">IF(CEG_Assets!$Y$12=1,MAX(0,AG351-AG352),AG351-AG352)</f>
        <v>0</v>
      </c>
      <c r="AH353" s="8" t="n">
        <f aca="false">IF(CEG_Assets!$Y$12=1,MAX(0,AH351-AH352),AH351-AH352)</f>
        <v>0</v>
      </c>
      <c r="AI353" s="8" t="n">
        <f aca="false">IF(CEG_Assets!$Y$12=1,MAX(0,AI351-AI352),AI351-AI352)</f>
        <v>0</v>
      </c>
      <c r="AJ353" s="8" t="n">
        <f aca="false">IF(CEG_Assets!$Y$12=1,MAX(0,AJ351-AJ352),AJ351-AJ352)</f>
        <v>0</v>
      </c>
      <c r="AK353" s="8" t="n">
        <f aca="false">IF(CEG_Assets!$Y$12=1,MAX(0,AK351-AK352),AK351-AK352)</f>
        <v>0</v>
      </c>
      <c r="AL353" s="8" t="n">
        <f aca="false">IF(CEG_Assets!$Y$12=1,MAX(0,AL351-AL352),AL351-AL352)</f>
        <v>0</v>
      </c>
      <c r="AM353" s="8" t="n">
        <f aca="false">IF(CEG_Assets!$Y$12=1,MAX(0,AM351-AM352),AM351-AM352)</f>
        <v>0</v>
      </c>
      <c r="AN353" s="8" t="n">
        <f aca="false">IF(CEG_Assets!$Y$12=1,MAX(0,AN351-AN352),AN351-AN352)</f>
        <v>0</v>
      </c>
      <c r="AO353" s="8" t="n">
        <f aca="false">IF(CEG_Assets!$Y$12=1,MAX(0,AO351-AO352),AO351-AO352)</f>
        <v>0</v>
      </c>
      <c r="AP353" s="8" t="n">
        <f aca="false">IF(CEG_Assets!$Y$12=1,MAX(0,AP351-AP352),AP351-AP352)</f>
        <v>0</v>
      </c>
      <c r="AQ353" s="8" t="n">
        <f aca="false">IF(CEG_Assets!$Y$12=1,MAX(0,AQ351-AQ352),AQ351-AQ352)</f>
        <v>0</v>
      </c>
      <c r="AR353" s="8" t="n">
        <f aca="false">IF(CEG_Assets!$Y$12=1,MAX(0,AR351-AR352),AR351-AR352)</f>
        <v>0</v>
      </c>
      <c r="AS353" s="8" t="n">
        <f aca="false">IF(CEG_Assets!$Y$12=1,MAX(0,AS351-AS352),AS351-AS352)</f>
        <v>0</v>
      </c>
    </row>
    <row r="354" customFormat="false" ht="15" hidden="false" customHeight="false" outlineLevel="0" collapsed="false">
      <c r="A354" s="6" t="s">
        <v>461</v>
      </c>
      <c r="B354" s="6" t="s">
        <v>462</v>
      </c>
      <c r="C354" s="9" t="n">
        <f aca="false">SUM(G354:AS354)</f>
        <v>0</v>
      </c>
      <c r="G354" s="8" t="n">
        <f aca="false">IF(AND(CEG_Assets!$W$12=1,G$3&lt;=PTCLast,G338&gt;0),G338*MAX(0,PTCCredit*(1+Infl)^(G$3-PTCBase)-0.8*MAX(0,(G343+G344+G346)*1000000/MAX(1,G338)-PTCThresh*(1+Infl)^(G$3-PTCBase)))/1000000,0)</f>
        <v>0</v>
      </c>
      <c r="H354" s="8" t="n">
        <f aca="false">IF(AND(CEG_Assets!$W$12=1,H$3&lt;=PTCLast,H338&gt;0),H338*MAX(0,PTCCredit*(1+Infl)^(H$3-PTCBase)-0.8*MAX(0,(H343+H344+H346)*1000000/MAX(1,H338)-PTCThresh*(1+Infl)^(H$3-PTCBase)))/1000000,0)</f>
        <v>0</v>
      </c>
      <c r="I354" s="8" t="n">
        <f aca="false">IF(AND(CEG_Assets!$W$12=1,I$3&lt;=PTCLast,I338&gt;0),I338*MAX(0,PTCCredit*(1+Infl)^(I$3-PTCBase)-0.8*MAX(0,(I343+I344+I346)*1000000/MAX(1,I338)-PTCThresh*(1+Infl)^(I$3-PTCBase)))/1000000,0)</f>
        <v>0</v>
      </c>
      <c r="J354" s="8" t="n">
        <f aca="false">IF(AND(CEG_Assets!$W$12=1,J$3&lt;=PTCLast,J338&gt;0),J338*MAX(0,PTCCredit*(1+Infl)^(J$3-PTCBase)-0.8*MAX(0,(J343+J344+J346)*1000000/MAX(1,J338)-PTCThresh*(1+Infl)^(J$3-PTCBase)))/1000000,0)</f>
        <v>0</v>
      </c>
      <c r="K354" s="8" t="n">
        <f aca="false">IF(AND(CEG_Assets!$W$12=1,K$3&lt;=PTCLast,K338&gt;0),K338*MAX(0,PTCCredit*(1+Infl)^(K$3-PTCBase)-0.8*MAX(0,(K343+K344+K346)*1000000/MAX(1,K338)-PTCThresh*(1+Infl)^(K$3-PTCBase)))/1000000,0)</f>
        <v>0</v>
      </c>
      <c r="L354" s="8" t="n">
        <f aca="false">IF(AND(CEG_Assets!$W$12=1,L$3&lt;=PTCLast,L338&gt;0),L338*MAX(0,PTCCredit*(1+Infl)^(L$3-PTCBase)-0.8*MAX(0,(L343+L344+L346)*1000000/MAX(1,L338)-PTCThresh*(1+Infl)^(L$3-PTCBase)))/1000000,0)</f>
        <v>0</v>
      </c>
      <c r="M354" s="8" t="n">
        <f aca="false">IF(AND(CEG_Assets!$W$12=1,M$3&lt;=PTCLast,M338&gt;0),M338*MAX(0,PTCCredit*(1+Infl)^(M$3-PTCBase)-0.8*MAX(0,(M343+M344+M346)*1000000/MAX(1,M338)-PTCThresh*(1+Infl)^(M$3-PTCBase)))/1000000,0)</f>
        <v>0</v>
      </c>
      <c r="N354" s="8" t="n">
        <f aca="false">IF(AND(CEG_Assets!$W$12=1,N$3&lt;=PTCLast,N338&gt;0),N338*MAX(0,PTCCredit*(1+Infl)^(N$3-PTCBase)-0.8*MAX(0,(N343+N344+N346)*1000000/MAX(1,N338)-PTCThresh*(1+Infl)^(N$3-PTCBase)))/1000000,0)</f>
        <v>0</v>
      </c>
      <c r="O354" s="8" t="n">
        <f aca="false">IF(AND(CEG_Assets!$W$12=1,O$3&lt;=PTCLast,O338&gt;0),O338*MAX(0,PTCCredit*(1+Infl)^(O$3-PTCBase)-0.8*MAX(0,(O343+O344+O346)*1000000/MAX(1,O338)-PTCThresh*(1+Infl)^(O$3-PTCBase)))/1000000,0)</f>
        <v>0</v>
      </c>
      <c r="P354" s="8" t="n">
        <f aca="false">IF(AND(CEG_Assets!$W$12=1,P$3&lt;=PTCLast,P338&gt;0),P338*MAX(0,PTCCredit*(1+Infl)^(P$3-PTCBase)-0.8*MAX(0,(P343+P344+P346)*1000000/MAX(1,P338)-PTCThresh*(1+Infl)^(P$3-PTCBase)))/1000000,0)</f>
        <v>0</v>
      </c>
      <c r="Q354" s="8" t="n">
        <f aca="false">IF(AND(CEG_Assets!$W$12=1,Q$3&lt;=PTCLast,Q338&gt;0),Q338*MAX(0,PTCCredit*(1+Infl)^(Q$3-PTCBase)-0.8*MAX(0,(Q343+Q344+Q346)*1000000/MAX(1,Q338)-PTCThresh*(1+Infl)^(Q$3-PTCBase)))/1000000,0)</f>
        <v>0</v>
      </c>
      <c r="R354" s="8" t="n">
        <f aca="false">IF(AND(CEG_Assets!$W$12=1,R$3&lt;=PTCLast,R338&gt;0),R338*MAX(0,PTCCredit*(1+Infl)^(R$3-PTCBase)-0.8*MAX(0,(R343+R344+R346)*1000000/MAX(1,R338)-PTCThresh*(1+Infl)^(R$3-PTCBase)))/1000000,0)</f>
        <v>0</v>
      </c>
      <c r="S354" s="8" t="n">
        <f aca="false">IF(AND(CEG_Assets!$W$12=1,S$3&lt;=PTCLast,S338&gt;0),S338*MAX(0,PTCCredit*(1+Infl)^(S$3-PTCBase)-0.8*MAX(0,(S343+S344+S346)*1000000/MAX(1,S338)-PTCThresh*(1+Infl)^(S$3-PTCBase)))/1000000,0)</f>
        <v>0</v>
      </c>
      <c r="T354" s="8" t="n">
        <f aca="false">IF(AND(CEG_Assets!$W$12=1,T$3&lt;=PTCLast,T338&gt;0),T338*MAX(0,PTCCredit*(1+Infl)^(T$3-PTCBase)-0.8*MAX(0,(T343+T344+T346)*1000000/MAX(1,T338)-PTCThresh*(1+Infl)^(T$3-PTCBase)))/1000000,0)</f>
        <v>0</v>
      </c>
      <c r="U354" s="8" t="n">
        <f aca="false">IF(AND(CEG_Assets!$W$12=1,U$3&lt;=PTCLast,U338&gt;0),U338*MAX(0,PTCCredit*(1+Infl)^(U$3-PTCBase)-0.8*MAX(0,(U343+U344+U346)*1000000/MAX(1,U338)-PTCThresh*(1+Infl)^(U$3-PTCBase)))/1000000,0)</f>
        <v>0</v>
      </c>
      <c r="V354" s="8" t="n">
        <f aca="false">IF(AND(CEG_Assets!$W$12=1,V$3&lt;=PTCLast,V338&gt;0),V338*MAX(0,PTCCredit*(1+Infl)^(V$3-PTCBase)-0.8*MAX(0,(V343+V344+V346)*1000000/MAX(1,V338)-PTCThresh*(1+Infl)^(V$3-PTCBase)))/1000000,0)</f>
        <v>0</v>
      </c>
      <c r="W354" s="8" t="n">
        <f aca="false">IF(AND(CEG_Assets!$W$12=1,W$3&lt;=PTCLast,W338&gt;0),W338*MAX(0,PTCCredit*(1+Infl)^(W$3-PTCBase)-0.8*MAX(0,(W343+W344+W346)*1000000/MAX(1,W338)-PTCThresh*(1+Infl)^(W$3-PTCBase)))/1000000,0)</f>
        <v>0</v>
      </c>
      <c r="X354" s="8" t="n">
        <f aca="false">IF(AND(CEG_Assets!$W$12=1,X$3&lt;=PTCLast,X338&gt;0),X338*MAX(0,PTCCredit*(1+Infl)^(X$3-PTCBase)-0.8*MAX(0,(X343+X344+X346)*1000000/MAX(1,X338)-PTCThresh*(1+Infl)^(X$3-PTCBase)))/1000000,0)</f>
        <v>0</v>
      </c>
      <c r="Y354" s="8" t="n">
        <f aca="false">IF(AND(CEG_Assets!$W$12=1,Y$3&lt;=PTCLast,Y338&gt;0),Y338*MAX(0,PTCCredit*(1+Infl)^(Y$3-PTCBase)-0.8*MAX(0,(Y343+Y344+Y346)*1000000/MAX(1,Y338)-PTCThresh*(1+Infl)^(Y$3-PTCBase)))/1000000,0)</f>
        <v>0</v>
      </c>
      <c r="Z354" s="8" t="n">
        <f aca="false">IF(AND(CEG_Assets!$W$12=1,Z$3&lt;=PTCLast,Z338&gt;0),Z338*MAX(0,PTCCredit*(1+Infl)^(Z$3-PTCBase)-0.8*MAX(0,(Z343+Z344+Z346)*1000000/MAX(1,Z338)-PTCThresh*(1+Infl)^(Z$3-PTCBase)))/1000000,0)</f>
        <v>0</v>
      </c>
      <c r="AA354" s="8" t="n">
        <f aca="false">IF(AND(CEG_Assets!$W$12=1,AA$3&lt;=PTCLast,AA338&gt;0),AA338*MAX(0,PTCCredit*(1+Infl)^(AA$3-PTCBase)-0.8*MAX(0,(AA343+AA344+AA346)*1000000/MAX(1,AA338)-PTCThresh*(1+Infl)^(AA$3-PTCBase)))/1000000,0)</f>
        <v>0</v>
      </c>
      <c r="AB354" s="8" t="n">
        <f aca="false">IF(AND(CEG_Assets!$W$12=1,AB$3&lt;=PTCLast,AB338&gt;0),AB338*MAX(0,PTCCredit*(1+Infl)^(AB$3-PTCBase)-0.8*MAX(0,(AB343+AB344+AB346)*1000000/MAX(1,AB338)-PTCThresh*(1+Infl)^(AB$3-PTCBase)))/1000000,0)</f>
        <v>0</v>
      </c>
      <c r="AC354" s="8" t="n">
        <f aca="false">IF(AND(CEG_Assets!$W$12=1,AC$3&lt;=PTCLast,AC338&gt;0),AC338*MAX(0,PTCCredit*(1+Infl)^(AC$3-PTCBase)-0.8*MAX(0,(AC343+AC344+AC346)*1000000/MAX(1,AC338)-PTCThresh*(1+Infl)^(AC$3-PTCBase)))/1000000,0)</f>
        <v>0</v>
      </c>
      <c r="AD354" s="8" t="n">
        <f aca="false">IF(AND(CEG_Assets!$W$12=1,AD$3&lt;=PTCLast,AD338&gt;0),AD338*MAX(0,PTCCredit*(1+Infl)^(AD$3-PTCBase)-0.8*MAX(0,(AD343+AD344+AD346)*1000000/MAX(1,AD338)-PTCThresh*(1+Infl)^(AD$3-PTCBase)))/1000000,0)</f>
        <v>0</v>
      </c>
      <c r="AE354" s="8" t="n">
        <f aca="false">IF(AND(CEG_Assets!$W$12=1,AE$3&lt;=PTCLast,AE338&gt;0),AE338*MAX(0,PTCCredit*(1+Infl)^(AE$3-PTCBase)-0.8*MAX(0,(AE343+AE344+AE346)*1000000/MAX(1,AE338)-PTCThresh*(1+Infl)^(AE$3-PTCBase)))/1000000,0)</f>
        <v>0</v>
      </c>
      <c r="AF354" s="8" t="n">
        <f aca="false">IF(AND(CEG_Assets!$W$12=1,AF$3&lt;=PTCLast,AF338&gt;0),AF338*MAX(0,PTCCredit*(1+Infl)^(AF$3-PTCBase)-0.8*MAX(0,(AF343+AF344+AF346)*1000000/MAX(1,AF338)-PTCThresh*(1+Infl)^(AF$3-PTCBase)))/1000000,0)</f>
        <v>0</v>
      </c>
      <c r="AG354" s="8" t="n">
        <f aca="false">IF(AND(CEG_Assets!$W$12=1,AG$3&lt;=PTCLast,AG338&gt;0),AG338*MAX(0,PTCCredit*(1+Infl)^(AG$3-PTCBase)-0.8*MAX(0,(AG343+AG344+AG346)*1000000/MAX(1,AG338)-PTCThresh*(1+Infl)^(AG$3-PTCBase)))/1000000,0)</f>
        <v>0</v>
      </c>
      <c r="AH354" s="8" t="n">
        <f aca="false">IF(AND(CEG_Assets!$W$12=1,AH$3&lt;=PTCLast,AH338&gt;0),AH338*MAX(0,PTCCredit*(1+Infl)^(AH$3-PTCBase)-0.8*MAX(0,(AH343+AH344+AH346)*1000000/MAX(1,AH338)-PTCThresh*(1+Infl)^(AH$3-PTCBase)))/1000000,0)</f>
        <v>0</v>
      </c>
      <c r="AI354" s="8" t="n">
        <f aca="false">IF(AND(CEG_Assets!$W$12=1,AI$3&lt;=PTCLast,AI338&gt;0),AI338*MAX(0,PTCCredit*(1+Infl)^(AI$3-PTCBase)-0.8*MAX(0,(AI343+AI344+AI346)*1000000/MAX(1,AI338)-PTCThresh*(1+Infl)^(AI$3-PTCBase)))/1000000,0)</f>
        <v>0</v>
      </c>
      <c r="AJ354" s="8" t="n">
        <f aca="false">IF(AND(CEG_Assets!$W$12=1,AJ$3&lt;=PTCLast,AJ338&gt;0),AJ338*MAX(0,PTCCredit*(1+Infl)^(AJ$3-PTCBase)-0.8*MAX(0,(AJ343+AJ344+AJ346)*1000000/MAX(1,AJ338)-PTCThresh*(1+Infl)^(AJ$3-PTCBase)))/1000000,0)</f>
        <v>0</v>
      </c>
      <c r="AK354" s="8" t="n">
        <f aca="false">IF(AND(CEG_Assets!$W$12=1,AK$3&lt;=PTCLast,AK338&gt;0),AK338*MAX(0,PTCCredit*(1+Infl)^(AK$3-PTCBase)-0.8*MAX(0,(AK343+AK344+AK346)*1000000/MAX(1,AK338)-PTCThresh*(1+Infl)^(AK$3-PTCBase)))/1000000,0)</f>
        <v>0</v>
      </c>
      <c r="AL354" s="8" t="n">
        <f aca="false">IF(AND(CEG_Assets!$W$12=1,AL$3&lt;=PTCLast,AL338&gt;0),AL338*MAX(0,PTCCredit*(1+Infl)^(AL$3-PTCBase)-0.8*MAX(0,(AL343+AL344+AL346)*1000000/MAX(1,AL338)-PTCThresh*(1+Infl)^(AL$3-PTCBase)))/1000000,0)</f>
        <v>0</v>
      </c>
      <c r="AM354" s="8" t="n">
        <f aca="false">IF(AND(CEG_Assets!$W$12=1,AM$3&lt;=PTCLast,AM338&gt;0),AM338*MAX(0,PTCCredit*(1+Infl)^(AM$3-PTCBase)-0.8*MAX(0,(AM343+AM344+AM346)*1000000/MAX(1,AM338)-PTCThresh*(1+Infl)^(AM$3-PTCBase)))/1000000,0)</f>
        <v>0</v>
      </c>
      <c r="AN354" s="8" t="n">
        <f aca="false">IF(AND(CEG_Assets!$W$12=1,AN$3&lt;=PTCLast,AN338&gt;0),AN338*MAX(0,PTCCredit*(1+Infl)^(AN$3-PTCBase)-0.8*MAX(0,(AN343+AN344+AN346)*1000000/MAX(1,AN338)-PTCThresh*(1+Infl)^(AN$3-PTCBase)))/1000000,0)</f>
        <v>0</v>
      </c>
      <c r="AO354" s="8" t="n">
        <f aca="false">IF(AND(CEG_Assets!$W$12=1,AO$3&lt;=PTCLast,AO338&gt;0),AO338*MAX(0,PTCCredit*(1+Infl)^(AO$3-PTCBase)-0.8*MAX(0,(AO343+AO344+AO346)*1000000/MAX(1,AO338)-PTCThresh*(1+Infl)^(AO$3-PTCBase)))/1000000,0)</f>
        <v>0</v>
      </c>
      <c r="AP354" s="8" t="n">
        <f aca="false">IF(AND(CEG_Assets!$W$12=1,AP$3&lt;=PTCLast,AP338&gt;0),AP338*MAX(0,PTCCredit*(1+Infl)^(AP$3-PTCBase)-0.8*MAX(0,(AP343+AP344+AP346)*1000000/MAX(1,AP338)-PTCThresh*(1+Infl)^(AP$3-PTCBase)))/1000000,0)</f>
        <v>0</v>
      </c>
      <c r="AQ354" s="8" t="n">
        <f aca="false">IF(AND(CEG_Assets!$W$12=1,AQ$3&lt;=PTCLast,AQ338&gt;0),AQ338*MAX(0,PTCCredit*(1+Infl)^(AQ$3-PTCBase)-0.8*MAX(0,(AQ343+AQ344+AQ346)*1000000/MAX(1,AQ338)-PTCThresh*(1+Infl)^(AQ$3-PTCBase)))/1000000,0)</f>
        <v>0</v>
      </c>
      <c r="AR354" s="8" t="n">
        <f aca="false">IF(AND(CEG_Assets!$W$12=1,AR$3&lt;=PTCLast,AR338&gt;0),AR338*MAX(0,PTCCredit*(1+Infl)^(AR$3-PTCBase)-0.8*MAX(0,(AR343+AR344+AR346)*1000000/MAX(1,AR338)-PTCThresh*(1+Infl)^(AR$3-PTCBase)))/1000000,0)</f>
        <v>0</v>
      </c>
      <c r="AS354" s="8" t="n">
        <f aca="false">IF(AND(CEG_Assets!$W$12=1,AS$3&lt;=PTCLast,AS338&gt;0),AS338*MAX(0,PTCCredit*(1+Infl)^(AS$3-PTCBase)-0.8*MAX(0,(AS343+AS344+AS346)*1000000/MAX(1,AS338)-PTCThresh*(1+Infl)^(AS$3-PTCBase)))/1000000,0)</f>
        <v>0</v>
      </c>
    </row>
    <row r="355" customFormat="false" ht="15" hidden="false" customHeight="false" outlineLevel="0" collapsed="false">
      <c r="A355" s="6" t="s">
        <v>463</v>
      </c>
      <c r="B355" s="6" t="s">
        <v>464</v>
      </c>
      <c r="G355" s="8" t="n">
        <f aca="false">G345-G339*(CEG_Assets!$N$12*(1+CEG_FuelAdj)+CEG_Assets!$O$12*(1+CEG_OMAdj)+CEG_Assets!$P$12*(1+CEG_CapexAdj))*(1+CEG_Assets!$Q$12)^(G$3-2026)/1000000</f>
        <v>0</v>
      </c>
      <c r="H355" s="8" t="n">
        <f aca="false">H345-H339*(CEG_Assets!$N$12*(1+CEG_FuelAdj)+CEG_Assets!$O$12*(1+CEG_OMAdj)+CEG_Assets!$P$12*(1+CEG_CapexAdj))*(1+CEG_Assets!$Q$12)^(H$3-2026)/1000000</f>
        <v>0</v>
      </c>
      <c r="I355" s="8" t="n">
        <f aca="false">I345-I339*(CEG_Assets!$N$12*(1+CEG_FuelAdj)+CEG_Assets!$O$12*(1+CEG_OMAdj)+CEG_Assets!$P$12*(1+CEG_CapexAdj))*(1+CEG_Assets!$Q$12)^(I$3-2026)/1000000</f>
        <v>0</v>
      </c>
      <c r="J355" s="8" t="n">
        <f aca="false">J345-J339*(CEG_Assets!$N$12*(1+CEG_FuelAdj)+CEG_Assets!$O$12*(1+CEG_OMAdj)+CEG_Assets!$P$12*(1+CEG_CapexAdj))*(1+CEG_Assets!$Q$12)^(J$3-2026)/1000000</f>
        <v>0</v>
      </c>
      <c r="K355" s="8" t="n">
        <f aca="false">K345-K339*(CEG_Assets!$N$12*(1+CEG_FuelAdj)+CEG_Assets!$O$12*(1+CEG_OMAdj)+CEG_Assets!$P$12*(1+CEG_CapexAdj))*(1+CEG_Assets!$Q$12)^(K$3-2026)/1000000</f>
        <v>0</v>
      </c>
      <c r="L355" s="8" t="n">
        <f aca="false">L345-L339*(CEG_Assets!$N$12*(1+CEG_FuelAdj)+CEG_Assets!$O$12*(1+CEG_OMAdj)+CEG_Assets!$P$12*(1+CEG_CapexAdj))*(1+CEG_Assets!$Q$12)^(L$3-2026)/1000000</f>
        <v>0</v>
      </c>
      <c r="M355" s="8" t="n">
        <f aca="false">M345-M339*(CEG_Assets!$N$12*(1+CEG_FuelAdj)+CEG_Assets!$O$12*(1+CEG_OMAdj)+CEG_Assets!$P$12*(1+CEG_CapexAdj))*(1+CEG_Assets!$Q$12)^(M$3-2026)/1000000</f>
        <v>0</v>
      </c>
      <c r="N355" s="8" t="n">
        <f aca="false">N345-N339*(CEG_Assets!$N$12*(1+CEG_FuelAdj)+CEG_Assets!$O$12*(1+CEG_OMAdj)+CEG_Assets!$P$12*(1+CEG_CapexAdj))*(1+CEG_Assets!$Q$12)^(N$3-2026)/1000000</f>
        <v>0</v>
      </c>
      <c r="O355" s="8" t="n">
        <f aca="false">O345-O339*(CEG_Assets!$N$12*(1+CEG_FuelAdj)+CEG_Assets!$O$12*(1+CEG_OMAdj)+CEG_Assets!$P$12*(1+CEG_CapexAdj))*(1+CEG_Assets!$Q$12)^(O$3-2026)/1000000</f>
        <v>0</v>
      </c>
      <c r="P355" s="8" t="n">
        <f aca="false">P345-P339*(CEG_Assets!$N$12*(1+CEG_FuelAdj)+CEG_Assets!$O$12*(1+CEG_OMAdj)+CEG_Assets!$P$12*(1+CEG_CapexAdj))*(1+CEG_Assets!$Q$12)^(P$3-2026)/1000000</f>
        <v>0</v>
      </c>
      <c r="Q355" s="8" t="n">
        <f aca="false">Q345-Q339*(CEG_Assets!$N$12*(1+CEG_FuelAdj)+CEG_Assets!$O$12*(1+CEG_OMAdj)+CEG_Assets!$P$12*(1+CEG_CapexAdj))*(1+CEG_Assets!$Q$12)^(Q$3-2026)/1000000</f>
        <v>0</v>
      </c>
      <c r="R355" s="8" t="n">
        <f aca="false">R345-R339*(CEG_Assets!$N$12*(1+CEG_FuelAdj)+CEG_Assets!$O$12*(1+CEG_OMAdj)+CEG_Assets!$P$12*(1+CEG_CapexAdj))*(1+CEG_Assets!$Q$12)^(R$3-2026)/1000000</f>
        <v>0</v>
      </c>
      <c r="S355" s="8" t="n">
        <f aca="false">S345-S339*(CEG_Assets!$N$12*(1+CEG_FuelAdj)+CEG_Assets!$O$12*(1+CEG_OMAdj)+CEG_Assets!$P$12*(1+CEG_CapexAdj))*(1+CEG_Assets!$Q$12)^(S$3-2026)/1000000</f>
        <v>0</v>
      </c>
      <c r="T355" s="8" t="n">
        <f aca="false">T345-T339*(CEG_Assets!$N$12*(1+CEG_FuelAdj)+CEG_Assets!$O$12*(1+CEG_OMAdj)+CEG_Assets!$P$12*(1+CEG_CapexAdj))*(1+CEG_Assets!$Q$12)^(T$3-2026)/1000000</f>
        <v>0</v>
      </c>
      <c r="U355" s="8" t="n">
        <f aca="false">U345-U339*(CEG_Assets!$N$12*(1+CEG_FuelAdj)+CEG_Assets!$O$12*(1+CEG_OMAdj)+CEG_Assets!$P$12*(1+CEG_CapexAdj))*(1+CEG_Assets!$Q$12)^(U$3-2026)/1000000</f>
        <v>0</v>
      </c>
      <c r="V355" s="8" t="n">
        <f aca="false">V345-V339*(CEG_Assets!$N$12*(1+CEG_FuelAdj)+CEG_Assets!$O$12*(1+CEG_OMAdj)+CEG_Assets!$P$12*(1+CEG_CapexAdj))*(1+CEG_Assets!$Q$12)^(V$3-2026)/1000000</f>
        <v>0</v>
      </c>
      <c r="W355" s="8" t="n">
        <f aca="false">W345-W339*(CEG_Assets!$N$12*(1+CEG_FuelAdj)+CEG_Assets!$O$12*(1+CEG_OMAdj)+CEG_Assets!$P$12*(1+CEG_CapexAdj))*(1+CEG_Assets!$Q$12)^(W$3-2026)/1000000</f>
        <v>0</v>
      </c>
      <c r="X355" s="8" t="n">
        <f aca="false">X345-X339*(CEG_Assets!$N$12*(1+CEG_FuelAdj)+CEG_Assets!$O$12*(1+CEG_OMAdj)+CEG_Assets!$P$12*(1+CEG_CapexAdj))*(1+CEG_Assets!$Q$12)^(X$3-2026)/1000000</f>
        <v>0</v>
      </c>
      <c r="Y355" s="8" t="n">
        <f aca="false">Y345-Y339*(CEG_Assets!$N$12*(1+CEG_FuelAdj)+CEG_Assets!$O$12*(1+CEG_OMAdj)+CEG_Assets!$P$12*(1+CEG_CapexAdj))*(1+CEG_Assets!$Q$12)^(Y$3-2026)/1000000</f>
        <v>0</v>
      </c>
      <c r="Z355" s="8" t="n">
        <f aca="false">Z345-Z339*(CEG_Assets!$N$12*(1+CEG_FuelAdj)+CEG_Assets!$O$12*(1+CEG_OMAdj)+CEG_Assets!$P$12*(1+CEG_CapexAdj))*(1+CEG_Assets!$Q$12)^(Z$3-2026)/1000000</f>
        <v>0</v>
      </c>
      <c r="AA355" s="8" t="n">
        <f aca="false">AA345-AA339*(CEG_Assets!$N$12*(1+CEG_FuelAdj)+CEG_Assets!$O$12*(1+CEG_OMAdj)+CEG_Assets!$P$12*(1+CEG_CapexAdj))*(1+CEG_Assets!$Q$12)^(AA$3-2026)/1000000</f>
        <v>0</v>
      </c>
      <c r="AB355" s="8" t="n">
        <f aca="false">AB345-AB339*(CEG_Assets!$N$12*(1+CEG_FuelAdj)+CEG_Assets!$O$12*(1+CEG_OMAdj)+CEG_Assets!$P$12*(1+CEG_CapexAdj))*(1+CEG_Assets!$Q$12)^(AB$3-2026)/1000000</f>
        <v>0</v>
      </c>
      <c r="AC355" s="8" t="n">
        <f aca="false">AC345-AC339*(CEG_Assets!$N$12*(1+CEG_FuelAdj)+CEG_Assets!$O$12*(1+CEG_OMAdj)+CEG_Assets!$P$12*(1+CEG_CapexAdj))*(1+CEG_Assets!$Q$12)^(AC$3-2026)/1000000</f>
        <v>0</v>
      </c>
      <c r="AD355" s="8" t="n">
        <f aca="false">AD345-AD339*(CEG_Assets!$N$12*(1+CEG_FuelAdj)+CEG_Assets!$O$12*(1+CEG_OMAdj)+CEG_Assets!$P$12*(1+CEG_CapexAdj))*(1+CEG_Assets!$Q$12)^(AD$3-2026)/1000000</f>
        <v>0</v>
      </c>
      <c r="AE355" s="8" t="n">
        <f aca="false">AE345-AE339*(CEG_Assets!$N$12*(1+CEG_FuelAdj)+CEG_Assets!$O$12*(1+CEG_OMAdj)+CEG_Assets!$P$12*(1+CEG_CapexAdj))*(1+CEG_Assets!$Q$12)^(AE$3-2026)/1000000</f>
        <v>0</v>
      </c>
      <c r="AF355" s="8" t="n">
        <f aca="false">AF345-AF339*(CEG_Assets!$N$12*(1+CEG_FuelAdj)+CEG_Assets!$O$12*(1+CEG_OMAdj)+CEG_Assets!$P$12*(1+CEG_CapexAdj))*(1+CEG_Assets!$Q$12)^(AF$3-2026)/1000000</f>
        <v>0</v>
      </c>
      <c r="AG355" s="8" t="n">
        <f aca="false">AG345-AG339*(CEG_Assets!$N$12*(1+CEG_FuelAdj)+CEG_Assets!$O$12*(1+CEG_OMAdj)+CEG_Assets!$P$12*(1+CEG_CapexAdj))*(1+CEG_Assets!$Q$12)^(AG$3-2026)/1000000</f>
        <v>0</v>
      </c>
      <c r="AH355" s="8" t="n">
        <f aca="false">AH345-AH339*(CEG_Assets!$N$12*(1+CEG_FuelAdj)+CEG_Assets!$O$12*(1+CEG_OMAdj)+CEG_Assets!$P$12*(1+CEG_CapexAdj))*(1+CEG_Assets!$Q$12)^(AH$3-2026)/1000000</f>
        <v>0</v>
      </c>
      <c r="AI355" s="8" t="n">
        <f aca="false">AI345-AI339*(CEG_Assets!$N$12*(1+CEG_FuelAdj)+CEG_Assets!$O$12*(1+CEG_OMAdj)+CEG_Assets!$P$12*(1+CEG_CapexAdj))*(1+CEG_Assets!$Q$12)^(AI$3-2026)/1000000</f>
        <v>0</v>
      </c>
      <c r="AJ355" s="8" t="n">
        <f aca="false">AJ345-AJ339*(CEG_Assets!$N$12*(1+CEG_FuelAdj)+CEG_Assets!$O$12*(1+CEG_OMAdj)+CEG_Assets!$P$12*(1+CEG_CapexAdj))*(1+CEG_Assets!$Q$12)^(AJ$3-2026)/1000000</f>
        <v>0</v>
      </c>
      <c r="AK355" s="8" t="n">
        <f aca="false">AK345-AK339*(CEG_Assets!$N$12*(1+CEG_FuelAdj)+CEG_Assets!$O$12*(1+CEG_OMAdj)+CEG_Assets!$P$12*(1+CEG_CapexAdj))*(1+CEG_Assets!$Q$12)^(AK$3-2026)/1000000</f>
        <v>0</v>
      </c>
      <c r="AL355" s="8" t="n">
        <f aca="false">AL345-AL339*(CEG_Assets!$N$12*(1+CEG_FuelAdj)+CEG_Assets!$O$12*(1+CEG_OMAdj)+CEG_Assets!$P$12*(1+CEG_CapexAdj))*(1+CEG_Assets!$Q$12)^(AL$3-2026)/1000000</f>
        <v>0</v>
      </c>
      <c r="AM355" s="8" t="n">
        <f aca="false">AM345-AM339*(CEG_Assets!$N$12*(1+CEG_FuelAdj)+CEG_Assets!$O$12*(1+CEG_OMAdj)+CEG_Assets!$P$12*(1+CEG_CapexAdj))*(1+CEG_Assets!$Q$12)^(AM$3-2026)/1000000</f>
        <v>0</v>
      </c>
      <c r="AN355" s="8" t="n">
        <f aca="false">AN345-AN339*(CEG_Assets!$N$12*(1+CEG_FuelAdj)+CEG_Assets!$O$12*(1+CEG_OMAdj)+CEG_Assets!$P$12*(1+CEG_CapexAdj))*(1+CEG_Assets!$Q$12)^(AN$3-2026)/1000000</f>
        <v>0</v>
      </c>
      <c r="AO355" s="8" t="n">
        <f aca="false">AO345-AO339*(CEG_Assets!$N$12*(1+CEG_FuelAdj)+CEG_Assets!$O$12*(1+CEG_OMAdj)+CEG_Assets!$P$12*(1+CEG_CapexAdj))*(1+CEG_Assets!$Q$12)^(AO$3-2026)/1000000</f>
        <v>0</v>
      </c>
      <c r="AP355" s="8" t="n">
        <f aca="false">AP345-AP339*(CEG_Assets!$N$12*(1+CEG_FuelAdj)+CEG_Assets!$O$12*(1+CEG_OMAdj)+CEG_Assets!$P$12*(1+CEG_CapexAdj))*(1+CEG_Assets!$Q$12)^(AP$3-2026)/1000000</f>
        <v>0</v>
      </c>
      <c r="AQ355" s="8" t="n">
        <f aca="false">AQ345-AQ339*(CEG_Assets!$N$12*(1+CEG_FuelAdj)+CEG_Assets!$O$12*(1+CEG_OMAdj)+CEG_Assets!$P$12*(1+CEG_CapexAdj))*(1+CEG_Assets!$Q$12)^(AQ$3-2026)/1000000</f>
        <v>0</v>
      </c>
      <c r="AR355" s="8" t="n">
        <f aca="false">AR345-AR339*(CEG_Assets!$N$12*(1+CEG_FuelAdj)+CEG_Assets!$O$12*(1+CEG_OMAdj)+CEG_Assets!$P$12*(1+CEG_CapexAdj))*(1+CEG_Assets!$Q$12)^(AR$3-2026)/1000000</f>
        <v>0</v>
      </c>
      <c r="AS355" s="8" t="n">
        <f aca="false">AS345-AS339*(CEG_Assets!$N$12*(1+CEG_FuelAdj)+CEG_Assets!$O$12*(1+CEG_OMAdj)+CEG_Assets!$P$12*(1+CEG_CapexAdj))*(1+CEG_Assets!$Q$12)^(AS$3-2026)/1000000</f>
        <v>0</v>
      </c>
    </row>
    <row r="356" customFormat="false" ht="15" hidden="false" customHeight="false" outlineLevel="0" collapsed="false">
      <c r="A356" s="6" t="s">
        <v>465</v>
      </c>
      <c r="B356" s="6" t="s">
        <v>466</v>
      </c>
      <c r="G356" s="8" t="n">
        <f aca="false">G353-G355</f>
        <v>308.3647804968</v>
      </c>
      <c r="H356" s="8" t="n">
        <f aca="false">H353-H355</f>
        <v>307.512932861136</v>
      </c>
      <c r="I356" s="8" t="n">
        <f aca="false">I353-I355</f>
        <v>254.292656204827</v>
      </c>
      <c r="J356" s="8" t="n">
        <f aca="false">J353-J355</f>
        <v>229.395954138672</v>
      </c>
      <c r="K356" s="8" t="n">
        <f aca="false">K353-K355</f>
        <v>233.983873221445</v>
      </c>
      <c r="L356" s="8" t="n">
        <f aca="false">L353-L355</f>
        <v>238.663550685874</v>
      </c>
      <c r="M356" s="8" t="n">
        <f aca="false">M353-M355</f>
        <v>243.436821699592</v>
      </c>
      <c r="N356" s="8" t="n">
        <f aca="false">N353-N355</f>
        <v>248.305558133583</v>
      </c>
      <c r="O356" s="8" t="n">
        <f aca="false">O353-O355</f>
        <v>253.271669296255</v>
      </c>
      <c r="P356" s="8" t="n">
        <f aca="false">P353-P355</f>
        <v>258.33710268218</v>
      </c>
      <c r="Q356" s="8" t="n">
        <f aca="false">Q353-Q355</f>
        <v>263.503844735824</v>
      </c>
      <c r="R356" s="8" t="n">
        <f aca="false">R353-R355</f>
        <v>268.77392163054</v>
      </c>
      <c r="S356" s="8" t="n">
        <f aca="false">S353-S355</f>
        <v>0</v>
      </c>
      <c r="T356" s="8" t="n">
        <f aca="false">T353-T355</f>
        <v>0</v>
      </c>
      <c r="U356" s="8" t="n">
        <f aca="false">U353-U355</f>
        <v>0</v>
      </c>
      <c r="V356" s="8" t="n">
        <f aca="false">V353-V355</f>
        <v>0</v>
      </c>
      <c r="W356" s="8" t="n">
        <f aca="false">W353-W355</f>
        <v>0</v>
      </c>
      <c r="X356" s="8" t="n">
        <f aca="false">X353-X355</f>
        <v>0</v>
      </c>
      <c r="Y356" s="8" t="n">
        <f aca="false">Y353-Y355</f>
        <v>0</v>
      </c>
      <c r="Z356" s="8" t="n">
        <f aca="false">Z353-Z355</f>
        <v>0</v>
      </c>
      <c r="AA356" s="8" t="n">
        <f aca="false">AA353-AA355</f>
        <v>0</v>
      </c>
      <c r="AB356" s="8" t="n">
        <f aca="false">AB353-AB355</f>
        <v>0</v>
      </c>
      <c r="AC356" s="8" t="n">
        <f aca="false">AC353-AC355</f>
        <v>0</v>
      </c>
      <c r="AD356" s="8" t="n">
        <f aca="false">AD353-AD355</f>
        <v>0</v>
      </c>
      <c r="AE356" s="8" t="n">
        <f aca="false">AE353-AE355</f>
        <v>0</v>
      </c>
      <c r="AF356" s="8" t="n">
        <f aca="false">AF353-AF355</f>
        <v>0</v>
      </c>
      <c r="AG356" s="8" t="n">
        <f aca="false">AG353-AG355</f>
        <v>0</v>
      </c>
      <c r="AH356" s="8" t="n">
        <f aca="false">AH353-AH355</f>
        <v>0</v>
      </c>
      <c r="AI356" s="8" t="n">
        <f aca="false">AI353-AI355</f>
        <v>0</v>
      </c>
      <c r="AJ356" s="8" t="n">
        <f aca="false">AJ353-AJ355</f>
        <v>0</v>
      </c>
      <c r="AK356" s="8" t="n">
        <f aca="false">AK353-AK355</f>
        <v>0</v>
      </c>
      <c r="AL356" s="8" t="n">
        <f aca="false">AL353-AL355</f>
        <v>0</v>
      </c>
      <c r="AM356" s="8" t="n">
        <f aca="false">AM353-AM355</f>
        <v>0</v>
      </c>
      <c r="AN356" s="8" t="n">
        <f aca="false">AN353-AN355</f>
        <v>0</v>
      </c>
      <c r="AO356" s="8" t="n">
        <f aca="false">AO353-AO355</f>
        <v>0</v>
      </c>
      <c r="AP356" s="8" t="n">
        <f aca="false">AP353-AP355</f>
        <v>0</v>
      </c>
      <c r="AQ356" s="8" t="n">
        <f aca="false">AQ353-AQ355</f>
        <v>0</v>
      </c>
      <c r="AR356" s="8" t="n">
        <f aca="false">AR353-AR355</f>
        <v>0</v>
      </c>
      <c r="AS356" s="8" t="n">
        <f aca="false">AS353-AS355</f>
        <v>0</v>
      </c>
    </row>
    <row r="357" customFormat="false" ht="15" hidden="false" customHeight="false" outlineLevel="0" collapsed="false">
      <c r="A357" s="6" t="s">
        <v>467</v>
      </c>
      <c r="B357" s="6" t="s">
        <v>468</v>
      </c>
      <c r="G357" s="8" t="n">
        <f aca="false">G356*(1-TaxRate)+G354</f>
        <v>246.69182439744</v>
      </c>
      <c r="H357" s="8" t="n">
        <f aca="false">H356*(1-TaxRate)+H354</f>
        <v>246.010346288909</v>
      </c>
      <c r="I357" s="8" t="n">
        <f aca="false">I356*(1-TaxRate)+I354</f>
        <v>203.434124963861</v>
      </c>
      <c r="J357" s="8" t="n">
        <f aca="false">J356*(1-TaxRate)+J354</f>
        <v>183.516763310937</v>
      </c>
      <c r="K357" s="8" t="n">
        <f aca="false">K356*(1-TaxRate)+K354</f>
        <v>187.187098577156</v>
      </c>
      <c r="L357" s="8" t="n">
        <f aca="false">L356*(1-TaxRate)+L354</f>
        <v>190.930840548699</v>
      </c>
      <c r="M357" s="8" t="n">
        <f aca="false">M356*(1-TaxRate)+M354</f>
        <v>194.749457359673</v>
      </c>
      <c r="N357" s="8" t="n">
        <f aca="false">N356*(1-TaxRate)+N354</f>
        <v>198.644446506867</v>
      </c>
      <c r="O357" s="8" t="n">
        <f aca="false">O356*(1-TaxRate)+O354</f>
        <v>202.617335437004</v>
      </c>
      <c r="P357" s="8" t="n">
        <f aca="false">P356*(1-TaxRate)+P354</f>
        <v>206.669682145744</v>
      </c>
      <c r="Q357" s="8" t="n">
        <f aca="false">Q356*(1-TaxRate)+Q354</f>
        <v>210.803075788659</v>
      </c>
      <c r="R357" s="8" t="n">
        <f aca="false">R356*(1-TaxRate)+R354</f>
        <v>215.019137304432</v>
      </c>
      <c r="S357" s="8" t="n">
        <f aca="false">S356*(1-TaxRate)+S354</f>
        <v>0</v>
      </c>
      <c r="T357" s="8" t="n">
        <f aca="false">T356*(1-TaxRate)+T354</f>
        <v>0</v>
      </c>
      <c r="U357" s="8" t="n">
        <f aca="false">U356*(1-TaxRate)+U354</f>
        <v>0</v>
      </c>
      <c r="V357" s="8" t="n">
        <f aca="false">V356*(1-TaxRate)+V354</f>
        <v>0</v>
      </c>
      <c r="W357" s="8" t="n">
        <f aca="false">W356*(1-TaxRate)+W354</f>
        <v>0</v>
      </c>
      <c r="X357" s="8" t="n">
        <f aca="false">X356*(1-TaxRate)+X354</f>
        <v>0</v>
      </c>
      <c r="Y357" s="8" t="n">
        <f aca="false">Y356*(1-TaxRate)+Y354</f>
        <v>0</v>
      </c>
      <c r="Z357" s="8" t="n">
        <f aca="false">Z356*(1-TaxRate)+Z354</f>
        <v>0</v>
      </c>
      <c r="AA357" s="8" t="n">
        <f aca="false">AA356*(1-TaxRate)+AA354</f>
        <v>0</v>
      </c>
      <c r="AB357" s="8" t="n">
        <f aca="false">AB356*(1-TaxRate)+AB354</f>
        <v>0</v>
      </c>
      <c r="AC357" s="8" t="n">
        <f aca="false">AC356*(1-TaxRate)+AC354</f>
        <v>0</v>
      </c>
      <c r="AD357" s="8" t="n">
        <f aca="false">AD356*(1-TaxRate)+AD354</f>
        <v>0</v>
      </c>
      <c r="AE357" s="8" t="n">
        <f aca="false">AE356*(1-TaxRate)+AE354</f>
        <v>0</v>
      </c>
      <c r="AF357" s="8" t="n">
        <f aca="false">AF356*(1-TaxRate)+AF354</f>
        <v>0</v>
      </c>
      <c r="AG357" s="8" t="n">
        <f aca="false">AG356*(1-TaxRate)+AG354</f>
        <v>0</v>
      </c>
      <c r="AH357" s="8" t="n">
        <f aca="false">AH356*(1-TaxRate)+AH354</f>
        <v>0</v>
      </c>
      <c r="AI357" s="8" t="n">
        <f aca="false">AI356*(1-TaxRate)+AI354</f>
        <v>0</v>
      </c>
      <c r="AJ357" s="8" t="n">
        <f aca="false">AJ356*(1-TaxRate)+AJ354</f>
        <v>0</v>
      </c>
      <c r="AK357" s="8" t="n">
        <f aca="false">AK356*(1-TaxRate)+AK354</f>
        <v>0</v>
      </c>
      <c r="AL357" s="8" t="n">
        <f aca="false">AL356*(1-TaxRate)+AL354</f>
        <v>0</v>
      </c>
      <c r="AM357" s="8" t="n">
        <f aca="false">AM356*(1-TaxRate)+AM354</f>
        <v>0</v>
      </c>
      <c r="AN357" s="8" t="n">
        <f aca="false">AN356*(1-TaxRate)+AN354</f>
        <v>0</v>
      </c>
      <c r="AO357" s="8" t="n">
        <f aca="false">AO356*(1-TaxRate)+AO354</f>
        <v>0</v>
      </c>
      <c r="AP357" s="8" t="n">
        <f aca="false">AP356*(1-TaxRate)+AP354</f>
        <v>0</v>
      </c>
      <c r="AQ357" s="8" t="n">
        <f aca="false">AQ356*(1-TaxRate)+AQ354</f>
        <v>0</v>
      </c>
      <c r="AR357" s="8" t="n">
        <f aca="false">AR356*(1-TaxRate)+AR354</f>
        <v>0</v>
      </c>
      <c r="AS357" s="8" t="n">
        <f aca="false">AS356*(1-TaxRate)+AS354</f>
        <v>0</v>
      </c>
    </row>
    <row r="358" customFormat="false" ht="15" hidden="false" customHeight="false" outlineLevel="0" collapsed="false">
      <c r="A358" s="6" t="s">
        <v>469</v>
      </c>
      <c r="B358" s="6" t="s">
        <v>470</v>
      </c>
      <c r="G358" s="8" t="n">
        <f aca="false">G355*(1-TaxRate)</f>
        <v>0</v>
      </c>
      <c r="H358" s="8" t="n">
        <f aca="false">H355*(1-TaxRate)</f>
        <v>0</v>
      </c>
      <c r="I358" s="8" t="n">
        <f aca="false">I355*(1-TaxRate)</f>
        <v>0</v>
      </c>
      <c r="J358" s="8" t="n">
        <f aca="false">J355*(1-TaxRate)</f>
        <v>0</v>
      </c>
      <c r="K358" s="8" t="n">
        <f aca="false">K355*(1-TaxRate)</f>
        <v>0</v>
      </c>
      <c r="L358" s="8" t="n">
        <f aca="false">L355*(1-TaxRate)</f>
        <v>0</v>
      </c>
      <c r="M358" s="8" t="n">
        <f aca="false">M355*(1-TaxRate)</f>
        <v>0</v>
      </c>
      <c r="N358" s="8" t="n">
        <f aca="false">N355*(1-TaxRate)</f>
        <v>0</v>
      </c>
      <c r="O358" s="8" t="n">
        <f aca="false">O355*(1-TaxRate)</f>
        <v>0</v>
      </c>
      <c r="P358" s="8" t="n">
        <f aca="false">P355*(1-TaxRate)</f>
        <v>0</v>
      </c>
      <c r="Q358" s="8" t="n">
        <f aca="false">Q355*(1-TaxRate)</f>
        <v>0</v>
      </c>
      <c r="R358" s="8" t="n">
        <f aca="false">R355*(1-TaxRate)</f>
        <v>0</v>
      </c>
      <c r="S358" s="8" t="n">
        <f aca="false">S355*(1-TaxRate)</f>
        <v>0</v>
      </c>
      <c r="T358" s="8" t="n">
        <f aca="false">T355*(1-TaxRate)</f>
        <v>0</v>
      </c>
      <c r="U358" s="8" t="n">
        <f aca="false">U355*(1-TaxRate)</f>
        <v>0</v>
      </c>
      <c r="V358" s="8" t="n">
        <f aca="false">V355*(1-TaxRate)</f>
        <v>0</v>
      </c>
      <c r="W358" s="8" t="n">
        <f aca="false">W355*(1-TaxRate)</f>
        <v>0</v>
      </c>
      <c r="X358" s="8" t="n">
        <f aca="false">X355*(1-TaxRate)</f>
        <v>0</v>
      </c>
      <c r="Y358" s="8" t="n">
        <f aca="false">Y355*(1-TaxRate)</f>
        <v>0</v>
      </c>
      <c r="Z358" s="8" t="n">
        <f aca="false">Z355*(1-TaxRate)</f>
        <v>0</v>
      </c>
      <c r="AA358" s="8" t="n">
        <f aca="false">AA355*(1-TaxRate)</f>
        <v>0</v>
      </c>
      <c r="AB358" s="8" t="n">
        <f aca="false">AB355*(1-TaxRate)</f>
        <v>0</v>
      </c>
      <c r="AC358" s="8" t="n">
        <f aca="false">AC355*(1-TaxRate)</f>
        <v>0</v>
      </c>
      <c r="AD358" s="8" t="n">
        <f aca="false">AD355*(1-TaxRate)</f>
        <v>0</v>
      </c>
      <c r="AE358" s="8" t="n">
        <f aca="false">AE355*(1-TaxRate)</f>
        <v>0</v>
      </c>
      <c r="AF358" s="8" t="n">
        <f aca="false">AF355*(1-TaxRate)</f>
        <v>0</v>
      </c>
      <c r="AG358" s="8" t="n">
        <f aca="false">AG355*(1-TaxRate)</f>
        <v>0</v>
      </c>
      <c r="AH358" s="8" t="n">
        <f aca="false">AH355*(1-TaxRate)</f>
        <v>0</v>
      </c>
      <c r="AI358" s="8" t="n">
        <f aca="false">AI355*(1-TaxRate)</f>
        <v>0</v>
      </c>
      <c r="AJ358" s="8" t="n">
        <f aca="false">AJ355*(1-TaxRate)</f>
        <v>0</v>
      </c>
      <c r="AK358" s="8" t="n">
        <f aca="false">AK355*(1-TaxRate)</f>
        <v>0</v>
      </c>
      <c r="AL358" s="8" t="n">
        <f aca="false">AL355*(1-TaxRate)</f>
        <v>0</v>
      </c>
      <c r="AM358" s="8" t="n">
        <f aca="false">AM355*(1-TaxRate)</f>
        <v>0</v>
      </c>
      <c r="AN358" s="8" t="n">
        <f aca="false">AN355*(1-TaxRate)</f>
        <v>0</v>
      </c>
      <c r="AO358" s="8" t="n">
        <f aca="false">AO355*(1-TaxRate)</f>
        <v>0</v>
      </c>
      <c r="AP358" s="8" t="n">
        <f aca="false">AP355*(1-TaxRate)</f>
        <v>0</v>
      </c>
      <c r="AQ358" s="8" t="n">
        <f aca="false">AQ355*(1-TaxRate)</f>
        <v>0</v>
      </c>
      <c r="AR358" s="8" t="n">
        <f aca="false">AR355*(1-TaxRate)</f>
        <v>0</v>
      </c>
      <c r="AS358" s="8" t="n">
        <f aca="false">AS355*(1-TaxRate)</f>
        <v>0</v>
      </c>
    </row>
    <row r="359" customFormat="false" ht="15" hidden="false" customHeight="false" outlineLevel="0" collapsed="false">
      <c r="A359" s="6" t="s">
        <v>471</v>
      </c>
      <c r="B359" s="6" t="s">
        <v>472</v>
      </c>
      <c r="G359" s="42" t="n">
        <f aca="false">(1+CEG_Assets!$AE$12)^-(G$3+0.5-ValDate)</f>
        <v>0.931012444622223</v>
      </c>
      <c r="H359" s="42" t="n">
        <f aca="false">(1+CEG_Assets!$AE$12)^-(H$3+0.5-ValDate)</f>
        <v>0.846374949656566</v>
      </c>
      <c r="I359" s="42" t="n">
        <f aca="false">(1+CEG_Assets!$AE$12)^-(I$3+0.5-ValDate)</f>
        <v>0.76943177241506</v>
      </c>
      <c r="J359" s="42" t="n">
        <f aca="false">(1+CEG_Assets!$AE$12)^-(J$3+0.5-ValDate)</f>
        <v>0.699483429468236</v>
      </c>
      <c r="K359" s="42" t="n">
        <f aca="false">(1+CEG_Assets!$AE$12)^-(K$3+0.5-ValDate)</f>
        <v>0.635894026789306</v>
      </c>
      <c r="L359" s="42" t="n">
        <f aca="false">(1+CEG_Assets!$AE$12)^-(L$3+0.5-ValDate)</f>
        <v>0.578085478899369</v>
      </c>
      <c r="M359" s="42" t="n">
        <f aca="false">(1+CEG_Assets!$AE$12)^-(M$3+0.5-ValDate)</f>
        <v>0.525532253544881</v>
      </c>
      <c r="N359" s="42" t="n">
        <f aca="false">(1+CEG_Assets!$AE$12)^-(N$3+0.5-ValDate)</f>
        <v>0.47775659413171</v>
      </c>
      <c r="O359" s="42" t="n">
        <f aca="false">(1+CEG_Assets!$AE$12)^-(O$3+0.5-ValDate)</f>
        <v>0.434324176483372</v>
      </c>
      <c r="P359" s="42" t="n">
        <f aca="false">(1+CEG_Assets!$AE$12)^-(P$3+0.5-ValDate)</f>
        <v>0.394840160439429</v>
      </c>
      <c r="Q359" s="42" t="n">
        <f aca="false">(1+CEG_Assets!$AE$12)^-(Q$3+0.5-ValDate)</f>
        <v>0.358945600399481</v>
      </c>
      <c r="R359" s="42" t="n">
        <f aca="false">(1+CEG_Assets!$AE$12)^-(R$3+0.5-ValDate)</f>
        <v>0.326314182181347</v>
      </c>
      <c r="S359" s="42" t="n">
        <f aca="false">(1+CEG_Assets!$AE$12)^-(S$3+0.5-ValDate)</f>
        <v>0.296649256528497</v>
      </c>
      <c r="T359" s="42" t="n">
        <f aca="false">(1+CEG_Assets!$AE$12)^-(T$3+0.5-ValDate)</f>
        <v>0.269681142298634</v>
      </c>
      <c r="U359" s="42" t="n">
        <f aca="false">(1+CEG_Assets!$AE$12)^-(U$3+0.5-ValDate)</f>
        <v>0.24516467481694</v>
      </c>
      <c r="V359" s="42" t="n">
        <f aca="false">(1+CEG_Assets!$AE$12)^-(V$3+0.5-ValDate)</f>
        <v>0.222876977106309</v>
      </c>
      <c r="W359" s="42" t="n">
        <f aca="false">(1+CEG_Assets!$AE$12)^-(W$3+0.5-ValDate)</f>
        <v>0.202615433733008</v>
      </c>
      <c r="X359" s="42" t="n">
        <f aca="false">(1+CEG_Assets!$AE$12)^-(X$3+0.5-ValDate)</f>
        <v>0.184195848848189</v>
      </c>
      <c r="Y359" s="42" t="n">
        <f aca="false">(1+CEG_Assets!$AE$12)^-(Y$3+0.5-ValDate)</f>
        <v>0.167450771680172</v>
      </c>
      <c r="Z359" s="42" t="n">
        <f aca="false">(1+CEG_Assets!$AE$12)^-(Z$3+0.5-ValDate)</f>
        <v>0.152227974254702</v>
      </c>
      <c r="AA359" s="42" t="n">
        <f aca="false">(1+CEG_Assets!$AE$12)^-(AA$3+0.5-ValDate)</f>
        <v>0.138389067504274</v>
      </c>
      <c r="AB359" s="42" t="n">
        <f aca="false">(1+CEG_Assets!$AE$12)^-(AB$3+0.5-ValDate)</f>
        <v>0.125808243185704</v>
      </c>
      <c r="AC359" s="42" t="n">
        <f aca="false">(1+CEG_Assets!$AE$12)^-(AC$3+0.5-ValDate)</f>
        <v>0.114371130168822</v>
      </c>
      <c r="AD359" s="42" t="n">
        <f aca="false">(1+CEG_Assets!$AE$12)^-(AD$3+0.5-ValDate)</f>
        <v>0.103973754698929</v>
      </c>
      <c r="AE359" s="42" t="n">
        <f aca="false">(1+CEG_Assets!$AE$12)^-(AE$3+0.5-ValDate)</f>
        <v>0.0945215951808443</v>
      </c>
      <c r="AF359" s="42" t="n">
        <f aca="false">(1+CEG_Assets!$AE$12)^-(AF$3+0.5-ValDate)</f>
        <v>0.0859287228916766</v>
      </c>
      <c r="AG359" s="42" t="n">
        <f aca="false">(1+CEG_Assets!$AE$12)^-(AG$3+0.5-ValDate)</f>
        <v>0.0781170208106151</v>
      </c>
      <c r="AH359" s="42" t="n">
        <f aca="false">(1+CEG_Assets!$AE$12)^-(AH$3+0.5-ValDate)</f>
        <v>0.0710154734641955</v>
      </c>
      <c r="AI359" s="42" t="n">
        <f aca="false">(1+CEG_Assets!$AE$12)^-(AI$3+0.5-ValDate)</f>
        <v>0.0645595213310868</v>
      </c>
      <c r="AJ359" s="42" t="n">
        <f aca="false">(1+CEG_Assets!$AE$12)^-(AJ$3+0.5-ValDate)</f>
        <v>0.0586904739373517</v>
      </c>
      <c r="AK359" s="42" t="n">
        <f aca="false">(1+CEG_Assets!$AE$12)^-(AK$3+0.5-ValDate)</f>
        <v>0.0533549763066833</v>
      </c>
      <c r="AL359" s="42" t="n">
        <f aca="false">(1+CEG_Assets!$AE$12)^-(AL$3+0.5-ValDate)</f>
        <v>0.0485045239151667</v>
      </c>
      <c r="AM359" s="42" t="n">
        <f aca="false">(1+CEG_Assets!$AE$12)^-(AM$3+0.5-ValDate)</f>
        <v>0.0440950217410606</v>
      </c>
      <c r="AN359" s="42" t="n">
        <f aca="false">(1+CEG_Assets!$AE$12)^-(AN$3+0.5-ValDate)</f>
        <v>0.0400863834009642</v>
      </c>
      <c r="AO359" s="42" t="n">
        <f aca="false">(1+CEG_Assets!$AE$12)^-(AO$3+0.5-ValDate)</f>
        <v>0.0364421667281493</v>
      </c>
      <c r="AP359" s="42" t="n">
        <f aca="false">(1+CEG_Assets!$AE$12)^-(AP$3+0.5-ValDate)</f>
        <v>0.0331292424801357</v>
      </c>
      <c r="AQ359" s="42" t="n">
        <f aca="false">(1+CEG_Assets!$AE$12)^-(AQ$3+0.5-ValDate)</f>
        <v>0.0301174931637597</v>
      </c>
      <c r="AR359" s="42" t="n">
        <f aca="false">(1+CEG_Assets!$AE$12)^-(AR$3+0.5-ValDate)</f>
        <v>0.0273795392397815</v>
      </c>
      <c r="AS359" s="42" t="n">
        <f aca="false">(1+CEG_Assets!$AE$12)^-(AS$3+0.5-ValDate)</f>
        <v>0.0248904902179832</v>
      </c>
    </row>
    <row r="360" customFormat="false" ht="15" hidden="false" customHeight="false" outlineLevel="0" collapsed="false">
      <c r="A360" s="6" t="s">
        <v>473</v>
      </c>
      <c r="B360" s="6" t="s">
        <v>474</v>
      </c>
      <c r="G360" s="42" t="n">
        <f aca="false">(1+CEG_Assets!$AF$12)^-(G$3+0.5-ValDate)</f>
        <v>0.931012444622223</v>
      </c>
      <c r="H360" s="42" t="n">
        <f aca="false">(1+CEG_Assets!$AF$12)^-(H$3+0.5-ValDate)</f>
        <v>0.846374949656566</v>
      </c>
      <c r="I360" s="42" t="n">
        <f aca="false">(1+CEG_Assets!$AF$12)^-(I$3+0.5-ValDate)</f>
        <v>0.76943177241506</v>
      </c>
      <c r="J360" s="42" t="n">
        <f aca="false">(1+CEG_Assets!$AF$12)^-(J$3+0.5-ValDate)</f>
        <v>0.699483429468236</v>
      </c>
      <c r="K360" s="42" t="n">
        <f aca="false">(1+CEG_Assets!$AF$12)^-(K$3+0.5-ValDate)</f>
        <v>0.635894026789306</v>
      </c>
      <c r="L360" s="42" t="n">
        <f aca="false">(1+CEG_Assets!$AF$12)^-(L$3+0.5-ValDate)</f>
        <v>0.578085478899369</v>
      </c>
      <c r="M360" s="42" t="n">
        <f aca="false">(1+CEG_Assets!$AF$12)^-(M$3+0.5-ValDate)</f>
        <v>0.525532253544881</v>
      </c>
      <c r="N360" s="42" t="n">
        <f aca="false">(1+CEG_Assets!$AF$12)^-(N$3+0.5-ValDate)</f>
        <v>0.47775659413171</v>
      </c>
      <c r="O360" s="42" t="n">
        <f aca="false">(1+CEG_Assets!$AF$12)^-(O$3+0.5-ValDate)</f>
        <v>0.434324176483372</v>
      </c>
      <c r="P360" s="42" t="n">
        <f aca="false">(1+CEG_Assets!$AF$12)^-(P$3+0.5-ValDate)</f>
        <v>0.394840160439429</v>
      </c>
      <c r="Q360" s="42" t="n">
        <f aca="false">(1+CEG_Assets!$AF$12)^-(Q$3+0.5-ValDate)</f>
        <v>0.358945600399481</v>
      </c>
      <c r="R360" s="42" t="n">
        <f aca="false">(1+CEG_Assets!$AF$12)^-(R$3+0.5-ValDate)</f>
        <v>0.326314182181347</v>
      </c>
      <c r="S360" s="42" t="n">
        <f aca="false">(1+CEG_Assets!$AF$12)^-(S$3+0.5-ValDate)</f>
        <v>0.296649256528497</v>
      </c>
      <c r="T360" s="42" t="n">
        <f aca="false">(1+CEG_Assets!$AF$12)^-(T$3+0.5-ValDate)</f>
        <v>0.269681142298634</v>
      </c>
      <c r="U360" s="42" t="n">
        <f aca="false">(1+CEG_Assets!$AF$12)^-(U$3+0.5-ValDate)</f>
        <v>0.24516467481694</v>
      </c>
      <c r="V360" s="42" t="n">
        <f aca="false">(1+CEG_Assets!$AF$12)^-(V$3+0.5-ValDate)</f>
        <v>0.222876977106309</v>
      </c>
      <c r="W360" s="42" t="n">
        <f aca="false">(1+CEG_Assets!$AF$12)^-(W$3+0.5-ValDate)</f>
        <v>0.202615433733008</v>
      </c>
      <c r="X360" s="42" t="n">
        <f aca="false">(1+CEG_Assets!$AF$12)^-(X$3+0.5-ValDate)</f>
        <v>0.184195848848189</v>
      </c>
      <c r="Y360" s="42" t="n">
        <f aca="false">(1+CEG_Assets!$AF$12)^-(Y$3+0.5-ValDate)</f>
        <v>0.167450771680172</v>
      </c>
      <c r="Z360" s="42" t="n">
        <f aca="false">(1+CEG_Assets!$AF$12)^-(Z$3+0.5-ValDate)</f>
        <v>0.152227974254702</v>
      </c>
      <c r="AA360" s="42" t="n">
        <f aca="false">(1+CEG_Assets!$AF$12)^-(AA$3+0.5-ValDate)</f>
        <v>0.138389067504274</v>
      </c>
      <c r="AB360" s="42" t="n">
        <f aca="false">(1+CEG_Assets!$AF$12)^-(AB$3+0.5-ValDate)</f>
        <v>0.125808243185704</v>
      </c>
      <c r="AC360" s="42" t="n">
        <f aca="false">(1+CEG_Assets!$AF$12)^-(AC$3+0.5-ValDate)</f>
        <v>0.114371130168822</v>
      </c>
      <c r="AD360" s="42" t="n">
        <f aca="false">(1+CEG_Assets!$AF$12)^-(AD$3+0.5-ValDate)</f>
        <v>0.103973754698929</v>
      </c>
      <c r="AE360" s="42" t="n">
        <f aca="false">(1+CEG_Assets!$AF$12)^-(AE$3+0.5-ValDate)</f>
        <v>0.0945215951808443</v>
      </c>
      <c r="AF360" s="42" t="n">
        <f aca="false">(1+CEG_Assets!$AF$12)^-(AF$3+0.5-ValDate)</f>
        <v>0.0859287228916766</v>
      </c>
      <c r="AG360" s="42" t="n">
        <f aca="false">(1+CEG_Assets!$AF$12)^-(AG$3+0.5-ValDate)</f>
        <v>0.0781170208106151</v>
      </c>
      <c r="AH360" s="42" t="n">
        <f aca="false">(1+CEG_Assets!$AF$12)^-(AH$3+0.5-ValDate)</f>
        <v>0.0710154734641955</v>
      </c>
      <c r="AI360" s="42" t="n">
        <f aca="false">(1+CEG_Assets!$AF$12)^-(AI$3+0.5-ValDate)</f>
        <v>0.0645595213310868</v>
      </c>
      <c r="AJ360" s="42" t="n">
        <f aca="false">(1+CEG_Assets!$AF$12)^-(AJ$3+0.5-ValDate)</f>
        <v>0.0586904739373517</v>
      </c>
      <c r="AK360" s="42" t="n">
        <f aca="false">(1+CEG_Assets!$AF$12)^-(AK$3+0.5-ValDate)</f>
        <v>0.0533549763066833</v>
      </c>
      <c r="AL360" s="42" t="n">
        <f aca="false">(1+CEG_Assets!$AF$12)^-(AL$3+0.5-ValDate)</f>
        <v>0.0485045239151667</v>
      </c>
      <c r="AM360" s="42" t="n">
        <f aca="false">(1+CEG_Assets!$AF$12)^-(AM$3+0.5-ValDate)</f>
        <v>0.0440950217410606</v>
      </c>
      <c r="AN360" s="42" t="n">
        <f aca="false">(1+CEG_Assets!$AF$12)^-(AN$3+0.5-ValDate)</f>
        <v>0.0400863834009642</v>
      </c>
      <c r="AO360" s="42" t="n">
        <f aca="false">(1+CEG_Assets!$AF$12)^-(AO$3+0.5-ValDate)</f>
        <v>0.0364421667281493</v>
      </c>
      <c r="AP360" s="42" t="n">
        <f aca="false">(1+CEG_Assets!$AF$12)^-(AP$3+0.5-ValDate)</f>
        <v>0.0331292424801357</v>
      </c>
      <c r="AQ360" s="42" t="n">
        <f aca="false">(1+CEG_Assets!$AF$12)^-(AQ$3+0.5-ValDate)</f>
        <v>0.0301174931637597</v>
      </c>
      <c r="AR360" s="42" t="n">
        <f aca="false">(1+CEG_Assets!$AF$12)^-(AR$3+0.5-ValDate)</f>
        <v>0.0273795392397815</v>
      </c>
      <c r="AS360" s="42" t="n">
        <f aca="false">(1+CEG_Assets!$AF$12)^-(AS$3+0.5-ValDate)</f>
        <v>0.0248904902179832</v>
      </c>
    </row>
    <row r="361" customFormat="false" ht="15" hidden="false" customHeight="false" outlineLevel="0" collapsed="false">
      <c r="A361" s="6" t="s">
        <v>475</v>
      </c>
      <c r="B361" s="6" t="s">
        <v>476</v>
      </c>
      <c r="C361" s="43" t="n">
        <f aca="false">SUM(G361:AS361)</f>
        <v>1464.87581530298</v>
      </c>
      <c r="D361" s="8" t="n">
        <f aca="false">SUMIF($G$3:$AS$3,"&lt;="&amp;Horizon,G361:AS361)</f>
        <v>722.785767262142</v>
      </c>
      <c r="E361" s="8" t="n">
        <f aca="false">(C361-D361)*(1+CEG_Assets!$AE$12)^(Horizon+1-ValDate)</f>
        <v>1112.69341879325</v>
      </c>
      <c r="G361" s="8" t="n">
        <f aca="false">G357*G359</f>
        <v>229.673158500577</v>
      </c>
      <c r="H361" s="8" t="n">
        <f aca="false">H357*H359</f>
        <v>208.21699445527</v>
      </c>
      <c r="I361" s="8" t="n">
        <f aca="false">I357*I359</f>
        <v>156.528679340651</v>
      </c>
      <c r="J361" s="8" t="n">
        <f aca="false">J357*J359</f>
        <v>128.366934965645</v>
      </c>
      <c r="K361" s="8" t="n">
        <f aca="false">K357*K359</f>
        <v>119.031157877235</v>
      </c>
      <c r="L361" s="8" t="n">
        <f aca="false">L357*L359</f>
        <v>110.374346395254</v>
      </c>
      <c r="M361" s="8" t="n">
        <f aca="false">M357*M359</f>
        <v>102.347121202872</v>
      </c>
      <c r="N361" s="8" t="n">
        <f aca="false">N357*N359</f>
        <v>94.9036942062993</v>
      </c>
      <c r="O361" s="8" t="n">
        <f aca="false">O357*O359</f>
        <v>88.0016073549321</v>
      </c>
      <c r="P361" s="8" t="n">
        <f aca="false">P357*P359</f>
        <v>81.6014904563916</v>
      </c>
      <c r="Q361" s="8" t="n">
        <f aca="false">Q357*Q359</f>
        <v>75.6668366050176</v>
      </c>
      <c r="R361" s="8" t="n">
        <f aca="false">R357*R359</f>
        <v>70.1637939428345</v>
      </c>
      <c r="S361" s="8" t="n">
        <f aca="false">S357*S359</f>
        <v>0</v>
      </c>
      <c r="T361" s="8" t="n">
        <f aca="false">T357*T359</f>
        <v>0</v>
      </c>
      <c r="U361" s="8" t="n">
        <f aca="false">U357*U359</f>
        <v>0</v>
      </c>
      <c r="V361" s="8" t="n">
        <f aca="false">V357*V359</f>
        <v>0</v>
      </c>
      <c r="W361" s="8" t="n">
        <f aca="false">W357*W359</f>
        <v>0</v>
      </c>
      <c r="X361" s="8" t="n">
        <f aca="false">X357*X359</f>
        <v>0</v>
      </c>
      <c r="Y361" s="8" t="n">
        <f aca="false">Y357*Y359</f>
        <v>0</v>
      </c>
      <c r="Z361" s="8" t="n">
        <f aca="false">Z357*Z359</f>
        <v>0</v>
      </c>
      <c r="AA361" s="8" t="n">
        <f aca="false">AA357*AA359</f>
        <v>0</v>
      </c>
      <c r="AB361" s="8" t="n">
        <f aca="false">AB357*AB359</f>
        <v>0</v>
      </c>
      <c r="AC361" s="8" t="n">
        <f aca="false">AC357*AC359</f>
        <v>0</v>
      </c>
      <c r="AD361" s="8" t="n">
        <f aca="false">AD357*AD359</f>
        <v>0</v>
      </c>
      <c r="AE361" s="8" t="n">
        <f aca="false">AE357*AE359</f>
        <v>0</v>
      </c>
      <c r="AF361" s="8" t="n">
        <f aca="false">AF357*AF359</f>
        <v>0</v>
      </c>
      <c r="AG361" s="8" t="n">
        <f aca="false">AG357*AG359</f>
        <v>0</v>
      </c>
      <c r="AH361" s="8" t="n">
        <f aca="false">AH357*AH359</f>
        <v>0</v>
      </c>
      <c r="AI361" s="8" t="n">
        <f aca="false">AI357*AI359</f>
        <v>0</v>
      </c>
      <c r="AJ361" s="8" t="n">
        <f aca="false">AJ357*AJ359</f>
        <v>0</v>
      </c>
      <c r="AK361" s="8" t="n">
        <f aca="false">AK357*AK359</f>
        <v>0</v>
      </c>
      <c r="AL361" s="8" t="n">
        <f aca="false">AL357*AL359</f>
        <v>0</v>
      </c>
      <c r="AM361" s="8" t="n">
        <f aca="false">AM357*AM359</f>
        <v>0</v>
      </c>
      <c r="AN361" s="8" t="n">
        <f aca="false">AN357*AN359</f>
        <v>0</v>
      </c>
      <c r="AO361" s="8" t="n">
        <f aca="false">AO357*AO359</f>
        <v>0</v>
      </c>
      <c r="AP361" s="8" t="n">
        <f aca="false">AP357*AP359</f>
        <v>0</v>
      </c>
      <c r="AQ361" s="8" t="n">
        <f aca="false">AQ357*AQ359</f>
        <v>0</v>
      </c>
      <c r="AR361" s="8" t="n">
        <f aca="false">AR357*AR359</f>
        <v>0</v>
      </c>
      <c r="AS361" s="8" t="n">
        <f aca="false">AS357*AS359</f>
        <v>0</v>
      </c>
    </row>
    <row r="362" customFormat="false" ht="15" hidden="false" customHeight="false" outlineLevel="0" collapsed="false">
      <c r="A362" s="6" t="s">
        <v>477</v>
      </c>
      <c r="B362" s="6" t="s">
        <v>478</v>
      </c>
      <c r="C362" s="43" t="n">
        <f aca="false">SUM(G362:AS362)</f>
        <v>0</v>
      </c>
      <c r="D362" s="8" t="n">
        <f aca="false">SUMIF($G$3:$AS$3,"&lt;="&amp;Horizon,G362:AS362)</f>
        <v>0</v>
      </c>
      <c r="E362" s="8" t="n">
        <f aca="false">(C362-D362)*(1+CEG_Assets!$AF$12)^(Horizon+1-ValDate)</f>
        <v>0</v>
      </c>
      <c r="G362" s="8" t="n">
        <f aca="false">G358*G360</f>
        <v>0</v>
      </c>
      <c r="H362" s="8" t="n">
        <f aca="false">H358*H360</f>
        <v>0</v>
      </c>
      <c r="I362" s="8" t="n">
        <f aca="false">I358*I360</f>
        <v>0</v>
      </c>
      <c r="J362" s="8" t="n">
        <f aca="false">J358*J360</f>
        <v>0</v>
      </c>
      <c r="K362" s="8" t="n">
        <f aca="false">K358*K360</f>
        <v>0</v>
      </c>
      <c r="L362" s="8" t="n">
        <f aca="false">L358*L360</f>
        <v>0</v>
      </c>
      <c r="M362" s="8" t="n">
        <f aca="false">M358*M360</f>
        <v>0</v>
      </c>
      <c r="N362" s="8" t="n">
        <f aca="false">N358*N360</f>
        <v>0</v>
      </c>
      <c r="O362" s="8" t="n">
        <f aca="false">O358*O360</f>
        <v>0</v>
      </c>
      <c r="P362" s="8" t="n">
        <f aca="false">P358*P360</f>
        <v>0</v>
      </c>
      <c r="Q362" s="8" t="n">
        <f aca="false">Q358*Q360</f>
        <v>0</v>
      </c>
      <c r="R362" s="8" t="n">
        <f aca="false">R358*R360</f>
        <v>0</v>
      </c>
      <c r="S362" s="8" t="n">
        <f aca="false">S358*S360</f>
        <v>0</v>
      </c>
      <c r="T362" s="8" t="n">
        <f aca="false">T358*T360</f>
        <v>0</v>
      </c>
      <c r="U362" s="8" t="n">
        <f aca="false">U358*U360</f>
        <v>0</v>
      </c>
      <c r="V362" s="8" t="n">
        <f aca="false">V358*V360</f>
        <v>0</v>
      </c>
      <c r="W362" s="8" t="n">
        <f aca="false">W358*W360</f>
        <v>0</v>
      </c>
      <c r="X362" s="8" t="n">
        <f aca="false">X358*X360</f>
        <v>0</v>
      </c>
      <c r="Y362" s="8" t="n">
        <f aca="false">Y358*Y360</f>
        <v>0</v>
      </c>
      <c r="Z362" s="8" t="n">
        <f aca="false">Z358*Z360</f>
        <v>0</v>
      </c>
      <c r="AA362" s="8" t="n">
        <f aca="false">AA358*AA360</f>
        <v>0</v>
      </c>
      <c r="AB362" s="8" t="n">
        <f aca="false">AB358*AB360</f>
        <v>0</v>
      </c>
      <c r="AC362" s="8" t="n">
        <f aca="false">AC358*AC360</f>
        <v>0</v>
      </c>
      <c r="AD362" s="8" t="n">
        <f aca="false">AD358*AD360</f>
        <v>0</v>
      </c>
      <c r="AE362" s="8" t="n">
        <f aca="false">AE358*AE360</f>
        <v>0</v>
      </c>
      <c r="AF362" s="8" t="n">
        <f aca="false">AF358*AF360</f>
        <v>0</v>
      </c>
      <c r="AG362" s="8" t="n">
        <f aca="false">AG358*AG360</f>
        <v>0</v>
      </c>
      <c r="AH362" s="8" t="n">
        <f aca="false">AH358*AH360</f>
        <v>0</v>
      </c>
      <c r="AI362" s="8" t="n">
        <f aca="false">AI358*AI360</f>
        <v>0</v>
      </c>
      <c r="AJ362" s="8" t="n">
        <f aca="false">AJ358*AJ360</f>
        <v>0</v>
      </c>
      <c r="AK362" s="8" t="n">
        <f aca="false">AK358*AK360</f>
        <v>0</v>
      </c>
      <c r="AL362" s="8" t="n">
        <f aca="false">AL358*AL360</f>
        <v>0</v>
      </c>
      <c r="AM362" s="8" t="n">
        <f aca="false">AM358*AM360</f>
        <v>0</v>
      </c>
      <c r="AN362" s="8" t="n">
        <f aca="false">AN358*AN360</f>
        <v>0</v>
      </c>
      <c r="AO362" s="8" t="n">
        <f aca="false">AO358*AO360</f>
        <v>0</v>
      </c>
      <c r="AP362" s="8" t="n">
        <f aca="false">AP358*AP360</f>
        <v>0</v>
      </c>
      <c r="AQ362" s="8" t="n">
        <f aca="false">AQ358*AQ360</f>
        <v>0</v>
      </c>
      <c r="AR362" s="8" t="n">
        <f aca="false">AR358*AR360</f>
        <v>0</v>
      </c>
      <c r="AS362" s="8" t="n">
        <f aca="false">AS358*AS360</f>
        <v>0</v>
      </c>
    </row>
    <row r="363" customFormat="false" ht="15" hidden="false" customHeight="false" outlineLevel="0" collapsed="false">
      <c r="A363" s="6" t="s">
        <v>479</v>
      </c>
      <c r="B363" s="6" t="s">
        <v>480</v>
      </c>
      <c r="C363" s="43" t="n">
        <f aca="false">IF(CEG_Assets!$H$12="$/kW",CEG_Assets!$D$12*CEG_Assets!$AI$12*(1+0.4*(PJMWLR/PJMWLRBase-1))/1000,0)</f>
        <v>0</v>
      </c>
      <c r="E363" s="8" t="n">
        <f aca="false">C363</f>
        <v>0</v>
      </c>
      <c r="G363" s="8" t="n">
        <f aca="false">0</f>
        <v>0</v>
      </c>
      <c r="H363" s="8" t="n">
        <f aca="false">0</f>
        <v>0</v>
      </c>
      <c r="I363" s="8" t="n">
        <f aca="false">0</f>
        <v>0</v>
      </c>
      <c r="J363" s="8" t="n">
        <f aca="false">0</f>
        <v>0</v>
      </c>
      <c r="K363" s="8" t="n">
        <f aca="false">0</f>
        <v>0</v>
      </c>
      <c r="L363" s="8" t="n">
        <f aca="false">0</f>
        <v>0</v>
      </c>
      <c r="M363" s="8" t="n">
        <f aca="false">0</f>
        <v>0</v>
      </c>
      <c r="N363" s="8" t="n">
        <f aca="false">0</f>
        <v>0</v>
      </c>
      <c r="O363" s="8" t="n">
        <f aca="false">0</f>
        <v>0</v>
      </c>
      <c r="P363" s="8" t="n">
        <f aca="false">0</f>
        <v>0</v>
      </c>
      <c r="Q363" s="8" t="n">
        <f aca="false">0</f>
        <v>0</v>
      </c>
      <c r="R363" s="8" t="n">
        <f aca="false">0</f>
        <v>0</v>
      </c>
      <c r="S363" s="8" t="n">
        <f aca="false">0</f>
        <v>0</v>
      </c>
      <c r="T363" s="8" t="n">
        <f aca="false">0</f>
        <v>0</v>
      </c>
      <c r="U363" s="8" t="n">
        <f aca="false">0</f>
        <v>0</v>
      </c>
      <c r="V363" s="8" t="n">
        <f aca="false">0</f>
        <v>0</v>
      </c>
      <c r="W363" s="8" t="n">
        <f aca="false">0</f>
        <v>0</v>
      </c>
      <c r="X363" s="8" t="n">
        <f aca="false">0</f>
        <v>0</v>
      </c>
      <c r="Y363" s="8" t="n">
        <f aca="false">0</f>
        <v>0</v>
      </c>
      <c r="Z363" s="8" t="n">
        <f aca="false">0</f>
        <v>0</v>
      </c>
      <c r="AA363" s="8" t="n">
        <f aca="false">0</f>
        <v>0</v>
      </c>
      <c r="AB363" s="8" t="n">
        <f aca="false">0</f>
        <v>0</v>
      </c>
      <c r="AC363" s="8" t="n">
        <f aca="false">0</f>
        <v>0</v>
      </c>
      <c r="AD363" s="8" t="n">
        <f aca="false">0</f>
        <v>0</v>
      </c>
      <c r="AE363" s="8" t="n">
        <f aca="false">0</f>
        <v>0</v>
      </c>
      <c r="AF363" s="8" t="n">
        <f aca="false">0</f>
        <v>0</v>
      </c>
      <c r="AG363" s="8" t="n">
        <f aca="false">0</f>
        <v>0</v>
      </c>
      <c r="AH363" s="8" t="n">
        <f aca="false">0</f>
        <v>0</v>
      </c>
      <c r="AI363" s="8" t="n">
        <f aca="false">0</f>
        <v>0</v>
      </c>
      <c r="AJ363" s="8" t="n">
        <f aca="false">0</f>
        <v>0</v>
      </c>
      <c r="AK363" s="8" t="n">
        <f aca="false">0</f>
        <v>0</v>
      </c>
      <c r="AL363" s="8" t="n">
        <f aca="false">0</f>
        <v>0</v>
      </c>
      <c r="AM363" s="8" t="n">
        <f aca="false">0</f>
        <v>0</v>
      </c>
      <c r="AN363" s="8" t="n">
        <f aca="false">0</f>
        <v>0</v>
      </c>
      <c r="AO363" s="8" t="n">
        <f aca="false">0</f>
        <v>0</v>
      </c>
      <c r="AP363" s="8" t="n">
        <f aca="false">0</f>
        <v>0</v>
      </c>
      <c r="AQ363" s="8" t="n">
        <f aca="false">0</f>
        <v>0</v>
      </c>
      <c r="AR363" s="8" t="n">
        <f aca="false">0</f>
        <v>0</v>
      </c>
      <c r="AS363" s="8" t="n">
        <f aca="false">0</f>
        <v>0</v>
      </c>
    </row>
    <row r="365" customFormat="false" ht="15" hidden="false" customHeight="false" outlineLevel="0" collapsed="false">
      <c r="A365" s="54" t="str">
        <f aca="false">CEG_Assets!$A$13</f>
        <v>Calpine - ERCOT CCGT (Deer Park, Freestone, Channel, Baytown, etc.)</v>
      </c>
    </row>
    <row r="366" customFormat="false" ht="15" hidden="false" customHeight="false" outlineLevel="0" collapsed="false">
      <c r="A366" s="6" t="s">
        <v>425</v>
      </c>
      <c r="B366" s="6" t="s">
        <v>426</v>
      </c>
      <c r="G366" s="47" t="n">
        <f aca="false">IF(AND(G$3&gt;=CEG_Assets!$E$13,G$3&lt;=CEG_Assets!$F$13,CEG_Assets!$H$13="Cashflow"),1,0)</f>
        <v>1</v>
      </c>
      <c r="H366" s="47" t="n">
        <f aca="false">IF(AND(H$3&gt;=CEG_Assets!$E$13,H$3&lt;=CEG_Assets!$F$13,CEG_Assets!$H$13="Cashflow"),1,0)</f>
        <v>1</v>
      </c>
      <c r="I366" s="47" t="n">
        <f aca="false">IF(AND(I$3&gt;=CEG_Assets!$E$13,I$3&lt;=CEG_Assets!$F$13,CEG_Assets!$H$13="Cashflow"),1,0)</f>
        <v>1</v>
      </c>
      <c r="J366" s="47" t="n">
        <f aca="false">IF(AND(J$3&gt;=CEG_Assets!$E$13,J$3&lt;=CEG_Assets!$F$13,CEG_Assets!$H$13="Cashflow"),1,0)</f>
        <v>1</v>
      </c>
      <c r="K366" s="47" t="n">
        <f aca="false">IF(AND(K$3&gt;=CEG_Assets!$E$13,K$3&lt;=CEG_Assets!$F$13,CEG_Assets!$H$13="Cashflow"),1,0)</f>
        <v>1</v>
      </c>
      <c r="L366" s="47" t="n">
        <f aca="false">IF(AND(L$3&gt;=CEG_Assets!$E$13,L$3&lt;=CEG_Assets!$F$13,CEG_Assets!$H$13="Cashflow"),1,0)</f>
        <v>1</v>
      </c>
      <c r="M366" s="47" t="n">
        <f aca="false">IF(AND(M$3&gt;=CEG_Assets!$E$13,M$3&lt;=CEG_Assets!$F$13,CEG_Assets!$H$13="Cashflow"),1,0)</f>
        <v>1</v>
      </c>
      <c r="N366" s="47" t="n">
        <f aca="false">IF(AND(N$3&gt;=CEG_Assets!$E$13,N$3&lt;=CEG_Assets!$F$13,CEG_Assets!$H$13="Cashflow"),1,0)</f>
        <v>1</v>
      </c>
      <c r="O366" s="47" t="n">
        <f aca="false">IF(AND(O$3&gt;=CEG_Assets!$E$13,O$3&lt;=CEG_Assets!$F$13,CEG_Assets!$H$13="Cashflow"),1,0)</f>
        <v>1</v>
      </c>
      <c r="P366" s="47" t="n">
        <f aca="false">IF(AND(P$3&gt;=CEG_Assets!$E$13,P$3&lt;=CEG_Assets!$F$13,CEG_Assets!$H$13="Cashflow"),1,0)</f>
        <v>1</v>
      </c>
      <c r="Q366" s="47" t="n">
        <f aca="false">IF(AND(Q$3&gt;=CEG_Assets!$E$13,Q$3&lt;=CEG_Assets!$F$13,CEG_Assets!$H$13="Cashflow"),1,0)</f>
        <v>1</v>
      </c>
      <c r="R366" s="47" t="n">
        <f aca="false">IF(AND(R$3&gt;=CEG_Assets!$E$13,R$3&lt;=CEG_Assets!$F$13,CEG_Assets!$H$13="Cashflow"),1,0)</f>
        <v>1</v>
      </c>
      <c r="S366" s="47" t="n">
        <f aca="false">IF(AND(S$3&gt;=CEG_Assets!$E$13,S$3&lt;=CEG_Assets!$F$13,CEG_Assets!$H$13="Cashflow"),1,0)</f>
        <v>1</v>
      </c>
      <c r="T366" s="47" t="n">
        <f aca="false">IF(AND(T$3&gt;=CEG_Assets!$E$13,T$3&lt;=CEG_Assets!$F$13,CEG_Assets!$H$13="Cashflow"),1,0)</f>
        <v>1</v>
      </c>
      <c r="U366" s="47" t="n">
        <f aca="false">IF(AND(U$3&gt;=CEG_Assets!$E$13,U$3&lt;=CEG_Assets!$F$13,CEG_Assets!$H$13="Cashflow"),1,0)</f>
        <v>1</v>
      </c>
      <c r="V366" s="47" t="n">
        <f aca="false">IF(AND(V$3&gt;=CEG_Assets!$E$13,V$3&lt;=CEG_Assets!$F$13,CEG_Assets!$H$13="Cashflow"),1,0)</f>
        <v>1</v>
      </c>
      <c r="W366" s="47" t="n">
        <f aca="false">IF(AND(W$3&gt;=CEG_Assets!$E$13,W$3&lt;=CEG_Assets!$F$13,CEG_Assets!$H$13="Cashflow"),1,0)</f>
        <v>1</v>
      </c>
      <c r="X366" s="47" t="n">
        <f aca="false">IF(AND(X$3&gt;=CEG_Assets!$E$13,X$3&lt;=CEG_Assets!$F$13,CEG_Assets!$H$13="Cashflow"),1,0)</f>
        <v>1</v>
      </c>
      <c r="Y366" s="47" t="n">
        <f aca="false">IF(AND(Y$3&gt;=CEG_Assets!$E$13,Y$3&lt;=CEG_Assets!$F$13,CEG_Assets!$H$13="Cashflow"),1,0)</f>
        <v>1</v>
      </c>
      <c r="Z366" s="47" t="n">
        <f aca="false">IF(AND(Z$3&gt;=CEG_Assets!$E$13,Z$3&lt;=CEG_Assets!$F$13,CEG_Assets!$H$13="Cashflow"),1,0)</f>
        <v>0</v>
      </c>
      <c r="AA366" s="47" t="n">
        <f aca="false">IF(AND(AA$3&gt;=CEG_Assets!$E$13,AA$3&lt;=CEG_Assets!$F$13,CEG_Assets!$H$13="Cashflow"),1,0)</f>
        <v>0</v>
      </c>
      <c r="AB366" s="47" t="n">
        <f aca="false">IF(AND(AB$3&gt;=CEG_Assets!$E$13,AB$3&lt;=CEG_Assets!$F$13,CEG_Assets!$H$13="Cashflow"),1,0)</f>
        <v>0</v>
      </c>
      <c r="AC366" s="47" t="n">
        <f aca="false">IF(AND(AC$3&gt;=CEG_Assets!$E$13,AC$3&lt;=CEG_Assets!$F$13,CEG_Assets!$H$13="Cashflow"),1,0)</f>
        <v>0</v>
      </c>
      <c r="AD366" s="47" t="n">
        <f aca="false">IF(AND(AD$3&gt;=CEG_Assets!$E$13,AD$3&lt;=CEG_Assets!$F$13,CEG_Assets!$H$13="Cashflow"),1,0)</f>
        <v>0</v>
      </c>
      <c r="AE366" s="47" t="n">
        <f aca="false">IF(AND(AE$3&gt;=CEG_Assets!$E$13,AE$3&lt;=CEG_Assets!$F$13,CEG_Assets!$H$13="Cashflow"),1,0)</f>
        <v>0</v>
      </c>
      <c r="AF366" s="47" t="n">
        <f aca="false">IF(AND(AF$3&gt;=CEG_Assets!$E$13,AF$3&lt;=CEG_Assets!$F$13,CEG_Assets!$H$13="Cashflow"),1,0)</f>
        <v>0</v>
      </c>
      <c r="AG366" s="47" t="n">
        <f aca="false">IF(AND(AG$3&gt;=CEG_Assets!$E$13,AG$3&lt;=CEG_Assets!$F$13,CEG_Assets!$H$13="Cashflow"),1,0)</f>
        <v>0</v>
      </c>
      <c r="AH366" s="47" t="n">
        <f aca="false">IF(AND(AH$3&gt;=CEG_Assets!$E$13,AH$3&lt;=CEG_Assets!$F$13,CEG_Assets!$H$13="Cashflow"),1,0)</f>
        <v>0</v>
      </c>
      <c r="AI366" s="47" t="n">
        <f aca="false">IF(AND(AI$3&gt;=CEG_Assets!$E$13,AI$3&lt;=CEG_Assets!$F$13,CEG_Assets!$H$13="Cashflow"),1,0)</f>
        <v>0</v>
      </c>
      <c r="AJ366" s="47" t="n">
        <f aca="false">IF(AND(AJ$3&gt;=CEG_Assets!$E$13,AJ$3&lt;=CEG_Assets!$F$13,CEG_Assets!$H$13="Cashflow"),1,0)</f>
        <v>0</v>
      </c>
      <c r="AK366" s="47" t="n">
        <f aca="false">IF(AND(AK$3&gt;=CEG_Assets!$E$13,AK$3&lt;=CEG_Assets!$F$13,CEG_Assets!$H$13="Cashflow"),1,0)</f>
        <v>0</v>
      </c>
      <c r="AL366" s="47" t="n">
        <f aca="false">IF(AND(AL$3&gt;=CEG_Assets!$E$13,AL$3&lt;=CEG_Assets!$F$13,CEG_Assets!$H$13="Cashflow"),1,0)</f>
        <v>0</v>
      </c>
      <c r="AM366" s="47" t="n">
        <f aca="false">IF(AND(AM$3&gt;=CEG_Assets!$E$13,AM$3&lt;=CEG_Assets!$F$13,CEG_Assets!$H$13="Cashflow"),1,0)</f>
        <v>0</v>
      </c>
      <c r="AN366" s="47" t="n">
        <f aca="false">IF(AND(AN$3&gt;=CEG_Assets!$E$13,AN$3&lt;=CEG_Assets!$F$13,CEG_Assets!$H$13="Cashflow"),1,0)</f>
        <v>0</v>
      </c>
      <c r="AO366" s="47" t="n">
        <f aca="false">IF(AND(AO$3&gt;=CEG_Assets!$E$13,AO$3&lt;=CEG_Assets!$F$13,CEG_Assets!$H$13="Cashflow"),1,0)</f>
        <v>0</v>
      </c>
      <c r="AP366" s="47" t="n">
        <f aca="false">IF(AND(AP$3&gt;=CEG_Assets!$E$13,AP$3&lt;=CEG_Assets!$F$13,CEG_Assets!$H$13="Cashflow"),1,0)</f>
        <v>0</v>
      </c>
      <c r="AQ366" s="47" t="n">
        <f aca="false">IF(AND(AQ$3&gt;=CEG_Assets!$E$13,AQ$3&lt;=CEG_Assets!$F$13,CEG_Assets!$H$13="Cashflow"),1,0)</f>
        <v>0</v>
      </c>
      <c r="AR366" s="47" t="n">
        <f aca="false">IF(AND(AR$3&gt;=CEG_Assets!$E$13,AR$3&lt;=CEG_Assets!$F$13,CEG_Assets!$H$13="Cashflow"),1,0)</f>
        <v>0</v>
      </c>
      <c r="AS366" s="47" t="n">
        <f aca="false">IF(AND(AS$3&gt;=CEG_Assets!$E$13,AS$3&lt;=CEG_Assets!$F$13,CEG_Assets!$H$13="Cashflow"),1,0)</f>
        <v>0</v>
      </c>
    </row>
    <row r="367" customFormat="false" ht="15" hidden="false" customHeight="false" outlineLevel="0" collapsed="false">
      <c r="A367" s="6" t="s">
        <v>427</v>
      </c>
      <c r="B367" s="6" t="s">
        <v>428</v>
      </c>
      <c r="G367" s="9" t="n">
        <f aca="false">IF(AND(G$3&gt;=CEG_Assets!$AA$13,G$3&lt;=CEG_Assets!$AB$13),MIN(CEG_Assets!$D$13,CEG_Assets!$Z$13*MIN(1,(G$3-CEG_Assets!$AA$13+1)/MAX(1,CEG_Assets!$AC$13))),0)*G366</f>
        <v>0</v>
      </c>
      <c r="H367" s="9" t="n">
        <f aca="false">IF(AND(H$3&gt;=CEG_Assets!$AA$13,H$3&lt;=CEG_Assets!$AB$13),MIN(CEG_Assets!$D$13,CEG_Assets!$Z$13*MIN(1,(H$3-CEG_Assets!$AA$13+1)/MAX(1,CEG_Assets!$AC$13))),0)*H366</f>
        <v>0</v>
      </c>
      <c r="I367" s="9" t="n">
        <f aca="false">IF(AND(I$3&gt;=CEG_Assets!$AA$13,I$3&lt;=CEG_Assets!$AB$13),MIN(CEG_Assets!$D$13,CEG_Assets!$Z$13*MIN(1,(I$3-CEG_Assets!$AA$13+1)/MAX(1,CEG_Assets!$AC$13))),0)*I366</f>
        <v>0</v>
      </c>
      <c r="J367" s="9" t="n">
        <f aca="false">IF(AND(J$3&gt;=CEG_Assets!$AA$13,J$3&lt;=CEG_Assets!$AB$13),MIN(CEG_Assets!$D$13,CEG_Assets!$Z$13*MIN(1,(J$3-CEG_Assets!$AA$13+1)/MAX(1,CEG_Assets!$AC$13))),0)*J366</f>
        <v>0</v>
      </c>
      <c r="K367" s="9" t="n">
        <f aca="false">IF(AND(K$3&gt;=CEG_Assets!$AA$13,K$3&lt;=CEG_Assets!$AB$13),MIN(CEG_Assets!$D$13,CEG_Assets!$Z$13*MIN(1,(K$3-CEG_Assets!$AA$13+1)/MAX(1,CEG_Assets!$AC$13))),0)*K366</f>
        <v>0</v>
      </c>
      <c r="L367" s="9" t="n">
        <f aca="false">IF(AND(L$3&gt;=CEG_Assets!$AA$13,L$3&lt;=CEG_Assets!$AB$13),MIN(CEG_Assets!$D$13,CEG_Assets!$Z$13*MIN(1,(L$3-CEG_Assets!$AA$13+1)/MAX(1,CEG_Assets!$AC$13))),0)*L366</f>
        <v>0</v>
      </c>
      <c r="M367" s="9" t="n">
        <f aca="false">IF(AND(M$3&gt;=CEG_Assets!$AA$13,M$3&lt;=CEG_Assets!$AB$13),MIN(CEG_Assets!$D$13,CEG_Assets!$Z$13*MIN(1,(M$3-CEG_Assets!$AA$13+1)/MAX(1,CEG_Assets!$AC$13))),0)*M366</f>
        <v>0</v>
      </c>
      <c r="N367" s="9" t="n">
        <f aca="false">IF(AND(N$3&gt;=CEG_Assets!$AA$13,N$3&lt;=CEG_Assets!$AB$13),MIN(CEG_Assets!$D$13,CEG_Assets!$Z$13*MIN(1,(N$3-CEG_Assets!$AA$13+1)/MAX(1,CEG_Assets!$AC$13))),0)*N366</f>
        <v>0</v>
      </c>
      <c r="O367" s="9" t="n">
        <f aca="false">IF(AND(O$3&gt;=CEG_Assets!$AA$13,O$3&lt;=CEG_Assets!$AB$13),MIN(CEG_Assets!$D$13,CEG_Assets!$Z$13*MIN(1,(O$3-CEG_Assets!$AA$13+1)/MAX(1,CEG_Assets!$AC$13))),0)*O366</f>
        <v>0</v>
      </c>
      <c r="P367" s="9" t="n">
        <f aca="false">IF(AND(P$3&gt;=CEG_Assets!$AA$13,P$3&lt;=CEG_Assets!$AB$13),MIN(CEG_Assets!$D$13,CEG_Assets!$Z$13*MIN(1,(P$3-CEG_Assets!$AA$13+1)/MAX(1,CEG_Assets!$AC$13))),0)*P366</f>
        <v>0</v>
      </c>
      <c r="Q367" s="9" t="n">
        <f aca="false">IF(AND(Q$3&gt;=CEG_Assets!$AA$13,Q$3&lt;=CEG_Assets!$AB$13),MIN(CEG_Assets!$D$13,CEG_Assets!$Z$13*MIN(1,(Q$3-CEG_Assets!$AA$13+1)/MAX(1,CEG_Assets!$AC$13))),0)*Q366</f>
        <v>0</v>
      </c>
      <c r="R367" s="9" t="n">
        <f aca="false">IF(AND(R$3&gt;=CEG_Assets!$AA$13,R$3&lt;=CEG_Assets!$AB$13),MIN(CEG_Assets!$D$13,CEG_Assets!$Z$13*MIN(1,(R$3-CEG_Assets!$AA$13+1)/MAX(1,CEG_Assets!$AC$13))),0)*R366</f>
        <v>0</v>
      </c>
      <c r="S367" s="9" t="n">
        <f aca="false">IF(AND(S$3&gt;=CEG_Assets!$AA$13,S$3&lt;=CEG_Assets!$AB$13),MIN(CEG_Assets!$D$13,CEG_Assets!$Z$13*MIN(1,(S$3-CEG_Assets!$AA$13+1)/MAX(1,CEG_Assets!$AC$13))),0)*S366</f>
        <v>0</v>
      </c>
      <c r="T367" s="9" t="n">
        <f aca="false">IF(AND(T$3&gt;=CEG_Assets!$AA$13,T$3&lt;=CEG_Assets!$AB$13),MIN(CEG_Assets!$D$13,CEG_Assets!$Z$13*MIN(1,(T$3-CEG_Assets!$AA$13+1)/MAX(1,CEG_Assets!$AC$13))),0)*T366</f>
        <v>0</v>
      </c>
      <c r="U367" s="9" t="n">
        <f aca="false">IF(AND(U$3&gt;=CEG_Assets!$AA$13,U$3&lt;=CEG_Assets!$AB$13),MIN(CEG_Assets!$D$13,CEG_Assets!$Z$13*MIN(1,(U$3-CEG_Assets!$AA$13+1)/MAX(1,CEG_Assets!$AC$13))),0)*U366</f>
        <v>0</v>
      </c>
      <c r="V367" s="9" t="n">
        <f aca="false">IF(AND(V$3&gt;=CEG_Assets!$AA$13,V$3&lt;=CEG_Assets!$AB$13),MIN(CEG_Assets!$D$13,CEG_Assets!$Z$13*MIN(1,(V$3-CEG_Assets!$AA$13+1)/MAX(1,CEG_Assets!$AC$13))),0)*V366</f>
        <v>0</v>
      </c>
      <c r="W367" s="9" t="n">
        <f aca="false">IF(AND(W$3&gt;=CEG_Assets!$AA$13,W$3&lt;=CEG_Assets!$AB$13),MIN(CEG_Assets!$D$13,CEG_Assets!$Z$13*MIN(1,(W$3-CEG_Assets!$AA$13+1)/MAX(1,CEG_Assets!$AC$13))),0)*W366</f>
        <v>0</v>
      </c>
      <c r="X367" s="9" t="n">
        <f aca="false">IF(AND(X$3&gt;=CEG_Assets!$AA$13,X$3&lt;=CEG_Assets!$AB$13),MIN(CEG_Assets!$D$13,CEG_Assets!$Z$13*MIN(1,(X$3-CEG_Assets!$AA$13+1)/MAX(1,CEG_Assets!$AC$13))),0)*X366</f>
        <v>0</v>
      </c>
      <c r="Y367" s="9" t="n">
        <f aca="false">IF(AND(Y$3&gt;=CEG_Assets!$AA$13,Y$3&lt;=CEG_Assets!$AB$13),MIN(CEG_Assets!$D$13,CEG_Assets!$Z$13*MIN(1,(Y$3-CEG_Assets!$AA$13+1)/MAX(1,CEG_Assets!$AC$13))),0)*Y366</f>
        <v>0</v>
      </c>
      <c r="Z367" s="9" t="n">
        <f aca="false">IF(AND(Z$3&gt;=CEG_Assets!$AA$13,Z$3&lt;=CEG_Assets!$AB$13),MIN(CEG_Assets!$D$13,CEG_Assets!$Z$13*MIN(1,(Z$3-CEG_Assets!$AA$13+1)/MAX(1,CEG_Assets!$AC$13))),0)*Z366</f>
        <v>0</v>
      </c>
      <c r="AA367" s="9" t="n">
        <f aca="false">IF(AND(AA$3&gt;=CEG_Assets!$AA$13,AA$3&lt;=CEG_Assets!$AB$13),MIN(CEG_Assets!$D$13,CEG_Assets!$Z$13*MIN(1,(AA$3-CEG_Assets!$AA$13+1)/MAX(1,CEG_Assets!$AC$13))),0)*AA366</f>
        <v>0</v>
      </c>
      <c r="AB367" s="9" t="n">
        <f aca="false">IF(AND(AB$3&gt;=CEG_Assets!$AA$13,AB$3&lt;=CEG_Assets!$AB$13),MIN(CEG_Assets!$D$13,CEG_Assets!$Z$13*MIN(1,(AB$3-CEG_Assets!$AA$13+1)/MAX(1,CEG_Assets!$AC$13))),0)*AB366</f>
        <v>0</v>
      </c>
      <c r="AC367" s="9" t="n">
        <f aca="false">IF(AND(AC$3&gt;=CEG_Assets!$AA$13,AC$3&lt;=CEG_Assets!$AB$13),MIN(CEG_Assets!$D$13,CEG_Assets!$Z$13*MIN(1,(AC$3-CEG_Assets!$AA$13+1)/MAX(1,CEG_Assets!$AC$13))),0)*AC366</f>
        <v>0</v>
      </c>
      <c r="AD367" s="9" t="n">
        <f aca="false">IF(AND(AD$3&gt;=CEG_Assets!$AA$13,AD$3&lt;=CEG_Assets!$AB$13),MIN(CEG_Assets!$D$13,CEG_Assets!$Z$13*MIN(1,(AD$3-CEG_Assets!$AA$13+1)/MAX(1,CEG_Assets!$AC$13))),0)*AD366</f>
        <v>0</v>
      </c>
      <c r="AE367" s="9" t="n">
        <f aca="false">IF(AND(AE$3&gt;=CEG_Assets!$AA$13,AE$3&lt;=CEG_Assets!$AB$13),MIN(CEG_Assets!$D$13,CEG_Assets!$Z$13*MIN(1,(AE$3-CEG_Assets!$AA$13+1)/MAX(1,CEG_Assets!$AC$13))),0)*AE366</f>
        <v>0</v>
      </c>
      <c r="AF367" s="9" t="n">
        <f aca="false">IF(AND(AF$3&gt;=CEG_Assets!$AA$13,AF$3&lt;=CEG_Assets!$AB$13),MIN(CEG_Assets!$D$13,CEG_Assets!$Z$13*MIN(1,(AF$3-CEG_Assets!$AA$13+1)/MAX(1,CEG_Assets!$AC$13))),0)*AF366</f>
        <v>0</v>
      </c>
      <c r="AG367" s="9" t="n">
        <f aca="false">IF(AND(AG$3&gt;=CEG_Assets!$AA$13,AG$3&lt;=CEG_Assets!$AB$13),MIN(CEG_Assets!$D$13,CEG_Assets!$Z$13*MIN(1,(AG$3-CEG_Assets!$AA$13+1)/MAX(1,CEG_Assets!$AC$13))),0)*AG366</f>
        <v>0</v>
      </c>
      <c r="AH367" s="9" t="n">
        <f aca="false">IF(AND(AH$3&gt;=CEG_Assets!$AA$13,AH$3&lt;=CEG_Assets!$AB$13),MIN(CEG_Assets!$D$13,CEG_Assets!$Z$13*MIN(1,(AH$3-CEG_Assets!$AA$13+1)/MAX(1,CEG_Assets!$AC$13))),0)*AH366</f>
        <v>0</v>
      </c>
      <c r="AI367" s="9" t="n">
        <f aca="false">IF(AND(AI$3&gt;=CEG_Assets!$AA$13,AI$3&lt;=CEG_Assets!$AB$13),MIN(CEG_Assets!$D$13,CEG_Assets!$Z$13*MIN(1,(AI$3-CEG_Assets!$AA$13+1)/MAX(1,CEG_Assets!$AC$13))),0)*AI366</f>
        <v>0</v>
      </c>
      <c r="AJ367" s="9" t="n">
        <f aca="false">IF(AND(AJ$3&gt;=CEG_Assets!$AA$13,AJ$3&lt;=CEG_Assets!$AB$13),MIN(CEG_Assets!$D$13,CEG_Assets!$Z$13*MIN(1,(AJ$3-CEG_Assets!$AA$13+1)/MAX(1,CEG_Assets!$AC$13))),0)*AJ366</f>
        <v>0</v>
      </c>
      <c r="AK367" s="9" t="n">
        <f aca="false">IF(AND(AK$3&gt;=CEG_Assets!$AA$13,AK$3&lt;=CEG_Assets!$AB$13),MIN(CEG_Assets!$D$13,CEG_Assets!$Z$13*MIN(1,(AK$3-CEG_Assets!$AA$13+1)/MAX(1,CEG_Assets!$AC$13))),0)*AK366</f>
        <v>0</v>
      </c>
      <c r="AL367" s="9" t="n">
        <f aca="false">IF(AND(AL$3&gt;=CEG_Assets!$AA$13,AL$3&lt;=CEG_Assets!$AB$13),MIN(CEG_Assets!$D$13,CEG_Assets!$Z$13*MIN(1,(AL$3-CEG_Assets!$AA$13+1)/MAX(1,CEG_Assets!$AC$13))),0)*AL366</f>
        <v>0</v>
      </c>
      <c r="AM367" s="9" t="n">
        <f aca="false">IF(AND(AM$3&gt;=CEG_Assets!$AA$13,AM$3&lt;=CEG_Assets!$AB$13),MIN(CEG_Assets!$D$13,CEG_Assets!$Z$13*MIN(1,(AM$3-CEG_Assets!$AA$13+1)/MAX(1,CEG_Assets!$AC$13))),0)*AM366</f>
        <v>0</v>
      </c>
      <c r="AN367" s="9" t="n">
        <f aca="false">IF(AND(AN$3&gt;=CEG_Assets!$AA$13,AN$3&lt;=CEG_Assets!$AB$13),MIN(CEG_Assets!$D$13,CEG_Assets!$Z$13*MIN(1,(AN$3-CEG_Assets!$AA$13+1)/MAX(1,CEG_Assets!$AC$13))),0)*AN366</f>
        <v>0</v>
      </c>
      <c r="AO367" s="9" t="n">
        <f aca="false">IF(AND(AO$3&gt;=CEG_Assets!$AA$13,AO$3&lt;=CEG_Assets!$AB$13),MIN(CEG_Assets!$D$13,CEG_Assets!$Z$13*MIN(1,(AO$3-CEG_Assets!$AA$13+1)/MAX(1,CEG_Assets!$AC$13))),0)*AO366</f>
        <v>0</v>
      </c>
      <c r="AP367" s="9" t="n">
        <f aca="false">IF(AND(AP$3&gt;=CEG_Assets!$AA$13,AP$3&lt;=CEG_Assets!$AB$13),MIN(CEG_Assets!$D$13,CEG_Assets!$Z$13*MIN(1,(AP$3-CEG_Assets!$AA$13+1)/MAX(1,CEG_Assets!$AC$13))),0)*AP366</f>
        <v>0</v>
      </c>
      <c r="AQ367" s="9" t="n">
        <f aca="false">IF(AND(AQ$3&gt;=CEG_Assets!$AA$13,AQ$3&lt;=CEG_Assets!$AB$13),MIN(CEG_Assets!$D$13,CEG_Assets!$Z$13*MIN(1,(AQ$3-CEG_Assets!$AA$13+1)/MAX(1,CEG_Assets!$AC$13))),0)*AQ366</f>
        <v>0</v>
      </c>
      <c r="AR367" s="9" t="n">
        <f aca="false">IF(AND(AR$3&gt;=CEG_Assets!$AA$13,AR$3&lt;=CEG_Assets!$AB$13),MIN(CEG_Assets!$D$13,CEG_Assets!$Z$13*MIN(1,(AR$3-CEG_Assets!$AA$13+1)/MAX(1,CEG_Assets!$AC$13))),0)*AR366</f>
        <v>0</v>
      </c>
      <c r="AS367" s="9" t="n">
        <f aca="false">IF(AND(AS$3&gt;=CEG_Assets!$AA$13,AS$3&lt;=CEG_Assets!$AB$13),MIN(CEG_Assets!$D$13,CEG_Assets!$Z$13*MIN(1,(AS$3-CEG_Assets!$AA$13+1)/MAX(1,CEG_Assets!$AC$13))),0)*AS366</f>
        <v>0</v>
      </c>
    </row>
    <row r="368" customFormat="false" ht="15" hidden="false" customHeight="false" outlineLevel="0" collapsed="false">
      <c r="A368" s="6" t="s">
        <v>429</v>
      </c>
      <c r="B368" s="6" t="s">
        <v>430</v>
      </c>
      <c r="G368" s="9" t="n">
        <f aca="false">(CEG_Assets!$D$13-G367)*8760*CEG_Assets!$I$13*G366</f>
        <v>33726000</v>
      </c>
      <c r="H368" s="9" t="n">
        <f aca="false">(CEG_Assets!$D$13-H367)*8760*CEG_Assets!$I$13*H366</f>
        <v>33726000</v>
      </c>
      <c r="I368" s="9" t="n">
        <f aca="false">(CEG_Assets!$D$13-I367)*8760*CEG_Assets!$I$13*I366</f>
        <v>33726000</v>
      </c>
      <c r="J368" s="9" t="n">
        <f aca="false">(CEG_Assets!$D$13-J367)*8760*CEG_Assets!$I$13*J366</f>
        <v>33726000</v>
      </c>
      <c r="K368" s="9" t="n">
        <f aca="false">(CEG_Assets!$D$13-K367)*8760*CEG_Assets!$I$13*K366</f>
        <v>33726000</v>
      </c>
      <c r="L368" s="9" t="n">
        <f aca="false">(CEG_Assets!$D$13-L367)*8760*CEG_Assets!$I$13*L366</f>
        <v>33726000</v>
      </c>
      <c r="M368" s="9" t="n">
        <f aca="false">(CEG_Assets!$D$13-M367)*8760*CEG_Assets!$I$13*M366</f>
        <v>33726000</v>
      </c>
      <c r="N368" s="9" t="n">
        <f aca="false">(CEG_Assets!$D$13-N367)*8760*CEG_Assets!$I$13*N366</f>
        <v>33726000</v>
      </c>
      <c r="O368" s="9" t="n">
        <f aca="false">(CEG_Assets!$D$13-O367)*8760*CEG_Assets!$I$13*O366</f>
        <v>33726000</v>
      </c>
      <c r="P368" s="9" t="n">
        <f aca="false">(CEG_Assets!$D$13-P367)*8760*CEG_Assets!$I$13*P366</f>
        <v>33726000</v>
      </c>
      <c r="Q368" s="9" t="n">
        <f aca="false">(CEG_Assets!$D$13-Q367)*8760*CEG_Assets!$I$13*Q366</f>
        <v>33726000</v>
      </c>
      <c r="R368" s="9" t="n">
        <f aca="false">(CEG_Assets!$D$13-R367)*8760*CEG_Assets!$I$13*R366</f>
        <v>33726000</v>
      </c>
      <c r="S368" s="9" t="n">
        <f aca="false">(CEG_Assets!$D$13-S367)*8760*CEG_Assets!$I$13*S366</f>
        <v>33726000</v>
      </c>
      <c r="T368" s="9" t="n">
        <f aca="false">(CEG_Assets!$D$13-T367)*8760*CEG_Assets!$I$13*T366</f>
        <v>33726000</v>
      </c>
      <c r="U368" s="9" t="n">
        <f aca="false">(CEG_Assets!$D$13-U367)*8760*CEG_Assets!$I$13*U366</f>
        <v>33726000</v>
      </c>
      <c r="V368" s="9" t="n">
        <f aca="false">(CEG_Assets!$D$13-V367)*8760*CEG_Assets!$I$13*V366</f>
        <v>33726000</v>
      </c>
      <c r="W368" s="9" t="n">
        <f aca="false">(CEG_Assets!$D$13-W367)*8760*CEG_Assets!$I$13*W366</f>
        <v>33726000</v>
      </c>
      <c r="X368" s="9" t="n">
        <f aca="false">(CEG_Assets!$D$13-X367)*8760*CEG_Assets!$I$13*X366</f>
        <v>33726000</v>
      </c>
      <c r="Y368" s="9" t="n">
        <f aca="false">(CEG_Assets!$D$13-Y367)*8760*CEG_Assets!$I$13*Y366</f>
        <v>33726000</v>
      </c>
      <c r="Z368" s="9" t="n">
        <f aca="false">(CEG_Assets!$D$13-Z367)*8760*CEG_Assets!$I$13*Z366</f>
        <v>0</v>
      </c>
      <c r="AA368" s="9" t="n">
        <f aca="false">(CEG_Assets!$D$13-AA367)*8760*CEG_Assets!$I$13*AA366</f>
        <v>0</v>
      </c>
      <c r="AB368" s="9" t="n">
        <f aca="false">(CEG_Assets!$D$13-AB367)*8760*CEG_Assets!$I$13*AB366</f>
        <v>0</v>
      </c>
      <c r="AC368" s="9" t="n">
        <f aca="false">(CEG_Assets!$D$13-AC367)*8760*CEG_Assets!$I$13*AC366</f>
        <v>0</v>
      </c>
      <c r="AD368" s="9" t="n">
        <f aca="false">(CEG_Assets!$D$13-AD367)*8760*CEG_Assets!$I$13*AD366</f>
        <v>0</v>
      </c>
      <c r="AE368" s="9" t="n">
        <f aca="false">(CEG_Assets!$D$13-AE367)*8760*CEG_Assets!$I$13*AE366</f>
        <v>0</v>
      </c>
      <c r="AF368" s="9" t="n">
        <f aca="false">(CEG_Assets!$D$13-AF367)*8760*CEG_Assets!$I$13*AF366</f>
        <v>0</v>
      </c>
      <c r="AG368" s="9" t="n">
        <f aca="false">(CEG_Assets!$D$13-AG367)*8760*CEG_Assets!$I$13*AG366</f>
        <v>0</v>
      </c>
      <c r="AH368" s="9" t="n">
        <f aca="false">(CEG_Assets!$D$13-AH367)*8760*CEG_Assets!$I$13*AH366</f>
        <v>0</v>
      </c>
      <c r="AI368" s="9" t="n">
        <f aca="false">(CEG_Assets!$D$13-AI367)*8760*CEG_Assets!$I$13*AI366</f>
        <v>0</v>
      </c>
      <c r="AJ368" s="9" t="n">
        <f aca="false">(CEG_Assets!$D$13-AJ367)*8760*CEG_Assets!$I$13*AJ366</f>
        <v>0</v>
      </c>
      <c r="AK368" s="9" t="n">
        <f aca="false">(CEG_Assets!$D$13-AK367)*8760*CEG_Assets!$I$13*AK366</f>
        <v>0</v>
      </c>
      <c r="AL368" s="9" t="n">
        <f aca="false">(CEG_Assets!$D$13-AL367)*8760*CEG_Assets!$I$13*AL366</f>
        <v>0</v>
      </c>
      <c r="AM368" s="9" t="n">
        <f aca="false">(CEG_Assets!$D$13-AM367)*8760*CEG_Assets!$I$13*AM366</f>
        <v>0</v>
      </c>
      <c r="AN368" s="9" t="n">
        <f aca="false">(CEG_Assets!$D$13-AN367)*8760*CEG_Assets!$I$13*AN366</f>
        <v>0</v>
      </c>
      <c r="AO368" s="9" t="n">
        <f aca="false">(CEG_Assets!$D$13-AO367)*8760*CEG_Assets!$I$13*AO366</f>
        <v>0</v>
      </c>
      <c r="AP368" s="9" t="n">
        <f aca="false">(CEG_Assets!$D$13-AP367)*8760*CEG_Assets!$I$13*AP366</f>
        <v>0</v>
      </c>
      <c r="AQ368" s="9" t="n">
        <f aca="false">(CEG_Assets!$D$13-AQ367)*8760*CEG_Assets!$I$13*AQ366</f>
        <v>0</v>
      </c>
      <c r="AR368" s="9" t="n">
        <f aca="false">(CEG_Assets!$D$13-AR367)*8760*CEG_Assets!$I$13*AR366</f>
        <v>0</v>
      </c>
      <c r="AS368" s="9" t="n">
        <f aca="false">(CEG_Assets!$D$13-AS367)*8760*CEG_Assets!$I$13*AS366</f>
        <v>0</v>
      </c>
    </row>
    <row r="369" customFormat="false" ht="15" hidden="false" customHeight="false" outlineLevel="0" collapsed="false">
      <c r="A369" s="6" t="s">
        <v>431</v>
      </c>
      <c r="B369" s="6" t="s">
        <v>432</v>
      </c>
      <c r="G369" s="9" t="n">
        <f aca="false">G367*8760*CEG_Assets!$I$13*G366</f>
        <v>0</v>
      </c>
      <c r="H369" s="9" t="n">
        <f aca="false">H367*8760*CEG_Assets!$I$13*H366</f>
        <v>0</v>
      </c>
      <c r="I369" s="9" t="n">
        <f aca="false">I367*8760*CEG_Assets!$I$13*I366</f>
        <v>0</v>
      </c>
      <c r="J369" s="9" t="n">
        <f aca="false">J367*8760*CEG_Assets!$I$13*J366</f>
        <v>0</v>
      </c>
      <c r="K369" s="9" t="n">
        <f aca="false">K367*8760*CEG_Assets!$I$13*K366</f>
        <v>0</v>
      </c>
      <c r="L369" s="9" t="n">
        <f aca="false">L367*8760*CEG_Assets!$I$13*L366</f>
        <v>0</v>
      </c>
      <c r="M369" s="9" t="n">
        <f aca="false">M367*8760*CEG_Assets!$I$13*M366</f>
        <v>0</v>
      </c>
      <c r="N369" s="9" t="n">
        <f aca="false">N367*8760*CEG_Assets!$I$13*N366</f>
        <v>0</v>
      </c>
      <c r="O369" s="9" t="n">
        <f aca="false">O367*8760*CEG_Assets!$I$13*O366</f>
        <v>0</v>
      </c>
      <c r="P369" s="9" t="n">
        <f aca="false">P367*8760*CEG_Assets!$I$13*P366</f>
        <v>0</v>
      </c>
      <c r="Q369" s="9" t="n">
        <f aca="false">Q367*8760*CEG_Assets!$I$13*Q366</f>
        <v>0</v>
      </c>
      <c r="R369" s="9" t="n">
        <f aca="false">R367*8760*CEG_Assets!$I$13*R366</f>
        <v>0</v>
      </c>
      <c r="S369" s="9" t="n">
        <f aca="false">S367*8760*CEG_Assets!$I$13*S366</f>
        <v>0</v>
      </c>
      <c r="T369" s="9" t="n">
        <f aca="false">T367*8760*CEG_Assets!$I$13*T366</f>
        <v>0</v>
      </c>
      <c r="U369" s="9" t="n">
        <f aca="false">U367*8760*CEG_Assets!$I$13*U366</f>
        <v>0</v>
      </c>
      <c r="V369" s="9" t="n">
        <f aca="false">V367*8760*CEG_Assets!$I$13*V366</f>
        <v>0</v>
      </c>
      <c r="W369" s="9" t="n">
        <f aca="false">W367*8760*CEG_Assets!$I$13*W366</f>
        <v>0</v>
      </c>
      <c r="X369" s="9" t="n">
        <f aca="false">X367*8760*CEG_Assets!$I$13*X366</f>
        <v>0</v>
      </c>
      <c r="Y369" s="9" t="n">
        <f aca="false">Y367*8760*CEG_Assets!$I$13*Y366</f>
        <v>0</v>
      </c>
      <c r="Z369" s="9" t="n">
        <f aca="false">Z367*8760*CEG_Assets!$I$13*Z366</f>
        <v>0</v>
      </c>
      <c r="AA369" s="9" t="n">
        <f aca="false">AA367*8760*CEG_Assets!$I$13*AA366</f>
        <v>0</v>
      </c>
      <c r="AB369" s="9" t="n">
        <f aca="false">AB367*8760*CEG_Assets!$I$13*AB366</f>
        <v>0</v>
      </c>
      <c r="AC369" s="9" t="n">
        <f aca="false">AC367*8760*CEG_Assets!$I$13*AC366</f>
        <v>0</v>
      </c>
      <c r="AD369" s="9" t="n">
        <f aca="false">AD367*8760*CEG_Assets!$I$13*AD366</f>
        <v>0</v>
      </c>
      <c r="AE369" s="9" t="n">
        <f aca="false">AE367*8760*CEG_Assets!$I$13*AE366</f>
        <v>0</v>
      </c>
      <c r="AF369" s="9" t="n">
        <f aca="false">AF367*8760*CEG_Assets!$I$13*AF366</f>
        <v>0</v>
      </c>
      <c r="AG369" s="9" t="n">
        <f aca="false">AG367*8760*CEG_Assets!$I$13*AG366</f>
        <v>0</v>
      </c>
      <c r="AH369" s="9" t="n">
        <f aca="false">AH367*8760*CEG_Assets!$I$13*AH366</f>
        <v>0</v>
      </c>
      <c r="AI369" s="9" t="n">
        <f aca="false">AI367*8760*CEG_Assets!$I$13*AI366</f>
        <v>0</v>
      </c>
      <c r="AJ369" s="9" t="n">
        <f aca="false">AJ367*8760*CEG_Assets!$I$13*AJ366</f>
        <v>0</v>
      </c>
      <c r="AK369" s="9" t="n">
        <f aca="false">AK367*8760*CEG_Assets!$I$13*AK366</f>
        <v>0</v>
      </c>
      <c r="AL369" s="9" t="n">
        <f aca="false">AL367*8760*CEG_Assets!$I$13*AL366</f>
        <v>0</v>
      </c>
      <c r="AM369" s="9" t="n">
        <f aca="false">AM367*8760*CEG_Assets!$I$13*AM366</f>
        <v>0</v>
      </c>
      <c r="AN369" s="9" t="n">
        <f aca="false">AN367*8760*CEG_Assets!$I$13*AN366</f>
        <v>0</v>
      </c>
      <c r="AO369" s="9" t="n">
        <f aca="false">AO367*8760*CEG_Assets!$I$13*AO366</f>
        <v>0</v>
      </c>
      <c r="AP369" s="9" t="n">
        <f aca="false">AP367*8760*CEG_Assets!$I$13*AP366</f>
        <v>0</v>
      </c>
      <c r="AQ369" s="9" t="n">
        <f aca="false">AQ367*8760*CEG_Assets!$I$13*AQ366</f>
        <v>0</v>
      </c>
      <c r="AR369" s="9" t="n">
        <f aca="false">AR367*8760*CEG_Assets!$I$13*AR366</f>
        <v>0</v>
      </c>
      <c r="AS369" s="9" t="n">
        <f aca="false">AS367*8760*CEG_Assets!$I$13*AS366</f>
        <v>0</v>
      </c>
    </row>
    <row r="370" customFormat="false" ht="15" hidden="false" customHeight="false" outlineLevel="0" collapsed="false">
      <c r="A370" s="6" t="s">
        <v>433</v>
      </c>
      <c r="B370" s="6" t="s">
        <v>434</v>
      </c>
      <c r="G370" s="7" t="n">
        <f aca="false">IF(ISNUMBER(CEG_Assets!$L$13),CEG_Assets!$L$13*G$4,INDEX(Prices!G:G,CEG_Assets!$AO$13)+FuelAdder*G$4)</f>
        <v>4.131</v>
      </c>
      <c r="H370" s="7" t="n">
        <f aca="false">IF(ISNUMBER(CEG_Assets!$L$13),CEG_Assets!$L$13*H$4,INDEX(Prices!H:H,CEG_Assets!$AO$13)+FuelAdder*H$4)</f>
        <v>4.21362</v>
      </c>
      <c r="I370" s="7" t="n">
        <f aca="false">IF(ISNUMBER(CEG_Assets!$L$13),CEG_Assets!$L$13*I$4,INDEX(Prices!I:I,CEG_Assets!$AO$13)+FuelAdder*I$4)</f>
        <v>4.4040132</v>
      </c>
      <c r="J370" s="7" t="n">
        <f aca="false">IF(ISNUMBER(CEG_Assets!$L$13),CEG_Assets!$L$13*J$4,INDEX(Prices!J:J,CEG_Assets!$AO$13)+FuelAdder*J$4)</f>
        <v>4.492093464</v>
      </c>
      <c r="K370" s="7" t="n">
        <f aca="false">IF(ISNUMBER(CEG_Assets!$L$13),CEG_Assets!$L$13*K$4,INDEX(Prices!K:K,CEG_Assets!$AO$13)+FuelAdder*K$4)</f>
        <v>4.58193533328</v>
      </c>
      <c r="L370" s="7" t="n">
        <f aca="false">IF(ISNUMBER(CEG_Assets!$L$13),CEG_Assets!$L$13*L$4,INDEX(Prices!L:L,CEG_Assets!$AO$13)+FuelAdder*L$4)</f>
        <v>4.6735740399456</v>
      </c>
      <c r="M370" s="7" t="n">
        <f aca="false">IF(ISNUMBER(CEG_Assets!$L$13),CEG_Assets!$L$13*M$4,INDEX(Prices!M:M,CEG_Assets!$AO$13)+FuelAdder*M$4)</f>
        <v>4.76704552074451</v>
      </c>
      <c r="N370" s="7" t="n">
        <f aca="false">IF(ISNUMBER(CEG_Assets!$L$13),CEG_Assets!$L$13*N$4,INDEX(Prices!N:N,CEG_Assets!$AO$13)+FuelAdder*N$4)</f>
        <v>4.8623864311594</v>
      </c>
      <c r="O370" s="7" t="n">
        <f aca="false">IF(ISNUMBER(CEG_Assets!$L$13),CEG_Assets!$L$13*O$4,INDEX(Prices!O:O,CEG_Assets!$AO$13)+FuelAdder*O$4)</f>
        <v>4.95963415978259</v>
      </c>
      <c r="P370" s="7" t="n">
        <f aca="false">IF(ISNUMBER(CEG_Assets!$L$13),CEG_Assets!$L$13*P$4,INDEX(Prices!P:P,CEG_Assets!$AO$13)+FuelAdder*P$4)</f>
        <v>5.05882684297824</v>
      </c>
      <c r="Q370" s="7" t="n">
        <f aca="false">IF(ISNUMBER(CEG_Assets!$L$13),CEG_Assets!$L$13*Q$4,INDEX(Prices!Q:Q,CEG_Assets!$AO$13)+FuelAdder*Q$4)</f>
        <v>5.16000337983781</v>
      </c>
      <c r="R370" s="7" t="n">
        <f aca="false">IF(ISNUMBER(CEG_Assets!$L$13),CEG_Assets!$L$13*R$4,INDEX(Prices!R:R,CEG_Assets!$AO$13)+FuelAdder*R$4)</f>
        <v>5.26320344743456</v>
      </c>
      <c r="S370" s="7" t="n">
        <f aca="false">IF(ISNUMBER(CEG_Assets!$L$13),CEG_Assets!$L$13*S$4,INDEX(Prices!S:S,CEG_Assets!$AO$13)+FuelAdder*S$4)</f>
        <v>5.36846751638326</v>
      </c>
      <c r="T370" s="7" t="n">
        <f aca="false">IF(ISNUMBER(CEG_Assets!$L$13),CEG_Assets!$L$13*T$4,INDEX(Prices!T:T,CEG_Assets!$AO$13)+FuelAdder*T$4)</f>
        <v>5.47583686671092</v>
      </c>
      <c r="U370" s="7" t="n">
        <f aca="false">IF(ISNUMBER(CEG_Assets!$L$13),CEG_Assets!$L$13*U$4,INDEX(Prices!U:U,CEG_Assets!$AO$13)+FuelAdder*U$4)</f>
        <v>5.58535360404514</v>
      </c>
      <c r="V370" s="7" t="n">
        <f aca="false">IF(ISNUMBER(CEG_Assets!$L$13),CEG_Assets!$L$13*V$4,INDEX(Prices!V:V,CEG_Assets!$AO$13)+FuelAdder*V$4)</f>
        <v>5.69706067612604</v>
      </c>
      <c r="W370" s="7" t="n">
        <f aca="false">IF(ISNUMBER(CEG_Assets!$L$13),CEG_Assets!$L$13*W$4,INDEX(Prices!W:W,CEG_Assets!$AO$13)+FuelAdder*W$4)</f>
        <v>5.81100188964856</v>
      </c>
      <c r="X370" s="7" t="n">
        <f aca="false">IF(ISNUMBER(CEG_Assets!$L$13),CEG_Assets!$L$13*X$4,INDEX(Prices!X:X,CEG_Assets!$AO$13)+FuelAdder*X$4)</f>
        <v>5.92722192744153</v>
      </c>
      <c r="Y370" s="7" t="n">
        <f aca="false">IF(ISNUMBER(CEG_Assets!$L$13),CEG_Assets!$L$13*Y$4,INDEX(Prices!Y:Y,CEG_Assets!$AO$13)+FuelAdder*Y$4)</f>
        <v>6.04576636599037</v>
      </c>
      <c r="Z370" s="7" t="n">
        <f aca="false">IF(ISNUMBER(CEG_Assets!$L$13),CEG_Assets!$L$13*Z$4,INDEX(Prices!Z:Z,CEG_Assets!$AO$13)+FuelAdder*Z$4)</f>
        <v>6.16668169331017</v>
      </c>
      <c r="AA370" s="7" t="n">
        <f aca="false">IF(ISNUMBER(CEG_Assets!$L$13),CEG_Assets!$L$13*AA$4,INDEX(Prices!AA:AA,CEG_Assets!$AO$13)+FuelAdder*AA$4)</f>
        <v>6.29001532717638</v>
      </c>
      <c r="AB370" s="7" t="n">
        <f aca="false">IF(ISNUMBER(CEG_Assets!$L$13),CEG_Assets!$L$13*AB$4,INDEX(Prices!AB:AB,CEG_Assets!$AO$13)+FuelAdder*AB$4)</f>
        <v>6.4158156337199</v>
      </c>
      <c r="AC370" s="7" t="n">
        <f aca="false">IF(ISNUMBER(CEG_Assets!$L$13),CEG_Assets!$L$13*AC$4,INDEX(Prices!AC:AC,CEG_Assets!$AO$13)+FuelAdder*AC$4)</f>
        <v>6.5441319463943</v>
      </c>
      <c r="AD370" s="7" t="n">
        <f aca="false">IF(ISNUMBER(CEG_Assets!$L$13),CEG_Assets!$L$13*AD$4,INDEX(Prices!AD:AD,CEG_Assets!$AO$13)+FuelAdder*AD$4)</f>
        <v>6.67501458532219</v>
      </c>
      <c r="AE370" s="7" t="n">
        <f aca="false">IF(ISNUMBER(CEG_Assets!$L$13),CEG_Assets!$L$13*AE$4,INDEX(Prices!AE:AE,CEG_Assets!$AO$13)+FuelAdder*AE$4)</f>
        <v>6.80851487702863</v>
      </c>
      <c r="AF370" s="7" t="n">
        <f aca="false">IF(ISNUMBER(CEG_Assets!$L$13),CEG_Assets!$L$13*AF$4,INDEX(Prices!AF:AF,CEG_Assets!$AO$13)+FuelAdder*AF$4)</f>
        <v>6.94468517456921</v>
      </c>
      <c r="AG370" s="7" t="n">
        <f aca="false">IF(ISNUMBER(CEG_Assets!$L$13),CEG_Assets!$L$13*AG$4,INDEX(Prices!AG:AG,CEG_Assets!$AO$13)+FuelAdder*AG$4)</f>
        <v>7.08357887806059</v>
      </c>
      <c r="AH370" s="7" t="n">
        <f aca="false">IF(ISNUMBER(CEG_Assets!$L$13),CEG_Assets!$L$13*AH$4,INDEX(Prices!AH:AH,CEG_Assets!$AO$13)+FuelAdder*AH$4)</f>
        <v>7.2252504556218</v>
      </c>
      <c r="AI370" s="7" t="n">
        <f aca="false">IF(ISNUMBER(CEG_Assets!$L$13),CEG_Assets!$L$13*AI$4,INDEX(Prices!AI:AI,CEG_Assets!$AO$13)+FuelAdder*AI$4)</f>
        <v>7.36975546473424</v>
      </c>
      <c r="AJ370" s="7" t="n">
        <f aca="false">IF(ISNUMBER(CEG_Assets!$L$13),CEG_Assets!$L$13*AJ$4,INDEX(Prices!AJ:AJ,CEG_Assets!$AO$13)+FuelAdder*AJ$4)</f>
        <v>7.51715057402892</v>
      </c>
      <c r="AK370" s="7" t="n">
        <f aca="false">IF(ISNUMBER(CEG_Assets!$L$13),CEG_Assets!$L$13*AK$4,INDEX(Prices!AK:AK,CEG_Assets!$AO$13)+FuelAdder*AK$4)</f>
        <v>7.6674935855095</v>
      </c>
      <c r="AL370" s="7" t="n">
        <f aca="false">IF(ISNUMBER(CEG_Assets!$L$13),CEG_Assets!$L$13*AL$4,INDEX(Prices!AL:AL,CEG_Assets!$AO$13)+FuelAdder*AL$4)</f>
        <v>7.82084345721969</v>
      </c>
      <c r="AM370" s="7" t="n">
        <f aca="false">IF(ISNUMBER(CEG_Assets!$L$13),CEG_Assets!$L$13*AM$4,INDEX(Prices!AM:AM,CEG_Assets!$AO$13)+FuelAdder*AM$4)</f>
        <v>7.97726032636409</v>
      </c>
      <c r="AN370" s="7" t="n">
        <f aca="false">IF(ISNUMBER(CEG_Assets!$L$13),CEG_Assets!$L$13*AN$4,INDEX(Prices!AN:AN,CEG_Assets!$AO$13)+FuelAdder*AN$4)</f>
        <v>8.13680553289137</v>
      </c>
      <c r="AO370" s="7" t="n">
        <f aca="false">IF(ISNUMBER(CEG_Assets!$L$13),CEG_Assets!$L$13*AO$4,INDEX(Prices!AO:AO,CEG_Assets!$AO$13)+FuelAdder*AO$4)</f>
        <v>8.29954164354919</v>
      </c>
      <c r="AP370" s="7" t="n">
        <f aca="false">IF(ISNUMBER(CEG_Assets!$L$13),CEG_Assets!$L$13*AP$4,INDEX(Prices!AP:AP,CEG_Assets!$AO$13)+FuelAdder*AP$4)</f>
        <v>8.46553247642018</v>
      </c>
      <c r="AQ370" s="7" t="n">
        <f aca="false">IF(ISNUMBER(CEG_Assets!$L$13),CEG_Assets!$L$13*AQ$4,INDEX(Prices!AQ:AQ,CEG_Assets!$AO$13)+FuelAdder*AQ$4)</f>
        <v>8.63484312594858</v>
      </c>
      <c r="AR370" s="7" t="n">
        <f aca="false">IF(ISNUMBER(CEG_Assets!$L$13),CEG_Assets!$L$13*AR$4,INDEX(Prices!AR:AR,CEG_Assets!$AO$13)+FuelAdder*AR$4)</f>
        <v>8.80753998846755</v>
      </c>
      <c r="AS370" s="7" t="n">
        <f aca="false">IF(ISNUMBER(CEG_Assets!$L$13),CEG_Assets!$L$13*AS$4,INDEX(Prices!AS:AS,CEG_Assets!$AO$13)+FuelAdder*AS$4)</f>
        <v>8.9836907882369</v>
      </c>
    </row>
    <row r="371" customFormat="false" ht="15" hidden="false" customHeight="false" outlineLevel="0" collapsed="false">
      <c r="A371" s="6" t="s">
        <v>435</v>
      </c>
      <c r="B371" s="6" t="s">
        <v>436</v>
      </c>
      <c r="G371" s="7" t="n">
        <f aca="false">INDEX(Prices!G:G,CEG_Assets!$AN$13)*CEG_Assets!$J$13-CEG_Assets!$K$13*G370-CEG_Assets!$M$13*G$4</f>
        <v>25.4868</v>
      </c>
      <c r="H371" s="7" t="n">
        <f aca="false">INDEX(Prices!H:H,CEG_Assets!$AN$13)*CEG_Assets!$J$13-CEG_Assets!$K$13*H370-CEG_Assets!$M$13*H$4</f>
        <v>27.220536</v>
      </c>
      <c r="I371" s="7" t="n">
        <f aca="false">INDEX(Prices!I:I,CEG_Assets!$AN$13)*CEG_Assets!$J$13-CEG_Assets!$K$13*I370-CEG_Assets!$M$13*I$4</f>
        <v>27.6449532</v>
      </c>
      <c r="J371" s="7" t="n">
        <f aca="false">INDEX(Prices!J:J,CEG_Assets!$AN$13)*CEG_Assets!$J$13-CEG_Assets!$K$13*J370-CEG_Assets!$M$13*J$4</f>
        <v>28.8792900288</v>
      </c>
      <c r="K371" s="7" t="n">
        <f aca="false">INDEX(Prices!K:K,CEG_Assets!$AN$13)*CEG_Assets!$J$13-CEG_Assets!$K$13*K370-CEG_Assets!$M$13*K$4</f>
        <v>29.456875829376</v>
      </c>
      <c r="L371" s="7" t="n">
        <f aca="false">INDEX(Prices!L:L,CEG_Assets!$AN$13)*CEG_Assets!$J$13-CEG_Assets!$K$13*L370-CEG_Assets!$M$13*L$4</f>
        <v>30.0460133459635</v>
      </c>
      <c r="M371" s="7" t="n">
        <f aca="false">INDEX(Prices!M:M,CEG_Assets!$AN$13)*CEG_Assets!$J$13-CEG_Assets!$K$13*M370-CEG_Assets!$M$13*M$4</f>
        <v>30.6469336128828</v>
      </c>
      <c r="N371" s="7" t="n">
        <f aca="false">INDEX(Prices!N:N,CEG_Assets!$AN$13)*CEG_Assets!$J$13-CEG_Assets!$K$13*N370-CEG_Assets!$M$13*N$4</f>
        <v>31.2598722851405</v>
      </c>
      <c r="O371" s="7" t="n">
        <f aca="false">INDEX(Prices!O:O,CEG_Assets!$AN$13)*CEG_Assets!$J$13-CEG_Assets!$K$13*O370-CEG_Assets!$M$13*O$4</f>
        <v>31.8850697308433</v>
      </c>
      <c r="P371" s="7" t="n">
        <f aca="false">INDEX(Prices!P:P,CEG_Assets!$AN$13)*CEG_Assets!$J$13-CEG_Assets!$K$13*P370-CEG_Assets!$M$13*P$4</f>
        <v>32.5227711254601</v>
      </c>
      <c r="Q371" s="7" t="n">
        <f aca="false">INDEX(Prices!Q:Q,CEG_Assets!$AN$13)*CEG_Assets!$J$13-CEG_Assets!$K$13*Q370-CEG_Assets!$M$13*Q$4</f>
        <v>33.1732265479693</v>
      </c>
      <c r="R371" s="7" t="n">
        <f aca="false">INDEX(Prices!R:R,CEG_Assets!$AN$13)*CEG_Assets!$J$13-CEG_Assets!$K$13*R370-CEG_Assets!$M$13*R$4</f>
        <v>33.8366910789287</v>
      </c>
      <c r="S371" s="7" t="n">
        <f aca="false">INDEX(Prices!S:S,CEG_Assets!$AN$13)*CEG_Assets!$J$13-CEG_Assets!$K$13*S370-CEG_Assets!$M$13*S$4</f>
        <v>34.5134249005073</v>
      </c>
      <c r="T371" s="7" t="n">
        <f aca="false">INDEX(Prices!T:T,CEG_Assets!$AN$13)*CEG_Assets!$J$13-CEG_Assets!$K$13*T370-CEG_Assets!$M$13*T$4</f>
        <v>35.2036933985174</v>
      </c>
      <c r="U371" s="7" t="n">
        <f aca="false">INDEX(Prices!U:U,CEG_Assets!$AN$13)*CEG_Assets!$J$13-CEG_Assets!$K$13*U370-CEG_Assets!$M$13*U$4</f>
        <v>35.9077672664878</v>
      </c>
      <c r="V371" s="7" t="n">
        <f aca="false">INDEX(Prices!V:V,CEG_Assets!$AN$13)*CEG_Assets!$J$13-CEG_Assets!$K$13*V370-CEG_Assets!$M$13*V$4</f>
        <v>36.6259226118175</v>
      </c>
      <c r="W371" s="7" t="n">
        <f aca="false">INDEX(Prices!W:W,CEG_Assets!$AN$13)*CEG_Assets!$J$13-CEG_Assets!$K$13*W370-CEG_Assets!$M$13*W$4</f>
        <v>37.3584410640539</v>
      </c>
      <c r="X371" s="7" t="n">
        <f aca="false">INDEX(Prices!X:X,CEG_Assets!$AN$13)*CEG_Assets!$J$13-CEG_Assets!$K$13*X370-CEG_Assets!$M$13*X$4</f>
        <v>38.105609885335</v>
      </c>
      <c r="Y371" s="7" t="n">
        <f aca="false">INDEX(Prices!Y:Y,CEG_Assets!$AN$13)*CEG_Assets!$J$13-CEG_Assets!$K$13*Y370-CEG_Assets!$M$13*Y$4</f>
        <v>38.8677220830417</v>
      </c>
      <c r="Z371" s="7" t="n">
        <f aca="false">INDEX(Prices!Z:Z,CEG_Assets!$AN$13)*CEG_Assets!$J$13-CEG_Assets!$K$13*Z370-CEG_Assets!$M$13*Z$4</f>
        <v>39.6450765247025</v>
      </c>
      <c r="AA371" s="7" t="n">
        <f aca="false">INDEX(Prices!AA:AA,CEG_Assets!$AN$13)*CEG_Assets!$J$13-CEG_Assets!$K$13*AA370-CEG_Assets!$M$13*AA$4</f>
        <v>40.4379780551966</v>
      </c>
      <c r="AB371" s="7" t="n">
        <f aca="false">INDEX(Prices!AB:AB,CEG_Assets!$AN$13)*CEG_Assets!$J$13-CEG_Assets!$K$13*AB370-CEG_Assets!$M$13*AB$4</f>
        <v>41.2467376163005</v>
      </c>
      <c r="AC371" s="7" t="n">
        <f aca="false">INDEX(Prices!AC:AC,CEG_Assets!$AN$13)*CEG_Assets!$J$13-CEG_Assets!$K$13*AC370-CEG_Assets!$M$13*AC$4</f>
        <v>42.0716723686265</v>
      </c>
      <c r="AD371" s="7" t="n">
        <f aca="false">INDEX(Prices!AD:AD,CEG_Assets!$AN$13)*CEG_Assets!$J$13-CEG_Assets!$K$13*AD370-CEG_Assets!$M$13*AD$4</f>
        <v>42.913105815999</v>
      </c>
      <c r="AE371" s="7" t="n">
        <f aca="false">INDEX(Prices!AE:AE,CEG_Assets!$AN$13)*CEG_Assets!$J$13-CEG_Assets!$K$13*AE370-CEG_Assets!$M$13*AE$4</f>
        <v>43.771367932319</v>
      </c>
      <c r="AF371" s="7" t="n">
        <f aca="false">INDEX(Prices!AF:AF,CEG_Assets!$AN$13)*CEG_Assets!$J$13-CEG_Assets!$K$13*AF370-CEG_Assets!$M$13*AF$4</f>
        <v>44.6467952909654</v>
      </c>
      <c r="AG371" s="7" t="n">
        <f aca="false">INDEX(Prices!AG:AG,CEG_Assets!$AN$13)*CEG_Assets!$J$13-CEG_Assets!$K$13*AG370-CEG_Assets!$M$13*AG$4</f>
        <v>45.5397311967847</v>
      </c>
      <c r="AH371" s="7" t="n">
        <f aca="false">INDEX(Prices!AH:AH,CEG_Assets!$AN$13)*CEG_Assets!$J$13-CEG_Assets!$K$13*AH370-CEG_Assets!$M$13*AH$4</f>
        <v>46.4505258207204</v>
      </c>
      <c r="AI371" s="7" t="n">
        <f aca="false">INDEX(Prices!AI:AI,CEG_Assets!$AN$13)*CEG_Assets!$J$13-CEG_Assets!$K$13*AI370-CEG_Assets!$M$13*AI$4</f>
        <v>47.3795363371348</v>
      </c>
      <c r="AJ371" s="7" t="n">
        <f aca="false">INDEX(Prices!AJ:AJ,CEG_Assets!$AN$13)*CEG_Assets!$J$13-CEG_Assets!$K$13*AJ370-CEG_Assets!$M$13*AJ$4</f>
        <v>48.3271270638775</v>
      </c>
      <c r="AK371" s="7" t="n">
        <f aca="false">INDEX(Prices!AK:AK,CEG_Assets!$AN$13)*CEG_Assets!$J$13-CEG_Assets!$K$13*AK370-CEG_Assets!$M$13*AK$4</f>
        <v>49.2936696051551</v>
      </c>
      <c r="AL371" s="7" t="n">
        <f aca="false">INDEX(Prices!AL:AL,CEG_Assets!$AN$13)*CEG_Assets!$J$13-CEG_Assets!$K$13*AL370-CEG_Assets!$M$13*AL$4</f>
        <v>50.2795429972582</v>
      </c>
      <c r="AM371" s="7" t="n">
        <f aca="false">INDEX(Prices!AM:AM,CEG_Assets!$AN$13)*CEG_Assets!$J$13-CEG_Assets!$K$13*AM370-CEG_Assets!$M$13*AM$4</f>
        <v>51.2851338572033</v>
      </c>
      <c r="AN371" s="7" t="n">
        <f aca="false">INDEX(Prices!AN:AN,CEG_Assets!$AN$13)*CEG_Assets!$J$13-CEG_Assets!$K$13*AN370-CEG_Assets!$M$13*AN$4</f>
        <v>52.3108365343474</v>
      </c>
      <c r="AO371" s="7" t="n">
        <f aca="false">INDEX(Prices!AO:AO,CEG_Assets!$AN$13)*CEG_Assets!$J$13-CEG_Assets!$K$13*AO370-CEG_Assets!$M$13*AO$4</f>
        <v>53.3570532650344</v>
      </c>
      <c r="AP371" s="7" t="n">
        <f aca="false">INDEX(Prices!AP:AP,CEG_Assets!$AN$13)*CEG_Assets!$J$13-CEG_Assets!$K$13*AP370-CEG_Assets!$M$13*AP$4</f>
        <v>54.424194330335</v>
      </c>
      <c r="AQ371" s="7" t="n">
        <f aca="false">INDEX(Prices!AQ:AQ,CEG_Assets!$AN$13)*CEG_Assets!$J$13-CEG_Assets!$K$13*AQ370-CEG_Assets!$M$13*AQ$4</f>
        <v>55.5126782169417</v>
      </c>
      <c r="AR371" s="7" t="n">
        <f aca="false">INDEX(Prices!AR:AR,CEG_Assets!$AN$13)*CEG_Assets!$J$13-CEG_Assets!$K$13*AR370-CEG_Assets!$M$13*AR$4</f>
        <v>56.6229317812806</v>
      </c>
      <c r="AS371" s="7" t="n">
        <f aca="false">INDEX(Prices!AS:AS,CEG_Assets!$AN$13)*CEG_Assets!$J$13-CEG_Assets!$K$13*AS370-CEG_Assets!$M$13*AS$4</f>
        <v>57.7553904169062</v>
      </c>
    </row>
    <row r="372" customFormat="false" ht="15" hidden="false" customHeight="false" outlineLevel="0" collapsed="false">
      <c r="A372" s="6" t="s">
        <v>437</v>
      </c>
      <c r="B372" s="6" t="s">
        <v>438</v>
      </c>
      <c r="G372" s="47" t="n">
        <f aca="false">IF(CEG_Assets!$X$13=1,IF(G371&gt;0,1,0),1)</f>
        <v>1</v>
      </c>
      <c r="H372" s="47" t="n">
        <f aca="false">IF(CEG_Assets!$X$13=1,IF(H371&gt;0,1,0),1)</f>
        <v>1</v>
      </c>
      <c r="I372" s="47" t="n">
        <f aca="false">IF(CEG_Assets!$X$13=1,IF(I371&gt;0,1,0),1)</f>
        <v>1</v>
      </c>
      <c r="J372" s="47" t="n">
        <f aca="false">IF(CEG_Assets!$X$13=1,IF(J371&gt;0,1,0),1)</f>
        <v>1</v>
      </c>
      <c r="K372" s="47" t="n">
        <f aca="false">IF(CEG_Assets!$X$13=1,IF(K371&gt;0,1,0),1)</f>
        <v>1</v>
      </c>
      <c r="L372" s="47" t="n">
        <f aca="false">IF(CEG_Assets!$X$13=1,IF(L371&gt;0,1,0),1)</f>
        <v>1</v>
      </c>
      <c r="M372" s="47" t="n">
        <f aca="false">IF(CEG_Assets!$X$13=1,IF(M371&gt;0,1,0),1)</f>
        <v>1</v>
      </c>
      <c r="N372" s="47" t="n">
        <f aca="false">IF(CEG_Assets!$X$13=1,IF(N371&gt;0,1,0),1)</f>
        <v>1</v>
      </c>
      <c r="O372" s="47" t="n">
        <f aca="false">IF(CEG_Assets!$X$13=1,IF(O371&gt;0,1,0),1)</f>
        <v>1</v>
      </c>
      <c r="P372" s="47" t="n">
        <f aca="false">IF(CEG_Assets!$X$13=1,IF(P371&gt;0,1,0),1)</f>
        <v>1</v>
      </c>
      <c r="Q372" s="47" t="n">
        <f aca="false">IF(CEG_Assets!$X$13=1,IF(Q371&gt;0,1,0),1)</f>
        <v>1</v>
      </c>
      <c r="R372" s="47" t="n">
        <f aca="false">IF(CEG_Assets!$X$13=1,IF(R371&gt;0,1,0),1)</f>
        <v>1</v>
      </c>
      <c r="S372" s="47" t="n">
        <f aca="false">IF(CEG_Assets!$X$13=1,IF(S371&gt;0,1,0),1)</f>
        <v>1</v>
      </c>
      <c r="T372" s="47" t="n">
        <f aca="false">IF(CEG_Assets!$X$13=1,IF(T371&gt;0,1,0),1)</f>
        <v>1</v>
      </c>
      <c r="U372" s="47" t="n">
        <f aca="false">IF(CEG_Assets!$X$13=1,IF(U371&gt;0,1,0),1)</f>
        <v>1</v>
      </c>
      <c r="V372" s="47" t="n">
        <f aca="false">IF(CEG_Assets!$X$13=1,IF(V371&gt;0,1,0),1)</f>
        <v>1</v>
      </c>
      <c r="W372" s="47" t="n">
        <f aca="false">IF(CEG_Assets!$X$13=1,IF(W371&gt;0,1,0),1)</f>
        <v>1</v>
      </c>
      <c r="X372" s="47" t="n">
        <f aca="false">IF(CEG_Assets!$X$13=1,IF(X371&gt;0,1,0),1)</f>
        <v>1</v>
      </c>
      <c r="Y372" s="47" t="n">
        <f aca="false">IF(CEG_Assets!$X$13=1,IF(Y371&gt;0,1,0),1)</f>
        <v>1</v>
      </c>
      <c r="Z372" s="47" t="n">
        <f aca="false">IF(CEG_Assets!$X$13=1,IF(Z371&gt;0,1,0),1)</f>
        <v>1</v>
      </c>
      <c r="AA372" s="47" t="n">
        <f aca="false">IF(CEG_Assets!$X$13=1,IF(AA371&gt;0,1,0),1)</f>
        <v>1</v>
      </c>
      <c r="AB372" s="47" t="n">
        <f aca="false">IF(CEG_Assets!$X$13=1,IF(AB371&gt;0,1,0),1)</f>
        <v>1</v>
      </c>
      <c r="AC372" s="47" t="n">
        <f aca="false">IF(CEG_Assets!$X$13=1,IF(AC371&gt;0,1,0),1)</f>
        <v>1</v>
      </c>
      <c r="AD372" s="47" t="n">
        <f aca="false">IF(CEG_Assets!$X$13=1,IF(AD371&gt;0,1,0),1)</f>
        <v>1</v>
      </c>
      <c r="AE372" s="47" t="n">
        <f aca="false">IF(CEG_Assets!$X$13=1,IF(AE371&gt;0,1,0),1)</f>
        <v>1</v>
      </c>
      <c r="AF372" s="47" t="n">
        <f aca="false">IF(CEG_Assets!$X$13=1,IF(AF371&gt;0,1,0),1)</f>
        <v>1</v>
      </c>
      <c r="AG372" s="47" t="n">
        <f aca="false">IF(CEG_Assets!$X$13=1,IF(AG371&gt;0,1,0),1)</f>
        <v>1</v>
      </c>
      <c r="AH372" s="47" t="n">
        <f aca="false">IF(CEG_Assets!$X$13=1,IF(AH371&gt;0,1,0),1)</f>
        <v>1</v>
      </c>
      <c r="AI372" s="47" t="n">
        <f aca="false">IF(CEG_Assets!$X$13=1,IF(AI371&gt;0,1,0),1)</f>
        <v>1</v>
      </c>
      <c r="AJ372" s="47" t="n">
        <f aca="false">IF(CEG_Assets!$X$13=1,IF(AJ371&gt;0,1,0),1)</f>
        <v>1</v>
      </c>
      <c r="AK372" s="47" t="n">
        <f aca="false">IF(CEG_Assets!$X$13=1,IF(AK371&gt;0,1,0),1)</f>
        <v>1</v>
      </c>
      <c r="AL372" s="47" t="n">
        <f aca="false">IF(CEG_Assets!$X$13=1,IF(AL371&gt;0,1,0),1)</f>
        <v>1</v>
      </c>
      <c r="AM372" s="47" t="n">
        <f aca="false">IF(CEG_Assets!$X$13=1,IF(AM371&gt;0,1,0),1)</f>
        <v>1</v>
      </c>
      <c r="AN372" s="47" t="n">
        <f aca="false">IF(CEG_Assets!$X$13=1,IF(AN371&gt;0,1,0),1)</f>
        <v>1</v>
      </c>
      <c r="AO372" s="47" t="n">
        <f aca="false">IF(CEG_Assets!$X$13=1,IF(AO371&gt;0,1,0),1)</f>
        <v>1</v>
      </c>
      <c r="AP372" s="47" t="n">
        <f aca="false">IF(CEG_Assets!$X$13=1,IF(AP371&gt;0,1,0),1)</f>
        <v>1</v>
      </c>
      <c r="AQ372" s="47" t="n">
        <f aca="false">IF(CEG_Assets!$X$13=1,IF(AQ371&gt;0,1,0),1)</f>
        <v>1</v>
      </c>
      <c r="AR372" s="47" t="n">
        <f aca="false">IF(CEG_Assets!$X$13=1,IF(AR371&gt;0,1,0),1)</f>
        <v>1</v>
      </c>
      <c r="AS372" s="47" t="n">
        <f aca="false">IF(CEG_Assets!$X$13=1,IF(AS371&gt;0,1,0),1)</f>
        <v>1</v>
      </c>
    </row>
    <row r="373" customFormat="false" ht="15" hidden="false" customHeight="false" outlineLevel="0" collapsed="false">
      <c r="A373" s="6" t="s">
        <v>439</v>
      </c>
      <c r="B373" s="6" t="s">
        <v>440</v>
      </c>
      <c r="C373" s="9" t="n">
        <f aca="false">SUM(G373:AS373)</f>
        <v>47041.845349634</v>
      </c>
      <c r="G373" s="8" t="n">
        <f aca="false">G368*INDEX(Prices!G:G,CEG_Assets!$AN$13)*CEG_Assets!$J$13*G372/1000000*(1+CEG_RevAdj)</f>
        <v>1983.0888</v>
      </c>
      <c r="H373" s="8" t="n">
        <f aca="false">H368*INDEX(Prices!H:H,CEG_Assets!$AN$13)*CEG_Assets!$J$13*H372/1000000*(1+CEG_RevAdj)</f>
        <v>2064.0312</v>
      </c>
      <c r="I373" s="8" t="n">
        <f aca="false">I368*INDEX(Prices!I:I,CEG_Assets!$AN$13)*CEG_Assets!$J$13*I372/1000000*(1+CEG_RevAdj)</f>
        <v>2127.03393927024</v>
      </c>
      <c r="J373" s="8" t="n">
        <f aca="false">J368*INDEX(Prices!J:J,CEG_Assets!$AN$13)*CEG_Assets!$J$13*J372/1000000*(1+CEG_RevAdj)</f>
        <v>2192.55678811129</v>
      </c>
      <c r="K373" s="8" t="n">
        <f aca="false">K368*INDEX(Prices!K:K,CEG_Assets!$AN$13)*CEG_Assets!$J$13*K372/1000000*(1+CEG_RevAdj)</f>
        <v>2236.40792387352</v>
      </c>
      <c r="L373" s="8" t="n">
        <f aca="false">L368*INDEX(Prices!L:L,CEG_Assets!$AN$13)*CEG_Assets!$J$13*L372/1000000*(1+CEG_RevAdj)</f>
        <v>2281.13608235099</v>
      </c>
      <c r="M373" s="8" t="n">
        <f aca="false">M368*INDEX(Prices!M:M,CEG_Assets!$AN$13)*CEG_Assets!$J$13*M372/1000000*(1+CEG_RevAdj)</f>
        <v>2326.75880399801</v>
      </c>
      <c r="N373" s="8" t="n">
        <f aca="false">N368*INDEX(Prices!N:N,CEG_Assets!$AN$13)*CEG_Assets!$J$13*N372/1000000*(1+CEG_RevAdj)</f>
        <v>2373.29398007797</v>
      </c>
      <c r="O373" s="8" t="n">
        <f aca="false">O368*INDEX(Prices!O:O,CEG_Assets!$AN$13)*CEG_Assets!$J$13*O372/1000000*(1+CEG_RevAdj)</f>
        <v>2420.75985967953</v>
      </c>
      <c r="P373" s="8" t="n">
        <f aca="false">P368*INDEX(Prices!P:P,CEG_Assets!$AN$13)*CEG_Assets!$J$13*P372/1000000*(1+CEG_RevAdj)</f>
        <v>2469.17505687312</v>
      </c>
      <c r="Q373" s="8" t="n">
        <f aca="false">Q368*INDEX(Prices!Q:Q,CEG_Assets!$AN$13)*CEG_Assets!$J$13*Q372/1000000*(1+CEG_RevAdj)</f>
        <v>2518.55855801058</v>
      </c>
      <c r="R373" s="8" t="n">
        <f aca="false">R368*INDEX(Prices!R:R,CEG_Assets!$AN$13)*CEG_Assets!$J$13*R372/1000000*(1+CEG_RevAdj)</f>
        <v>2568.92972917079</v>
      </c>
      <c r="S373" s="8" t="n">
        <f aca="false">S368*INDEX(Prices!S:S,CEG_Assets!$AN$13)*CEG_Assets!$J$13*S372/1000000*(1+CEG_RevAdj)</f>
        <v>2620.30832375421</v>
      </c>
      <c r="T373" s="8" t="n">
        <f aca="false">T368*INDEX(Prices!T:T,CEG_Assets!$AN$13)*CEG_Assets!$J$13*T372/1000000*(1+CEG_RevAdj)</f>
        <v>2672.71449022929</v>
      </c>
      <c r="U373" s="8" t="n">
        <f aca="false">U368*INDEX(Prices!U:U,CEG_Assets!$AN$13)*CEG_Assets!$J$13*U372/1000000*(1+CEG_RevAdj)</f>
        <v>2726.16878003388</v>
      </c>
      <c r="V373" s="8" t="n">
        <f aca="false">V368*INDEX(Prices!V:V,CEG_Assets!$AN$13)*CEG_Assets!$J$13*V372/1000000*(1+CEG_RevAdj)</f>
        <v>2780.69215563455</v>
      </c>
      <c r="W373" s="8" t="n">
        <f aca="false">W368*INDEX(Prices!W:W,CEG_Assets!$AN$13)*CEG_Assets!$J$13*W372/1000000*(1+CEG_RevAdj)</f>
        <v>2836.30599874724</v>
      </c>
      <c r="X373" s="8" t="n">
        <f aca="false">X368*INDEX(Prices!X:X,CEG_Assets!$AN$13)*CEG_Assets!$J$13*X372/1000000*(1+CEG_RevAdj)</f>
        <v>2893.03211872219</v>
      </c>
      <c r="Y373" s="8" t="n">
        <f aca="false">Y368*INDEX(Prices!Y:Y,CEG_Assets!$AN$13)*CEG_Assets!$J$13*Y372/1000000*(1+CEG_RevAdj)</f>
        <v>2950.89276109663</v>
      </c>
      <c r="Z373" s="8" t="n">
        <f aca="false">Z368*INDEX(Prices!Z:Z,CEG_Assets!$AN$13)*CEG_Assets!$J$13*Z372/1000000*(1+CEG_RevAdj)</f>
        <v>0</v>
      </c>
      <c r="AA373" s="8" t="n">
        <f aca="false">AA368*INDEX(Prices!AA:AA,CEG_Assets!$AN$13)*CEG_Assets!$J$13*AA372/1000000*(1+CEG_RevAdj)</f>
        <v>0</v>
      </c>
      <c r="AB373" s="8" t="n">
        <f aca="false">AB368*INDEX(Prices!AB:AB,CEG_Assets!$AN$13)*CEG_Assets!$J$13*AB372/1000000*(1+CEG_RevAdj)</f>
        <v>0</v>
      </c>
      <c r="AC373" s="8" t="n">
        <f aca="false">AC368*INDEX(Prices!AC:AC,CEG_Assets!$AN$13)*CEG_Assets!$J$13*AC372/1000000*(1+CEG_RevAdj)</f>
        <v>0</v>
      </c>
      <c r="AD373" s="8" t="n">
        <f aca="false">AD368*INDEX(Prices!AD:AD,CEG_Assets!$AN$13)*CEG_Assets!$J$13*AD372/1000000*(1+CEG_RevAdj)</f>
        <v>0</v>
      </c>
      <c r="AE373" s="8" t="n">
        <f aca="false">AE368*INDEX(Prices!AE:AE,CEG_Assets!$AN$13)*CEG_Assets!$J$13*AE372/1000000*(1+CEG_RevAdj)</f>
        <v>0</v>
      </c>
      <c r="AF373" s="8" t="n">
        <f aca="false">AF368*INDEX(Prices!AF:AF,CEG_Assets!$AN$13)*CEG_Assets!$J$13*AF372/1000000*(1+CEG_RevAdj)</f>
        <v>0</v>
      </c>
      <c r="AG373" s="8" t="n">
        <f aca="false">AG368*INDEX(Prices!AG:AG,CEG_Assets!$AN$13)*CEG_Assets!$J$13*AG372/1000000*(1+CEG_RevAdj)</f>
        <v>0</v>
      </c>
      <c r="AH373" s="8" t="n">
        <f aca="false">AH368*INDEX(Prices!AH:AH,CEG_Assets!$AN$13)*CEG_Assets!$J$13*AH372/1000000*(1+CEG_RevAdj)</f>
        <v>0</v>
      </c>
      <c r="AI373" s="8" t="n">
        <f aca="false">AI368*INDEX(Prices!AI:AI,CEG_Assets!$AN$13)*CEG_Assets!$J$13*AI372/1000000*(1+CEG_RevAdj)</f>
        <v>0</v>
      </c>
      <c r="AJ373" s="8" t="n">
        <f aca="false">AJ368*INDEX(Prices!AJ:AJ,CEG_Assets!$AN$13)*CEG_Assets!$J$13*AJ372/1000000*(1+CEG_RevAdj)</f>
        <v>0</v>
      </c>
      <c r="AK373" s="8" t="n">
        <f aca="false">AK368*INDEX(Prices!AK:AK,CEG_Assets!$AN$13)*CEG_Assets!$J$13*AK372/1000000*(1+CEG_RevAdj)</f>
        <v>0</v>
      </c>
      <c r="AL373" s="8" t="n">
        <f aca="false">AL368*INDEX(Prices!AL:AL,CEG_Assets!$AN$13)*CEG_Assets!$J$13*AL372/1000000*(1+CEG_RevAdj)</f>
        <v>0</v>
      </c>
      <c r="AM373" s="8" t="n">
        <f aca="false">AM368*INDEX(Prices!AM:AM,CEG_Assets!$AN$13)*CEG_Assets!$J$13*AM372/1000000*(1+CEG_RevAdj)</f>
        <v>0</v>
      </c>
      <c r="AN373" s="8" t="n">
        <f aca="false">AN368*INDEX(Prices!AN:AN,CEG_Assets!$AN$13)*CEG_Assets!$J$13*AN372/1000000*(1+CEG_RevAdj)</f>
        <v>0</v>
      </c>
      <c r="AO373" s="8" t="n">
        <f aca="false">AO368*INDEX(Prices!AO:AO,CEG_Assets!$AN$13)*CEG_Assets!$J$13*AO372/1000000*(1+CEG_RevAdj)</f>
        <v>0</v>
      </c>
      <c r="AP373" s="8" t="n">
        <f aca="false">AP368*INDEX(Prices!AP:AP,CEG_Assets!$AN$13)*CEG_Assets!$J$13*AP372/1000000*(1+CEG_RevAdj)</f>
        <v>0</v>
      </c>
      <c r="AQ373" s="8" t="n">
        <f aca="false">AQ368*INDEX(Prices!AQ:AQ,CEG_Assets!$AN$13)*CEG_Assets!$J$13*AQ372/1000000*(1+CEG_RevAdj)</f>
        <v>0</v>
      </c>
      <c r="AR373" s="8" t="n">
        <f aca="false">AR368*INDEX(Prices!AR:AR,CEG_Assets!$AN$13)*CEG_Assets!$J$13*AR372/1000000*(1+CEG_RevAdj)</f>
        <v>0</v>
      </c>
      <c r="AS373" s="8" t="n">
        <f aca="false">AS368*INDEX(Prices!AS:AS,CEG_Assets!$AN$13)*CEG_Assets!$J$13*AS372/1000000*(1+CEG_RevAdj)</f>
        <v>0</v>
      </c>
    </row>
    <row r="374" customFormat="false" ht="15" hidden="false" customHeight="false" outlineLevel="0" collapsed="false">
      <c r="A374" s="6" t="s">
        <v>441</v>
      </c>
      <c r="B374" s="6" t="s">
        <v>442</v>
      </c>
      <c r="C374" s="9" t="n">
        <f aca="false">SUM(G374:AS374)</f>
        <v>0</v>
      </c>
      <c r="G374" s="8" t="n">
        <f aca="false">(CEG_Assets!$D$13-G367)*INDEX(Prices!G:G,CEG_Assets!$AP$13)*365*CEG_Assets!$T$13*G366/1000000*(1+CEG_RevAdj)</f>
        <v>0</v>
      </c>
      <c r="H374" s="8" t="n">
        <f aca="false">(CEG_Assets!$D$13-H367)*INDEX(Prices!H:H,CEG_Assets!$AP$13)*365*CEG_Assets!$T$13*H366/1000000*(1+CEG_RevAdj)</f>
        <v>0</v>
      </c>
      <c r="I374" s="8" t="n">
        <f aca="false">(CEG_Assets!$D$13-I367)*INDEX(Prices!I:I,CEG_Assets!$AP$13)*365*CEG_Assets!$T$13*I366/1000000*(1+CEG_RevAdj)</f>
        <v>0</v>
      </c>
      <c r="J374" s="8" t="n">
        <f aca="false">(CEG_Assets!$D$13-J367)*INDEX(Prices!J:J,CEG_Assets!$AP$13)*365*CEG_Assets!$T$13*J366/1000000*(1+CEG_RevAdj)</f>
        <v>0</v>
      </c>
      <c r="K374" s="8" t="n">
        <f aca="false">(CEG_Assets!$D$13-K367)*INDEX(Prices!K:K,CEG_Assets!$AP$13)*365*CEG_Assets!$T$13*K366/1000000*(1+CEG_RevAdj)</f>
        <v>0</v>
      </c>
      <c r="L374" s="8" t="n">
        <f aca="false">(CEG_Assets!$D$13-L367)*INDEX(Prices!L:L,CEG_Assets!$AP$13)*365*CEG_Assets!$T$13*L366/1000000*(1+CEG_RevAdj)</f>
        <v>0</v>
      </c>
      <c r="M374" s="8" t="n">
        <f aca="false">(CEG_Assets!$D$13-M367)*INDEX(Prices!M:M,CEG_Assets!$AP$13)*365*CEG_Assets!$T$13*M366/1000000*(1+CEG_RevAdj)</f>
        <v>0</v>
      </c>
      <c r="N374" s="8" t="n">
        <f aca="false">(CEG_Assets!$D$13-N367)*INDEX(Prices!N:N,CEG_Assets!$AP$13)*365*CEG_Assets!$T$13*N366/1000000*(1+CEG_RevAdj)</f>
        <v>0</v>
      </c>
      <c r="O374" s="8" t="n">
        <f aca="false">(CEG_Assets!$D$13-O367)*INDEX(Prices!O:O,CEG_Assets!$AP$13)*365*CEG_Assets!$T$13*O366/1000000*(1+CEG_RevAdj)</f>
        <v>0</v>
      </c>
      <c r="P374" s="8" t="n">
        <f aca="false">(CEG_Assets!$D$13-P367)*INDEX(Prices!P:P,CEG_Assets!$AP$13)*365*CEG_Assets!$T$13*P366/1000000*(1+CEG_RevAdj)</f>
        <v>0</v>
      </c>
      <c r="Q374" s="8" t="n">
        <f aca="false">(CEG_Assets!$D$13-Q367)*INDEX(Prices!Q:Q,CEG_Assets!$AP$13)*365*CEG_Assets!$T$13*Q366/1000000*(1+CEG_RevAdj)</f>
        <v>0</v>
      </c>
      <c r="R374" s="8" t="n">
        <f aca="false">(CEG_Assets!$D$13-R367)*INDEX(Prices!R:R,CEG_Assets!$AP$13)*365*CEG_Assets!$T$13*R366/1000000*(1+CEG_RevAdj)</f>
        <v>0</v>
      </c>
      <c r="S374" s="8" t="n">
        <f aca="false">(CEG_Assets!$D$13-S367)*INDEX(Prices!S:S,CEG_Assets!$AP$13)*365*CEG_Assets!$T$13*S366/1000000*(1+CEG_RevAdj)</f>
        <v>0</v>
      </c>
      <c r="T374" s="8" t="n">
        <f aca="false">(CEG_Assets!$D$13-T367)*INDEX(Prices!T:T,CEG_Assets!$AP$13)*365*CEG_Assets!$T$13*T366/1000000*(1+CEG_RevAdj)</f>
        <v>0</v>
      </c>
      <c r="U374" s="8" t="n">
        <f aca="false">(CEG_Assets!$D$13-U367)*INDEX(Prices!U:U,CEG_Assets!$AP$13)*365*CEG_Assets!$T$13*U366/1000000*(1+CEG_RevAdj)</f>
        <v>0</v>
      </c>
      <c r="V374" s="8" t="n">
        <f aca="false">(CEG_Assets!$D$13-V367)*INDEX(Prices!V:V,CEG_Assets!$AP$13)*365*CEG_Assets!$T$13*V366/1000000*(1+CEG_RevAdj)</f>
        <v>0</v>
      </c>
      <c r="W374" s="8" t="n">
        <f aca="false">(CEG_Assets!$D$13-W367)*INDEX(Prices!W:W,CEG_Assets!$AP$13)*365*CEG_Assets!$T$13*W366/1000000*(1+CEG_RevAdj)</f>
        <v>0</v>
      </c>
      <c r="X374" s="8" t="n">
        <f aca="false">(CEG_Assets!$D$13-X367)*INDEX(Prices!X:X,CEG_Assets!$AP$13)*365*CEG_Assets!$T$13*X366/1000000*(1+CEG_RevAdj)</f>
        <v>0</v>
      </c>
      <c r="Y374" s="8" t="n">
        <f aca="false">(CEG_Assets!$D$13-Y367)*INDEX(Prices!Y:Y,CEG_Assets!$AP$13)*365*CEG_Assets!$T$13*Y366/1000000*(1+CEG_RevAdj)</f>
        <v>0</v>
      </c>
      <c r="Z374" s="8" t="n">
        <f aca="false">(CEG_Assets!$D$13-Z367)*INDEX(Prices!Z:Z,CEG_Assets!$AP$13)*365*CEG_Assets!$T$13*Z366/1000000*(1+CEG_RevAdj)</f>
        <v>0</v>
      </c>
      <c r="AA374" s="8" t="n">
        <f aca="false">(CEG_Assets!$D$13-AA367)*INDEX(Prices!AA:AA,CEG_Assets!$AP$13)*365*CEG_Assets!$T$13*AA366/1000000*(1+CEG_RevAdj)</f>
        <v>0</v>
      </c>
      <c r="AB374" s="8" t="n">
        <f aca="false">(CEG_Assets!$D$13-AB367)*INDEX(Prices!AB:AB,CEG_Assets!$AP$13)*365*CEG_Assets!$T$13*AB366/1000000*(1+CEG_RevAdj)</f>
        <v>0</v>
      </c>
      <c r="AC374" s="8" t="n">
        <f aca="false">(CEG_Assets!$D$13-AC367)*INDEX(Prices!AC:AC,CEG_Assets!$AP$13)*365*CEG_Assets!$T$13*AC366/1000000*(1+CEG_RevAdj)</f>
        <v>0</v>
      </c>
      <c r="AD374" s="8" t="n">
        <f aca="false">(CEG_Assets!$D$13-AD367)*INDEX(Prices!AD:AD,CEG_Assets!$AP$13)*365*CEG_Assets!$T$13*AD366/1000000*(1+CEG_RevAdj)</f>
        <v>0</v>
      </c>
      <c r="AE374" s="8" t="n">
        <f aca="false">(CEG_Assets!$D$13-AE367)*INDEX(Prices!AE:AE,CEG_Assets!$AP$13)*365*CEG_Assets!$T$13*AE366/1000000*(1+CEG_RevAdj)</f>
        <v>0</v>
      </c>
      <c r="AF374" s="8" t="n">
        <f aca="false">(CEG_Assets!$D$13-AF367)*INDEX(Prices!AF:AF,CEG_Assets!$AP$13)*365*CEG_Assets!$T$13*AF366/1000000*(1+CEG_RevAdj)</f>
        <v>0</v>
      </c>
      <c r="AG374" s="8" t="n">
        <f aca="false">(CEG_Assets!$D$13-AG367)*INDEX(Prices!AG:AG,CEG_Assets!$AP$13)*365*CEG_Assets!$T$13*AG366/1000000*(1+CEG_RevAdj)</f>
        <v>0</v>
      </c>
      <c r="AH374" s="8" t="n">
        <f aca="false">(CEG_Assets!$D$13-AH367)*INDEX(Prices!AH:AH,CEG_Assets!$AP$13)*365*CEG_Assets!$T$13*AH366/1000000*(1+CEG_RevAdj)</f>
        <v>0</v>
      </c>
      <c r="AI374" s="8" t="n">
        <f aca="false">(CEG_Assets!$D$13-AI367)*INDEX(Prices!AI:AI,CEG_Assets!$AP$13)*365*CEG_Assets!$T$13*AI366/1000000*(1+CEG_RevAdj)</f>
        <v>0</v>
      </c>
      <c r="AJ374" s="8" t="n">
        <f aca="false">(CEG_Assets!$D$13-AJ367)*INDEX(Prices!AJ:AJ,CEG_Assets!$AP$13)*365*CEG_Assets!$T$13*AJ366/1000000*(1+CEG_RevAdj)</f>
        <v>0</v>
      </c>
      <c r="AK374" s="8" t="n">
        <f aca="false">(CEG_Assets!$D$13-AK367)*INDEX(Prices!AK:AK,CEG_Assets!$AP$13)*365*CEG_Assets!$T$13*AK366/1000000*(1+CEG_RevAdj)</f>
        <v>0</v>
      </c>
      <c r="AL374" s="8" t="n">
        <f aca="false">(CEG_Assets!$D$13-AL367)*INDEX(Prices!AL:AL,CEG_Assets!$AP$13)*365*CEG_Assets!$T$13*AL366/1000000*(1+CEG_RevAdj)</f>
        <v>0</v>
      </c>
      <c r="AM374" s="8" t="n">
        <f aca="false">(CEG_Assets!$D$13-AM367)*INDEX(Prices!AM:AM,CEG_Assets!$AP$13)*365*CEG_Assets!$T$13*AM366/1000000*(1+CEG_RevAdj)</f>
        <v>0</v>
      </c>
      <c r="AN374" s="8" t="n">
        <f aca="false">(CEG_Assets!$D$13-AN367)*INDEX(Prices!AN:AN,CEG_Assets!$AP$13)*365*CEG_Assets!$T$13*AN366/1000000*(1+CEG_RevAdj)</f>
        <v>0</v>
      </c>
      <c r="AO374" s="8" t="n">
        <f aca="false">(CEG_Assets!$D$13-AO367)*INDEX(Prices!AO:AO,CEG_Assets!$AP$13)*365*CEG_Assets!$T$13*AO366/1000000*(1+CEG_RevAdj)</f>
        <v>0</v>
      </c>
      <c r="AP374" s="8" t="n">
        <f aca="false">(CEG_Assets!$D$13-AP367)*INDEX(Prices!AP:AP,CEG_Assets!$AP$13)*365*CEG_Assets!$T$13*AP366/1000000*(1+CEG_RevAdj)</f>
        <v>0</v>
      </c>
      <c r="AQ374" s="8" t="n">
        <f aca="false">(CEG_Assets!$D$13-AQ367)*INDEX(Prices!AQ:AQ,CEG_Assets!$AP$13)*365*CEG_Assets!$T$13*AQ366/1000000*(1+CEG_RevAdj)</f>
        <v>0</v>
      </c>
      <c r="AR374" s="8" t="n">
        <f aca="false">(CEG_Assets!$D$13-AR367)*INDEX(Prices!AR:AR,CEG_Assets!$AP$13)*365*CEG_Assets!$T$13*AR366/1000000*(1+CEG_RevAdj)</f>
        <v>0</v>
      </c>
      <c r="AS374" s="8" t="n">
        <f aca="false">(CEG_Assets!$D$13-AS367)*INDEX(Prices!AS:AS,CEG_Assets!$AP$13)*365*CEG_Assets!$T$13*AS366/1000000*(1+CEG_RevAdj)</f>
        <v>0</v>
      </c>
    </row>
    <row r="375" customFormat="false" ht="15" hidden="false" customHeight="false" outlineLevel="0" collapsed="false">
      <c r="A375" s="6" t="s">
        <v>443</v>
      </c>
      <c r="B375" s="6" t="s">
        <v>444</v>
      </c>
      <c r="C375" s="9" t="n">
        <f aca="false">SUM(G375:AS375)</f>
        <v>0</v>
      </c>
      <c r="G375" s="8" t="n">
        <f aca="false">G369*(CEG_Assets!$AD$13+CEG_PPAAdj)/1000000*(1+CEG_RevAdj)</f>
        <v>0</v>
      </c>
      <c r="H375" s="8" t="n">
        <f aca="false">H369*(CEG_Assets!$AD$13+CEG_PPAAdj)/1000000*(1+CEG_RevAdj)</f>
        <v>0</v>
      </c>
      <c r="I375" s="8" t="n">
        <f aca="false">I369*(CEG_Assets!$AD$13+CEG_PPAAdj)/1000000*(1+CEG_RevAdj)</f>
        <v>0</v>
      </c>
      <c r="J375" s="8" t="n">
        <f aca="false">J369*(CEG_Assets!$AD$13+CEG_PPAAdj)/1000000*(1+CEG_RevAdj)</f>
        <v>0</v>
      </c>
      <c r="K375" s="8" t="n">
        <f aca="false">K369*(CEG_Assets!$AD$13+CEG_PPAAdj)/1000000*(1+CEG_RevAdj)</f>
        <v>0</v>
      </c>
      <c r="L375" s="8" t="n">
        <f aca="false">L369*(CEG_Assets!$AD$13+CEG_PPAAdj)/1000000*(1+CEG_RevAdj)</f>
        <v>0</v>
      </c>
      <c r="M375" s="8" t="n">
        <f aca="false">M369*(CEG_Assets!$AD$13+CEG_PPAAdj)/1000000*(1+CEG_RevAdj)</f>
        <v>0</v>
      </c>
      <c r="N375" s="8" t="n">
        <f aca="false">N369*(CEG_Assets!$AD$13+CEG_PPAAdj)/1000000*(1+CEG_RevAdj)</f>
        <v>0</v>
      </c>
      <c r="O375" s="8" t="n">
        <f aca="false">O369*(CEG_Assets!$AD$13+CEG_PPAAdj)/1000000*(1+CEG_RevAdj)</f>
        <v>0</v>
      </c>
      <c r="P375" s="8" t="n">
        <f aca="false">P369*(CEG_Assets!$AD$13+CEG_PPAAdj)/1000000*(1+CEG_RevAdj)</f>
        <v>0</v>
      </c>
      <c r="Q375" s="8" t="n">
        <f aca="false">Q369*(CEG_Assets!$AD$13+CEG_PPAAdj)/1000000*(1+CEG_RevAdj)</f>
        <v>0</v>
      </c>
      <c r="R375" s="8" t="n">
        <f aca="false">R369*(CEG_Assets!$AD$13+CEG_PPAAdj)/1000000*(1+CEG_RevAdj)</f>
        <v>0</v>
      </c>
      <c r="S375" s="8" t="n">
        <f aca="false">S369*(CEG_Assets!$AD$13+CEG_PPAAdj)/1000000*(1+CEG_RevAdj)</f>
        <v>0</v>
      </c>
      <c r="T375" s="8" t="n">
        <f aca="false">T369*(CEG_Assets!$AD$13+CEG_PPAAdj)/1000000*(1+CEG_RevAdj)</f>
        <v>0</v>
      </c>
      <c r="U375" s="8" t="n">
        <f aca="false">U369*(CEG_Assets!$AD$13+CEG_PPAAdj)/1000000*(1+CEG_RevAdj)</f>
        <v>0</v>
      </c>
      <c r="V375" s="8" t="n">
        <f aca="false">V369*(CEG_Assets!$AD$13+CEG_PPAAdj)/1000000*(1+CEG_RevAdj)</f>
        <v>0</v>
      </c>
      <c r="W375" s="8" t="n">
        <f aca="false">W369*(CEG_Assets!$AD$13+CEG_PPAAdj)/1000000*(1+CEG_RevAdj)</f>
        <v>0</v>
      </c>
      <c r="X375" s="8" t="n">
        <f aca="false">X369*(CEG_Assets!$AD$13+CEG_PPAAdj)/1000000*(1+CEG_RevAdj)</f>
        <v>0</v>
      </c>
      <c r="Y375" s="8" t="n">
        <f aca="false">Y369*(CEG_Assets!$AD$13+CEG_PPAAdj)/1000000*(1+CEG_RevAdj)</f>
        <v>0</v>
      </c>
      <c r="Z375" s="8" t="n">
        <f aca="false">Z369*(CEG_Assets!$AD$13+CEG_PPAAdj)/1000000*(1+CEG_RevAdj)</f>
        <v>0</v>
      </c>
      <c r="AA375" s="8" t="n">
        <f aca="false">AA369*(CEG_Assets!$AD$13+CEG_PPAAdj)/1000000*(1+CEG_RevAdj)</f>
        <v>0</v>
      </c>
      <c r="AB375" s="8" t="n">
        <f aca="false">AB369*(CEG_Assets!$AD$13+CEG_PPAAdj)/1000000*(1+CEG_RevAdj)</f>
        <v>0</v>
      </c>
      <c r="AC375" s="8" t="n">
        <f aca="false">AC369*(CEG_Assets!$AD$13+CEG_PPAAdj)/1000000*(1+CEG_RevAdj)</f>
        <v>0</v>
      </c>
      <c r="AD375" s="8" t="n">
        <f aca="false">AD369*(CEG_Assets!$AD$13+CEG_PPAAdj)/1000000*(1+CEG_RevAdj)</f>
        <v>0</v>
      </c>
      <c r="AE375" s="8" t="n">
        <f aca="false">AE369*(CEG_Assets!$AD$13+CEG_PPAAdj)/1000000*(1+CEG_RevAdj)</f>
        <v>0</v>
      </c>
      <c r="AF375" s="8" t="n">
        <f aca="false">AF369*(CEG_Assets!$AD$13+CEG_PPAAdj)/1000000*(1+CEG_RevAdj)</f>
        <v>0</v>
      </c>
      <c r="AG375" s="8" t="n">
        <f aca="false">AG369*(CEG_Assets!$AD$13+CEG_PPAAdj)/1000000*(1+CEG_RevAdj)</f>
        <v>0</v>
      </c>
      <c r="AH375" s="8" t="n">
        <f aca="false">AH369*(CEG_Assets!$AD$13+CEG_PPAAdj)/1000000*(1+CEG_RevAdj)</f>
        <v>0</v>
      </c>
      <c r="AI375" s="8" t="n">
        <f aca="false">AI369*(CEG_Assets!$AD$13+CEG_PPAAdj)/1000000*(1+CEG_RevAdj)</f>
        <v>0</v>
      </c>
      <c r="AJ375" s="8" t="n">
        <f aca="false">AJ369*(CEG_Assets!$AD$13+CEG_PPAAdj)/1000000*(1+CEG_RevAdj)</f>
        <v>0</v>
      </c>
      <c r="AK375" s="8" t="n">
        <f aca="false">AK369*(CEG_Assets!$AD$13+CEG_PPAAdj)/1000000*(1+CEG_RevAdj)</f>
        <v>0</v>
      </c>
      <c r="AL375" s="8" t="n">
        <f aca="false">AL369*(CEG_Assets!$AD$13+CEG_PPAAdj)/1000000*(1+CEG_RevAdj)</f>
        <v>0</v>
      </c>
      <c r="AM375" s="8" t="n">
        <f aca="false">AM369*(CEG_Assets!$AD$13+CEG_PPAAdj)/1000000*(1+CEG_RevAdj)</f>
        <v>0</v>
      </c>
      <c r="AN375" s="8" t="n">
        <f aca="false">AN369*(CEG_Assets!$AD$13+CEG_PPAAdj)/1000000*(1+CEG_RevAdj)</f>
        <v>0</v>
      </c>
      <c r="AO375" s="8" t="n">
        <f aca="false">AO369*(CEG_Assets!$AD$13+CEG_PPAAdj)/1000000*(1+CEG_RevAdj)</f>
        <v>0</v>
      </c>
      <c r="AP375" s="8" t="n">
        <f aca="false">AP369*(CEG_Assets!$AD$13+CEG_PPAAdj)/1000000*(1+CEG_RevAdj)</f>
        <v>0</v>
      </c>
      <c r="AQ375" s="8" t="n">
        <f aca="false">AQ369*(CEG_Assets!$AD$13+CEG_PPAAdj)/1000000*(1+CEG_RevAdj)</f>
        <v>0</v>
      </c>
      <c r="AR375" s="8" t="n">
        <f aca="false">AR369*(CEG_Assets!$AD$13+CEG_PPAAdj)/1000000*(1+CEG_RevAdj)</f>
        <v>0</v>
      </c>
      <c r="AS375" s="8" t="n">
        <f aca="false">AS369*(CEG_Assets!$AD$13+CEG_PPAAdj)/1000000*(1+CEG_RevAdj)</f>
        <v>0</v>
      </c>
    </row>
    <row r="376" customFormat="false" ht="15" hidden="false" customHeight="false" outlineLevel="0" collapsed="false">
      <c r="A376" s="6" t="s">
        <v>445</v>
      </c>
      <c r="B376" s="6" t="s">
        <v>446</v>
      </c>
      <c r="C376" s="9" t="n">
        <f aca="false">SUM(G376:AS376)</f>
        <v>0</v>
      </c>
      <c r="G376" s="8" t="n">
        <f aca="false">IF(G$3&lt;=CEG_Assets!$V$13,G368*CEG_Assets!$U$13,0)/1000000*(1+CEG_RevAdj)</f>
        <v>0</v>
      </c>
      <c r="H376" s="8" t="n">
        <f aca="false">IF(H$3&lt;=CEG_Assets!$V$13,H368*CEG_Assets!$U$13,0)/1000000*(1+CEG_RevAdj)</f>
        <v>0</v>
      </c>
      <c r="I376" s="8" t="n">
        <f aca="false">IF(I$3&lt;=CEG_Assets!$V$13,I368*CEG_Assets!$U$13,0)/1000000*(1+CEG_RevAdj)</f>
        <v>0</v>
      </c>
      <c r="J376" s="8" t="n">
        <f aca="false">IF(J$3&lt;=CEG_Assets!$V$13,J368*CEG_Assets!$U$13,0)/1000000*(1+CEG_RevAdj)</f>
        <v>0</v>
      </c>
      <c r="K376" s="8" t="n">
        <f aca="false">IF(K$3&lt;=CEG_Assets!$V$13,K368*CEG_Assets!$U$13,0)/1000000*(1+CEG_RevAdj)</f>
        <v>0</v>
      </c>
      <c r="L376" s="8" t="n">
        <f aca="false">IF(L$3&lt;=CEG_Assets!$V$13,L368*CEG_Assets!$U$13,0)/1000000*(1+CEG_RevAdj)</f>
        <v>0</v>
      </c>
      <c r="M376" s="8" t="n">
        <f aca="false">IF(M$3&lt;=CEG_Assets!$V$13,M368*CEG_Assets!$U$13,0)/1000000*(1+CEG_RevAdj)</f>
        <v>0</v>
      </c>
      <c r="N376" s="8" t="n">
        <f aca="false">IF(N$3&lt;=CEG_Assets!$V$13,N368*CEG_Assets!$U$13,0)/1000000*(1+CEG_RevAdj)</f>
        <v>0</v>
      </c>
      <c r="O376" s="8" t="n">
        <f aca="false">IF(O$3&lt;=CEG_Assets!$V$13,O368*CEG_Assets!$U$13,0)/1000000*(1+CEG_RevAdj)</f>
        <v>0</v>
      </c>
      <c r="P376" s="8" t="n">
        <f aca="false">IF(P$3&lt;=CEG_Assets!$V$13,P368*CEG_Assets!$U$13,0)/1000000*(1+CEG_RevAdj)</f>
        <v>0</v>
      </c>
      <c r="Q376" s="8" t="n">
        <f aca="false">IF(Q$3&lt;=CEG_Assets!$V$13,Q368*CEG_Assets!$U$13,0)/1000000*(1+CEG_RevAdj)</f>
        <v>0</v>
      </c>
      <c r="R376" s="8" t="n">
        <f aca="false">IF(R$3&lt;=CEG_Assets!$V$13,R368*CEG_Assets!$U$13,0)/1000000*(1+CEG_RevAdj)</f>
        <v>0</v>
      </c>
      <c r="S376" s="8" t="n">
        <f aca="false">IF(S$3&lt;=CEG_Assets!$V$13,S368*CEG_Assets!$U$13,0)/1000000*(1+CEG_RevAdj)</f>
        <v>0</v>
      </c>
      <c r="T376" s="8" t="n">
        <f aca="false">IF(T$3&lt;=CEG_Assets!$V$13,T368*CEG_Assets!$U$13,0)/1000000*(1+CEG_RevAdj)</f>
        <v>0</v>
      </c>
      <c r="U376" s="8" t="n">
        <f aca="false">IF(U$3&lt;=CEG_Assets!$V$13,U368*CEG_Assets!$U$13,0)/1000000*(1+CEG_RevAdj)</f>
        <v>0</v>
      </c>
      <c r="V376" s="8" t="n">
        <f aca="false">IF(V$3&lt;=CEG_Assets!$V$13,V368*CEG_Assets!$U$13,0)/1000000*(1+CEG_RevAdj)</f>
        <v>0</v>
      </c>
      <c r="W376" s="8" t="n">
        <f aca="false">IF(W$3&lt;=CEG_Assets!$V$13,W368*CEG_Assets!$U$13,0)/1000000*(1+CEG_RevAdj)</f>
        <v>0</v>
      </c>
      <c r="X376" s="8" t="n">
        <f aca="false">IF(X$3&lt;=CEG_Assets!$V$13,X368*CEG_Assets!$U$13,0)/1000000*(1+CEG_RevAdj)</f>
        <v>0</v>
      </c>
      <c r="Y376" s="8" t="n">
        <f aca="false">IF(Y$3&lt;=CEG_Assets!$V$13,Y368*CEG_Assets!$U$13,0)/1000000*(1+CEG_RevAdj)</f>
        <v>0</v>
      </c>
      <c r="Z376" s="8" t="n">
        <f aca="false">IF(Z$3&lt;=CEG_Assets!$V$13,Z368*CEG_Assets!$U$13,0)/1000000*(1+CEG_RevAdj)</f>
        <v>0</v>
      </c>
      <c r="AA376" s="8" t="n">
        <f aca="false">IF(AA$3&lt;=CEG_Assets!$V$13,AA368*CEG_Assets!$U$13,0)/1000000*(1+CEG_RevAdj)</f>
        <v>0</v>
      </c>
      <c r="AB376" s="8" t="n">
        <f aca="false">IF(AB$3&lt;=CEG_Assets!$V$13,AB368*CEG_Assets!$U$13,0)/1000000*(1+CEG_RevAdj)</f>
        <v>0</v>
      </c>
      <c r="AC376" s="8" t="n">
        <f aca="false">IF(AC$3&lt;=CEG_Assets!$V$13,AC368*CEG_Assets!$U$13,0)/1000000*(1+CEG_RevAdj)</f>
        <v>0</v>
      </c>
      <c r="AD376" s="8" t="n">
        <f aca="false">IF(AD$3&lt;=CEG_Assets!$V$13,AD368*CEG_Assets!$U$13,0)/1000000*(1+CEG_RevAdj)</f>
        <v>0</v>
      </c>
      <c r="AE376" s="8" t="n">
        <f aca="false">IF(AE$3&lt;=CEG_Assets!$V$13,AE368*CEG_Assets!$U$13,0)/1000000*(1+CEG_RevAdj)</f>
        <v>0</v>
      </c>
      <c r="AF376" s="8" t="n">
        <f aca="false">IF(AF$3&lt;=CEG_Assets!$V$13,AF368*CEG_Assets!$U$13,0)/1000000*(1+CEG_RevAdj)</f>
        <v>0</v>
      </c>
      <c r="AG376" s="8" t="n">
        <f aca="false">IF(AG$3&lt;=CEG_Assets!$V$13,AG368*CEG_Assets!$U$13,0)/1000000*(1+CEG_RevAdj)</f>
        <v>0</v>
      </c>
      <c r="AH376" s="8" t="n">
        <f aca="false">IF(AH$3&lt;=CEG_Assets!$V$13,AH368*CEG_Assets!$U$13,0)/1000000*(1+CEG_RevAdj)</f>
        <v>0</v>
      </c>
      <c r="AI376" s="8" t="n">
        <f aca="false">IF(AI$3&lt;=CEG_Assets!$V$13,AI368*CEG_Assets!$U$13,0)/1000000*(1+CEG_RevAdj)</f>
        <v>0</v>
      </c>
      <c r="AJ376" s="8" t="n">
        <f aca="false">IF(AJ$3&lt;=CEG_Assets!$V$13,AJ368*CEG_Assets!$U$13,0)/1000000*(1+CEG_RevAdj)</f>
        <v>0</v>
      </c>
      <c r="AK376" s="8" t="n">
        <f aca="false">IF(AK$3&lt;=CEG_Assets!$V$13,AK368*CEG_Assets!$U$13,0)/1000000*(1+CEG_RevAdj)</f>
        <v>0</v>
      </c>
      <c r="AL376" s="8" t="n">
        <f aca="false">IF(AL$3&lt;=CEG_Assets!$V$13,AL368*CEG_Assets!$U$13,0)/1000000*(1+CEG_RevAdj)</f>
        <v>0</v>
      </c>
      <c r="AM376" s="8" t="n">
        <f aca="false">IF(AM$3&lt;=CEG_Assets!$V$13,AM368*CEG_Assets!$U$13,0)/1000000*(1+CEG_RevAdj)</f>
        <v>0</v>
      </c>
      <c r="AN376" s="8" t="n">
        <f aca="false">IF(AN$3&lt;=CEG_Assets!$V$13,AN368*CEG_Assets!$U$13,0)/1000000*(1+CEG_RevAdj)</f>
        <v>0</v>
      </c>
      <c r="AO376" s="8" t="n">
        <f aca="false">IF(AO$3&lt;=CEG_Assets!$V$13,AO368*CEG_Assets!$U$13,0)/1000000*(1+CEG_RevAdj)</f>
        <v>0</v>
      </c>
      <c r="AP376" s="8" t="n">
        <f aca="false">IF(AP$3&lt;=CEG_Assets!$V$13,AP368*CEG_Assets!$U$13,0)/1000000*(1+CEG_RevAdj)</f>
        <v>0</v>
      </c>
      <c r="AQ376" s="8" t="n">
        <f aca="false">IF(AQ$3&lt;=CEG_Assets!$V$13,AQ368*CEG_Assets!$U$13,0)/1000000*(1+CEG_RevAdj)</f>
        <v>0</v>
      </c>
      <c r="AR376" s="8" t="n">
        <f aca="false">IF(AR$3&lt;=CEG_Assets!$V$13,AR368*CEG_Assets!$U$13,0)/1000000*(1+CEG_RevAdj)</f>
        <v>0</v>
      </c>
      <c r="AS376" s="8" t="n">
        <f aca="false">IF(AS$3&lt;=CEG_Assets!$V$13,AS368*CEG_Assets!$U$13,0)/1000000*(1+CEG_RevAdj)</f>
        <v>0</v>
      </c>
    </row>
    <row r="377" customFormat="false" ht="15" hidden="false" customHeight="false" outlineLevel="0" collapsed="false">
      <c r="A377" s="6" t="s">
        <v>447</v>
      </c>
      <c r="B377" s="6" t="s">
        <v>448</v>
      </c>
      <c r="C377" s="9" t="n">
        <f aca="false">SUM(G377:AS377)</f>
        <v>47041.845349634</v>
      </c>
      <c r="G377" s="8" t="n">
        <f aca="false">G373+G374+G375+G376</f>
        <v>1983.0888</v>
      </c>
      <c r="H377" s="8" t="n">
        <f aca="false">H373+H374+H375+H376</f>
        <v>2064.0312</v>
      </c>
      <c r="I377" s="8" t="n">
        <f aca="false">I373+I374+I375+I376</f>
        <v>2127.03393927024</v>
      </c>
      <c r="J377" s="8" t="n">
        <f aca="false">J373+J374+J375+J376</f>
        <v>2192.55678811129</v>
      </c>
      <c r="K377" s="8" t="n">
        <f aca="false">K373+K374+K375+K376</f>
        <v>2236.40792387352</v>
      </c>
      <c r="L377" s="8" t="n">
        <f aca="false">L373+L374+L375+L376</f>
        <v>2281.13608235099</v>
      </c>
      <c r="M377" s="8" t="n">
        <f aca="false">M373+M374+M375+M376</f>
        <v>2326.75880399801</v>
      </c>
      <c r="N377" s="8" t="n">
        <f aca="false">N373+N374+N375+N376</f>
        <v>2373.29398007797</v>
      </c>
      <c r="O377" s="8" t="n">
        <f aca="false">O373+O374+O375+O376</f>
        <v>2420.75985967953</v>
      </c>
      <c r="P377" s="8" t="n">
        <f aca="false">P373+P374+P375+P376</f>
        <v>2469.17505687312</v>
      </c>
      <c r="Q377" s="8" t="n">
        <f aca="false">Q373+Q374+Q375+Q376</f>
        <v>2518.55855801058</v>
      </c>
      <c r="R377" s="8" t="n">
        <f aca="false">R373+R374+R375+R376</f>
        <v>2568.92972917079</v>
      </c>
      <c r="S377" s="8" t="n">
        <f aca="false">S373+S374+S375+S376</f>
        <v>2620.30832375421</v>
      </c>
      <c r="T377" s="8" t="n">
        <f aca="false">T373+T374+T375+T376</f>
        <v>2672.71449022929</v>
      </c>
      <c r="U377" s="8" t="n">
        <f aca="false">U373+U374+U375+U376</f>
        <v>2726.16878003388</v>
      </c>
      <c r="V377" s="8" t="n">
        <f aca="false">V373+V374+V375+V376</f>
        <v>2780.69215563455</v>
      </c>
      <c r="W377" s="8" t="n">
        <f aca="false">W373+W374+W375+W376</f>
        <v>2836.30599874724</v>
      </c>
      <c r="X377" s="8" t="n">
        <f aca="false">X373+X374+X375+X376</f>
        <v>2893.03211872219</v>
      </c>
      <c r="Y377" s="8" t="n">
        <f aca="false">Y373+Y374+Y375+Y376</f>
        <v>2950.89276109663</v>
      </c>
      <c r="Z377" s="8" t="n">
        <f aca="false">Z373+Z374+Z375+Z376</f>
        <v>0</v>
      </c>
      <c r="AA377" s="8" t="n">
        <f aca="false">AA373+AA374+AA375+AA376</f>
        <v>0</v>
      </c>
      <c r="AB377" s="8" t="n">
        <f aca="false">AB373+AB374+AB375+AB376</f>
        <v>0</v>
      </c>
      <c r="AC377" s="8" t="n">
        <f aca="false">AC373+AC374+AC375+AC376</f>
        <v>0</v>
      </c>
      <c r="AD377" s="8" t="n">
        <f aca="false">AD373+AD374+AD375+AD376</f>
        <v>0</v>
      </c>
      <c r="AE377" s="8" t="n">
        <f aca="false">AE373+AE374+AE375+AE376</f>
        <v>0</v>
      </c>
      <c r="AF377" s="8" t="n">
        <f aca="false">AF373+AF374+AF375+AF376</f>
        <v>0</v>
      </c>
      <c r="AG377" s="8" t="n">
        <f aca="false">AG373+AG374+AG375+AG376</f>
        <v>0</v>
      </c>
      <c r="AH377" s="8" t="n">
        <f aca="false">AH373+AH374+AH375+AH376</f>
        <v>0</v>
      </c>
      <c r="AI377" s="8" t="n">
        <f aca="false">AI373+AI374+AI375+AI376</f>
        <v>0</v>
      </c>
      <c r="AJ377" s="8" t="n">
        <f aca="false">AJ373+AJ374+AJ375+AJ376</f>
        <v>0</v>
      </c>
      <c r="AK377" s="8" t="n">
        <f aca="false">AK373+AK374+AK375+AK376</f>
        <v>0</v>
      </c>
      <c r="AL377" s="8" t="n">
        <f aca="false">AL373+AL374+AL375+AL376</f>
        <v>0</v>
      </c>
      <c r="AM377" s="8" t="n">
        <f aca="false">AM373+AM374+AM375+AM376</f>
        <v>0</v>
      </c>
      <c r="AN377" s="8" t="n">
        <f aca="false">AN373+AN374+AN375+AN376</f>
        <v>0</v>
      </c>
      <c r="AO377" s="8" t="n">
        <f aca="false">AO373+AO374+AO375+AO376</f>
        <v>0</v>
      </c>
      <c r="AP377" s="8" t="n">
        <f aca="false">AP373+AP374+AP375+AP376</f>
        <v>0</v>
      </c>
      <c r="AQ377" s="8" t="n">
        <f aca="false">AQ373+AQ374+AQ375+AQ376</f>
        <v>0</v>
      </c>
      <c r="AR377" s="8" t="n">
        <f aca="false">AR373+AR374+AR375+AR376</f>
        <v>0</v>
      </c>
      <c r="AS377" s="8" t="n">
        <f aca="false">AS373+AS374+AS375+AS376</f>
        <v>0</v>
      </c>
    </row>
    <row r="378" customFormat="false" ht="15" hidden="false" customHeight="false" outlineLevel="0" collapsed="false">
      <c r="A378" s="6" t="s">
        <v>449</v>
      </c>
      <c r="B378" s="6" t="s">
        <v>450</v>
      </c>
      <c r="C378" s="9" t="n">
        <f aca="false">SUM(G378:AS378)</f>
        <v>26177.5382760344</v>
      </c>
      <c r="G378" s="8" t="n">
        <f aca="false">((CEG_Assets!$K$13*G370+CEG_Assets!$M$13*G$4)*G368*G372+CEG_Assets!$N$13*(1+CEG_Assets!$Q$13)^(G$3-2026)*(G368+G369))/1000000*(1+CEG_FuelAdj)</f>
        <v>1123.5209832</v>
      </c>
      <c r="H378" s="8" t="n">
        <f aca="false">((CEG_Assets!$K$13*H370+CEG_Assets!$M$13*H$4)*H368*H372+CEG_Assets!$N$13*(1+CEG_Assets!$Q$13)^(H$3-2026)*(H368+H369))/1000000*(1+CEG_FuelAdj)</f>
        <v>1145.991402864</v>
      </c>
      <c r="I378" s="8" t="n">
        <f aca="false">((CEG_Assets!$K$13*I370+CEG_Assets!$M$13*I$4)*I368*I372+CEG_Assets!$N$13*(1+CEG_Assets!$Q$13)^(I$3-2026)*(I368+I369))/1000000*(1+CEG_FuelAdj)</f>
        <v>1194.68024764704</v>
      </c>
      <c r="J378" s="8" t="n">
        <f aca="false">((CEG_Assets!$K$13*J370+CEG_Assets!$M$13*J$4)*J368*J372+CEG_Assets!$N$13*(1+CEG_Assets!$Q$13)^(J$3-2026)*(J368+J369))/1000000*(1+CEG_FuelAdj)</f>
        <v>1218.57385259998</v>
      </c>
      <c r="K378" s="8" t="n">
        <f aca="false">((CEG_Assets!$K$13*K370+CEG_Assets!$M$13*K$4)*K368*K372+CEG_Assets!$N$13*(1+CEG_Assets!$Q$13)^(K$3-2026)*(K368+K369))/1000000*(1+CEG_FuelAdj)</f>
        <v>1242.94532965198</v>
      </c>
      <c r="L378" s="8" t="n">
        <f aca="false">((CEG_Assets!$K$13*L370+CEG_Assets!$M$13*L$4)*L368*L372+CEG_Assets!$N$13*(1+CEG_Assets!$Q$13)^(L$3-2026)*(L368+L369))/1000000*(1+CEG_FuelAdj)</f>
        <v>1267.80423624502</v>
      </c>
      <c r="M378" s="8" t="n">
        <f aca="false">((CEG_Assets!$K$13*M370+CEG_Assets!$M$13*M$4)*M368*M372+CEG_Assets!$N$13*(1+CEG_Assets!$Q$13)^(M$3-2026)*(M368+M369))/1000000*(1+CEG_FuelAdj)</f>
        <v>1293.16032096992</v>
      </c>
      <c r="N378" s="8" t="n">
        <f aca="false">((CEG_Assets!$K$13*N370+CEG_Assets!$M$13*N$4)*N368*N372+CEG_Assets!$N$13*(1+CEG_Assets!$Q$13)^(N$3-2026)*(N368+N369))/1000000*(1+CEG_FuelAdj)</f>
        <v>1319.02352738932</v>
      </c>
      <c r="O378" s="8" t="n">
        <f aca="false">((CEG_Assets!$K$13*O370+CEG_Assets!$M$13*O$4)*O368*O372+CEG_Assets!$N$13*(1+CEG_Assets!$Q$13)^(O$3-2026)*(O368+O369))/1000000*(1+CEG_FuelAdj)</f>
        <v>1345.40399793711</v>
      </c>
      <c r="P378" s="8" t="n">
        <f aca="false">((CEG_Assets!$K$13*P370+CEG_Assets!$M$13*P$4)*P368*P372+CEG_Assets!$N$13*(1+CEG_Assets!$Q$13)^(P$3-2026)*(P368+P369))/1000000*(1+CEG_FuelAdj)</f>
        <v>1372.31207789585</v>
      </c>
      <c r="Q378" s="8" t="n">
        <f aca="false">((CEG_Assets!$K$13*Q370+CEG_Assets!$M$13*Q$4)*Q368*Q372+CEG_Assets!$N$13*(1+CEG_Assets!$Q$13)^(Q$3-2026)*(Q368+Q369))/1000000*(1+CEG_FuelAdj)</f>
        <v>1399.75831945376</v>
      </c>
      <c r="R378" s="8" t="n">
        <f aca="false">((CEG_Assets!$K$13*R370+CEG_Assets!$M$13*R$4)*R368*R372+CEG_Assets!$N$13*(1+CEG_Assets!$Q$13)^(R$3-2026)*(R368+R369))/1000000*(1+CEG_FuelAdj)</f>
        <v>1427.75348584284</v>
      </c>
      <c r="S378" s="8" t="n">
        <f aca="false">((CEG_Assets!$K$13*S370+CEG_Assets!$M$13*S$4)*S368*S372+CEG_Assets!$N$13*(1+CEG_Assets!$Q$13)^(S$3-2026)*(S368+S369))/1000000*(1+CEG_FuelAdj)</f>
        <v>1456.3085555597</v>
      </c>
      <c r="T378" s="8" t="n">
        <f aca="false">((CEG_Assets!$K$13*T370+CEG_Assets!$M$13*T$4)*T368*T372+CEG_Assets!$N$13*(1+CEG_Assets!$Q$13)^(T$3-2026)*(T368+T369))/1000000*(1+CEG_FuelAdj)</f>
        <v>1485.43472667089</v>
      </c>
      <c r="U378" s="8" t="n">
        <f aca="false">((CEG_Assets!$K$13*U370+CEG_Assets!$M$13*U$4)*U368*U372+CEG_Assets!$N$13*(1+CEG_Assets!$Q$13)^(U$3-2026)*(U368+U369))/1000000*(1+CEG_FuelAdj)</f>
        <v>1515.14342120431</v>
      </c>
      <c r="V378" s="8" t="n">
        <f aca="false">((CEG_Assets!$K$13*V370+CEG_Assets!$M$13*V$4)*V368*V372+CEG_Assets!$N$13*(1+CEG_Assets!$Q$13)^(V$3-2026)*(V368+V369))/1000000*(1+CEG_FuelAdj)</f>
        <v>1545.44628962839</v>
      </c>
      <c r="W378" s="8" t="n">
        <f aca="false">((CEG_Assets!$K$13*W370+CEG_Assets!$M$13*W$4)*W368*W372+CEG_Assets!$N$13*(1+CEG_Assets!$Q$13)^(W$3-2026)*(W368+W369))/1000000*(1+CEG_FuelAdj)</f>
        <v>1576.35521542096</v>
      </c>
      <c r="X378" s="8" t="n">
        <f aca="false">((CEG_Assets!$K$13*X370+CEG_Assets!$M$13*X$4)*X368*X372+CEG_Assets!$N$13*(1+CEG_Assets!$Q$13)^(X$3-2026)*(X368+X369))/1000000*(1+CEG_FuelAdj)</f>
        <v>1607.88231972938</v>
      </c>
      <c r="Y378" s="8" t="n">
        <f aca="false">((CEG_Assets!$K$13*Y370+CEG_Assets!$M$13*Y$4)*Y368*Y372+CEG_Assets!$N$13*(1+CEG_Assets!$Q$13)^(Y$3-2026)*(Y368+Y369))/1000000*(1+CEG_FuelAdj)</f>
        <v>1640.03996612397</v>
      </c>
      <c r="Z378" s="8" t="n">
        <f aca="false">((CEG_Assets!$K$13*Z370+CEG_Assets!$M$13*Z$4)*Z368*Z372+CEG_Assets!$N$13*(1+CEG_Assets!$Q$13)^(Z$3-2026)*(Z368+Z369))/1000000*(1+CEG_FuelAdj)</f>
        <v>0</v>
      </c>
      <c r="AA378" s="8" t="n">
        <f aca="false">((CEG_Assets!$K$13*AA370+CEG_Assets!$M$13*AA$4)*AA368*AA372+CEG_Assets!$N$13*(1+CEG_Assets!$Q$13)^(AA$3-2026)*(AA368+AA369))/1000000*(1+CEG_FuelAdj)</f>
        <v>0</v>
      </c>
      <c r="AB378" s="8" t="n">
        <f aca="false">((CEG_Assets!$K$13*AB370+CEG_Assets!$M$13*AB$4)*AB368*AB372+CEG_Assets!$N$13*(1+CEG_Assets!$Q$13)^(AB$3-2026)*(AB368+AB369))/1000000*(1+CEG_FuelAdj)</f>
        <v>0</v>
      </c>
      <c r="AC378" s="8" t="n">
        <f aca="false">((CEG_Assets!$K$13*AC370+CEG_Assets!$M$13*AC$4)*AC368*AC372+CEG_Assets!$N$13*(1+CEG_Assets!$Q$13)^(AC$3-2026)*(AC368+AC369))/1000000*(1+CEG_FuelAdj)</f>
        <v>0</v>
      </c>
      <c r="AD378" s="8" t="n">
        <f aca="false">((CEG_Assets!$K$13*AD370+CEG_Assets!$M$13*AD$4)*AD368*AD372+CEG_Assets!$N$13*(1+CEG_Assets!$Q$13)^(AD$3-2026)*(AD368+AD369))/1000000*(1+CEG_FuelAdj)</f>
        <v>0</v>
      </c>
      <c r="AE378" s="8" t="n">
        <f aca="false">((CEG_Assets!$K$13*AE370+CEG_Assets!$M$13*AE$4)*AE368*AE372+CEG_Assets!$N$13*(1+CEG_Assets!$Q$13)^(AE$3-2026)*(AE368+AE369))/1000000*(1+CEG_FuelAdj)</f>
        <v>0</v>
      </c>
      <c r="AF378" s="8" t="n">
        <f aca="false">((CEG_Assets!$K$13*AF370+CEG_Assets!$M$13*AF$4)*AF368*AF372+CEG_Assets!$N$13*(1+CEG_Assets!$Q$13)^(AF$3-2026)*(AF368+AF369))/1000000*(1+CEG_FuelAdj)</f>
        <v>0</v>
      </c>
      <c r="AG378" s="8" t="n">
        <f aca="false">((CEG_Assets!$K$13*AG370+CEG_Assets!$M$13*AG$4)*AG368*AG372+CEG_Assets!$N$13*(1+CEG_Assets!$Q$13)^(AG$3-2026)*(AG368+AG369))/1000000*(1+CEG_FuelAdj)</f>
        <v>0</v>
      </c>
      <c r="AH378" s="8" t="n">
        <f aca="false">((CEG_Assets!$K$13*AH370+CEG_Assets!$M$13*AH$4)*AH368*AH372+CEG_Assets!$N$13*(1+CEG_Assets!$Q$13)^(AH$3-2026)*(AH368+AH369))/1000000*(1+CEG_FuelAdj)</f>
        <v>0</v>
      </c>
      <c r="AI378" s="8" t="n">
        <f aca="false">((CEG_Assets!$K$13*AI370+CEG_Assets!$M$13*AI$4)*AI368*AI372+CEG_Assets!$N$13*(1+CEG_Assets!$Q$13)^(AI$3-2026)*(AI368+AI369))/1000000*(1+CEG_FuelAdj)</f>
        <v>0</v>
      </c>
      <c r="AJ378" s="8" t="n">
        <f aca="false">((CEG_Assets!$K$13*AJ370+CEG_Assets!$M$13*AJ$4)*AJ368*AJ372+CEG_Assets!$N$13*(1+CEG_Assets!$Q$13)^(AJ$3-2026)*(AJ368+AJ369))/1000000*(1+CEG_FuelAdj)</f>
        <v>0</v>
      </c>
      <c r="AK378" s="8" t="n">
        <f aca="false">((CEG_Assets!$K$13*AK370+CEG_Assets!$M$13*AK$4)*AK368*AK372+CEG_Assets!$N$13*(1+CEG_Assets!$Q$13)^(AK$3-2026)*(AK368+AK369))/1000000*(1+CEG_FuelAdj)</f>
        <v>0</v>
      </c>
      <c r="AL378" s="8" t="n">
        <f aca="false">((CEG_Assets!$K$13*AL370+CEG_Assets!$M$13*AL$4)*AL368*AL372+CEG_Assets!$N$13*(1+CEG_Assets!$Q$13)^(AL$3-2026)*(AL368+AL369))/1000000*(1+CEG_FuelAdj)</f>
        <v>0</v>
      </c>
      <c r="AM378" s="8" t="n">
        <f aca="false">((CEG_Assets!$K$13*AM370+CEG_Assets!$M$13*AM$4)*AM368*AM372+CEG_Assets!$N$13*(1+CEG_Assets!$Q$13)^(AM$3-2026)*(AM368+AM369))/1000000*(1+CEG_FuelAdj)</f>
        <v>0</v>
      </c>
      <c r="AN378" s="8" t="n">
        <f aca="false">((CEG_Assets!$K$13*AN370+CEG_Assets!$M$13*AN$4)*AN368*AN372+CEG_Assets!$N$13*(1+CEG_Assets!$Q$13)^(AN$3-2026)*(AN368+AN369))/1000000*(1+CEG_FuelAdj)</f>
        <v>0</v>
      </c>
      <c r="AO378" s="8" t="n">
        <f aca="false">((CEG_Assets!$K$13*AO370+CEG_Assets!$M$13*AO$4)*AO368*AO372+CEG_Assets!$N$13*(1+CEG_Assets!$Q$13)^(AO$3-2026)*(AO368+AO369))/1000000*(1+CEG_FuelAdj)</f>
        <v>0</v>
      </c>
      <c r="AP378" s="8" t="n">
        <f aca="false">((CEG_Assets!$K$13*AP370+CEG_Assets!$M$13*AP$4)*AP368*AP372+CEG_Assets!$N$13*(1+CEG_Assets!$Q$13)^(AP$3-2026)*(AP368+AP369))/1000000*(1+CEG_FuelAdj)</f>
        <v>0</v>
      </c>
      <c r="AQ378" s="8" t="n">
        <f aca="false">((CEG_Assets!$K$13*AQ370+CEG_Assets!$M$13*AQ$4)*AQ368*AQ372+CEG_Assets!$N$13*(1+CEG_Assets!$Q$13)^(AQ$3-2026)*(AQ368+AQ369))/1000000*(1+CEG_FuelAdj)</f>
        <v>0</v>
      </c>
      <c r="AR378" s="8" t="n">
        <f aca="false">((CEG_Assets!$K$13*AR370+CEG_Assets!$M$13*AR$4)*AR368*AR372+CEG_Assets!$N$13*(1+CEG_Assets!$Q$13)^(AR$3-2026)*(AR368+AR369))/1000000*(1+CEG_FuelAdj)</f>
        <v>0</v>
      </c>
      <c r="AS378" s="8" t="n">
        <f aca="false">((CEG_Assets!$K$13*AS370+CEG_Assets!$M$13*AS$4)*AS368*AS372+CEG_Assets!$N$13*(1+CEG_Assets!$Q$13)^(AS$3-2026)*(AS368+AS369))/1000000*(1+CEG_FuelAdj)</f>
        <v>0</v>
      </c>
    </row>
    <row r="379" customFormat="false" ht="15" hidden="false" customHeight="false" outlineLevel="0" collapsed="false">
      <c r="A379" s="6" t="s">
        <v>451</v>
      </c>
      <c r="B379" s="6" t="s">
        <v>452</v>
      </c>
      <c r="C379" s="9" t="n">
        <f aca="false">SUM(G379:AS379)</f>
        <v>20864.3070735996</v>
      </c>
      <c r="G379" s="8" t="n">
        <f aca="false">G377-G378</f>
        <v>859.5678168</v>
      </c>
      <c r="H379" s="8" t="n">
        <f aca="false">H377-H378</f>
        <v>918.039797136</v>
      </c>
      <c r="I379" s="8" t="n">
        <f aca="false">I377-I378</f>
        <v>932.3536916232</v>
      </c>
      <c r="J379" s="8" t="n">
        <f aca="false">J377-J378</f>
        <v>973.982935511309</v>
      </c>
      <c r="K379" s="8" t="n">
        <f aca="false">K377-K378</f>
        <v>993.462594221535</v>
      </c>
      <c r="L379" s="8" t="n">
        <f aca="false">L377-L378</f>
        <v>1013.33184610597</v>
      </c>
      <c r="M379" s="8" t="n">
        <f aca="false">M377-M378</f>
        <v>1033.59848302809</v>
      </c>
      <c r="N379" s="8" t="n">
        <f aca="false">N377-N378</f>
        <v>1054.27045268865</v>
      </c>
      <c r="O379" s="8" t="n">
        <f aca="false">O377-O378</f>
        <v>1075.35586174242</v>
      </c>
      <c r="P379" s="8" t="n">
        <f aca="false">P377-P378</f>
        <v>1096.86297897727</v>
      </c>
      <c r="Q379" s="8" t="n">
        <f aca="false">Q377-Q378</f>
        <v>1118.80023855681</v>
      </c>
      <c r="R379" s="8" t="n">
        <f aca="false">R377-R378</f>
        <v>1141.17624332795</v>
      </c>
      <c r="S379" s="8" t="n">
        <f aca="false">S377-S378</f>
        <v>1163.99976819451</v>
      </c>
      <c r="T379" s="8" t="n">
        <f aca="false">T377-T378</f>
        <v>1187.2797635584</v>
      </c>
      <c r="U379" s="8" t="n">
        <f aca="false">U377-U378</f>
        <v>1211.02535882957</v>
      </c>
      <c r="V379" s="8" t="n">
        <f aca="false">V377-V378</f>
        <v>1235.24586600616</v>
      </c>
      <c r="W379" s="8" t="n">
        <f aca="false">W377-W378</f>
        <v>1259.95078332628</v>
      </c>
      <c r="X379" s="8" t="n">
        <f aca="false">X377-X378</f>
        <v>1285.14979899281</v>
      </c>
      <c r="Y379" s="8" t="n">
        <f aca="false">Y377-Y378</f>
        <v>1310.85279497266</v>
      </c>
      <c r="Z379" s="8" t="n">
        <f aca="false">Z377-Z378</f>
        <v>0</v>
      </c>
      <c r="AA379" s="8" t="n">
        <f aca="false">AA377-AA378</f>
        <v>0</v>
      </c>
      <c r="AB379" s="8" t="n">
        <f aca="false">AB377-AB378</f>
        <v>0</v>
      </c>
      <c r="AC379" s="8" t="n">
        <f aca="false">AC377-AC378</f>
        <v>0</v>
      </c>
      <c r="AD379" s="8" t="n">
        <f aca="false">AD377-AD378</f>
        <v>0</v>
      </c>
      <c r="AE379" s="8" t="n">
        <f aca="false">AE377-AE378</f>
        <v>0</v>
      </c>
      <c r="AF379" s="8" t="n">
        <f aca="false">AF377-AF378</f>
        <v>0</v>
      </c>
      <c r="AG379" s="8" t="n">
        <f aca="false">AG377-AG378</f>
        <v>0</v>
      </c>
      <c r="AH379" s="8" t="n">
        <f aca="false">AH377-AH378</f>
        <v>0</v>
      </c>
      <c r="AI379" s="8" t="n">
        <f aca="false">AI377-AI378</f>
        <v>0</v>
      </c>
      <c r="AJ379" s="8" t="n">
        <f aca="false">AJ377-AJ378</f>
        <v>0</v>
      </c>
      <c r="AK379" s="8" t="n">
        <f aca="false">AK377-AK378</f>
        <v>0</v>
      </c>
      <c r="AL379" s="8" t="n">
        <f aca="false">AL377-AL378</f>
        <v>0</v>
      </c>
      <c r="AM379" s="8" t="n">
        <f aca="false">AM377-AM378</f>
        <v>0</v>
      </c>
      <c r="AN379" s="8" t="n">
        <f aca="false">AN377-AN378</f>
        <v>0</v>
      </c>
      <c r="AO379" s="8" t="n">
        <f aca="false">AO377-AO378</f>
        <v>0</v>
      </c>
      <c r="AP379" s="8" t="n">
        <f aca="false">AP377-AP378</f>
        <v>0</v>
      </c>
      <c r="AQ379" s="8" t="n">
        <f aca="false">AQ377-AQ378</f>
        <v>0</v>
      </c>
      <c r="AR379" s="8" t="n">
        <f aca="false">AR377-AR378</f>
        <v>0</v>
      </c>
      <c r="AS379" s="8" t="n">
        <f aca="false">AS377-AS378</f>
        <v>0</v>
      </c>
    </row>
    <row r="380" customFormat="false" ht="15" hidden="false" customHeight="false" outlineLevel="0" collapsed="false">
      <c r="A380" s="6" t="s">
        <v>453</v>
      </c>
      <c r="B380" s="6" t="s">
        <v>454</v>
      </c>
      <c r="C380" s="9" t="n">
        <f aca="false">SUM(G380:AS380)</f>
        <v>5218.61083495757</v>
      </c>
      <c r="G380" s="8" t="n">
        <f aca="false">(CEG_Assets!$R$13*CEG_Assets!$D$13*1000*G$4*G366+CEG_Assets!$O$13*(1+CEG_Assets!$Q$13)^(G$3-2026)*(G368+G369))/1000000*(1+CEG_OMAdj)</f>
        <v>228.48</v>
      </c>
      <c r="H380" s="8" t="n">
        <f aca="false">(CEG_Assets!$R$13*CEG_Assets!$D$13*1000*H$4*H366+CEG_Assets!$O$13*(1+CEG_Assets!$Q$13)^(H$3-2026)*(H368+H369))/1000000*(1+CEG_OMAdj)</f>
        <v>233.0496</v>
      </c>
      <c r="I380" s="8" t="n">
        <f aca="false">(CEG_Assets!$R$13*CEG_Assets!$D$13*1000*I$4*I366+CEG_Assets!$O$13*(1+CEG_Assets!$Q$13)^(I$3-2026)*(I368+I369))/1000000*(1+CEG_OMAdj)</f>
        <v>237.710592</v>
      </c>
      <c r="J380" s="8" t="n">
        <f aca="false">(CEG_Assets!$R$13*CEG_Assets!$D$13*1000*J$4*J366+CEG_Assets!$O$13*(1+CEG_Assets!$Q$13)^(J$3-2026)*(J368+J369))/1000000*(1+CEG_OMAdj)</f>
        <v>242.46480384</v>
      </c>
      <c r="K380" s="8" t="n">
        <f aca="false">(CEG_Assets!$R$13*CEG_Assets!$D$13*1000*K$4*K366+CEG_Assets!$O$13*(1+CEG_Assets!$Q$13)^(K$3-2026)*(K368+K369))/1000000*(1+CEG_OMAdj)</f>
        <v>247.3140999168</v>
      </c>
      <c r="L380" s="8" t="n">
        <f aca="false">(CEG_Assets!$R$13*CEG_Assets!$D$13*1000*L$4*L366+CEG_Assets!$O$13*(1+CEG_Assets!$Q$13)^(L$3-2026)*(L368+L369))/1000000*(1+CEG_OMAdj)</f>
        <v>252.260381915136</v>
      </c>
      <c r="M380" s="8" t="n">
        <f aca="false">(CEG_Assets!$R$13*CEG_Assets!$D$13*1000*M$4*M366+CEG_Assets!$O$13*(1+CEG_Assets!$Q$13)^(M$3-2026)*(M368+M369))/1000000*(1+CEG_OMAdj)</f>
        <v>257.305589553439</v>
      </c>
      <c r="N380" s="8" t="n">
        <f aca="false">(CEG_Assets!$R$13*CEG_Assets!$D$13*1000*N$4*N366+CEG_Assets!$O$13*(1+CEG_Assets!$Q$13)^(N$3-2026)*(N368+N369))/1000000*(1+CEG_OMAdj)</f>
        <v>262.451701344508</v>
      </c>
      <c r="O380" s="8" t="n">
        <f aca="false">(CEG_Assets!$R$13*CEG_Assets!$D$13*1000*O$4*O366+CEG_Assets!$O$13*(1+CEG_Assets!$Q$13)^(O$3-2026)*(O368+O369))/1000000*(1+CEG_OMAdj)</f>
        <v>267.700735371398</v>
      </c>
      <c r="P380" s="8" t="n">
        <f aca="false">(CEG_Assets!$R$13*CEG_Assets!$D$13*1000*P$4*P366+CEG_Assets!$O$13*(1+CEG_Assets!$Q$13)^(P$3-2026)*(P368+P369))/1000000*(1+CEG_OMAdj)</f>
        <v>273.054750078826</v>
      </c>
      <c r="Q380" s="8" t="n">
        <f aca="false">(CEG_Assets!$R$13*CEG_Assets!$D$13*1000*Q$4*Q366+CEG_Assets!$O$13*(1+CEG_Assets!$Q$13)^(Q$3-2026)*(Q368+Q369))/1000000*(1+CEG_OMAdj)</f>
        <v>278.515845080402</v>
      </c>
      <c r="R380" s="8" t="n">
        <f aca="false">(CEG_Assets!$R$13*CEG_Assets!$D$13*1000*R$4*R366+CEG_Assets!$O$13*(1+CEG_Assets!$Q$13)^(R$3-2026)*(R368+R369))/1000000*(1+CEG_OMAdj)</f>
        <v>284.08616198201</v>
      </c>
      <c r="S380" s="8" t="n">
        <f aca="false">(CEG_Assets!$R$13*CEG_Assets!$D$13*1000*S$4*S366+CEG_Assets!$O$13*(1+CEG_Assets!$Q$13)^(S$3-2026)*(S368+S369))/1000000*(1+CEG_OMAdj)</f>
        <v>289.76788522165</v>
      </c>
      <c r="T380" s="8" t="n">
        <f aca="false">(CEG_Assets!$R$13*CEG_Assets!$D$13*1000*T$4*T366+CEG_Assets!$O$13*(1+CEG_Assets!$Q$13)^(T$3-2026)*(T368+T369))/1000000*(1+CEG_OMAdj)</f>
        <v>295.563242926083</v>
      </c>
      <c r="U380" s="8" t="n">
        <f aca="false">(CEG_Assets!$R$13*CEG_Assets!$D$13*1000*U$4*U366+CEG_Assets!$O$13*(1+CEG_Assets!$Q$13)^(U$3-2026)*(U368+U369))/1000000*(1+CEG_OMAdj)</f>
        <v>301.474507784605</v>
      </c>
      <c r="V380" s="8" t="n">
        <f aca="false">(CEG_Assets!$R$13*CEG_Assets!$D$13*1000*V$4*V366+CEG_Assets!$O$13*(1+CEG_Assets!$Q$13)^(V$3-2026)*(V368+V369))/1000000*(1+CEG_OMAdj)</f>
        <v>307.503997940297</v>
      </c>
      <c r="W380" s="8" t="n">
        <f aca="false">(CEG_Assets!$R$13*CEG_Assets!$D$13*1000*W$4*W366+CEG_Assets!$O$13*(1+CEG_Assets!$Q$13)^(W$3-2026)*(W368+W369))/1000000*(1+CEG_OMAdj)</f>
        <v>313.654077899103</v>
      </c>
      <c r="X380" s="8" t="n">
        <f aca="false">(CEG_Assets!$R$13*CEG_Assets!$D$13*1000*X$4*X366+CEG_Assets!$O$13*(1+CEG_Assets!$Q$13)^(X$3-2026)*(X368+X369))/1000000*(1+CEG_OMAdj)</f>
        <v>319.927159457085</v>
      </c>
      <c r="Y380" s="8" t="n">
        <f aca="false">(CEG_Assets!$R$13*CEG_Assets!$D$13*1000*Y$4*Y366+CEG_Assets!$O$13*(1+CEG_Assets!$Q$13)^(Y$3-2026)*(Y368+Y369))/1000000*(1+CEG_OMAdj)</f>
        <v>326.325702646227</v>
      </c>
      <c r="Z380" s="8" t="n">
        <f aca="false">(CEG_Assets!$R$13*CEG_Assets!$D$13*1000*Z$4*Z366+CEG_Assets!$O$13*(1+CEG_Assets!$Q$13)^(Z$3-2026)*(Z368+Z369))/1000000*(1+CEG_OMAdj)</f>
        <v>0</v>
      </c>
      <c r="AA380" s="8" t="n">
        <f aca="false">(CEG_Assets!$R$13*CEG_Assets!$D$13*1000*AA$4*AA366+CEG_Assets!$O$13*(1+CEG_Assets!$Q$13)^(AA$3-2026)*(AA368+AA369))/1000000*(1+CEG_OMAdj)</f>
        <v>0</v>
      </c>
      <c r="AB380" s="8" t="n">
        <f aca="false">(CEG_Assets!$R$13*CEG_Assets!$D$13*1000*AB$4*AB366+CEG_Assets!$O$13*(1+CEG_Assets!$Q$13)^(AB$3-2026)*(AB368+AB369))/1000000*(1+CEG_OMAdj)</f>
        <v>0</v>
      </c>
      <c r="AC380" s="8" t="n">
        <f aca="false">(CEG_Assets!$R$13*CEG_Assets!$D$13*1000*AC$4*AC366+CEG_Assets!$O$13*(1+CEG_Assets!$Q$13)^(AC$3-2026)*(AC368+AC369))/1000000*(1+CEG_OMAdj)</f>
        <v>0</v>
      </c>
      <c r="AD380" s="8" t="n">
        <f aca="false">(CEG_Assets!$R$13*CEG_Assets!$D$13*1000*AD$4*AD366+CEG_Assets!$O$13*(1+CEG_Assets!$Q$13)^(AD$3-2026)*(AD368+AD369))/1000000*(1+CEG_OMAdj)</f>
        <v>0</v>
      </c>
      <c r="AE380" s="8" t="n">
        <f aca="false">(CEG_Assets!$R$13*CEG_Assets!$D$13*1000*AE$4*AE366+CEG_Assets!$O$13*(1+CEG_Assets!$Q$13)^(AE$3-2026)*(AE368+AE369))/1000000*(1+CEG_OMAdj)</f>
        <v>0</v>
      </c>
      <c r="AF380" s="8" t="n">
        <f aca="false">(CEG_Assets!$R$13*CEG_Assets!$D$13*1000*AF$4*AF366+CEG_Assets!$O$13*(1+CEG_Assets!$Q$13)^(AF$3-2026)*(AF368+AF369))/1000000*(1+CEG_OMAdj)</f>
        <v>0</v>
      </c>
      <c r="AG380" s="8" t="n">
        <f aca="false">(CEG_Assets!$R$13*CEG_Assets!$D$13*1000*AG$4*AG366+CEG_Assets!$O$13*(1+CEG_Assets!$Q$13)^(AG$3-2026)*(AG368+AG369))/1000000*(1+CEG_OMAdj)</f>
        <v>0</v>
      </c>
      <c r="AH380" s="8" t="n">
        <f aca="false">(CEG_Assets!$R$13*CEG_Assets!$D$13*1000*AH$4*AH366+CEG_Assets!$O$13*(1+CEG_Assets!$Q$13)^(AH$3-2026)*(AH368+AH369))/1000000*(1+CEG_OMAdj)</f>
        <v>0</v>
      </c>
      <c r="AI380" s="8" t="n">
        <f aca="false">(CEG_Assets!$R$13*CEG_Assets!$D$13*1000*AI$4*AI366+CEG_Assets!$O$13*(1+CEG_Assets!$Q$13)^(AI$3-2026)*(AI368+AI369))/1000000*(1+CEG_OMAdj)</f>
        <v>0</v>
      </c>
      <c r="AJ380" s="8" t="n">
        <f aca="false">(CEG_Assets!$R$13*CEG_Assets!$D$13*1000*AJ$4*AJ366+CEG_Assets!$O$13*(1+CEG_Assets!$Q$13)^(AJ$3-2026)*(AJ368+AJ369))/1000000*(1+CEG_OMAdj)</f>
        <v>0</v>
      </c>
      <c r="AK380" s="8" t="n">
        <f aca="false">(CEG_Assets!$R$13*CEG_Assets!$D$13*1000*AK$4*AK366+CEG_Assets!$O$13*(1+CEG_Assets!$Q$13)^(AK$3-2026)*(AK368+AK369))/1000000*(1+CEG_OMAdj)</f>
        <v>0</v>
      </c>
      <c r="AL380" s="8" t="n">
        <f aca="false">(CEG_Assets!$R$13*CEG_Assets!$D$13*1000*AL$4*AL366+CEG_Assets!$O$13*(1+CEG_Assets!$Q$13)^(AL$3-2026)*(AL368+AL369))/1000000*(1+CEG_OMAdj)</f>
        <v>0</v>
      </c>
      <c r="AM380" s="8" t="n">
        <f aca="false">(CEG_Assets!$R$13*CEG_Assets!$D$13*1000*AM$4*AM366+CEG_Assets!$O$13*(1+CEG_Assets!$Q$13)^(AM$3-2026)*(AM368+AM369))/1000000*(1+CEG_OMAdj)</f>
        <v>0</v>
      </c>
      <c r="AN380" s="8" t="n">
        <f aca="false">(CEG_Assets!$R$13*CEG_Assets!$D$13*1000*AN$4*AN366+CEG_Assets!$O$13*(1+CEG_Assets!$Q$13)^(AN$3-2026)*(AN368+AN369))/1000000*(1+CEG_OMAdj)</f>
        <v>0</v>
      </c>
      <c r="AO380" s="8" t="n">
        <f aca="false">(CEG_Assets!$R$13*CEG_Assets!$D$13*1000*AO$4*AO366+CEG_Assets!$O$13*(1+CEG_Assets!$Q$13)^(AO$3-2026)*(AO368+AO369))/1000000*(1+CEG_OMAdj)</f>
        <v>0</v>
      </c>
      <c r="AP380" s="8" t="n">
        <f aca="false">(CEG_Assets!$R$13*CEG_Assets!$D$13*1000*AP$4*AP366+CEG_Assets!$O$13*(1+CEG_Assets!$Q$13)^(AP$3-2026)*(AP368+AP369))/1000000*(1+CEG_OMAdj)</f>
        <v>0</v>
      </c>
      <c r="AQ380" s="8" t="n">
        <f aca="false">(CEG_Assets!$R$13*CEG_Assets!$D$13*1000*AQ$4*AQ366+CEG_Assets!$O$13*(1+CEG_Assets!$Q$13)^(AQ$3-2026)*(AQ368+AQ369))/1000000*(1+CEG_OMAdj)</f>
        <v>0</v>
      </c>
      <c r="AR380" s="8" t="n">
        <f aca="false">(CEG_Assets!$R$13*CEG_Assets!$D$13*1000*AR$4*AR366+CEG_Assets!$O$13*(1+CEG_Assets!$Q$13)^(AR$3-2026)*(AR368+AR369))/1000000*(1+CEG_OMAdj)</f>
        <v>0</v>
      </c>
      <c r="AS380" s="8" t="n">
        <f aca="false">(CEG_Assets!$R$13*CEG_Assets!$D$13*1000*AS$4*AS366+CEG_Assets!$O$13*(1+CEG_Assets!$Q$13)^(AS$3-2026)*(AS368+AS369))/1000000*(1+CEG_OMAdj)</f>
        <v>0</v>
      </c>
    </row>
    <row r="381" customFormat="false" ht="15" hidden="false" customHeight="false" outlineLevel="0" collapsed="false">
      <c r="A381" s="6" t="s">
        <v>455</v>
      </c>
      <c r="B381" s="6" t="s">
        <v>456</v>
      </c>
      <c r="C381" s="9" t="n">
        <f aca="false">SUM(G381:AS381)</f>
        <v>15645.696238642</v>
      </c>
      <c r="G381" s="8" t="n">
        <f aca="false">G379-G380</f>
        <v>631.0878168</v>
      </c>
      <c r="H381" s="8" t="n">
        <f aca="false">H379-H380</f>
        <v>684.990197136</v>
      </c>
      <c r="I381" s="8" t="n">
        <f aca="false">I379-I380</f>
        <v>694.6430996232</v>
      </c>
      <c r="J381" s="8" t="n">
        <f aca="false">J379-J380</f>
        <v>731.518131671309</v>
      </c>
      <c r="K381" s="8" t="n">
        <f aca="false">K379-K380</f>
        <v>746.148494304735</v>
      </c>
      <c r="L381" s="8" t="n">
        <f aca="false">L379-L380</f>
        <v>761.07146419083</v>
      </c>
      <c r="M381" s="8" t="n">
        <f aca="false">M379-M380</f>
        <v>776.292893474647</v>
      </c>
      <c r="N381" s="8" t="n">
        <f aca="false">N379-N380</f>
        <v>791.81875134414</v>
      </c>
      <c r="O381" s="8" t="n">
        <f aca="false">O379-O380</f>
        <v>807.655126371022</v>
      </c>
      <c r="P381" s="8" t="n">
        <f aca="false">P379-P380</f>
        <v>823.808228898442</v>
      </c>
      <c r="Q381" s="8" t="n">
        <f aca="false">Q379-Q380</f>
        <v>840.284393476412</v>
      </c>
      <c r="R381" s="8" t="n">
        <f aca="false">R379-R380</f>
        <v>857.09008134594</v>
      </c>
      <c r="S381" s="8" t="n">
        <f aca="false">S379-S380</f>
        <v>874.231882972858</v>
      </c>
      <c r="T381" s="8" t="n">
        <f aca="false">T379-T380</f>
        <v>891.716520632315</v>
      </c>
      <c r="U381" s="8" t="n">
        <f aca="false">U379-U380</f>
        <v>909.550851044962</v>
      </c>
      <c r="V381" s="8" t="n">
        <f aca="false">V379-V380</f>
        <v>927.741868065861</v>
      </c>
      <c r="W381" s="8" t="n">
        <f aca="false">W379-W380</f>
        <v>946.296705427179</v>
      </c>
      <c r="X381" s="8" t="n">
        <f aca="false">X379-X380</f>
        <v>965.222639535722</v>
      </c>
      <c r="Y381" s="8" t="n">
        <f aca="false">Y379-Y380</f>
        <v>984.527092326436</v>
      </c>
      <c r="Z381" s="8" t="n">
        <f aca="false">Z379-Z380</f>
        <v>0</v>
      </c>
      <c r="AA381" s="8" t="n">
        <f aca="false">AA379-AA380</f>
        <v>0</v>
      </c>
      <c r="AB381" s="8" t="n">
        <f aca="false">AB379-AB380</f>
        <v>0</v>
      </c>
      <c r="AC381" s="8" t="n">
        <f aca="false">AC379-AC380</f>
        <v>0</v>
      </c>
      <c r="AD381" s="8" t="n">
        <f aca="false">AD379-AD380</f>
        <v>0</v>
      </c>
      <c r="AE381" s="8" t="n">
        <f aca="false">AE379-AE380</f>
        <v>0</v>
      </c>
      <c r="AF381" s="8" t="n">
        <f aca="false">AF379-AF380</f>
        <v>0</v>
      </c>
      <c r="AG381" s="8" t="n">
        <f aca="false">AG379-AG380</f>
        <v>0</v>
      </c>
      <c r="AH381" s="8" t="n">
        <f aca="false">AH379-AH380</f>
        <v>0</v>
      </c>
      <c r="AI381" s="8" t="n">
        <f aca="false">AI379-AI380</f>
        <v>0</v>
      </c>
      <c r="AJ381" s="8" t="n">
        <f aca="false">AJ379-AJ380</f>
        <v>0</v>
      </c>
      <c r="AK381" s="8" t="n">
        <f aca="false">AK379-AK380</f>
        <v>0</v>
      </c>
      <c r="AL381" s="8" t="n">
        <f aca="false">AL379-AL380</f>
        <v>0</v>
      </c>
      <c r="AM381" s="8" t="n">
        <f aca="false">AM379-AM380</f>
        <v>0</v>
      </c>
      <c r="AN381" s="8" t="n">
        <f aca="false">AN379-AN380</f>
        <v>0</v>
      </c>
      <c r="AO381" s="8" t="n">
        <f aca="false">AO379-AO380</f>
        <v>0</v>
      </c>
      <c r="AP381" s="8" t="n">
        <f aca="false">AP379-AP380</f>
        <v>0</v>
      </c>
      <c r="AQ381" s="8" t="n">
        <f aca="false">AQ379-AQ380</f>
        <v>0</v>
      </c>
      <c r="AR381" s="8" t="n">
        <f aca="false">AR379-AR380</f>
        <v>0</v>
      </c>
      <c r="AS381" s="8" t="n">
        <f aca="false">AS379-AS380</f>
        <v>0</v>
      </c>
    </row>
    <row r="382" customFormat="false" ht="15" hidden="false" customHeight="false" outlineLevel="0" collapsed="false">
      <c r="A382" s="6" t="s">
        <v>457</v>
      </c>
      <c r="B382" s="6" t="s">
        <v>458</v>
      </c>
      <c r="C382" s="9" t="n">
        <f aca="false">SUM(G382:AS382)</f>
        <v>1956.97906310909</v>
      </c>
      <c r="G382" s="8" t="n">
        <f aca="false">((CEG_Assets!$S$13*CEG_Assets!$D$13*1000*G$4*G366+CEG_Assets!$P$13*(1+CEG_Assets!$Q$13)^(G$3-2026)*(G368+G369))/1000000+IF(G$3=CEG_Assets!$AH$13,CEG_Assets!$AG$13,0))*(1+CEG_CapexAdj)</f>
        <v>85.68</v>
      </c>
      <c r="H382" s="8" t="n">
        <f aca="false">((CEG_Assets!$S$13*CEG_Assets!$D$13*1000*H$4*H366+CEG_Assets!$P$13*(1+CEG_Assets!$Q$13)^(H$3-2026)*(H368+H369))/1000000+IF(H$3=CEG_Assets!$AH$13,CEG_Assets!$AG$13,0))*(1+CEG_CapexAdj)</f>
        <v>87.3936</v>
      </c>
      <c r="I382" s="8" t="n">
        <f aca="false">((CEG_Assets!$S$13*CEG_Assets!$D$13*1000*I$4*I366+CEG_Assets!$P$13*(1+CEG_Assets!$Q$13)^(I$3-2026)*(I368+I369))/1000000+IF(I$3=CEG_Assets!$AH$13,CEG_Assets!$AG$13,0))*(1+CEG_CapexAdj)</f>
        <v>89.141472</v>
      </c>
      <c r="J382" s="8" t="n">
        <f aca="false">((CEG_Assets!$S$13*CEG_Assets!$D$13*1000*J$4*J366+CEG_Assets!$P$13*(1+CEG_Assets!$Q$13)^(J$3-2026)*(J368+J369))/1000000+IF(J$3=CEG_Assets!$AH$13,CEG_Assets!$AG$13,0))*(1+CEG_CapexAdj)</f>
        <v>90.92430144</v>
      </c>
      <c r="K382" s="8" t="n">
        <f aca="false">((CEG_Assets!$S$13*CEG_Assets!$D$13*1000*K$4*K366+CEG_Assets!$P$13*(1+CEG_Assets!$Q$13)^(K$3-2026)*(K368+K369))/1000000+IF(K$3=CEG_Assets!$AH$13,CEG_Assets!$AG$13,0))*(1+CEG_CapexAdj)</f>
        <v>92.7427874688</v>
      </c>
      <c r="L382" s="8" t="n">
        <f aca="false">((CEG_Assets!$S$13*CEG_Assets!$D$13*1000*L$4*L366+CEG_Assets!$P$13*(1+CEG_Assets!$Q$13)^(L$3-2026)*(L368+L369))/1000000+IF(L$3=CEG_Assets!$AH$13,CEG_Assets!$AG$13,0))*(1+CEG_CapexAdj)</f>
        <v>94.597643218176</v>
      </c>
      <c r="M382" s="8" t="n">
        <f aca="false">((CEG_Assets!$S$13*CEG_Assets!$D$13*1000*M$4*M366+CEG_Assets!$P$13*(1+CEG_Assets!$Q$13)^(M$3-2026)*(M368+M369))/1000000+IF(M$3=CEG_Assets!$AH$13,CEG_Assets!$AG$13,0))*(1+CEG_CapexAdj)</f>
        <v>96.4895960825395</v>
      </c>
      <c r="N382" s="8" t="n">
        <f aca="false">((CEG_Assets!$S$13*CEG_Assets!$D$13*1000*N$4*N366+CEG_Assets!$P$13*(1+CEG_Assets!$Q$13)^(N$3-2026)*(N368+N369))/1000000+IF(N$3=CEG_Assets!$AH$13,CEG_Assets!$AG$13,0))*(1+CEG_CapexAdj)</f>
        <v>98.4193880041903</v>
      </c>
      <c r="O382" s="8" t="n">
        <f aca="false">((CEG_Assets!$S$13*CEG_Assets!$D$13*1000*O$4*O366+CEG_Assets!$P$13*(1+CEG_Assets!$Q$13)^(O$3-2026)*(O368+O369))/1000000+IF(O$3=CEG_Assets!$AH$13,CEG_Assets!$AG$13,0))*(1+CEG_CapexAdj)</f>
        <v>100.387775764274</v>
      </c>
      <c r="P382" s="8" t="n">
        <f aca="false">((CEG_Assets!$S$13*CEG_Assets!$D$13*1000*P$4*P366+CEG_Assets!$P$13*(1+CEG_Assets!$Q$13)^(P$3-2026)*(P368+P369))/1000000+IF(P$3=CEG_Assets!$AH$13,CEG_Assets!$AG$13,0))*(1+CEG_CapexAdj)</f>
        <v>102.39553127956</v>
      </c>
      <c r="Q382" s="8" t="n">
        <f aca="false">((CEG_Assets!$S$13*CEG_Assets!$D$13*1000*Q$4*Q366+CEG_Assets!$P$13*(1+CEG_Assets!$Q$13)^(Q$3-2026)*(Q368+Q369))/1000000+IF(Q$3=CEG_Assets!$AH$13,CEG_Assets!$AG$13,0))*(1+CEG_CapexAdj)</f>
        <v>104.443441905151</v>
      </c>
      <c r="R382" s="8" t="n">
        <f aca="false">((CEG_Assets!$S$13*CEG_Assets!$D$13*1000*R$4*R366+CEG_Assets!$P$13*(1+CEG_Assets!$Q$13)^(R$3-2026)*(R368+R369))/1000000+IF(R$3=CEG_Assets!$AH$13,CEG_Assets!$AG$13,0))*(1+CEG_CapexAdj)</f>
        <v>106.532310743254</v>
      </c>
      <c r="S382" s="8" t="n">
        <f aca="false">((CEG_Assets!$S$13*CEG_Assets!$D$13*1000*S$4*S366+CEG_Assets!$P$13*(1+CEG_Assets!$Q$13)^(S$3-2026)*(S368+S369))/1000000+IF(S$3=CEG_Assets!$AH$13,CEG_Assets!$AG$13,0))*(1+CEG_CapexAdj)</f>
        <v>108.662956958119</v>
      </c>
      <c r="T382" s="8" t="n">
        <f aca="false">((CEG_Assets!$S$13*CEG_Assets!$D$13*1000*T$4*T366+CEG_Assets!$P$13*(1+CEG_Assets!$Q$13)^(T$3-2026)*(T368+T369))/1000000+IF(T$3=CEG_Assets!$AH$13,CEG_Assets!$AG$13,0))*(1+CEG_CapexAdj)</f>
        <v>110.836216097281</v>
      </c>
      <c r="U382" s="8" t="n">
        <f aca="false">((CEG_Assets!$S$13*CEG_Assets!$D$13*1000*U$4*U366+CEG_Assets!$P$13*(1+CEG_Assets!$Q$13)^(U$3-2026)*(U368+U369))/1000000+IF(U$3=CEG_Assets!$AH$13,CEG_Assets!$AG$13,0))*(1+CEG_CapexAdj)</f>
        <v>113.052940419227</v>
      </c>
      <c r="V382" s="8" t="n">
        <f aca="false">((CEG_Assets!$S$13*CEG_Assets!$D$13*1000*V$4*V366+CEG_Assets!$P$13*(1+CEG_Assets!$Q$13)^(V$3-2026)*(V368+V369))/1000000+IF(V$3=CEG_Assets!$AH$13,CEG_Assets!$AG$13,0))*(1+CEG_CapexAdj)</f>
        <v>115.313999227611</v>
      </c>
      <c r="W382" s="8" t="n">
        <f aca="false">((CEG_Assets!$S$13*CEG_Assets!$D$13*1000*W$4*W366+CEG_Assets!$P$13*(1+CEG_Assets!$Q$13)^(W$3-2026)*(W368+W369))/1000000+IF(W$3=CEG_Assets!$AH$13,CEG_Assets!$AG$13,0))*(1+CEG_CapexAdj)</f>
        <v>117.620279212164</v>
      </c>
      <c r="X382" s="8" t="n">
        <f aca="false">((CEG_Assets!$S$13*CEG_Assets!$D$13*1000*X$4*X366+CEG_Assets!$P$13*(1+CEG_Assets!$Q$13)^(X$3-2026)*(X368+X369))/1000000+IF(X$3=CEG_Assets!$AH$13,CEG_Assets!$AG$13,0))*(1+CEG_CapexAdj)</f>
        <v>119.972684796407</v>
      </c>
      <c r="Y382" s="8" t="n">
        <f aca="false">((CEG_Assets!$S$13*CEG_Assets!$D$13*1000*Y$4*Y366+CEG_Assets!$P$13*(1+CEG_Assets!$Q$13)^(Y$3-2026)*(Y368+Y369))/1000000+IF(Y$3=CEG_Assets!$AH$13,CEG_Assets!$AG$13,0))*(1+CEG_CapexAdj)</f>
        <v>122.372138492335</v>
      </c>
      <c r="Z382" s="8" t="n">
        <f aca="false">((CEG_Assets!$S$13*CEG_Assets!$D$13*1000*Z$4*Z366+CEG_Assets!$P$13*(1+CEG_Assets!$Q$13)^(Z$3-2026)*(Z368+Z369))/1000000+IF(Z$3=CEG_Assets!$AH$13,CEG_Assets!$AG$13,0))*(1+CEG_CapexAdj)</f>
        <v>0</v>
      </c>
      <c r="AA382" s="8" t="n">
        <f aca="false">((CEG_Assets!$S$13*CEG_Assets!$D$13*1000*AA$4*AA366+CEG_Assets!$P$13*(1+CEG_Assets!$Q$13)^(AA$3-2026)*(AA368+AA369))/1000000+IF(AA$3=CEG_Assets!$AH$13,CEG_Assets!$AG$13,0))*(1+CEG_CapexAdj)</f>
        <v>0</v>
      </c>
      <c r="AB382" s="8" t="n">
        <f aca="false">((CEG_Assets!$S$13*CEG_Assets!$D$13*1000*AB$4*AB366+CEG_Assets!$P$13*(1+CEG_Assets!$Q$13)^(AB$3-2026)*(AB368+AB369))/1000000+IF(AB$3=CEG_Assets!$AH$13,CEG_Assets!$AG$13,0))*(1+CEG_CapexAdj)</f>
        <v>0</v>
      </c>
      <c r="AC382" s="8" t="n">
        <f aca="false">((CEG_Assets!$S$13*CEG_Assets!$D$13*1000*AC$4*AC366+CEG_Assets!$P$13*(1+CEG_Assets!$Q$13)^(AC$3-2026)*(AC368+AC369))/1000000+IF(AC$3=CEG_Assets!$AH$13,CEG_Assets!$AG$13,0))*(1+CEG_CapexAdj)</f>
        <v>0</v>
      </c>
      <c r="AD382" s="8" t="n">
        <f aca="false">((CEG_Assets!$S$13*CEG_Assets!$D$13*1000*AD$4*AD366+CEG_Assets!$P$13*(1+CEG_Assets!$Q$13)^(AD$3-2026)*(AD368+AD369))/1000000+IF(AD$3=CEG_Assets!$AH$13,CEG_Assets!$AG$13,0))*(1+CEG_CapexAdj)</f>
        <v>0</v>
      </c>
      <c r="AE382" s="8" t="n">
        <f aca="false">((CEG_Assets!$S$13*CEG_Assets!$D$13*1000*AE$4*AE366+CEG_Assets!$P$13*(1+CEG_Assets!$Q$13)^(AE$3-2026)*(AE368+AE369))/1000000+IF(AE$3=CEG_Assets!$AH$13,CEG_Assets!$AG$13,0))*(1+CEG_CapexAdj)</f>
        <v>0</v>
      </c>
      <c r="AF382" s="8" t="n">
        <f aca="false">((CEG_Assets!$S$13*CEG_Assets!$D$13*1000*AF$4*AF366+CEG_Assets!$P$13*(1+CEG_Assets!$Q$13)^(AF$3-2026)*(AF368+AF369))/1000000+IF(AF$3=CEG_Assets!$AH$13,CEG_Assets!$AG$13,0))*(1+CEG_CapexAdj)</f>
        <v>0</v>
      </c>
      <c r="AG382" s="8" t="n">
        <f aca="false">((CEG_Assets!$S$13*CEG_Assets!$D$13*1000*AG$4*AG366+CEG_Assets!$P$13*(1+CEG_Assets!$Q$13)^(AG$3-2026)*(AG368+AG369))/1000000+IF(AG$3=CEG_Assets!$AH$13,CEG_Assets!$AG$13,0))*(1+CEG_CapexAdj)</f>
        <v>0</v>
      </c>
      <c r="AH382" s="8" t="n">
        <f aca="false">((CEG_Assets!$S$13*CEG_Assets!$D$13*1000*AH$4*AH366+CEG_Assets!$P$13*(1+CEG_Assets!$Q$13)^(AH$3-2026)*(AH368+AH369))/1000000+IF(AH$3=CEG_Assets!$AH$13,CEG_Assets!$AG$13,0))*(1+CEG_CapexAdj)</f>
        <v>0</v>
      </c>
      <c r="AI382" s="8" t="n">
        <f aca="false">((CEG_Assets!$S$13*CEG_Assets!$D$13*1000*AI$4*AI366+CEG_Assets!$P$13*(1+CEG_Assets!$Q$13)^(AI$3-2026)*(AI368+AI369))/1000000+IF(AI$3=CEG_Assets!$AH$13,CEG_Assets!$AG$13,0))*(1+CEG_CapexAdj)</f>
        <v>0</v>
      </c>
      <c r="AJ382" s="8" t="n">
        <f aca="false">((CEG_Assets!$S$13*CEG_Assets!$D$13*1000*AJ$4*AJ366+CEG_Assets!$P$13*(1+CEG_Assets!$Q$13)^(AJ$3-2026)*(AJ368+AJ369))/1000000+IF(AJ$3=CEG_Assets!$AH$13,CEG_Assets!$AG$13,0))*(1+CEG_CapexAdj)</f>
        <v>0</v>
      </c>
      <c r="AK382" s="8" t="n">
        <f aca="false">((CEG_Assets!$S$13*CEG_Assets!$D$13*1000*AK$4*AK366+CEG_Assets!$P$13*(1+CEG_Assets!$Q$13)^(AK$3-2026)*(AK368+AK369))/1000000+IF(AK$3=CEG_Assets!$AH$13,CEG_Assets!$AG$13,0))*(1+CEG_CapexAdj)</f>
        <v>0</v>
      </c>
      <c r="AL382" s="8" t="n">
        <f aca="false">((CEG_Assets!$S$13*CEG_Assets!$D$13*1000*AL$4*AL366+CEG_Assets!$P$13*(1+CEG_Assets!$Q$13)^(AL$3-2026)*(AL368+AL369))/1000000+IF(AL$3=CEG_Assets!$AH$13,CEG_Assets!$AG$13,0))*(1+CEG_CapexAdj)</f>
        <v>0</v>
      </c>
      <c r="AM382" s="8" t="n">
        <f aca="false">((CEG_Assets!$S$13*CEG_Assets!$D$13*1000*AM$4*AM366+CEG_Assets!$P$13*(1+CEG_Assets!$Q$13)^(AM$3-2026)*(AM368+AM369))/1000000+IF(AM$3=CEG_Assets!$AH$13,CEG_Assets!$AG$13,0))*(1+CEG_CapexAdj)</f>
        <v>0</v>
      </c>
      <c r="AN382" s="8" t="n">
        <f aca="false">((CEG_Assets!$S$13*CEG_Assets!$D$13*1000*AN$4*AN366+CEG_Assets!$P$13*(1+CEG_Assets!$Q$13)^(AN$3-2026)*(AN368+AN369))/1000000+IF(AN$3=CEG_Assets!$AH$13,CEG_Assets!$AG$13,0))*(1+CEG_CapexAdj)</f>
        <v>0</v>
      </c>
      <c r="AO382" s="8" t="n">
        <f aca="false">((CEG_Assets!$S$13*CEG_Assets!$D$13*1000*AO$4*AO366+CEG_Assets!$P$13*(1+CEG_Assets!$Q$13)^(AO$3-2026)*(AO368+AO369))/1000000+IF(AO$3=CEG_Assets!$AH$13,CEG_Assets!$AG$13,0))*(1+CEG_CapexAdj)</f>
        <v>0</v>
      </c>
      <c r="AP382" s="8" t="n">
        <f aca="false">((CEG_Assets!$S$13*CEG_Assets!$D$13*1000*AP$4*AP366+CEG_Assets!$P$13*(1+CEG_Assets!$Q$13)^(AP$3-2026)*(AP368+AP369))/1000000+IF(AP$3=CEG_Assets!$AH$13,CEG_Assets!$AG$13,0))*(1+CEG_CapexAdj)</f>
        <v>0</v>
      </c>
      <c r="AQ382" s="8" t="n">
        <f aca="false">((CEG_Assets!$S$13*CEG_Assets!$D$13*1000*AQ$4*AQ366+CEG_Assets!$P$13*(1+CEG_Assets!$Q$13)^(AQ$3-2026)*(AQ368+AQ369))/1000000+IF(AQ$3=CEG_Assets!$AH$13,CEG_Assets!$AG$13,0))*(1+CEG_CapexAdj)</f>
        <v>0</v>
      </c>
      <c r="AR382" s="8" t="n">
        <f aca="false">((CEG_Assets!$S$13*CEG_Assets!$D$13*1000*AR$4*AR366+CEG_Assets!$P$13*(1+CEG_Assets!$Q$13)^(AR$3-2026)*(AR368+AR369))/1000000+IF(AR$3=CEG_Assets!$AH$13,CEG_Assets!$AG$13,0))*(1+CEG_CapexAdj)</f>
        <v>0</v>
      </c>
      <c r="AS382" s="8" t="n">
        <f aca="false">((CEG_Assets!$S$13*CEG_Assets!$D$13*1000*AS$4*AS366+CEG_Assets!$P$13*(1+CEG_Assets!$Q$13)^(AS$3-2026)*(AS368+AS369))/1000000+IF(AS$3=CEG_Assets!$AH$13,CEG_Assets!$AG$13,0))*(1+CEG_CapexAdj)</f>
        <v>0</v>
      </c>
    </row>
    <row r="383" customFormat="false" ht="15" hidden="false" customHeight="false" outlineLevel="0" collapsed="false">
      <c r="A383" s="6" t="s">
        <v>459</v>
      </c>
      <c r="B383" s="6" t="s">
        <v>460</v>
      </c>
      <c r="C383" s="9" t="n">
        <f aca="false">SUM(G383:AS383)</f>
        <v>13688.7171755329</v>
      </c>
      <c r="G383" s="8" t="n">
        <f aca="false">IF(CEG_Assets!$Y$13=1,MAX(0,G381-G382),G381-G382)</f>
        <v>545.4078168</v>
      </c>
      <c r="H383" s="8" t="n">
        <f aca="false">IF(CEG_Assets!$Y$13=1,MAX(0,H381-H382),H381-H382)</f>
        <v>597.596597136</v>
      </c>
      <c r="I383" s="8" t="n">
        <f aca="false">IF(CEG_Assets!$Y$13=1,MAX(0,I381-I382),I381-I382)</f>
        <v>605.5016276232</v>
      </c>
      <c r="J383" s="8" t="n">
        <f aca="false">IF(CEG_Assets!$Y$13=1,MAX(0,J381-J382),J381-J382)</f>
        <v>640.593830231309</v>
      </c>
      <c r="K383" s="8" t="n">
        <f aca="false">IF(CEG_Assets!$Y$13=1,MAX(0,K381-K382),K381-K382)</f>
        <v>653.405706835935</v>
      </c>
      <c r="L383" s="8" t="n">
        <f aca="false">IF(CEG_Assets!$Y$13=1,MAX(0,L381-L382),L381-L382)</f>
        <v>666.473820972654</v>
      </c>
      <c r="M383" s="8" t="n">
        <f aca="false">IF(CEG_Assets!$Y$13=1,MAX(0,M381-M382),M381-M382)</f>
        <v>679.803297392107</v>
      </c>
      <c r="N383" s="8" t="n">
        <f aca="false">IF(CEG_Assets!$Y$13=1,MAX(0,N381-N382),N381-N382)</f>
        <v>693.399363339949</v>
      </c>
      <c r="O383" s="8" t="n">
        <f aca="false">IF(CEG_Assets!$Y$13=1,MAX(0,O381-O382),O381-O382)</f>
        <v>707.267350606748</v>
      </c>
      <c r="P383" s="8" t="n">
        <f aca="false">IF(CEG_Assets!$Y$13=1,MAX(0,P381-P382),P381-P382)</f>
        <v>721.412697618882</v>
      </c>
      <c r="Q383" s="8" t="n">
        <f aca="false">IF(CEG_Assets!$Y$13=1,MAX(0,Q381-Q382),Q381-Q382)</f>
        <v>735.840951571261</v>
      </c>
      <c r="R383" s="8" t="n">
        <f aca="false">IF(CEG_Assets!$Y$13=1,MAX(0,R381-R382),R381-R382)</f>
        <v>750.557770602686</v>
      </c>
      <c r="S383" s="8" t="n">
        <f aca="false">IF(CEG_Assets!$Y$13=1,MAX(0,S381-S382),S381-S382)</f>
        <v>765.568926014739</v>
      </c>
      <c r="T383" s="8" t="n">
        <f aca="false">IF(CEG_Assets!$Y$13=1,MAX(0,T381-T382),T381-T382)</f>
        <v>780.880304535034</v>
      </c>
      <c r="U383" s="8" t="n">
        <f aca="false">IF(CEG_Assets!$Y$13=1,MAX(0,U381-U382),U381-U382)</f>
        <v>796.497910625736</v>
      </c>
      <c r="V383" s="8" t="n">
        <f aca="false">IF(CEG_Assets!$Y$13=1,MAX(0,V381-V382),V381-V382)</f>
        <v>812.427868838249</v>
      </c>
      <c r="W383" s="8" t="n">
        <f aca="false">IF(CEG_Assets!$Y$13=1,MAX(0,W381-W382),W381-W382)</f>
        <v>828.676426215015</v>
      </c>
      <c r="X383" s="8" t="n">
        <f aca="false">IF(CEG_Assets!$Y$13=1,MAX(0,X381-X382),X381-X382)</f>
        <v>845.249954739315</v>
      </c>
      <c r="Y383" s="8" t="n">
        <f aca="false">IF(CEG_Assets!$Y$13=1,MAX(0,Y381-Y382),Y381-Y382)</f>
        <v>862.154953834101</v>
      </c>
      <c r="Z383" s="8" t="n">
        <f aca="false">IF(CEG_Assets!$Y$13=1,MAX(0,Z381-Z382),Z381-Z382)</f>
        <v>0</v>
      </c>
      <c r="AA383" s="8" t="n">
        <f aca="false">IF(CEG_Assets!$Y$13=1,MAX(0,AA381-AA382),AA381-AA382)</f>
        <v>0</v>
      </c>
      <c r="AB383" s="8" t="n">
        <f aca="false">IF(CEG_Assets!$Y$13=1,MAX(0,AB381-AB382),AB381-AB382)</f>
        <v>0</v>
      </c>
      <c r="AC383" s="8" t="n">
        <f aca="false">IF(CEG_Assets!$Y$13=1,MAX(0,AC381-AC382),AC381-AC382)</f>
        <v>0</v>
      </c>
      <c r="AD383" s="8" t="n">
        <f aca="false">IF(CEG_Assets!$Y$13=1,MAX(0,AD381-AD382),AD381-AD382)</f>
        <v>0</v>
      </c>
      <c r="AE383" s="8" t="n">
        <f aca="false">IF(CEG_Assets!$Y$13=1,MAX(0,AE381-AE382),AE381-AE382)</f>
        <v>0</v>
      </c>
      <c r="AF383" s="8" t="n">
        <f aca="false">IF(CEG_Assets!$Y$13=1,MAX(0,AF381-AF382),AF381-AF382)</f>
        <v>0</v>
      </c>
      <c r="AG383" s="8" t="n">
        <f aca="false">IF(CEG_Assets!$Y$13=1,MAX(0,AG381-AG382),AG381-AG382)</f>
        <v>0</v>
      </c>
      <c r="AH383" s="8" t="n">
        <f aca="false">IF(CEG_Assets!$Y$13=1,MAX(0,AH381-AH382),AH381-AH382)</f>
        <v>0</v>
      </c>
      <c r="AI383" s="8" t="n">
        <f aca="false">IF(CEG_Assets!$Y$13=1,MAX(0,AI381-AI382),AI381-AI382)</f>
        <v>0</v>
      </c>
      <c r="AJ383" s="8" t="n">
        <f aca="false">IF(CEG_Assets!$Y$13=1,MAX(0,AJ381-AJ382),AJ381-AJ382)</f>
        <v>0</v>
      </c>
      <c r="AK383" s="8" t="n">
        <f aca="false">IF(CEG_Assets!$Y$13=1,MAX(0,AK381-AK382),AK381-AK382)</f>
        <v>0</v>
      </c>
      <c r="AL383" s="8" t="n">
        <f aca="false">IF(CEG_Assets!$Y$13=1,MAX(0,AL381-AL382),AL381-AL382)</f>
        <v>0</v>
      </c>
      <c r="AM383" s="8" t="n">
        <f aca="false">IF(CEG_Assets!$Y$13=1,MAX(0,AM381-AM382),AM381-AM382)</f>
        <v>0</v>
      </c>
      <c r="AN383" s="8" t="n">
        <f aca="false">IF(CEG_Assets!$Y$13=1,MAX(0,AN381-AN382),AN381-AN382)</f>
        <v>0</v>
      </c>
      <c r="AO383" s="8" t="n">
        <f aca="false">IF(CEG_Assets!$Y$13=1,MAX(0,AO381-AO382),AO381-AO382)</f>
        <v>0</v>
      </c>
      <c r="AP383" s="8" t="n">
        <f aca="false">IF(CEG_Assets!$Y$13=1,MAX(0,AP381-AP382),AP381-AP382)</f>
        <v>0</v>
      </c>
      <c r="AQ383" s="8" t="n">
        <f aca="false">IF(CEG_Assets!$Y$13=1,MAX(0,AQ381-AQ382),AQ381-AQ382)</f>
        <v>0</v>
      </c>
      <c r="AR383" s="8" t="n">
        <f aca="false">IF(CEG_Assets!$Y$13=1,MAX(0,AR381-AR382),AR381-AR382)</f>
        <v>0</v>
      </c>
      <c r="AS383" s="8" t="n">
        <f aca="false">IF(CEG_Assets!$Y$13=1,MAX(0,AS381-AS382),AS381-AS382)</f>
        <v>0</v>
      </c>
    </row>
    <row r="384" customFormat="false" ht="15" hidden="false" customHeight="false" outlineLevel="0" collapsed="false">
      <c r="A384" s="6" t="s">
        <v>461</v>
      </c>
      <c r="B384" s="6" t="s">
        <v>462</v>
      </c>
      <c r="C384" s="9" t="n">
        <f aca="false">SUM(G384:AS384)</f>
        <v>0</v>
      </c>
      <c r="G384" s="8" t="n">
        <f aca="false">IF(AND(CEG_Assets!$W$13=1,G$3&lt;=PTCLast,G368&gt;0),G368*MAX(0,PTCCredit*(1+Infl)^(G$3-PTCBase)-0.8*MAX(0,(G373+G374+G376)*1000000/MAX(1,G368)-PTCThresh*(1+Infl)^(G$3-PTCBase)))/1000000,0)</f>
        <v>0</v>
      </c>
      <c r="H384" s="8" t="n">
        <f aca="false">IF(AND(CEG_Assets!$W$13=1,H$3&lt;=PTCLast,H368&gt;0),H368*MAX(0,PTCCredit*(1+Infl)^(H$3-PTCBase)-0.8*MAX(0,(H373+H374+H376)*1000000/MAX(1,H368)-PTCThresh*(1+Infl)^(H$3-PTCBase)))/1000000,0)</f>
        <v>0</v>
      </c>
      <c r="I384" s="8" t="n">
        <f aca="false">IF(AND(CEG_Assets!$W$13=1,I$3&lt;=PTCLast,I368&gt;0),I368*MAX(0,PTCCredit*(1+Infl)^(I$3-PTCBase)-0.8*MAX(0,(I373+I374+I376)*1000000/MAX(1,I368)-PTCThresh*(1+Infl)^(I$3-PTCBase)))/1000000,0)</f>
        <v>0</v>
      </c>
      <c r="J384" s="8" t="n">
        <f aca="false">IF(AND(CEG_Assets!$W$13=1,J$3&lt;=PTCLast,J368&gt;0),J368*MAX(0,PTCCredit*(1+Infl)^(J$3-PTCBase)-0.8*MAX(0,(J373+J374+J376)*1000000/MAX(1,J368)-PTCThresh*(1+Infl)^(J$3-PTCBase)))/1000000,0)</f>
        <v>0</v>
      </c>
      <c r="K384" s="8" t="n">
        <f aca="false">IF(AND(CEG_Assets!$W$13=1,K$3&lt;=PTCLast,K368&gt;0),K368*MAX(0,PTCCredit*(1+Infl)^(K$3-PTCBase)-0.8*MAX(0,(K373+K374+K376)*1000000/MAX(1,K368)-PTCThresh*(1+Infl)^(K$3-PTCBase)))/1000000,0)</f>
        <v>0</v>
      </c>
      <c r="L384" s="8" t="n">
        <f aca="false">IF(AND(CEG_Assets!$W$13=1,L$3&lt;=PTCLast,L368&gt;0),L368*MAX(0,PTCCredit*(1+Infl)^(L$3-PTCBase)-0.8*MAX(0,(L373+L374+L376)*1000000/MAX(1,L368)-PTCThresh*(1+Infl)^(L$3-PTCBase)))/1000000,0)</f>
        <v>0</v>
      </c>
      <c r="M384" s="8" t="n">
        <f aca="false">IF(AND(CEG_Assets!$W$13=1,M$3&lt;=PTCLast,M368&gt;0),M368*MAX(0,PTCCredit*(1+Infl)^(M$3-PTCBase)-0.8*MAX(0,(M373+M374+M376)*1000000/MAX(1,M368)-PTCThresh*(1+Infl)^(M$3-PTCBase)))/1000000,0)</f>
        <v>0</v>
      </c>
      <c r="N384" s="8" t="n">
        <f aca="false">IF(AND(CEG_Assets!$W$13=1,N$3&lt;=PTCLast,N368&gt;0),N368*MAX(0,PTCCredit*(1+Infl)^(N$3-PTCBase)-0.8*MAX(0,(N373+N374+N376)*1000000/MAX(1,N368)-PTCThresh*(1+Infl)^(N$3-PTCBase)))/1000000,0)</f>
        <v>0</v>
      </c>
      <c r="O384" s="8" t="n">
        <f aca="false">IF(AND(CEG_Assets!$W$13=1,O$3&lt;=PTCLast,O368&gt;0),O368*MAX(0,PTCCredit*(1+Infl)^(O$3-PTCBase)-0.8*MAX(0,(O373+O374+O376)*1000000/MAX(1,O368)-PTCThresh*(1+Infl)^(O$3-PTCBase)))/1000000,0)</f>
        <v>0</v>
      </c>
      <c r="P384" s="8" t="n">
        <f aca="false">IF(AND(CEG_Assets!$W$13=1,P$3&lt;=PTCLast,P368&gt;0),P368*MAX(0,PTCCredit*(1+Infl)^(P$3-PTCBase)-0.8*MAX(0,(P373+P374+P376)*1000000/MAX(1,P368)-PTCThresh*(1+Infl)^(P$3-PTCBase)))/1000000,0)</f>
        <v>0</v>
      </c>
      <c r="Q384" s="8" t="n">
        <f aca="false">IF(AND(CEG_Assets!$W$13=1,Q$3&lt;=PTCLast,Q368&gt;0),Q368*MAX(0,PTCCredit*(1+Infl)^(Q$3-PTCBase)-0.8*MAX(0,(Q373+Q374+Q376)*1000000/MAX(1,Q368)-PTCThresh*(1+Infl)^(Q$3-PTCBase)))/1000000,0)</f>
        <v>0</v>
      </c>
      <c r="R384" s="8" t="n">
        <f aca="false">IF(AND(CEG_Assets!$W$13=1,R$3&lt;=PTCLast,R368&gt;0),R368*MAX(0,PTCCredit*(1+Infl)^(R$3-PTCBase)-0.8*MAX(0,(R373+R374+R376)*1000000/MAX(1,R368)-PTCThresh*(1+Infl)^(R$3-PTCBase)))/1000000,0)</f>
        <v>0</v>
      </c>
      <c r="S384" s="8" t="n">
        <f aca="false">IF(AND(CEG_Assets!$W$13=1,S$3&lt;=PTCLast,S368&gt;0),S368*MAX(0,PTCCredit*(1+Infl)^(S$3-PTCBase)-0.8*MAX(0,(S373+S374+S376)*1000000/MAX(1,S368)-PTCThresh*(1+Infl)^(S$3-PTCBase)))/1000000,0)</f>
        <v>0</v>
      </c>
      <c r="T384" s="8" t="n">
        <f aca="false">IF(AND(CEG_Assets!$W$13=1,T$3&lt;=PTCLast,T368&gt;0),T368*MAX(0,PTCCredit*(1+Infl)^(T$3-PTCBase)-0.8*MAX(0,(T373+T374+T376)*1000000/MAX(1,T368)-PTCThresh*(1+Infl)^(T$3-PTCBase)))/1000000,0)</f>
        <v>0</v>
      </c>
      <c r="U384" s="8" t="n">
        <f aca="false">IF(AND(CEG_Assets!$W$13=1,U$3&lt;=PTCLast,U368&gt;0),U368*MAX(0,PTCCredit*(1+Infl)^(U$3-PTCBase)-0.8*MAX(0,(U373+U374+U376)*1000000/MAX(1,U368)-PTCThresh*(1+Infl)^(U$3-PTCBase)))/1000000,0)</f>
        <v>0</v>
      </c>
      <c r="V384" s="8" t="n">
        <f aca="false">IF(AND(CEG_Assets!$W$13=1,V$3&lt;=PTCLast,V368&gt;0),V368*MAX(0,PTCCredit*(1+Infl)^(V$3-PTCBase)-0.8*MAX(0,(V373+V374+V376)*1000000/MAX(1,V368)-PTCThresh*(1+Infl)^(V$3-PTCBase)))/1000000,0)</f>
        <v>0</v>
      </c>
      <c r="W384" s="8" t="n">
        <f aca="false">IF(AND(CEG_Assets!$W$13=1,W$3&lt;=PTCLast,W368&gt;0),W368*MAX(0,PTCCredit*(1+Infl)^(W$3-PTCBase)-0.8*MAX(0,(W373+W374+W376)*1000000/MAX(1,W368)-PTCThresh*(1+Infl)^(W$3-PTCBase)))/1000000,0)</f>
        <v>0</v>
      </c>
      <c r="X384" s="8" t="n">
        <f aca="false">IF(AND(CEG_Assets!$W$13=1,X$3&lt;=PTCLast,X368&gt;0),X368*MAX(0,PTCCredit*(1+Infl)^(X$3-PTCBase)-0.8*MAX(0,(X373+X374+X376)*1000000/MAX(1,X368)-PTCThresh*(1+Infl)^(X$3-PTCBase)))/1000000,0)</f>
        <v>0</v>
      </c>
      <c r="Y384" s="8" t="n">
        <f aca="false">IF(AND(CEG_Assets!$W$13=1,Y$3&lt;=PTCLast,Y368&gt;0),Y368*MAX(0,PTCCredit*(1+Infl)^(Y$3-PTCBase)-0.8*MAX(0,(Y373+Y374+Y376)*1000000/MAX(1,Y368)-PTCThresh*(1+Infl)^(Y$3-PTCBase)))/1000000,0)</f>
        <v>0</v>
      </c>
      <c r="Z384" s="8" t="n">
        <f aca="false">IF(AND(CEG_Assets!$W$13=1,Z$3&lt;=PTCLast,Z368&gt;0),Z368*MAX(0,PTCCredit*(1+Infl)^(Z$3-PTCBase)-0.8*MAX(0,(Z373+Z374+Z376)*1000000/MAX(1,Z368)-PTCThresh*(1+Infl)^(Z$3-PTCBase)))/1000000,0)</f>
        <v>0</v>
      </c>
      <c r="AA384" s="8" t="n">
        <f aca="false">IF(AND(CEG_Assets!$W$13=1,AA$3&lt;=PTCLast,AA368&gt;0),AA368*MAX(0,PTCCredit*(1+Infl)^(AA$3-PTCBase)-0.8*MAX(0,(AA373+AA374+AA376)*1000000/MAX(1,AA368)-PTCThresh*(1+Infl)^(AA$3-PTCBase)))/1000000,0)</f>
        <v>0</v>
      </c>
      <c r="AB384" s="8" t="n">
        <f aca="false">IF(AND(CEG_Assets!$W$13=1,AB$3&lt;=PTCLast,AB368&gt;0),AB368*MAX(0,PTCCredit*(1+Infl)^(AB$3-PTCBase)-0.8*MAX(0,(AB373+AB374+AB376)*1000000/MAX(1,AB368)-PTCThresh*(1+Infl)^(AB$3-PTCBase)))/1000000,0)</f>
        <v>0</v>
      </c>
      <c r="AC384" s="8" t="n">
        <f aca="false">IF(AND(CEG_Assets!$W$13=1,AC$3&lt;=PTCLast,AC368&gt;0),AC368*MAX(0,PTCCredit*(1+Infl)^(AC$3-PTCBase)-0.8*MAX(0,(AC373+AC374+AC376)*1000000/MAX(1,AC368)-PTCThresh*(1+Infl)^(AC$3-PTCBase)))/1000000,0)</f>
        <v>0</v>
      </c>
      <c r="AD384" s="8" t="n">
        <f aca="false">IF(AND(CEG_Assets!$W$13=1,AD$3&lt;=PTCLast,AD368&gt;0),AD368*MAX(0,PTCCredit*(1+Infl)^(AD$3-PTCBase)-0.8*MAX(0,(AD373+AD374+AD376)*1000000/MAX(1,AD368)-PTCThresh*(1+Infl)^(AD$3-PTCBase)))/1000000,0)</f>
        <v>0</v>
      </c>
      <c r="AE384" s="8" t="n">
        <f aca="false">IF(AND(CEG_Assets!$W$13=1,AE$3&lt;=PTCLast,AE368&gt;0),AE368*MAX(0,PTCCredit*(1+Infl)^(AE$3-PTCBase)-0.8*MAX(0,(AE373+AE374+AE376)*1000000/MAX(1,AE368)-PTCThresh*(1+Infl)^(AE$3-PTCBase)))/1000000,0)</f>
        <v>0</v>
      </c>
      <c r="AF384" s="8" t="n">
        <f aca="false">IF(AND(CEG_Assets!$W$13=1,AF$3&lt;=PTCLast,AF368&gt;0),AF368*MAX(0,PTCCredit*(1+Infl)^(AF$3-PTCBase)-0.8*MAX(0,(AF373+AF374+AF376)*1000000/MAX(1,AF368)-PTCThresh*(1+Infl)^(AF$3-PTCBase)))/1000000,0)</f>
        <v>0</v>
      </c>
      <c r="AG384" s="8" t="n">
        <f aca="false">IF(AND(CEG_Assets!$W$13=1,AG$3&lt;=PTCLast,AG368&gt;0),AG368*MAX(0,PTCCredit*(1+Infl)^(AG$3-PTCBase)-0.8*MAX(0,(AG373+AG374+AG376)*1000000/MAX(1,AG368)-PTCThresh*(1+Infl)^(AG$3-PTCBase)))/1000000,0)</f>
        <v>0</v>
      </c>
      <c r="AH384" s="8" t="n">
        <f aca="false">IF(AND(CEG_Assets!$W$13=1,AH$3&lt;=PTCLast,AH368&gt;0),AH368*MAX(0,PTCCredit*(1+Infl)^(AH$3-PTCBase)-0.8*MAX(0,(AH373+AH374+AH376)*1000000/MAX(1,AH368)-PTCThresh*(1+Infl)^(AH$3-PTCBase)))/1000000,0)</f>
        <v>0</v>
      </c>
      <c r="AI384" s="8" t="n">
        <f aca="false">IF(AND(CEG_Assets!$W$13=1,AI$3&lt;=PTCLast,AI368&gt;0),AI368*MAX(0,PTCCredit*(1+Infl)^(AI$3-PTCBase)-0.8*MAX(0,(AI373+AI374+AI376)*1000000/MAX(1,AI368)-PTCThresh*(1+Infl)^(AI$3-PTCBase)))/1000000,0)</f>
        <v>0</v>
      </c>
      <c r="AJ384" s="8" t="n">
        <f aca="false">IF(AND(CEG_Assets!$W$13=1,AJ$3&lt;=PTCLast,AJ368&gt;0),AJ368*MAX(0,PTCCredit*(1+Infl)^(AJ$3-PTCBase)-0.8*MAX(0,(AJ373+AJ374+AJ376)*1000000/MAX(1,AJ368)-PTCThresh*(1+Infl)^(AJ$3-PTCBase)))/1000000,0)</f>
        <v>0</v>
      </c>
      <c r="AK384" s="8" t="n">
        <f aca="false">IF(AND(CEG_Assets!$W$13=1,AK$3&lt;=PTCLast,AK368&gt;0),AK368*MAX(0,PTCCredit*(1+Infl)^(AK$3-PTCBase)-0.8*MAX(0,(AK373+AK374+AK376)*1000000/MAX(1,AK368)-PTCThresh*(1+Infl)^(AK$3-PTCBase)))/1000000,0)</f>
        <v>0</v>
      </c>
      <c r="AL384" s="8" t="n">
        <f aca="false">IF(AND(CEG_Assets!$W$13=1,AL$3&lt;=PTCLast,AL368&gt;0),AL368*MAX(0,PTCCredit*(1+Infl)^(AL$3-PTCBase)-0.8*MAX(0,(AL373+AL374+AL376)*1000000/MAX(1,AL368)-PTCThresh*(1+Infl)^(AL$3-PTCBase)))/1000000,0)</f>
        <v>0</v>
      </c>
      <c r="AM384" s="8" t="n">
        <f aca="false">IF(AND(CEG_Assets!$W$13=1,AM$3&lt;=PTCLast,AM368&gt;0),AM368*MAX(0,PTCCredit*(1+Infl)^(AM$3-PTCBase)-0.8*MAX(0,(AM373+AM374+AM376)*1000000/MAX(1,AM368)-PTCThresh*(1+Infl)^(AM$3-PTCBase)))/1000000,0)</f>
        <v>0</v>
      </c>
      <c r="AN384" s="8" t="n">
        <f aca="false">IF(AND(CEG_Assets!$W$13=1,AN$3&lt;=PTCLast,AN368&gt;0),AN368*MAX(0,PTCCredit*(1+Infl)^(AN$3-PTCBase)-0.8*MAX(0,(AN373+AN374+AN376)*1000000/MAX(1,AN368)-PTCThresh*(1+Infl)^(AN$3-PTCBase)))/1000000,0)</f>
        <v>0</v>
      </c>
      <c r="AO384" s="8" t="n">
        <f aca="false">IF(AND(CEG_Assets!$W$13=1,AO$3&lt;=PTCLast,AO368&gt;0),AO368*MAX(0,PTCCredit*(1+Infl)^(AO$3-PTCBase)-0.8*MAX(0,(AO373+AO374+AO376)*1000000/MAX(1,AO368)-PTCThresh*(1+Infl)^(AO$3-PTCBase)))/1000000,0)</f>
        <v>0</v>
      </c>
      <c r="AP384" s="8" t="n">
        <f aca="false">IF(AND(CEG_Assets!$W$13=1,AP$3&lt;=PTCLast,AP368&gt;0),AP368*MAX(0,PTCCredit*(1+Infl)^(AP$3-PTCBase)-0.8*MAX(0,(AP373+AP374+AP376)*1000000/MAX(1,AP368)-PTCThresh*(1+Infl)^(AP$3-PTCBase)))/1000000,0)</f>
        <v>0</v>
      </c>
      <c r="AQ384" s="8" t="n">
        <f aca="false">IF(AND(CEG_Assets!$W$13=1,AQ$3&lt;=PTCLast,AQ368&gt;0),AQ368*MAX(0,PTCCredit*(1+Infl)^(AQ$3-PTCBase)-0.8*MAX(0,(AQ373+AQ374+AQ376)*1000000/MAX(1,AQ368)-PTCThresh*(1+Infl)^(AQ$3-PTCBase)))/1000000,0)</f>
        <v>0</v>
      </c>
      <c r="AR384" s="8" t="n">
        <f aca="false">IF(AND(CEG_Assets!$W$13=1,AR$3&lt;=PTCLast,AR368&gt;0),AR368*MAX(0,PTCCredit*(1+Infl)^(AR$3-PTCBase)-0.8*MAX(0,(AR373+AR374+AR376)*1000000/MAX(1,AR368)-PTCThresh*(1+Infl)^(AR$3-PTCBase)))/1000000,0)</f>
        <v>0</v>
      </c>
      <c r="AS384" s="8" t="n">
        <f aca="false">IF(AND(CEG_Assets!$W$13=1,AS$3&lt;=PTCLast,AS368&gt;0),AS368*MAX(0,PTCCredit*(1+Infl)^(AS$3-PTCBase)-0.8*MAX(0,(AS373+AS374+AS376)*1000000/MAX(1,AS368)-PTCThresh*(1+Infl)^(AS$3-PTCBase)))/1000000,0)</f>
        <v>0</v>
      </c>
    </row>
    <row r="385" customFormat="false" ht="15" hidden="false" customHeight="false" outlineLevel="0" collapsed="false">
      <c r="A385" s="6" t="s">
        <v>463</v>
      </c>
      <c r="B385" s="6" t="s">
        <v>464</v>
      </c>
      <c r="G385" s="8" t="n">
        <f aca="false">G375-G369*(CEG_Assets!$N$13*(1+CEG_FuelAdj)+CEG_Assets!$O$13*(1+CEG_OMAdj)+CEG_Assets!$P$13*(1+CEG_CapexAdj))*(1+CEG_Assets!$Q$13)^(G$3-2026)/1000000</f>
        <v>0</v>
      </c>
      <c r="H385" s="8" t="n">
        <f aca="false">H375-H369*(CEG_Assets!$N$13*(1+CEG_FuelAdj)+CEG_Assets!$O$13*(1+CEG_OMAdj)+CEG_Assets!$P$13*(1+CEG_CapexAdj))*(1+CEG_Assets!$Q$13)^(H$3-2026)/1000000</f>
        <v>0</v>
      </c>
      <c r="I385" s="8" t="n">
        <f aca="false">I375-I369*(CEG_Assets!$N$13*(1+CEG_FuelAdj)+CEG_Assets!$O$13*(1+CEG_OMAdj)+CEG_Assets!$P$13*(1+CEG_CapexAdj))*(1+CEG_Assets!$Q$13)^(I$3-2026)/1000000</f>
        <v>0</v>
      </c>
      <c r="J385" s="8" t="n">
        <f aca="false">J375-J369*(CEG_Assets!$N$13*(1+CEG_FuelAdj)+CEG_Assets!$O$13*(1+CEG_OMAdj)+CEG_Assets!$P$13*(1+CEG_CapexAdj))*(1+CEG_Assets!$Q$13)^(J$3-2026)/1000000</f>
        <v>0</v>
      </c>
      <c r="K385" s="8" t="n">
        <f aca="false">K375-K369*(CEG_Assets!$N$13*(1+CEG_FuelAdj)+CEG_Assets!$O$13*(1+CEG_OMAdj)+CEG_Assets!$P$13*(1+CEG_CapexAdj))*(1+CEG_Assets!$Q$13)^(K$3-2026)/1000000</f>
        <v>0</v>
      </c>
      <c r="L385" s="8" t="n">
        <f aca="false">L375-L369*(CEG_Assets!$N$13*(1+CEG_FuelAdj)+CEG_Assets!$O$13*(1+CEG_OMAdj)+CEG_Assets!$P$13*(1+CEG_CapexAdj))*(1+CEG_Assets!$Q$13)^(L$3-2026)/1000000</f>
        <v>0</v>
      </c>
      <c r="M385" s="8" t="n">
        <f aca="false">M375-M369*(CEG_Assets!$N$13*(1+CEG_FuelAdj)+CEG_Assets!$O$13*(1+CEG_OMAdj)+CEG_Assets!$P$13*(1+CEG_CapexAdj))*(1+CEG_Assets!$Q$13)^(M$3-2026)/1000000</f>
        <v>0</v>
      </c>
      <c r="N385" s="8" t="n">
        <f aca="false">N375-N369*(CEG_Assets!$N$13*(1+CEG_FuelAdj)+CEG_Assets!$O$13*(1+CEG_OMAdj)+CEG_Assets!$P$13*(1+CEG_CapexAdj))*(1+CEG_Assets!$Q$13)^(N$3-2026)/1000000</f>
        <v>0</v>
      </c>
      <c r="O385" s="8" t="n">
        <f aca="false">O375-O369*(CEG_Assets!$N$13*(1+CEG_FuelAdj)+CEG_Assets!$O$13*(1+CEG_OMAdj)+CEG_Assets!$P$13*(1+CEG_CapexAdj))*(1+CEG_Assets!$Q$13)^(O$3-2026)/1000000</f>
        <v>0</v>
      </c>
      <c r="P385" s="8" t="n">
        <f aca="false">P375-P369*(CEG_Assets!$N$13*(1+CEG_FuelAdj)+CEG_Assets!$O$13*(1+CEG_OMAdj)+CEG_Assets!$P$13*(1+CEG_CapexAdj))*(1+CEG_Assets!$Q$13)^(P$3-2026)/1000000</f>
        <v>0</v>
      </c>
      <c r="Q385" s="8" t="n">
        <f aca="false">Q375-Q369*(CEG_Assets!$N$13*(1+CEG_FuelAdj)+CEG_Assets!$O$13*(1+CEG_OMAdj)+CEG_Assets!$P$13*(1+CEG_CapexAdj))*(1+CEG_Assets!$Q$13)^(Q$3-2026)/1000000</f>
        <v>0</v>
      </c>
      <c r="R385" s="8" t="n">
        <f aca="false">R375-R369*(CEG_Assets!$N$13*(1+CEG_FuelAdj)+CEG_Assets!$O$13*(1+CEG_OMAdj)+CEG_Assets!$P$13*(1+CEG_CapexAdj))*(1+CEG_Assets!$Q$13)^(R$3-2026)/1000000</f>
        <v>0</v>
      </c>
      <c r="S385" s="8" t="n">
        <f aca="false">S375-S369*(CEG_Assets!$N$13*(1+CEG_FuelAdj)+CEG_Assets!$O$13*(1+CEG_OMAdj)+CEG_Assets!$P$13*(1+CEG_CapexAdj))*(1+CEG_Assets!$Q$13)^(S$3-2026)/1000000</f>
        <v>0</v>
      </c>
      <c r="T385" s="8" t="n">
        <f aca="false">T375-T369*(CEG_Assets!$N$13*(1+CEG_FuelAdj)+CEG_Assets!$O$13*(1+CEG_OMAdj)+CEG_Assets!$P$13*(1+CEG_CapexAdj))*(1+CEG_Assets!$Q$13)^(T$3-2026)/1000000</f>
        <v>0</v>
      </c>
      <c r="U385" s="8" t="n">
        <f aca="false">U375-U369*(CEG_Assets!$N$13*(1+CEG_FuelAdj)+CEG_Assets!$O$13*(1+CEG_OMAdj)+CEG_Assets!$P$13*(1+CEG_CapexAdj))*(1+CEG_Assets!$Q$13)^(U$3-2026)/1000000</f>
        <v>0</v>
      </c>
      <c r="V385" s="8" t="n">
        <f aca="false">V375-V369*(CEG_Assets!$N$13*(1+CEG_FuelAdj)+CEG_Assets!$O$13*(1+CEG_OMAdj)+CEG_Assets!$P$13*(1+CEG_CapexAdj))*(1+CEG_Assets!$Q$13)^(V$3-2026)/1000000</f>
        <v>0</v>
      </c>
      <c r="W385" s="8" t="n">
        <f aca="false">W375-W369*(CEG_Assets!$N$13*(1+CEG_FuelAdj)+CEG_Assets!$O$13*(1+CEG_OMAdj)+CEG_Assets!$P$13*(1+CEG_CapexAdj))*(1+CEG_Assets!$Q$13)^(W$3-2026)/1000000</f>
        <v>0</v>
      </c>
      <c r="X385" s="8" t="n">
        <f aca="false">X375-X369*(CEG_Assets!$N$13*(1+CEG_FuelAdj)+CEG_Assets!$O$13*(1+CEG_OMAdj)+CEG_Assets!$P$13*(1+CEG_CapexAdj))*(1+CEG_Assets!$Q$13)^(X$3-2026)/1000000</f>
        <v>0</v>
      </c>
      <c r="Y385" s="8" t="n">
        <f aca="false">Y375-Y369*(CEG_Assets!$N$13*(1+CEG_FuelAdj)+CEG_Assets!$O$13*(1+CEG_OMAdj)+CEG_Assets!$P$13*(1+CEG_CapexAdj))*(1+CEG_Assets!$Q$13)^(Y$3-2026)/1000000</f>
        <v>0</v>
      </c>
      <c r="Z385" s="8" t="n">
        <f aca="false">Z375-Z369*(CEG_Assets!$N$13*(1+CEG_FuelAdj)+CEG_Assets!$O$13*(1+CEG_OMAdj)+CEG_Assets!$P$13*(1+CEG_CapexAdj))*(1+CEG_Assets!$Q$13)^(Z$3-2026)/1000000</f>
        <v>0</v>
      </c>
      <c r="AA385" s="8" t="n">
        <f aca="false">AA375-AA369*(CEG_Assets!$N$13*(1+CEG_FuelAdj)+CEG_Assets!$O$13*(1+CEG_OMAdj)+CEG_Assets!$P$13*(1+CEG_CapexAdj))*(1+CEG_Assets!$Q$13)^(AA$3-2026)/1000000</f>
        <v>0</v>
      </c>
      <c r="AB385" s="8" t="n">
        <f aca="false">AB375-AB369*(CEG_Assets!$N$13*(1+CEG_FuelAdj)+CEG_Assets!$O$13*(1+CEG_OMAdj)+CEG_Assets!$P$13*(1+CEG_CapexAdj))*(1+CEG_Assets!$Q$13)^(AB$3-2026)/1000000</f>
        <v>0</v>
      </c>
      <c r="AC385" s="8" t="n">
        <f aca="false">AC375-AC369*(CEG_Assets!$N$13*(1+CEG_FuelAdj)+CEG_Assets!$O$13*(1+CEG_OMAdj)+CEG_Assets!$P$13*(1+CEG_CapexAdj))*(1+CEG_Assets!$Q$13)^(AC$3-2026)/1000000</f>
        <v>0</v>
      </c>
      <c r="AD385" s="8" t="n">
        <f aca="false">AD375-AD369*(CEG_Assets!$N$13*(1+CEG_FuelAdj)+CEG_Assets!$O$13*(1+CEG_OMAdj)+CEG_Assets!$P$13*(1+CEG_CapexAdj))*(1+CEG_Assets!$Q$13)^(AD$3-2026)/1000000</f>
        <v>0</v>
      </c>
      <c r="AE385" s="8" t="n">
        <f aca="false">AE375-AE369*(CEG_Assets!$N$13*(1+CEG_FuelAdj)+CEG_Assets!$O$13*(1+CEG_OMAdj)+CEG_Assets!$P$13*(1+CEG_CapexAdj))*(1+CEG_Assets!$Q$13)^(AE$3-2026)/1000000</f>
        <v>0</v>
      </c>
      <c r="AF385" s="8" t="n">
        <f aca="false">AF375-AF369*(CEG_Assets!$N$13*(1+CEG_FuelAdj)+CEG_Assets!$O$13*(1+CEG_OMAdj)+CEG_Assets!$P$13*(1+CEG_CapexAdj))*(1+CEG_Assets!$Q$13)^(AF$3-2026)/1000000</f>
        <v>0</v>
      </c>
      <c r="AG385" s="8" t="n">
        <f aca="false">AG375-AG369*(CEG_Assets!$N$13*(1+CEG_FuelAdj)+CEG_Assets!$O$13*(1+CEG_OMAdj)+CEG_Assets!$P$13*(1+CEG_CapexAdj))*(1+CEG_Assets!$Q$13)^(AG$3-2026)/1000000</f>
        <v>0</v>
      </c>
      <c r="AH385" s="8" t="n">
        <f aca="false">AH375-AH369*(CEG_Assets!$N$13*(1+CEG_FuelAdj)+CEG_Assets!$O$13*(1+CEG_OMAdj)+CEG_Assets!$P$13*(1+CEG_CapexAdj))*(1+CEG_Assets!$Q$13)^(AH$3-2026)/1000000</f>
        <v>0</v>
      </c>
      <c r="AI385" s="8" t="n">
        <f aca="false">AI375-AI369*(CEG_Assets!$N$13*(1+CEG_FuelAdj)+CEG_Assets!$O$13*(1+CEG_OMAdj)+CEG_Assets!$P$13*(1+CEG_CapexAdj))*(1+CEG_Assets!$Q$13)^(AI$3-2026)/1000000</f>
        <v>0</v>
      </c>
      <c r="AJ385" s="8" t="n">
        <f aca="false">AJ375-AJ369*(CEG_Assets!$N$13*(1+CEG_FuelAdj)+CEG_Assets!$O$13*(1+CEG_OMAdj)+CEG_Assets!$P$13*(1+CEG_CapexAdj))*(1+CEG_Assets!$Q$13)^(AJ$3-2026)/1000000</f>
        <v>0</v>
      </c>
      <c r="AK385" s="8" t="n">
        <f aca="false">AK375-AK369*(CEG_Assets!$N$13*(1+CEG_FuelAdj)+CEG_Assets!$O$13*(1+CEG_OMAdj)+CEG_Assets!$P$13*(1+CEG_CapexAdj))*(1+CEG_Assets!$Q$13)^(AK$3-2026)/1000000</f>
        <v>0</v>
      </c>
      <c r="AL385" s="8" t="n">
        <f aca="false">AL375-AL369*(CEG_Assets!$N$13*(1+CEG_FuelAdj)+CEG_Assets!$O$13*(1+CEG_OMAdj)+CEG_Assets!$P$13*(1+CEG_CapexAdj))*(1+CEG_Assets!$Q$13)^(AL$3-2026)/1000000</f>
        <v>0</v>
      </c>
      <c r="AM385" s="8" t="n">
        <f aca="false">AM375-AM369*(CEG_Assets!$N$13*(1+CEG_FuelAdj)+CEG_Assets!$O$13*(1+CEG_OMAdj)+CEG_Assets!$P$13*(1+CEG_CapexAdj))*(1+CEG_Assets!$Q$13)^(AM$3-2026)/1000000</f>
        <v>0</v>
      </c>
      <c r="AN385" s="8" t="n">
        <f aca="false">AN375-AN369*(CEG_Assets!$N$13*(1+CEG_FuelAdj)+CEG_Assets!$O$13*(1+CEG_OMAdj)+CEG_Assets!$P$13*(1+CEG_CapexAdj))*(1+CEG_Assets!$Q$13)^(AN$3-2026)/1000000</f>
        <v>0</v>
      </c>
      <c r="AO385" s="8" t="n">
        <f aca="false">AO375-AO369*(CEG_Assets!$N$13*(1+CEG_FuelAdj)+CEG_Assets!$O$13*(1+CEG_OMAdj)+CEG_Assets!$P$13*(1+CEG_CapexAdj))*(1+CEG_Assets!$Q$13)^(AO$3-2026)/1000000</f>
        <v>0</v>
      </c>
      <c r="AP385" s="8" t="n">
        <f aca="false">AP375-AP369*(CEG_Assets!$N$13*(1+CEG_FuelAdj)+CEG_Assets!$O$13*(1+CEG_OMAdj)+CEG_Assets!$P$13*(1+CEG_CapexAdj))*(1+CEG_Assets!$Q$13)^(AP$3-2026)/1000000</f>
        <v>0</v>
      </c>
      <c r="AQ385" s="8" t="n">
        <f aca="false">AQ375-AQ369*(CEG_Assets!$N$13*(1+CEG_FuelAdj)+CEG_Assets!$O$13*(1+CEG_OMAdj)+CEG_Assets!$P$13*(1+CEG_CapexAdj))*(1+CEG_Assets!$Q$13)^(AQ$3-2026)/1000000</f>
        <v>0</v>
      </c>
      <c r="AR385" s="8" t="n">
        <f aca="false">AR375-AR369*(CEG_Assets!$N$13*(1+CEG_FuelAdj)+CEG_Assets!$O$13*(1+CEG_OMAdj)+CEG_Assets!$P$13*(1+CEG_CapexAdj))*(1+CEG_Assets!$Q$13)^(AR$3-2026)/1000000</f>
        <v>0</v>
      </c>
      <c r="AS385" s="8" t="n">
        <f aca="false">AS375-AS369*(CEG_Assets!$N$13*(1+CEG_FuelAdj)+CEG_Assets!$O$13*(1+CEG_OMAdj)+CEG_Assets!$P$13*(1+CEG_CapexAdj))*(1+CEG_Assets!$Q$13)^(AS$3-2026)/1000000</f>
        <v>0</v>
      </c>
    </row>
    <row r="386" customFormat="false" ht="15" hidden="false" customHeight="false" outlineLevel="0" collapsed="false">
      <c r="A386" s="6" t="s">
        <v>465</v>
      </c>
      <c r="B386" s="6" t="s">
        <v>466</v>
      </c>
      <c r="G386" s="8" t="n">
        <f aca="false">G383-G385</f>
        <v>545.4078168</v>
      </c>
      <c r="H386" s="8" t="n">
        <f aca="false">H383-H385</f>
        <v>597.596597136</v>
      </c>
      <c r="I386" s="8" t="n">
        <f aca="false">I383-I385</f>
        <v>605.5016276232</v>
      </c>
      <c r="J386" s="8" t="n">
        <f aca="false">J383-J385</f>
        <v>640.593830231309</v>
      </c>
      <c r="K386" s="8" t="n">
        <f aca="false">K383-K385</f>
        <v>653.405706835935</v>
      </c>
      <c r="L386" s="8" t="n">
        <f aca="false">L383-L385</f>
        <v>666.473820972654</v>
      </c>
      <c r="M386" s="8" t="n">
        <f aca="false">M383-M385</f>
        <v>679.803297392107</v>
      </c>
      <c r="N386" s="8" t="n">
        <f aca="false">N383-N385</f>
        <v>693.399363339949</v>
      </c>
      <c r="O386" s="8" t="n">
        <f aca="false">O383-O385</f>
        <v>707.267350606748</v>
      </c>
      <c r="P386" s="8" t="n">
        <f aca="false">P383-P385</f>
        <v>721.412697618882</v>
      </c>
      <c r="Q386" s="8" t="n">
        <f aca="false">Q383-Q385</f>
        <v>735.840951571261</v>
      </c>
      <c r="R386" s="8" t="n">
        <f aca="false">R383-R385</f>
        <v>750.557770602686</v>
      </c>
      <c r="S386" s="8" t="n">
        <f aca="false">S383-S385</f>
        <v>765.568926014739</v>
      </c>
      <c r="T386" s="8" t="n">
        <f aca="false">T383-T385</f>
        <v>780.880304535034</v>
      </c>
      <c r="U386" s="8" t="n">
        <f aca="false">U383-U385</f>
        <v>796.497910625736</v>
      </c>
      <c r="V386" s="8" t="n">
        <f aca="false">V383-V385</f>
        <v>812.427868838249</v>
      </c>
      <c r="W386" s="8" t="n">
        <f aca="false">W383-W385</f>
        <v>828.676426215015</v>
      </c>
      <c r="X386" s="8" t="n">
        <f aca="false">X383-X385</f>
        <v>845.249954739315</v>
      </c>
      <c r="Y386" s="8" t="n">
        <f aca="false">Y383-Y385</f>
        <v>862.154953834101</v>
      </c>
      <c r="Z386" s="8" t="n">
        <f aca="false">Z383-Z385</f>
        <v>0</v>
      </c>
      <c r="AA386" s="8" t="n">
        <f aca="false">AA383-AA385</f>
        <v>0</v>
      </c>
      <c r="AB386" s="8" t="n">
        <f aca="false">AB383-AB385</f>
        <v>0</v>
      </c>
      <c r="AC386" s="8" t="n">
        <f aca="false">AC383-AC385</f>
        <v>0</v>
      </c>
      <c r="AD386" s="8" t="n">
        <f aca="false">AD383-AD385</f>
        <v>0</v>
      </c>
      <c r="AE386" s="8" t="n">
        <f aca="false">AE383-AE385</f>
        <v>0</v>
      </c>
      <c r="AF386" s="8" t="n">
        <f aca="false">AF383-AF385</f>
        <v>0</v>
      </c>
      <c r="AG386" s="8" t="n">
        <f aca="false">AG383-AG385</f>
        <v>0</v>
      </c>
      <c r="AH386" s="8" t="n">
        <f aca="false">AH383-AH385</f>
        <v>0</v>
      </c>
      <c r="AI386" s="8" t="n">
        <f aca="false">AI383-AI385</f>
        <v>0</v>
      </c>
      <c r="AJ386" s="8" t="n">
        <f aca="false">AJ383-AJ385</f>
        <v>0</v>
      </c>
      <c r="AK386" s="8" t="n">
        <f aca="false">AK383-AK385</f>
        <v>0</v>
      </c>
      <c r="AL386" s="8" t="n">
        <f aca="false">AL383-AL385</f>
        <v>0</v>
      </c>
      <c r="AM386" s="8" t="n">
        <f aca="false">AM383-AM385</f>
        <v>0</v>
      </c>
      <c r="AN386" s="8" t="n">
        <f aca="false">AN383-AN385</f>
        <v>0</v>
      </c>
      <c r="AO386" s="8" t="n">
        <f aca="false">AO383-AO385</f>
        <v>0</v>
      </c>
      <c r="AP386" s="8" t="n">
        <f aca="false">AP383-AP385</f>
        <v>0</v>
      </c>
      <c r="AQ386" s="8" t="n">
        <f aca="false">AQ383-AQ385</f>
        <v>0</v>
      </c>
      <c r="AR386" s="8" t="n">
        <f aca="false">AR383-AR385</f>
        <v>0</v>
      </c>
      <c r="AS386" s="8" t="n">
        <f aca="false">AS383-AS385</f>
        <v>0</v>
      </c>
    </row>
    <row r="387" customFormat="false" ht="15" hidden="false" customHeight="false" outlineLevel="0" collapsed="false">
      <c r="A387" s="6" t="s">
        <v>467</v>
      </c>
      <c r="B387" s="6" t="s">
        <v>468</v>
      </c>
      <c r="G387" s="8" t="n">
        <f aca="false">G386*(1-TaxRate)+G384</f>
        <v>436.32625344</v>
      </c>
      <c r="H387" s="8" t="n">
        <f aca="false">H386*(1-TaxRate)+H384</f>
        <v>478.0772777088</v>
      </c>
      <c r="I387" s="8" t="n">
        <f aca="false">I386*(1-TaxRate)+I384</f>
        <v>484.40130209856</v>
      </c>
      <c r="J387" s="8" t="n">
        <f aca="false">J386*(1-TaxRate)+J384</f>
        <v>512.475064185047</v>
      </c>
      <c r="K387" s="8" t="n">
        <f aca="false">K386*(1-TaxRate)+K384</f>
        <v>522.724565468748</v>
      </c>
      <c r="L387" s="8" t="n">
        <f aca="false">L386*(1-TaxRate)+L384</f>
        <v>533.179056778123</v>
      </c>
      <c r="M387" s="8" t="n">
        <f aca="false">M386*(1-TaxRate)+M384</f>
        <v>543.842637913686</v>
      </c>
      <c r="N387" s="8" t="n">
        <f aca="false">N386*(1-TaxRate)+N384</f>
        <v>554.71949067196</v>
      </c>
      <c r="O387" s="8" t="n">
        <f aca="false">O386*(1-TaxRate)+O384</f>
        <v>565.813880485399</v>
      </c>
      <c r="P387" s="8" t="n">
        <f aca="false">P386*(1-TaxRate)+P384</f>
        <v>577.130158095106</v>
      </c>
      <c r="Q387" s="8" t="n">
        <f aca="false">Q386*(1-TaxRate)+Q384</f>
        <v>588.672761257009</v>
      </c>
      <c r="R387" s="8" t="n">
        <f aca="false">R386*(1-TaxRate)+R384</f>
        <v>600.446216482149</v>
      </c>
      <c r="S387" s="8" t="n">
        <f aca="false">S386*(1-TaxRate)+S384</f>
        <v>612.455140811791</v>
      </c>
      <c r="T387" s="8" t="n">
        <f aca="false">T386*(1-TaxRate)+T384</f>
        <v>624.704243628027</v>
      </c>
      <c r="U387" s="8" t="n">
        <f aca="false">U386*(1-TaxRate)+U384</f>
        <v>637.198328500588</v>
      </c>
      <c r="V387" s="8" t="n">
        <f aca="false">V386*(1-TaxRate)+V384</f>
        <v>649.9422950706</v>
      </c>
      <c r="W387" s="8" t="n">
        <f aca="false">W386*(1-TaxRate)+W384</f>
        <v>662.941140972012</v>
      </c>
      <c r="X387" s="8" t="n">
        <f aca="false">X386*(1-TaxRate)+X384</f>
        <v>676.199963791452</v>
      </c>
      <c r="Y387" s="8" t="n">
        <f aca="false">Y386*(1-TaxRate)+Y384</f>
        <v>689.723963067281</v>
      </c>
      <c r="Z387" s="8" t="n">
        <f aca="false">Z386*(1-TaxRate)+Z384</f>
        <v>0</v>
      </c>
      <c r="AA387" s="8" t="n">
        <f aca="false">AA386*(1-TaxRate)+AA384</f>
        <v>0</v>
      </c>
      <c r="AB387" s="8" t="n">
        <f aca="false">AB386*(1-TaxRate)+AB384</f>
        <v>0</v>
      </c>
      <c r="AC387" s="8" t="n">
        <f aca="false">AC386*(1-TaxRate)+AC384</f>
        <v>0</v>
      </c>
      <c r="AD387" s="8" t="n">
        <f aca="false">AD386*(1-TaxRate)+AD384</f>
        <v>0</v>
      </c>
      <c r="AE387" s="8" t="n">
        <f aca="false">AE386*(1-TaxRate)+AE384</f>
        <v>0</v>
      </c>
      <c r="AF387" s="8" t="n">
        <f aca="false">AF386*(1-TaxRate)+AF384</f>
        <v>0</v>
      </c>
      <c r="AG387" s="8" t="n">
        <f aca="false">AG386*(1-TaxRate)+AG384</f>
        <v>0</v>
      </c>
      <c r="AH387" s="8" t="n">
        <f aca="false">AH386*(1-TaxRate)+AH384</f>
        <v>0</v>
      </c>
      <c r="AI387" s="8" t="n">
        <f aca="false">AI386*(1-TaxRate)+AI384</f>
        <v>0</v>
      </c>
      <c r="AJ387" s="8" t="n">
        <f aca="false">AJ386*(1-TaxRate)+AJ384</f>
        <v>0</v>
      </c>
      <c r="AK387" s="8" t="n">
        <f aca="false">AK386*(1-TaxRate)+AK384</f>
        <v>0</v>
      </c>
      <c r="AL387" s="8" t="n">
        <f aca="false">AL386*(1-TaxRate)+AL384</f>
        <v>0</v>
      </c>
      <c r="AM387" s="8" t="n">
        <f aca="false">AM386*(1-TaxRate)+AM384</f>
        <v>0</v>
      </c>
      <c r="AN387" s="8" t="n">
        <f aca="false">AN386*(1-TaxRate)+AN384</f>
        <v>0</v>
      </c>
      <c r="AO387" s="8" t="n">
        <f aca="false">AO386*(1-TaxRate)+AO384</f>
        <v>0</v>
      </c>
      <c r="AP387" s="8" t="n">
        <f aca="false">AP386*(1-TaxRate)+AP384</f>
        <v>0</v>
      </c>
      <c r="AQ387" s="8" t="n">
        <f aca="false">AQ386*(1-TaxRate)+AQ384</f>
        <v>0</v>
      </c>
      <c r="AR387" s="8" t="n">
        <f aca="false">AR386*(1-TaxRate)+AR384</f>
        <v>0</v>
      </c>
      <c r="AS387" s="8" t="n">
        <f aca="false">AS386*(1-TaxRate)+AS384</f>
        <v>0</v>
      </c>
    </row>
    <row r="388" customFormat="false" ht="15" hidden="false" customHeight="false" outlineLevel="0" collapsed="false">
      <c r="A388" s="6" t="s">
        <v>469</v>
      </c>
      <c r="B388" s="6" t="s">
        <v>470</v>
      </c>
      <c r="G388" s="8" t="n">
        <f aca="false">G385*(1-TaxRate)</f>
        <v>0</v>
      </c>
      <c r="H388" s="8" t="n">
        <f aca="false">H385*(1-TaxRate)</f>
        <v>0</v>
      </c>
      <c r="I388" s="8" t="n">
        <f aca="false">I385*(1-TaxRate)</f>
        <v>0</v>
      </c>
      <c r="J388" s="8" t="n">
        <f aca="false">J385*(1-TaxRate)</f>
        <v>0</v>
      </c>
      <c r="K388" s="8" t="n">
        <f aca="false">K385*(1-TaxRate)</f>
        <v>0</v>
      </c>
      <c r="L388" s="8" t="n">
        <f aca="false">L385*(1-TaxRate)</f>
        <v>0</v>
      </c>
      <c r="M388" s="8" t="n">
        <f aca="false">M385*(1-TaxRate)</f>
        <v>0</v>
      </c>
      <c r="N388" s="8" t="n">
        <f aca="false">N385*(1-TaxRate)</f>
        <v>0</v>
      </c>
      <c r="O388" s="8" t="n">
        <f aca="false">O385*(1-TaxRate)</f>
        <v>0</v>
      </c>
      <c r="P388" s="8" t="n">
        <f aca="false">P385*(1-TaxRate)</f>
        <v>0</v>
      </c>
      <c r="Q388" s="8" t="n">
        <f aca="false">Q385*(1-TaxRate)</f>
        <v>0</v>
      </c>
      <c r="R388" s="8" t="n">
        <f aca="false">R385*(1-TaxRate)</f>
        <v>0</v>
      </c>
      <c r="S388" s="8" t="n">
        <f aca="false">S385*(1-TaxRate)</f>
        <v>0</v>
      </c>
      <c r="T388" s="8" t="n">
        <f aca="false">T385*(1-TaxRate)</f>
        <v>0</v>
      </c>
      <c r="U388" s="8" t="n">
        <f aca="false">U385*(1-TaxRate)</f>
        <v>0</v>
      </c>
      <c r="V388" s="8" t="n">
        <f aca="false">V385*(1-TaxRate)</f>
        <v>0</v>
      </c>
      <c r="W388" s="8" t="n">
        <f aca="false">W385*(1-TaxRate)</f>
        <v>0</v>
      </c>
      <c r="X388" s="8" t="n">
        <f aca="false">X385*(1-TaxRate)</f>
        <v>0</v>
      </c>
      <c r="Y388" s="8" t="n">
        <f aca="false">Y385*(1-TaxRate)</f>
        <v>0</v>
      </c>
      <c r="Z388" s="8" t="n">
        <f aca="false">Z385*(1-TaxRate)</f>
        <v>0</v>
      </c>
      <c r="AA388" s="8" t="n">
        <f aca="false">AA385*(1-TaxRate)</f>
        <v>0</v>
      </c>
      <c r="AB388" s="8" t="n">
        <f aca="false">AB385*(1-TaxRate)</f>
        <v>0</v>
      </c>
      <c r="AC388" s="8" t="n">
        <f aca="false">AC385*(1-TaxRate)</f>
        <v>0</v>
      </c>
      <c r="AD388" s="8" t="n">
        <f aca="false">AD385*(1-TaxRate)</f>
        <v>0</v>
      </c>
      <c r="AE388" s="8" t="n">
        <f aca="false">AE385*(1-TaxRate)</f>
        <v>0</v>
      </c>
      <c r="AF388" s="8" t="n">
        <f aca="false">AF385*(1-TaxRate)</f>
        <v>0</v>
      </c>
      <c r="AG388" s="8" t="n">
        <f aca="false">AG385*(1-TaxRate)</f>
        <v>0</v>
      </c>
      <c r="AH388" s="8" t="n">
        <f aca="false">AH385*(1-TaxRate)</f>
        <v>0</v>
      </c>
      <c r="AI388" s="8" t="n">
        <f aca="false">AI385*(1-TaxRate)</f>
        <v>0</v>
      </c>
      <c r="AJ388" s="8" t="n">
        <f aca="false">AJ385*(1-TaxRate)</f>
        <v>0</v>
      </c>
      <c r="AK388" s="8" t="n">
        <f aca="false">AK385*(1-TaxRate)</f>
        <v>0</v>
      </c>
      <c r="AL388" s="8" t="n">
        <f aca="false">AL385*(1-TaxRate)</f>
        <v>0</v>
      </c>
      <c r="AM388" s="8" t="n">
        <f aca="false">AM385*(1-TaxRate)</f>
        <v>0</v>
      </c>
      <c r="AN388" s="8" t="n">
        <f aca="false">AN385*(1-TaxRate)</f>
        <v>0</v>
      </c>
      <c r="AO388" s="8" t="n">
        <f aca="false">AO385*(1-TaxRate)</f>
        <v>0</v>
      </c>
      <c r="AP388" s="8" t="n">
        <f aca="false">AP385*(1-TaxRate)</f>
        <v>0</v>
      </c>
      <c r="AQ388" s="8" t="n">
        <f aca="false">AQ385*(1-TaxRate)</f>
        <v>0</v>
      </c>
      <c r="AR388" s="8" t="n">
        <f aca="false">AR385*(1-TaxRate)</f>
        <v>0</v>
      </c>
      <c r="AS388" s="8" t="n">
        <f aca="false">AS385*(1-TaxRate)</f>
        <v>0</v>
      </c>
    </row>
    <row r="389" customFormat="false" ht="15" hidden="false" customHeight="false" outlineLevel="0" collapsed="false">
      <c r="A389" s="6" t="s">
        <v>471</v>
      </c>
      <c r="B389" s="6" t="s">
        <v>472</v>
      </c>
      <c r="G389" s="42" t="n">
        <f aca="false">(1+CEG_Assets!$AE$13)^-(G$3+0.5-ValDate)</f>
        <v>0.934199026996437</v>
      </c>
      <c r="H389" s="42" t="n">
        <f aca="false">(1+CEG_Assets!$AE$13)^-(H$3+0.5-ValDate)</f>
        <v>0.853149796343778</v>
      </c>
      <c r="I389" s="42" t="n">
        <f aca="false">(1+CEG_Assets!$AE$13)^-(I$3+0.5-ValDate)</f>
        <v>0.779132234103907</v>
      </c>
      <c r="J389" s="42" t="n">
        <f aca="false">(1+CEG_Assets!$AE$13)^-(J$3+0.5-ValDate)</f>
        <v>0.711536286852883</v>
      </c>
      <c r="K389" s="42" t="n">
        <f aca="false">(1+CEG_Assets!$AE$13)^-(K$3+0.5-ValDate)</f>
        <v>0.649804828176149</v>
      </c>
      <c r="L389" s="42" t="n">
        <f aca="false">(1+CEG_Assets!$AE$13)^-(L$3+0.5-ValDate)</f>
        <v>0.593429066827533</v>
      </c>
      <c r="M389" s="42" t="n">
        <f aca="false">(1+CEG_Assets!$AE$13)^-(M$3+0.5-ValDate)</f>
        <v>0.541944353267154</v>
      </c>
      <c r="N389" s="42" t="n">
        <f aca="false">(1+CEG_Assets!$AE$13)^-(N$3+0.5-ValDate)</f>
        <v>0.494926350015666</v>
      </c>
      <c r="O389" s="42" t="n">
        <f aca="false">(1+CEG_Assets!$AE$13)^-(O$3+0.5-ValDate)</f>
        <v>0.451987534260882</v>
      </c>
      <c r="P389" s="42" t="n">
        <f aca="false">(1+CEG_Assets!$AE$13)^-(P$3+0.5-ValDate)</f>
        <v>0.412774003891216</v>
      </c>
      <c r="Q389" s="42" t="n">
        <f aca="false">(1+CEG_Assets!$AE$13)^-(Q$3+0.5-ValDate)</f>
        <v>0.376962560631248</v>
      </c>
      <c r="R389" s="42" t="n">
        <f aca="false">(1+CEG_Assets!$AE$13)^-(R$3+0.5-ValDate)</f>
        <v>0.344258046238582</v>
      </c>
      <c r="S389" s="42" t="n">
        <f aca="false">(1+CEG_Assets!$AE$13)^-(S$3+0.5-ValDate)</f>
        <v>0.314390909806925</v>
      </c>
      <c r="T389" s="42" t="n">
        <f aca="false">(1+CEG_Assets!$AE$13)^-(T$3+0.5-ValDate)</f>
        <v>0.287114986125045</v>
      </c>
      <c r="U389" s="42" t="n">
        <f aca="false">(1+CEG_Assets!$AE$13)^-(U$3+0.5-ValDate)</f>
        <v>0.262205466780863</v>
      </c>
      <c r="V389" s="42" t="n">
        <f aca="false">(1+CEG_Assets!$AE$13)^-(V$3+0.5-ValDate)</f>
        <v>0.23945704728846</v>
      </c>
      <c r="W389" s="42" t="n">
        <f aca="false">(1+CEG_Assets!$AE$13)^-(W$3+0.5-ValDate)</f>
        <v>0.21868223496663</v>
      </c>
      <c r="X389" s="42" t="n">
        <f aca="false">(1+CEG_Assets!$AE$13)^-(X$3+0.5-ValDate)</f>
        <v>0.199709803622493</v>
      </c>
      <c r="Y389" s="42" t="n">
        <f aca="false">(1+CEG_Assets!$AE$13)^-(Y$3+0.5-ValDate)</f>
        <v>0.182383382303647</v>
      </c>
      <c r="Z389" s="42" t="n">
        <f aca="false">(1+CEG_Assets!$AE$13)^-(Z$3+0.5-ValDate)</f>
        <v>0.166560166487348</v>
      </c>
      <c r="AA389" s="42" t="n">
        <f aca="false">(1+CEG_Assets!$AE$13)^-(AA$3+0.5-ValDate)</f>
        <v>0.152109741084336</v>
      </c>
      <c r="AB389" s="42" t="n">
        <f aca="false">(1+CEG_Assets!$AE$13)^-(AB$3+0.5-ValDate)</f>
        <v>0.138913005556472</v>
      </c>
      <c r="AC389" s="42" t="n">
        <f aca="false">(1+CEG_Assets!$AE$13)^-(AC$3+0.5-ValDate)</f>
        <v>0.126861192289015</v>
      </c>
      <c r="AD389" s="42" t="n">
        <f aca="false">(1+CEG_Assets!$AE$13)^-(AD$3+0.5-ValDate)</f>
        <v>0.115854970126955</v>
      </c>
      <c r="AE389" s="42" t="n">
        <f aca="false">(1+CEG_Assets!$AE$13)^-(AE$3+0.5-ValDate)</f>
        <v>0.105803625686716</v>
      </c>
      <c r="AF389" s="42" t="n">
        <f aca="false">(1+CEG_Assets!$AE$13)^-(AF$3+0.5-ValDate)</f>
        <v>0.0966243156956315</v>
      </c>
      <c r="AG389" s="42" t="n">
        <f aca="false">(1+CEG_Assets!$AE$13)^-(AG$3+0.5-ValDate)</f>
        <v>0.0882413841969238</v>
      </c>
      <c r="AH389" s="42" t="n">
        <f aca="false">(1+CEG_Assets!$AE$13)^-(AH$3+0.5-ValDate)</f>
        <v>0.0805857389926244</v>
      </c>
      <c r="AI389" s="42" t="n">
        <f aca="false">(1+CEG_Assets!$AE$13)^-(AI$3+0.5-ValDate)</f>
        <v>0.0735942821850451</v>
      </c>
      <c r="AJ389" s="42" t="n">
        <f aca="false">(1+CEG_Assets!$AE$13)^-(AJ$3+0.5-ValDate)</f>
        <v>0.0672093901233289</v>
      </c>
      <c r="AK389" s="42" t="n">
        <f aca="false">(1+CEG_Assets!$AE$13)^-(AK$3+0.5-ValDate)</f>
        <v>0.0613784384687935</v>
      </c>
      <c r="AL389" s="42" t="n">
        <f aca="false">(1+CEG_Assets!$AE$13)^-(AL$3+0.5-ValDate)</f>
        <v>0.0560533684646516</v>
      </c>
      <c r="AM389" s="42" t="n">
        <f aca="false">(1+CEG_Assets!$AE$13)^-(AM$3+0.5-ValDate)</f>
        <v>0.0511902908352983</v>
      </c>
      <c r="AN389" s="42" t="n">
        <f aca="false">(1+CEG_Assets!$AE$13)^-(AN$3+0.5-ValDate)</f>
        <v>0.0467491240505007</v>
      </c>
      <c r="AO389" s="42" t="n">
        <f aca="false">(1+CEG_Assets!$AE$13)^-(AO$3+0.5-ValDate)</f>
        <v>0.04269326397306</v>
      </c>
      <c r="AP389" s="42" t="n">
        <f aca="false">(1+CEG_Assets!$AE$13)^-(AP$3+0.5-ValDate)</f>
        <v>0.0389892821671781</v>
      </c>
      <c r="AQ389" s="42" t="n">
        <f aca="false">(1+CEG_Assets!$AE$13)^-(AQ$3+0.5-ValDate)</f>
        <v>0.0356066503809846</v>
      </c>
      <c r="AR389" s="42" t="n">
        <f aca="false">(1+CEG_Assets!$AE$13)^-(AR$3+0.5-ValDate)</f>
        <v>0.032517488932406</v>
      </c>
      <c r="AS389" s="42" t="n">
        <f aca="false">(1+CEG_Assets!$AE$13)^-(AS$3+0.5-ValDate)</f>
        <v>0.0296963369245717</v>
      </c>
    </row>
    <row r="390" customFormat="false" ht="15" hidden="false" customHeight="false" outlineLevel="0" collapsed="false">
      <c r="A390" s="6" t="s">
        <v>473</v>
      </c>
      <c r="B390" s="6" t="s">
        <v>474</v>
      </c>
      <c r="G390" s="42" t="n">
        <f aca="false">(1+CEG_Assets!$AF$13)^-(G$3+0.5-ValDate)</f>
        <v>0.934199026996437</v>
      </c>
      <c r="H390" s="42" t="n">
        <f aca="false">(1+CEG_Assets!$AF$13)^-(H$3+0.5-ValDate)</f>
        <v>0.853149796343778</v>
      </c>
      <c r="I390" s="42" t="n">
        <f aca="false">(1+CEG_Assets!$AF$13)^-(I$3+0.5-ValDate)</f>
        <v>0.779132234103907</v>
      </c>
      <c r="J390" s="42" t="n">
        <f aca="false">(1+CEG_Assets!$AF$13)^-(J$3+0.5-ValDate)</f>
        <v>0.711536286852883</v>
      </c>
      <c r="K390" s="42" t="n">
        <f aca="false">(1+CEG_Assets!$AF$13)^-(K$3+0.5-ValDate)</f>
        <v>0.649804828176149</v>
      </c>
      <c r="L390" s="42" t="n">
        <f aca="false">(1+CEG_Assets!$AF$13)^-(L$3+0.5-ValDate)</f>
        <v>0.593429066827533</v>
      </c>
      <c r="M390" s="42" t="n">
        <f aca="false">(1+CEG_Assets!$AF$13)^-(M$3+0.5-ValDate)</f>
        <v>0.541944353267154</v>
      </c>
      <c r="N390" s="42" t="n">
        <f aca="false">(1+CEG_Assets!$AF$13)^-(N$3+0.5-ValDate)</f>
        <v>0.494926350015666</v>
      </c>
      <c r="O390" s="42" t="n">
        <f aca="false">(1+CEG_Assets!$AF$13)^-(O$3+0.5-ValDate)</f>
        <v>0.451987534260882</v>
      </c>
      <c r="P390" s="42" t="n">
        <f aca="false">(1+CEG_Assets!$AF$13)^-(P$3+0.5-ValDate)</f>
        <v>0.412774003891216</v>
      </c>
      <c r="Q390" s="42" t="n">
        <f aca="false">(1+CEG_Assets!$AF$13)^-(Q$3+0.5-ValDate)</f>
        <v>0.376962560631248</v>
      </c>
      <c r="R390" s="42" t="n">
        <f aca="false">(1+CEG_Assets!$AF$13)^-(R$3+0.5-ValDate)</f>
        <v>0.344258046238582</v>
      </c>
      <c r="S390" s="42" t="n">
        <f aca="false">(1+CEG_Assets!$AF$13)^-(S$3+0.5-ValDate)</f>
        <v>0.314390909806925</v>
      </c>
      <c r="T390" s="42" t="n">
        <f aca="false">(1+CEG_Assets!$AF$13)^-(T$3+0.5-ValDate)</f>
        <v>0.287114986125045</v>
      </c>
      <c r="U390" s="42" t="n">
        <f aca="false">(1+CEG_Assets!$AF$13)^-(U$3+0.5-ValDate)</f>
        <v>0.262205466780863</v>
      </c>
      <c r="V390" s="42" t="n">
        <f aca="false">(1+CEG_Assets!$AF$13)^-(V$3+0.5-ValDate)</f>
        <v>0.23945704728846</v>
      </c>
      <c r="W390" s="42" t="n">
        <f aca="false">(1+CEG_Assets!$AF$13)^-(W$3+0.5-ValDate)</f>
        <v>0.21868223496663</v>
      </c>
      <c r="X390" s="42" t="n">
        <f aca="false">(1+CEG_Assets!$AF$13)^-(X$3+0.5-ValDate)</f>
        <v>0.199709803622493</v>
      </c>
      <c r="Y390" s="42" t="n">
        <f aca="false">(1+CEG_Assets!$AF$13)^-(Y$3+0.5-ValDate)</f>
        <v>0.182383382303647</v>
      </c>
      <c r="Z390" s="42" t="n">
        <f aca="false">(1+CEG_Assets!$AF$13)^-(Z$3+0.5-ValDate)</f>
        <v>0.166560166487348</v>
      </c>
      <c r="AA390" s="42" t="n">
        <f aca="false">(1+CEG_Assets!$AF$13)^-(AA$3+0.5-ValDate)</f>
        <v>0.152109741084336</v>
      </c>
      <c r="AB390" s="42" t="n">
        <f aca="false">(1+CEG_Assets!$AF$13)^-(AB$3+0.5-ValDate)</f>
        <v>0.138913005556472</v>
      </c>
      <c r="AC390" s="42" t="n">
        <f aca="false">(1+CEG_Assets!$AF$13)^-(AC$3+0.5-ValDate)</f>
        <v>0.126861192289015</v>
      </c>
      <c r="AD390" s="42" t="n">
        <f aca="false">(1+CEG_Assets!$AF$13)^-(AD$3+0.5-ValDate)</f>
        <v>0.115854970126955</v>
      </c>
      <c r="AE390" s="42" t="n">
        <f aca="false">(1+CEG_Assets!$AF$13)^-(AE$3+0.5-ValDate)</f>
        <v>0.105803625686716</v>
      </c>
      <c r="AF390" s="42" t="n">
        <f aca="false">(1+CEG_Assets!$AF$13)^-(AF$3+0.5-ValDate)</f>
        <v>0.0966243156956315</v>
      </c>
      <c r="AG390" s="42" t="n">
        <f aca="false">(1+CEG_Assets!$AF$13)^-(AG$3+0.5-ValDate)</f>
        <v>0.0882413841969238</v>
      </c>
      <c r="AH390" s="42" t="n">
        <f aca="false">(1+CEG_Assets!$AF$13)^-(AH$3+0.5-ValDate)</f>
        <v>0.0805857389926244</v>
      </c>
      <c r="AI390" s="42" t="n">
        <f aca="false">(1+CEG_Assets!$AF$13)^-(AI$3+0.5-ValDate)</f>
        <v>0.0735942821850451</v>
      </c>
      <c r="AJ390" s="42" t="n">
        <f aca="false">(1+CEG_Assets!$AF$13)^-(AJ$3+0.5-ValDate)</f>
        <v>0.0672093901233289</v>
      </c>
      <c r="AK390" s="42" t="n">
        <f aca="false">(1+CEG_Assets!$AF$13)^-(AK$3+0.5-ValDate)</f>
        <v>0.0613784384687935</v>
      </c>
      <c r="AL390" s="42" t="n">
        <f aca="false">(1+CEG_Assets!$AF$13)^-(AL$3+0.5-ValDate)</f>
        <v>0.0560533684646516</v>
      </c>
      <c r="AM390" s="42" t="n">
        <f aca="false">(1+CEG_Assets!$AF$13)^-(AM$3+0.5-ValDate)</f>
        <v>0.0511902908352983</v>
      </c>
      <c r="AN390" s="42" t="n">
        <f aca="false">(1+CEG_Assets!$AF$13)^-(AN$3+0.5-ValDate)</f>
        <v>0.0467491240505007</v>
      </c>
      <c r="AO390" s="42" t="n">
        <f aca="false">(1+CEG_Assets!$AF$13)^-(AO$3+0.5-ValDate)</f>
        <v>0.04269326397306</v>
      </c>
      <c r="AP390" s="42" t="n">
        <f aca="false">(1+CEG_Assets!$AF$13)^-(AP$3+0.5-ValDate)</f>
        <v>0.0389892821671781</v>
      </c>
      <c r="AQ390" s="42" t="n">
        <f aca="false">(1+CEG_Assets!$AF$13)^-(AQ$3+0.5-ValDate)</f>
        <v>0.0356066503809846</v>
      </c>
      <c r="AR390" s="42" t="n">
        <f aca="false">(1+CEG_Assets!$AF$13)^-(AR$3+0.5-ValDate)</f>
        <v>0.032517488932406</v>
      </c>
      <c r="AS390" s="42" t="n">
        <f aca="false">(1+CEG_Assets!$AF$13)^-(AS$3+0.5-ValDate)</f>
        <v>0.0296963369245717</v>
      </c>
    </row>
    <row r="391" customFormat="false" ht="15" hidden="false" customHeight="false" outlineLevel="0" collapsed="false">
      <c r="A391" s="6" t="s">
        <v>475</v>
      </c>
      <c r="B391" s="6" t="s">
        <v>476</v>
      </c>
      <c r="C391" s="43" t="n">
        <f aca="false">SUM(G391:AS391)</f>
        <v>4805.91001098607</v>
      </c>
      <c r="D391" s="8" t="n">
        <f aca="false">SUMIF($G$3:$AS$3,"&lt;="&amp;Horizon,G391:AS391)</f>
        <v>1557.54436651231</v>
      </c>
      <c r="E391" s="8" t="n">
        <f aca="false">(C391-D391)*(1+CEG_Assets!$AE$13)^(Horizon+1-ValDate)</f>
        <v>4777.21640641947</v>
      </c>
      <c r="G391" s="8" t="n">
        <f aca="false">G387*G389</f>
        <v>407.615561416649</v>
      </c>
      <c r="H391" s="8" t="n">
        <f aca="false">H387*H389</f>
        <v>407.87153211385</v>
      </c>
      <c r="I391" s="8" t="n">
        <f aca="false">I387*I389</f>
        <v>377.412668706892</v>
      </c>
      <c r="J391" s="8" t="n">
        <f aca="false">J387*J389</f>
        <v>364.644604274922</v>
      </c>
      <c r="K391" s="8" t="n">
        <f aca="false">K387*K389</f>
        <v>339.668946447872</v>
      </c>
      <c r="L391" s="8" t="n">
        <f aca="false">L387*L389</f>
        <v>316.403950115826</v>
      </c>
      <c r="M391" s="8" t="n">
        <f aca="false">M387*M389</f>
        <v>294.732446683235</v>
      </c>
      <c r="N391" s="8" t="n">
        <f aca="false">N387*N389</f>
        <v>274.545292800822</v>
      </c>
      <c r="O391" s="8" t="n">
        <f aca="false">O387*O389</f>
        <v>255.740820691177</v>
      </c>
      <c r="P391" s="8" t="n">
        <f aca="false">P387*P389</f>
        <v>238.224326123287</v>
      </c>
      <c r="Q391" s="8" t="n">
        <f aca="false">Q387*Q389</f>
        <v>221.907591457309</v>
      </c>
      <c r="R391" s="8" t="n">
        <f aca="false">R387*R389</f>
        <v>206.708441357493</v>
      </c>
      <c r="S391" s="8" t="n">
        <f aca="false">S387*S389</f>
        <v>192.550328935747</v>
      </c>
      <c r="T391" s="8" t="n">
        <f aca="false">T387*T389</f>
        <v>179.361950241518</v>
      </c>
      <c r="U391" s="8" t="n">
        <f aca="false">U387*U389</f>
        <v>167.076885156483</v>
      </c>
      <c r="V391" s="8" t="n">
        <f aca="false">V387*V389</f>
        <v>155.633262885491</v>
      </c>
      <c r="W391" s="8" t="n">
        <f aca="false">W387*W389</f>
        <v>144.973450359087</v>
      </c>
      <c r="X391" s="8" t="n">
        <f aca="false">X387*X389</f>
        <v>135.043761978328</v>
      </c>
      <c r="Y391" s="8" t="n">
        <f aca="false">Y387*Y389</f>
        <v>125.794189240086</v>
      </c>
      <c r="Z391" s="8" t="n">
        <f aca="false">Z387*Z389</f>
        <v>0</v>
      </c>
      <c r="AA391" s="8" t="n">
        <f aca="false">AA387*AA389</f>
        <v>0</v>
      </c>
      <c r="AB391" s="8" t="n">
        <f aca="false">AB387*AB389</f>
        <v>0</v>
      </c>
      <c r="AC391" s="8" t="n">
        <f aca="false">AC387*AC389</f>
        <v>0</v>
      </c>
      <c r="AD391" s="8" t="n">
        <f aca="false">AD387*AD389</f>
        <v>0</v>
      </c>
      <c r="AE391" s="8" t="n">
        <f aca="false">AE387*AE389</f>
        <v>0</v>
      </c>
      <c r="AF391" s="8" t="n">
        <f aca="false">AF387*AF389</f>
        <v>0</v>
      </c>
      <c r="AG391" s="8" t="n">
        <f aca="false">AG387*AG389</f>
        <v>0</v>
      </c>
      <c r="AH391" s="8" t="n">
        <f aca="false">AH387*AH389</f>
        <v>0</v>
      </c>
      <c r="AI391" s="8" t="n">
        <f aca="false">AI387*AI389</f>
        <v>0</v>
      </c>
      <c r="AJ391" s="8" t="n">
        <f aca="false">AJ387*AJ389</f>
        <v>0</v>
      </c>
      <c r="AK391" s="8" t="n">
        <f aca="false">AK387*AK389</f>
        <v>0</v>
      </c>
      <c r="AL391" s="8" t="n">
        <f aca="false">AL387*AL389</f>
        <v>0</v>
      </c>
      <c r="AM391" s="8" t="n">
        <f aca="false">AM387*AM389</f>
        <v>0</v>
      </c>
      <c r="AN391" s="8" t="n">
        <f aca="false">AN387*AN389</f>
        <v>0</v>
      </c>
      <c r="AO391" s="8" t="n">
        <f aca="false">AO387*AO389</f>
        <v>0</v>
      </c>
      <c r="AP391" s="8" t="n">
        <f aca="false">AP387*AP389</f>
        <v>0</v>
      </c>
      <c r="AQ391" s="8" t="n">
        <f aca="false">AQ387*AQ389</f>
        <v>0</v>
      </c>
      <c r="AR391" s="8" t="n">
        <f aca="false">AR387*AR389</f>
        <v>0</v>
      </c>
      <c r="AS391" s="8" t="n">
        <f aca="false">AS387*AS389</f>
        <v>0</v>
      </c>
    </row>
    <row r="392" customFormat="false" ht="15" hidden="false" customHeight="false" outlineLevel="0" collapsed="false">
      <c r="A392" s="6" t="s">
        <v>477</v>
      </c>
      <c r="B392" s="6" t="s">
        <v>478</v>
      </c>
      <c r="C392" s="43" t="n">
        <f aca="false">SUM(G392:AS392)</f>
        <v>0</v>
      </c>
      <c r="D392" s="8" t="n">
        <f aca="false">SUMIF($G$3:$AS$3,"&lt;="&amp;Horizon,G392:AS392)</f>
        <v>0</v>
      </c>
      <c r="E392" s="8" t="n">
        <f aca="false">(C392-D392)*(1+CEG_Assets!$AF$13)^(Horizon+1-ValDate)</f>
        <v>0</v>
      </c>
      <c r="G392" s="8" t="n">
        <f aca="false">G388*G390</f>
        <v>0</v>
      </c>
      <c r="H392" s="8" t="n">
        <f aca="false">H388*H390</f>
        <v>0</v>
      </c>
      <c r="I392" s="8" t="n">
        <f aca="false">I388*I390</f>
        <v>0</v>
      </c>
      <c r="J392" s="8" t="n">
        <f aca="false">J388*J390</f>
        <v>0</v>
      </c>
      <c r="K392" s="8" t="n">
        <f aca="false">K388*K390</f>
        <v>0</v>
      </c>
      <c r="L392" s="8" t="n">
        <f aca="false">L388*L390</f>
        <v>0</v>
      </c>
      <c r="M392" s="8" t="n">
        <f aca="false">M388*M390</f>
        <v>0</v>
      </c>
      <c r="N392" s="8" t="n">
        <f aca="false">N388*N390</f>
        <v>0</v>
      </c>
      <c r="O392" s="8" t="n">
        <f aca="false">O388*O390</f>
        <v>0</v>
      </c>
      <c r="P392" s="8" t="n">
        <f aca="false">P388*P390</f>
        <v>0</v>
      </c>
      <c r="Q392" s="8" t="n">
        <f aca="false">Q388*Q390</f>
        <v>0</v>
      </c>
      <c r="R392" s="8" t="n">
        <f aca="false">R388*R390</f>
        <v>0</v>
      </c>
      <c r="S392" s="8" t="n">
        <f aca="false">S388*S390</f>
        <v>0</v>
      </c>
      <c r="T392" s="8" t="n">
        <f aca="false">T388*T390</f>
        <v>0</v>
      </c>
      <c r="U392" s="8" t="n">
        <f aca="false">U388*U390</f>
        <v>0</v>
      </c>
      <c r="V392" s="8" t="n">
        <f aca="false">V388*V390</f>
        <v>0</v>
      </c>
      <c r="W392" s="8" t="n">
        <f aca="false">W388*W390</f>
        <v>0</v>
      </c>
      <c r="X392" s="8" t="n">
        <f aca="false">X388*X390</f>
        <v>0</v>
      </c>
      <c r="Y392" s="8" t="n">
        <f aca="false">Y388*Y390</f>
        <v>0</v>
      </c>
      <c r="Z392" s="8" t="n">
        <f aca="false">Z388*Z390</f>
        <v>0</v>
      </c>
      <c r="AA392" s="8" t="n">
        <f aca="false">AA388*AA390</f>
        <v>0</v>
      </c>
      <c r="AB392" s="8" t="n">
        <f aca="false">AB388*AB390</f>
        <v>0</v>
      </c>
      <c r="AC392" s="8" t="n">
        <f aca="false">AC388*AC390</f>
        <v>0</v>
      </c>
      <c r="AD392" s="8" t="n">
        <f aca="false">AD388*AD390</f>
        <v>0</v>
      </c>
      <c r="AE392" s="8" t="n">
        <f aca="false">AE388*AE390</f>
        <v>0</v>
      </c>
      <c r="AF392" s="8" t="n">
        <f aca="false">AF388*AF390</f>
        <v>0</v>
      </c>
      <c r="AG392" s="8" t="n">
        <f aca="false">AG388*AG390</f>
        <v>0</v>
      </c>
      <c r="AH392" s="8" t="n">
        <f aca="false">AH388*AH390</f>
        <v>0</v>
      </c>
      <c r="AI392" s="8" t="n">
        <f aca="false">AI388*AI390</f>
        <v>0</v>
      </c>
      <c r="AJ392" s="8" t="n">
        <f aca="false">AJ388*AJ390</f>
        <v>0</v>
      </c>
      <c r="AK392" s="8" t="n">
        <f aca="false">AK388*AK390</f>
        <v>0</v>
      </c>
      <c r="AL392" s="8" t="n">
        <f aca="false">AL388*AL390</f>
        <v>0</v>
      </c>
      <c r="AM392" s="8" t="n">
        <f aca="false">AM388*AM390</f>
        <v>0</v>
      </c>
      <c r="AN392" s="8" t="n">
        <f aca="false">AN388*AN390</f>
        <v>0</v>
      </c>
      <c r="AO392" s="8" t="n">
        <f aca="false">AO388*AO390</f>
        <v>0</v>
      </c>
      <c r="AP392" s="8" t="n">
        <f aca="false">AP388*AP390</f>
        <v>0</v>
      </c>
      <c r="AQ392" s="8" t="n">
        <f aca="false">AQ388*AQ390</f>
        <v>0</v>
      </c>
      <c r="AR392" s="8" t="n">
        <f aca="false">AR388*AR390</f>
        <v>0</v>
      </c>
      <c r="AS392" s="8" t="n">
        <f aca="false">AS388*AS390</f>
        <v>0</v>
      </c>
    </row>
    <row r="393" customFormat="false" ht="15" hidden="false" customHeight="false" outlineLevel="0" collapsed="false">
      <c r="A393" s="6" t="s">
        <v>479</v>
      </c>
      <c r="B393" s="6" t="s">
        <v>480</v>
      </c>
      <c r="C393" s="43" t="n">
        <f aca="false">IF(CEG_Assets!$H$13="$/kW",CEG_Assets!$D$13*CEG_Assets!$AI$13*(1+0.4*(PJMWLR/PJMWLRBase-1))/1000,0)</f>
        <v>0</v>
      </c>
      <c r="E393" s="8" t="n">
        <f aca="false">C393</f>
        <v>0</v>
      </c>
      <c r="G393" s="8" t="n">
        <f aca="false">0</f>
        <v>0</v>
      </c>
      <c r="H393" s="8" t="n">
        <f aca="false">0</f>
        <v>0</v>
      </c>
      <c r="I393" s="8" t="n">
        <f aca="false">0</f>
        <v>0</v>
      </c>
      <c r="J393" s="8" t="n">
        <f aca="false">0</f>
        <v>0</v>
      </c>
      <c r="K393" s="8" t="n">
        <f aca="false">0</f>
        <v>0</v>
      </c>
      <c r="L393" s="8" t="n">
        <f aca="false">0</f>
        <v>0</v>
      </c>
      <c r="M393" s="8" t="n">
        <f aca="false">0</f>
        <v>0</v>
      </c>
      <c r="N393" s="8" t="n">
        <f aca="false">0</f>
        <v>0</v>
      </c>
      <c r="O393" s="8" t="n">
        <f aca="false">0</f>
        <v>0</v>
      </c>
      <c r="P393" s="8" t="n">
        <f aca="false">0</f>
        <v>0</v>
      </c>
      <c r="Q393" s="8" t="n">
        <f aca="false">0</f>
        <v>0</v>
      </c>
      <c r="R393" s="8" t="n">
        <f aca="false">0</f>
        <v>0</v>
      </c>
      <c r="S393" s="8" t="n">
        <f aca="false">0</f>
        <v>0</v>
      </c>
      <c r="T393" s="8" t="n">
        <f aca="false">0</f>
        <v>0</v>
      </c>
      <c r="U393" s="8" t="n">
        <f aca="false">0</f>
        <v>0</v>
      </c>
      <c r="V393" s="8" t="n">
        <f aca="false">0</f>
        <v>0</v>
      </c>
      <c r="W393" s="8" t="n">
        <f aca="false">0</f>
        <v>0</v>
      </c>
      <c r="X393" s="8" t="n">
        <f aca="false">0</f>
        <v>0</v>
      </c>
      <c r="Y393" s="8" t="n">
        <f aca="false">0</f>
        <v>0</v>
      </c>
      <c r="Z393" s="8" t="n">
        <f aca="false">0</f>
        <v>0</v>
      </c>
      <c r="AA393" s="8" t="n">
        <f aca="false">0</f>
        <v>0</v>
      </c>
      <c r="AB393" s="8" t="n">
        <f aca="false">0</f>
        <v>0</v>
      </c>
      <c r="AC393" s="8" t="n">
        <f aca="false">0</f>
        <v>0</v>
      </c>
      <c r="AD393" s="8" t="n">
        <f aca="false">0</f>
        <v>0</v>
      </c>
      <c r="AE393" s="8" t="n">
        <f aca="false">0</f>
        <v>0</v>
      </c>
      <c r="AF393" s="8" t="n">
        <f aca="false">0</f>
        <v>0</v>
      </c>
      <c r="AG393" s="8" t="n">
        <f aca="false">0</f>
        <v>0</v>
      </c>
      <c r="AH393" s="8" t="n">
        <f aca="false">0</f>
        <v>0</v>
      </c>
      <c r="AI393" s="8" t="n">
        <f aca="false">0</f>
        <v>0</v>
      </c>
      <c r="AJ393" s="8" t="n">
        <f aca="false">0</f>
        <v>0</v>
      </c>
      <c r="AK393" s="8" t="n">
        <f aca="false">0</f>
        <v>0</v>
      </c>
      <c r="AL393" s="8" t="n">
        <f aca="false">0</f>
        <v>0</v>
      </c>
      <c r="AM393" s="8" t="n">
        <f aca="false">0</f>
        <v>0</v>
      </c>
      <c r="AN393" s="8" t="n">
        <f aca="false">0</f>
        <v>0</v>
      </c>
      <c r="AO393" s="8" t="n">
        <f aca="false">0</f>
        <v>0</v>
      </c>
      <c r="AP393" s="8" t="n">
        <f aca="false">0</f>
        <v>0</v>
      </c>
      <c r="AQ393" s="8" t="n">
        <f aca="false">0</f>
        <v>0</v>
      </c>
      <c r="AR393" s="8" t="n">
        <f aca="false">0</f>
        <v>0</v>
      </c>
      <c r="AS393" s="8" t="n">
        <f aca="false">0</f>
        <v>0</v>
      </c>
    </row>
    <row r="395" customFormat="false" ht="15" hidden="false" customHeight="false" outlineLevel="0" collapsed="false">
      <c r="A395" s="54" t="str">
        <f aca="false">CEG_Assets!$A$14</f>
        <v>Calpine - ERCOT peakers/cogen</v>
      </c>
    </row>
    <row r="396" customFormat="false" ht="15" hidden="false" customHeight="false" outlineLevel="0" collapsed="false">
      <c r="A396" s="6" t="s">
        <v>425</v>
      </c>
      <c r="B396" s="6" t="s">
        <v>426</v>
      </c>
      <c r="G396" s="47" t="n">
        <f aca="false">IF(AND(G$3&gt;=CEG_Assets!$E$14,G$3&lt;=CEG_Assets!$F$14,CEG_Assets!$H$14="Cashflow"),1,0)</f>
        <v>1</v>
      </c>
      <c r="H396" s="47" t="n">
        <f aca="false">IF(AND(H$3&gt;=CEG_Assets!$E$14,H$3&lt;=CEG_Assets!$F$14,CEG_Assets!$H$14="Cashflow"),1,0)</f>
        <v>1</v>
      </c>
      <c r="I396" s="47" t="n">
        <f aca="false">IF(AND(I$3&gt;=CEG_Assets!$E$14,I$3&lt;=CEG_Assets!$F$14,CEG_Assets!$H$14="Cashflow"),1,0)</f>
        <v>1</v>
      </c>
      <c r="J396" s="47" t="n">
        <f aca="false">IF(AND(J$3&gt;=CEG_Assets!$E$14,J$3&lt;=CEG_Assets!$F$14,CEG_Assets!$H$14="Cashflow"),1,0)</f>
        <v>1</v>
      </c>
      <c r="K396" s="47" t="n">
        <f aca="false">IF(AND(K$3&gt;=CEG_Assets!$E$14,K$3&lt;=CEG_Assets!$F$14,CEG_Assets!$H$14="Cashflow"),1,0)</f>
        <v>1</v>
      </c>
      <c r="L396" s="47" t="n">
        <f aca="false">IF(AND(L$3&gt;=CEG_Assets!$E$14,L$3&lt;=CEG_Assets!$F$14,CEG_Assets!$H$14="Cashflow"),1,0)</f>
        <v>1</v>
      </c>
      <c r="M396" s="47" t="n">
        <f aca="false">IF(AND(M$3&gt;=CEG_Assets!$E$14,M$3&lt;=CEG_Assets!$F$14,CEG_Assets!$H$14="Cashflow"),1,0)</f>
        <v>1</v>
      </c>
      <c r="N396" s="47" t="n">
        <f aca="false">IF(AND(N$3&gt;=CEG_Assets!$E$14,N$3&lt;=CEG_Assets!$F$14,CEG_Assets!$H$14="Cashflow"),1,0)</f>
        <v>1</v>
      </c>
      <c r="O396" s="47" t="n">
        <f aca="false">IF(AND(O$3&gt;=CEG_Assets!$E$14,O$3&lt;=CEG_Assets!$F$14,CEG_Assets!$H$14="Cashflow"),1,0)</f>
        <v>1</v>
      </c>
      <c r="P396" s="47" t="n">
        <f aca="false">IF(AND(P$3&gt;=CEG_Assets!$E$14,P$3&lt;=CEG_Assets!$F$14,CEG_Assets!$H$14="Cashflow"),1,0)</f>
        <v>1</v>
      </c>
      <c r="Q396" s="47" t="n">
        <f aca="false">IF(AND(Q$3&gt;=CEG_Assets!$E$14,Q$3&lt;=CEG_Assets!$F$14,CEG_Assets!$H$14="Cashflow"),1,0)</f>
        <v>1</v>
      </c>
      <c r="R396" s="47" t="n">
        <f aca="false">IF(AND(R$3&gt;=CEG_Assets!$E$14,R$3&lt;=CEG_Assets!$F$14,CEG_Assets!$H$14="Cashflow"),1,0)</f>
        <v>1</v>
      </c>
      <c r="S396" s="47" t="n">
        <f aca="false">IF(AND(S$3&gt;=CEG_Assets!$E$14,S$3&lt;=CEG_Assets!$F$14,CEG_Assets!$H$14="Cashflow"),1,0)</f>
        <v>1</v>
      </c>
      <c r="T396" s="47" t="n">
        <f aca="false">IF(AND(T$3&gt;=CEG_Assets!$E$14,T$3&lt;=CEG_Assets!$F$14,CEG_Assets!$H$14="Cashflow"),1,0)</f>
        <v>1</v>
      </c>
      <c r="U396" s="47" t="n">
        <f aca="false">IF(AND(U$3&gt;=CEG_Assets!$E$14,U$3&lt;=CEG_Assets!$F$14,CEG_Assets!$H$14="Cashflow"),1,0)</f>
        <v>0</v>
      </c>
      <c r="V396" s="47" t="n">
        <f aca="false">IF(AND(V$3&gt;=CEG_Assets!$E$14,V$3&lt;=CEG_Assets!$F$14,CEG_Assets!$H$14="Cashflow"),1,0)</f>
        <v>0</v>
      </c>
      <c r="W396" s="47" t="n">
        <f aca="false">IF(AND(W$3&gt;=CEG_Assets!$E$14,W$3&lt;=CEG_Assets!$F$14,CEG_Assets!$H$14="Cashflow"),1,0)</f>
        <v>0</v>
      </c>
      <c r="X396" s="47" t="n">
        <f aca="false">IF(AND(X$3&gt;=CEG_Assets!$E$14,X$3&lt;=CEG_Assets!$F$14,CEG_Assets!$H$14="Cashflow"),1,0)</f>
        <v>0</v>
      </c>
      <c r="Y396" s="47" t="n">
        <f aca="false">IF(AND(Y$3&gt;=CEG_Assets!$E$14,Y$3&lt;=CEG_Assets!$F$14,CEG_Assets!$H$14="Cashflow"),1,0)</f>
        <v>0</v>
      </c>
      <c r="Z396" s="47" t="n">
        <f aca="false">IF(AND(Z$3&gt;=CEG_Assets!$E$14,Z$3&lt;=CEG_Assets!$F$14,CEG_Assets!$H$14="Cashflow"),1,0)</f>
        <v>0</v>
      </c>
      <c r="AA396" s="47" t="n">
        <f aca="false">IF(AND(AA$3&gt;=CEG_Assets!$E$14,AA$3&lt;=CEG_Assets!$F$14,CEG_Assets!$H$14="Cashflow"),1,0)</f>
        <v>0</v>
      </c>
      <c r="AB396" s="47" t="n">
        <f aca="false">IF(AND(AB$3&gt;=CEG_Assets!$E$14,AB$3&lt;=CEG_Assets!$F$14,CEG_Assets!$H$14="Cashflow"),1,0)</f>
        <v>0</v>
      </c>
      <c r="AC396" s="47" t="n">
        <f aca="false">IF(AND(AC$3&gt;=CEG_Assets!$E$14,AC$3&lt;=CEG_Assets!$F$14,CEG_Assets!$H$14="Cashflow"),1,0)</f>
        <v>0</v>
      </c>
      <c r="AD396" s="47" t="n">
        <f aca="false">IF(AND(AD$3&gt;=CEG_Assets!$E$14,AD$3&lt;=CEG_Assets!$F$14,CEG_Assets!$H$14="Cashflow"),1,0)</f>
        <v>0</v>
      </c>
      <c r="AE396" s="47" t="n">
        <f aca="false">IF(AND(AE$3&gt;=CEG_Assets!$E$14,AE$3&lt;=CEG_Assets!$F$14,CEG_Assets!$H$14="Cashflow"),1,0)</f>
        <v>0</v>
      </c>
      <c r="AF396" s="47" t="n">
        <f aca="false">IF(AND(AF$3&gt;=CEG_Assets!$E$14,AF$3&lt;=CEG_Assets!$F$14,CEG_Assets!$H$14="Cashflow"),1,0)</f>
        <v>0</v>
      </c>
      <c r="AG396" s="47" t="n">
        <f aca="false">IF(AND(AG$3&gt;=CEG_Assets!$E$14,AG$3&lt;=CEG_Assets!$F$14,CEG_Assets!$H$14="Cashflow"),1,0)</f>
        <v>0</v>
      </c>
      <c r="AH396" s="47" t="n">
        <f aca="false">IF(AND(AH$3&gt;=CEG_Assets!$E$14,AH$3&lt;=CEG_Assets!$F$14,CEG_Assets!$H$14="Cashflow"),1,0)</f>
        <v>0</v>
      </c>
      <c r="AI396" s="47" t="n">
        <f aca="false">IF(AND(AI$3&gt;=CEG_Assets!$E$14,AI$3&lt;=CEG_Assets!$F$14,CEG_Assets!$H$14="Cashflow"),1,0)</f>
        <v>0</v>
      </c>
      <c r="AJ396" s="47" t="n">
        <f aca="false">IF(AND(AJ$3&gt;=CEG_Assets!$E$14,AJ$3&lt;=CEG_Assets!$F$14,CEG_Assets!$H$14="Cashflow"),1,0)</f>
        <v>0</v>
      </c>
      <c r="AK396" s="47" t="n">
        <f aca="false">IF(AND(AK$3&gt;=CEG_Assets!$E$14,AK$3&lt;=CEG_Assets!$F$14,CEG_Assets!$H$14="Cashflow"),1,0)</f>
        <v>0</v>
      </c>
      <c r="AL396" s="47" t="n">
        <f aca="false">IF(AND(AL$3&gt;=CEG_Assets!$E$14,AL$3&lt;=CEG_Assets!$F$14,CEG_Assets!$H$14="Cashflow"),1,0)</f>
        <v>0</v>
      </c>
      <c r="AM396" s="47" t="n">
        <f aca="false">IF(AND(AM$3&gt;=CEG_Assets!$E$14,AM$3&lt;=CEG_Assets!$F$14,CEG_Assets!$H$14="Cashflow"),1,0)</f>
        <v>0</v>
      </c>
      <c r="AN396" s="47" t="n">
        <f aca="false">IF(AND(AN$3&gt;=CEG_Assets!$E$14,AN$3&lt;=CEG_Assets!$F$14,CEG_Assets!$H$14="Cashflow"),1,0)</f>
        <v>0</v>
      </c>
      <c r="AO396" s="47" t="n">
        <f aca="false">IF(AND(AO$3&gt;=CEG_Assets!$E$14,AO$3&lt;=CEG_Assets!$F$14,CEG_Assets!$H$14="Cashflow"),1,0)</f>
        <v>0</v>
      </c>
      <c r="AP396" s="47" t="n">
        <f aca="false">IF(AND(AP$3&gt;=CEG_Assets!$E$14,AP$3&lt;=CEG_Assets!$F$14,CEG_Assets!$H$14="Cashflow"),1,0)</f>
        <v>0</v>
      </c>
      <c r="AQ396" s="47" t="n">
        <f aca="false">IF(AND(AQ$3&gt;=CEG_Assets!$E$14,AQ$3&lt;=CEG_Assets!$F$14,CEG_Assets!$H$14="Cashflow"),1,0)</f>
        <v>0</v>
      </c>
      <c r="AR396" s="47" t="n">
        <f aca="false">IF(AND(AR$3&gt;=CEG_Assets!$E$14,AR$3&lt;=CEG_Assets!$F$14,CEG_Assets!$H$14="Cashflow"),1,0)</f>
        <v>0</v>
      </c>
      <c r="AS396" s="47" t="n">
        <f aca="false">IF(AND(AS$3&gt;=CEG_Assets!$E$14,AS$3&lt;=CEG_Assets!$F$14,CEG_Assets!$H$14="Cashflow"),1,0)</f>
        <v>0</v>
      </c>
    </row>
    <row r="397" customFormat="false" ht="15" hidden="false" customHeight="false" outlineLevel="0" collapsed="false">
      <c r="A397" s="6" t="s">
        <v>427</v>
      </c>
      <c r="B397" s="6" t="s">
        <v>428</v>
      </c>
      <c r="G397" s="9" t="n">
        <f aca="false">IF(AND(G$3&gt;=CEG_Assets!$AA$14,G$3&lt;=CEG_Assets!$AB$14),MIN(CEG_Assets!$D$14,CEG_Assets!$Z$14*MIN(1,(G$3-CEG_Assets!$AA$14+1)/MAX(1,CEG_Assets!$AC$14))),0)*G396</f>
        <v>0</v>
      </c>
      <c r="H397" s="9" t="n">
        <f aca="false">IF(AND(H$3&gt;=CEG_Assets!$AA$14,H$3&lt;=CEG_Assets!$AB$14),MIN(CEG_Assets!$D$14,CEG_Assets!$Z$14*MIN(1,(H$3-CEG_Assets!$AA$14+1)/MAX(1,CEG_Assets!$AC$14))),0)*H396</f>
        <v>0</v>
      </c>
      <c r="I397" s="9" t="n">
        <f aca="false">IF(AND(I$3&gt;=CEG_Assets!$AA$14,I$3&lt;=CEG_Assets!$AB$14),MIN(CEG_Assets!$D$14,CEG_Assets!$Z$14*MIN(1,(I$3-CEG_Assets!$AA$14+1)/MAX(1,CEG_Assets!$AC$14))),0)*I396</f>
        <v>0</v>
      </c>
      <c r="J397" s="9" t="n">
        <f aca="false">IF(AND(J$3&gt;=CEG_Assets!$AA$14,J$3&lt;=CEG_Assets!$AB$14),MIN(CEG_Assets!$D$14,CEG_Assets!$Z$14*MIN(1,(J$3-CEG_Assets!$AA$14+1)/MAX(1,CEG_Assets!$AC$14))),0)*J396</f>
        <v>0</v>
      </c>
      <c r="K397" s="9" t="n">
        <f aca="false">IF(AND(K$3&gt;=CEG_Assets!$AA$14,K$3&lt;=CEG_Assets!$AB$14),MIN(CEG_Assets!$D$14,CEG_Assets!$Z$14*MIN(1,(K$3-CEG_Assets!$AA$14+1)/MAX(1,CEG_Assets!$AC$14))),0)*K396</f>
        <v>0</v>
      </c>
      <c r="L397" s="9" t="n">
        <f aca="false">IF(AND(L$3&gt;=CEG_Assets!$AA$14,L$3&lt;=CEG_Assets!$AB$14),MIN(CEG_Assets!$D$14,CEG_Assets!$Z$14*MIN(1,(L$3-CEG_Assets!$AA$14+1)/MAX(1,CEG_Assets!$AC$14))),0)*L396</f>
        <v>0</v>
      </c>
      <c r="M397" s="9" t="n">
        <f aca="false">IF(AND(M$3&gt;=CEG_Assets!$AA$14,M$3&lt;=CEG_Assets!$AB$14),MIN(CEG_Assets!$D$14,CEG_Assets!$Z$14*MIN(1,(M$3-CEG_Assets!$AA$14+1)/MAX(1,CEG_Assets!$AC$14))),0)*M396</f>
        <v>0</v>
      </c>
      <c r="N397" s="9" t="n">
        <f aca="false">IF(AND(N$3&gt;=CEG_Assets!$AA$14,N$3&lt;=CEG_Assets!$AB$14),MIN(CEG_Assets!$D$14,CEG_Assets!$Z$14*MIN(1,(N$3-CEG_Assets!$AA$14+1)/MAX(1,CEG_Assets!$AC$14))),0)*N396</f>
        <v>0</v>
      </c>
      <c r="O397" s="9" t="n">
        <f aca="false">IF(AND(O$3&gt;=CEG_Assets!$AA$14,O$3&lt;=CEG_Assets!$AB$14),MIN(CEG_Assets!$D$14,CEG_Assets!$Z$14*MIN(1,(O$3-CEG_Assets!$AA$14+1)/MAX(1,CEG_Assets!$AC$14))),0)*O396</f>
        <v>0</v>
      </c>
      <c r="P397" s="9" t="n">
        <f aca="false">IF(AND(P$3&gt;=CEG_Assets!$AA$14,P$3&lt;=CEG_Assets!$AB$14),MIN(CEG_Assets!$D$14,CEG_Assets!$Z$14*MIN(1,(P$3-CEG_Assets!$AA$14+1)/MAX(1,CEG_Assets!$AC$14))),0)*P396</f>
        <v>0</v>
      </c>
      <c r="Q397" s="9" t="n">
        <f aca="false">IF(AND(Q$3&gt;=CEG_Assets!$AA$14,Q$3&lt;=CEG_Assets!$AB$14),MIN(CEG_Assets!$D$14,CEG_Assets!$Z$14*MIN(1,(Q$3-CEG_Assets!$AA$14+1)/MAX(1,CEG_Assets!$AC$14))),0)*Q396</f>
        <v>0</v>
      </c>
      <c r="R397" s="9" t="n">
        <f aca="false">IF(AND(R$3&gt;=CEG_Assets!$AA$14,R$3&lt;=CEG_Assets!$AB$14),MIN(CEG_Assets!$D$14,CEG_Assets!$Z$14*MIN(1,(R$3-CEG_Assets!$AA$14+1)/MAX(1,CEG_Assets!$AC$14))),0)*R396</f>
        <v>0</v>
      </c>
      <c r="S397" s="9" t="n">
        <f aca="false">IF(AND(S$3&gt;=CEG_Assets!$AA$14,S$3&lt;=CEG_Assets!$AB$14),MIN(CEG_Assets!$D$14,CEG_Assets!$Z$14*MIN(1,(S$3-CEG_Assets!$AA$14+1)/MAX(1,CEG_Assets!$AC$14))),0)*S396</f>
        <v>0</v>
      </c>
      <c r="T397" s="9" t="n">
        <f aca="false">IF(AND(T$3&gt;=CEG_Assets!$AA$14,T$3&lt;=CEG_Assets!$AB$14),MIN(CEG_Assets!$D$14,CEG_Assets!$Z$14*MIN(1,(T$3-CEG_Assets!$AA$14+1)/MAX(1,CEG_Assets!$AC$14))),0)*T396</f>
        <v>0</v>
      </c>
      <c r="U397" s="9" t="n">
        <f aca="false">IF(AND(U$3&gt;=CEG_Assets!$AA$14,U$3&lt;=CEG_Assets!$AB$14),MIN(CEG_Assets!$D$14,CEG_Assets!$Z$14*MIN(1,(U$3-CEG_Assets!$AA$14+1)/MAX(1,CEG_Assets!$AC$14))),0)*U396</f>
        <v>0</v>
      </c>
      <c r="V397" s="9" t="n">
        <f aca="false">IF(AND(V$3&gt;=CEG_Assets!$AA$14,V$3&lt;=CEG_Assets!$AB$14),MIN(CEG_Assets!$D$14,CEG_Assets!$Z$14*MIN(1,(V$3-CEG_Assets!$AA$14+1)/MAX(1,CEG_Assets!$AC$14))),0)*V396</f>
        <v>0</v>
      </c>
      <c r="W397" s="9" t="n">
        <f aca="false">IF(AND(W$3&gt;=CEG_Assets!$AA$14,W$3&lt;=CEG_Assets!$AB$14),MIN(CEG_Assets!$D$14,CEG_Assets!$Z$14*MIN(1,(W$3-CEG_Assets!$AA$14+1)/MAX(1,CEG_Assets!$AC$14))),0)*W396</f>
        <v>0</v>
      </c>
      <c r="X397" s="9" t="n">
        <f aca="false">IF(AND(X$3&gt;=CEG_Assets!$AA$14,X$3&lt;=CEG_Assets!$AB$14),MIN(CEG_Assets!$D$14,CEG_Assets!$Z$14*MIN(1,(X$3-CEG_Assets!$AA$14+1)/MAX(1,CEG_Assets!$AC$14))),0)*X396</f>
        <v>0</v>
      </c>
      <c r="Y397" s="9" t="n">
        <f aca="false">IF(AND(Y$3&gt;=CEG_Assets!$AA$14,Y$3&lt;=CEG_Assets!$AB$14),MIN(CEG_Assets!$D$14,CEG_Assets!$Z$14*MIN(1,(Y$3-CEG_Assets!$AA$14+1)/MAX(1,CEG_Assets!$AC$14))),0)*Y396</f>
        <v>0</v>
      </c>
      <c r="Z397" s="9" t="n">
        <f aca="false">IF(AND(Z$3&gt;=CEG_Assets!$AA$14,Z$3&lt;=CEG_Assets!$AB$14),MIN(CEG_Assets!$D$14,CEG_Assets!$Z$14*MIN(1,(Z$3-CEG_Assets!$AA$14+1)/MAX(1,CEG_Assets!$AC$14))),0)*Z396</f>
        <v>0</v>
      </c>
      <c r="AA397" s="9" t="n">
        <f aca="false">IF(AND(AA$3&gt;=CEG_Assets!$AA$14,AA$3&lt;=CEG_Assets!$AB$14),MIN(CEG_Assets!$D$14,CEG_Assets!$Z$14*MIN(1,(AA$3-CEG_Assets!$AA$14+1)/MAX(1,CEG_Assets!$AC$14))),0)*AA396</f>
        <v>0</v>
      </c>
      <c r="AB397" s="9" t="n">
        <f aca="false">IF(AND(AB$3&gt;=CEG_Assets!$AA$14,AB$3&lt;=CEG_Assets!$AB$14),MIN(CEG_Assets!$D$14,CEG_Assets!$Z$14*MIN(1,(AB$3-CEG_Assets!$AA$14+1)/MAX(1,CEG_Assets!$AC$14))),0)*AB396</f>
        <v>0</v>
      </c>
      <c r="AC397" s="9" t="n">
        <f aca="false">IF(AND(AC$3&gt;=CEG_Assets!$AA$14,AC$3&lt;=CEG_Assets!$AB$14),MIN(CEG_Assets!$D$14,CEG_Assets!$Z$14*MIN(1,(AC$3-CEG_Assets!$AA$14+1)/MAX(1,CEG_Assets!$AC$14))),0)*AC396</f>
        <v>0</v>
      </c>
      <c r="AD397" s="9" t="n">
        <f aca="false">IF(AND(AD$3&gt;=CEG_Assets!$AA$14,AD$3&lt;=CEG_Assets!$AB$14),MIN(CEG_Assets!$D$14,CEG_Assets!$Z$14*MIN(1,(AD$3-CEG_Assets!$AA$14+1)/MAX(1,CEG_Assets!$AC$14))),0)*AD396</f>
        <v>0</v>
      </c>
      <c r="AE397" s="9" t="n">
        <f aca="false">IF(AND(AE$3&gt;=CEG_Assets!$AA$14,AE$3&lt;=CEG_Assets!$AB$14),MIN(CEG_Assets!$D$14,CEG_Assets!$Z$14*MIN(1,(AE$3-CEG_Assets!$AA$14+1)/MAX(1,CEG_Assets!$AC$14))),0)*AE396</f>
        <v>0</v>
      </c>
      <c r="AF397" s="9" t="n">
        <f aca="false">IF(AND(AF$3&gt;=CEG_Assets!$AA$14,AF$3&lt;=CEG_Assets!$AB$14),MIN(CEG_Assets!$D$14,CEG_Assets!$Z$14*MIN(1,(AF$3-CEG_Assets!$AA$14+1)/MAX(1,CEG_Assets!$AC$14))),0)*AF396</f>
        <v>0</v>
      </c>
      <c r="AG397" s="9" t="n">
        <f aca="false">IF(AND(AG$3&gt;=CEG_Assets!$AA$14,AG$3&lt;=CEG_Assets!$AB$14),MIN(CEG_Assets!$D$14,CEG_Assets!$Z$14*MIN(1,(AG$3-CEG_Assets!$AA$14+1)/MAX(1,CEG_Assets!$AC$14))),0)*AG396</f>
        <v>0</v>
      </c>
      <c r="AH397" s="9" t="n">
        <f aca="false">IF(AND(AH$3&gt;=CEG_Assets!$AA$14,AH$3&lt;=CEG_Assets!$AB$14),MIN(CEG_Assets!$D$14,CEG_Assets!$Z$14*MIN(1,(AH$3-CEG_Assets!$AA$14+1)/MAX(1,CEG_Assets!$AC$14))),0)*AH396</f>
        <v>0</v>
      </c>
      <c r="AI397" s="9" t="n">
        <f aca="false">IF(AND(AI$3&gt;=CEG_Assets!$AA$14,AI$3&lt;=CEG_Assets!$AB$14),MIN(CEG_Assets!$D$14,CEG_Assets!$Z$14*MIN(1,(AI$3-CEG_Assets!$AA$14+1)/MAX(1,CEG_Assets!$AC$14))),0)*AI396</f>
        <v>0</v>
      </c>
      <c r="AJ397" s="9" t="n">
        <f aca="false">IF(AND(AJ$3&gt;=CEG_Assets!$AA$14,AJ$3&lt;=CEG_Assets!$AB$14),MIN(CEG_Assets!$D$14,CEG_Assets!$Z$14*MIN(1,(AJ$3-CEG_Assets!$AA$14+1)/MAX(1,CEG_Assets!$AC$14))),0)*AJ396</f>
        <v>0</v>
      </c>
      <c r="AK397" s="9" t="n">
        <f aca="false">IF(AND(AK$3&gt;=CEG_Assets!$AA$14,AK$3&lt;=CEG_Assets!$AB$14),MIN(CEG_Assets!$D$14,CEG_Assets!$Z$14*MIN(1,(AK$3-CEG_Assets!$AA$14+1)/MAX(1,CEG_Assets!$AC$14))),0)*AK396</f>
        <v>0</v>
      </c>
      <c r="AL397" s="9" t="n">
        <f aca="false">IF(AND(AL$3&gt;=CEG_Assets!$AA$14,AL$3&lt;=CEG_Assets!$AB$14),MIN(CEG_Assets!$D$14,CEG_Assets!$Z$14*MIN(1,(AL$3-CEG_Assets!$AA$14+1)/MAX(1,CEG_Assets!$AC$14))),0)*AL396</f>
        <v>0</v>
      </c>
      <c r="AM397" s="9" t="n">
        <f aca="false">IF(AND(AM$3&gt;=CEG_Assets!$AA$14,AM$3&lt;=CEG_Assets!$AB$14),MIN(CEG_Assets!$D$14,CEG_Assets!$Z$14*MIN(1,(AM$3-CEG_Assets!$AA$14+1)/MAX(1,CEG_Assets!$AC$14))),0)*AM396</f>
        <v>0</v>
      </c>
      <c r="AN397" s="9" t="n">
        <f aca="false">IF(AND(AN$3&gt;=CEG_Assets!$AA$14,AN$3&lt;=CEG_Assets!$AB$14),MIN(CEG_Assets!$D$14,CEG_Assets!$Z$14*MIN(1,(AN$3-CEG_Assets!$AA$14+1)/MAX(1,CEG_Assets!$AC$14))),0)*AN396</f>
        <v>0</v>
      </c>
      <c r="AO397" s="9" t="n">
        <f aca="false">IF(AND(AO$3&gt;=CEG_Assets!$AA$14,AO$3&lt;=CEG_Assets!$AB$14),MIN(CEG_Assets!$D$14,CEG_Assets!$Z$14*MIN(1,(AO$3-CEG_Assets!$AA$14+1)/MAX(1,CEG_Assets!$AC$14))),0)*AO396</f>
        <v>0</v>
      </c>
      <c r="AP397" s="9" t="n">
        <f aca="false">IF(AND(AP$3&gt;=CEG_Assets!$AA$14,AP$3&lt;=CEG_Assets!$AB$14),MIN(CEG_Assets!$D$14,CEG_Assets!$Z$14*MIN(1,(AP$3-CEG_Assets!$AA$14+1)/MAX(1,CEG_Assets!$AC$14))),0)*AP396</f>
        <v>0</v>
      </c>
      <c r="AQ397" s="9" t="n">
        <f aca="false">IF(AND(AQ$3&gt;=CEG_Assets!$AA$14,AQ$3&lt;=CEG_Assets!$AB$14),MIN(CEG_Assets!$D$14,CEG_Assets!$Z$14*MIN(1,(AQ$3-CEG_Assets!$AA$14+1)/MAX(1,CEG_Assets!$AC$14))),0)*AQ396</f>
        <v>0</v>
      </c>
      <c r="AR397" s="9" t="n">
        <f aca="false">IF(AND(AR$3&gt;=CEG_Assets!$AA$14,AR$3&lt;=CEG_Assets!$AB$14),MIN(CEG_Assets!$D$14,CEG_Assets!$Z$14*MIN(1,(AR$3-CEG_Assets!$AA$14+1)/MAX(1,CEG_Assets!$AC$14))),0)*AR396</f>
        <v>0</v>
      </c>
      <c r="AS397" s="9" t="n">
        <f aca="false">IF(AND(AS$3&gt;=CEG_Assets!$AA$14,AS$3&lt;=CEG_Assets!$AB$14),MIN(CEG_Assets!$D$14,CEG_Assets!$Z$14*MIN(1,(AS$3-CEG_Assets!$AA$14+1)/MAX(1,CEG_Assets!$AC$14))),0)*AS396</f>
        <v>0</v>
      </c>
    </row>
    <row r="398" customFormat="false" ht="15" hidden="false" customHeight="false" outlineLevel="0" collapsed="false">
      <c r="A398" s="6" t="s">
        <v>429</v>
      </c>
      <c r="B398" s="6" t="s">
        <v>430</v>
      </c>
      <c r="G398" s="9" t="n">
        <f aca="false">(CEG_Assets!$D$14-G397)*8760*CEG_Assets!$I$14*G396</f>
        <v>210240</v>
      </c>
      <c r="H398" s="9" t="n">
        <f aca="false">(CEG_Assets!$D$14-H397)*8760*CEG_Assets!$I$14*H396</f>
        <v>210240</v>
      </c>
      <c r="I398" s="9" t="n">
        <f aca="false">(CEG_Assets!$D$14-I397)*8760*CEG_Assets!$I$14*I396</f>
        <v>210240</v>
      </c>
      <c r="J398" s="9" t="n">
        <f aca="false">(CEG_Assets!$D$14-J397)*8760*CEG_Assets!$I$14*J396</f>
        <v>210240</v>
      </c>
      <c r="K398" s="9" t="n">
        <f aca="false">(CEG_Assets!$D$14-K397)*8760*CEG_Assets!$I$14*K396</f>
        <v>210240</v>
      </c>
      <c r="L398" s="9" t="n">
        <f aca="false">(CEG_Assets!$D$14-L397)*8760*CEG_Assets!$I$14*L396</f>
        <v>210240</v>
      </c>
      <c r="M398" s="9" t="n">
        <f aca="false">(CEG_Assets!$D$14-M397)*8760*CEG_Assets!$I$14*M396</f>
        <v>210240</v>
      </c>
      <c r="N398" s="9" t="n">
        <f aca="false">(CEG_Assets!$D$14-N397)*8760*CEG_Assets!$I$14*N396</f>
        <v>210240</v>
      </c>
      <c r="O398" s="9" t="n">
        <f aca="false">(CEG_Assets!$D$14-O397)*8760*CEG_Assets!$I$14*O396</f>
        <v>210240</v>
      </c>
      <c r="P398" s="9" t="n">
        <f aca="false">(CEG_Assets!$D$14-P397)*8760*CEG_Assets!$I$14*P396</f>
        <v>210240</v>
      </c>
      <c r="Q398" s="9" t="n">
        <f aca="false">(CEG_Assets!$D$14-Q397)*8760*CEG_Assets!$I$14*Q396</f>
        <v>210240</v>
      </c>
      <c r="R398" s="9" t="n">
        <f aca="false">(CEG_Assets!$D$14-R397)*8760*CEG_Assets!$I$14*R396</f>
        <v>210240</v>
      </c>
      <c r="S398" s="9" t="n">
        <f aca="false">(CEG_Assets!$D$14-S397)*8760*CEG_Assets!$I$14*S396</f>
        <v>210240</v>
      </c>
      <c r="T398" s="9" t="n">
        <f aca="false">(CEG_Assets!$D$14-T397)*8760*CEG_Assets!$I$14*T396</f>
        <v>210240</v>
      </c>
      <c r="U398" s="9" t="n">
        <f aca="false">(CEG_Assets!$D$14-U397)*8760*CEG_Assets!$I$14*U396</f>
        <v>0</v>
      </c>
      <c r="V398" s="9" t="n">
        <f aca="false">(CEG_Assets!$D$14-V397)*8760*CEG_Assets!$I$14*V396</f>
        <v>0</v>
      </c>
      <c r="W398" s="9" t="n">
        <f aca="false">(CEG_Assets!$D$14-W397)*8760*CEG_Assets!$I$14*W396</f>
        <v>0</v>
      </c>
      <c r="X398" s="9" t="n">
        <f aca="false">(CEG_Assets!$D$14-X397)*8760*CEG_Assets!$I$14*X396</f>
        <v>0</v>
      </c>
      <c r="Y398" s="9" t="n">
        <f aca="false">(CEG_Assets!$D$14-Y397)*8760*CEG_Assets!$I$14*Y396</f>
        <v>0</v>
      </c>
      <c r="Z398" s="9" t="n">
        <f aca="false">(CEG_Assets!$D$14-Z397)*8760*CEG_Assets!$I$14*Z396</f>
        <v>0</v>
      </c>
      <c r="AA398" s="9" t="n">
        <f aca="false">(CEG_Assets!$D$14-AA397)*8760*CEG_Assets!$I$14*AA396</f>
        <v>0</v>
      </c>
      <c r="AB398" s="9" t="n">
        <f aca="false">(CEG_Assets!$D$14-AB397)*8760*CEG_Assets!$I$14*AB396</f>
        <v>0</v>
      </c>
      <c r="AC398" s="9" t="n">
        <f aca="false">(CEG_Assets!$D$14-AC397)*8760*CEG_Assets!$I$14*AC396</f>
        <v>0</v>
      </c>
      <c r="AD398" s="9" t="n">
        <f aca="false">(CEG_Assets!$D$14-AD397)*8760*CEG_Assets!$I$14*AD396</f>
        <v>0</v>
      </c>
      <c r="AE398" s="9" t="n">
        <f aca="false">(CEG_Assets!$D$14-AE397)*8760*CEG_Assets!$I$14*AE396</f>
        <v>0</v>
      </c>
      <c r="AF398" s="9" t="n">
        <f aca="false">(CEG_Assets!$D$14-AF397)*8760*CEG_Assets!$I$14*AF396</f>
        <v>0</v>
      </c>
      <c r="AG398" s="9" t="n">
        <f aca="false">(CEG_Assets!$D$14-AG397)*8760*CEG_Assets!$I$14*AG396</f>
        <v>0</v>
      </c>
      <c r="AH398" s="9" t="n">
        <f aca="false">(CEG_Assets!$D$14-AH397)*8760*CEG_Assets!$I$14*AH396</f>
        <v>0</v>
      </c>
      <c r="AI398" s="9" t="n">
        <f aca="false">(CEG_Assets!$D$14-AI397)*8760*CEG_Assets!$I$14*AI396</f>
        <v>0</v>
      </c>
      <c r="AJ398" s="9" t="n">
        <f aca="false">(CEG_Assets!$D$14-AJ397)*8760*CEG_Assets!$I$14*AJ396</f>
        <v>0</v>
      </c>
      <c r="AK398" s="9" t="n">
        <f aca="false">(CEG_Assets!$D$14-AK397)*8760*CEG_Assets!$I$14*AK396</f>
        <v>0</v>
      </c>
      <c r="AL398" s="9" t="n">
        <f aca="false">(CEG_Assets!$D$14-AL397)*8760*CEG_Assets!$I$14*AL396</f>
        <v>0</v>
      </c>
      <c r="AM398" s="9" t="n">
        <f aca="false">(CEG_Assets!$D$14-AM397)*8760*CEG_Assets!$I$14*AM396</f>
        <v>0</v>
      </c>
      <c r="AN398" s="9" t="n">
        <f aca="false">(CEG_Assets!$D$14-AN397)*8760*CEG_Assets!$I$14*AN396</f>
        <v>0</v>
      </c>
      <c r="AO398" s="9" t="n">
        <f aca="false">(CEG_Assets!$D$14-AO397)*8760*CEG_Assets!$I$14*AO396</f>
        <v>0</v>
      </c>
      <c r="AP398" s="9" t="n">
        <f aca="false">(CEG_Assets!$D$14-AP397)*8760*CEG_Assets!$I$14*AP396</f>
        <v>0</v>
      </c>
      <c r="AQ398" s="9" t="n">
        <f aca="false">(CEG_Assets!$D$14-AQ397)*8760*CEG_Assets!$I$14*AQ396</f>
        <v>0</v>
      </c>
      <c r="AR398" s="9" t="n">
        <f aca="false">(CEG_Assets!$D$14-AR397)*8760*CEG_Assets!$I$14*AR396</f>
        <v>0</v>
      </c>
      <c r="AS398" s="9" t="n">
        <f aca="false">(CEG_Assets!$D$14-AS397)*8760*CEG_Assets!$I$14*AS396</f>
        <v>0</v>
      </c>
    </row>
    <row r="399" customFormat="false" ht="15" hidden="false" customHeight="false" outlineLevel="0" collapsed="false">
      <c r="A399" s="6" t="s">
        <v>431</v>
      </c>
      <c r="B399" s="6" t="s">
        <v>432</v>
      </c>
      <c r="G399" s="9" t="n">
        <f aca="false">G397*8760*CEG_Assets!$I$14*G396</f>
        <v>0</v>
      </c>
      <c r="H399" s="9" t="n">
        <f aca="false">H397*8760*CEG_Assets!$I$14*H396</f>
        <v>0</v>
      </c>
      <c r="I399" s="9" t="n">
        <f aca="false">I397*8760*CEG_Assets!$I$14*I396</f>
        <v>0</v>
      </c>
      <c r="J399" s="9" t="n">
        <f aca="false">J397*8760*CEG_Assets!$I$14*J396</f>
        <v>0</v>
      </c>
      <c r="K399" s="9" t="n">
        <f aca="false">K397*8760*CEG_Assets!$I$14*K396</f>
        <v>0</v>
      </c>
      <c r="L399" s="9" t="n">
        <f aca="false">L397*8760*CEG_Assets!$I$14*L396</f>
        <v>0</v>
      </c>
      <c r="M399" s="9" t="n">
        <f aca="false">M397*8760*CEG_Assets!$I$14*M396</f>
        <v>0</v>
      </c>
      <c r="N399" s="9" t="n">
        <f aca="false">N397*8760*CEG_Assets!$I$14*N396</f>
        <v>0</v>
      </c>
      <c r="O399" s="9" t="n">
        <f aca="false">O397*8760*CEG_Assets!$I$14*O396</f>
        <v>0</v>
      </c>
      <c r="P399" s="9" t="n">
        <f aca="false">P397*8760*CEG_Assets!$I$14*P396</f>
        <v>0</v>
      </c>
      <c r="Q399" s="9" t="n">
        <f aca="false">Q397*8760*CEG_Assets!$I$14*Q396</f>
        <v>0</v>
      </c>
      <c r="R399" s="9" t="n">
        <f aca="false">R397*8760*CEG_Assets!$I$14*R396</f>
        <v>0</v>
      </c>
      <c r="S399" s="9" t="n">
        <f aca="false">S397*8760*CEG_Assets!$I$14*S396</f>
        <v>0</v>
      </c>
      <c r="T399" s="9" t="n">
        <f aca="false">T397*8760*CEG_Assets!$I$14*T396</f>
        <v>0</v>
      </c>
      <c r="U399" s="9" t="n">
        <f aca="false">U397*8760*CEG_Assets!$I$14*U396</f>
        <v>0</v>
      </c>
      <c r="V399" s="9" t="n">
        <f aca="false">V397*8760*CEG_Assets!$I$14*V396</f>
        <v>0</v>
      </c>
      <c r="W399" s="9" t="n">
        <f aca="false">W397*8760*CEG_Assets!$I$14*W396</f>
        <v>0</v>
      </c>
      <c r="X399" s="9" t="n">
        <f aca="false">X397*8760*CEG_Assets!$I$14*X396</f>
        <v>0</v>
      </c>
      <c r="Y399" s="9" t="n">
        <f aca="false">Y397*8760*CEG_Assets!$I$14*Y396</f>
        <v>0</v>
      </c>
      <c r="Z399" s="9" t="n">
        <f aca="false">Z397*8760*CEG_Assets!$I$14*Z396</f>
        <v>0</v>
      </c>
      <c r="AA399" s="9" t="n">
        <f aca="false">AA397*8760*CEG_Assets!$I$14*AA396</f>
        <v>0</v>
      </c>
      <c r="AB399" s="9" t="n">
        <f aca="false">AB397*8760*CEG_Assets!$I$14*AB396</f>
        <v>0</v>
      </c>
      <c r="AC399" s="9" t="n">
        <f aca="false">AC397*8760*CEG_Assets!$I$14*AC396</f>
        <v>0</v>
      </c>
      <c r="AD399" s="9" t="n">
        <f aca="false">AD397*8760*CEG_Assets!$I$14*AD396</f>
        <v>0</v>
      </c>
      <c r="AE399" s="9" t="n">
        <f aca="false">AE397*8760*CEG_Assets!$I$14*AE396</f>
        <v>0</v>
      </c>
      <c r="AF399" s="9" t="n">
        <f aca="false">AF397*8760*CEG_Assets!$I$14*AF396</f>
        <v>0</v>
      </c>
      <c r="AG399" s="9" t="n">
        <f aca="false">AG397*8760*CEG_Assets!$I$14*AG396</f>
        <v>0</v>
      </c>
      <c r="AH399" s="9" t="n">
        <f aca="false">AH397*8760*CEG_Assets!$I$14*AH396</f>
        <v>0</v>
      </c>
      <c r="AI399" s="9" t="n">
        <f aca="false">AI397*8760*CEG_Assets!$I$14*AI396</f>
        <v>0</v>
      </c>
      <c r="AJ399" s="9" t="n">
        <f aca="false">AJ397*8760*CEG_Assets!$I$14*AJ396</f>
        <v>0</v>
      </c>
      <c r="AK399" s="9" t="n">
        <f aca="false">AK397*8760*CEG_Assets!$I$14*AK396</f>
        <v>0</v>
      </c>
      <c r="AL399" s="9" t="n">
        <f aca="false">AL397*8760*CEG_Assets!$I$14*AL396</f>
        <v>0</v>
      </c>
      <c r="AM399" s="9" t="n">
        <f aca="false">AM397*8760*CEG_Assets!$I$14*AM396</f>
        <v>0</v>
      </c>
      <c r="AN399" s="9" t="n">
        <f aca="false">AN397*8760*CEG_Assets!$I$14*AN396</f>
        <v>0</v>
      </c>
      <c r="AO399" s="9" t="n">
        <f aca="false">AO397*8760*CEG_Assets!$I$14*AO396</f>
        <v>0</v>
      </c>
      <c r="AP399" s="9" t="n">
        <f aca="false">AP397*8760*CEG_Assets!$I$14*AP396</f>
        <v>0</v>
      </c>
      <c r="AQ399" s="9" t="n">
        <f aca="false">AQ397*8760*CEG_Assets!$I$14*AQ396</f>
        <v>0</v>
      </c>
      <c r="AR399" s="9" t="n">
        <f aca="false">AR397*8760*CEG_Assets!$I$14*AR396</f>
        <v>0</v>
      </c>
      <c r="AS399" s="9" t="n">
        <f aca="false">AS397*8760*CEG_Assets!$I$14*AS396</f>
        <v>0</v>
      </c>
    </row>
    <row r="400" customFormat="false" ht="15" hidden="false" customHeight="false" outlineLevel="0" collapsed="false">
      <c r="A400" s="6" t="s">
        <v>433</v>
      </c>
      <c r="B400" s="6" t="s">
        <v>434</v>
      </c>
      <c r="G400" s="7" t="n">
        <f aca="false">IF(ISNUMBER(CEG_Assets!$L$14),CEG_Assets!$L$14*G$4,INDEX(Prices!G:G,CEG_Assets!$AO$14)+FuelAdder*G$4)</f>
        <v>4.131</v>
      </c>
      <c r="H400" s="7" t="n">
        <f aca="false">IF(ISNUMBER(CEG_Assets!$L$14),CEG_Assets!$L$14*H$4,INDEX(Prices!H:H,CEG_Assets!$AO$14)+FuelAdder*H$4)</f>
        <v>4.21362</v>
      </c>
      <c r="I400" s="7" t="n">
        <f aca="false">IF(ISNUMBER(CEG_Assets!$L$14),CEG_Assets!$L$14*I$4,INDEX(Prices!I:I,CEG_Assets!$AO$14)+FuelAdder*I$4)</f>
        <v>4.4040132</v>
      </c>
      <c r="J400" s="7" t="n">
        <f aca="false">IF(ISNUMBER(CEG_Assets!$L$14),CEG_Assets!$L$14*J$4,INDEX(Prices!J:J,CEG_Assets!$AO$14)+FuelAdder*J$4)</f>
        <v>4.492093464</v>
      </c>
      <c r="K400" s="7" t="n">
        <f aca="false">IF(ISNUMBER(CEG_Assets!$L$14),CEG_Assets!$L$14*K$4,INDEX(Prices!K:K,CEG_Assets!$AO$14)+FuelAdder*K$4)</f>
        <v>4.58193533328</v>
      </c>
      <c r="L400" s="7" t="n">
        <f aca="false">IF(ISNUMBER(CEG_Assets!$L$14),CEG_Assets!$L$14*L$4,INDEX(Prices!L:L,CEG_Assets!$AO$14)+FuelAdder*L$4)</f>
        <v>4.6735740399456</v>
      </c>
      <c r="M400" s="7" t="n">
        <f aca="false">IF(ISNUMBER(CEG_Assets!$L$14),CEG_Assets!$L$14*M$4,INDEX(Prices!M:M,CEG_Assets!$AO$14)+FuelAdder*M$4)</f>
        <v>4.76704552074451</v>
      </c>
      <c r="N400" s="7" t="n">
        <f aca="false">IF(ISNUMBER(CEG_Assets!$L$14),CEG_Assets!$L$14*N$4,INDEX(Prices!N:N,CEG_Assets!$AO$14)+FuelAdder*N$4)</f>
        <v>4.8623864311594</v>
      </c>
      <c r="O400" s="7" t="n">
        <f aca="false">IF(ISNUMBER(CEG_Assets!$L$14),CEG_Assets!$L$14*O$4,INDEX(Prices!O:O,CEG_Assets!$AO$14)+FuelAdder*O$4)</f>
        <v>4.95963415978259</v>
      </c>
      <c r="P400" s="7" t="n">
        <f aca="false">IF(ISNUMBER(CEG_Assets!$L$14),CEG_Assets!$L$14*P$4,INDEX(Prices!P:P,CEG_Assets!$AO$14)+FuelAdder*P$4)</f>
        <v>5.05882684297824</v>
      </c>
      <c r="Q400" s="7" t="n">
        <f aca="false">IF(ISNUMBER(CEG_Assets!$L$14),CEG_Assets!$L$14*Q$4,INDEX(Prices!Q:Q,CEG_Assets!$AO$14)+FuelAdder*Q$4)</f>
        <v>5.16000337983781</v>
      </c>
      <c r="R400" s="7" t="n">
        <f aca="false">IF(ISNUMBER(CEG_Assets!$L$14),CEG_Assets!$L$14*R$4,INDEX(Prices!R:R,CEG_Assets!$AO$14)+FuelAdder*R$4)</f>
        <v>5.26320344743456</v>
      </c>
      <c r="S400" s="7" t="n">
        <f aca="false">IF(ISNUMBER(CEG_Assets!$L$14),CEG_Assets!$L$14*S$4,INDEX(Prices!S:S,CEG_Assets!$AO$14)+FuelAdder*S$4)</f>
        <v>5.36846751638326</v>
      </c>
      <c r="T400" s="7" t="n">
        <f aca="false">IF(ISNUMBER(CEG_Assets!$L$14),CEG_Assets!$L$14*T$4,INDEX(Prices!T:T,CEG_Assets!$AO$14)+FuelAdder*T$4)</f>
        <v>5.47583686671092</v>
      </c>
      <c r="U400" s="7" t="n">
        <f aca="false">IF(ISNUMBER(CEG_Assets!$L$14),CEG_Assets!$L$14*U$4,INDEX(Prices!U:U,CEG_Assets!$AO$14)+FuelAdder*U$4)</f>
        <v>5.58535360404514</v>
      </c>
      <c r="V400" s="7" t="n">
        <f aca="false">IF(ISNUMBER(CEG_Assets!$L$14),CEG_Assets!$L$14*V$4,INDEX(Prices!V:V,CEG_Assets!$AO$14)+FuelAdder*V$4)</f>
        <v>5.69706067612604</v>
      </c>
      <c r="W400" s="7" t="n">
        <f aca="false">IF(ISNUMBER(CEG_Assets!$L$14),CEG_Assets!$L$14*W$4,INDEX(Prices!W:W,CEG_Assets!$AO$14)+FuelAdder*W$4)</f>
        <v>5.81100188964856</v>
      </c>
      <c r="X400" s="7" t="n">
        <f aca="false">IF(ISNUMBER(CEG_Assets!$L$14),CEG_Assets!$L$14*X$4,INDEX(Prices!X:X,CEG_Assets!$AO$14)+FuelAdder*X$4)</f>
        <v>5.92722192744153</v>
      </c>
      <c r="Y400" s="7" t="n">
        <f aca="false">IF(ISNUMBER(CEG_Assets!$L$14),CEG_Assets!$L$14*Y$4,INDEX(Prices!Y:Y,CEG_Assets!$AO$14)+FuelAdder*Y$4)</f>
        <v>6.04576636599037</v>
      </c>
      <c r="Z400" s="7" t="n">
        <f aca="false">IF(ISNUMBER(CEG_Assets!$L$14),CEG_Assets!$L$14*Z$4,INDEX(Prices!Z:Z,CEG_Assets!$AO$14)+FuelAdder*Z$4)</f>
        <v>6.16668169331017</v>
      </c>
      <c r="AA400" s="7" t="n">
        <f aca="false">IF(ISNUMBER(CEG_Assets!$L$14),CEG_Assets!$L$14*AA$4,INDEX(Prices!AA:AA,CEG_Assets!$AO$14)+FuelAdder*AA$4)</f>
        <v>6.29001532717638</v>
      </c>
      <c r="AB400" s="7" t="n">
        <f aca="false">IF(ISNUMBER(CEG_Assets!$L$14),CEG_Assets!$L$14*AB$4,INDEX(Prices!AB:AB,CEG_Assets!$AO$14)+FuelAdder*AB$4)</f>
        <v>6.4158156337199</v>
      </c>
      <c r="AC400" s="7" t="n">
        <f aca="false">IF(ISNUMBER(CEG_Assets!$L$14),CEG_Assets!$L$14*AC$4,INDEX(Prices!AC:AC,CEG_Assets!$AO$14)+FuelAdder*AC$4)</f>
        <v>6.5441319463943</v>
      </c>
      <c r="AD400" s="7" t="n">
        <f aca="false">IF(ISNUMBER(CEG_Assets!$L$14),CEG_Assets!$L$14*AD$4,INDEX(Prices!AD:AD,CEG_Assets!$AO$14)+FuelAdder*AD$4)</f>
        <v>6.67501458532219</v>
      </c>
      <c r="AE400" s="7" t="n">
        <f aca="false">IF(ISNUMBER(CEG_Assets!$L$14),CEG_Assets!$L$14*AE$4,INDEX(Prices!AE:AE,CEG_Assets!$AO$14)+FuelAdder*AE$4)</f>
        <v>6.80851487702863</v>
      </c>
      <c r="AF400" s="7" t="n">
        <f aca="false">IF(ISNUMBER(CEG_Assets!$L$14),CEG_Assets!$L$14*AF$4,INDEX(Prices!AF:AF,CEG_Assets!$AO$14)+FuelAdder*AF$4)</f>
        <v>6.94468517456921</v>
      </c>
      <c r="AG400" s="7" t="n">
        <f aca="false">IF(ISNUMBER(CEG_Assets!$L$14),CEG_Assets!$L$14*AG$4,INDEX(Prices!AG:AG,CEG_Assets!$AO$14)+FuelAdder*AG$4)</f>
        <v>7.08357887806059</v>
      </c>
      <c r="AH400" s="7" t="n">
        <f aca="false">IF(ISNUMBER(CEG_Assets!$L$14),CEG_Assets!$L$14*AH$4,INDEX(Prices!AH:AH,CEG_Assets!$AO$14)+FuelAdder*AH$4)</f>
        <v>7.2252504556218</v>
      </c>
      <c r="AI400" s="7" t="n">
        <f aca="false">IF(ISNUMBER(CEG_Assets!$L$14),CEG_Assets!$L$14*AI$4,INDEX(Prices!AI:AI,CEG_Assets!$AO$14)+FuelAdder*AI$4)</f>
        <v>7.36975546473424</v>
      </c>
      <c r="AJ400" s="7" t="n">
        <f aca="false">IF(ISNUMBER(CEG_Assets!$L$14),CEG_Assets!$L$14*AJ$4,INDEX(Prices!AJ:AJ,CEG_Assets!$AO$14)+FuelAdder*AJ$4)</f>
        <v>7.51715057402892</v>
      </c>
      <c r="AK400" s="7" t="n">
        <f aca="false">IF(ISNUMBER(CEG_Assets!$L$14),CEG_Assets!$L$14*AK$4,INDEX(Prices!AK:AK,CEG_Assets!$AO$14)+FuelAdder*AK$4)</f>
        <v>7.6674935855095</v>
      </c>
      <c r="AL400" s="7" t="n">
        <f aca="false">IF(ISNUMBER(CEG_Assets!$L$14),CEG_Assets!$L$14*AL$4,INDEX(Prices!AL:AL,CEG_Assets!$AO$14)+FuelAdder*AL$4)</f>
        <v>7.82084345721969</v>
      </c>
      <c r="AM400" s="7" t="n">
        <f aca="false">IF(ISNUMBER(CEG_Assets!$L$14),CEG_Assets!$L$14*AM$4,INDEX(Prices!AM:AM,CEG_Assets!$AO$14)+FuelAdder*AM$4)</f>
        <v>7.97726032636409</v>
      </c>
      <c r="AN400" s="7" t="n">
        <f aca="false">IF(ISNUMBER(CEG_Assets!$L$14),CEG_Assets!$L$14*AN$4,INDEX(Prices!AN:AN,CEG_Assets!$AO$14)+FuelAdder*AN$4)</f>
        <v>8.13680553289137</v>
      </c>
      <c r="AO400" s="7" t="n">
        <f aca="false">IF(ISNUMBER(CEG_Assets!$L$14),CEG_Assets!$L$14*AO$4,INDEX(Prices!AO:AO,CEG_Assets!$AO$14)+FuelAdder*AO$4)</f>
        <v>8.29954164354919</v>
      </c>
      <c r="AP400" s="7" t="n">
        <f aca="false">IF(ISNUMBER(CEG_Assets!$L$14),CEG_Assets!$L$14*AP$4,INDEX(Prices!AP:AP,CEG_Assets!$AO$14)+FuelAdder*AP$4)</f>
        <v>8.46553247642018</v>
      </c>
      <c r="AQ400" s="7" t="n">
        <f aca="false">IF(ISNUMBER(CEG_Assets!$L$14),CEG_Assets!$L$14*AQ$4,INDEX(Prices!AQ:AQ,CEG_Assets!$AO$14)+FuelAdder*AQ$4)</f>
        <v>8.63484312594858</v>
      </c>
      <c r="AR400" s="7" t="n">
        <f aca="false">IF(ISNUMBER(CEG_Assets!$L$14),CEG_Assets!$L$14*AR$4,INDEX(Prices!AR:AR,CEG_Assets!$AO$14)+FuelAdder*AR$4)</f>
        <v>8.80753998846755</v>
      </c>
      <c r="AS400" s="7" t="n">
        <f aca="false">IF(ISNUMBER(CEG_Assets!$L$14),CEG_Assets!$L$14*AS$4,INDEX(Prices!AS:AS,CEG_Assets!$AO$14)+FuelAdder*AS$4)</f>
        <v>8.9836907882369</v>
      </c>
    </row>
    <row r="401" customFormat="false" ht="15" hidden="false" customHeight="false" outlineLevel="0" collapsed="false">
      <c r="A401" s="6" t="s">
        <v>435</v>
      </c>
      <c r="B401" s="6" t="s">
        <v>436</v>
      </c>
      <c r="G401" s="7" t="n">
        <f aca="false">INDEX(Prices!G:G,CEG_Assets!$AN$14)*CEG_Assets!$J$14-CEG_Assets!$K$14*G400-CEG_Assets!$M$14*G$4</f>
        <v>74.0245</v>
      </c>
      <c r="H401" s="7" t="n">
        <f aca="false">INDEX(Prices!H:H,CEG_Assets!$AN$14)*CEG_Assets!$J$14-CEG_Assets!$K$14*H400-CEG_Assets!$M$14*H$4</f>
        <v>78.05499</v>
      </c>
      <c r="I401" s="7" t="n">
        <f aca="false">INDEX(Prices!I:I,CEG_Assets!$AN$14)*CEG_Assets!$J$14-CEG_Assets!$K$14*I400-CEG_Assets!$M$14*I$4</f>
        <v>79.8436469</v>
      </c>
      <c r="J401" s="7" t="n">
        <f aca="false">INDEX(Prices!J:J,CEG_Assets!$AN$14)*CEG_Assets!$J$14-CEG_Assets!$K$14*J400-CEG_Assets!$M$14*J$4</f>
        <v>82.860181848</v>
      </c>
      <c r="K401" s="7" t="n">
        <f aca="false">INDEX(Prices!K:K,CEG_Assets!$AN$14)*CEG_Assets!$J$14-CEG_Assets!$K$14*K400-CEG_Assets!$M$14*K$4</f>
        <v>84.51738548496</v>
      </c>
      <c r="L401" s="7" t="n">
        <f aca="false">INDEX(Prices!L:L,CEG_Assets!$AN$14)*CEG_Assets!$J$14-CEG_Assets!$K$14*L400-CEG_Assets!$M$14*L$4</f>
        <v>86.2077331946592</v>
      </c>
      <c r="M401" s="7" t="n">
        <f aca="false">INDEX(Prices!M:M,CEG_Assets!$AN$14)*CEG_Assets!$J$14-CEG_Assets!$K$14*M400-CEG_Assets!$M$14*M$4</f>
        <v>87.9318878585524</v>
      </c>
      <c r="N401" s="7" t="n">
        <f aca="false">INDEX(Prices!N:N,CEG_Assets!$AN$14)*CEG_Assets!$J$14-CEG_Assets!$K$14*N400-CEG_Assets!$M$14*N$4</f>
        <v>89.6905256157235</v>
      </c>
      <c r="O401" s="7" t="n">
        <f aca="false">INDEX(Prices!O:O,CEG_Assets!$AN$14)*CEG_Assets!$J$14-CEG_Assets!$K$14*O400-CEG_Assets!$M$14*O$4</f>
        <v>91.4843361280379</v>
      </c>
      <c r="P401" s="7" t="n">
        <f aca="false">INDEX(Prices!P:P,CEG_Assets!$AN$14)*CEG_Assets!$J$14-CEG_Assets!$K$14*P400-CEG_Assets!$M$14*P$4</f>
        <v>93.3140228505987</v>
      </c>
      <c r="Q401" s="7" t="n">
        <f aca="false">INDEX(Prices!Q:Q,CEG_Assets!$AN$14)*CEG_Assets!$J$14-CEG_Assets!$K$14*Q400-CEG_Assets!$M$14*Q$4</f>
        <v>95.1803033076107</v>
      </c>
      <c r="R401" s="7" t="n">
        <f aca="false">INDEX(Prices!R:R,CEG_Assets!$AN$14)*CEG_Assets!$J$14-CEG_Assets!$K$14*R400-CEG_Assets!$M$14*R$4</f>
        <v>97.0839093737629</v>
      </c>
      <c r="S401" s="7" t="n">
        <f aca="false">INDEX(Prices!S:S,CEG_Assets!$AN$14)*CEG_Assets!$J$14-CEG_Assets!$K$14*S400-CEG_Assets!$M$14*S$4</f>
        <v>99.0255875612381</v>
      </c>
      <c r="T401" s="7" t="n">
        <f aca="false">INDEX(Prices!T:T,CEG_Assets!$AN$14)*CEG_Assets!$J$14-CEG_Assets!$K$14*T400-CEG_Assets!$M$14*T$4</f>
        <v>101.006099312463</v>
      </c>
      <c r="U401" s="7" t="n">
        <f aca="false">INDEX(Prices!U:U,CEG_Assets!$AN$14)*CEG_Assets!$J$14-CEG_Assets!$K$14*U400-CEG_Assets!$M$14*U$4</f>
        <v>103.026221298712</v>
      </c>
      <c r="V401" s="7" t="n">
        <f aca="false">INDEX(Prices!V:V,CEG_Assets!$AN$14)*CEG_Assets!$J$14-CEG_Assets!$K$14*V400-CEG_Assets!$M$14*V$4</f>
        <v>105.086745724686</v>
      </c>
      <c r="W401" s="7" t="n">
        <f aca="false">INDEX(Prices!W:W,CEG_Assets!$AN$14)*CEG_Assets!$J$14-CEG_Assets!$K$14*W400-CEG_Assets!$M$14*W$4</f>
        <v>107.18848063918</v>
      </c>
      <c r="X401" s="7" t="n">
        <f aca="false">INDEX(Prices!X:X,CEG_Assets!$AN$14)*CEG_Assets!$J$14-CEG_Assets!$K$14*X400-CEG_Assets!$M$14*X$4</f>
        <v>109.332250251964</v>
      </c>
      <c r="Y401" s="7" t="n">
        <f aca="false">INDEX(Prices!Y:Y,CEG_Assets!$AN$14)*CEG_Assets!$J$14-CEG_Assets!$K$14*Y400-CEG_Assets!$M$14*Y$4</f>
        <v>111.518895257003</v>
      </c>
      <c r="Z401" s="7" t="n">
        <f aca="false">INDEX(Prices!Z:Z,CEG_Assets!$AN$14)*CEG_Assets!$J$14-CEG_Assets!$K$14*Z400-CEG_Assets!$M$14*Z$4</f>
        <v>113.749273162143</v>
      </c>
      <c r="AA401" s="7" t="n">
        <f aca="false">INDEX(Prices!AA:AA,CEG_Assets!$AN$14)*CEG_Assets!$J$14-CEG_Assets!$K$14*AA400-CEG_Assets!$M$14*AA$4</f>
        <v>116.024258625386</v>
      </c>
      <c r="AB401" s="7" t="n">
        <f aca="false">INDEX(Prices!AB:AB,CEG_Assets!$AN$14)*CEG_Assets!$J$14-CEG_Assets!$K$14*AB400-CEG_Assets!$M$14*AB$4</f>
        <v>118.344743797894</v>
      </c>
      <c r="AC401" s="7" t="n">
        <f aca="false">INDEX(Prices!AC:AC,CEG_Assets!$AN$14)*CEG_Assets!$J$14-CEG_Assets!$K$14*AC400-CEG_Assets!$M$14*AC$4</f>
        <v>120.711638673852</v>
      </c>
      <c r="AD401" s="7" t="n">
        <f aca="false">INDEX(Prices!AD:AD,CEG_Assets!$AN$14)*CEG_Assets!$J$14-CEG_Assets!$K$14*AD400-CEG_Assets!$M$14*AD$4</f>
        <v>123.125871447329</v>
      </c>
      <c r="AE401" s="7" t="n">
        <f aca="false">INDEX(Prices!AE:AE,CEG_Assets!$AN$14)*CEG_Assets!$J$14-CEG_Assets!$K$14*AE400-CEG_Assets!$M$14*AE$4</f>
        <v>125.588388876275</v>
      </c>
      <c r="AF401" s="7" t="n">
        <f aca="false">INDEX(Prices!AF:AF,CEG_Assets!$AN$14)*CEG_Assets!$J$14-CEG_Assets!$K$14*AF400-CEG_Assets!$M$14*AF$4</f>
        <v>128.100156653801</v>
      </c>
      <c r="AG401" s="7" t="n">
        <f aca="false">INDEX(Prices!AG:AG,CEG_Assets!$AN$14)*CEG_Assets!$J$14-CEG_Assets!$K$14*AG400-CEG_Assets!$M$14*AG$4</f>
        <v>130.662159786877</v>
      </c>
      <c r="AH401" s="7" t="n">
        <f aca="false">INDEX(Prices!AH:AH,CEG_Assets!$AN$14)*CEG_Assets!$J$14-CEG_Assets!$K$14*AH400-CEG_Assets!$M$14*AH$4</f>
        <v>133.275402982614</v>
      </c>
      <c r="AI401" s="7" t="n">
        <f aca="false">INDEX(Prices!AI:AI,CEG_Assets!$AN$14)*CEG_Assets!$J$14-CEG_Assets!$K$14*AI400-CEG_Assets!$M$14*AI$4</f>
        <v>135.940911042267</v>
      </c>
      <c r="AJ401" s="7" t="n">
        <f aca="false">INDEX(Prices!AJ:AJ,CEG_Assets!$AN$14)*CEG_Assets!$J$14-CEG_Assets!$K$14*AJ400-CEG_Assets!$M$14*AJ$4</f>
        <v>138.659729263112</v>
      </c>
      <c r="AK401" s="7" t="n">
        <f aca="false">INDEX(Prices!AK:AK,CEG_Assets!$AN$14)*CEG_Assets!$J$14-CEG_Assets!$K$14*AK400-CEG_Assets!$M$14*AK$4</f>
        <v>141.432923848374</v>
      </c>
      <c r="AL401" s="7" t="n">
        <f aca="false">INDEX(Prices!AL:AL,CEG_Assets!$AN$14)*CEG_Assets!$J$14-CEG_Assets!$K$14*AL400-CEG_Assets!$M$14*AL$4</f>
        <v>144.261582325342</v>
      </c>
      <c r="AM401" s="7" t="n">
        <f aca="false">INDEX(Prices!AM:AM,CEG_Assets!$AN$14)*CEG_Assets!$J$14-CEG_Assets!$K$14*AM400-CEG_Assets!$M$14*AM$4</f>
        <v>147.146813971848</v>
      </c>
      <c r="AN401" s="7" t="n">
        <f aca="false">INDEX(Prices!AN:AN,CEG_Assets!$AN$14)*CEG_Assets!$J$14-CEG_Assets!$K$14*AN400-CEG_Assets!$M$14*AN$4</f>
        <v>150.089750251285</v>
      </c>
      <c r="AO401" s="7" t="n">
        <f aca="false">INDEX(Prices!AO:AO,CEG_Assets!$AN$14)*CEG_Assets!$J$14-CEG_Assets!$K$14*AO400-CEG_Assets!$M$14*AO$4</f>
        <v>153.091545256311</v>
      </c>
      <c r="AP401" s="7" t="n">
        <f aca="false">INDEX(Prices!AP:AP,CEG_Assets!$AN$14)*CEG_Assets!$J$14-CEG_Assets!$K$14*AP400-CEG_Assets!$M$14*AP$4</f>
        <v>156.153376161437</v>
      </c>
      <c r="AQ401" s="7" t="n">
        <f aca="false">INDEX(Prices!AQ:AQ,CEG_Assets!$AN$14)*CEG_Assets!$J$14-CEG_Assets!$K$14*AQ400-CEG_Assets!$M$14*AQ$4</f>
        <v>159.276443684666</v>
      </c>
      <c r="AR401" s="7" t="n">
        <f aca="false">INDEX(Prices!AR:AR,CEG_Assets!$AN$14)*CEG_Assets!$J$14-CEG_Assets!$K$14*AR400-CEG_Assets!$M$14*AR$4</f>
        <v>162.461972558359</v>
      </c>
      <c r="AS401" s="7" t="n">
        <f aca="false">INDEX(Prices!AS:AS,CEG_Assets!$AN$14)*CEG_Assets!$J$14-CEG_Assets!$K$14*AS400-CEG_Assets!$M$14*AS$4</f>
        <v>165.711212009527</v>
      </c>
    </row>
    <row r="402" customFormat="false" ht="15" hidden="false" customHeight="false" outlineLevel="0" collapsed="false">
      <c r="A402" s="6" t="s">
        <v>437</v>
      </c>
      <c r="B402" s="6" t="s">
        <v>438</v>
      </c>
      <c r="G402" s="47" t="n">
        <f aca="false">IF(CEG_Assets!$X$14=1,IF(G401&gt;0,1,0),1)</f>
        <v>1</v>
      </c>
      <c r="H402" s="47" t="n">
        <f aca="false">IF(CEG_Assets!$X$14=1,IF(H401&gt;0,1,0),1)</f>
        <v>1</v>
      </c>
      <c r="I402" s="47" t="n">
        <f aca="false">IF(CEG_Assets!$X$14=1,IF(I401&gt;0,1,0),1)</f>
        <v>1</v>
      </c>
      <c r="J402" s="47" t="n">
        <f aca="false">IF(CEG_Assets!$X$14=1,IF(J401&gt;0,1,0),1)</f>
        <v>1</v>
      </c>
      <c r="K402" s="47" t="n">
        <f aca="false">IF(CEG_Assets!$X$14=1,IF(K401&gt;0,1,0),1)</f>
        <v>1</v>
      </c>
      <c r="L402" s="47" t="n">
        <f aca="false">IF(CEG_Assets!$X$14=1,IF(L401&gt;0,1,0),1)</f>
        <v>1</v>
      </c>
      <c r="M402" s="47" t="n">
        <f aca="false">IF(CEG_Assets!$X$14=1,IF(M401&gt;0,1,0),1)</f>
        <v>1</v>
      </c>
      <c r="N402" s="47" t="n">
        <f aca="false">IF(CEG_Assets!$X$14=1,IF(N401&gt;0,1,0),1)</f>
        <v>1</v>
      </c>
      <c r="O402" s="47" t="n">
        <f aca="false">IF(CEG_Assets!$X$14=1,IF(O401&gt;0,1,0),1)</f>
        <v>1</v>
      </c>
      <c r="P402" s="47" t="n">
        <f aca="false">IF(CEG_Assets!$X$14=1,IF(P401&gt;0,1,0),1)</f>
        <v>1</v>
      </c>
      <c r="Q402" s="47" t="n">
        <f aca="false">IF(CEG_Assets!$X$14=1,IF(Q401&gt;0,1,0),1)</f>
        <v>1</v>
      </c>
      <c r="R402" s="47" t="n">
        <f aca="false">IF(CEG_Assets!$X$14=1,IF(R401&gt;0,1,0),1)</f>
        <v>1</v>
      </c>
      <c r="S402" s="47" t="n">
        <f aca="false">IF(CEG_Assets!$X$14=1,IF(S401&gt;0,1,0),1)</f>
        <v>1</v>
      </c>
      <c r="T402" s="47" t="n">
        <f aca="false">IF(CEG_Assets!$X$14=1,IF(T401&gt;0,1,0),1)</f>
        <v>1</v>
      </c>
      <c r="U402" s="47" t="n">
        <f aca="false">IF(CEG_Assets!$X$14=1,IF(U401&gt;0,1,0),1)</f>
        <v>1</v>
      </c>
      <c r="V402" s="47" t="n">
        <f aca="false">IF(CEG_Assets!$X$14=1,IF(V401&gt;0,1,0),1)</f>
        <v>1</v>
      </c>
      <c r="W402" s="47" t="n">
        <f aca="false">IF(CEG_Assets!$X$14=1,IF(W401&gt;0,1,0),1)</f>
        <v>1</v>
      </c>
      <c r="X402" s="47" t="n">
        <f aca="false">IF(CEG_Assets!$X$14=1,IF(X401&gt;0,1,0),1)</f>
        <v>1</v>
      </c>
      <c r="Y402" s="47" t="n">
        <f aca="false">IF(CEG_Assets!$X$14=1,IF(Y401&gt;0,1,0),1)</f>
        <v>1</v>
      </c>
      <c r="Z402" s="47" t="n">
        <f aca="false">IF(CEG_Assets!$X$14=1,IF(Z401&gt;0,1,0),1)</f>
        <v>1</v>
      </c>
      <c r="AA402" s="47" t="n">
        <f aca="false">IF(CEG_Assets!$X$14=1,IF(AA401&gt;0,1,0),1)</f>
        <v>1</v>
      </c>
      <c r="AB402" s="47" t="n">
        <f aca="false">IF(CEG_Assets!$X$14=1,IF(AB401&gt;0,1,0),1)</f>
        <v>1</v>
      </c>
      <c r="AC402" s="47" t="n">
        <f aca="false">IF(CEG_Assets!$X$14=1,IF(AC401&gt;0,1,0),1)</f>
        <v>1</v>
      </c>
      <c r="AD402" s="47" t="n">
        <f aca="false">IF(CEG_Assets!$X$14=1,IF(AD401&gt;0,1,0),1)</f>
        <v>1</v>
      </c>
      <c r="AE402" s="47" t="n">
        <f aca="false">IF(CEG_Assets!$X$14=1,IF(AE401&gt;0,1,0),1)</f>
        <v>1</v>
      </c>
      <c r="AF402" s="47" t="n">
        <f aca="false">IF(CEG_Assets!$X$14=1,IF(AF401&gt;0,1,0),1)</f>
        <v>1</v>
      </c>
      <c r="AG402" s="47" t="n">
        <f aca="false">IF(CEG_Assets!$X$14=1,IF(AG401&gt;0,1,0),1)</f>
        <v>1</v>
      </c>
      <c r="AH402" s="47" t="n">
        <f aca="false">IF(CEG_Assets!$X$14=1,IF(AH401&gt;0,1,0),1)</f>
        <v>1</v>
      </c>
      <c r="AI402" s="47" t="n">
        <f aca="false">IF(CEG_Assets!$X$14=1,IF(AI401&gt;0,1,0),1)</f>
        <v>1</v>
      </c>
      <c r="AJ402" s="47" t="n">
        <f aca="false">IF(CEG_Assets!$X$14=1,IF(AJ401&gt;0,1,0),1)</f>
        <v>1</v>
      </c>
      <c r="AK402" s="47" t="n">
        <f aca="false">IF(CEG_Assets!$X$14=1,IF(AK401&gt;0,1,0),1)</f>
        <v>1</v>
      </c>
      <c r="AL402" s="47" t="n">
        <f aca="false">IF(CEG_Assets!$X$14=1,IF(AL401&gt;0,1,0),1)</f>
        <v>1</v>
      </c>
      <c r="AM402" s="47" t="n">
        <f aca="false">IF(CEG_Assets!$X$14=1,IF(AM401&gt;0,1,0),1)</f>
        <v>1</v>
      </c>
      <c r="AN402" s="47" t="n">
        <f aca="false">IF(CEG_Assets!$X$14=1,IF(AN401&gt;0,1,0),1)</f>
        <v>1</v>
      </c>
      <c r="AO402" s="47" t="n">
        <f aca="false">IF(CEG_Assets!$X$14=1,IF(AO401&gt;0,1,0),1)</f>
        <v>1</v>
      </c>
      <c r="AP402" s="47" t="n">
        <f aca="false">IF(CEG_Assets!$X$14=1,IF(AP401&gt;0,1,0),1)</f>
        <v>1</v>
      </c>
      <c r="AQ402" s="47" t="n">
        <f aca="false">IF(CEG_Assets!$X$14=1,IF(AQ401&gt;0,1,0),1)</f>
        <v>1</v>
      </c>
      <c r="AR402" s="47" t="n">
        <f aca="false">IF(CEG_Assets!$X$14=1,IF(AR401&gt;0,1,0),1)</f>
        <v>1</v>
      </c>
      <c r="AS402" s="47" t="n">
        <f aca="false">IF(CEG_Assets!$X$14=1,IF(AS401&gt;0,1,0),1)</f>
        <v>1</v>
      </c>
    </row>
    <row r="403" customFormat="false" ht="15" hidden="false" customHeight="false" outlineLevel="0" collapsed="false">
      <c r="A403" s="6" t="s">
        <v>439</v>
      </c>
      <c r="B403" s="6" t="s">
        <v>440</v>
      </c>
      <c r="C403" s="9" t="n">
        <f aca="false">SUM(G403:AS403)</f>
        <v>426.685110849344</v>
      </c>
      <c r="G403" s="8" t="n">
        <f aca="false">G398*INDEX(Prices!G:G,CEG_Assets!$AN$14)*CEG_Assets!$J$14*G402/1000000*(1+CEG_RevAdj)</f>
        <v>25.7544</v>
      </c>
      <c r="H403" s="8" t="n">
        <f aca="false">H398*INDEX(Prices!H:H,CEG_Assets!$AN$14)*CEG_Assets!$J$14*H402/1000000*(1+CEG_RevAdj)</f>
        <v>26.8056</v>
      </c>
      <c r="I403" s="8" t="n">
        <f aca="false">I398*INDEX(Prices!I:I,CEG_Assets!$AN$14)*CEG_Assets!$J$14*I402/1000000*(1+CEG_RevAdj)</f>
        <v>27.62381739312</v>
      </c>
      <c r="J403" s="8" t="n">
        <f aca="false">J398*INDEX(Prices!J:J,CEG_Assets!$AN$14)*CEG_Assets!$J$14*J402/1000000*(1+CEG_RevAdj)</f>
        <v>28.4747634819648</v>
      </c>
      <c r="K403" s="8" t="n">
        <f aca="false">K398*INDEX(Prices!K:K,CEG_Assets!$AN$14)*CEG_Assets!$J$14*K402/1000000*(1+CEG_RevAdj)</f>
        <v>29.0442587516041</v>
      </c>
      <c r="L403" s="8" t="n">
        <f aca="false">L398*INDEX(Prices!L:L,CEG_Assets!$AN$14)*CEG_Assets!$J$14*L402/1000000*(1+CEG_RevAdj)</f>
        <v>29.6251439266362</v>
      </c>
      <c r="M403" s="8" t="n">
        <f aca="false">M398*INDEX(Prices!M:M,CEG_Assets!$AN$14)*CEG_Assets!$J$14*M402/1000000*(1+CEG_RevAdj)</f>
        <v>30.2176468051689</v>
      </c>
      <c r="N403" s="8" t="n">
        <f aca="false">N398*INDEX(Prices!N:N,CEG_Assets!$AN$14)*CEG_Assets!$J$14*N402/1000000*(1+CEG_RevAdj)</f>
        <v>30.8219997412723</v>
      </c>
      <c r="O403" s="8" t="n">
        <f aca="false">O398*INDEX(Prices!O:O,CEG_Assets!$AN$14)*CEG_Assets!$J$14*O402/1000000*(1+CEG_RevAdj)</f>
        <v>31.4384397360977</v>
      </c>
      <c r="P403" s="8" t="n">
        <f aca="false">P398*INDEX(Prices!P:P,CEG_Assets!$AN$14)*CEG_Assets!$J$14*P402/1000000*(1+CEG_RevAdj)</f>
        <v>32.0672085308197</v>
      </c>
      <c r="Q403" s="8" t="n">
        <f aca="false">Q398*INDEX(Prices!Q:Q,CEG_Assets!$AN$14)*CEG_Assets!$J$14*Q402/1000000*(1+CEG_RevAdj)</f>
        <v>32.7085527014361</v>
      </c>
      <c r="R403" s="8" t="n">
        <f aca="false">R398*INDEX(Prices!R:R,CEG_Assets!$AN$14)*CEG_Assets!$J$14*R402/1000000*(1+CEG_RevAdj)</f>
        <v>33.3627237554648</v>
      </c>
      <c r="S403" s="8" t="n">
        <f aca="false">S398*INDEX(Prices!S:S,CEG_Assets!$AN$14)*CEG_Assets!$J$14*S402/1000000*(1+CEG_RevAdj)</f>
        <v>34.0299782305741</v>
      </c>
      <c r="T403" s="8" t="n">
        <f aca="false">T398*INDEX(Prices!T:T,CEG_Assets!$AN$14)*CEG_Assets!$J$14*T402/1000000*(1+CEG_RevAdj)</f>
        <v>34.7105777951856</v>
      </c>
      <c r="U403" s="8" t="n">
        <f aca="false">U398*INDEX(Prices!U:U,CEG_Assets!$AN$14)*CEG_Assets!$J$14*U402/1000000*(1+CEG_RevAdj)</f>
        <v>0</v>
      </c>
      <c r="V403" s="8" t="n">
        <f aca="false">V398*INDEX(Prices!V:V,CEG_Assets!$AN$14)*CEG_Assets!$J$14*V402/1000000*(1+CEG_RevAdj)</f>
        <v>0</v>
      </c>
      <c r="W403" s="8" t="n">
        <f aca="false">W398*INDEX(Prices!W:W,CEG_Assets!$AN$14)*CEG_Assets!$J$14*W402/1000000*(1+CEG_RevAdj)</f>
        <v>0</v>
      </c>
      <c r="X403" s="8" t="n">
        <f aca="false">X398*INDEX(Prices!X:X,CEG_Assets!$AN$14)*CEG_Assets!$J$14*X402/1000000*(1+CEG_RevAdj)</f>
        <v>0</v>
      </c>
      <c r="Y403" s="8" t="n">
        <f aca="false">Y398*INDEX(Prices!Y:Y,CEG_Assets!$AN$14)*CEG_Assets!$J$14*Y402/1000000*(1+CEG_RevAdj)</f>
        <v>0</v>
      </c>
      <c r="Z403" s="8" t="n">
        <f aca="false">Z398*INDEX(Prices!Z:Z,CEG_Assets!$AN$14)*CEG_Assets!$J$14*Z402/1000000*(1+CEG_RevAdj)</f>
        <v>0</v>
      </c>
      <c r="AA403" s="8" t="n">
        <f aca="false">AA398*INDEX(Prices!AA:AA,CEG_Assets!$AN$14)*CEG_Assets!$J$14*AA402/1000000*(1+CEG_RevAdj)</f>
        <v>0</v>
      </c>
      <c r="AB403" s="8" t="n">
        <f aca="false">AB398*INDEX(Prices!AB:AB,CEG_Assets!$AN$14)*CEG_Assets!$J$14*AB402/1000000*(1+CEG_RevAdj)</f>
        <v>0</v>
      </c>
      <c r="AC403" s="8" t="n">
        <f aca="false">AC398*INDEX(Prices!AC:AC,CEG_Assets!$AN$14)*CEG_Assets!$J$14*AC402/1000000*(1+CEG_RevAdj)</f>
        <v>0</v>
      </c>
      <c r="AD403" s="8" t="n">
        <f aca="false">AD398*INDEX(Prices!AD:AD,CEG_Assets!$AN$14)*CEG_Assets!$J$14*AD402/1000000*(1+CEG_RevAdj)</f>
        <v>0</v>
      </c>
      <c r="AE403" s="8" t="n">
        <f aca="false">AE398*INDEX(Prices!AE:AE,CEG_Assets!$AN$14)*CEG_Assets!$J$14*AE402/1000000*(1+CEG_RevAdj)</f>
        <v>0</v>
      </c>
      <c r="AF403" s="8" t="n">
        <f aca="false">AF398*INDEX(Prices!AF:AF,CEG_Assets!$AN$14)*CEG_Assets!$J$14*AF402/1000000*(1+CEG_RevAdj)</f>
        <v>0</v>
      </c>
      <c r="AG403" s="8" t="n">
        <f aca="false">AG398*INDEX(Prices!AG:AG,CEG_Assets!$AN$14)*CEG_Assets!$J$14*AG402/1000000*(1+CEG_RevAdj)</f>
        <v>0</v>
      </c>
      <c r="AH403" s="8" t="n">
        <f aca="false">AH398*INDEX(Prices!AH:AH,CEG_Assets!$AN$14)*CEG_Assets!$J$14*AH402/1000000*(1+CEG_RevAdj)</f>
        <v>0</v>
      </c>
      <c r="AI403" s="8" t="n">
        <f aca="false">AI398*INDEX(Prices!AI:AI,CEG_Assets!$AN$14)*CEG_Assets!$J$14*AI402/1000000*(1+CEG_RevAdj)</f>
        <v>0</v>
      </c>
      <c r="AJ403" s="8" t="n">
        <f aca="false">AJ398*INDEX(Prices!AJ:AJ,CEG_Assets!$AN$14)*CEG_Assets!$J$14*AJ402/1000000*(1+CEG_RevAdj)</f>
        <v>0</v>
      </c>
      <c r="AK403" s="8" t="n">
        <f aca="false">AK398*INDEX(Prices!AK:AK,CEG_Assets!$AN$14)*CEG_Assets!$J$14*AK402/1000000*(1+CEG_RevAdj)</f>
        <v>0</v>
      </c>
      <c r="AL403" s="8" t="n">
        <f aca="false">AL398*INDEX(Prices!AL:AL,CEG_Assets!$AN$14)*CEG_Assets!$J$14*AL402/1000000*(1+CEG_RevAdj)</f>
        <v>0</v>
      </c>
      <c r="AM403" s="8" t="n">
        <f aca="false">AM398*INDEX(Prices!AM:AM,CEG_Assets!$AN$14)*CEG_Assets!$J$14*AM402/1000000*(1+CEG_RevAdj)</f>
        <v>0</v>
      </c>
      <c r="AN403" s="8" t="n">
        <f aca="false">AN398*INDEX(Prices!AN:AN,CEG_Assets!$AN$14)*CEG_Assets!$J$14*AN402/1000000*(1+CEG_RevAdj)</f>
        <v>0</v>
      </c>
      <c r="AO403" s="8" t="n">
        <f aca="false">AO398*INDEX(Prices!AO:AO,CEG_Assets!$AN$14)*CEG_Assets!$J$14*AO402/1000000*(1+CEG_RevAdj)</f>
        <v>0</v>
      </c>
      <c r="AP403" s="8" t="n">
        <f aca="false">AP398*INDEX(Prices!AP:AP,CEG_Assets!$AN$14)*CEG_Assets!$J$14*AP402/1000000*(1+CEG_RevAdj)</f>
        <v>0</v>
      </c>
      <c r="AQ403" s="8" t="n">
        <f aca="false">AQ398*INDEX(Prices!AQ:AQ,CEG_Assets!$AN$14)*CEG_Assets!$J$14*AQ402/1000000*(1+CEG_RevAdj)</f>
        <v>0</v>
      </c>
      <c r="AR403" s="8" t="n">
        <f aca="false">AR398*INDEX(Prices!AR:AR,CEG_Assets!$AN$14)*CEG_Assets!$J$14*AR402/1000000*(1+CEG_RevAdj)</f>
        <v>0</v>
      </c>
      <c r="AS403" s="8" t="n">
        <f aca="false">AS398*INDEX(Prices!AS:AS,CEG_Assets!$AN$14)*CEG_Assets!$J$14*AS402/1000000*(1+CEG_RevAdj)</f>
        <v>0</v>
      </c>
    </row>
    <row r="404" customFormat="false" ht="15" hidden="false" customHeight="false" outlineLevel="0" collapsed="false">
      <c r="A404" s="6" t="s">
        <v>441</v>
      </c>
      <c r="B404" s="6" t="s">
        <v>442</v>
      </c>
      <c r="C404" s="9" t="n">
        <f aca="false">SUM(G404:AS404)</f>
        <v>0</v>
      </c>
      <c r="G404" s="8" t="n">
        <f aca="false">(CEG_Assets!$D$14-G397)*INDEX(Prices!G:G,CEG_Assets!$AP$14)*365*CEG_Assets!$T$14*G396/1000000*(1+CEG_RevAdj)</f>
        <v>0</v>
      </c>
      <c r="H404" s="8" t="n">
        <f aca="false">(CEG_Assets!$D$14-H397)*INDEX(Prices!H:H,CEG_Assets!$AP$14)*365*CEG_Assets!$T$14*H396/1000000*(1+CEG_RevAdj)</f>
        <v>0</v>
      </c>
      <c r="I404" s="8" t="n">
        <f aca="false">(CEG_Assets!$D$14-I397)*INDEX(Prices!I:I,CEG_Assets!$AP$14)*365*CEG_Assets!$T$14*I396/1000000*(1+CEG_RevAdj)</f>
        <v>0</v>
      </c>
      <c r="J404" s="8" t="n">
        <f aca="false">(CEG_Assets!$D$14-J397)*INDEX(Prices!J:J,CEG_Assets!$AP$14)*365*CEG_Assets!$T$14*J396/1000000*(1+CEG_RevAdj)</f>
        <v>0</v>
      </c>
      <c r="K404" s="8" t="n">
        <f aca="false">(CEG_Assets!$D$14-K397)*INDEX(Prices!K:K,CEG_Assets!$AP$14)*365*CEG_Assets!$T$14*K396/1000000*(1+CEG_RevAdj)</f>
        <v>0</v>
      </c>
      <c r="L404" s="8" t="n">
        <f aca="false">(CEG_Assets!$D$14-L397)*INDEX(Prices!L:L,CEG_Assets!$AP$14)*365*CEG_Assets!$T$14*L396/1000000*(1+CEG_RevAdj)</f>
        <v>0</v>
      </c>
      <c r="M404" s="8" t="n">
        <f aca="false">(CEG_Assets!$D$14-M397)*INDEX(Prices!M:M,CEG_Assets!$AP$14)*365*CEG_Assets!$T$14*M396/1000000*(1+CEG_RevAdj)</f>
        <v>0</v>
      </c>
      <c r="N404" s="8" t="n">
        <f aca="false">(CEG_Assets!$D$14-N397)*INDEX(Prices!N:N,CEG_Assets!$AP$14)*365*CEG_Assets!$T$14*N396/1000000*(1+CEG_RevAdj)</f>
        <v>0</v>
      </c>
      <c r="O404" s="8" t="n">
        <f aca="false">(CEG_Assets!$D$14-O397)*INDEX(Prices!O:O,CEG_Assets!$AP$14)*365*CEG_Assets!$T$14*O396/1000000*(1+CEG_RevAdj)</f>
        <v>0</v>
      </c>
      <c r="P404" s="8" t="n">
        <f aca="false">(CEG_Assets!$D$14-P397)*INDEX(Prices!P:P,CEG_Assets!$AP$14)*365*CEG_Assets!$T$14*P396/1000000*(1+CEG_RevAdj)</f>
        <v>0</v>
      </c>
      <c r="Q404" s="8" t="n">
        <f aca="false">(CEG_Assets!$D$14-Q397)*INDEX(Prices!Q:Q,CEG_Assets!$AP$14)*365*CEG_Assets!$T$14*Q396/1000000*(1+CEG_RevAdj)</f>
        <v>0</v>
      </c>
      <c r="R404" s="8" t="n">
        <f aca="false">(CEG_Assets!$D$14-R397)*INDEX(Prices!R:R,CEG_Assets!$AP$14)*365*CEG_Assets!$T$14*R396/1000000*(1+CEG_RevAdj)</f>
        <v>0</v>
      </c>
      <c r="S404" s="8" t="n">
        <f aca="false">(CEG_Assets!$D$14-S397)*INDEX(Prices!S:S,CEG_Assets!$AP$14)*365*CEG_Assets!$T$14*S396/1000000*(1+CEG_RevAdj)</f>
        <v>0</v>
      </c>
      <c r="T404" s="8" t="n">
        <f aca="false">(CEG_Assets!$D$14-T397)*INDEX(Prices!T:T,CEG_Assets!$AP$14)*365*CEG_Assets!$T$14*T396/1000000*(1+CEG_RevAdj)</f>
        <v>0</v>
      </c>
      <c r="U404" s="8" t="n">
        <f aca="false">(CEG_Assets!$D$14-U397)*INDEX(Prices!U:U,CEG_Assets!$AP$14)*365*CEG_Assets!$T$14*U396/1000000*(1+CEG_RevAdj)</f>
        <v>0</v>
      </c>
      <c r="V404" s="8" t="n">
        <f aca="false">(CEG_Assets!$D$14-V397)*INDEX(Prices!V:V,CEG_Assets!$AP$14)*365*CEG_Assets!$T$14*V396/1000000*(1+CEG_RevAdj)</f>
        <v>0</v>
      </c>
      <c r="W404" s="8" t="n">
        <f aca="false">(CEG_Assets!$D$14-W397)*INDEX(Prices!W:W,CEG_Assets!$AP$14)*365*CEG_Assets!$T$14*W396/1000000*(1+CEG_RevAdj)</f>
        <v>0</v>
      </c>
      <c r="X404" s="8" t="n">
        <f aca="false">(CEG_Assets!$D$14-X397)*INDEX(Prices!X:X,CEG_Assets!$AP$14)*365*CEG_Assets!$T$14*X396/1000000*(1+CEG_RevAdj)</f>
        <v>0</v>
      </c>
      <c r="Y404" s="8" t="n">
        <f aca="false">(CEG_Assets!$D$14-Y397)*INDEX(Prices!Y:Y,CEG_Assets!$AP$14)*365*CEG_Assets!$T$14*Y396/1000000*(1+CEG_RevAdj)</f>
        <v>0</v>
      </c>
      <c r="Z404" s="8" t="n">
        <f aca="false">(CEG_Assets!$D$14-Z397)*INDEX(Prices!Z:Z,CEG_Assets!$AP$14)*365*CEG_Assets!$T$14*Z396/1000000*(1+CEG_RevAdj)</f>
        <v>0</v>
      </c>
      <c r="AA404" s="8" t="n">
        <f aca="false">(CEG_Assets!$D$14-AA397)*INDEX(Prices!AA:AA,CEG_Assets!$AP$14)*365*CEG_Assets!$T$14*AA396/1000000*(1+CEG_RevAdj)</f>
        <v>0</v>
      </c>
      <c r="AB404" s="8" t="n">
        <f aca="false">(CEG_Assets!$D$14-AB397)*INDEX(Prices!AB:AB,CEG_Assets!$AP$14)*365*CEG_Assets!$T$14*AB396/1000000*(1+CEG_RevAdj)</f>
        <v>0</v>
      </c>
      <c r="AC404" s="8" t="n">
        <f aca="false">(CEG_Assets!$D$14-AC397)*INDEX(Prices!AC:AC,CEG_Assets!$AP$14)*365*CEG_Assets!$T$14*AC396/1000000*(1+CEG_RevAdj)</f>
        <v>0</v>
      </c>
      <c r="AD404" s="8" t="n">
        <f aca="false">(CEG_Assets!$D$14-AD397)*INDEX(Prices!AD:AD,CEG_Assets!$AP$14)*365*CEG_Assets!$T$14*AD396/1000000*(1+CEG_RevAdj)</f>
        <v>0</v>
      </c>
      <c r="AE404" s="8" t="n">
        <f aca="false">(CEG_Assets!$D$14-AE397)*INDEX(Prices!AE:AE,CEG_Assets!$AP$14)*365*CEG_Assets!$T$14*AE396/1000000*(1+CEG_RevAdj)</f>
        <v>0</v>
      </c>
      <c r="AF404" s="8" t="n">
        <f aca="false">(CEG_Assets!$D$14-AF397)*INDEX(Prices!AF:AF,CEG_Assets!$AP$14)*365*CEG_Assets!$T$14*AF396/1000000*(1+CEG_RevAdj)</f>
        <v>0</v>
      </c>
      <c r="AG404" s="8" t="n">
        <f aca="false">(CEG_Assets!$D$14-AG397)*INDEX(Prices!AG:AG,CEG_Assets!$AP$14)*365*CEG_Assets!$T$14*AG396/1000000*(1+CEG_RevAdj)</f>
        <v>0</v>
      </c>
      <c r="AH404" s="8" t="n">
        <f aca="false">(CEG_Assets!$D$14-AH397)*INDEX(Prices!AH:AH,CEG_Assets!$AP$14)*365*CEG_Assets!$T$14*AH396/1000000*(1+CEG_RevAdj)</f>
        <v>0</v>
      </c>
      <c r="AI404" s="8" t="n">
        <f aca="false">(CEG_Assets!$D$14-AI397)*INDEX(Prices!AI:AI,CEG_Assets!$AP$14)*365*CEG_Assets!$T$14*AI396/1000000*(1+CEG_RevAdj)</f>
        <v>0</v>
      </c>
      <c r="AJ404" s="8" t="n">
        <f aca="false">(CEG_Assets!$D$14-AJ397)*INDEX(Prices!AJ:AJ,CEG_Assets!$AP$14)*365*CEG_Assets!$T$14*AJ396/1000000*(1+CEG_RevAdj)</f>
        <v>0</v>
      </c>
      <c r="AK404" s="8" t="n">
        <f aca="false">(CEG_Assets!$D$14-AK397)*INDEX(Prices!AK:AK,CEG_Assets!$AP$14)*365*CEG_Assets!$T$14*AK396/1000000*(1+CEG_RevAdj)</f>
        <v>0</v>
      </c>
      <c r="AL404" s="8" t="n">
        <f aca="false">(CEG_Assets!$D$14-AL397)*INDEX(Prices!AL:AL,CEG_Assets!$AP$14)*365*CEG_Assets!$T$14*AL396/1000000*(1+CEG_RevAdj)</f>
        <v>0</v>
      </c>
      <c r="AM404" s="8" t="n">
        <f aca="false">(CEG_Assets!$D$14-AM397)*INDEX(Prices!AM:AM,CEG_Assets!$AP$14)*365*CEG_Assets!$T$14*AM396/1000000*(1+CEG_RevAdj)</f>
        <v>0</v>
      </c>
      <c r="AN404" s="8" t="n">
        <f aca="false">(CEG_Assets!$D$14-AN397)*INDEX(Prices!AN:AN,CEG_Assets!$AP$14)*365*CEG_Assets!$T$14*AN396/1000000*(1+CEG_RevAdj)</f>
        <v>0</v>
      </c>
      <c r="AO404" s="8" t="n">
        <f aca="false">(CEG_Assets!$D$14-AO397)*INDEX(Prices!AO:AO,CEG_Assets!$AP$14)*365*CEG_Assets!$T$14*AO396/1000000*(1+CEG_RevAdj)</f>
        <v>0</v>
      </c>
      <c r="AP404" s="8" t="n">
        <f aca="false">(CEG_Assets!$D$14-AP397)*INDEX(Prices!AP:AP,CEG_Assets!$AP$14)*365*CEG_Assets!$T$14*AP396/1000000*(1+CEG_RevAdj)</f>
        <v>0</v>
      </c>
      <c r="AQ404" s="8" t="n">
        <f aca="false">(CEG_Assets!$D$14-AQ397)*INDEX(Prices!AQ:AQ,CEG_Assets!$AP$14)*365*CEG_Assets!$T$14*AQ396/1000000*(1+CEG_RevAdj)</f>
        <v>0</v>
      </c>
      <c r="AR404" s="8" t="n">
        <f aca="false">(CEG_Assets!$D$14-AR397)*INDEX(Prices!AR:AR,CEG_Assets!$AP$14)*365*CEG_Assets!$T$14*AR396/1000000*(1+CEG_RevAdj)</f>
        <v>0</v>
      </c>
      <c r="AS404" s="8" t="n">
        <f aca="false">(CEG_Assets!$D$14-AS397)*INDEX(Prices!AS:AS,CEG_Assets!$AP$14)*365*CEG_Assets!$T$14*AS396/1000000*(1+CEG_RevAdj)</f>
        <v>0</v>
      </c>
    </row>
    <row r="405" customFormat="false" ht="15" hidden="false" customHeight="false" outlineLevel="0" collapsed="false">
      <c r="A405" s="6" t="s">
        <v>443</v>
      </c>
      <c r="B405" s="6" t="s">
        <v>444</v>
      </c>
      <c r="C405" s="9" t="n">
        <f aca="false">SUM(G405:AS405)</f>
        <v>0</v>
      </c>
      <c r="G405" s="8" t="n">
        <f aca="false">G399*(CEG_Assets!$AD$14+CEG_PPAAdj)/1000000*(1+CEG_RevAdj)</f>
        <v>0</v>
      </c>
      <c r="H405" s="8" t="n">
        <f aca="false">H399*(CEG_Assets!$AD$14+CEG_PPAAdj)/1000000*(1+CEG_RevAdj)</f>
        <v>0</v>
      </c>
      <c r="I405" s="8" t="n">
        <f aca="false">I399*(CEG_Assets!$AD$14+CEG_PPAAdj)/1000000*(1+CEG_RevAdj)</f>
        <v>0</v>
      </c>
      <c r="J405" s="8" t="n">
        <f aca="false">J399*(CEG_Assets!$AD$14+CEG_PPAAdj)/1000000*(1+CEG_RevAdj)</f>
        <v>0</v>
      </c>
      <c r="K405" s="8" t="n">
        <f aca="false">K399*(CEG_Assets!$AD$14+CEG_PPAAdj)/1000000*(1+CEG_RevAdj)</f>
        <v>0</v>
      </c>
      <c r="L405" s="8" t="n">
        <f aca="false">L399*(CEG_Assets!$AD$14+CEG_PPAAdj)/1000000*(1+CEG_RevAdj)</f>
        <v>0</v>
      </c>
      <c r="M405" s="8" t="n">
        <f aca="false">M399*(CEG_Assets!$AD$14+CEG_PPAAdj)/1000000*(1+CEG_RevAdj)</f>
        <v>0</v>
      </c>
      <c r="N405" s="8" t="n">
        <f aca="false">N399*(CEG_Assets!$AD$14+CEG_PPAAdj)/1000000*(1+CEG_RevAdj)</f>
        <v>0</v>
      </c>
      <c r="O405" s="8" t="n">
        <f aca="false">O399*(CEG_Assets!$AD$14+CEG_PPAAdj)/1000000*(1+CEG_RevAdj)</f>
        <v>0</v>
      </c>
      <c r="P405" s="8" t="n">
        <f aca="false">P399*(CEG_Assets!$AD$14+CEG_PPAAdj)/1000000*(1+CEG_RevAdj)</f>
        <v>0</v>
      </c>
      <c r="Q405" s="8" t="n">
        <f aca="false">Q399*(CEG_Assets!$AD$14+CEG_PPAAdj)/1000000*(1+CEG_RevAdj)</f>
        <v>0</v>
      </c>
      <c r="R405" s="8" t="n">
        <f aca="false">R399*(CEG_Assets!$AD$14+CEG_PPAAdj)/1000000*(1+CEG_RevAdj)</f>
        <v>0</v>
      </c>
      <c r="S405" s="8" t="n">
        <f aca="false">S399*(CEG_Assets!$AD$14+CEG_PPAAdj)/1000000*(1+CEG_RevAdj)</f>
        <v>0</v>
      </c>
      <c r="T405" s="8" t="n">
        <f aca="false">T399*(CEG_Assets!$AD$14+CEG_PPAAdj)/1000000*(1+CEG_RevAdj)</f>
        <v>0</v>
      </c>
      <c r="U405" s="8" t="n">
        <f aca="false">U399*(CEG_Assets!$AD$14+CEG_PPAAdj)/1000000*(1+CEG_RevAdj)</f>
        <v>0</v>
      </c>
      <c r="V405" s="8" t="n">
        <f aca="false">V399*(CEG_Assets!$AD$14+CEG_PPAAdj)/1000000*(1+CEG_RevAdj)</f>
        <v>0</v>
      </c>
      <c r="W405" s="8" t="n">
        <f aca="false">W399*(CEG_Assets!$AD$14+CEG_PPAAdj)/1000000*(1+CEG_RevAdj)</f>
        <v>0</v>
      </c>
      <c r="X405" s="8" t="n">
        <f aca="false">X399*(CEG_Assets!$AD$14+CEG_PPAAdj)/1000000*(1+CEG_RevAdj)</f>
        <v>0</v>
      </c>
      <c r="Y405" s="8" t="n">
        <f aca="false">Y399*(CEG_Assets!$AD$14+CEG_PPAAdj)/1000000*(1+CEG_RevAdj)</f>
        <v>0</v>
      </c>
      <c r="Z405" s="8" t="n">
        <f aca="false">Z399*(CEG_Assets!$AD$14+CEG_PPAAdj)/1000000*(1+CEG_RevAdj)</f>
        <v>0</v>
      </c>
      <c r="AA405" s="8" t="n">
        <f aca="false">AA399*(CEG_Assets!$AD$14+CEG_PPAAdj)/1000000*(1+CEG_RevAdj)</f>
        <v>0</v>
      </c>
      <c r="AB405" s="8" t="n">
        <f aca="false">AB399*(CEG_Assets!$AD$14+CEG_PPAAdj)/1000000*(1+CEG_RevAdj)</f>
        <v>0</v>
      </c>
      <c r="AC405" s="8" t="n">
        <f aca="false">AC399*(CEG_Assets!$AD$14+CEG_PPAAdj)/1000000*(1+CEG_RevAdj)</f>
        <v>0</v>
      </c>
      <c r="AD405" s="8" t="n">
        <f aca="false">AD399*(CEG_Assets!$AD$14+CEG_PPAAdj)/1000000*(1+CEG_RevAdj)</f>
        <v>0</v>
      </c>
      <c r="AE405" s="8" t="n">
        <f aca="false">AE399*(CEG_Assets!$AD$14+CEG_PPAAdj)/1000000*(1+CEG_RevAdj)</f>
        <v>0</v>
      </c>
      <c r="AF405" s="8" t="n">
        <f aca="false">AF399*(CEG_Assets!$AD$14+CEG_PPAAdj)/1000000*(1+CEG_RevAdj)</f>
        <v>0</v>
      </c>
      <c r="AG405" s="8" t="n">
        <f aca="false">AG399*(CEG_Assets!$AD$14+CEG_PPAAdj)/1000000*(1+CEG_RevAdj)</f>
        <v>0</v>
      </c>
      <c r="AH405" s="8" t="n">
        <f aca="false">AH399*(CEG_Assets!$AD$14+CEG_PPAAdj)/1000000*(1+CEG_RevAdj)</f>
        <v>0</v>
      </c>
      <c r="AI405" s="8" t="n">
        <f aca="false">AI399*(CEG_Assets!$AD$14+CEG_PPAAdj)/1000000*(1+CEG_RevAdj)</f>
        <v>0</v>
      </c>
      <c r="AJ405" s="8" t="n">
        <f aca="false">AJ399*(CEG_Assets!$AD$14+CEG_PPAAdj)/1000000*(1+CEG_RevAdj)</f>
        <v>0</v>
      </c>
      <c r="AK405" s="8" t="n">
        <f aca="false">AK399*(CEG_Assets!$AD$14+CEG_PPAAdj)/1000000*(1+CEG_RevAdj)</f>
        <v>0</v>
      </c>
      <c r="AL405" s="8" t="n">
        <f aca="false">AL399*(CEG_Assets!$AD$14+CEG_PPAAdj)/1000000*(1+CEG_RevAdj)</f>
        <v>0</v>
      </c>
      <c r="AM405" s="8" t="n">
        <f aca="false">AM399*(CEG_Assets!$AD$14+CEG_PPAAdj)/1000000*(1+CEG_RevAdj)</f>
        <v>0</v>
      </c>
      <c r="AN405" s="8" t="n">
        <f aca="false">AN399*(CEG_Assets!$AD$14+CEG_PPAAdj)/1000000*(1+CEG_RevAdj)</f>
        <v>0</v>
      </c>
      <c r="AO405" s="8" t="n">
        <f aca="false">AO399*(CEG_Assets!$AD$14+CEG_PPAAdj)/1000000*(1+CEG_RevAdj)</f>
        <v>0</v>
      </c>
      <c r="AP405" s="8" t="n">
        <f aca="false">AP399*(CEG_Assets!$AD$14+CEG_PPAAdj)/1000000*(1+CEG_RevAdj)</f>
        <v>0</v>
      </c>
      <c r="AQ405" s="8" t="n">
        <f aca="false">AQ399*(CEG_Assets!$AD$14+CEG_PPAAdj)/1000000*(1+CEG_RevAdj)</f>
        <v>0</v>
      </c>
      <c r="AR405" s="8" t="n">
        <f aca="false">AR399*(CEG_Assets!$AD$14+CEG_PPAAdj)/1000000*(1+CEG_RevAdj)</f>
        <v>0</v>
      </c>
      <c r="AS405" s="8" t="n">
        <f aca="false">AS399*(CEG_Assets!$AD$14+CEG_PPAAdj)/1000000*(1+CEG_RevAdj)</f>
        <v>0</v>
      </c>
    </row>
    <row r="406" customFormat="false" ht="15" hidden="false" customHeight="false" outlineLevel="0" collapsed="false">
      <c r="A406" s="6" t="s">
        <v>445</v>
      </c>
      <c r="B406" s="6" t="s">
        <v>446</v>
      </c>
      <c r="C406" s="9" t="n">
        <f aca="false">SUM(G406:AS406)</f>
        <v>0</v>
      </c>
      <c r="G406" s="8" t="n">
        <f aca="false">IF(G$3&lt;=CEG_Assets!$V$14,G398*CEG_Assets!$U$14,0)/1000000*(1+CEG_RevAdj)</f>
        <v>0</v>
      </c>
      <c r="H406" s="8" t="n">
        <f aca="false">IF(H$3&lt;=CEG_Assets!$V$14,H398*CEG_Assets!$U$14,0)/1000000*(1+CEG_RevAdj)</f>
        <v>0</v>
      </c>
      <c r="I406" s="8" t="n">
        <f aca="false">IF(I$3&lt;=CEG_Assets!$V$14,I398*CEG_Assets!$U$14,0)/1000000*(1+CEG_RevAdj)</f>
        <v>0</v>
      </c>
      <c r="J406" s="8" t="n">
        <f aca="false">IF(J$3&lt;=CEG_Assets!$V$14,J398*CEG_Assets!$U$14,0)/1000000*(1+CEG_RevAdj)</f>
        <v>0</v>
      </c>
      <c r="K406" s="8" t="n">
        <f aca="false">IF(K$3&lt;=CEG_Assets!$V$14,K398*CEG_Assets!$U$14,0)/1000000*(1+CEG_RevAdj)</f>
        <v>0</v>
      </c>
      <c r="L406" s="8" t="n">
        <f aca="false">IF(L$3&lt;=CEG_Assets!$V$14,L398*CEG_Assets!$U$14,0)/1000000*(1+CEG_RevAdj)</f>
        <v>0</v>
      </c>
      <c r="M406" s="8" t="n">
        <f aca="false">IF(M$3&lt;=CEG_Assets!$V$14,M398*CEG_Assets!$U$14,0)/1000000*(1+CEG_RevAdj)</f>
        <v>0</v>
      </c>
      <c r="N406" s="8" t="n">
        <f aca="false">IF(N$3&lt;=CEG_Assets!$V$14,N398*CEG_Assets!$U$14,0)/1000000*(1+CEG_RevAdj)</f>
        <v>0</v>
      </c>
      <c r="O406" s="8" t="n">
        <f aca="false">IF(O$3&lt;=CEG_Assets!$V$14,O398*CEG_Assets!$U$14,0)/1000000*(1+CEG_RevAdj)</f>
        <v>0</v>
      </c>
      <c r="P406" s="8" t="n">
        <f aca="false">IF(P$3&lt;=CEG_Assets!$V$14,P398*CEG_Assets!$U$14,0)/1000000*(1+CEG_RevAdj)</f>
        <v>0</v>
      </c>
      <c r="Q406" s="8" t="n">
        <f aca="false">IF(Q$3&lt;=CEG_Assets!$V$14,Q398*CEG_Assets!$U$14,0)/1000000*(1+CEG_RevAdj)</f>
        <v>0</v>
      </c>
      <c r="R406" s="8" t="n">
        <f aca="false">IF(R$3&lt;=CEG_Assets!$V$14,R398*CEG_Assets!$U$14,0)/1000000*(1+CEG_RevAdj)</f>
        <v>0</v>
      </c>
      <c r="S406" s="8" t="n">
        <f aca="false">IF(S$3&lt;=CEG_Assets!$V$14,S398*CEG_Assets!$U$14,0)/1000000*(1+CEG_RevAdj)</f>
        <v>0</v>
      </c>
      <c r="T406" s="8" t="n">
        <f aca="false">IF(T$3&lt;=CEG_Assets!$V$14,T398*CEG_Assets!$U$14,0)/1000000*(1+CEG_RevAdj)</f>
        <v>0</v>
      </c>
      <c r="U406" s="8" t="n">
        <f aca="false">IF(U$3&lt;=CEG_Assets!$V$14,U398*CEG_Assets!$U$14,0)/1000000*(1+CEG_RevAdj)</f>
        <v>0</v>
      </c>
      <c r="V406" s="8" t="n">
        <f aca="false">IF(V$3&lt;=CEG_Assets!$V$14,V398*CEG_Assets!$U$14,0)/1000000*(1+CEG_RevAdj)</f>
        <v>0</v>
      </c>
      <c r="W406" s="8" t="n">
        <f aca="false">IF(W$3&lt;=CEG_Assets!$V$14,W398*CEG_Assets!$U$14,0)/1000000*(1+CEG_RevAdj)</f>
        <v>0</v>
      </c>
      <c r="X406" s="8" t="n">
        <f aca="false">IF(X$3&lt;=CEG_Assets!$V$14,X398*CEG_Assets!$U$14,0)/1000000*(1+CEG_RevAdj)</f>
        <v>0</v>
      </c>
      <c r="Y406" s="8" t="n">
        <f aca="false">IF(Y$3&lt;=CEG_Assets!$V$14,Y398*CEG_Assets!$U$14,0)/1000000*(1+CEG_RevAdj)</f>
        <v>0</v>
      </c>
      <c r="Z406" s="8" t="n">
        <f aca="false">IF(Z$3&lt;=CEG_Assets!$V$14,Z398*CEG_Assets!$U$14,0)/1000000*(1+CEG_RevAdj)</f>
        <v>0</v>
      </c>
      <c r="AA406" s="8" t="n">
        <f aca="false">IF(AA$3&lt;=CEG_Assets!$V$14,AA398*CEG_Assets!$U$14,0)/1000000*(1+CEG_RevAdj)</f>
        <v>0</v>
      </c>
      <c r="AB406" s="8" t="n">
        <f aca="false">IF(AB$3&lt;=CEG_Assets!$V$14,AB398*CEG_Assets!$U$14,0)/1000000*(1+CEG_RevAdj)</f>
        <v>0</v>
      </c>
      <c r="AC406" s="8" t="n">
        <f aca="false">IF(AC$3&lt;=CEG_Assets!$V$14,AC398*CEG_Assets!$U$14,0)/1000000*(1+CEG_RevAdj)</f>
        <v>0</v>
      </c>
      <c r="AD406" s="8" t="n">
        <f aca="false">IF(AD$3&lt;=CEG_Assets!$V$14,AD398*CEG_Assets!$U$14,0)/1000000*(1+CEG_RevAdj)</f>
        <v>0</v>
      </c>
      <c r="AE406" s="8" t="n">
        <f aca="false">IF(AE$3&lt;=CEG_Assets!$V$14,AE398*CEG_Assets!$U$14,0)/1000000*(1+CEG_RevAdj)</f>
        <v>0</v>
      </c>
      <c r="AF406" s="8" t="n">
        <f aca="false">IF(AF$3&lt;=CEG_Assets!$V$14,AF398*CEG_Assets!$U$14,0)/1000000*(1+CEG_RevAdj)</f>
        <v>0</v>
      </c>
      <c r="AG406" s="8" t="n">
        <f aca="false">IF(AG$3&lt;=CEG_Assets!$V$14,AG398*CEG_Assets!$U$14,0)/1000000*(1+CEG_RevAdj)</f>
        <v>0</v>
      </c>
      <c r="AH406" s="8" t="n">
        <f aca="false">IF(AH$3&lt;=CEG_Assets!$V$14,AH398*CEG_Assets!$U$14,0)/1000000*(1+CEG_RevAdj)</f>
        <v>0</v>
      </c>
      <c r="AI406" s="8" t="n">
        <f aca="false">IF(AI$3&lt;=CEG_Assets!$V$14,AI398*CEG_Assets!$U$14,0)/1000000*(1+CEG_RevAdj)</f>
        <v>0</v>
      </c>
      <c r="AJ406" s="8" t="n">
        <f aca="false">IF(AJ$3&lt;=CEG_Assets!$V$14,AJ398*CEG_Assets!$U$14,0)/1000000*(1+CEG_RevAdj)</f>
        <v>0</v>
      </c>
      <c r="AK406" s="8" t="n">
        <f aca="false">IF(AK$3&lt;=CEG_Assets!$V$14,AK398*CEG_Assets!$U$14,0)/1000000*(1+CEG_RevAdj)</f>
        <v>0</v>
      </c>
      <c r="AL406" s="8" t="n">
        <f aca="false">IF(AL$3&lt;=CEG_Assets!$V$14,AL398*CEG_Assets!$U$14,0)/1000000*(1+CEG_RevAdj)</f>
        <v>0</v>
      </c>
      <c r="AM406" s="8" t="n">
        <f aca="false">IF(AM$3&lt;=CEG_Assets!$V$14,AM398*CEG_Assets!$U$14,0)/1000000*(1+CEG_RevAdj)</f>
        <v>0</v>
      </c>
      <c r="AN406" s="8" t="n">
        <f aca="false">IF(AN$3&lt;=CEG_Assets!$V$14,AN398*CEG_Assets!$U$14,0)/1000000*(1+CEG_RevAdj)</f>
        <v>0</v>
      </c>
      <c r="AO406" s="8" t="n">
        <f aca="false">IF(AO$3&lt;=CEG_Assets!$V$14,AO398*CEG_Assets!$U$14,0)/1000000*(1+CEG_RevAdj)</f>
        <v>0</v>
      </c>
      <c r="AP406" s="8" t="n">
        <f aca="false">IF(AP$3&lt;=CEG_Assets!$V$14,AP398*CEG_Assets!$U$14,0)/1000000*(1+CEG_RevAdj)</f>
        <v>0</v>
      </c>
      <c r="AQ406" s="8" t="n">
        <f aca="false">IF(AQ$3&lt;=CEG_Assets!$V$14,AQ398*CEG_Assets!$U$14,0)/1000000*(1+CEG_RevAdj)</f>
        <v>0</v>
      </c>
      <c r="AR406" s="8" t="n">
        <f aca="false">IF(AR$3&lt;=CEG_Assets!$V$14,AR398*CEG_Assets!$U$14,0)/1000000*(1+CEG_RevAdj)</f>
        <v>0</v>
      </c>
      <c r="AS406" s="8" t="n">
        <f aca="false">IF(AS$3&lt;=CEG_Assets!$V$14,AS398*CEG_Assets!$U$14,0)/1000000*(1+CEG_RevAdj)</f>
        <v>0</v>
      </c>
    </row>
    <row r="407" customFormat="false" ht="15" hidden="false" customHeight="false" outlineLevel="0" collapsed="false">
      <c r="A407" s="6" t="s">
        <v>447</v>
      </c>
      <c r="B407" s="6" t="s">
        <v>448</v>
      </c>
      <c r="C407" s="9" t="n">
        <f aca="false">SUM(G407:AS407)</f>
        <v>426.685110849344</v>
      </c>
      <c r="G407" s="8" t="n">
        <f aca="false">G403+G404+G405+G406</f>
        <v>25.7544</v>
      </c>
      <c r="H407" s="8" t="n">
        <f aca="false">H403+H404+H405+H406</f>
        <v>26.8056</v>
      </c>
      <c r="I407" s="8" t="n">
        <f aca="false">I403+I404+I405+I406</f>
        <v>27.62381739312</v>
      </c>
      <c r="J407" s="8" t="n">
        <f aca="false">J403+J404+J405+J406</f>
        <v>28.4747634819648</v>
      </c>
      <c r="K407" s="8" t="n">
        <f aca="false">K403+K404+K405+K406</f>
        <v>29.0442587516041</v>
      </c>
      <c r="L407" s="8" t="n">
        <f aca="false">L403+L404+L405+L406</f>
        <v>29.6251439266362</v>
      </c>
      <c r="M407" s="8" t="n">
        <f aca="false">M403+M404+M405+M406</f>
        <v>30.2176468051689</v>
      </c>
      <c r="N407" s="8" t="n">
        <f aca="false">N403+N404+N405+N406</f>
        <v>30.8219997412723</v>
      </c>
      <c r="O407" s="8" t="n">
        <f aca="false">O403+O404+O405+O406</f>
        <v>31.4384397360977</v>
      </c>
      <c r="P407" s="8" t="n">
        <f aca="false">P403+P404+P405+P406</f>
        <v>32.0672085308197</v>
      </c>
      <c r="Q407" s="8" t="n">
        <f aca="false">Q403+Q404+Q405+Q406</f>
        <v>32.7085527014361</v>
      </c>
      <c r="R407" s="8" t="n">
        <f aca="false">R403+R404+R405+R406</f>
        <v>33.3627237554648</v>
      </c>
      <c r="S407" s="8" t="n">
        <f aca="false">S403+S404+S405+S406</f>
        <v>34.0299782305741</v>
      </c>
      <c r="T407" s="8" t="n">
        <f aca="false">T403+T404+T405+T406</f>
        <v>34.7105777951856</v>
      </c>
      <c r="U407" s="8" t="n">
        <f aca="false">U403+U404+U405+U406</f>
        <v>0</v>
      </c>
      <c r="V407" s="8" t="n">
        <f aca="false">V403+V404+V405+V406</f>
        <v>0</v>
      </c>
      <c r="W407" s="8" t="n">
        <f aca="false">W403+W404+W405+W406</f>
        <v>0</v>
      </c>
      <c r="X407" s="8" t="n">
        <f aca="false">X403+X404+X405+X406</f>
        <v>0</v>
      </c>
      <c r="Y407" s="8" t="n">
        <f aca="false">Y403+Y404+Y405+Y406</f>
        <v>0</v>
      </c>
      <c r="Z407" s="8" t="n">
        <f aca="false">Z403+Z404+Z405+Z406</f>
        <v>0</v>
      </c>
      <c r="AA407" s="8" t="n">
        <f aca="false">AA403+AA404+AA405+AA406</f>
        <v>0</v>
      </c>
      <c r="AB407" s="8" t="n">
        <f aca="false">AB403+AB404+AB405+AB406</f>
        <v>0</v>
      </c>
      <c r="AC407" s="8" t="n">
        <f aca="false">AC403+AC404+AC405+AC406</f>
        <v>0</v>
      </c>
      <c r="AD407" s="8" t="n">
        <f aca="false">AD403+AD404+AD405+AD406</f>
        <v>0</v>
      </c>
      <c r="AE407" s="8" t="n">
        <f aca="false">AE403+AE404+AE405+AE406</f>
        <v>0</v>
      </c>
      <c r="AF407" s="8" t="n">
        <f aca="false">AF403+AF404+AF405+AF406</f>
        <v>0</v>
      </c>
      <c r="AG407" s="8" t="n">
        <f aca="false">AG403+AG404+AG405+AG406</f>
        <v>0</v>
      </c>
      <c r="AH407" s="8" t="n">
        <f aca="false">AH403+AH404+AH405+AH406</f>
        <v>0</v>
      </c>
      <c r="AI407" s="8" t="n">
        <f aca="false">AI403+AI404+AI405+AI406</f>
        <v>0</v>
      </c>
      <c r="AJ407" s="8" t="n">
        <f aca="false">AJ403+AJ404+AJ405+AJ406</f>
        <v>0</v>
      </c>
      <c r="AK407" s="8" t="n">
        <f aca="false">AK403+AK404+AK405+AK406</f>
        <v>0</v>
      </c>
      <c r="AL407" s="8" t="n">
        <f aca="false">AL403+AL404+AL405+AL406</f>
        <v>0</v>
      </c>
      <c r="AM407" s="8" t="n">
        <f aca="false">AM403+AM404+AM405+AM406</f>
        <v>0</v>
      </c>
      <c r="AN407" s="8" t="n">
        <f aca="false">AN403+AN404+AN405+AN406</f>
        <v>0</v>
      </c>
      <c r="AO407" s="8" t="n">
        <f aca="false">AO403+AO404+AO405+AO406</f>
        <v>0</v>
      </c>
      <c r="AP407" s="8" t="n">
        <f aca="false">AP403+AP404+AP405+AP406</f>
        <v>0</v>
      </c>
      <c r="AQ407" s="8" t="n">
        <f aca="false">AQ403+AQ404+AQ405+AQ406</f>
        <v>0</v>
      </c>
      <c r="AR407" s="8" t="n">
        <f aca="false">AR403+AR404+AR405+AR406</f>
        <v>0</v>
      </c>
      <c r="AS407" s="8" t="n">
        <f aca="false">AS403+AS404+AS405+AS406</f>
        <v>0</v>
      </c>
    </row>
    <row r="408" customFormat="false" ht="15" hidden="false" customHeight="false" outlineLevel="0" collapsed="false">
      <c r="A408" s="6" t="s">
        <v>449</v>
      </c>
      <c r="B408" s="6" t="s">
        <v>450</v>
      </c>
      <c r="C408" s="9" t="n">
        <f aca="false">SUM(G408:AS408)</f>
        <v>165.940183841602</v>
      </c>
      <c r="G408" s="8" t="n">
        <f aca="false">((CEG_Assets!$K$14*G400+CEG_Assets!$M$14*G$4)*G398*G402+CEG_Assets!$N$14*(1+CEG_Assets!$Q$14)^(G$3-2026)*(G398+G399))/1000000*(1+CEG_FuelAdj)</f>
        <v>10.19148912</v>
      </c>
      <c r="H408" s="8" t="n">
        <f aca="false">((CEG_Assets!$K$14*H400+CEG_Assets!$M$14*H$4)*H398*H402+CEG_Assets!$N$14*(1+CEG_Assets!$Q$14)^(H$3-2026)*(H398+H399))/1000000*(1+CEG_FuelAdj)</f>
        <v>10.3953189024</v>
      </c>
      <c r="I408" s="8" t="n">
        <f aca="false">((CEG_Assets!$K$14*I400+CEG_Assets!$M$14*I$4)*I398*I402+CEG_Assets!$N$14*(1+CEG_Assets!$Q$14)^(I$3-2026)*(I398+I399))/1000000*(1+CEG_FuelAdj)</f>
        <v>10.837489068864</v>
      </c>
      <c r="J408" s="8" t="n">
        <f aca="false">((CEG_Assets!$K$14*J400+CEG_Assets!$M$14*J$4)*J398*J402+CEG_Assets!$N$14*(1+CEG_Assets!$Q$14)^(J$3-2026)*(J398+J399))/1000000*(1+CEG_FuelAdj)</f>
        <v>11.0542388502413</v>
      </c>
      <c r="K408" s="8" t="n">
        <f aca="false">((CEG_Assets!$K$14*K400+CEG_Assets!$M$14*K$4)*K398*K402+CEG_Assets!$N$14*(1+CEG_Assets!$Q$14)^(K$3-2026)*(K398+K399))/1000000*(1+CEG_FuelAdj)</f>
        <v>11.2753236272461</v>
      </c>
      <c r="L408" s="8" t="n">
        <f aca="false">((CEG_Assets!$K$14*L400+CEG_Assets!$M$14*L$4)*L398*L402+CEG_Assets!$N$14*(1+CEG_Assets!$Q$14)^(L$3-2026)*(L398+L399))/1000000*(1+CEG_FuelAdj)</f>
        <v>11.500830099791</v>
      </c>
      <c r="M408" s="8" t="n">
        <f aca="false">((CEG_Assets!$K$14*M400+CEG_Assets!$M$14*M$4)*M398*M402+CEG_Assets!$N$14*(1+CEG_Assets!$Q$14)^(M$3-2026)*(M398+M399))/1000000*(1+CEG_FuelAdj)</f>
        <v>11.7308467017868</v>
      </c>
      <c r="N408" s="8" t="n">
        <f aca="false">((CEG_Assets!$K$14*N400+CEG_Assets!$M$14*N$4)*N398*N402+CEG_Assets!$N$14*(1+CEG_Assets!$Q$14)^(N$3-2026)*(N398+N399))/1000000*(1+CEG_FuelAdj)</f>
        <v>11.9654636358226</v>
      </c>
      <c r="O408" s="8" t="n">
        <f aca="false">((CEG_Assets!$K$14*O400+CEG_Assets!$M$14*O$4)*O398*O402+CEG_Assets!$N$14*(1+CEG_Assets!$Q$14)^(O$3-2026)*(O398+O399))/1000000*(1+CEG_FuelAdj)</f>
        <v>12.204772908539</v>
      </c>
      <c r="P408" s="8" t="n">
        <f aca="false">((CEG_Assets!$K$14*P400+CEG_Assets!$M$14*P$4)*P398*P402+CEG_Assets!$N$14*(1+CEG_Assets!$Q$14)^(P$3-2026)*(P398+P399))/1000000*(1+CEG_FuelAdj)</f>
        <v>12.4488683667098</v>
      </c>
      <c r="Q408" s="8" t="n">
        <f aca="false">((CEG_Assets!$K$14*Q400+CEG_Assets!$M$14*Q$4)*Q398*Q402+CEG_Assets!$N$14*(1+CEG_Assets!$Q$14)^(Q$3-2026)*(Q398+Q399))/1000000*(1+CEG_FuelAdj)</f>
        <v>12.697845734044</v>
      </c>
      <c r="R408" s="8" t="n">
        <f aca="false">((CEG_Assets!$K$14*R400+CEG_Assets!$M$14*R$4)*R398*R402+CEG_Assets!$N$14*(1+CEG_Assets!$Q$14)^(R$3-2026)*(R398+R399))/1000000*(1+CEG_FuelAdj)</f>
        <v>12.9518026487249</v>
      </c>
      <c r="S408" s="8" t="n">
        <f aca="false">((CEG_Assets!$K$14*S400+CEG_Assets!$M$14*S$4)*S398*S402+CEG_Assets!$N$14*(1+CEG_Assets!$Q$14)^(S$3-2026)*(S398+S399))/1000000*(1+CEG_FuelAdj)</f>
        <v>13.2108387016994</v>
      </c>
      <c r="T408" s="8" t="n">
        <f aca="false">((CEG_Assets!$K$14*T400+CEG_Assets!$M$14*T$4)*T398*T402+CEG_Assets!$N$14*(1+CEG_Assets!$Q$14)^(T$3-2026)*(T398+T399))/1000000*(1+CEG_FuelAdj)</f>
        <v>13.4750554757334</v>
      </c>
      <c r="U408" s="8" t="n">
        <f aca="false">((CEG_Assets!$K$14*U400+CEG_Assets!$M$14*U$4)*U398*U402+CEG_Assets!$N$14*(1+CEG_Assets!$Q$14)^(U$3-2026)*(U398+U399))/1000000*(1+CEG_FuelAdj)</f>
        <v>0</v>
      </c>
      <c r="V408" s="8" t="n">
        <f aca="false">((CEG_Assets!$K$14*V400+CEG_Assets!$M$14*V$4)*V398*V402+CEG_Assets!$N$14*(1+CEG_Assets!$Q$14)^(V$3-2026)*(V398+V399))/1000000*(1+CEG_FuelAdj)</f>
        <v>0</v>
      </c>
      <c r="W408" s="8" t="n">
        <f aca="false">((CEG_Assets!$K$14*W400+CEG_Assets!$M$14*W$4)*W398*W402+CEG_Assets!$N$14*(1+CEG_Assets!$Q$14)^(W$3-2026)*(W398+W399))/1000000*(1+CEG_FuelAdj)</f>
        <v>0</v>
      </c>
      <c r="X408" s="8" t="n">
        <f aca="false">((CEG_Assets!$K$14*X400+CEG_Assets!$M$14*X$4)*X398*X402+CEG_Assets!$N$14*(1+CEG_Assets!$Q$14)^(X$3-2026)*(X398+X399))/1000000*(1+CEG_FuelAdj)</f>
        <v>0</v>
      </c>
      <c r="Y408" s="8" t="n">
        <f aca="false">((CEG_Assets!$K$14*Y400+CEG_Assets!$M$14*Y$4)*Y398*Y402+CEG_Assets!$N$14*(1+CEG_Assets!$Q$14)^(Y$3-2026)*(Y398+Y399))/1000000*(1+CEG_FuelAdj)</f>
        <v>0</v>
      </c>
      <c r="Z408" s="8" t="n">
        <f aca="false">((CEG_Assets!$K$14*Z400+CEG_Assets!$M$14*Z$4)*Z398*Z402+CEG_Assets!$N$14*(1+CEG_Assets!$Q$14)^(Z$3-2026)*(Z398+Z399))/1000000*(1+CEG_FuelAdj)</f>
        <v>0</v>
      </c>
      <c r="AA408" s="8" t="n">
        <f aca="false">((CEG_Assets!$K$14*AA400+CEG_Assets!$M$14*AA$4)*AA398*AA402+CEG_Assets!$N$14*(1+CEG_Assets!$Q$14)^(AA$3-2026)*(AA398+AA399))/1000000*(1+CEG_FuelAdj)</f>
        <v>0</v>
      </c>
      <c r="AB408" s="8" t="n">
        <f aca="false">((CEG_Assets!$K$14*AB400+CEG_Assets!$M$14*AB$4)*AB398*AB402+CEG_Assets!$N$14*(1+CEG_Assets!$Q$14)^(AB$3-2026)*(AB398+AB399))/1000000*(1+CEG_FuelAdj)</f>
        <v>0</v>
      </c>
      <c r="AC408" s="8" t="n">
        <f aca="false">((CEG_Assets!$K$14*AC400+CEG_Assets!$M$14*AC$4)*AC398*AC402+CEG_Assets!$N$14*(1+CEG_Assets!$Q$14)^(AC$3-2026)*(AC398+AC399))/1000000*(1+CEG_FuelAdj)</f>
        <v>0</v>
      </c>
      <c r="AD408" s="8" t="n">
        <f aca="false">((CEG_Assets!$K$14*AD400+CEG_Assets!$M$14*AD$4)*AD398*AD402+CEG_Assets!$N$14*(1+CEG_Assets!$Q$14)^(AD$3-2026)*(AD398+AD399))/1000000*(1+CEG_FuelAdj)</f>
        <v>0</v>
      </c>
      <c r="AE408" s="8" t="n">
        <f aca="false">((CEG_Assets!$K$14*AE400+CEG_Assets!$M$14*AE$4)*AE398*AE402+CEG_Assets!$N$14*(1+CEG_Assets!$Q$14)^(AE$3-2026)*(AE398+AE399))/1000000*(1+CEG_FuelAdj)</f>
        <v>0</v>
      </c>
      <c r="AF408" s="8" t="n">
        <f aca="false">((CEG_Assets!$K$14*AF400+CEG_Assets!$M$14*AF$4)*AF398*AF402+CEG_Assets!$N$14*(1+CEG_Assets!$Q$14)^(AF$3-2026)*(AF398+AF399))/1000000*(1+CEG_FuelAdj)</f>
        <v>0</v>
      </c>
      <c r="AG408" s="8" t="n">
        <f aca="false">((CEG_Assets!$K$14*AG400+CEG_Assets!$M$14*AG$4)*AG398*AG402+CEG_Assets!$N$14*(1+CEG_Assets!$Q$14)^(AG$3-2026)*(AG398+AG399))/1000000*(1+CEG_FuelAdj)</f>
        <v>0</v>
      </c>
      <c r="AH408" s="8" t="n">
        <f aca="false">((CEG_Assets!$K$14*AH400+CEG_Assets!$M$14*AH$4)*AH398*AH402+CEG_Assets!$N$14*(1+CEG_Assets!$Q$14)^(AH$3-2026)*(AH398+AH399))/1000000*(1+CEG_FuelAdj)</f>
        <v>0</v>
      </c>
      <c r="AI408" s="8" t="n">
        <f aca="false">((CEG_Assets!$K$14*AI400+CEG_Assets!$M$14*AI$4)*AI398*AI402+CEG_Assets!$N$14*(1+CEG_Assets!$Q$14)^(AI$3-2026)*(AI398+AI399))/1000000*(1+CEG_FuelAdj)</f>
        <v>0</v>
      </c>
      <c r="AJ408" s="8" t="n">
        <f aca="false">((CEG_Assets!$K$14*AJ400+CEG_Assets!$M$14*AJ$4)*AJ398*AJ402+CEG_Assets!$N$14*(1+CEG_Assets!$Q$14)^(AJ$3-2026)*(AJ398+AJ399))/1000000*(1+CEG_FuelAdj)</f>
        <v>0</v>
      </c>
      <c r="AK408" s="8" t="n">
        <f aca="false">((CEG_Assets!$K$14*AK400+CEG_Assets!$M$14*AK$4)*AK398*AK402+CEG_Assets!$N$14*(1+CEG_Assets!$Q$14)^(AK$3-2026)*(AK398+AK399))/1000000*(1+CEG_FuelAdj)</f>
        <v>0</v>
      </c>
      <c r="AL408" s="8" t="n">
        <f aca="false">((CEG_Assets!$K$14*AL400+CEG_Assets!$M$14*AL$4)*AL398*AL402+CEG_Assets!$N$14*(1+CEG_Assets!$Q$14)^(AL$3-2026)*(AL398+AL399))/1000000*(1+CEG_FuelAdj)</f>
        <v>0</v>
      </c>
      <c r="AM408" s="8" t="n">
        <f aca="false">((CEG_Assets!$K$14*AM400+CEG_Assets!$M$14*AM$4)*AM398*AM402+CEG_Assets!$N$14*(1+CEG_Assets!$Q$14)^(AM$3-2026)*(AM398+AM399))/1000000*(1+CEG_FuelAdj)</f>
        <v>0</v>
      </c>
      <c r="AN408" s="8" t="n">
        <f aca="false">((CEG_Assets!$K$14*AN400+CEG_Assets!$M$14*AN$4)*AN398*AN402+CEG_Assets!$N$14*(1+CEG_Assets!$Q$14)^(AN$3-2026)*(AN398+AN399))/1000000*(1+CEG_FuelAdj)</f>
        <v>0</v>
      </c>
      <c r="AO408" s="8" t="n">
        <f aca="false">((CEG_Assets!$K$14*AO400+CEG_Assets!$M$14*AO$4)*AO398*AO402+CEG_Assets!$N$14*(1+CEG_Assets!$Q$14)^(AO$3-2026)*(AO398+AO399))/1000000*(1+CEG_FuelAdj)</f>
        <v>0</v>
      </c>
      <c r="AP408" s="8" t="n">
        <f aca="false">((CEG_Assets!$K$14*AP400+CEG_Assets!$M$14*AP$4)*AP398*AP402+CEG_Assets!$N$14*(1+CEG_Assets!$Q$14)^(AP$3-2026)*(AP398+AP399))/1000000*(1+CEG_FuelAdj)</f>
        <v>0</v>
      </c>
      <c r="AQ408" s="8" t="n">
        <f aca="false">((CEG_Assets!$K$14*AQ400+CEG_Assets!$M$14*AQ$4)*AQ398*AQ402+CEG_Assets!$N$14*(1+CEG_Assets!$Q$14)^(AQ$3-2026)*(AQ398+AQ399))/1000000*(1+CEG_FuelAdj)</f>
        <v>0</v>
      </c>
      <c r="AR408" s="8" t="n">
        <f aca="false">((CEG_Assets!$K$14*AR400+CEG_Assets!$M$14*AR$4)*AR398*AR402+CEG_Assets!$N$14*(1+CEG_Assets!$Q$14)^(AR$3-2026)*(AR398+AR399))/1000000*(1+CEG_FuelAdj)</f>
        <v>0</v>
      </c>
      <c r="AS408" s="8" t="n">
        <f aca="false">((CEG_Assets!$K$14*AS400+CEG_Assets!$M$14*AS$4)*AS398*AS402+CEG_Assets!$N$14*(1+CEG_Assets!$Q$14)^(AS$3-2026)*(AS398+AS399))/1000000*(1+CEG_FuelAdj)</f>
        <v>0</v>
      </c>
    </row>
    <row r="409" customFormat="false" ht="15" hidden="false" customHeight="false" outlineLevel="0" collapsed="false">
      <c r="A409" s="6" t="s">
        <v>451</v>
      </c>
      <c r="B409" s="6" t="s">
        <v>452</v>
      </c>
      <c r="C409" s="9" t="n">
        <f aca="false">SUM(G409:AS409)</f>
        <v>260.744927007742</v>
      </c>
      <c r="G409" s="8" t="n">
        <f aca="false">G407-G408</f>
        <v>15.56291088</v>
      </c>
      <c r="H409" s="8" t="n">
        <f aca="false">H407-H408</f>
        <v>16.4102810976</v>
      </c>
      <c r="I409" s="8" t="n">
        <f aca="false">I407-I408</f>
        <v>16.786328324256</v>
      </c>
      <c r="J409" s="8" t="n">
        <f aca="false">J407-J408</f>
        <v>17.4205246317235</v>
      </c>
      <c r="K409" s="8" t="n">
        <f aca="false">K407-K408</f>
        <v>17.768935124358</v>
      </c>
      <c r="L409" s="8" t="n">
        <f aca="false">L407-L408</f>
        <v>18.1243138268452</v>
      </c>
      <c r="M409" s="8" t="n">
        <f aca="false">M407-M408</f>
        <v>18.4868001033821</v>
      </c>
      <c r="N409" s="8" t="n">
        <f aca="false">N407-N408</f>
        <v>18.8565361054497</v>
      </c>
      <c r="O409" s="8" t="n">
        <f aca="false">O407-O408</f>
        <v>19.2336668275587</v>
      </c>
      <c r="P409" s="8" t="n">
        <f aca="false">P407-P408</f>
        <v>19.6183401641099</v>
      </c>
      <c r="Q409" s="8" t="n">
        <f aca="false">Q407-Q408</f>
        <v>20.0107069673921</v>
      </c>
      <c r="R409" s="8" t="n">
        <f aca="false">R407-R408</f>
        <v>20.4109211067399</v>
      </c>
      <c r="S409" s="8" t="n">
        <f aca="false">S407-S408</f>
        <v>20.8191395288747</v>
      </c>
      <c r="T409" s="8" t="n">
        <f aca="false">T407-T408</f>
        <v>21.2355223194522</v>
      </c>
      <c r="U409" s="8" t="n">
        <f aca="false">U407-U408</f>
        <v>0</v>
      </c>
      <c r="V409" s="8" t="n">
        <f aca="false">V407-V408</f>
        <v>0</v>
      </c>
      <c r="W409" s="8" t="n">
        <f aca="false">W407-W408</f>
        <v>0</v>
      </c>
      <c r="X409" s="8" t="n">
        <f aca="false">X407-X408</f>
        <v>0</v>
      </c>
      <c r="Y409" s="8" t="n">
        <f aca="false">Y407-Y408</f>
        <v>0</v>
      </c>
      <c r="Z409" s="8" t="n">
        <f aca="false">Z407-Z408</f>
        <v>0</v>
      </c>
      <c r="AA409" s="8" t="n">
        <f aca="false">AA407-AA408</f>
        <v>0</v>
      </c>
      <c r="AB409" s="8" t="n">
        <f aca="false">AB407-AB408</f>
        <v>0</v>
      </c>
      <c r="AC409" s="8" t="n">
        <f aca="false">AC407-AC408</f>
        <v>0</v>
      </c>
      <c r="AD409" s="8" t="n">
        <f aca="false">AD407-AD408</f>
        <v>0</v>
      </c>
      <c r="AE409" s="8" t="n">
        <f aca="false">AE407-AE408</f>
        <v>0</v>
      </c>
      <c r="AF409" s="8" t="n">
        <f aca="false">AF407-AF408</f>
        <v>0</v>
      </c>
      <c r="AG409" s="8" t="n">
        <f aca="false">AG407-AG408</f>
        <v>0</v>
      </c>
      <c r="AH409" s="8" t="n">
        <f aca="false">AH407-AH408</f>
        <v>0</v>
      </c>
      <c r="AI409" s="8" t="n">
        <f aca="false">AI407-AI408</f>
        <v>0</v>
      </c>
      <c r="AJ409" s="8" t="n">
        <f aca="false">AJ407-AJ408</f>
        <v>0</v>
      </c>
      <c r="AK409" s="8" t="n">
        <f aca="false">AK407-AK408</f>
        <v>0</v>
      </c>
      <c r="AL409" s="8" t="n">
        <f aca="false">AL407-AL408</f>
        <v>0</v>
      </c>
      <c r="AM409" s="8" t="n">
        <f aca="false">AM407-AM408</f>
        <v>0</v>
      </c>
      <c r="AN409" s="8" t="n">
        <f aca="false">AN407-AN408</f>
        <v>0</v>
      </c>
      <c r="AO409" s="8" t="n">
        <f aca="false">AO407-AO408</f>
        <v>0</v>
      </c>
      <c r="AP409" s="8" t="n">
        <f aca="false">AP407-AP408</f>
        <v>0</v>
      </c>
      <c r="AQ409" s="8" t="n">
        <f aca="false">AQ407-AQ408</f>
        <v>0</v>
      </c>
      <c r="AR409" s="8" t="n">
        <f aca="false">AR407-AR408</f>
        <v>0</v>
      </c>
      <c r="AS409" s="8" t="n">
        <f aca="false">AS407-AS408</f>
        <v>0</v>
      </c>
    </row>
    <row r="410" customFormat="false" ht="15" hidden="false" customHeight="false" outlineLevel="0" collapsed="false">
      <c r="A410" s="6" t="s">
        <v>453</v>
      </c>
      <c r="B410" s="6" t="s">
        <v>454</v>
      </c>
      <c r="C410" s="9" t="n">
        <f aca="false">SUM(G410:AS410)</f>
        <v>117.312601796687</v>
      </c>
      <c r="G410" s="8" t="n">
        <f aca="false">(CEG_Assets!$R$14*CEG_Assets!$D$14*1000*G$4*G396+CEG_Assets!$O$14*(1+CEG_Assets!$Q$14)^(G$3-2026)*(G398+G399))/1000000*(1+CEG_OMAdj)</f>
        <v>7.344</v>
      </c>
      <c r="H410" s="8" t="n">
        <f aca="false">(CEG_Assets!$R$14*CEG_Assets!$D$14*1000*H$4*H396+CEG_Assets!$O$14*(1+CEG_Assets!$Q$14)^(H$3-2026)*(H398+H399))/1000000*(1+CEG_OMAdj)</f>
        <v>7.49088</v>
      </c>
      <c r="I410" s="8" t="n">
        <f aca="false">(CEG_Assets!$R$14*CEG_Assets!$D$14*1000*I$4*I396+CEG_Assets!$O$14*(1+CEG_Assets!$Q$14)^(I$3-2026)*(I398+I399))/1000000*(1+CEG_OMAdj)</f>
        <v>7.6406976</v>
      </c>
      <c r="J410" s="8" t="n">
        <f aca="false">(CEG_Assets!$R$14*CEG_Assets!$D$14*1000*J$4*J396+CEG_Assets!$O$14*(1+CEG_Assets!$Q$14)^(J$3-2026)*(J398+J399))/1000000*(1+CEG_OMAdj)</f>
        <v>7.793511552</v>
      </c>
      <c r="K410" s="8" t="n">
        <f aca="false">(CEG_Assets!$R$14*CEG_Assets!$D$14*1000*K$4*K396+CEG_Assets!$O$14*(1+CEG_Assets!$Q$14)^(K$3-2026)*(K398+K399))/1000000*(1+CEG_OMAdj)</f>
        <v>7.94938178304</v>
      </c>
      <c r="L410" s="8" t="n">
        <f aca="false">(CEG_Assets!$R$14*CEG_Assets!$D$14*1000*L$4*L396+CEG_Assets!$O$14*(1+CEG_Assets!$Q$14)^(L$3-2026)*(L398+L399))/1000000*(1+CEG_OMAdj)</f>
        <v>8.1083694187008</v>
      </c>
      <c r="M410" s="8" t="n">
        <f aca="false">(CEG_Assets!$R$14*CEG_Assets!$D$14*1000*M$4*M396+CEG_Assets!$O$14*(1+CEG_Assets!$Q$14)^(M$3-2026)*(M398+M399))/1000000*(1+CEG_OMAdj)</f>
        <v>8.27053680707482</v>
      </c>
      <c r="N410" s="8" t="n">
        <f aca="false">(CEG_Assets!$R$14*CEG_Assets!$D$14*1000*N$4*N396+CEG_Assets!$O$14*(1+CEG_Assets!$Q$14)^(N$3-2026)*(N398+N399))/1000000*(1+CEG_OMAdj)</f>
        <v>8.43594754321631</v>
      </c>
      <c r="O410" s="8" t="n">
        <f aca="false">(CEG_Assets!$R$14*CEG_Assets!$D$14*1000*O$4*O396+CEG_Assets!$O$14*(1+CEG_Assets!$Q$14)^(O$3-2026)*(O398+O399))/1000000*(1+CEG_OMAdj)</f>
        <v>8.60466649408064</v>
      </c>
      <c r="P410" s="8" t="n">
        <f aca="false">(CEG_Assets!$R$14*CEG_Assets!$D$14*1000*P$4*P396+CEG_Assets!$O$14*(1+CEG_Assets!$Q$14)^(P$3-2026)*(P398+P399))/1000000*(1+CEG_OMAdj)</f>
        <v>8.77675982396225</v>
      </c>
      <c r="Q410" s="8" t="n">
        <f aca="false">(CEG_Assets!$R$14*CEG_Assets!$D$14*1000*Q$4*Q396+CEG_Assets!$O$14*(1+CEG_Assets!$Q$14)^(Q$3-2026)*(Q398+Q399))/1000000*(1+CEG_OMAdj)</f>
        <v>8.9522950204415</v>
      </c>
      <c r="R410" s="8" t="n">
        <f aca="false">(CEG_Assets!$R$14*CEG_Assets!$D$14*1000*R$4*R396+CEG_Assets!$O$14*(1+CEG_Assets!$Q$14)^(R$3-2026)*(R398+R399))/1000000*(1+CEG_OMAdj)</f>
        <v>9.13134092085033</v>
      </c>
      <c r="S410" s="8" t="n">
        <f aca="false">(CEG_Assets!$R$14*CEG_Assets!$D$14*1000*S$4*S396+CEG_Assets!$O$14*(1+CEG_Assets!$Q$14)^(S$3-2026)*(S398+S399))/1000000*(1+CEG_OMAdj)</f>
        <v>9.31396773926733</v>
      </c>
      <c r="T410" s="8" t="n">
        <f aca="false">(CEG_Assets!$R$14*CEG_Assets!$D$14*1000*T$4*T396+CEG_Assets!$O$14*(1+CEG_Assets!$Q$14)^(T$3-2026)*(T398+T399))/1000000*(1+CEG_OMAdj)</f>
        <v>9.50024709405268</v>
      </c>
      <c r="U410" s="8" t="n">
        <f aca="false">(CEG_Assets!$R$14*CEG_Assets!$D$14*1000*U$4*U396+CEG_Assets!$O$14*(1+CEG_Assets!$Q$14)^(U$3-2026)*(U398+U399))/1000000*(1+CEG_OMAdj)</f>
        <v>0</v>
      </c>
      <c r="V410" s="8" t="n">
        <f aca="false">(CEG_Assets!$R$14*CEG_Assets!$D$14*1000*V$4*V396+CEG_Assets!$O$14*(1+CEG_Assets!$Q$14)^(V$3-2026)*(V398+V399))/1000000*(1+CEG_OMAdj)</f>
        <v>0</v>
      </c>
      <c r="W410" s="8" t="n">
        <f aca="false">(CEG_Assets!$R$14*CEG_Assets!$D$14*1000*W$4*W396+CEG_Assets!$O$14*(1+CEG_Assets!$Q$14)^(W$3-2026)*(W398+W399))/1000000*(1+CEG_OMAdj)</f>
        <v>0</v>
      </c>
      <c r="X410" s="8" t="n">
        <f aca="false">(CEG_Assets!$R$14*CEG_Assets!$D$14*1000*X$4*X396+CEG_Assets!$O$14*(1+CEG_Assets!$Q$14)^(X$3-2026)*(X398+X399))/1000000*(1+CEG_OMAdj)</f>
        <v>0</v>
      </c>
      <c r="Y410" s="8" t="n">
        <f aca="false">(CEG_Assets!$R$14*CEG_Assets!$D$14*1000*Y$4*Y396+CEG_Assets!$O$14*(1+CEG_Assets!$Q$14)^(Y$3-2026)*(Y398+Y399))/1000000*(1+CEG_OMAdj)</f>
        <v>0</v>
      </c>
      <c r="Z410" s="8" t="n">
        <f aca="false">(CEG_Assets!$R$14*CEG_Assets!$D$14*1000*Z$4*Z396+CEG_Assets!$O$14*(1+CEG_Assets!$Q$14)^(Z$3-2026)*(Z398+Z399))/1000000*(1+CEG_OMAdj)</f>
        <v>0</v>
      </c>
      <c r="AA410" s="8" t="n">
        <f aca="false">(CEG_Assets!$R$14*CEG_Assets!$D$14*1000*AA$4*AA396+CEG_Assets!$O$14*(1+CEG_Assets!$Q$14)^(AA$3-2026)*(AA398+AA399))/1000000*(1+CEG_OMAdj)</f>
        <v>0</v>
      </c>
      <c r="AB410" s="8" t="n">
        <f aca="false">(CEG_Assets!$R$14*CEG_Assets!$D$14*1000*AB$4*AB396+CEG_Assets!$O$14*(1+CEG_Assets!$Q$14)^(AB$3-2026)*(AB398+AB399))/1000000*(1+CEG_OMAdj)</f>
        <v>0</v>
      </c>
      <c r="AC410" s="8" t="n">
        <f aca="false">(CEG_Assets!$R$14*CEG_Assets!$D$14*1000*AC$4*AC396+CEG_Assets!$O$14*(1+CEG_Assets!$Q$14)^(AC$3-2026)*(AC398+AC399))/1000000*(1+CEG_OMAdj)</f>
        <v>0</v>
      </c>
      <c r="AD410" s="8" t="n">
        <f aca="false">(CEG_Assets!$R$14*CEG_Assets!$D$14*1000*AD$4*AD396+CEG_Assets!$O$14*(1+CEG_Assets!$Q$14)^(AD$3-2026)*(AD398+AD399))/1000000*(1+CEG_OMAdj)</f>
        <v>0</v>
      </c>
      <c r="AE410" s="8" t="n">
        <f aca="false">(CEG_Assets!$R$14*CEG_Assets!$D$14*1000*AE$4*AE396+CEG_Assets!$O$14*(1+CEG_Assets!$Q$14)^(AE$3-2026)*(AE398+AE399))/1000000*(1+CEG_OMAdj)</f>
        <v>0</v>
      </c>
      <c r="AF410" s="8" t="n">
        <f aca="false">(CEG_Assets!$R$14*CEG_Assets!$D$14*1000*AF$4*AF396+CEG_Assets!$O$14*(1+CEG_Assets!$Q$14)^(AF$3-2026)*(AF398+AF399))/1000000*(1+CEG_OMAdj)</f>
        <v>0</v>
      </c>
      <c r="AG410" s="8" t="n">
        <f aca="false">(CEG_Assets!$R$14*CEG_Assets!$D$14*1000*AG$4*AG396+CEG_Assets!$O$14*(1+CEG_Assets!$Q$14)^(AG$3-2026)*(AG398+AG399))/1000000*(1+CEG_OMAdj)</f>
        <v>0</v>
      </c>
      <c r="AH410" s="8" t="n">
        <f aca="false">(CEG_Assets!$R$14*CEG_Assets!$D$14*1000*AH$4*AH396+CEG_Assets!$O$14*(1+CEG_Assets!$Q$14)^(AH$3-2026)*(AH398+AH399))/1000000*(1+CEG_OMAdj)</f>
        <v>0</v>
      </c>
      <c r="AI410" s="8" t="n">
        <f aca="false">(CEG_Assets!$R$14*CEG_Assets!$D$14*1000*AI$4*AI396+CEG_Assets!$O$14*(1+CEG_Assets!$Q$14)^(AI$3-2026)*(AI398+AI399))/1000000*(1+CEG_OMAdj)</f>
        <v>0</v>
      </c>
      <c r="AJ410" s="8" t="n">
        <f aca="false">(CEG_Assets!$R$14*CEG_Assets!$D$14*1000*AJ$4*AJ396+CEG_Assets!$O$14*(1+CEG_Assets!$Q$14)^(AJ$3-2026)*(AJ398+AJ399))/1000000*(1+CEG_OMAdj)</f>
        <v>0</v>
      </c>
      <c r="AK410" s="8" t="n">
        <f aca="false">(CEG_Assets!$R$14*CEG_Assets!$D$14*1000*AK$4*AK396+CEG_Assets!$O$14*(1+CEG_Assets!$Q$14)^(AK$3-2026)*(AK398+AK399))/1000000*(1+CEG_OMAdj)</f>
        <v>0</v>
      </c>
      <c r="AL410" s="8" t="n">
        <f aca="false">(CEG_Assets!$R$14*CEG_Assets!$D$14*1000*AL$4*AL396+CEG_Assets!$O$14*(1+CEG_Assets!$Q$14)^(AL$3-2026)*(AL398+AL399))/1000000*(1+CEG_OMAdj)</f>
        <v>0</v>
      </c>
      <c r="AM410" s="8" t="n">
        <f aca="false">(CEG_Assets!$R$14*CEG_Assets!$D$14*1000*AM$4*AM396+CEG_Assets!$O$14*(1+CEG_Assets!$Q$14)^(AM$3-2026)*(AM398+AM399))/1000000*(1+CEG_OMAdj)</f>
        <v>0</v>
      </c>
      <c r="AN410" s="8" t="n">
        <f aca="false">(CEG_Assets!$R$14*CEG_Assets!$D$14*1000*AN$4*AN396+CEG_Assets!$O$14*(1+CEG_Assets!$Q$14)^(AN$3-2026)*(AN398+AN399))/1000000*(1+CEG_OMAdj)</f>
        <v>0</v>
      </c>
      <c r="AO410" s="8" t="n">
        <f aca="false">(CEG_Assets!$R$14*CEG_Assets!$D$14*1000*AO$4*AO396+CEG_Assets!$O$14*(1+CEG_Assets!$Q$14)^(AO$3-2026)*(AO398+AO399))/1000000*(1+CEG_OMAdj)</f>
        <v>0</v>
      </c>
      <c r="AP410" s="8" t="n">
        <f aca="false">(CEG_Assets!$R$14*CEG_Assets!$D$14*1000*AP$4*AP396+CEG_Assets!$O$14*(1+CEG_Assets!$Q$14)^(AP$3-2026)*(AP398+AP399))/1000000*(1+CEG_OMAdj)</f>
        <v>0</v>
      </c>
      <c r="AQ410" s="8" t="n">
        <f aca="false">(CEG_Assets!$R$14*CEG_Assets!$D$14*1000*AQ$4*AQ396+CEG_Assets!$O$14*(1+CEG_Assets!$Q$14)^(AQ$3-2026)*(AQ398+AQ399))/1000000*(1+CEG_OMAdj)</f>
        <v>0</v>
      </c>
      <c r="AR410" s="8" t="n">
        <f aca="false">(CEG_Assets!$R$14*CEG_Assets!$D$14*1000*AR$4*AR396+CEG_Assets!$O$14*(1+CEG_Assets!$Q$14)^(AR$3-2026)*(AR398+AR399))/1000000*(1+CEG_OMAdj)</f>
        <v>0</v>
      </c>
      <c r="AS410" s="8" t="n">
        <f aca="false">(CEG_Assets!$R$14*CEG_Assets!$D$14*1000*AS$4*AS396+CEG_Assets!$O$14*(1+CEG_Assets!$Q$14)^(AS$3-2026)*(AS398+AS399))/1000000*(1+CEG_OMAdj)</f>
        <v>0</v>
      </c>
    </row>
    <row r="411" customFormat="false" ht="15" hidden="false" customHeight="false" outlineLevel="0" collapsed="false">
      <c r="A411" s="6" t="s">
        <v>455</v>
      </c>
      <c r="B411" s="6" t="s">
        <v>456</v>
      </c>
      <c r="C411" s="9" t="n">
        <f aca="false">SUM(G411:AS411)</f>
        <v>143.432325211055</v>
      </c>
      <c r="G411" s="8" t="n">
        <f aca="false">G409-G410</f>
        <v>8.21891088</v>
      </c>
      <c r="H411" s="8" t="n">
        <f aca="false">H409-H410</f>
        <v>8.9194010976</v>
      </c>
      <c r="I411" s="8" t="n">
        <f aca="false">I409-I410</f>
        <v>9.145630724256</v>
      </c>
      <c r="J411" s="8" t="n">
        <f aca="false">J409-J410</f>
        <v>9.62701307972352</v>
      </c>
      <c r="K411" s="8" t="n">
        <f aca="false">K409-K410</f>
        <v>9.819553341318</v>
      </c>
      <c r="L411" s="8" t="n">
        <f aca="false">L409-L410</f>
        <v>10.0159444081444</v>
      </c>
      <c r="M411" s="8" t="n">
        <f aca="false">M409-M410</f>
        <v>10.2162632963072</v>
      </c>
      <c r="N411" s="8" t="n">
        <f aca="false">N409-N410</f>
        <v>10.4205885622334</v>
      </c>
      <c r="O411" s="8" t="n">
        <f aca="false">O409-O410</f>
        <v>10.6290003334781</v>
      </c>
      <c r="P411" s="8" t="n">
        <f aca="false">P409-P410</f>
        <v>10.8415803401476</v>
      </c>
      <c r="Q411" s="8" t="n">
        <f aca="false">Q409-Q410</f>
        <v>11.0584119469506</v>
      </c>
      <c r="R411" s="8" t="n">
        <f aca="false">R409-R410</f>
        <v>11.2795801858896</v>
      </c>
      <c r="S411" s="8" t="n">
        <f aca="false">S409-S410</f>
        <v>11.5051717896074</v>
      </c>
      <c r="T411" s="8" t="n">
        <f aca="false">T409-T410</f>
        <v>11.7352752253995</v>
      </c>
      <c r="U411" s="8" t="n">
        <f aca="false">U409-U410</f>
        <v>0</v>
      </c>
      <c r="V411" s="8" t="n">
        <f aca="false">V409-V410</f>
        <v>0</v>
      </c>
      <c r="W411" s="8" t="n">
        <f aca="false">W409-W410</f>
        <v>0</v>
      </c>
      <c r="X411" s="8" t="n">
        <f aca="false">X409-X410</f>
        <v>0</v>
      </c>
      <c r="Y411" s="8" t="n">
        <f aca="false">Y409-Y410</f>
        <v>0</v>
      </c>
      <c r="Z411" s="8" t="n">
        <f aca="false">Z409-Z410</f>
        <v>0</v>
      </c>
      <c r="AA411" s="8" t="n">
        <f aca="false">AA409-AA410</f>
        <v>0</v>
      </c>
      <c r="AB411" s="8" t="n">
        <f aca="false">AB409-AB410</f>
        <v>0</v>
      </c>
      <c r="AC411" s="8" t="n">
        <f aca="false">AC409-AC410</f>
        <v>0</v>
      </c>
      <c r="AD411" s="8" t="n">
        <f aca="false">AD409-AD410</f>
        <v>0</v>
      </c>
      <c r="AE411" s="8" t="n">
        <f aca="false">AE409-AE410</f>
        <v>0</v>
      </c>
      <c r="AF411" s="8" t="n">
        <f aca="false">AF409-AF410</f>
        <v>0</v>
      </c>
      <c r="AG411" s="8" t="n">
        <f aca="false">AG409-AG410</f>
        <v>0</v>
      </c>
      <c r="AH411" s="8" t="n">
        <f aca="false">AH409-AH410</f>
        <v>0</v>
      </c>
      <c r="AI411" s="8" t="n">
        <f aca="false">AI409-AI410</f>
        <v>0</v>
      </c>
      <c r="AJ411" s="8" t="n">
        <f aca="false">AJ409-AJ410</f>
        <v>0</v>
      </c>
      <c r="AK411" s="8" t="n">
        <f aca="false">AK409-AK410</f>
        <v>0</v>
      </c>
      <c r="AL411" s="8" t="n">
        <f aca="false">AL409-AL410</f>
        <v>0</v>
      </c>
      <c r="AM411" s="8" t="n">
        <f aca="false">AM409-AM410</f>
        <v>0</v>
      </c>
      <c r="AN411" s="8" t="n">
        <f aca="false">AN409-AN410</f>
        <v>0</v>
      </c>
      <c r="AO411" s="8" t="n">
        <f aca="false">AO409-AO410</f>
        <v>0</v>
      </c>
      <c r="AP411" s="8" t="n">
        <f aca="false">AP409-AP410</f>
        <v>0</v>
      </c>
      <c r="AQ411" s="8" t="n">
        <f aca="false">AQ409-AQ410</f>
        <v>0</v>
      </c>
      <c r="AR411" s="8" t="n">
        <f aca="false">AR409-AR410</f>
        <v>0</v>
      </c>
      <c r="AS411" s="8" t="n">
        <f aca="false">AS409-AS410</f>
        <v>0</v>
      </c>
    </row>
    <row r="412" customFormat="false" ht="15" hidden="false" customHeight="false" outlineLevel="0" collapsed="false">
      <c r="A412" s="6" t="s">
        <v>457</v>
      </c>
      <c r="B412" s="6" t="s">
        <v>458</v>
      </c>
      <c r="C412" s="9" t="n">
        <f aca="false">SUM(G412:AS412)</f>
        <v>32.586833832413</v>
      </c>
      <c r="G412" s="8" t="n">
        <f aca="false">((CEG_Assets!$S$14*CEG_Assets!$D$14*1000*G$4*G396+CEG_Assets!$P$14*(1+CEG_Assets!$Q$14)^(G$3-2026)*(G398+G399))/1000000+IF(G$3=CEG_Assets!$AH$14,CEG_Assets!$AG$14,0))*(1+CEG_CapexAdj)</f>
        <v>2.04</v>
      </c>
      <c r="H412" s="8" t="n">
        <f aca="false">((CEG_Assets!$S$14*CEG_Assets!$D$14*1000*H$4*H396+CEG_Assets!$P$14*(1+CEG_Assets!$Q$14)^(H$3-2026)*(H398+H399))/1000000+IF(H$3=CEG_Assets!$AH$14,CEG_Assets!$AG$14,0))*(1+CEG_CapexAdj)</f>
        <v>2.0808</v>
      </c>
      <c r="I412" s="8" t="n">
        <f aca="false">((CEG_Assets!$S$14*CEG_Assets!$D$14*1000*I$4*I396+CEG_Assets!$P$14*(1+CEG_Assets!$Q$14)^(I$3-2026)*(I398+I399))/1000000+IF(I$3=CEG_Assets!$AH$14,CEG_Assets!$AG$14,0))*(1+CEG_CapexAdj)</f>
        <v>2.122416</v>
      </c>
      <c r="J412" s="8" t="n">
        <f aca="false">((CEG_Assets!$S$14*CEG_Assets!$D$14*1000*J$4*J396+CEG_Assets!$P$14*(1+CEG_Assets!$Q$14)^(J$3-2026)*(J398+J399))/1000000+IF(J$3=CEG_Assets!$AH$14,CEG_Assets!$AG$14,0))*(1+CEG_CapexAdj)</f>
        <v>2.16486432</v>
      </c>
      <c r="K412" s="8" t="n">
        <f aca="false">((CEG_Assets!$S$14*CEG_Assets!$D$14*1000*K$4*K396+CEG_Assets!$P$14*(1+CEG_Assets!$Q$14)^(K$3-2026)*(K398+K399))/1000000+IF(K$3=CEG_Assets!$AH$14,CEG_Assets!$AG$14,0))*(1+CEG_CapexAdj)</f>
        <v>2.2081616064</v>
      </c>
      <c r="L412" s="8" t="n">
        <f aca="false">((CEG_Assets!$S$14*CEG_Assets!$D$14*1000*L$4*L396+CEG_Assets!$P$14*(1+CEG_Assets!$Q$14)^(L$3-2026)*(L398+L399))/1000000+IF(L$3=CEG_Assets!$AH$14,CEG_Assets!$AG$14,0))*(1+CEG_CapexAdj)</f>
        <v>2.252324838528</v>
      </c>
      <c r="M412" s="8" t="n">
        <f aca="false">((CEG_Assets!$S$14*CEG_Assets!$D$14*1000*M$4*M396+CEG_Assets!$P$14*(1+CEG_Assets!$Q$14)^(M$3-2026)*(M398+M399))/1000000+IF(M$3=CEG_Assets!$AH$14,CEG_Assets!$AG$14,0))*(1+CEG_CapexAdj)</f>
        <v>2.29737133529856</v>
      </c>
      <c r="N412" s="8" t="n">
        <f aca="false">((CEG_Assets!$S$14*CEG_Assets!$D$14*1000*N$4*N396+CEG_Assets!$P$14*(1+CEG_Assets!$Q$14)^(N$3-2026)*(N398+N399))/1000000+IF(N$3=CEG_Assets!$AH$14,CEG_Assets!$AG$14,0))*(1+CEG_CapexAdj)</f>
        <v>2.34331876200453</v>
      </c>
      <c r="O412" s="8" t="n">
        <f aca="false">((CEG_Assets!$S$14*CEG_Assets!$D$14*1000*O$4*O396+CEG_Assets!$P$14*(1+CEG_Assets!$Q$14)^(O$3-2026)*(O398+O399))/1000000+IF(O$3=CEG_Assets!$AH$14,CEG_Assets!$AG$14,0))*(1+CEG_CapexAdj)</f>
        <v>2.39018513724462</v>
      </c>
      <c r="P412" s="8" t="n">
        <f aca="false">((CEG_Assets!$S$14*CEG_Assets!$D$14*1000*P$4*P396+CEG_Assets!$P$14*(1+CEG_Assets!$Q$14)^(P$3-2026)*(P398+P399))/1000000+IF(P$3=CEG_Assets!$AH$14,CEG_Assets!$AG$14,0))*(1+CEG_CapexAdj)</f>
        <v>2.43798883998951</v>
      </c>
      <c r="Q412" s="8" t="n">
        <f aca="false">((CEG_Assets!$S$14*CEG_Assets!$D$14*1000*Q$4*Q396+CEG_Assets!$P$14*(1+CEG_Assets!$Q$14)^(Q$3-2026)*(Q398+Q399))/1000000+IF(Q$3=CEG_Assets!$AH$14,CEG_Assets!$AG$14,0))*(1+CEG_CapexAdj)</f>
        <v>2.48674861678931</v>
      </c>
      <c r="R412" s="8" t="n">
        <f aca="false">((CEG_Assets!$S$14*CEG_Assets!$D$14*1000*R$4*R396+CEG_Assets!$P$14*(1+CEG_Assets!$Q$14)^(R$3-2026)*(R398+R399))/1000000+IF(R$3=CEG_Assets!$AH$14,CEG_Assets!$AG$14,0))*(1+CEG_CapexAdj)</f>
        <v>2.53648358912509</v>
      </c>
      <c r="S412" s="8" t="n">
        <f aca="false">((CEG_Assets!$S$14*CEG_Assets!$D$14*1000*S$4*S396+CEG_Assets!$P$14*(1+CEG_Assets!$Q$14)^(S$3-2026)*(S398+S399))/1000000+IF(S$3=CEG_Assets!$AH$14,CEG_Assets!$AG$14,0))*(1+CEG_CapexAdj)</f>
        <v>2.58721326090759</v>
      </c>
      <c r="T412" s="8" t="n">
        <f aca="false">((CEG_Assets!$S$14*CEG_Assets!$D$14*1000*T$4*T396+CEG_Assets!$P$14*(1+CEG_Assets!$Q$14)^(T$3-2026)*(T398+T399))/1000000+IF(T$3=CEG_Assets!$AH$14,CEG_Assets!$AG$14,0))*(1+CEG_CapexAdj)</f>
        <v>2.63895752612574</v>
      </c>
      <c r="U412" s="8" t="n">
        <f aca="false">((CEG_Assets!$S$14*CEG_Assets!$D$14*1000*U$4*U396+CEG_Assets!$P$14*(1+CEG_Assets!$Q$14)^(U$3-2026)*(U398+U399))/1000000+IF(U$3=CEG_Assets!$AH$14,CEG_Assets!$AG$14,0))*(1+CEG_CapexAdj)</f>
        <v>0</v>
      </c>
      <c r="V412" s="8" t="n">
        <f aca="false">((CEG_Assets!$S$14*CEG_Assets!$D$14*1000*V$4*V396+CEG_Assets!$P$14*(1+CEG_Assets!$Q$14)^(V$3-2026)*(V398+V399))/1000000+IF(V$3=CEG_Assets!$AH$14,CEG_Assets!$AG$14,0))*(1+CEG_CapexAdj)</f>
        <v>0</v>
      </c>
      <c r="W412" s="8" t="n">
        <f aca="false">((CEG_Assets!$S$14*CEG_Assets!$D$14*1000*W$4*W396+CEG_Assets!$P$14*(1+CEG_Assets!$Q$14)^(W$3-2026)*(W398+W399))/1000000+IF(W$3=CEG_Assets!$AH$14,CEG_Assets!$AG$14,0))*(1+CEG_CapexAdj)</f>
        <v>0</v>
      </c>
      <c r="X412" s="8" t="n">
        <f aca="false">((CEG_Assets!$S$14*CEG_Assets!$D$14*1000*X$4*X396+CEG_Assets!$P$14*(1+CEG_Assets!$Q$14)^(X$3-2026)*(X398+X399))/1000000+IF(X$3=CEG_Assets!$AH$14,CEG_Assets!$AG$14,0))*(1+CEG_CapexAdj)</f>
        <v>0</v>
      </c>
      <c r="Y412" s="8" t="n">
        <f aca="false">((CEG_Assets!$S$14*CEG_Assets!$D$14*1000*Y$4*Y396+CEG_Assets!$P$14*(1+CEG_Assets!$Q$14)^(Y$3-2026)*(Y398+Y399))/1000000+IF(Y$3=CEG_Assets!$AH$14,CEG_Assets!$AG$14,0))*(1+CEG_CapexAdj)</f>
        <v>0</v>
      </c>
      <c r="Z412" s="8" t="n">
        <f aca="false">((CEG_Assets!$S$14*CEG_Assets!$D$14*1000*Z$4*Z396+CEG_Assets!$P$14*(1+CEG_Assets!$Q$14)^(Z$3-2026)*(Z398+Z399))/1000000+IF(Z$3=CEG_Assets!$AH$14,CEG_Assets!$AG$14,0))*(1+CEG_CapexAdj)</f>
        <v>0</v>
      </c>
      <c r="AA412" s="8" t="n">
        <f aca="false">((CEG_Assets!$S$14*CEG_Assets!$D$14*1000*AA$4*AA396+CEG_Assets!$P$14*(1+CEG_Assets!$Q$14)^(AA$3-2026)*(AA398+AA399))/1000000+IF(AA$3=CEG_Assets!$AH$14,CEG_Assets!$AG$14,0))*(1+CEG_CapexAdj)</f>
        <v>0</v>
      </c>
      <c r="AB412" s="8" t="n">
        <f aca="false">((CEG_Assets!$S$14*CEG_Assets!$D$14*1000*AB$4*AB396+CEG_Assets!$P$14*(1+CEG_Assets!$Q$14)^(AB$3-2026)*(AB398+AB399))/1000000+IF(AB$3=CEG_Assets!$AH$14,CEG_Assets!$AG$14,0))*(1+CEG_CapexAdj)</f>
        <v>0</v>
      </c>
      <c r="AC412" s="8" t="n">
        <f aca="false">((CEG_Assets!$S$14*CEG_Assets!$D$14*1000*AC$4*AC396+CEG_Assets!$P$14*(1+CEG_Assets!$Q$14)^(AC$3-2026)*(AC398+AC399))/1000000+IF(AC$3=CEG_Assets!$AH$14,CEG_Assets!$AG$14,0))*(1+CEG_CapexAdj)</f>
        <v>0</v>
      </c>
      <c r="AD412" s="8" t="n">
        <f aca="false">((CEG_Assets!$S$14*CEG_Assets!$D$14*1000*AD$4*AD396+CEG_Assets!$P$14*(1+CEG_Assets!$Q$14)^(AD$3-2026)*(AD398+AD399))/1000000+IF(AD$3=CEG_Assets!$AH$14,CEG_Assets!$AG$14,0))*(1+CEG_CapexAdj)</f>
        <v>0</v>
      </c>
      <c r="AE412" s="8" t="n">
        <f aca="false">((CEG_Assets!$S$14*CEG_Assets!$D$14*1000*AE$4*AE396+CEG_Assets!$P$14*(1+CEG_Assets!$Q$14)^(AE$3-2026)*(AE398+AE399))/1000000+IF(AE$3=CEG_Assets!$AH$14,CEG_Assets!$AG$14,0))*(1+CEG_CapexAdj)</f>
        <v>0</v>
      </c>
      <c r="AF412" s="8" t="n">
        <f aca="false">((CEG_Assets!$S$14*CEG_Assets!$D$14*1000*AF$4*AF396+CEG_Assets!$P$14*(1+CEG_Assets!$Q$14)^(AF$3-2026)*(AF398+AF399))/1000000+IF(AF$3=CEG_Assets!$AH$14,CEG_Assets!$AG$14,0))*(1+CEG_CapexAdj)</f>
        <v>0</v>
      </c>
      <c r="AG412" s="8" t="n">
        <f aca="false">((CEG_Assets!$S$14*CEG_Assets!$D$14*1000*AG$4*AG396+CEG_Assets!$P$14*(1+CEG_Assets!$Q$14)^(AG$3-2026)*(AG398+AG399))/1000000+IF(AG$3=CEG_Assets!$AH$14,CEG_Assets!$AG$14,0))*(1+CEG_CapexAdj)</f>
        <v>0</v>
      </c>
      <c r="AH412" s="8" t="n">
        <f aca="false">((CEG_Assets!$S$14*CEG_Assets!$D$14*1000*AH$4*AH396+CEG_Assets!$P$14*(1+CEG_Assets!$Q$14)^(AH$3-2026)*(AH398+AH399))/1000000+IF(AH$3=CEG_Assets!$AH$14,CEG_Assets!$AG$14,0))*(1+CEG_CapexAdj)</f>
        <v>0</v>
      </c>
      <c r="AI412" s="8" t="n">
        <f aca="false">((CEG_Assets!$S$14*CEG_Assets!$D$14*1000*AI$4*AI396+CEG_Assets!$P$14*(1+CEG_Assets!$Q$14)^(AI$3-2026)*(AI398+AI399))/1000000+IF(AI$3=CEG_Assets!$AH$14,CEG_Assets!$AG$14,0))*(1+CEG_CapexAdj)</f>
        <v>0</v>
      </c>
      <c r="AJ412" s="8" t="n">
        <f aca="false">((CEG_Assets!$S$14*CEG_Assets!$D$14*1000*AJ$4*AJ396+CEG_Assets!$P$14*(1+CEG_Assets!$Q$14)^(AJ$3-2026)*(AJ398+AJ399))/1000000+IF(AJ$3=CEG_Assets!$AH$14,CEG_Assets!$AG$14,0))*(1+CEG_CapexAdj)</f>
        <v>0</v>
      </c>
      <c r="AK412" s="8" t="n">
        <f aca="false">((CEG_Assets!$S$14*CEG_Assets!$D$14*1000*AK$4*AK396+CEG_Assets!$P$14*(1+CEG_Assets!$Q$14)^(AK$3-2026)*(AK398+AK399))/1000000+IF(AK$3=CEG_Assets!$AH$14,CEG_Assets!$AG$14,0))*(1+CEG_CapexAdj)</f>
        <v>0</v>
      </c>
      <c r="AL412" s="8" t="n">
        <f aca="false">((CEG_Assets!$S$14*CEG_Assets!$D$14*1000*AL$4*AL396+CEG_Assets!$P$14*(1+CEG_Assets!$Q$14)^(AL$3-2026)*(AL398+AL399))/1000000+IF(AL$3=CEG_Assets!$AH$14,CEG_Assets!$AG$14,0))*(1+CEG_CapexAdj)</f>
        <v>0</v>
      </c>
      <c r="AM412" s="8" t="n">
        <f aca="false">((CEG_Assets!$S$14*CEG_Assets!$D$14*1000*AM$4*AM396+CEG_Assets!$P$14*(1+CEG_Assets!$Q$14)^(AM$3-2026)*(AM398+AM399))/1000000+IF(AM$3=CEG_Assets!$AH$14,CEG_Assets!$AG$14,0))*(1+CEG_CapexAdj)</f>
        <v>0</v>
      </c>
      <c r="AN412" s="8" t="n">
        <f aca="false">((CEG_Assets!$S$14*CEG_Assets!$D$14*1000*AN$4*AN396+CEG_Assets!$P$14*(1+CEG_Assets!$Q$14)^(AN$3-2026)*(AN398+AN399))/1000000+IF(AN$3=CEG_Assets!$AH$14,CEG_Assets!$AG$14,0))*(1+CEG_CapexAdj)</f>
        <v>0</v>
      </c>
      <c r="AO412" s="8" t="n">
        <f aca="false">((CEG_Assets!$S$14*CEG_Assets!$D$14*1000*AO$4*AO396+CEG_Assets!$P$14*(1+CEG_Assets!$Q$14)^(AO$3-2026)*(AO398+AO399))/1000000+IF(AO$3=CEG_Assets!$AH$14,CEG_Assets!$AG$14,0))*(1+CEG_CapexAdj)</f>
        <v>0</v>
      </c>
      <c r="AP412" s="8" t="n">
        <f aca="false">((CEG_Assets!$S$14*CEG_Assets!$D$14*1000*AP$4*AP396+CEG_Assets!$P$14*(1+CEG_Assets!$Q$14)^(AP$3-2026)*(AP398+AP399))/1000000+IF(AP$3=CEG_Assets!$AH$14,CEG_Assets!$AG$14,0))*(1+CEG_CapexAdj)</f>
        <v>0</v>
      </c>
      <c r="AQ412" s="8" t="n">
        <f aca="false">((CEG_Assets!$S$14*CEG_Assets!$D$14*1000*AQ$4*AQ396+CEG_Assets!$P$14*(1+CEG_Assets!$Q$14)^(AQ$3-2026)*(AQ398+AQ399))/1000000+IF(AQ$3=CEG_Assets!$AH$14,CEG_Assets!$AG$14,0))*(1+CEG_CapexAdj)</f>
        <v>0</v>
      </c>
      <c r="AR412" s="8" t="n">
        <f aca="false">((CEG_Assets!$S$14*CEG_Assets!$D$14*1000*AR$4*AR396+CEG_Assets!$P$14*(1+CEG_Assets!$Q$14)^(AR$3-2026)*(AR398+AR399))/1000000+IF(AR$3=CEG_Assets!$AH$14,CEG_Assets!$AG$14,0))*(1+CEG_CapexAdj)</f>
        <v>0</v>
      </c>
      <c r="AS412" s="8" t="n">
        <f aca="false">((CEG_Assets!$S$14*CEG_Assets!$D$14*1000*AS$4*AS396+CEG_Assets!$P$14*(1+CEG_Assets!$Q$14)^(AS$3-2026)*(AS398+AS399))/1000000+IF(AS$3=CEG_Assets!$AH$14,CEG_Assets!$AG$14,0))*(1+CEG_CapexAdj)</f>
        <v>0</v>
      </c>
    </row>
    <row r="413" customFormat="false" ht="15" hidden="false" customHeight="false" outlineLevel="0" collapsed="false">
      <c r="A413" s="6" t="s">
        <v>459</v>
      </c>
      <c r="B413" s="6" t="s">
        <v>460</v>
      </c>
      <c r="C413" s="9" t="n">
        <f aca="false">SUM(G413:AS413)</f>
        <v>110.845491378642</v>
      </c>
      <c r="G413" s="8" t="n">
        <f aca="false">IF(CEG_Assets!$Y$14=1,MAX(0,G411-G412),G411-G412)</f>
        <v>6.17891088</v>
      </c>
      <c r="H413" s="8" t="n">
        <f aca="false">IF(CEG_Assets!$Y$14=1,MAX(0,H411-H412),H411-H412)</f>
        <v>6.8386010976</v>
      </c>
      <c r="I413" s="8" t="n">
        <f aca="false">IF(CEG_Assets!$Y$14=1,MAX(0,I411-I412),I411-I412)</f>
        <v>7.023214724256</v>
      </c>
      <c r="J413" s="8" t="n">
        <f aca="false">IF(CEG_Assets!$Y$14=1,MAX(0,J411-J412),J411-J412)</f>
        <v>7.46214875972352</v>
      </c>
      <c r="K413" s="8" t="n">
        <f aca="false">IF(CEG_Assets!$Y$14=1,MAX(0,K411-K412),K411-K412)</f>
        <v>7.611391734918</v>
      </c>
      <c r="L413" s="8" t="n">
        <f aca="false">IF(CEG_Assets!$Y$14=1,MAX(0,L411-L412),L411-L412)</f>
        <v>7.76361956961635</v>
      </c>
      <c r="M413" s="8" t="n">
        <f aca="false">IF(CEG_Assets!$Y$14=1,MAX(0,M411-M412),M411-M412)</f>
        <v>7.91889196100868</v>
      </c>
      <c r="N413" s="8" t="n">
        <f aca="false">IF(CEG_Assets!$Y$14=1,MAX(0,N411-N412),N411-N412)</f>
        <v>8.07726980022886</v>
      </c>
      <c r="O413" s="8" t="n">
        <f aca="false">IF(CEG_Assets!$Y$14=1,MAX(0,O411-O412),O411-O412)</f>
        <v>8.23881519623343</v>
      </c>
      <c r="P413" s="8" t="n">
        <f aca="false">IF(CEG_Assets!$Y$14=1,MAX(0,P411-P412),P411-P412)</f>
        <v>8.4035915001581</v>
      </c>
      <c r="Q413" s="8" t="n">
        <f aca="false">IF(CEG_Assets!$Y$14=1,MAX(0,Q411-Q412),Q411-Q412)</f>
        <v>8.57166333016127</v>
      </c>
      <c r="R413" s="8" t="n">
        <f aca="false">IF(CEG_Assets!$Y$14=1,MAX(0,R411-R412),R411-R412)</f>
        <v>8.74309659676449</v>
      </c>
      <c r="S413" s="8" t="n">
        <f aca="false">IF(CEG_Assets!$Y$14=1,MAX(0,S411-S412),S411-S412)</f>
        <v>8.91795852869978</v>
      </c>
      <c r="T413" s="8" t="n">
        <f aca="false">IF(CEG_Assets!$Y$14=1,MAX(0,T411-T412),T411-T412)</f>
        <v>9.09631769927377</v>
      </c>
      <c r="U413" s="8" t="n">
        <f aca="false">IF(CEG_Assets!$Y$14=1,MAX(0,U411-U412),U411-U412)</f>
        <v>0</v>
      </c>
      <c r="V413" s="8" t="n">
        <f aca="false">IF(CEG_Assets!$Y$14=1,MAX(0,V411-V412),V411-V412)</f>
        <v>0</v>
      </c>
      <c r="W413" s="8" t="n">
        <f aca="false">IF(CEG_Assets!$Y$14=1,MAX(0,W411-W412),W411-W412)</f>
        <v>0</v>
      </c>
      <c r="X413" s="8" t="n">
        <f aca="false">IF(CEG_Assets!$Y$14=1,MAX(0,X411-X412),X411-X412)</f>
        <v>0</v>
      </c>
      <c r="Y413" s="8" t="n">
        <f aca="false">IF(CEG_Assets!$Y$14=1,MAX(0,Y411-Y412),Y411-Y412)</f>
        <v>0</v>
      </c>
      <c r="Z413" s="8" t="n">
        <f aca="false">IF(CEG_Assets!$Y$14=1,MAX(0,Z411-Z412),Z411-Z412)</f>
        <v>0</v>
      </c>
      <c r="AA413" s="8" t="n">
        <f aca="false">IF(CEG_Assets!$Y$14=1,MAX(0,AA411-AA412),AA411-AA412)</f>
        <v>0</v>
      </c>
      <c r="AB413" s="8" t="n">
        <f aca="false">IF(CEG_Assets!$Y$14=1,MAX(0,AB411-AB412),AB411-AB412)</f>
        <v>0</v>
      </c>
      <c r="AC413" s="8" t="n">
        <f aca="false">IF(CEG_Assets!$Y$14=1,MAX(0,AC411-AC412),AC411-AC412)</f>
        <v>0</v>
      </c>
      <c r="AD413" s="8" t="n">
        <f aca="false">IF(CEG_Assets!$Y$14=1,MAX(0,AD411-AD412),AD411-AD412)</f>
        <v>0</v>
      </c>
      <c r="AE413" s="8" t="n">
        <f aca="false">IF(CEG_Assets!$Y$14=1,MAX(0,AE411-AE412),AE411-AE412)</f>
        <v>0</v>
      </c>
      <c r="AF413" s="8" t="n">
        <f aca="false">IF(CEG_Assets!$Y$14=1,MAX(0,AF411-AF412),AF411-AF412)</f>
        <v>0</v>
      </c>
      <c r="AG413" s="8" t="n">
        <f aca="false">IF(CEG_Assets!$Y$14=1,MAX(0,AG411-AG412),AG411-AG412)</f>
        <v>0</v>
      </c>
      <c r="AH413" s="8" t="n">
        <f aca="false">IF(CEG_Assets!$Y$14=1,MAX(0,AH411-AH412),AH411-AH412)</f>
        <v>0</v>
      </c>
      <c r="AI413" s="8" t="n">
        <f aca="false">IF(CEG_Assets!$Y$14=1,MAX(0,AI411-AI412),AI411-AI412)</f>
        <v>0</v>
      </c>
      <c r="AJ413" s="8" t="n">
        <f aca="false">IF(CEG_Assets!$Y$14=1,MAX(0,AJ411-AJ412),AJ411-AJ412)</f>
        <v>0</v>
      </c>
      <c r="AK413" s="8" t="n">
        <f aca="false">IF(CEG_Assets!$Y$14=1,MAX(0,AK411-AK412),AK411-AK412)</f>
        <v>0</v>
      </c>
      <c r="AL413" s="8" t="n">
        <f aca="false">IF(CEG_Assets!$Y$14=1,MAX(0,AL411-AL412),AL411-AL412)</f>
        <v>0</v>
      </c>
      <c r="AM413" s="8" t="n">
        <f aca="false">IF(CEG_Assets!$Y$14=1,MAX(0,AM411-AM412),AM411-AM412)</f>
        <v>0</v>
      </c>
      <c r="AN413" s="8" t="n">
        <f aca="false">IF(CEG_Assets!$Y$14=1,MAX(0,AN411-AN412),AN411-AN412)</f>
        <v>0</v>
      </c>
      <c r="AO413" s="8" t="n">
        <f aca="false">IF(CEG_Assets!$Y$14=1,MAX(0,AO411-AO412),AO411-AO412)</f>
        <v>0</v>
      </c>
      <c r="AP413" s="8" t="n">
        <f aca="false">IF(CEG_Assets!$Y$14=1,MAX(0,AP411-AP412),AP411-AP412)</f>
        <v>0</v>
      </c>
      <c r="AQ413" s="8" t="n">
        <f aca="false">IF(CEG_Assets!$Y$14=1,MAX(0,AQ411-AQ412),AQ411-AQ412)</f>
        <v>0</v>
      </c>
      <c r="AR413" s="8" t="n">
        <f aca="false">IF(CEG_Assets!$Y$14=1,MAX(0,AR411-AR412),AR411-AR412)</f>
        <v>0</v>
      </c>
      <c r="AS413" s="8" t="n">
        <f aca="false">IF(CEG_Assets!$Y$14=1,MAX(0,AS411-AS412),AS411-AS412)</f>
        <v>0</v>
      </c>
    </row>
    <row r="414" customFormat="false" ht="15" hidden="false" customHeight="false" outlineLevel="0" collapsed="false">
      <c r="A414" s="6" t="s">
        <v>461</v>
      </c>
      <c r="B414" s="6" t="s">
        <v>462</v>
      </c>
      <c r="C414" s="9" t="n">
        <f aca="false">SUM(G414:AS414)</f>
        <v>0</v>
      </c>
      <c r="G414" s="8" t="n">
        <f aca="false">IF(AND(CEG_Assets!$W$14=1,G$3&lt;=PTCLast,G398&gt;0),G398*MAX(0,PTCCredit*(1+Infl)^(G$3-PTCBase)-0.8*MAX(0,(G403+G404+G406)*1000000/MAX(1,G398)-PTCThresh*(1+Infl)^(G$3-PTCBase)))/1000000,0)</f>
        <v>0</v>
      </c>
      <c r="H414" s="8" t="n">
        <f aca="false">IF(AND(CEG_Assets!$W$14=1,H$3&lt;=PTCLast,H398&gt;0),H398*MAX(0,PTCCredit*(1+Infl)^(H$3-PTCBase)-0.8*MAX(0,(H403+H404+H406)*1000000/MAX(1,H398)-PTCThresh*(1+Infl)^(H$3-PTCBase)))/1000000,0)</f>
        <v>0</v>
      </c>
      <c r="I414" s="8" t="n">
        <f aca="false">IF(AND(CEG_Assets!$W$14=1,I$3&lt;=PTCLast,I398&gt;0),I398*MAX(0,PTCCredit*(1+Infl)^(I$3-PTCBase)-0.8*MAX(0,(I403+I404+I406)*1000000/MAX(1,I398)-PTCThresh*(1+Infl)^(I$3-PTCBase)))/1000000,0)</f>
        <v>0</v>
      </c>
      <c r="J414" s="8" t="n">
        <f aca="false">IF(AND(CEG_Assets!$W$14=1,J$3&lt;=PTCLast,J398&gt;0),J398*MAX(0,PTCCredit*(1+Infl)^(J$3-PTCBase)-0.8*MAX(0,(J403+J404+J406)*1000000/MAX(1,J398)-PTCThresh*(1+Infl)^(J$3-PTCBase)))/1000000,0)</f>
        <v>0</v>
      </c>
      <c r="K414" s="8" t="n">
        <f aca="false">IF(AND(CEG_Assets!$W$14=1,K$3&lt;=PTCLast,K398&gt;0),K398*MAX(0,PTCCredit*(1+Infl)^(K$3-PTCBase)-0.8*MAX(0,(K403+K404+K406)*1000000/MAX(1,K398)-PTCThresh*(1+Infl)^(K$3-PTCBase)))/1000000,0)</f>
        <v>0</v>
      </c>
      <c r="L414" s="8" t="n">
        <f aca="false">IF(AND(CEG_Assets!$W$14=1,L$3&lt;=PTCLast,L398&gt;0),L398*MAX(0,PTCCredit*(1+Infl)^(L$3-PTCBase)-0.8*MAX(0,(L403+L404+L406)*1000000/MAX(1,L398)-PTCThresh*(1+Infl)^(L$3-PTCBase)))/1000000,0)</f>
        <v>0</v>
      </c>
      <c r="M414" s="8" t="n">
        <f aca="false">IF(AND(CEG_Assets!$W$14=1,M$3&lt;=PTCLast,M398&gt;0),M398*MAX(0,PTCCredit*(1+Infl)^(M$3-PTCBase)-0.8*MAX(0,(M403+M404+M406)*1000000/MAX(1,M398)-PTCThresh*(1+Infl)^(M$3-PTCBase)))/1000000,0)</f>
        <v>0</v>
      </c>
      <c r="N414" s="8" t="n">
        <f aca="false">IF(AND(CEG_Assets!$W$14=1,N$3&lt;=PTCLast,N398&gt;0),N398*MAX(0,PTCCredit*(1+Infl)^(N$3-PTCBase)-0.8*MAX(0,(N403+N404+N406)*1000000/MAX(1,N398)-PTCThresh*(1+Infl)^(N$3-PTCBase)))/1000000,0)</f>
        <v>0</v>
      </c>
      <c r="O414" s="8" t="n">
        <f aca="false">IF(AND(CEG_Assets!$W$14=1,O$3&lt;=PTCLast,O398&gt;0),O398*MAX(0,PTCCredit*(1+Infl)^(O$3-PTCBase)-0.8*MAX(0,(O403+O404+O406)*1000000/MAX(1,O398)-PTCThresh*(1+Infl)^(O$3-PTCBase)))/1000000,0)</f>
        <v>0</v>
      </c>
      <c r="P414" s="8" t="n">
        <f aca="false">IF(AND(CEG_Assets!$W$14=1,P$3&lt;=PTCLast,P398&gt;0),P398*MAX(0,PTCCredit*(1+Infl)^(P$3-PTCBase)-0.8*MAX(0,(P403+P404+P406)*1000000/MAX(1,P398)-PTCThresh*(1+Infl)^(P$3-PTCBase)))/1000000,0)</f>
        <v>0</v>
      </c>
      <c r="Q414" s="8" t="n">
        <f aca="false">IF(AND(CEG_Assets!$W$14=1,Q$3&lt;=PTCLast,Q398&gt;0),Q398*MAX(0,PTCCredit*(1+Infl)^(Q$3-PTCBase)-0.8*MAX(0,(Q403+Q404+Q406)*1000000/MAX(1,Q398)-PTCThresh*(1+Infl)^(Q$3-PTCBase)))/1000000,0)</f>
        <v>0</v>
      </c>
      <c r="R414" s="8" t="n">
        <f aca="false">IF(AND(CEG_Assets!$W$14=1,R$3&lt;=PTCLast,R398&gt;0),R398*MAX(0,PTCCredit*(1+Infl)^(R$3-PTCBase)-0.8*MAX(0,(R403+R404+R406)*1000000/MAX(1,R398)-PTCThresh*(1+Infl)^(R$3-PTCBase)))/1000000,0)</f>
        <v>0</v>
      </c>
      <c r="S414" s="8" t="n">
        <f aca="false">IF(AND(CEG_Assets!$W$14=1,S$3&lt;=PTCLast,S398&gt;0),S398*MAX(0,PTCCredit*(1+Infl)^(S$3-PTCBase)-0.8*MAX(0,(S403+S404+S406)*1000000/MAX(1,S398)-PTCThresh*(1+Infl)^(S$3-PTCBase)))/1000000,0)</f>
        <v>0</v>
      </c>
      <c r="T414" s="8" t="n">
        <f aca="false">IF(AND(CEG_Assets!$W$14=1,T$3&lt;=PTCLast,T398&gt;0),T398*MAX(0,PTCCredit*(1+Infl)^(T$3-PTCBase)-0.8*MAX(0,(T403+T404+T406)*1000000/MAX(1,T398)-PTCThresh*(1+Infl)^(T$3-PTCBase)))/1000000,0)</f>
        <v>0</v>
      </c>
      <c r="U414" s="8" t="n">
        <f aca="false">IF(AND(CEG_Assets!$W$14=1,U$3&lt;=PTCLast,U398&gt;0),U398*MAX(0,PTCCredit*(1+Infl)^(U$3-PTCBase)-0.8*MAX(0,(U403+U404+U406)*1000000/MAX(1,U398)-PTCThresh*(1+Infl)^(U$3-PTCBase)))/1000000,0)</f>
        <v>0</v>
      </c>
      <c r="V414" s="8" t="n">
        <f aca="false">IF(AND(CEG_Assets!$W$14=1,V$3&lt;=PTCLast,V398&gt;0),V398*MAX(0,PTCCredit*(1+Infl)^(V$3-PTCBase)-0.8*MAX(0,(V403+V404+V406)*1000000/MAX(1,V398)-PTCThresh*(1+Infl)^(V$3-PTCBase)))/1000000,0)</f>
        <v>0</v>
      </c>
      <c r="W414" s="8" t="n">
        <f aca="false">IF(AND(CEG_Assets!$W$14=1,W$3&lt;=PTCLast,W398&gt;0),W398*MAX(0,PTCCredit*(1+Infl)^(W$3-PTCBase)-0.8*MAX(0,(W403+W404+W406)*1000000/MAX(1,W398)-PTCThresh*(1+Infl)^(W$3-PTCBase)))/1000000,0)</f>
        <v>0</v>
      </c>
      <c r="X414" s="8" t="n">
        <f aca="false">IF(AND(CEG_Assets!$W$14=1,X$3&lt;=PTCLast,X398&gt;0),X398*MAX(0,PTCCredit*(1+Infl)^(X$3-PTCBase)-0.8*MAX(0,(X403+X404+X406)*1000000/MAX(1,X398)-PTCThresh*(1+Infl)^(X$3-PTCBase)))/1000000,0)</f>
        <v>0</v>
      </c>
      <c r="Y414" s="8" t="n">
        <f aca="false">IF(AND(CEG_Assets!$W$14=1,Y$3&lt;=PTCLast,Y398&gt;0),Y398*MAX(0,PTCCredit*(1+Infl)^(Y$3-PTCBase)-0.8*MAX(0,(Y403+Y404+Y406)*1000000/MAX(1,Y398)-PTCThresh*(1+Infl)^(Y$3-PTCBase)))/1000000,0)</f>
        <v>0</v>
      </c>
      <c r="Z414" s="8" t="n">
        <f aca="false">IF(AND(CEG_Assets!$W$14=1,Z$3&lt;=PTCLast,Z398&gt;0),Z398*MAX(0,PTCCredit*(1+Infl)^(Z$3-PTCBase)-0.8*MAX(0,(Z403+Z404+Z406)*1000000/MAX(1,Z398)-PTCThresh*(1+Infl)^(Z$3-PTCBase)))/1000000,0)</f>
        <v>0</v>
      </c>
      <c r="AA414" s="8" t="n">
        <f aca="false">IF(AND(CEG_Assets!$W$14=1,AA$3&lt;=PTCLast,AA398&gt;0),AA398*MAX(0,PTCCredit*(1+Infl)^(AA$3-PTCBase)-0.8*MAX(0,(AA403+AA404+AA406)*1000000/MAX(1,AA398)-PTCThresh*(1+Infl)^(AA$3-PTCBase)))/1000000,0)</f>
        <v>0</v>
      </c>
      <c r="AB414" s="8" t="n">
        <f aca="false">IF(AND(CEG_Assets!$W$14=1,AB$3&lt;=PTCLast,AB398&gt;0),AB398*MAX(0,PTCCredit*(1+Infl)^(AB$3-PTCBase)-0.8*MAX(0,(AB403+AB404+AB406)*1000000/MAX(1,AB398)-PTCThresh*(1+Infl)^(AB$3-PTCBase)))/1000000,0)</f>
        <v>0</v>
      </c>
      <c r="AC414" s="8" t="n">
        <f aca="false">IF(AND(CEG_Assets!$W$14=1,AC$3&lt;=PTCLast,AC398&gt;0),AC398*MAX(0,PTCCredit*(1+Infl)^(AC$3-PTCBase)-0.8*MAX(0,(AC403+AC404+AC406)*1000000/MAX(1,AC398)-PTCThresh*(1+Infl)^(AC$3-PTCBase)))/1000000,0)</f>
        <v>0</v>
      </c>
      <c r="AD414" s="8" t="n">
        <f aca="false">IF(AND(CEG_Assets!$W$14=1,AD$3&lt;=PTCLast,AD398&gt;0),AD398*MAX(0,PTCCredit*(1+Infl)^(AD$3-PTCBase)-0.8*MAX(0,(AD403+AD404+AD406)*1000000/MAX(1,AD398)-PTCThresh*(1+Infl)^(AD$3-PTCBase)))/1000000,0)</f>
        <v>0</v>
      </c>
      <c r="AE414" s="8" t="n">
        <f aca="false">IF(AND(CEG_Assets!$W$14=1,AE$3&lt;=PTCLast,AE398&gt;0),AE398*MAX(0,PTCCredit*(1+Infl)^(AE$3-PTCBase)-0.8*MAX(0,(AE403+AE404+AE406)*1000000/MAX(1,AE398)-PTCThresh*(1+Infl)^(AE$3-PTCBase)))/1000000,0)</f>
        <v>0</v>
      </c>
      <c r="AF414" s="8" t="n">
        <f aca="false">IF(AND(CEG_Assets!$W$14=1,AF$3&lt;=PTCLast,AF398&gt;0),AF398*MAX(0,PTCCredit*(1+Infl)^(AF$3-PTCBase)-0.8*MAX(0,(AF403+AF404+AF406)*1000000/MAX(1,AF398)-PTCThresh*(1+Infl)^(AF$3-PTCBase)))/1000000,0)</f>
        <v>0</v>
      </c>
      <c r="AG414" s="8" t="n">
        <f aca="false">IF(AND(CEG_Assets!$W$14=1,AG$3&lt;=PTCLast,AG398&gt;0),AG398*MAX(0,PTCCredit*(1+Infl)^(AG$3-PTCBase)-0.8*MAX(0,(AG403+AG404+AG406)*1000000/MAX(1,AG398)-PTCThresh*(1+Infl)^(AG$3-PTCBase)))/1000000,0)</f>
        <v>0</v>
      </c>
      <c r="AH414" s="8" t="n">
        <f aca="false">IF(AND(CEG_Assets!$W$14=1,AH$3&lt;=PTCLast,AH398&gt;0),AH398*MAX(0,PTCCredit*(1+Infl)^(AH$3-PTCBase)-0.8*MAX(0,(AH403+AH404+AH406)*1000000/MAX(1,AH398)-PTCThresh*(1+Infl)^(AH$3-PTCBase)))/1000000,0)</f>
        <v>0</v>
      </c>
      <c r="AI414" s="8" t="n">
        <f aca="false">IF(AND(CEG_Assets!$W$14=1,AI$3&lt;=PTCLast,AI398&gt;0),AI398*MAX(0,PTCCredit*(1+Infl)^(AI$3-PTCBase)-0.8*MAX(0,(AI403+AI404+AI406)*1000000/MAX(1,AI398)-PTCThresh*(1+Infl)^(AI$3-PTCBase)))/1000000,0)</f>
        <v>0</v>
      </c>
      <c r="AJ414" s="8" t="n">
        <f aca="false">IF(AND(CEG_Assets!$W$14=1,AJ$3&lt;=PTCLast,AJ398&gt;0),AJ398*MAX(0,PTCCredit*(1+Infl)^(AJ$3-PTCBase)-0.8*MAX(0,(AJ403+AJ404+AJ406)*1000000/MAX(1,AJ398)-PTCThresh*(1+Infl)^(AJ$3-PTCBase)))/1000000,0)</f>
        <v>0</v>
      </c>
      <c r="AK414" s="8" t="n">
        <f aca="false">IF(AND(CEG_Assets!$W$14=1,AK$3&lt;=PTCLast,AK398&gt;0),AK398*MAX(0,PTCCredit*(1+Infl)^(AK$3-PTCBase)-0.8*MAX(0,(AK403+AK404+AK406)*1000000/MAX(1,AK398)-PTCThresh*(1+Infl)^(AK$3-PTCBase)))/1000000,0)</f>
        <v>0</v>
      </c>
      <c r="AL414" s="8" t="n">
        <f aca="false">IF(AND(CEG_Assets!$W$14=1,AL$3&lt;=PTCLast,AL398&gt;0),AL398*MAX(0,PTCCredit*(1+Infl)^(AL$3-PTCBase)-0.8*MAX(0,(AL403+AL404+AL406)*1000000/MAX(1,AL398)-PTCThresh*(1+Infl)^(AL$3-PTCBase)))/1000000,0)</f>
        <v>0</v>
      </c>
      <c r="AM414" s="8" t="n">
        <f aca="false">IF(AND(CEG_Assets!$W$14=1,AM$3&lt;=PTCLast,AM398&gt;0),AM398*MAX(0,PTCCredit*(1+Infl)^(AM$3-PTCBase)-0.8*MAX(0,(AM403+AM404+AM406)*1000000/MAX(1,AM398)-PTCThresh*(1+Infl)^(AM$3-PTCBase)))/1000000,0)</f>
        <v>0</v>
      </c>
      <c r="AN414" s="8" t="n">
        <f aca="false">IF(AND(CEG_Assets!$W$14=1,AN$3&lt;=PTCLast,AN398&gt;0),AN398*MAX(0,PTCCredit*(1+Infl)^(AN$3-PTCBase)-0.8*MAX(0,(AN403+AN404+AN406)*1000000/MAX(1,AN398)-PTCThresh*(1+Infl)^(AN$3-PTCBase)))/1000000,0)</f>
        <v>0</v>
      </c>
      <c r="AO414" s="8" t="n">
        <f aca="false">IF(AND(CEG_Assets!$W$14=1,AO$3&lt;=PTCLast,AO398&gt;0),AO398*MAX(0,PTCCredit*(1+Infl)^(AO$3-PTCBase)-0.8*MAX(0,(AO403+AO404+AO406)*1000000/MAX(1,AO398)-PTCThresh*(1+Infl)^(AO$3-PTCBase)))/1000000,0)</f>
        <v>0</v>
      </c>
      <c r="AP414" s="8" t="n">
        <f aca="false">IF(AND(CEG_Assets!$W$14=1,AP$3&lt;=PTCLast,AP398&gt;0),AP398*MAX(0,PTCCredit*(1+Infl)^(AP$3-PTCBase)-0.8*MAX(0,(AP403+AP404+AP406)*1000000/MAX(1,AP398)-PTCThresh*(1+Infl)^(AP$3-PTCBase)))/1000000,0)</f>
        <v>0</v>
      </c>
      <c r="AQ414" s="8" t="n">
        <f aca="false">IF(AND(CEG_Assets!$W$14=1,AQ$3&lt;=PTCLast,AQ398&gt;0),AQ398*MAX(0,PTCCredit*(1+Infl)^(AQ$3-PTCBase)-0.8*MAX(0,(AQ403+AQ404+AQ406)*1000000/MAX(1,AQ398)-PTCThresh*(1+Infl)^(AQ$3-PTCBase)))/1000000,0)</f>
        <v>0</v>
      </c>
      <c r="AR414" s="8" t="n">
        <f aca="false">IF(AND(CEG_Assets!$W$14=1,AR$3&lt;=PTCLast,AR398&gt;0),AR398*MAX(0,PTCCredit*(1+Infl)^(AR$3-PTCBase)-0.8*MAX(0,(AR403+AR404+AR406)*1000000/MAX(1,AR398)-PTCThresh*(1+Infl)^(AR$3-PTCBase)))/1000000,0)</f>
        <v>0</v>
      </c>
      <c r="AS414" s="8" t="n">
        <f aca="false">IF(AND(CEG_Assets!$W$14=1,AS$3&lt;=PTCLast,AS398&gt;0),AS398*MAX(0,PTCCredit*(1+Infl)^(AS$3-PTCBase)-0.8*MAX(0,(AS403+AS404+AS406)*1000000/MAX(1,AS398)-PTCThresh*(1+Infl)^(AS$3-PTCBase)))/1000000,0)</f>
        <v>0</v>
      </c>
    </row>
    <row r="415" customFormat="false" ht="15" hidden="false" customHeight="false" outlineLevel="0" collapsed="false">
      <c r="A415" s="6" t="s">
        <v>463</v>
      </c>
      <c r="B415" s="6" t="s">
        <v>464</v>
      </c>
      <c r="G415" s="8" t="n">
        <f aca="false">G405-G399*(CEG_Assets!$N$14*(1+CEG_FuelAdj)+CEG_Assets!$O$14*(1+CEG_OMAdj)+CEG_Assets!$P$14*(1+CEG_CapexAdj))*(1+CEG_Assets!$Q$14)^(G$3-2026)/1000000</f>
        <v>0</v>
      </c>
      <c r="H415" s="8" t="n">
        <f aca="false">H405-H399*(CEG_Assets!$N$14*(1+CEG_FuelAdj)+CEG_Assets!$O$14*(1+CEG_OMAdj)+CEG_Assets!$P$14*(1+CEG_CapexAdj))*(1+CEG_Assets!$Q$14)^(H$3-2026)/1000000</f>
        <v>0</v>
      </c>
      <c r="I415" s="8" t="n">
        <f aca="false">I405-I399*(CEG_Assets!$N$14*(1+CEG_FuelAdj)+CEG_Assets!$O$14*(1+CEG_OMAdj)+CEG_Assets!$P$14*(1+CEG_CapexAdj))*(1+CEG_Assets!$Q$14)^(I$3-2026)/1000000</f>
        <v>0</v>
      </c>
      <c r="J415" s="8" t="n">
        <f aca="false">J405-J399*(CEG_Assets!$N$14*(1+CEG_FuelAdj)+CEG_Assets!$O$14*(1+CEG_OMAdj)+CEG_Assets!$P$14*(1+CEG_CapexAdj))*(1+CEG_Assets!$Q$14)^(J$3-2026)/1000000</f>
        <v>0</v>
      </c>
      <c r="K415" s="8" t="n">
        <f aca="false">K405-K399*(CEG_Assets!$N$14*(1+CEG_FuelAdj)+CEG_Assets!$O$14*(1+CEG_OMAdj)+CEG_Assets!$P$14*(1+CEG_CapexAdj))*(1+CEG_Assets!$Q$14)^(K$3-2026)/1000000</f>
        <v>0</v>
      </c>
      <c r="L415" s="8" t="n">
        <f aca="false">L405-L399*(CEG_Assets!$N$14*(1+CEG_FuelAdj)+CEG_Assets!$O$14*(1+CEG_OMAdj)+CEG_Assets!$P$14*(1+CEG_CapexAdj))*(1+CEG_Assets!$Q$14)^(L$3-2026)/1000000</f>
        <v>0</v>
      </c>
      <c r="M415" s="8" t="n">
        <f aca="false">M405-M399*(CEG_Assets!$N$14*(1+CEG_FuelAdj)+CEG_Assets!$O$14*(1+CEG_OMAdj)+CEG_Assets!$P$14*(1+CEG_CapexAdj))*(1+CEG_Assets!$Q$14)^(M$3-2026)/1000000</f>
        <v>0</v>
      </c>
      <c r="N415" s="8" t="n">
        <f aca="false">N405-N399*(CEG_Assets!$N$14*(1+CEG_FuelAdj)+CEG_Assets!$O$14*(1+CEG_OMAdj)+CEG_Assets!$P$14*(1+CEG_CapexAdj))*(1+CEG_Assets!$Q$14)^(N$3-2026)/1000000</f>
        <v>0</v>
      </c>
      <c r="O415" s="8" t="n">
        <f aca="false">O405-O399*(CEG_Assets!$N$14*(1+CEG_FuelAdj)+CEG_Assets!$O$14*(1+CEG_OMAdj)+CEG_Assets!$P$14*(1+CEG_CapexAdj))*(1+CEG_Assets!$Q$14)^(O$3-2026)/1000000</f>
        <v>0</v>
      </c>
      <c r="P415" s="8" t="n">
        <f aca="false">P405-P399*(CEG_Assets!$N$14*(1+CEG_FuelAdj)+CEG_Assets!$O$14*(1+CEG_OMAdj)+CEG_Assets!$P$14*(1+CEG_CapexAdj))*(1+CEG_Assets!$Q$14)^(P$3-2026)/1000000</f>
        <v>0</v>
      </c>
      <c r="Q415" s="8" t="n">
        <f aca="false">Q405-Q399*(CEG_Assets!$N$14*(1+CEG_FuelAdj)+CEG_Assets!$O$14*(1+CEG_OMAdj)+CEG_Assets!$P$14*(1+CEG_CapexAdj))*(1+CEG_Assets!$Q$14)^(Q$3-2026)/1000000</f>
        <v>0</v>
      </c>
      <c r="R415" s="8" t="n">
        <f aca="false">R405-R399*(CEG_Assets!$N$14*(1+CEG_FuelAdj)+CEG_Assets!$O$14*(1+CEG_OMAdj)+CEG_Assets!$P$14*(1+CEG_CapexAdj))*(1+CEG_Assets!$Q$14)^(R$3-2026)/1000000</f>
        <v>0</v>
      </c>
      <c r="S415" s="8" t="n">
        <f aca="false">S405-S399*(CEG_Assets!$N$14*(1+CEG_FuelAdj)+CEG_Assets!$O$14*(1+CEG_OMAdj)+CEG_Assets!$P$14*(1+CEG_CapexAdj))*(1+CEG_Assets!$Q$14)^(S$3-2026)/1000000</f>
        <v>0</v>
      </c>
      <c r="T415" s="8" t="n">
        <f aca="false">T405-T399*(CEG_Assets!$N$14*(1+CEG_FuelAdj)+CEG_Assets!$O$14*(1+CEG_OMAdj)+CEG_Assets!$P$14*(1+CEG_CapexAdj))*(1+CEG_Assets!$Q$14)^(T$3-2026)/1000000</f>
        <v>0</v>
      </c>
      <c r="U415" s="8" t="n">
        <f aca="false">U405-U399*(CEG_Assets!$N$14*(1+CEG_FuelAdj)+CEG_Assets!$O$14*(1+CEG_OMAdj)+CEG_Assets!$P$14*(1+CEG_CapexAdj))*(1+CEG_Assets!$Q$14)^(U$3-2026)/1000000</f>
        <v>0</v>
      </c>
      <c r="V415" s="8" t="n">
        <f aca="false">V405-V399*(CEG_Assets!$N$14*(1+CEG_FuelAdj)+CEG_Assets!$O$14*(1+CEG_OMAdj)+CEG_Assets!$P$14*(1+CEG_CapexAdj))*(1+CEG_Assets!$Q$14)^(V$3-2026)/1000000</f>
        <v>0</v>
      </c>
      <c r="W415" s="8" t="n">
        <f aca="false">W405-W399*(CEG_Assets!$N$14*(1+CEG_FuelAdj)+CEG_Assets!$O$14*(1+CEG_OMAdj)+CEG_Assets!$P$14*(1+CEG_CapexAdj))*(1+CEG_Assets!$Q$14)^(W$3-2026)/1000000</f>
        <v>0</v>
      </c>
      <c r="X415" s="8" t="n">
        <f aca="false">X405-X399*(CEG_Assets!$N$14*(1+CEG_FuelAdj)+CEG_Assets!$O$14*(1+CEG_OMAdj)+CEG_Assets!$P$14*(1+CEG_CapexAdj))*(1+CEG_Assets!$Q$14)^(X$3-2026)/1000000</f>
        <v>0</v>
      </c>
      <c r="Y415" s="8" t="n">
        <f aca="false">Y405-Y399*(CEG_Assets!$N$14*(1+CEG_FuelAdj)+CEG_Assets!$O$14*(1+CEG_OMAdj)+CEG_Assets!$P$14*(1+CEG_CapexAdj))*(1+CEG_Assets!$Q$14)^(Y$3-2026)/1000000</f>
        <v>0</v>
      </c>
      <c r="Z415" s="8" t="n">
        <f aca="false">Z405-Z399*(CEG_Assets!$N$14*(1+CEG_FuelAdj)+CEG_Assets!$O$14*(1+CEG_OMAdj)+CEG_Assets!$P$14*(1+CEG_CapexAdj))*(1+CEG_Assets!$Q$14)^(Z$3-2026)/1000000</f>
        <v>0</v>
      </c>
      <c r="AA415" s="8" t="n">
        <f aca="false">AA405-AA399*(CEG_Assets!$N$14*(1+CEG_FuelAdj)+CEG_Assets!$O$14*(1+CEG_OMAdj)+CEG_Assets!$P$14*(1+CEG_CapexAdj))*(1+CEG_Assets!$Q$14)^(AA$3-2026)/1000000</f>
        <v>0</v>
      </c>
      <c r="AB415" s="8" t="n">
        <f aca="false">AB405-AB399*(CEG_Assets!$N$14*(1+CEG_FuelAdj)+CEG_Assets!$O$14*(1+CEG_OMAdj)+CEG_Assets!$P$14*(1+CEG_CapexAdj))*(1+CEG_Assets!$Q$14)^(AB$3-2026)/1000000</f>
        <v>0</v>
      </c>
      <c r="AC415" s="8" t="n">
        <f aca="false">AC405-AC399*(CEG_Assets!$N$14*(1+CEG_FuelAdj)+CEG_Assets!$O$14*(1+CEG_OMAdj)+CEG_Assets!$P$14*(1+CEG_CapexAdj))*(1+CEG_Assets!$Q$14)^(AC$3-2026)/1000000</f>
        <v>0</v>
      </c>
      <c r="AD415" s="8" t="n">
        <f aca="false">AD405-AD399*(CEG_Assets!$N$14*(1+CEG_FuelAdj)+CEG_Assets!$O$14*(1+CEG_OMAdj)+CEG_Assets!$P$14*(1+CEG_CapexAdj))*(1+CEG_Assets!$Q$14)^(AD$3-2026)/1000000</f>
        <v>0</v>
      </c>
      <c r="AE415" s="8" t="n">
        <f aca="false">AE405-AE399*(CEG_Assets!$N$14*(1+CEG_FuelAdj)+CEG_Assets!$O$14*(1+CEG_OMAdj)+CEG_Assets!$P$14*(1+CEG_CapexAdj))*(1+CEG_Assets!$Q$14)^(AE$3-2026)/1000000</f>
        <v>0</v>
      </c>
      <c r="AF415" s="8" t="n">
        <f aca="false">AF405-AF399*(CEG_Assets!$N$14*(1+CEG_FuelAdj)+CEG_Assets!$O$14*(1+CEG_OMAdj)+CEG_Assets!$P$14*(1+CEG_CapexAdj))*(1+CEG_Assets!$Q$14)^(AF$3-2026)/1000000</f>
        <v>0</v>
      </c>
      <c r="AG415" s="8" t="n">
        <f aca="false">AG405-AG399*(CEG_Assets!$N$14*(1+CEG_FuelAdj)+CEG_Assets!$O$14*(1+CEG_OMAdj)+CEG_Assets!$P$14*(1+CEG_CapexAdj))*(1+CEG_Assets!$Q$14)^(AG$3-2026)/1000000</f>
        <v>0</v>
      </c>
      <c r="AH415" s="8" t="n">
        <f aca="false">AH405-AH399*(CEG_Assets!$N$14*(1+CEG_FuelAdj)+CEG_Assets!$O$14*(1+CEG_OMAdj)+CEG_Assets!$P$14*(1+CEG_CapexAdj))*(1+CEG_Assets!$Q$14)^(AH$3-2026)/1000000</f>
        <v>0</v>
      </c>
      <c r="AI415" s="8" t="n">
        <f aca="false">AI405-AI399*(CEG_Assets!$N$14*(1+CEG_FuelAdj)+CEG_Assets!$O$14*(1+CEG_OMAdj)+CEG_Assets!$P$14*(1+CEG_CapexAdj))*(1+CEG_Assets!$Q$14)^(AI$3-2026)/1000000</f>
        <v>0</v>
      </c>
      <c r="AJ415" s="8" t="n">
        <f aca="false">AJ405-AJ399*(CEG_Assets!$N$14*(1+CEG_FuelAdj)+CEG_Assets!$O$14*(1+CEG_OMAdj)+CEG_Assets!$P$14*(1+CEG_CapexAdj))*(1+CEG_Assets!$Q$14)^(AJ$3-2026)/1000000</f>
        <v>0</v>
      </c>
      <c r="AK415" s="8" t="n">
        <f aca="false">AK405-AK399*(CEG_Assets!$N$14*(1+CEG_FuelAdj)+CEG_Assets!$O$14*(1+CEG_OMAdj)+CEG_Assets!$P$14*(1+CEG_CapexAdj))*(1+CEG_Assets!$Q$14)^(AK$3-2026)/1000000</f>
        <v>0</v>
      </c>
      <c r="AL415" s="8" t="n">
        <f aca="false">AL405-AL399*(CEG_Assets!$N$14*(1+CEG_FuelAdj)+CEG_Assets!$O$14*(1+CEG_OMAdj)+CEG_Assets!$P$14*(1+CEG_CapexAdj))*(1+CEG_Assets!$Q$14)^(AL$3-2026)/1000000</f>
        <v>0</v>
      </c>
      <c r="AM415" s="8" t="n">
        <f aca="false">AM405-AM399*(CEG_Assets!$N$14*(1+CEG_FuelAdj)+CEG_Assets!$O$14*(1+CEG_OMAdj)+CEG_Assets!$P$14*(1+CEG_CapexAdj))*(1+CEG_Assets!$Q$14)^(AM$3-2026)/1000000</f>
        <v>0</v>
      </c>
      <c r="AN415" s="8" t="n">
        <f aca="false">AN405-AN399*(CEG_Assets!$N$14*(1+CEG_FuelAdj)+CEG_Assets!$O$14*(1+CEG_OMAdj)+CEG_Assets!$P$14*(1+CEG_CapexAdj))*(1+CEG_Assets!$Q$14)^(AN$3-2026)/1000000</f>
        <v>0</v>
      </c>
      <c r="AO415" s="8" t="n">
        <f aca="false">AO405-AO399*(CEG_Assets!$N$14*(1+CEG_FuelAdj)+CEG_Assets!$O$14*(1+CEG_OMAdj)+CEG_Assets!$P$14*(1+CEG_CapexAdj))*(1+CEG_Assets!$Q$14)^(AO$3-2026)/1000000</f>
        <v>0</v>
      </c>
      <c r="AP415" s="8" t="n">
        <f aca="false">AP405-AP399*(CEG_Assets!$N$14*(1+CEG_FuelAdj)+CEG_Assets!$O$14*(1+CEG_OMAdj)+CEG_Assets!$P$14*(1+CEG_CapexAdj))*(1+CEG_Assets!$Q$14)^(AP$3-2026)/1000000</f>
        <v>0</v>
      </c>
      <c r="AQ415" s="8" t="n">
        <f aca="false">AQ405-AQ399*(CEG_Assets!$N$14*(1+CEG_FuelAdj)+CEG_Assets!$O$14*(1+CEG_OMAdj)+CEG_Assets!$P$14*(1+CEG_CapexAdj))*(1+CEG_Assets!$Q$14)^(AQ$3-2026)/1000000</f>
        <v>0</v>
      </c>
      <c r="AR415" s="8" t="n">
        <f aca="false">AR405-AR399*(CEG_Assets!$N$14*(1+CEG_FuelAdj)+CEG_Assets!$O$14*(1+CEG_OMAdj)+CEG_Assets!$P$14*(1+CEG_CapexAdj))*(1+CEG_Assets!$Q$14)^(AR$3-2026)/1000000</f>
        <v>0</v>
      </c>
      <c r="AS415" s="8" t="n">
        <f aca="false">AS405-AS399*(CEG_Assets!$N$14*(1+CEG_FuelAdj)+CEG_Assets!$O$14*(1+CEG_OMAdj)+CEG_Assets!$P$14*(1+CEG_CapexAdj))*(1+CEG_Assets!$Q$14)^(AS$3-2026)/1000000</f>
        <v>0</v>
      </c>
    </row>
    <row r="416" customFormat="false" ht="15" hidden="false" customHeight="false" outlineLevel="0" collapsed="false">
      <c r="A416" s="6" t="s">
        <v>465</v>
      </c>
      <c r="B416" s="6" t="s">
        <v>466</v>
      </c>
      <c r="G416" s="8" t="n">
        <f aca="false">G413-G415</f>
        <v>6.17891088</v>
      </c>
      <c r="H416" s="8" t="n">
        <f aca="false">H413-H415</f>
        <v>6.8386010976</v>
      </c>
      <c r="I416" s="8" t="n">
        <f aca="false">I413-I415</f>
        <v>7.023214724256</v>
      </c>
      <c r="J416" s="8" t="n">
        <f aca="false">J413-J415</f>
        <v>7.46214875972352</v>
      </c>
      <c r="K416" s="8" t="n">
        <f aca="false">K413-K415</f>
        <v>7.611391734918</v>
      </c>
      <c r="L416" s="8" t="n">
        <f aca="false">L413-L415</f>
        <v>7.76361956961635</v>
      </c>
      <c r="M416" s="8" t="n">
        <f aca="false">M413-M415</f>
        <v>7.91889196100868</v>
      </c>
      <c r="N416" s="8" t="n">
        <f aca="false">N413-N415</f>
        <v>8.07726980022886</v>
      </c>
      <c r="O416" s="8" t="n">
        <f aca="false">O413-O415</f>
        <v>8.23881519623343</v>
      </c>
      <c r="P416" s="8" t="n">
        <f aca="false">P413-P415</f>
        <v>8.4035915001581</v>
      </c>
      <c r="Q416" s="8" t="n">
        <f aca="false">Q413-Q415</f>
        <v>8.57166333016127</v>
      </c>
      <c r="R416" s="8" t="n">
        <f aca="false">R413-R415</f>
        <v>8.74309659676449</v>
      </c>
      <c r="S416" s="8" t="n">
        <f aca="false">S413-S415</f>
        <v>8.91795852869978</v>
      </c>
      <c r="T416" s="8" t="n">
        <f aca="false">T413-T415</f>
        <v>9.09631769927377</v>
      </c>
      <c r="U416" s="8" t="n">
        <f aca="false">U413-U415</f>
        <v>0</v>
      </c>
      <c r="V416" s="8" t="n">
        <f aca="false">V413-V415</f>
        <v>0</v>
      </c>
      <c r="W416" s="8" t="n">
        <f aca="false">W413-W415</f>
        <v>0</v>
      </c>
      <c r="X416" s="8" t="n">
        <f aca="false">X413-X415</f>
        <v>0</v>
      </c>
      <c r="Y416" s="8" t="n">
        <f aca="false">Y413-Y415</f>
        <v>0</v>
      </c>
      <c r="Z416" s="8" t="n">
        <f aca="false">Z413-Z415</f>
        <v>0</v>
      </c>
      <c r="AA416" s="8" t="n">
        <f aca="false">AA413-AA415</f>
        <v>0</v>
      </c>
      <c r="AB416" s="8" t="n">
        <f aca="false">AB413-AB415</f>
        <v>0</v>
      </c>
      <c r="AC416" s="8" t="n">
        <f aca="false">AC413-AC415</f>
        <v>0</v>
      </c>
      <c r="AD416" s="8" t="n">
        <f aca="false">AD413-AD415</f>
        <v>0</v>
      </c>
      <c r="AE416" s="8" t="n">
        <f aca="false">AE413-AE415</f>
        <v>0</v>
      </c>
      <c r="AF416" s="8" t="n">
        <f aca="false">AF413-AF415</f>
        <v>0</v>
      </c>
      <c r="AG416" s="8" t="n">
        <f aca="false">AG413-AG415</f>
        <v>0</v>
      </c>
      <c r="AH416" s="8" t="n">
        <f aca="false">AH413-AH415</f>
        <v>0</v>
      </c>
      <c r="AI416" s="8" t="n">
        <f aca="false">AI413-AI415</f>
        <v>0</v>
      </c>
      <c r="AJ416" s="8" t="n">
        <f aca="false">AJ413-AJ415</f>
        <v>0</v>
      </c>
      <c r="AK416" s="8" t="n">
        <f aca="false">AK413-AK415</f>
        <v>0</v>
      </c>
      <c r="AL416" s="8" t="n">
        <f aca="false">AL413-AL415</f>
        <v>0</v>
      </c>
      <c r="AM416" s="8" t="n">
        <f aca="false">AM413-AM415</f>
        <v>0</v>
      </c>
      <c r="AN416" s="8" t="n">
        <f aca="false">AN413-AN415</f>
        <v>0</v>
      </c>
      <c r="AO416" s="8" t="n">
        <f aca="false">AO413-AO415</f>
        <v>0</v>
      </c>
      <c r="AP416" s="8" t="n">
        <f aca="false">AP413-AP415</f>
        <v>0</v>
      </c>
      <c r="AQ416" s="8" t="n">
        <f aca="false">AQ413-AQ415</f>
        <v>0</v>
      </c>
      <c r="AR416" s="8" t="n">
        <f aca="false">AR413-AR415</f>
        <v>0</v>
      </c>
      <c r="AS416" s="8" t="n">
        <f aca="false">AS413-AS415</f>
        <v>0</v>
      </c>
    </row>
    <row r="417" customFormat="false" ht="15" hidden="false" customHeight="false" outlineLevel="0" collapsed="false">
      <c r="A417" s="6" t="s">
        <v>467</v>
      </c>
      <c r="B417" s="6" t="s">
        <v>468</v>
      </c>
      <c r="G417" s="8" t="n">
        <f aca="false">G416*(1-TaxRate)+G414</f>
        <v>4.943128704</v>
      </c>
      <c r="H417" s="8" t="n">
        <f aca="false">H416*(1-TaxRate)+H414</f>
        <v>5.47088087808</v>
      </c>
      <c r="I417" s="8" t="n">
        <f aca="false">I416*(1-TaxRate)+I414</f>
        <v>5.6185717794048</v>
      </c>
      <c r="J417" s="8" t="n">
        <f aca="false">J416*(1-TaxRate)+J414</f>
        <v>5.96971900777882</v>
      </c>
      <c r="K417" s="8" t="n">
        <f aca="false">K416*(1-TaxRate)+K414</f>
        <v>6.0891133879344</v>
      </c>
      <c r="L417" s="8" t="n">
        <f aca="false">L416*(1-TaxRate)+L414</f>
        <v>6.21089565569308</v>
      </c>
      <c r="M417" s="8" t="n">
        <f aca="false">M416*(1-TaxRate)+M414</f>
        <v>6.33511356880695</v>
      </c>
      <c r="N417" s="8" t="n">
        <f aca="false">N416*(1-TaxRate)+N414</f>
        <v>6.46181584018309</v>
      </c>
      <c r="O417" s="8" t="n">
        <f aca="false">O416*(1-TaxRate)+O414</f>
        <v>6.59105215698675</v>
      </c>
      <c r="P417" s="8" t="n">
        <f aca="false">P416*(1-TaxRate)+P414</f>
        <v>6.72287320012648</v>
      </c>
      <c r="Q417" s="8" t="n">
        <f aca="false">Q416*(1-TaxRate)+Q414</f>
        <v>6.85733066412901</v>
      </c>
      <c r="R417" s="8" t="n">
        <f aca="false">R416*(1-TaxRate)+R414</f>
        <v>6.99447727741159</v>
      </c>
      <c r="S417" s="8" t="n">
        <f aca="false">S416*(1-TaxRate)+S414</f>
        <v>7.13436682295983</v>
      </c>
      <c r="T417" s="8" t="n">
        <f aca="false">T416*(1-TaxRate)+T414</f>
        <v>7.27705415941901</v>
      </c>
      <c r="U417" s="8" t="n">
        <f aca="false">U416*(1-TaxRate)+U414</f>
        <v>0</v>
      </c>
      <c r="V417" s="8" t="n">
        <f aca="false">V416*(1-TaxRate)+V414</f>
        <v>0</v>
      </c>
      <c r="W417" s="8" t="n">
        <f aca="false">W416*(1-TaxRate)+W414</f>
        <v>0</v>
      </c>
      <c r="X417" s="8" t="n">
        <f aca="false">X416*(1-TaxRate)+X414</f>
        <v>0</v>
      </c>
      <c r="Y417" s="8" t="n">
        <f aca="false">Y416*(1-TaxRate)+Y414</f>
        <v>0</v>
      </c>
      <c r="Z417" s="8" t="n">
        <f aca="false">Z416*(1-TaxRate)+Z414</f>
        <v>0</v>
      </c>
      <c r="AA417" s="8" t="n">
        <f aca="false">AA416*(1-TaxRate)+AA414</f>
        <v>0</v>
      </c>
      <c r="AB417" s="8" t="n">
        <f aca="false">AB416*(1-TaxRate)+AB414</f>
        <v>0</v>
      </c>
      <c r="AC417" s="8" t="n">
        <f aca="false">AC416*(1-TaxRate)+AC414</f>
        <v>0</v>
      </c>
      <c r="AD417" s="8" t="n">
        <f aca="false">AD416*(1-TaxRate)+AD414</f>
        <v>0</v>
      </c>
      <c r="AE417" s="8" t="n">
        <f aca="false">AE416*(1-TaxRate)+AE414</f>
        <v>0</v>
      </c>
      <c r="AF417" s="8" t="n">
        <f aca="false">AF416*(1-TaxRate)+AF414</f>
        <v>0</v>
      </c>
      <c r="AG417" s="8" t="n">
        <f aca="false">AG416*(1-TaxRate)+AG414</f>
        <v>0</v>
      </c>
      <c r="AH417" s="8" t="n">
        <f aca="false">AH416*(1-TaxRate)+AH414</f>
        <v>0</v>
      </c>
      <c r="AI417" s="8" t="n">
        <f aca="false">AI416*(1-TaxRate)+AI414</f>
        <v>0</v>
      </c>
      <c r="AJ417" s="8" t="n">
        <f aca="false">AJ416*(1-TaxRate)+AJ414</f>
        <v>0</v>
      </c>
      <c r="AK417" s="8" t="n">
        <f aca="false">AK416*(1-TaxRate)+AK414</f>
        <v>0</v>
      </c>
      <c r="AL417" s="8" t="n">
        <f aca="false">AL416*(1-TaxRate)+AL414</f>
        <v>0</v>
      </c>
      <c r="AM417" s="8" t="n">
        <f aca="false">AM416*(1-TaxRate)+AM414</f>
        <v>0</v>
      </c>
      <c r="AN417" s="8" t="n">
        <f aca="false">AN416*(1-TaxRate)+AN414</f>
        <v>0</v>
      </c>
      <c r="AO417" s="8" t="n">
        <f aca="false">AO416*(1-TaxRate)+AO414</f>
        <v>0</v>
      </c>
      <c r="AP417" s="8" t="n">
        <f aca="false">AP416*(1-TaxRate)+AP414</f>
        <v>0</v>
      </c>
      <c r="AQ417" s="8" t="n">
        <f aca="false">AQ416*(1-TaxRate)+AQ414</f>
        <v>0</v>
      </c>
      <c r="AR417" s="8" t="n">
        <f aca="false">AR416*(1-TaxRate)+AR414</f>
        <v>0</v>
      </c>
      <c r="AS417" s="8" t="n">
        <f aca="false">AS416*(1-TaxRate)+AS414</f>
        <v>0</v>
      </c>
    </row>
    <row r="418" customFormat="false" ht="15" hidden="false" customHeight="false" outlineLevel="0" collapsed="false">
      <c r="A418" s="6" t="s">
        <v>469</v>
      </c>
      <c r="B418" s="6" t="s">
        <v>470</v>
      </c>
      <c r="G418" s="8" t="n">
        <f aca="false">G415*(1-TaxRate)</f>
        <v>0</v>
      </c>
      <c r="H418" s="8" t="n">
        <f aca="false">H415*(1-TaxRate)</f>
        <v>0</v>
      </c>
      <c r="I418" s="8" t="n">
        <f aca="false">I415*(1-TaxRate)</f>
        <v>0</v>
      </c>
      <c r="J418" s="8" t="n">
        <f aca="false">J415*(1-TaxRate)</f>
        <v>0</v>
      </c>
      <c r="K418" s="8" t="n">
        <f aca="false">K415*(1-TaxRate)</f>
        <v>0</v>
      </c>
      <c r="L418" s="8" t="n">
        <f aca="false">L415*(1-TaxRate)</f>
        <v>0</v>
      </c>
      <c r="M418" s="8" t="n">
        <f aca="false">M415*(1-TaxRate)</f>
        <v>0</v>
      </c>
      <c r="N418" s="8" t="n">
        <f aca="false">N415*(1-TaxRate)</f>
        <v>0</v>
      </c>
      <c r="O418" s="8" t="n">
        <f aca="false">O415*(1-TaxRate)</f>
        <v>0</v>
      </c>
      <c r="P418" s="8" t="n">
        <f aca="false">P415*(1-TaxRate)</f>
        <v>0</v>
      </c>
      <c r="Q418" s="8" t="n">
        <f aca="false">Q415*(1-TaxRate)</f>
        <v>0</v>
      </c>
      <c r="R418" s="8" t="n">
        <f aca="false">R415*(1-TaxRate)</f>
        <v>0</v>
      </c>
      <c r="S418" s="8" t="n">
        <f aca="false">S415*(1-TaxRate)</f>
        <v>0</v>
      </c>
      <c r="T418" s="8" t="n">
        <f aca="false">T415*(1-TaxRate)</f>
        <v>0</v>
      </c>
      <c r="U418" s="8" t="n">
        <f aca="false">U415*(1-TaxRate)</f>
        <v>0</v>
      </c>
      <c r="V418" s="8" t="n">
        <f aca="false">V415*(1-TaxRate)</f>
        <v>0</v>
      </c>
      <c r="W418" s="8" t="n">
        <f aca="false">W415*(1-TaxRate)</f>
        <v>0</v>
      </c>
      <c r="X418" s="8" t="n">
        <f aca="false">X415*(1-TaxRate)</f>
        <v>0</v>
      </c>
      <c r="Y418" s="8" t="n">
        <f aca="false">Y415*(1-TaxRate)</f>
        <v>0</v>
      </c>
      <c r="Z418" s="8" t="n">
        <f aca="false">Z415*(1-TaxRate)</f>
        <v>0</v>
      </c>
      <c r="AA418" s="8" t="n">
        <f aca="false">AA415*(1-TaxRate)</f>
        <v>0</v>
      </c>
      <c r="AB418" s="8" t="n">
        <f aca="false">AB415*(1-TaxRate)</f>
        <v>0</v>
      </c>
      <c r="AC418" s="8" t="n">
        <f aca="false">AC415*(1-TaxRate)</f>
        <v>0</v>
      </c>
      <c r="AD418" s="8" t="n">
        <f aca="false">AD415*(1-TaxRate)</f>
        <v>0</v>
      </c>
      <c r="AE418" s="8" t="n">
        <f aca="false">AE415*(1-TaxRate)</f>
        <v>0</v>
      </c>
      <c r="AF418" s="8" t="n">
        <f aca="false">AF415*(1-TaxRate)</f>
        <v>0</v>
      </c>
      <c r="AG418" s="8" t="n">
        <f aca="false">AG415*(1-TaxRate)</f>
        <v>0</v>
      </c>
      <c r="AH418" s="8" t="n">
        <f aca="false">AH415*(1-TaxRate)</f>
        <v>0</v>
      </c>
      <c r="AI418" s="8" t="n">
        <f aca="false">AI415*(1-TaxRate)</f>
        <v>0</v>
      </c>
      <c r="AJ418" s="8" t="n">
        <f aca="false">AJ415*(1-TaxRate)</f>
        <v>0</v>
      </c>
      <c r="AK418" s="8" t="n">
        <f aca="false">AK415*(1-TaxRate)</f>
        <v>0</v>
      </c>
      <c r="AL418" s="8" t="n">
        <f aca="false">AL415*(1-TaxRate)</f>
        <v>0</v>
      </c>
      <c r="AM418" s="8" t="n">
        <f aca="false">AM415*(1-TaxRate)</f>
        <v>0</v>
      </c>
      <c r="AN418" s="8" t="n">
        <f aca="false">AN415*(1-TaxRate)</f>
        <v>0</v>
      </c>
      <c r="AO418" s="8" t="n">
        <f aca="false">AO415*(1-TaxRate)</f>
        <v>0</v>
      </c>
      <c r="AP418" s="8" t="n">
        <f aca="false">AP415*(1-TaxRate)</f>
        <v>0</v>
      </c>
      <c r="AQ418" s="8" t="n">
        <f aca="false">AQ415*(1-TaxRate)</f>
        <v>0</v>
      </c>
      <c r="AR418" s="8" t="n">
        <f aca="false">AR415*(1-TaxRate)</f>
        <v>0</v>
      </c>
      <c r="AS418" s="8" t="n">
        <f aca="false">AS415*(1-TaxRate)</f>
        <v>0</v>
      </c>
    </row>
    <row r="419" customFormat="false" ht="15" hidden="false" customHeight="false" outlineLevel="0" collapsed="false">
      <c r="A419" s="6" t="s">
        <v>471</v>
      </c>
      <c r="B419" s="6" t="s">
        <v>472</v>
      </c>
      <c r="G419" s="42" t="n">
        <f aca="false">(1+CEG_Assets!$AE$14)^-(G$3+0.5-ValDate)</f>
        <v>0.931012444622223</v>
      </c>
      <c r="H419" s="42" t="n">
        <f aca="false">(1+CEG_Assets!$AE$14)^-(H$3+0.5-ValDate)</f>
        <v>0.846374949656566</v>
      </c>
      <c r="I419" s="42" t="n">
        <f aca="false">(1+CEG_Assets!$AE$14)^-(I$3+0.5-ValDate)</f>
        <v>0.76943177241506</v>
      </c>
      <c r="J419" s="42" t="n">
        <f aca="false">(1+CEG_Assets!$AE$14)^-(J$3+0.5-ValDate)</f>
        <v>0.699483429468236</v>
      </c>
      <c r="K419" s="42" t="n">
        <f aca="false">(1+CEG_Assets!$AE$14)^-(K$3+0.5-ValDate)</f>
        <v>0.635894026789306</v>
      </c>
      <c r="L419" s="42" t="n">
        <f aca="false">(1+CEG_Assets!$AE$14)^-(L$3+0.5-ValDate)</f>
        <v>0.578085478899369</v>
      </c>
      <c r="M419" s="42" t="n">
        <f aca="false">(1+CEG_Assets!$AE$14)^-(M$3+0.5-ValDate)</f>
        <v>0.525532253544881</v>
      </c>
      <c r="N419" s="42" t="n">
        <f aca="false">(1+CEG_Assets!$AE$14)^-(N$3+0.5-ValDate)</f>
        <v>0.47775659413171</v>
      </c>
      <c r="O419" s="42" t="n">
        <f aca="false">(1+CEG_Assets!$AE$14)^-(O$3+0.5-ValDate)</f>
        <v>0.434324176483372</v>
      </c>
      <c r="P419" s="42" t="n">
        <f aca="false">(1+CEG_Assets!$AE$14)^-(P$3+0.5-ValDate)</f>
        <v>0.394840160439429</v>
      </c>
      <c r="Q419" s="42" t="n">
        <f aca="false">(1+CEG_Assets!$AE$14)^-(Q$3+0.5-ValDate)</f>
        <v>0.358945600399481</v>
      </c>
      <c r="R419" s="42" t="n">
        <f aca="false">(1+CEG_Assets!$AE$14)^-(R$3+0.5-ValDate)</f>
        <v>0.326314182181347</v>
      </c>
      <c r="S419" s="42" t="n">
        <f aca="false">(1+CEG_Assets!$AE$14)^-(S$3+0.5-ValDate)</f>
        <v>0.296649256528497</v>
      </c>
      <c r="T419" s="42" t="n">
        <f aca="false">(1+CEG_Assets!$AE$14)^-(T$3+0.5-ValDate)</f>
        <v>0.269681142298634</v>
      </c>
      <c r="U419" s="42" t="n">
        <f aca="false">(1+CEG_Assets!$AE$14)^-(U$3+0.5-ValDate)</f>
        <v>0.24516467481694</v>
      </c>
      <c r="V419" s="42" t="n">
        <f aca="false">(1+CEG_Assets!$AE$14)^-(V$3+0.5-ValDate)</f>
        <v>0.222876977106309</v>
      </c>
      <c r="W419" s="42" t="n">
        <f aca="false">(1+CEG_Assets!$AE$14)^-(W$3+0.5-ValDate)</f>
        <v>0.202615433733008</v>
      </c>
      <c r="X419" s="42" t="n">
        <f aca="false">(1+CEG_Assets!$AE$14)^-(X$3+0.5-ValDate)</f>
        <v>0.184195848848189</v>
      </c>
      <c r="Y419" s="42" t="n">
        <f aca="false">(1+CEG_Assets!$AE$14)^-(Y$3+0.5-ValDate)</f>
        <v>0.167450771680172</v>
      </c>
      <c r="Z419" s="42" t="n">
        <f aca="false">(1+CEG_Assets!$AE$14)^-(Z$3+0.5-ValDate)</f>
        <v>0.152227974254702</v>
      </c>
      <c r="AA419" s="42" t="n">
        <f aca="false">(1+CEG_Assets!$AE$14)^-(AA$3+0.5-ValDate)</f>
        <v>0.138389067504274</v>
      </c>
      <c r="AB419" s="42" t="n">
        <f aca="false">(1+CEG_Assets!$AE$14)^-(AB$3+0.5-ValDate)</f>
        <v>0.125808243185704</v>
      </c>
      <c r="AC419" s="42" t="n">
        <f aca="false">(1+CEG_Assets!$AE$14)^-(AC$3+0.5-ValDate)</f>
        <v>0.114371130168822</v>
      </c>
      <c r="AD419" s="42" t="n">
        <f aca="false">(1+CEG_Assets!$AE$14)^-(AD$3+0.5-ValDate)</f>
        <v>0.103973754698929</v>
      </c>
      <c r="AE419" s="42" t="n">
        <f aca="false">(1+CEG_Assets!$AE$14)^-(AE$3+0.5-ValDate)</f>
        <v>0.0945215951808443</v>
      </c>
      <c r="AF419" s="42" t="n">
        <f aca="false">(1+CEG_Assets!$AE$14)^-(AF$3+0.5-ValDate)</f>
        <v>0.0859287228916766</v>
      </c>
      <c r="AG419" s="42" t="n">
        <f aca="false">(1+CEG_Assets!$AE$14)^-(AG$3+0.5-ValDate)</f>
        <v>0.0781170208106151</v>
      </c>
      <c r="AH419" s="42" t="n">
        <f aca="false">(1+CEG_Assets!$AE$14)^-(AH$3+0.5-ValDate)</f>
        <v>0.0710154734641955</v>
      </c>
      <c r="AI419" s="42" t="n">
        <f aca="false">(1+CEG_Assets!$AE$14)^-(AI$3+0.5-ValDate)</f>
        <v>0.0645595213310868</v>
      </c>
      <c r="AJ419" s="42" t="n">
        <f aca="false">(1+CEG_Assets!$AE$14)^-(AJ$3+0.5-ValDate)</f>
        <v>0.0586904739373517</v>
      </c>
      <c r="AK419" s="42" t="n">
        <f aca="false">(1+CEG_Assets!$AE$14)^-(AK$3+0.5-ValDate)</f>
        <v>0.0533549763066833</v>
      </c>
      <c r="AL419" s="42" t="n">
        <f aca="false">(1+CEG_Assets!$AE$14)^-(AL$3+0.5-ValDate)</f>
        <v>0.0485045239151667</v>
      </c>
      <c r="AM419" s="42" t="n">
        <f aca="false">(1+CEG_Assets!$AE$14)^-(AM$3+0.5-ValDate)</f>
        <v>0.0440950217410606</v>
      </c>
      <c r="AN419" s="42" t="n">
        <f aca="false">(1+CEG_Assets!$AE$14)^-(AN$3+0.5-ValDate)</f>
        <v>0.0400863834009642</v>
      </c>
      <c r="AO419" s="42" t="n">
        <f aca="false">(1+CEG_Assets!$AE$14)^-(AO$3+0.5-ValDate)</f>
        <v>0.0364421667281493</v>
      </c>
      <c r="AP419" s="42" t="n">
        <f aca="false">(1+CEG_Assets!$AE$14)^-(AP$3+0.5-ValDate)</f>
        <v>0.0331292424801357</v>
      </c>
      <c r="AQ419" s="42" t="n">
        <f aca="false">(1+CEG_Assets!$AE$14)^-(AQ$3+0.5-ValDate)</f>
        <v>0.0301174931637597</v>
      </c>
      <c r="AR419" s="42" t="n">
        <f aca="false">(1+CEG_Assets!$AE$14)^-(AR$3+0.5-ValDate)</f>
        <v>0.0273795392397815</v>
      </c>
      <c r="AS419" s="42" t="n">
        <f aca="false">(1+CEG_Assets!$AE$14)^-(AS$3+0.5-ValDate)</f>
        <v>0.0248904902179832</v>
      </c>
    </row>
    <row r="420" customFormat="false" ht="15" hidden="false" customHeight="false" outlineLevel="0" collapsed="false">
      <c r="A420" s="6" t="s">
        <v>473</v>
      </c>
      <c r="B420" s="6" t="s">
        <v>474</v>
      </c>
      <c r="G420" s="42" t="n">
        <f aca="false">(1+CEG_Assets!$AF$14)^-(G$3+0.5-ValDate)</f>
        <v>0.931012444622223</v>
      </c>
      <c r="H420" s="42" t="n">
        <f aca="false">(1+CEG_Assets!$AF$14)^-(H$3+0.5-ValDate)</f>
        <v>0.846374949656566</v>
      </c>
      <c r="I420" s="42" t="n">
        <f aca="false">(1+CEG_Assets!$AF$14)^-(I$3+0.5-ValDate)</f>
        <v>0.76943177241506</v>
      </c>
      <c r="J420" s="42" t="n">
        <f aca="false">(1+CEG_Assets!$AF$14)^-(J$3+0.5-ValDate)</f>
        <v>0.699483429468236</v>
      </c>
      <c r="K420" s="42" t="n">
        <f aca="false">(1+CEG_Assets!$AF$14)^-(K$3+0.5-ValDate)</f>
        <v>0.635894026789306</v>
      </c>
      <c r="L420" s="42" t="n">
        <f aca="false">(1+CEG_Assets!$AF$14)^-(L$3+0.5-ValDate)</f>
        <v>0.578085478899369</v>
      </c>
      <c r="M420" s="42" t="n">
        <f aca="false">(1+CEG_Assets!$AF$14)^-(M$3+0.5-ValDate)</f>
        <v>0.525532253544881</v>
      </c>
      <c r="N420" s="42" t="n">
        <f aca="false">(1+CEG_Assets!$AF$14)^-(N$3+0.5-ValDate)</f>
        <v>0.47775659413171</v>
      </c>
      <c r="O420" s="42" t="n">
        <f aca="false">(1+CEG_Assets!$AF$14)^-(O$3+0.5-ValDate)</f>
        <v>0.434324176483372</v>
      </c>
      <c r="P420" s="42" t="n">
        <f aca="false">(1+CEG_Assets!$AF$14)^-(P$3+0.5-ValDate)</f>
        <v>0.394840160439429</v>
      </c>
      <c r="Q420" s="42" t="n">
        <f aca="false">(1+CEG_Assets!$AF$14)^-(Q$3+0.5-ValDate)</f>
        <v>0.358945600399481</v>
      </c>
      <c r="R420" s="42" t="n">
        <f aca="false">(1+CEG_Assets!$AF$14)^-(R$3+0.5-ValDate)</f>
        <v>0.326314182181347</v>
      </c>
      <c r="S420" s="42" t="n">
        <f aca="false">(1+CEG_Assets!$AF$14)^-(S$3+0.5-ValDate)</f>
        <v>0.296649256528497</v>
      </c>
      <c r="T420" s="42" t="n">
        <f aca="false">(1+CEG_Assets!$AF$14)^-(T$3+0.5-ValDate)</f>
        <v>0.269681142298634</v>
      </c>
      <c r="U420" s="42" t="n">
        <f aca="false">(1+CEG_Assets!$AF$14)^-(U$3+0.5-ValDate)</f>
        <v>0.24516467481694</v>
      </c>
      <c r="V420" s="42" t="n">
        <f aca="false">(1+CEG_Assets!$AF$14)^-(V$3+0.5-ValDate)</f>
        <v>0.222876977106309</v>
      </c>
      <c r="W420" s="42" t="n">
        <f aca="false">(1+CEG_Assets!$AF$14)^-(W$3+0.5-ValDate)</f>
        <v>0.202615433733008</v>
      </c>
      <c r="X420" s="42" t="n">
        <f aca="false">(1+CEG_Assets!$AF$14)^-(X$3+0.5-ValDate)</f>
        <v>0.184195848848189</v>
      </c>
      <c r="Y420" s="42" t="n">
        <f aca="false">(1+CEG_Assets!$AF$14)^-(Y$3+0.5-ValDate)</f>
        <v>0.167450771680172</v>
      </c>
      <c r="Z420" s="42" t="n">
        <f aca="false">(1+CEG_Assets!$AF$14)^-(Z$3+0.5-ValDate)</f>
        <v>0.152227974254702</v>
      </c>
      <c r="AA420" s="42" t="n">
        <f aca="false">(1+CEG_Assets!$AF$14)^-(AA$3+0.5-ValDate)</f>
        <v>0.138389067504274</v>
      </c>
      <c r="AB420" s="42" t="n">
        <f aca="false">(1+CEG_Assets!$AF$14)^-(AB$3+0.5-ValDate)</f>
        <v>0.125808243185704</v>
      </c>
      <c r="AC420" s="42" t="n">
        <f aca="false">(1+CEG_Assets!$AF$14)^-(AC$3+0.5-ValDate)</f>
        <v>0.114371130168822</v>
      </c>
      <c r="AD420" s="42" t="n">
        <f aca="false">(1+CEG_Assets!$AF$14)^-(AD$3+0.5-ValDate)</f>
        <v>0.103973754698929</v>
      </c>
      <c r="AE420" s="42" t="n">
        <f aca="false">(1+CEG_Assets!$AF$14)^-(AE$3+0.5-ValDate)</f>
        <v>0.0945215951808443</v>
      </c>
      <c r="AF420" s="42" t="n">
        <f aca="false">(1+CEG_Assets!$AF$14)^-(AF$3+0.5-ValDate)</f>
        <v>0.0859287228916766</v>
      </c>
      <c r="AG420" s="42" t="n">
        <f aca="false">(1+CEG_Assets!$AF$14)^-(AG$3+0.5-ValDate)</f>
        <v>0.0781170208106151</v>
      </c>
      <c r="AH420" s="42" t="n">
        <f aca="false">(1+CEG_Assets!$AF$14)^-(AH$3+0.5-ValDate)</f>
        <v>0.0710154734641955</v>
      </c>
      <c r="AI420" s="42" t="n">
        <f aca="false">(1+CEG_Assets!$AF$14)^-(AI$3+0.5-ValDate)</f>
        <v>0.0645595213310868</v>
      </c>
      <c r="AJ420" s="42" t="n">
        <f aca="false">(1+CEG_Assets!$AF$14)^-(AJ$3+0.5-ValDate)</f>
        <v>0.0586904739373517</v>
      </c>
      <c r="AK420" s="42" t="n">
        <f aca="false">(1+CEG_Assets!$AF$14)^-(AK$3+0.5-ValDate)</f>
        <v>0.0533549763066833</v>
      </c>
      <c r="AL420" s="42" t="n">
        <f aca="false">(1+CEG_Assets!$AF$14)^-(AL$3+0.5-ValDate)</f>
        <v>0.0485045239151667</v>
      </c>
      <c r="AM420" s="42" t="n">
        <f aca="false">(1+CEG_Assets!$AF$14)^-(AM$3+0.5-ValDate)</f>
        <v>0.0440950217410606</v>
      </c>
      <c r="AN420" s="42" t="n">
        <f aca="false">(1+CEG_Assets!$AF$14)^-(AN$3+0.5-ValDate)</f>
        <v>0.0400863834009642</v>
      </c>
      <c r="AO420" s="42" t="n">
        <f aca="false">(1+CEG_Assets!$AF$14)^-(AO$3+0.5-ValDate)</f>
        <v>0.0364421667281493</v>
      </c>
      <c r="AP420" s="42" t="n">
        <f aca="false">(1+CEG_Assets!$AF$14)^-(AP$3+0.5-ValDate)</f>
        <v>0.0331292424801357</v>
      </c>
      <c r="AQ420" s="42" t="n">
        <f aca="false">(1+CEG_Assets!$AF$14)^-(AQ$3+0.5-ValDate)</f>
        <v>0.0301174931637597</v>
      </c>
      <c r="AR420" s="42" t="n">
        <f aca="false">(1+CEG_Assets!$AF$14)^-(AR$3+0.5-ValDate)</f>
        <v>0.0273795392397815</v>
      </c>
      <c r="AS420" s="42" t="n">
        <f aca="false">(1+CEG_Assets!$AF$14)^-(AS$3+0.5-ValDate)</f>
        <v>0.0248904902179832</v>
      </c>
    </row>
    <row r="421" customFormat="false" ht="15" hidden="false" customHeight="false" outlineLevel="0" collapsed="false">
      <c r="A421" s="6" t="s">
        <v>475</v>
      </c>
      <c r="B421" s="6" t="s">
        <v>476</v>
      </c>
      <c r="C421" s="43" t="n">
        <f aca="false">SUM(G421:AS421)</f>
        <v>45.9501074233286</v>
      </c>
      <c r="D421" s="8" t="n">
        <f aca="false">SUMIF($G$3:$AS$3,"&lt;="&amp;Horizon,G421:AS421)</f>
        <v>17.7313580337469</v>
      </c>
      <c r="E421" s="8" t="n">
        <f aca="false">(C421-D421)*(1+CEG_Assets!$AE$14)^(Horizon+1-ValDate)</f>
        <v>42.3113297574311</v>
      </c>
      <c r="G421" s="8" t="n">
        <f aca="false">G417*G419</f>
        <v>4.60211433879332</v>
      </c>
      <c r="H421" s="8" t="n">
        <f aca="false">H417*H419</f>
        <v>4.63041652776203</v>
      </c>
      <c r="I421" s="8" t="n">
        <f aca="false">I417*I419</f>
        <v>4.32310764266868</v>
      </c>
      <c r="J421" s="8" t="n">
        <f aca="false">J417*J419</f>
        <v>4.17571952452285</v>
      </c>
      <c r="K421" s="8" t="n">
        <f aca="false">K417*K419</f>
        <v>3.87203083183028</v>
      </c>
      <c r="L421" s="8" t="n">
        <f aca="false">L417*L419</f>
        <v>3.59042858951534</v>
      </c>
      <c r="M421" s="8" t="n">
        <f aca="false">M417*M419</f>
        <v>3.32930651027787</v>
      </c>
      <c r="N421" s="8" t="n">
        <f aca="false">N417*N419</f>
        <v>3.08717512771221</v>
      </c>
      <c r="O421" s="8" t="n">
        <f aca="false">O417*O419</f>
        <v>2.86265330024222</v>
      </c>
      <c r="P421" s="8" t="n">
        <f aca="false">P417*P419</f>
        <v>2.65446033295188</v>
      </c>
      <c r="Q421" s="8" t="n">
        <f aca="false">Q417*Q419</f>
        <v>2.46140867237356</v>
      </c>
      <c r="R421" s="8" t="n">
        <f aca="false">R417*R419</f>
        <v>2.28239713256458</v>
      </c>
      <c r="S421" s="8" t="n">
        <f aca="false">S417*S419</f>
        <v>2.11640461383261</v>
      </c>
      <c r="T421" s="8" t="n">
        <f aca="false">T417*T419</f>
        <v>1.96248427828114</v>
      </c>
      <c r="U421" s="8" t="n">
        <f aca="false">U417*U419</f>
        <v>0</v>
      </c>
      <c r="V421" s="8" t="n">
        <f aca="false">V417*V419</f>
        <v>0</v>
      </c>
      <c r="W421" s="8" t="n">
        <f aca="false">W417*W419</f>
        <v>0</v>
      </c>
      <c r="X421" s="8" t="n">
        <f aca="false">X417*X419</f>
        <v>0</v>
      </c>
      <c r="Y421" s="8" t="n">
        <f aca="false">Y417*Y419</f>
        <v>0</v>
      </c>
      <c r="Z421" s="8" t="n">
        <f aca="false">Z417*Z419</f>
        <v>0</v>
      </c>
      <c r="AA421" s="8" t="n">
        <f aca="false">AA417*AA419</f>
        <v>0</v>
      </c>
      <c r="AB421" s="8" t="n">
        <f aca="false">AB417*AB419</f>
        <v>0</v>
      </c>
      <c r="AC421" s="8" t="n">
        <f aca="false">AC417*AC419</f>
        <v>0</v>
      </c>
      <c r="AD421" s="8" t="n">
        <f aca="false">AD417*AD419</f>
        <v>0</v>
      </c>
      <c r="AE421" s="8" t="n">
        <f aca="false">AE417*AE419</f>
        <v>0</v>
      </c>
      <c r="AF421" s="8" t="n">
        <f aca="false">AF417*AF419</f>
        <v>0</v>
      </c>
      <c r="AG421" s="8" t="n">
        <f aca="false">AG417*AG419</f>
        <v>0</v>
      </c>
      <c r="AH421" s="8" t="n">
        <f aca="false">AH417*AH419</f>
        <v>0</v>
      </c>
      <c r="AI421" s="8" t="n">
        <f aca="false">AI417*AI419</f>
        <v>0</v>
      </c>
      <c r="AJ421" s="8" t="n">
        <f aca="false">AJ417*AJ419</f>
        <v>0</v>
      </c>
      <c r="AK421" s="8" t="n">
        <f aca="false">AK417*AK419</f>
        <v>0</v>
      </c>
      <c r="AL421" s="8" t="n">
        <f aca="false">AL417*AL419</f>
        <v>0</v>
      </c>
      <c r="AM421" s="8" t="n">
        <f aca="false">AM417*AM419</f>
        <v>0</v>
      </c>
      <c r="AN421" s="8" t="n">
        <f aca="false">AN417*AN419</f>
        <v>0</v>
      </c>
      <c r="AO421" s="8" t="n">
        <f aca="false">AO417*AO419</f>
        <v>0</v>
      </c>
      <c r="AP421" s="8" t="n">
        <f aca="false">AP417*AP419</f>
        <v>0</v>
      </c>
      <c r="AQ421" s="8" t="n">
        <f aca="false">AQ417*AQ419</f>
        <v>0</v>
      </c>
      <c r="AR421" s="8" t="n">
        <f aca="false">AR417*AR419</f>
        <v>0</v>
      </c>
      <c r="AS421" s="8" t="n">
        <f aca="false">AS417*AS419</f>
        <v>0</v>
      </c>
    </row>
    <row r="422" customFormat="false" ht="15" hidden="false" customHeight="false" outlineLevel="0" collapsed="false">
      <c r="A422" s="6" t="s">
        <v>477</v>
      </c>
      <c r="B422" s="6" t="s">
        <v>478</v>
      </c>
      <c r="C422" s="43" t="n">
        <f aca="false">SUM(G422:AS422)</f>
        <v>0</v>
      </c>
      <c r="D422" s="8" t="n">
        <f aca="false">SUMIF($G$3:$AS$3,"&lt;="&amp;Horizon,G422:AS422)</f>
        <v>0</v>
      </c>
      <c r="E422" s="8" t="n">
        <f aca="false">(C422-D422)*(1+CEG_Assets!$AF$14)^(Horizon+1-ValDate)</f>
        <v>0</v>
      </c>
      <c r="G422" s="8" t="n">
        <f aca="false">G418*G420</f>
        <v>0</v>
      </c>
      <c r="H422" s="8" t="n">
        <f aca="false">H418*H420</f>
        <v>0</v>
      </c>
      <c r="I422" s="8" t="n">
        <f aca="false">I418*I420</f>
        <v>0</v>
      </c>
      <c r="J422" s="8" t="n">
        <f aca="false">J418*J420</f>
        <v>0</v>
      </c>
      <c r="K422" s="8" t="n">
        <f aca="false">K418*K420</f>
        <v>0</v>
      </c>
      <c r="L422" s="8" t="n">
        <f aca="false">L418*L420</f>
        <v>0</v>
      </c>
      <c r="M422" s="8" t="n">
        <f aca="false">M418*M420</f>
        <v>0</v>
      </c>
      <c r="N422" s="8" t="n">
        <f aca="false">N418*N420</f>
        <v>0</v>
      </c>
      <c r="O422" s="8" t="n">
        <f aca="false">O418*O420</f>
        <v>0</v>
      </c>
      <c r="P422" s="8" t="n">
        <f aca="false">P418*P420</f>
        <v>0</v>
      </c>
      <c r="Q422" s="8" t="n">
        <f aca="false">Q418*Q420</f>
        <v>0</v>
      </c>
      <c r="R422" s="8" t="n">
        <f aca="false">R418*R420</f>
        <v>0</v>
      </c>
      <c r="S422" s="8" t="n">
        <f aca="false">S418*S420</f>
        <v>0</v>
      </c>
      <c r="T422" s="8" t="n">
        <f aca="false">T418*T420</f>
        <v>0</v>
      </c>
      <c r="U422" s="8" t="n">
        <f aca="false">U418*U420</f>
        <v>0</v>
      </c>
      <c r="V422" s="8" t="n">
        <f aca="false">V418*V420</f>
        <v>0</v>
      </c>
      <c r="W422" s="8" t="n">
        <f aca="false">W418*W420</f>
        <v>0</v>
      </c>
      <c r="X422" s="8" t="n">
        <f aca="false">X418*X420</f>
        <v>0</v>
      </c>
      <c r="Y422" s="8" t="n">
        <f aca="false">Y418*Y420</f>
        <v>0</v>
      </c>
      <c r="Z422" s="8" t="n">
        <f aca="false">Z418*Z420</f>
        <v>0</v>
      </c>
      <c r="AA422" s="8" t="n">
        <f aca="false">AA418*AA420</f>
        <v>0</v>
      </c>
      <c r="AB422" s="8" t="n">
        <f aca="false">AB418*AB420</f>
        <v>0</v>
      </c>
      <c r="AC422" s="8" t="n">
        <f aca="false">AC418*AC420</f>
        <v>0</v>
      </c>
      <c r="AD422" s="8" t="n">
        <f aca="false">AD418*AD420</f>
        <v>0</v>
      </c>
      <c r="AE422" s="8" t="n">
        <f aca="false">AE418*AE420</f>
        <v>0</v>
      </c>
      <c r="AF422" s="8" t="n">
        <f aca="false">AF418*AF420</f>
        <v>0</v>
      </c>
      <c r="AG422" s="8" t="n">
        <f aca="false">AG418*AG420</f>
        <v>0</v>
      </c>
      <c r="AH422" s="8" t="n">
        <f aca="false">AH418*AH420</f>
        <v>0</v>
      </c>
      <c r="AI422" s="8" t="n">
        <f aca="false">AI418*AI420</f>
        <v>0</v>
      </c>
      <c r="AJ422" s="8" t="n">
        <f aca="false">AJ418*AJ420</f>
        <v>0</v>
      </c>
      <c r="AK422" s="8" t="n">
        <f aca="false">AK418*AK420</f>
        <v>0</v>
      </c>
      <c r="AL422" s="8" t="n">
        <f aca="false">AL418*AL420</f>
        <v>0</v>
      </c>
      <c r="AM422" s="8" t="n">
        <f aca="false">AM418*AM420</f>
        <v>0</v>
      </c>
      <c r="AN422" s="8" t="n">
        <f aca="false">AN418*AN420</f>
        <v>0</v>
      </c>
      <c r="AO422" s="8" t="n">
        <f aca="false">AO418*AO420</f>
        <v>0</v>
      </c>
      <c r="AP422" s="8" t="n">
        <f aca="false">AP418*AP420</f>
        <v>0</v>
      </c>
      <c r="AQ422" s="8" t="n">
        <f aca="false">AQ418*AQ420</f>
        <v>0</v>
      </c>
      <c r="AR422" s="8" t="n">
        <f aca="false">AR418*AR420</f>
        <v>0</v>
      </c>
      <c r="AS422" s="8" t="n">
        <f aca="false">AS418*AS420</f>
        <v>0</v>
      </c>
    </row>
    <row r="423" customFormat="false" ht="15" hidden="false" customHeight="false" outlineLevel="0" collapsed="false">
      <c r="A423" s="6" t="s">
        <v>479</v>
      </c>
      <c r="B423" s="6" t="s">
        <v>480</v>
      </c>
      <c r="C423" s="43" t="n">
        <f aca="false">IF(CEG_Assets!$H$14="$/kW",CEG_Assets!$D$14*CEG_Assets!$AI$14*(1+0.4*(PJMWLR/PJMWLRBase-1))/1000,0)</f>
        <v>0</v>
      </c>
      <c r="E423" s="8" t="n">
        <f aca="false">C423</f>
        <v>0</v>
      </c>
      <c r="G423" s="8" t="n">
        <f aca="false">0</f>
        <v>0</v>
      </c>
      <c r="H423" s="8" t="n">
        <f aca="false">0</f>
        <v>0</v>
      </c>
      <c r="I423" s="8" t="n">
        <f aca="false">0</f>
        <v>0</v>
      </c>
      <c r="J423" s="8" t="n">
        <f aca="false">0</f>
        <v>0</v>
      </c>
      <c r="K423" s="8" t="n">
        <f aca="false">0</f>
        <v>0</v>
      </c>
      <c r="L423" s="8" t="n">
        <f aca="false">0</f>
        <v>0</v>
      </c>
      <c r="M423" s="8" t="n">
        <f aca="false">0</f>
        <v>0</v>
      </c>
      <c r="N423" s="8" t="n">
        <f aca="false">0</f>
        <v>0</v>
      </c>
      <c r="O423" s="8" t="n">
        <f aca="false">0</f>
        <v>0</v>
      </c>
      <c r="P423" s="8" t="n">
        <f aca="false">0</f>
        <v>0</v>
      </c>
      <c r="Q423" s="8" t="n">
        <f aca="false">0</f>
        <v>0</v>
      </c>
      <c r="R423" s="8" t="n">
        <f aca="false">0</f>
        <v>0</v>
      </c>
      <c r="S423" s="8" t="n">
        <f aca="false">0</f>
        <v>0</v>
      </c>
      <c r="T423" s="8" t="n">
        <f aca="false">0</f>
        <v>0</v>
      </c>
      <c r="U423" s="8" t="n">
        <f aca="false">0</f>
        <v>0</v>
      </c>
      <c r="V423" s="8" t="n">
        <f aca="false">0</f>
        <v>0</v>
      </c>
      <c r="W423" s="8" t="n">
        <f aca="false">0</f>
        <v>0</v>
      </c>
      <c r="X423" s="8" t="n">
        <f aca="false">0</f>
        <v>0</v>
      </c>
      <c r="Y423" s="8" t="n">
        <f aca="false">0</f>
        <v>0</v>
      </c>
      <c r="Z423" s="8" t="n">
        <f aca="false">0</f>
        <v>0</v>
      </c>
      <c r="AA423" s="8" t="n">
        <f aca="false">0</f>
        <v>0</v>
      </c>
      <c r="AB423" s="8" t="n">
        <f aca="false">0</f>
        <v>0</v>
      </c>
      <c r="AC423" s="8" t="n">
        <f aca="false">0</f>
        <v>0</v>
      </c>
      <c r="AD423" s="8" t="n">
        <f aca="false">0</f>
        <v>0</v>
      </c>
      <c r="AE423" s="8" t="n">
        <f aca="false">0</f>
        <v>0</v>
      </c>
      <c r="AF423" s="8" t="n">
        <f aca="false">0</f>
        <v>0</v>
      </c>
      <c r="AG423" s="8" t="n">
        <f aca="false">0</f>
        <v>0</v>
      </c>
      <c r="AH423" s="8" t="n">
        <f aca="false">0</f>
        <v>0</v>
      </c>
      <c r="AI423" s="8" t="n">
        <f aca="false">0</f>
        <v>0</v>
      </c>
      <c r="AJ423" s="8" t="n">
        <f aca="false">0</f>
        <v>0</v>
      </c>
      <c r="AK423" s="8" t="n">
        <f aca="false">0</f>
        <v>0</v>
      </c>
      <c r="AL423" s="8" t="n">
        <f aca="false">0</f>
        <v>0</v>
      </c>
      <c r="AM423" s="8" t="n">
        <f aca="false">0</f>
        <v>0</v>
      </c>
      <c r="AN423" s="8" t="n">
        <f aca="false">0</f>
        <v>0</v>
      </c>
      <c r="AO423" s="8" t="n">
        <f aca="false">0</f>
        <v>0</v>
      </c>
      <c r="AP423" s="8" t="n">
        <f aca="false">0</f>
        <v>0</v>
      </c>
      <c r="AQ423" s="8" t="n">
        <f aca="false">0</f>
        <v>0</v>
      </c>
      <c r="AR423" s="8" t="n">
        <f aca="false">0</f>
        <v>0</v>
      </c>
      <c r="AS423" s="8" t="n">
        <f aca="false">0</f>
        <v>0</v>
      </c>
    </row>
    <row r="425" customFormat="false" ht="15" hidden="false" customHeight="false" outlineLevel="0" collapsed="false">
      <c r="A425" s="54" t="str">
        <f aca="false">CEG_Assets!$A$15</f>
        <v>Calpine - West CCGT (CAISO)</v>
      </c>
    </row>
    <row r="426" customFormat="false" ht="15" hidden="false" customHeight="false" outlineLevel="0" collapsed="false">
      <c r="A426" s="6" t="s">
        <v>425</v>
      </c>
      <c r="B426" s="6" t="s">
        <v>426</v>
      </c>
      <c r="G426" s="47" t="n">
        <f aca="false">IF(AND(G$3&gt;=CEG_Assets!$E$15,G$3&lt;=CEG_Assets!$F$15,CEG_Assets!$H$15="Cashflow"),1,0)</f>
        <v>1</v>
      </c>
      <c r="H426" s="47" t="n">
        <f aca="false">IF(AND(H$3&gt;=CEG_Assets!$E$15,H$3&lt;=CEG_Assets!$F$15,CEG_Assets!$H$15="Cashflow"),1,0)</f>
        <v>1</v>
      </c>
      <c r="I426" s="47" t="n">
        <f aca="false">IF(AND(I$3&gt;=CEG_Assets!$E$15,I$3&lt;=CEG_Assets!$F$15,CEG_Assets!$H$15="Cashflow"),1,0)</f>
        <v>1</v>
      </c>
      <c r="J426" s="47" t="n">
        <f aca="false">IF(AND(J$3&gt;=CEG_Assets!$E$15,J$3&lt;=CEG_Assets!$F$15,CEG_Assets!$H$15="Cashflow"),1,0)</f>
        <v>1</v>
      </c>
      <c r="K426" s="47" t="n">
        <f aca="false">IF(AND(K$3&gt;=CEG_Assets!$E$15,K$3&lt;=CEG_Assets!$F$15,CEG_Assets!$H$15="Cashflow"),1,0)</f>
        <v>1</v>
      </c>
      <c r="L426" s="47" t="n">
        <f aca="false">IF(AND(L$3&gt;=CEG_Assets!$E$15,L$3&lt;=CEG_Assets!$F$15,CEG_Assets!$H$15="Cashflow"),1,0)</f>
        <v>1</v>
      </c>
      <c r="M426" s="47" t="n">
        <f aca="false">IF(AND(M$3&gt;=CEG_Assets!$E$15,M$3&lt;=CEG_Assets!$F$15,CEG_Assets!$H$15="Cashflow"),1,0)</f>
        <v>1</v>
      </c>
      <c r="N426" s="47" t="n">
        <f aca="false">IF(AND(N$3&gt;=CEG_Assets!$E$15,N$3&lt;=CEG_Assets!$F$15,CEG_Assets!$H$15="Cashflow"),1,0)</f>
        <v>1</v>
      </c>
      <c r="O426" s="47" t="n">
        <f aca="false">IF(AND(O$3&gt;=CEG_Assets!$E$15,O$3&lt;=CEG_Assets!$F$15,CEG_Assets!$H$15="Cashflow"),1,0)</f>
        <v>1</v>
      </c>
      <c r="P426" s="47" t="n">
        <f aca="false">IF(AND(P$3&gt;=CEG_Assets!$E$15,P$3&lt;=CEG_Assets!$F$15,CEG_Assets!$H$15="Cashflow"),1,0)</f>
        <v>1</v>
      </c>
      <c r="Q426" s="47" t="n">
        <f aca="false">IF(AND(Q$3&gt;=CEG_Assets!$E$15,Q$3&lt;=CEG_Assets!$F$15,CEG_Assets!$H$15="Cashflow"),1,0)</f>
        <v>1</v>
      </c>
      <c r="R426" s="47" t="n">
        <f aca="false">IF(AND(R$3&gt;=CEG_Assets!$E$15,R$3&lt;=CEG_Assets!$F$15,CEG_Assets!$H$15="Cashflow"),1,0)</f>
        <v>1</v>
      </c>
      <c r="S426" s="47" t="n">
        <f aca="false">IF(AND(S$3&gt;=CEG_Assets!$E$15,S$3&lt;=CEG_Assets!$F$15,CEG_Assets!$H$15="Cashflow"),1,0)</f>
        <v>1</v>
      </c>
      <c r="T426" s="47" t="n">
        <f aca="false">IF(AND(T$3&gt;=CEG_Assets!$E$15,T$3&lt;=CEG_Assets!$F$15,CEG_Assets!$H$15="Cashflow"),1,0)</f>
        <v>1</v>
      </c>
      <c r="U426" s="47" t="n">
        <f aca="false">IF(AND(U$3&gt;=CEG_Assets!$E$15,U$3&lt;=CEG_Assets!$F$15,CEG_Assets!$H$15="Cashflow"),1,0)</f>
        <v>1</v>
      </c>
      <c r="V426" s="47" t="n">
        <f aca="false">IF(AND(V$3&gt;=CEG_Assets!$E$15,V$3&lt;=CEG_Assets!$F$15,CEG_Assets!$H$15="Cashflow"),1,0)</f>
        <v>1</v>
      </c>
      <c r="W426" s="47" t="n">
        <f aca="false">IF(AND(W$3&gt;=CEG_Assets!$E$15,W$3&lt;=CEG_Assets!$F$15,CEG_Assets!$H$15="Cashflow"),1,0)</f>
        <v>1</v>
      </c>
      <c r="X426" s="47" t="n">
        <f aca="false">IF(AND(X$3&gt;=CEG_Assets!$E$15,X$3&lt;=CEG_Assets!$F$15,CEG_Assets!$H$15="Cashflow"),1,0)</f>
        <v>1</v>
      </c>
      <c r="Y426" s="47" t="n">
        <f aca="false">IF(AND(Y$3&gt;=CEG_Assets!$E$15,Y$3&lt;=CEG_Assets!$F$15,CEG_Assets!$H$15="Cashflow"),1,0)</f>
        <v>1</v>
      </c>
      <c r="Z426" s="47" t="n">
        <f aca="false">IF(AND(Z$3&gt;=CEG_Assets!$E$15,Z$3&lt;=CEG_Assets!$F$15,CEG_Assets!$H$15="Cashflow"),1,0)</f>
        <v>0</v>
      </c>
      <c r="AA426" s="47" t="n">
        <f aca="false">IF(AND(AA$3&gt;=CEG_Assets!$E$15,AA$3&lt;=CEG_Assets!$F$15,CEG_Assets!$H$15="Cashflow"),1,0)</f>
        <v>0</v>
      </c>
      <c r="AB426" s="47" t="n">
        <f aca="false">IF(AND(AB$3&gt;=CEG_Assets!$E$15,AB$3&lt;=CEG_Assets!$F$15,CEG_Assets!$H$15="Cashflow"),1,0)</f>
        <v>0</v>
      </c>
      <c r="AC426" s="47" t="n">
        <f aca="false">IF(AND(AC$3&gt;=CEG_Assets!$E$15,AC$3&lt;=CEG_Assets!$F$15,CEG_Assets!$H$15="Cashflow"),1,0)</f>
        <v>0</v>
      </c>
      <c r="AD426" s="47" t="n">
        <f aca="false">IF(AND(AD$3&gt;=CEG_Assets!$E$15,AD$3&lt;=CEG_Assets!$F$15,CEG_Assets!$H$15="Cashflow"),1,0)</f>
        <v>0</v>
      </c>
      <c r="AE426" s="47" t="n">
        <f aca="false">IF(AND(AE$3&gt;=CEG_Assets!$E$15,AE$3&lt;=CEG_Assets!$F$15,CEG_Assets!$H$15="Cashflow"),1,0)</f>
        <v>0</v>
      </c>
      <c r="AF426" s="47" t="n">
        <f aca="false">IF(AND(AF$3&gt;=CEG_Assets!$E$15,AF$3&lt;=CEG_Assets!$F$15,CEG_Assets!$H$15="Cashflow"),1,0)</f>
        <v>0</v>
      </c>
      <c r="AG426" s="47" t="n">
        <f aca="false">IF(AND(AG$3&gt;=CEG_Assets!$E$15,AG$3&lt;=CEG_Assets!$F$15,CEG_Assets!$H$15="Cashflow"),1,0)</f>
        <v>0</v>
      </c>
      <c r="AH426" s="47" t="n">
        <f aca="false">IF(AND(AH$3&gt;=CEG_Assets!$E$15,AH$3&lt;=CEG_Assets!$F$15,CEG_Assets!$H$15="Cashflow"),1,0)</f>
        <v>0</v>
      </c>
      <c r="AI426" s="47" t="n">
        <f aca="false">IF(AND(AI$3&gt;=CEG_Assets!$E$15,AI$3&lt;=CEG_Assets!$F$15,CEG_Assets!$H$15="Cashflow"),1,0)</f>
        <v>0</v>
      </c>
      <c r="AJ426" s="47" t="n">
        <f aca="false">IF(AND(AJ$3&gt;=CEG_Assets!$E$15,AJ$3&lt;=CEG_Assets!$F$15,CEG_Assets!$H$15="Cashflow"),1,0)</f>
        <v>0</v>
      </c>
      <c r="AK426" s="47" t="n">
        <f aca="false">IF(AND(AK$3&gt;=CEG_Assets!$E$15,AK$3&lt;=CEG_Assets!$F$15,CEG_Assets!$H$15="Cashflow"),1,0)</f>
        <v>0</v>
      </c>
      <c r="AL426" s="47" t="n">
        <f aca="false">IF(AND(AL$3&gt;=CEG_Assets!$E$15,AL$3&lt;=CEG_Assets!$F$15,CEG_Assets!$H$15="Cashflow"),1,0)</f>
        <v>0</v>
      </c>
      <c r="AM426" s="47" t="n">
        <f aca="false">IF(AND(AM$3&gt;=CEG_Assets!$E$15,AM$3&lt;=CEG_Assets!$F$15,CEG_Assets!$H$15="Cashflow"),1,0)</f>
        <v>0</v>
      </c>
      <c r="AN426" s="47" t="n">
        <f aca="false">IF(AND(AN$3&gt;=CEG_Assets!$E$15,AN$3&lt;=CEG_Assets!$F$15,CEG_Assets!$H$15="Cashflow"),1,0)</f>
        <v>0</v>
      </c>
      <c r="AO426" s="47" t="n">
        <f aca="false">IF(AND(AO$3&gt;=CEG_Assets!$E$15,AO$3&lt;=CEG_Assets!$F$15,CEG_Assets!$H$15="Cashflow"),1,0)</f>
        <v>0</v>
      </c>
      <c r="AP426" s="47" t="n">
        <f aca="false">IF(AND(AP$3&gt;=CEG_Assets!$E$15,AP$3&lt;=CEG_Assets!$F$15,CEG_Assets!$H$15="Cashflow"),1,0)</f>
        <v>0</v>
      </c>
      <c r="AQ426" s="47" t="n">
        <f aca="false">IF(AND(AQ$3&gt;=CEG_Assets!$E$15,AQ$3&lt;=CEG_Assets!$F$15,CEG_Assets!$H$15="Cashflow"),1,0)</f>
        <v>0</v>
      </c>
      <c r="AR426" s="47" t="n">
        <f aca="false">IF(AND(AR$3&gt;=CEG_Assets!$E$15,AR$3&lt;=CEG_Assets!$F$15,CEG_Assets!$H$15="Cashflow"),1,0)</f>
        <v>0</v>
      </c>
      <c r="AS426" s="47" t="n">
        <f aca="false">IF(AND(AS$3&gt;=CEG_Assets!$E$15,AS$3&lt;=CEG_Assets!$F$15,CEG_Assets!$H$15="Cashflow"),1,0)</f>
        <v>0</v>
      </c>
    </row>
    <row r="427" customFormat="false" ht="15" hidden="false" customHeight="false" outlineLevel="0" collapsed="false">
      <c r="A427" s="6" t="s">
        <v>427</v>
      </c>
      <c r="B427" s="6" t="s">
        <v>428</v>
      </c>
      <c r="G427" s="9" t="n">
        <f aca="false">IF(AND(G$3&gt;=CEG_Assets!$AA$15,G$3&lt;=CEG_Assets!$AB$15),MIN(CEG_Assets!$D$15,CEG_Assets!$Z$15*MIN(1,(G$3-CEG_Assets!$AA$15+1)/MAX(1,CEG_Assets!$AC$15))),0)*G426</f>
        <v>0</v>
      </c>
      <c r="H427" s="9" t="n">
        <f aca="false">IF(AND(H$3&gt;=CEG_Assets!$AA$15,H$3&lt;=CEG_Assets!$AB$15),MIN(CEG_Assets!$D$15,CEG_Assets!$Z$15*MIN(1,(H$3-CEG_Assets!$AA$15+1)/MAX(1,CEG_Assets!$AC$15))),0)*H426</f>
        <v>0</v>
      </c>
      <c r="I427" s="9" t="n">
        <f aca="false">IF(AND(I$3&gt;=CEG_Assets!$AA$15,I$3&lt;=CEG_Assets!$AB$15),MIN(CEG_Assets!$D$15,CEG_Assets!$Z$15*MIN(1,(I$3-CEG_Assets!$AA$15+1)/MAX(1,CEG_Assets!$AC$15))),0)*I426</f>
        <v>0</v>
      </c>
      <c r="J427" s="9" t="n">
        <f aca="false">IF(AND(J$3&gt;=CEG_Assets!$AA$15,J$3&lt;=CEG_Assets!$AB$15),MIN(CEG_Assets!$D$15,CEG_Assets!$Z$15*MIN(1,(J$3-CEG_Assets!$AA$15+1)/MAX(1,CEG_Assets!$AC$15))),0)*J426</f>
        <v>0</v>
      </c>
      <c r="K427" s="9" t="n">
        <f aca="false">IF(AND(K$3&gt;=CEG_Assets!$AA$15,K$3&lt;=CEG_Assets!$AB$15),MIN(CEG_Assets!$D$15,CEG_Assets!$Z$15*MIN(1,(K$3-CEG_Assets!$AA$15+1)/MAX(1,CEG_Assets!$AC$15))),0)*K426</f>
        <v>0</v>
      </c>
      <c r="L427" s="9" t="n">
        <f aca="false">IF(AND(L$3&gt;=CEG_Assets!$AA$15,L$3&lt;=CEG_Assets!$AB$15),MIN(CEG_Assets!$D$15,CEG_Assets!$Z$15*MIN(1,(L$3-CEG_Assets!$AA$15+1)/MAX(1,CEG_Assets!$AC$15))),0)*L426</f>
        <v>0</v>
      </c>
      <c r="M427" s="9" t="n">
        <f aca="false">IF(AND(M$3&gt;=CEG_Assets!$AA$15,M$3&lt;=CEG_Assets!$AB$15),MIN(CEG_Assets!$D$15,CEG_Assets!$Z$15*MIN(1,(M$3-CEG_Assets!$AA$15+1)/MAX(1,CEG_Assets!$AC$15))),0)*M426</f>
        <v>0</v>
      </c>
      <c r="N427" s="9" t="n">
        <f aca="false">IF(AND(N$3&gt;=CEG_Assets!$AA$15,N$3&lt;=CEG_Assets!$AB$15),MIN(CEG_Assets!$D$15,CEG_Assets!$Z$15*MIN(1,(N$3-CEG_Assets!$AA$15+1)/MAX(1,CEG_Assets!$AC$15))),0)*N426</f>
        <v>0</v>
      </c>
      <c r="O427" s="9" t="n">
        <f aca="false">IF(AND(O$3&gt;=CEG_Assets!$AA$15,O$3&lt;=CEG_Assets!$AB$15),MIN(CEG_Assets!$D$15,CEG_Assets!$Z$15*MIN(1,(O$3-CEG_Assets!$AA$15+1)/MAX(1,CEG_Assets!$AC$15))),0)*O426</f>
        <v>0</v>
      </c>
      <c r="P427" s="9" t="n">
        <f aca="false">IF(AND(P$3&gt;=CEG_Assets!$AA$15,P$3&lt;=CEG_Assets!$AB$15),MIN(CEG_Assets!$D$15,CEG_Assets!$Z$15*MIN(1,(P$3-CEG_Assets!$AA$15+1)/MAX(1,CEG_Assets!$AC$15))),0)*P426</f>
        <v>0</v>
      </c>
      <c r="Q427" s="9" t="n">
        <f aca="false">IF(AND(Q$3&gt;=CEG_Assets!$AA$15,Q$3&lt;=CEG_Assets!$AB$15),MIN(CEG_Assets!$D$15,CEG_Assets!$Z$15*MIN(1,(Q$3-CEG_Assets!$AA$15+1)/MAX(1,CEG_Assets!$AC$15))),0)*Q426</f>
        <v>0</v>
      </c>
      <c r="R427" s="9" t="n">
        <f aca="false">IF(AND(R$3&gt;=CEG_Assets!$AA$15,R$3&lt;=CEG_Assets!$AB$15),MIN(CEG_Assets!$D$15,CEG_Assets!$Z$15*MIN(1,(R$3-CEG_Assets!$AA$15+1)/MAX(1,CEG_Assets!$AC$15))),0)*R426</f>
        <v>0</v>
      </c>
      <c r="S427" s="9" t="n">
        <f aca="false">IF(AND(S$3&gt;=CEG_Assets!$AA$15,S$3&lt;=CEG_Assets!$AB$15),MIN(CEG_Assets!$D$15,CEG_Assets!$Z$15*MIN(1,(S$3-CEG_Assets!$AA$15+1)/MAX(1,CEG_Assets!$AC$15))),0)*S426</f>
        <v>0</v>
      </c>
      <c r="T427" s="9" t="n">
        <f aca="false">IF(AND(T$3&gt;=CEG_Assets!$AA$15,T$3&lt;=CEG_Assets!$AB$15),MIN(CEG_Assets!$D$15,CEG_Assets!$Z$15*MIN(1,(T$3-CEG_Assets!$AA$15+1)/MAX(1,CEG_Assets!$AC$15))),0)*T426</f>
        <v>0</v>
      </c>
      <c r="U427" s="9" t="n">
        <f aca="false">IF(AND(U$3&gt;=CEG_Assets!$AA$15,U$3&lt;=CEG_Assets!$AB$15),MIN(CEG_Assets!$D$15,CEG_Assets!$Z$15*MIN(1,(U$3-CEG_Assets!$AA$15+1)/MAX(1,CEG_Assets!$AC$15))),0)*U426</f>
        <v>0</v>
      </c>
      <c r="V427" s="9" t="n">
        <f aca="false">IF(AND(V$3&gt;=CEG_Assets!$AA$15,V$3&lt;=CEG_Assets!$AB$15),MIN(CEG_Assets!$D$15,CEG_Assets!$Z$15*MIN(1,(V$3-CEG_Assets!$AA$15+1)/MAX(1,CEG_Assets!$AC$15))),0)*V426</f>
        <v>0</v>
      </c>
      <c r="W427" s="9" t="n">
        <f aca="false">IF(AND(W$3&gt;=CEG_Assets!$AA$15,W$3&lt;=CEG_Assets!$AB$15),MIN(CEG_Assets!$D$15,CEG_Assets!$Z$15*MIN(1,(W$3-CEG_Assets!$AA$15+1)/MAX(1,CEG_Assets!$AC$15))),0)*W426</f>
        <v>0</v>
      </c>
      <c r="X427" s="9" t="n">
        <f aca="false">IF(AND(X$3&gt;=CEG_Assets!$AA$15,X$3&lt;=CEG_Assets!$AB$15),MIN(CEG_Assets!$D$15,CEG_Assets!$Z$15*MIN(1,(X$3-CEG_Assets!$AA$15+1)/MAX(1,CEG_Assets!$AC$15))),0)*X426</f>
        <v>0</v>
      </c>
      <c r="Y427" s="9" t="n">
        <f aca="false">IF(AND(Y$3&gt;=CEG_Assets!$AA$15,Y$3&lt;=CEG_Assets!$AB$15),MIN(CEG_Assets!$D$15,CEG_Assets!$Z$15*MIN(1,(Y$3-CEG_Assets!$AA$15+1)/MAX(1,CEG_Assets!$AC$15))),0)*Y426</f>
        <v>0</v>
      </c>
      <c r="Z427" s="9" t="n">
        <f aca="false">IF(AND(Z$3&gt;=CEG_Assets!$AA$15,Z$3&lt;=CEG_Assets!$AB$15),MIN(CEG_Assets!$D$15,CEG_Assets!$Z$15*MIN(1,(Z$3-CEG_Assets!$AA$15+1)/MAX(1,CEG_Assets!$AC$15))),0)*Z426</f>
        <v>0</v>
      </c>
      <c r="AA427" s="9" t="n">
        <f aca="false">IF(AND(AA$3&gt;=CEG_Assets!$AA$15,AA$3&lt;=CEG_Assets!$AB$15),MIN(CEG_Assets!$D$15,CEG_Assets!$Z$15*MIN(1,(AA$3-CEG_Assets!$AA$15+1)/MAX(1,CEG_Assets!$AC$15))),0)*AA426</f>
        <v>0</v>
      </c>
      <c r="AB427" s="9" t="n">
        <f aca="false">IF(AND(AB$3&gt;=CEG_Assets!$AA$15,AB$3&lt;=CEG_Assets!$AB$15),MIN(CEG_Assets!$D$15,CEG_Assets!$Z$15*MIN(1,(AB$3-CEG_Assets!$AA$15+1)/MAX(1,CEG_Assets!$AC$15))),0)*AB426</f>
        <v>0</v>
      </c>
      <c r="AC427" s="9" t="n">
        <f aca="false">IF(AND(AC$3&gt;=CEG_Assets!$AA$15,AC$3&lt;=CEG_Assets!$AB$15),MIN(CEG_Assets!$D$15,CEG_Assets!$Z$15*MIN(1,(AC$3-CEG_Assets!$AA$15+1)/MAX(1,CEG_Assets!$AC$15))),0)*AC426</f>
        <v>0</v>
      </c>
      <c r="AD427" s="9" t="n">
        <f aca="false">IF(AND(AD$3&gt;=CEG_Assets!$AA$15,AD$3&lt;=CEG_Assets!$AB$15),MIN(CEG_Assets!$D$15,CEG_Assets!$Z$15*MIN(1,(AD$3-CEG_Assets!$AA$15+1)/MAX(1,CEG_Assets!$AC$15))),0)*AD426</f>
        <v>0</v>
      </c>
      <c r="AE427" s="9" t="n">
        <f aca="false">IF(AND(AE$3&gt;=CEG_Assets!$AA$15,AE$3&lt;=CEG_Assets!$AB$15),MIN(CEG_Assets!$D$15,CEG_Assets!$Z$15*MIN(1,(AE$3-CEG_Assets!$AA$15+1)/MAX(1,CEG_Assets!$AC$15))),0)*AE426</f>
        <v>0</v>
      </c>
      <c r="AF427" s="9" t="n">
        <f aca="false">IF(AND(AF$3&gt;=CEG_Assets!$AA$15,AF$3&lt;=CEG_Assets!$AB$15),MIN(CEG_Assets!$D$15,CEG_Assets!$Z$15*MIN(1,(AF$3-CEG_Assets!$AA$15+1)/MAX(1,CEG_Assets!$AC$15))),0)*AF426</f>
        <v>0</v>
      </c>
      <c r="AG427" s="9" t="n">
        <f aca="false">IF(AND(AG$3&gt;=CEG_Assets!$AA$15,AG$3&lt;=CEG_Assets!$AB$15),MIN(CEG_Assets!$D$15,CEG_Assets!$Z$15*MIN(1,(AG$3-CEG_Assets!$AA$15+1)/MAX(1,CEG_Assets!$AC$15))),0)*AG426</f>
        <v>0</v>
      </c>
      <c r="AH427" s="9" t="n">
        <f aca="false">IF(AND(AH$3&gt;=CEG_Assets!$AA$15,AH$3&lt;=CEG_Assets!$AB$15),MIN(CEG_Assets!$D$15,CEG_Assets!$Z$15*MIN(1,(AH$3-CEG_Assets!$AA$15+1)/MAX(1,CEG_Assets!$AC$15))),0)*AH426</f>
        <v>0</v>
      </c>
      <c r="AI427" s="9" t="n">
        <f aca="false">IF(AND(AI$3&gt;=CEG_Assets!$AA$15,AI$3&lt;=CEG_Assets!$AB$15),MIN(CEG_Assets!$D$15,CEG_Assets!$Z$15*MIN(1,(AI$3-CEG_Assets!$AA$15+1)/MAX(1,CEG_Assets!$AC$15))),0)*AI426</f>
        <v>0</v>
      </c>
      <c r="AJ427" s="9" t="n">
        <f aca="false">IF(AND(AJ$3&gt;=CEG_Assets!$AA$15,AJ$3&lt;=CEG_Assets!$AB$15),MIN(CEG_Assets!$D$15,CEG_Assets!$Z$15*MIN(1,(AJ$3-CEG_Assets!$AA$15+1)/MAX(1,CEG_Assets!$AC$15))),0)*AJ426</f>
        <v>0</v>
      </c>
      <c r="AK427" s="9" t="n">
        <f aca="false">IF(AND(AK$3&gt;=CEG_Assets!$AA$15,AK$3&lt;=CEG_Assets!$AB$15),MIN(CEG_Assets!$D$15,CEG_Assets!$Z$15*MIN(1,(AK$3-CEG_Assets!$AA$15+1)/MAX(1,CEG_Assets!$AC$15))),0)*AK426</f>
        <v>0</v>
      </c>
      <c r="AL427" s="9" t="n">
        <f aca="false">IF(AND(AL$3&gt;=CEG_Assets!$AA$15,AL$3&lt;=CEG_Assets!$AB$15),MIN(CEG_Assets!$D$15,CEG_Assets!$Z$15*MIN(1,(AL$3-CEG_Assets!$AA$15+1)/MAX(1,CEG_Assets!$AC$15))),0)*AL426</f>
        <v>0</v>
      </c>
      <c r="AM427" s="9" t="n">
        <f aca="false">IF(AND(AM$3&gt;=CEG_Assets!$AA$15,AM$3&lt;=CEG_Assets!$AB$15),MIN(CEG_Assets!$D$15,CEG_Assets!$Z$15*MIN(1,(AM$3-CEG_Assets!$AA$15+1)/MAX(1,CEG_Assets!$AC$15))),0)*AM426</f>
        <v>0</v>
      </c>
      <c r="AN427" s="9" t="n">
        <f aca="false">IF(AND(AN$3&gt;=CEG_Assets!$AA$15,AN$3&lt;=CEG_Assets!$AB$15),MIN(CEG_Assets!$D$15,CEG_Assets!$Z$15*MIN(1,(AN$3-CEG_Assets!$AA$15+1)/MAX(1,CEG_Assets!$AC$15))),0)*AN426</f>
        <v>0</v>
      </c>
      <c r="AO427" s="9" t="n">
        <f aca="false">IF(AND(AO$3&gt;=CEG_Assets!$AA$15,AO$3&lt;=CEG_Assets!$AB$15),MIN(CEG_Assets!$D$15,CEG_Assets!$Z$15*MIN(1,(AO$3-CEG_Assets!$AA$15+1)/MAX(1,CEG_Assets!$AC$15))),0)*AO426</f>
        <v>0</v>
      </c>
      <c r="AP427" s="9" t="n">
        <f aca="false">IF(AND(AP$3&gt;=CEG_Assets!$AA$15,AP$3&lt;=CEG_Assets!$AB$15),MIN(CEG_Assets!$D$15,CEG_Assets!$Z$15*MIN(1,(AP$3-CEG_Assets!$AA$15+1)/MAX(1,CEG_Assets!$AC$15))),0)*AP426</f>
        <v>0</v>
      </c>
      <c r="AQ427" s="9" t="n">
        <f aca="false">IF(AND(AQ$3&gt;=CEG_Assets!$AA$15,AQ$3&lt;=CEG_Assets!$AB$15),MIN(CEG_Assets!$D$15,CEG_Assets!$Z$15*MIN(1,(AQ$3-CEG_Assets!$AA$15+1)/MAX(1,CEG_Assets!$AC$15))),0)*AQ426</f>
        <v>0</v>
      </c>
      <c r="AR427" s="9" t="n">
        <f aca="false">IF(AND(AR$3&gt;=CEG_Assets!$AA$15,AR$3&lt;=CEG_Assets!$AB$15),MIN(CEG_Assets!$D$15,CEG_Assets!$Z$15*MIN(1,(AR$3-CEG_Assets!$AA$15+1)/MAX(1,CEG_Assets!$AC$15))),0)*AR426</f>
        <v>0</v>
      </c>
      <c r="AS427" s="9" t="n">
        <f aca="false">IF(AND(AS$3&gt;=CEG_Assets!$AA$15,AS$3&lt;=CEG_Assets!$AB$15),MIN(CEG_Assets!$D$15,CEG_Assets!$Z$15*MIN(1,(AS$3-CEG_Assets!$AA$15+1)/MAX(1,CEG_Assets!$AC$15))),0)*AS426</f>
        <v>0</v>
      </c>
    </row>
    <row r="428" customFormat="false" ht="15" hidden="false" customHeight="false" outlineLevel="0" collapsed="false">
      <c r="A428" s="6" t="s">
        <v>429</v>
      </c>
      <c r="B428" s="6" t="s">
        <v>430</v>
      </c>
      <c r="G428" s="9" t="n">
        <f aca="false">(CEG_Assets!$D$15-G427)*8760*CEG_Assets!$I$15*G426</f>
        <v>19710000</v>
      </c>
      <c r="H428" s="9" t="n">
        <f aca="false">(CEG_Assets!$D$15-H427)*8760*CEG_Assets!$I$15*H426</f>
        <v>19710000</v>
      </c>
      <c r="I428" s="9" t="n">
        <f aca="false">(CEG_Assets!$D$15-I427)*8760*CEG_Assets!$I$15*I426</f>
        <v>19710000</v>
      </c>
      <c r="J428" s="9" t="n">
        <f aca="false">(CEG_Assets!$D$15-J427)*8760*CEG_Assets!$I$15*J426</f>
        <v>19710000</v>
      </c>
      <c r="K428" s="9" t="n">
        <f aca="false">(CEG_Assets!$D$15-K427)*8760*CEG_Assets!$I$15*K426</f>
        <v>19710000</v>
      </c>
      <c r="L428" s="9" t="n">
        <f aca="false">(CEG_Assets!$D$15-L427)*8760*CEG_Assets!$I$15*L426</f>
        <v>19710000</v>
      </c>
      <c r="M428" s="9" t="n">
        <f aca="false">(CEG_Assets!$D$15-M427)*8760*CEG_Assets!$I$15*M426</f>
        <v>19710000</v>
      </c>
      <c r="N428" s="9" t="n">
        <f aca="false">(CEG_Assets!$D$15-N427)*8760*CEG_Assets!$I$15*N426</f>
        <v>19710000</v>
      </c>
      <c r="O428" s="9" t="n">
        <f aca="false">(CEG_Assets!$D$15-O427)*8760*CEG_Assets!$I$15*O426</f>
        <v>19710000</v>
      </c>
      <c r="P428" s="9" t="n">
        <f aca="false">(CEG_Assets!$D$15-P427)*8760*CEG_Assets!$I$15*P426</f>
        <v>19710000</v>
      </c>
      <c r="Q428" s="9" t="n">
        <f aca="false">(CEG_Assets!$D$15-Q427)*8760*CEG_Assets!$I$15*Q426</f>
        <v>19710000</v>
      </c>
      <c r="R428" s="9" t="n">
        <f aca="false">(CEG_Assets!$D$15-R427)*8760*CEG_Assets!$I$15*R426</f>
        <v>19710000</v>
      </c>
      <c r="S428" s="9" t="n">
        <f aca="false">(CEG_Assets!$D$15-S427)*8760*CEG_Assets!$I$15*S426</f>
        <v>19710000</v>
      </c>
      <c r="T428" s="9" t="n">
        <f aca="false">(CEG_Assets!$D$15-T427)*8760*CEG_Assets!$I$15*T426</f>
        <v>19710000</v>
      </c>
      <c r="U428" s="9" t="n">
        <f aca="false">(CEG_Assets!$D$15-U427)*8760*CEG_Assets!$I$15*U426</f>
        <v>19710000</v>
      </c>
      <c r="V428" s="9" t="n">
        <f aca="false">(CEG_Assets!$D$15-V427)*8760*CEG_Assets!$I$15*V426</f>
        <v>19710000</v>
      </c>
      <c r="W428" s="9" t="n">
        <f aca="false">(CEG_Assets!$D$15-W427)*8760*CEG_Assets!$I$15*W426</f>
        <v>19710000</v>
      </c>
      <c r="X428" s="9" t="n">
        <f aca="false">(CEG_Assets!$D$15-X427)*8760*CEG_Assets!$I$15*X426</f>
        <v>19710000</v>
      </c>
      <c r="Y428" s="9" t="n">
        <f aca="false">(CEG_Assets!$D$15-Y427)*8760*CEG_Assets!$I$15*Y426</f>
        <v>19710000</v>
      </c>
      <c r="Z428" s="9" t="n">
        <f aca="false">(CEG_Assets!$D$15-Z427)*8760*CEG_Assets!$I$15*Z426</f>
        <v>0</v>
      </c>
      <c r="AA428" s="9" t="n">
        <f aca="false">(CEG_Assets!$D$15-AA427)*8760*CEG_Assets!$I$15*AA426</f>
        <v>0</v>
      </c>
      <c r="AB428" s="9" t="n">
        <f aca="false">(CEG_Assets!$D$15-AB427)*8760*CEG_Assets!$I$15*AB426</f>
        <v>0</v>
      </c>
      <c r="AC428" s="9" t="n">
        <f aca="false">(CEG_Assets!$D$15-AC427)*8760*CEG_Assets!$I$15*AC426</f>
        <v>0</v>
      </c>
      <c r="AD428" s="9" t="n">
        <f aca="false">(CEG_Assets!$D$15-AD427)*8760*CEG_Assets!$I$15*AD426</f>
        <v>0</v>
      </c>
      <c r="AE428" s="9" t="n">
        <f aca="false">(CEG_Assets!$D$15-AE427)*8760*CEG_Assets!$I$15*AE426</f>
        <v>0</v>
      </c>
      <c r="AF428" s="9" t="n">
        <f aca="false">(CEG_Assets!$D$15-AF427)*8760*CEG_Assets!$I$15*AF426</f>
        <v>0</v>
      </c>
      <c r="AG428" s="9" t="n">
        <f aca="false">(CEG_Assets!$D$15-AG427)*8760*CEG_Assets!$I$15*AG426</f>
        <v>0</v>
      </c>
      <c r="AH428" s="9" t="n">
        <f aca="false">(CEG_Assets!$D$15-AH427)*8760*CEG_Assets!$I$15*AH426</f>
        <v>0</v>
      </c>
      <c r="AI428" s="9" t="n">
        <f aca="false">(CEG_Assets!$D$15-AI427)*8760*CEG_Assets!$I$15*AI426</f>
        <v>0</v>
      </c>
      <c r="AJ428" s="9" t="n">
        <f aca="false">(CEG_Assets!$D$15-AJ427)*8760*CEG_Assets!$I$15*AJ426</f>
        <v>0</v>
      </c>
      <c r="AK428" s="9" t="n">
        <f aca="false">(CEG_Assets!$D$15-AK427)*8760*CEG_Assets!$I$15*AK426</f>
        <v>0</v>
      </c>
      <c r="AL428" s="9" t="n">
        <f aca="false">(CEG_Assets!$D$15-AL427)*8760*CEG_Assets!$I$15*AL426</f>
        <v>0</v>
      </c>
      <c r="AM428" s="9" t="n">
        <f aca="false">(CEG_Assets!$D$15-AM427)*8760*CEG_Assets!$I$15*AM426</f>
        <v>0</v>
      </c>
      <c r="AN428" s="9" t="n">
        <f aca="false">(CEG_Assets!$D$15-AN427)*8760*CEG_Assets!$I$15*AN426</f>
        <v>0</v>
      </c>
      <c r="AO428" s="9" t="n">
        <f aca="false">(CEG_Assets!$D$15-AO427)*8760*CEG_Assets!$I$15*AO426</f>
        <v>0</v>
      </c>
      <c r="AP428" s="9" t="n">
        <f aca="false">(CEG_Assets!$D$15-AP427)*8760*CEG_Assets!$I$15*AP426</f>
        <v>0</v>
      </c>
      <c r="AQ428" s="9" t="n">
        <f aca="false">(CEG_Assets!$D$15-AQ427)*8760*CEG_Assets!$I$15*AQ426</f>
        <v>0</v>
      </c>
      <c r="AR428" s="9" t="n">
        <f aca="false">(CEG_Assets!$D$15-AR427)*8760*CEG_Assets!$I$15*AR426</f>
        <v>0</v>
      </c>
      <c r="AS428" s="9" t="n">
        <f aca="false">(CEG_Assets!$D$15-AS427)*8760*CEG_Assets!$I$15*AS426</f>
        <v>0</v>
      </c>
    </row>
    <row r="429" customFormat="false" ht="15" hidden="false" customHeight="false" outlineLevel="0" collapsed="false">
      <c r="A429" s="6" t="s">
        <v>431</v>
      </c>
      <c r="B429" s="6" t="s">
        <v>432</v>
      </c>
      <c r="G429" s="9" t="n">
        <f aca="false">G427*8760*CEG_Assets!$I$15*G426</f>
        <v>0</v>
      </c>
      <c r="H429" s="9" t="n">
        <f aca="false">H427*8760*CEG_Assets!$I$15*H426</f>
        <v>0</v>
      </c>
      <c r="I429" s="9" t="n">
        <f aca="false">I427*8760*CEG_Assets!$I$15*I426</f>
        <v>0</v>
      </c>
      <c r="J429" s="9" t="n">
        <f aca="false">J427*8760*CEG_Assets!$I$15*J426</f>
        <v>0</v>
      </c>
      <c r="K429" s="9" t="n">
        <f aca="false">K427*8760*CEG_Assets!$I$15*K426</f>
        <v>0</v>
      </c>
      <c r="L429" s="9" t="n">
        <f aca="false">L427*8760*CEG_Assets!$I$15*L426</f>
        <v>0</v>
      </c>
      <c r="M429" s="9" t="n">
        <f aca="false">M427*8760*CEG_Assets!$I$15*M426</f>
        <v>0</v>
      </c>
      <c r="N429" s="9" t="n">
        <f aca="false">N427*8760*CEG_Assets!$I$15*N426</f>
        <v>0</v>
      </c>
      <c r="O429" s="9" t="n">
        <f aca="false">O427*8760*CEG_Assets!$I$15*O426</f>
        <v>0</v>
      </c>
      <c r="P429" s="9" t="n">
        <f aca="false">P427*8760*CEG_Assets!$I$15*P426</f>
        <v>0</v>
      </c>
      <c r="Q429" s="9" t="n">
        <f aca="false">Q427*8760*CEG_Assets!$I$15*Q426</f>
        <v>0</v>
      </c>
      <c r="R429" s="9" t="n">
        <f aca="false">R427*8760*CEG_Assets!$I$15*R426</f>
        <v>0</v>
      </c>
      <c r="S429" s="9" t="n">
        <f aca="false">S427*8760*CEG_Assets!$I$15*S426</f>
        <v>0</v>
      </c>
      <c r="T429" s="9" t="n">
        <f aca="false">T427*8760*CEG_Assets!$I$15*T426</f>
        <v>0</v>
      </c>
      <c r="U429" s="9" t="n">
        <f aca="false">U427*8760*CEG_Assets!$I$15*U426</f>
        <v>0</v>
      </c>
      <c r="V429" s="9" t="n">
        <f aca="false">V427*8760*CEG_Assets!$I$15*V426</f>
        <v>0</v>
      </c>
      <c r="W429" s="9" t="n">
        <f aca="false">W427*8760*CEG_Assets!$I$15*W426</f>
        <v>0</v>
      </c>
      <c r="X429" s="9" t="n">
        <f aca="false">X427*8760*CEG_Assets!$I$15*X426</f>
        <v>0</v>
      </c>
      <c r="Y429" s="9" t="n">
        <f aca="false">Y427*8760*CEG_Assets!$I$15*Y426</f>
        <v>0</v>
      </c>
      <c r="Z429" s="9" t="n">
        <f aca="false">Z427*8760*CEG_Assets!$I$15*Z426</f>
        <v>0</v>
      </c>
      <c r="AA429" s="9" t="n">
        <f aca="false">AA427*8760*CEG_Assets!$I$15*AA426</f>
        <v>0</v>
      </c>
      <c r="AB429" s="9" t="n">
        <f aca="false">AB427*8760*CEG_Assets!$I$15*AB426</f>
        <v>0</v>
      </c>
      <c r="AC429" s="9" t="n">
        <f aca="false">AC427*8760*CEG_Assets!$I$15*AC426</f>
        <v>0</v>
      </c>
      <c r="AD429" s="9" t="n">
        <f aca="false">AD427*8760*CEG_Assets!$I$15*AD426</f>
        <v>0</v>
      </c>
      <c r="AE429" s="9" t="n">
        <f aca="false">AE427*8760*CEG_Assets!$I$15*AE426</f>
        <v>0</v>
      </c>
      <c r="AF429" s="9" t="n">
        <f aca="false">AF427*8760*CEG_Assets!$I$15*AF426</f>
        <v>0</v>
      </c>
      <c r="AG429" s="9" t="n">
        <f aca="false">AG427*8760*CEG_Assets!$I$15*AG426</f>
        <v>0</v>
      </c>
      <c r="AH429" s="9" t="n">
        <f aca="false">AH427*8760*CEG_Assets!$I$15*AH426</f>
        <v>0</v>
      </c>
      <c r="AI429" s="9" t="n">
        <f aca="false">AI427*8760*CEG_Assets!$I$15*AI426</f>
        <v>0</v>
      </c>
      <c r="AJ429" s="9" t="n">
        <f aca="false">AJ427*8760*CEG_Assets!$I$15*AJ426</f>
        <v>0</v>
      </c>
      <c r="AK429" s="9" t="n">
        <f aca="false">AK427*8760*CEG_Assets!$I$15*AK426</f>
        <v>0</v>
      </c>
      <c r="AL429" s="9" t="n">
        <f aca="false">AL427*8760*CEG_Assets!$I$15*AL426</f>
        <v>0</v>
      </c>
      <c r="AM429" s="9" t="n">
        <f aca="false">AM427*8760*CEG_Assets!$I$15*AM426</f>
        <v>0</v>
      </c>
      <c r="AN429" s="9" t="n">
        <f aca="false">AN427*8760*CEG_Assets!$I$15*AN426</f>
        <v>0</v>
      </c>
      <c r="AO429" s="9" t="n">
        <f aca="false">AO427*8760*CEG_Assets!$I$15*AO426</f>
        <v>0</v>
      </c>
      <c r="AP429" s="9" t="n">
        <f aca="false">AP427*8760*CEG_Assets!$I$15*AP426</f>
        <v>0</v>
      </c>
      <c r="AQ429" s="9" t="n">
        <f aca="false">AQ427*8760*CEG_Assets!$I$15*AQ426</f>
        <v>0</v>
      </c>
      <c r="AR429" s="9" t="n">
        <f aca="false">AR427*8760*CEG_Assets!$I$15*AR426</f>
        <v>0</v>
      </c>
      <c r="AS429" s="9" t="n">
        <f aca="false">AS427*8760*CEG_Assets!$I$15*AS426</f>
        <v>0</v>
      </c>
    </row>
    <row r="430" customFormat="false" ht="15" hidden="false" customHeight="false" outlineLevel="0" collapsed="false">
      <c r="A430" s="6" t="s">
        <v>433</v>
      </c>
      <c r="B430" s="6" t="s">
        <v>434</v>
      </c>
      <c r="G430" s="7" t="n">
        <f aca="false">IF(ISNUMBER(CEG_Assets!$L$15),CEG_Assets!$L$15*G$4,INDEX(Prices!G:G,CEG_Assets!$AO$15)+FuelAdder*G$4)</f>
        <v>4.896</v>
      </c>
      <c r="H430" s="7" t="n">
        <f aca="false">IF(ISNUMBER(CEG_Assets!$L$15),CEG_Assets!$L$15*H$4,INDEX(Prices!H:H,CEG_Assets!$AO$15)+FuelAdder*H$4)</f>
        <v>4.99392</v>
      </c>
      <c r="I430" s="7" t="n">
        <f aca="false">IF(ISNUMBER(CEG_Assets!$L$15),CEG_Assets!$L$15*I$4,INDEX(Prices!I:I,CEG_Assets!$AO$15)+FuelAdder*I$4)</f>
        <v>5.1999192</v>
      </c>
      <c r="J430" s="7" t="n">
        <f aca="false">IF(ISNUMBER(CEG_Assets!$L$15),CEG_Assets!$L$15*J$4,INDEX(Prices!J:J,CEG_Assets!$AO$15)+FuelAdder*J$4)</f>
        <v>5.303917584</v>
      </c>
      <c r="K430" s="7" t="n">
        <f aca="false">IF(ISNUMBER(CEG_Assets!$L$15),CEG_Assets!$L$15*K$4,INDEX(Prices!K:K,CEG_Assets!$AO$15)+FuelAdder*K$4)</f>
        <v>5.40999593568</v>
      </c>
      <c r="L430" s="7" t="n">
        <f aca="false">IF(ISNUMBER(CEG_Assets!$L$15),CEG_Assets!$L$15*L$4,INDEX(Prices!L:L,CEG_Assets!$AO$15)+FuelAdder*L$4)</f>
        <v>5.5181958543936</v>
      </c>
      <c r="M430" s="7" t="n">
        <f aca="false">IF(ISNUMBER(CEG_Assets!$L$15),CEG_Assets!$L$15*M$4,INDEX(Prices!M:M,CEG_Assets!$AO$15)+FuelAdder*M$4)</f>
        <v>5.62855977148147</v>
      </c>
      <c r="N430" s="7" t="n">
        <f aca="false">IF(ISNUMBER(CEG_Assets!$L$15),CEG_Assets!$L$15*N$4,INDEX(Prices!N:N,CEG_Assets!$AO$15)+FuelAdder*N$4)</f>
        <v>5.7411309669111</v>
      </c>
      <c r="O430" s="7" t="n">
        <f aca="false">IF(ISNUMBER(CEG_Assets!$L$15),CEG_Assets!$L$15*O$4,INDEX(Prices!O:O,CEG_Assets!$AO$15)+FuelAdder*O$4)</f>
        <v>5.85595358624932</v>
      </c>
      <c r="P430" s="7" t="n">
        <f aca="false">IF(ISNUMBER(CEG_Assets!$L$15),CEG_Assets!$L$15*P$4,INDEX(Prices!P:P,CEG_Assets!$AO$15)+FuelAdder*P$4)</f>
        <v>5.97307265797431</v>
      </c>
      <c r="Q430" s="7" t="n">
        <f aca="false">IF(ISNUMBER(CEG_Assets!$L$15),CEG_Assets!$L$15*Q$4,INDEX(Prices!Q:Q,CEG_Assets!$AO$15)+FuelAdder*Q$4)</f>
        <v>6.0925341111338</v>
      </c>
      <c r="R430" s="7" t="n">
        <f aca="false">IF(ISNUMBER(CEG_Assets!$L$15),CEG_Assets!$L$15*R$4,INDEX(Prices!R:R,CEG_Assets!$AO$15)+FuelAdder*R$4)</f>
        <v>6.21438479335647</v>
      </c>
      <c r="S430" s="7" t="n">
        <f aca="false">IF(ISNUMBER(CEG_Assets!$L$15),CEG_Assets!$L$15*S$4,INDEX(Prices!S:S,CEG_Assets!$AO$15)+FuelAdder*S$4)</f>
        <v>6.3386724892236</v>
      </c>
      <c r="T430" s="7" t="n">
        <f aca="false">IF(ISNUMBER(CEG_Assets!$L$15),CEG_Assets!$L$15*T$4,INDEX(Prices!T:T,CEG_Assets!$AO$15)+FuelAdder*T$4)</f>
        <v>6.46544593900808</v>
      </c>
      <c r="U430" s="7" t="n">
        <f aca="false">IF(ISNUMBER(CEG_Assets!$L$15),CEG_Assets!$L$15*U$4,INDEX(Prices!U:U,CEG_Assets!$AO$15)+FuelAdder*U$4)</f>
        <v>6.59475485778824</v>
      </c>
      <c r="V430" s="7" t="n">
        <f aca="false">IF(ISNUMBER(CEG_Assets!$L$15),CEG_Assets!$L$15*V$4,INDEX(Prices!V:V,CEG_Assets!$AO$15)+FuelAdder*V$4)</f>
        <v>6.726649954944</v>
      </c>
      <c r="W430" s="7" t="n">
        <f aca="false">IF(ISNUMBER(CEG_Assets!$L$15),CEG_Assets!$L$15*W$4,INDEX(Prices!W:W,CEG_Assets!$AO$15)+FuelAdder*W$4)</f>
        <v>6.86118295404288</v>
      </c>
      <c r="X430" s="7" t="n">
        <f aca="false">IF(ISNUMBER(CEG_Assets!$L$15),CEG_Assets!$L$15*X$4,INDEX(Prices!X:X,CEG_Assets!$AO$15)+FuelAdder*X$4)</f>
        <v>6.99840661312374</v>
      </c>
      <c r="Y430" s="7" t="n">
        <f aca="false">IF(ISNUMBER(CEG_Assets!$L$15),CEG_Assets!$L$15*Y$4,INDEX(Prices!Y:Y,CEG_Assets!$AO$15)+FuelAdder*Y$4)</f>
        <v>7.13837474538621</v>
      </c>
      <c r="Z430" s="7" t="n">
        <f aca="false">IF(ISNUMBER(CEG_Assets!$L$15),CEG_Assets!$L$15*Z$4,INDEX(Prices!Z:Z,CEG_Assets!$AO$15)+FuelAdder*Z$4)</f>
        <v>7.28114224029394</v>
      </c>
      <c r="AA430" s="7" t="n">
        <f aca="false">IF(ISNUMBER(CEG_Assets!$L$15),CEG_Assets!$L$15*AA$4,INDEX(Prices!AA:AA,CEG_Assets!$AO$15)+FuelAdder*AA$4)</f>
        <v>7.42676508509982</v>
      </c>
      <c r="AB430" s="7" t="n">
        <f aca="false">IF(ISNUMBER(CEG_Assets!$L$15),CEG_Assets!$L$15*AB$4,INDEX(Prices!AB:AB,CEG_Assets!$AO$15)+FuelAdder*AB$4)</f>
        <v>7.57530038680181</v>
      </c>
      <c r="AC430" s="7" t="n">
        <f aca="false">IF(ISNUMBER(CEG_Assets!$L$15),CEG_Assets!$L$15*AC$4,INDEX(Prices!AC:AC,CEG_Assets!$AO$15)+FuelAdder*AC$4)</f>
        <v>7.72680639453785</v>
      </c>
      <c r="AD430" s="7" t="n">
        <f aca="false">IF(ISNUMBER(CEG_Assets!$L$15),CEG_Assets!$L$15*AD$4,INDEX(Prices!AD:AD,CEG_Assets!$AO$15)+FuelAdder*AD$4)</f>
        <v>7.88134252242861</v>
      </c>
      <c r="AE430" s="7" t="n">
        <f aca="false">IF(ISNUMBER(CEG_Assets!$L$15),CEG_Assets!$L$15*AE$4,INDEX(Prices!AE:AE,CEG_Assets!$AO$15)+FuelAdder*AE$4)</f>
        <v>8.03896937287718</v>
      </c>
      <c r="AF430" s="7" t="n">
        <f aca="false">IF(ISNUMBER(CEG_Assets!$L$15),CEG_Assets!$L$15*AF$4,INDEX(Prices!AF:AF,CEG_Assets!$AO$15)+FuelAdder*AF$4)</f>
        <v>8.19974876033472</v>
      </c>
      <c r="AG430" s="7" t="n">
        <f aca="false">IF(ISNUMBER(CEG_Assets!$L$15),CEG_Assets!$L$15*AG$4,INDEX(Prices!AG:AG,CEG_Assets!$AO$15)+FuelAdder*AG$4)</f>
        <v>8.36374373554142</v>
      </c>
      <c r="AH430" s="7" t="n">
        <f aca="false">IF(ISNUMBER(CEG_Assets!$L$15),CEG_Assets!$L$15*AH$4,INDEX(Prices!AH:AH,CEG_Assets!$AO$15)+FuelAdder*AH$4)</f>
        <v>8.53101861025225</v>
      </c>
      <c r="AI430" s="7" t="n">
        <f aca="false">IF(ISNUMBER(CEG_Assets!$L$15),CEG_Assets!$L$15*AI$4,INDEX(Prices!AI:AI,CEG_Assets!$AO$15)+FuelAdder*AI$4)</f>
        <v>8.70163898245729</v>
      </c>
      <c r="AJ430" s="7" t="n">
        <f aca="false">IF(ISNUMBER(CEG_Assets!$L$15),CEG_Assets!$L$15*AJ$4,INDEX(Prices!AJ:AJ,CEG_Assets!$AO$15)+FuelAdder*AJ$4)</f>
        <v>8.87567176210644</v>
      </c>
      <c r="AK430" s="7" t="n">
        <f aca="false">IF(ISNUMBER(CEG_Assets!$L$15),CEG_Assets!$L$15*AK$4,INDEX(Prices!AK:AK,CEG_Assets!$AO$15)+FuelAdder*AK$4)</f>
        <v>9.05318519734857</v>
      </c>
      <c r="AL430" s="7" t="n">
        <f aca="false">IF(ISNUMBER(CEG_Assets!$L$15),CEG_Assets!$L$15*AL$4,INDEX(Prices!AL:AL,CEG_Assets!$AO$15)+FuelAdder*AL$4)</f>
        <v>9.23424890129554</v>
      </c>
      <c r="AM430" s="7" t="n">
        <f aca="false">IF(ISNUMBER(CEG_Assets!$L$15),CEG_Assets!$L$15*AM$4,INDEX(Prices!AM:AM,CEG_Assets!$AO$15)+FuelAdder*AM$4)</f>
        <v>9.41893387932145</v>
      </c>
      <c r="AN430" s="7" t="n">
        <f aca="false">IF(ISNUMBER(CEG_Assets!$L$15),CEG_Assets!$L$15*AN$4,INDEX(Prices!AN:AN,CEG_Assets!$AO$15)+FuelAdder*AN$4)</f>
        <v>9.60731255690788</v>
      </c>
      <c r="AO430" s="7" t="n">
        <f aca="false">IF(ISNUMBER(CEG_Assets!$L$15),CEG_Assets!$L$15*AO$4,INDEX(Prices!AO:AO,CEG_Assets!$AO$15)+FuelAdder*AO$4)</f>
        <v>9.79945880804604</v>
      </c>
      <c r="AP430" s="7" t="n">
        <f aca="false">IF(ISNUMBER(CEG_Assets!$L$15),CEG_Assets!$L$15*AP$4,INDEX(Prices!AP:AP,CEG_Assets!$AO$15)+FuelAdder*AP$4)</f>
        <v>9.99544798420696</v>
      </c>
      <c r="AQ430" s="7" t="n">
        <f aca="false">IF(ISNUMBER(CEG_Assets!$L$15),CEG_Assets!$L$15*AQ$4,INDEX(Prices!AQ:AQ,CEG_Assets!$AO$15)+FuelAdder*AQ$4)</f>
        <v>10.1953569438911</v>
      </c>
      <c r="AR430" s="7" t="n">
        <f aca="false">IF(ISNUMBER(CEG_Assets!$L$15),CEG_Assets!$L$15*AR$4,INDEX(Prices!AR:AR,CEG_Assets!$AO$15)+FuelAdder*AR$4)</f>
        <v>10.3992640827689</v>
      </c>
      <c r="AS430" s="7" t="n">
        <f aca="false">IF(ISNUMBER(CEG_Assets!$L$15),CEG_Assets!$L$15*AS$4,INDEX(Prices!AS:AS,CEG_Assets!$AO$15)+FuelAdder*AS$4)</f>
        <v>10.6072493644243</v>
      </c>
    </row>
    <row r="431" customFormat="false" ht="15" hidden="false" customHeight="false" outlineLevel="0" collapsed="false">
      <c r="A431" s="6" t="s">
        <v>435</v>
      </c>
      <c r="B431" s="6" t="s">
        <v>436</v>
      </c>
      <c r="G431" s="7" t="n">
        <f aca="false">INDEX(Prices!G:G,CEG_Assets!$AN$15)*CEG_Assets!$J$15-CEG_Assets!$K$15*G430-CEG_Assets!$M$15*G$4</f>
        <v>37.3548</v>
      </c>
      <c r="H431" s="7" t="n">
        <f aca="false">INDEX(Prices!H:H,CEG_Assets!$AN$15)*CEG_Assets!$J$15-CEG_Assets!$K$15*H430-CEG_Assets!$M$15*H$4</f>
        <v>37.636376</v>
      </c>
      <c r="I431" s="7" t="n">
        <f aca="false">INDEX(Prices!I:I,CEG_Assets!$AN$15)*CEG_Assets!$J$15-CEG_Assets!$K$15*I430-CEG_Assets!$M$15*I$4</f>
        <v>29.6854059622</v>
      </c>
      <c r="J431" s="7" t="n">
        <f aca="false">INDEX(Prices!J:J,CEG_Assets!$AN$15)*CEG_Assets!$J$15-CEG_Assets!$K$15*J430-CEG_Assets!$M$15*J$4</f>
        <v>26.993747327688</v>
      </c>
      <c r="K431" s="7" t="n">
        <f aca="false">INDEX(Prices!K:K,CEG_Assets!$AN$15)*CEG_Assets!$J$15-CEG_Assets!$K$15*K430-CEG_Assets!$M$15*K$4</f>
        <v>27.5336222742418</v>
      </c>
      <c r="L431" s="7" t="n">
        <f aca="false">INDEX(Prices!L:L,CEG_Assets!$AN$15)*CEG_Assets!$J$15-CEG_Assets!$K$15*L430-CEG_Assets!$M$15*L$4</f>
        <v>28.0842947197266</v>
      </c>
      <c r="M431" s="7" t="n">
        <f aca="false">INDEX(Prices!M:M,CEG_Assets!$AN$15)*CEG_Assets!$J$15-CEG_Assets!$K$15*M430-CEG_Assets!$M$15*M$4</f>
        <v>28.6459806141211</v>
      </c>
      <c r="N431" s="7" t="n">
        <f aca="false">INDEX(Prices!N:N,CEG_Assets!$AN$15)*CEG_Assets!$J$15-CEG_Assets!$K$15*N430-CEG_Assets!$M$15*N$4</f>
        <v>29.2189002264035</v>
      </c>
      <c r="O431" s="7" t="n">
        <f aca="false">INDEX(Prices!O:O,CEG_Assets!$AN$15)*CEG_Assets!$J$15-CEG_Assets!$K$15*O430-CEG_Assets!$M$15*O$4</f>
        <v>29.8032782309316</v>
      </c>
      <c r="P431" s="7" t="n">
        <f aca="false">INDEX(Prices!P:P,CEG_Assets!$AN$15)*CEG_Assets!$J$15-CEG_Assets!$K$15*P430-CEG_Assets!$M$15*P$4</f>
        <v>30.3993437955503</v>
      </c>
      <c r="Q431" s="7" t="n">
        <f aca="false">INDEX(Prices!Q:Q,CEG_Assets!$AN$15)*CEG_Assets!$J$15-CEG_Assets!$K$15*Q430-CEG_Assets!$M$15*Q$4</f>
        <v>31.0073306714613</v>
      </c>
      <c r="R431" s="7" t="n">
        <f aca="false">INDEX(Prices!R:R,CEG_Assets!$AN$15)*CEG_Assets!$J$15-CEG_Assets!$K$15*R430-CEG_Assets!$M$15*R$4</f>
        <v>31.6274772848905</v>
      </c>
      <c r="S431" s="7" t="n">
        <f aca="false">INDEX(Prices!S:S,CEG_Assets!$AN$15)*CEG_Assets!$J$15-CEG_Assets!$K$15*S430-CEG_Assets!$M$15*S$4</f>
        <v>32.2600268305883</v>
      </c>
      <c r="T431" s="7" t="n">
        <f aca="false">INDEX(Prices!T:T,CEG_Assets!$AN$15)*CEG_Assets!$J$15-CEG_Assets!$K$15*T430-CEG_Assets!$M$15*T$4</f>
        <v>32.9052273672001</v>
      </c>
      <c r="U431" s="7" t="n">
        <f aca="false">INDEX(Prices!U:U,CEG_Assets!$AN$15)*CEG_Assets!$J$15-CEG_Assets!$K$15*U430-CEG_Assets!$M$15*U$4</f>
        <v>33.5633319145441</v>
      </c>
      <c r="V431" s="7" t="n">
        <f aca="false">INDEX(Prices!V:V,CEG_Assets!$AN$15)*CEG_Assets!$J$15-CEG_Assets!$K$15*V430-CEG_Assets!$M$15*V$4</f>
        <v>34.234598552835</v>
      </c>
      <c r="W431" s="7" t="n">
        <f aca="false">INDEX(Prices!W:W,CEG_Assets!$AN$15)*CEG_Assets!$J$15-CEG_Assets!$K$15*W430-CEG_Assets!$M$15*W$4</f>
        <v>34.9192905238917</v>
      </c>
      <c r="X431" s="7" t="n">
        <f aca="false">INDEX(Prices!X:X,CEG_Assets!$AN$15)*CEG_Assets!$J$15-CEG_Assets!$K$15*X430-CEG_Assets!$M$15*X$4</f>
        <v>35.6176763343695</v>
      </c>
      <c r="Y431" s="7" t="n">
        <f aca="false">INDEX(Prices!Y:Y,CEG_Assets!$AN$15)*CEG_Assets!$J$15-CEG_Assets!$K$15*Y430-CEG_Assets!$M$15*Y$4</f>
        <v>36.3300298610569</v>
      </c>
      <c r="Z431" s="7" t="n">
        <f aca="false">INDEX(Prices!Z:Z,CEG_Assets!$AN$15)*CEG_Assets!$J$15-CEG_Assets!$K$15*Z430-CEG_Assets!$M$15*Z$4</f>
        <v>37.056630458278</v>
      </c>
      <c r="AA431" s="7" t="n">
        <f aca="false">INDEX(Prices!AA:AA,CEG_Assets!$AN$15)*CEG_Assets!$J$15-CEG_Assets!$K$15*AA430-CEG_Assets!$M$15*AA$4</f>
        <v>37.7977630674436</v>
      </c>
      <c r="AB431" s="7" t="n">
        <f aca="false">INDEX(Prices!AB:AB,CEG_Assets!$AN$15)*CEG_Assets!$J$15-CEG_Assets!$K$15*AB430-CEG_Assets!$M$15*AB$4</f>
        <v>38.5537183287924</v>
      </c>
      <c r="AC431" s="7" t="n">
        <f aca="false">INDEX(Prices!AC:AC,CEG_Assets!$AN$15)*CEG_Assets!$J$15-CEG_Assets!$K$15*AC430-CEG_Assets!$M$15*AC$4</f>
        <v>39.3247926953683</v>
      </c>
      <c r="AD431" s="7" t="n">
        <f aca="false">INDEX(Prices!AD:AD,CEG_Assets!$AN$15)*CEG_Assets!$J$15-CEG_Assets!$K$15*AD430-CEG_Assets!$M$15*AD$4</f>
        <v>40.1112885492757</v>
      </c>
      <c r="AE431" s="7" t="n">
        <f aca="false">INDEX(Prices!AE:AE,CEG_Assets!$AN$15)*CEG_Assets!$J$15-CEG_Assets!$K$15*AE430-CEG_Assets!$M$15*AE$4</f>
        <v>40.9135143202612</v>
      </c>
      <c r="AF431" s="7" t="n">
        <f aca="false">INDEX(Prices!AF:AF,CEG_Assets!$AN$15)*CEG_Assets!$J$15-CEG_Assets!$K$15*AF430-CEG_Assets!$M$15*AF$4</f>
        <v>41.7317846066664</v>
      </c>
      <c r="AG431" s="7" t="n">
        <f aca="false">INDEX(Prices!AG:AG,CEG_Assets!$AN$15)*CEG_Assets!$J$15-CEG_Assets!$K$15*AG430-CEG_Assets!$M$15*AG$4</f>
        <v>42.5664202987997</v>
      </c>
      <c r="AH431" s="7" t="n">
        <f aca="false">INDEX(Prices!AH:AH,CEG_Assets!$AN$15)*CEG_Assets!$J$15-CEG_Assets!$K$15*AH430-CEG_Assets!$M$15*AH$4</f>
        <v>43.4177487047757</v>
      </c>
      <c r="AI431" s="7" t="n">
        <f aca="false">INDEX(Prices!AI:AI,CEG_Assets!$AN$15)*CEG_Assets!$J$15-CEG_Assets!$K$15*AI430-CEG_Assets!$M$15*AI$4</f>
        <v>44.2861036788712</v>
      </c>
      <c r="AJ431" s="7" t="n">
        <f aca="false">INDEX(Prices!AJ:AJ,CEG_Assets!$AN$15)*CEG_Assets!$J$15-CEG_Assets!$K$15*AJ430-CEG_Assets!$M$15*AJ$4</f>
        <v>45.1718257524487</v>
      </c>
      <c r="AK431" s="7" t="n">
        <f aca="false">INDEX(Prices!AK:AK,CEG_Assets!$AN$15)*CEG_Assets!$J$15-CEG_Assets!$K$15*AK430-CEG_Assets!$M$15*AK$4</f>
        <v>46.0752622674976</v>
      </c>
      <c r="AL431" s="7" t="n">
        <f aca="false">INDEX(Prices!AL:AL,CEG_Assets!$AN$15)*CEG_Assets!$J$15-CEG_Assets!$K$15*AL430-CEG_Assets!$M$15*AL$4</f>
        <v>46.9967675128476</v>
      </c>
      <c r="AM431" s="7" t="n">
        <f aca="false">INDEX(Prices!AM:AM,CEG_Assets!$AN$15)*CEG_Assets!$J$15-CEG_Assets!$K$15*AM430-CEG_Assets!$M$15*AM$4</f>
        <v>47.9367028631045</v>
      </c>
      <c r="AN431" s="7" t="n">
        <f aca="false">INDEX(Prices!AN:AN,CEG_Assets!$AN$15)*CEG_Assets!$J$15-CEG_Assets!$K$15*AN430-CEG_Assets!$M$15*AN$4</f>
        <v>48.8954369203666</v>
      </c>
      <c r="AO431" s="7" t="n">
        <f aca="false">INDEX(Prices!AO:AO,CEG_Assets!$AN$15)*CEG_Assets!$J$15-CEG_Assets!$K$15*AO430-CEG_Assets!$M$15*AO$4</f>
        <v>49.873345658774</v>
      </c>
      <c r="AP431" s="7" t="n">
        <f aca="false">INDEX(Prices!AP:AP,CEG_Assets!$AN$15)*CEG_Assets!$J$15-CEG_Assets!$K$15*AP430-CEG_Assets!$M$15*AP$4</f>
        <v>50.8708125719495</v>
      </c>
      <c r="AQ431" s="7" t="n">
        <f aca="false">INDEX(Prices!AQ:AQ,CEG_Assets!$AN$15)*CEG_Assets!$J$15-CEG_Assets!$K$15*AQ430-CEG_Assets!$M$15*AQ$4</f>
        <v>51.8882288233884</v>
      </c>
      <c r="AR431" s="7" t="n">
        <f aca="false">INDEX(Prices!AR:AR,CEG_Assets!$AN$15)*CEG_Assets!$J$15-CEG_Assets!$K$15*AR430-CEG_Assets!$M$15*AR$4</f>
        <v>52.9259933998562</v>
      </c>
      <c r="AS431" s="7" t="n">
        <f aca="false">INDEX(Prices!AS:AS,CEG_Assets!$AN$15)*CEG_Assets!$J$15-CEG_Assets!$K$15*AS430-CEG_Assets!$M$15*AS$4</f>
        <v>53.9845132678533</v>
      </c>
    </row>
    <row r="432" customFormat="false" ht="15" hidden="false" customHeight="false" outlineLevel="0" collapsed="false">
      <c r="A432" s="6" t="s">
        <v>437</v>
      </c>
      <c r="B432" s="6" t="s">
        <v>438</v>
      </c>
      <c r="G432" s="47" t="n">
        <f aca="false">IF(CEG_Assets!$X$15=1,IF(G431&gt;0,1,0),1)</f>
        <v>1</v>
      </c>
      <c r="H432" s="47" t="n">
        <f aca="false">IF(CEG_Assets!$X$15=1,IF(H431&gt;0,1,0),1)</f>
        <v>1</v>
      </c>
      <c r="I432" s="47" t="n">
        <f aca="false">IF(CEG_Assets!$X$15=1,IF(I431&gt;0,1,0),1)</f>
        <v>1</v>
      </c>
      <c r="J432" s="47" t="n">
        <f aca="false">IF(CEG_Assets!$X$15=1,IF(J431&gt;0,1,0),1)</f>
        <v>1</v>
      </c>
      <c r="K432" s="47" t="n">
        <f aca="false">IF(CEG_Assets!$X$15=1,IF(K431&gt;0,1,0),1)</f>
        <v>1</v>
      </c>
      <c r="L432" s="47" t="n">
        <f aca="false">IF(CEG_Assets!$X$15=1,IF(L431&gt;0,1,0),1)</f>
        <v>1</v>
      </c>
      <c r="M432" s="47" t="n">
        <f aca="false">IF(CEG_Assets!$X$15=1,IF(M431&gt;0,1,0),1)</f>
        <v>1</v>
      </c>
      <c r="N432" s="47" t="n">
        <f aca="false">IF(CEG_Assets!$X$15=1,IF(N431&gt;0,1,0),1)</f>
        <v>1</v>
      </c>
      <c r="O432" s="47" t="n">
        <f aca="false">IF(CEG_Assets!$X$15=1,IF(O431&gt;0,1,0),1)</f>
        <v>1</v>
      </c>
      <c r="P432" s="47" t="n">
        <f aca="false">IF(CEG_Assets!$X$15=1,IF(P431&gt;0,1,0),1)</f>
        <v>1</v>
      </c>
      <c r="Q432" s="47" t="n">
        <f aca="false">IF(CEG_Assets!$X$15=1,IF(Q431&gt;0,1,0),1)</f>
        <v>1</v>
      </c>
      <c r="R432" s="47" t="n">
        <f aca="false">IF(CEG_Assets!$X$15=1,IF(R431&gt;0,1,0),1)</f>
        <v>1</v>
      </c>
      <c r="S432" s="47" t="n">
        <f aca="false">IF(CEG_Assets!$X$15=1,IF(S431&gt;0,1,0),1)</f>
        <v>1</v>
      </c>
      <c r="T432" s="47" t="n">
        <f aca="false">IF(CEG_Assets!$X$15=1,IF(T431&gt;0,1,0),1)</f>
        <v>1</v>
      </c>
      <c r="U432" s="47" t="n">
        <f aca="false">IF(CEG_Assets!$X$15=1,IF(U431&gt;0,1,0),1)</f>
        <v>1</v>
      </c>
      <c r="V432" s="47" t="n">
        <f aca="false">IF(CEG_Assets!$X$15=1,IF(V431&gt;0,1,0),1)</f>
        <v>1</v>
      </c>
      <c r="W432" s="47" t="n">
        <f aca="false">IF(CEG_Assets!$X$15=1,IF(W431&gt;0,1,0),1)</f>
        <v>1</v>
      </c>
      <c r="X432" s="47" t="n">
        <f aca="false">IF(CEG_Assets!$X$15=1,IF(X431&gt;0,1,0),1)</f>
        <v>1</v>
      </c>
      <c r="Y432" s="47" t="n">
        <f aca="false">IF(CEG_Assets!$X$15=1,IF(Y431&gt;0,1,0),1)</f>
        <v>1</v>
      </c>
      <c r="Z432" s="47" t="n">
        <f aca="false">IF(CEG_Assets!$X$15=1,IF(Z431&gt;0,1,0),1)</f>
        <v>1</v>
      </c>
      <c r="AA432" s="47" t="n">
        <f aca="false">IF(CEG_Assets!$X$15=1,IF(AA431&gt;0,1,0),1)</f>
        <v>1</v>
      </c>
      <c r="AB432" s="47" t="n">
        <f aca="false">IF(CEG_Assets!$X$15=1,IF(AB431&gt;0,1,0),1)</f>
        <v>1</v>
      </c>
      <c r="AC432" s="47" t="n">
        <f aca="false">IF(CEG_Assets!$X$15=1,IF(AC431&gt;0,1,0),1)</f>
        <v>1</v>
      </c>
      <c r="AD432" s="47" t="n">
        <f aca="false">IF(CEG_Assets!$X$15=1,IF(AD431&gt;0,1,0),1)</f>
        <v>1</v>
      </c>
      <c r="AE432" s="47" t="n">
        <f aca="false">IF(CEG_Assets!$X$15=1,IF(AE431&gt;0,1,0),1)</f>
        <v>1</v>
      </c>
      <c r="AF432" s="47" t="n">
        <f aca="false">IF(CEG_Assets!$X$15=1,IF(AF431&gt;0,1,0),1)</f>
        <v>1</v>
      </c>
      <c r="AG432" s="47" t="n">
        <f aca="false">IF(CEG_Assets!$X$15=1,IF(AG431&gt;0,1,0),1)</f>
        <v>1</v>
      </c>
      <c r="AH432" s="47" t="n">
        <f aca="false">IF(CEG_Assets!$X$15=1,IF(AH431&gt;0,1,0),1)</f>
        <v>1</v>
      </c>
      <c r="AI432" s="47" t="n">
        <f aca="false">IF(CEG_Assets!$X$15=1,IF(AI431&gt;0,1,0),1)</f>
        <v>1</v>
      </c>
      <c r="AJ432" s="47" t="n">
        <f aca="false">IF(CEG_Assets!$X$15=1,IF(AJ431&gt;0,1,0),1)</f>
        <v>1</v>
      </c>
      <c r="AK432" s="47" t="n">
        <f aca="false">IF(CEG_Assets!$X$15=1,IF(AK431&gt;0,1,0),1)</f>
        <v>1</v>
      </c>
      <c r="AL432" s="47" t="n">
        <f aca="false">IF(CEG_Assets!$X$15=1,IF(AL431&gt;0,1,0),1)</f>
        <v>1</v>
      </c>
      <c r="AM432" s="47" t="n">
        <f aca="false">IF(CEG_Assets!$X$15=1,IF(AM431&gt;0,1,0),1)</f>
        <v>1</v>
      </c>
      <c r="AN432" s="47" t="n">
        <f aca="false">IF(CEG_Assets!$X$15=1,IF(AN431&gt;0,1,0),1)</f>
        <v>1</v>
      </c>
      <c r="AO432" s="47" t="n">
        <f aca="false">IF(CEG_Assets!$X$15=1,IF(AO431&gt;0,1,0),1)</f>
        <v>1</v>
      </c>
      <c r="AP432" s="47" t="n">
        <f aca="false">IF(CEG_Assets!$X$15=1,IF(AP431&gt;0,1,0),1)</f>
        <v>1</v>
      </c>
      <c r="AQ432" s="47" t="n">
        <f aca="false">IF(CEG_Assets!$X$15=1,IF(AQ431&gt;0,1,0),1)</f>
        <v>1</v>
      </c>
      <c r="AR432" s="47" t="n">
        <f aca="false">IF(CEG_Assets!$X$15=1,IF(AR431&gt;0,1,0),1)</f>
        <v>1</v>
      </c>
      <c r="AS432" s="47" t="n">
        <f aca="false">IF(CEG_Assets!$X$15=1,IF(AS431&gt;0,1,0),1)</f>
        <v>1</v>
      </c>
    </row>
    <row r="433" customFormat="false" ht="15" hidden="false" customHeight="false" outlineLevel="0" collapsed="false">
      <c r="A433" s="6" t="s">
        <v>439</v>
      </c>
      <c r="B433" s="6" t="s">
        <v>440</v>
      </c>
      <c r="C433" s="9" t="n">
        <f aca="false">SUM(G433:AS433)</f>
        <v>29758.3403429994</v>
      </c>
      <c r="G433" s="8" t="n">
        <f aca="false">G428*INDEX(Prices!G:G,CEG_Assets!$AN$15)*CEG_Assets!$J$15*G432/1000000*(1+CEG_RevAdj)</f>
        <v>1501.42896</v>
      </c>
      <c r="H433" s="8" t="n">
        <f aca="false">H428*INDEX(Prices!H:H,CEG_Assets!$AN$15)*CEG_Assets!$J$15*H432/1000000*(1+CEG_RevAdj)</f>
        <v>1522.28214</v>
      </c>
      <c r="I433" s="8" t="n">
        <f aca="false">I428*INDEX(Prices!I:I,CEG_Assets!$AN$15)*CEG_Assets!$J$15*I432/1000000*(1+CEG_RevAdj)</f>
        <v>1396.23771890536</v>
      </c>
      <c r="J433" s="8" t="n">
        <f aca="false">J428*INDEX(Prices!J:J,CEG_Assets!$AN$15)*CEG_Assets!$J$15*J432/1000000*(1+CEG_RevAdj)</f>
        <v>1359.40789456694</v>
      </c>
      <c r="K433" s="8" t="n">
        <f aca="false">K428*INDEX(Prices!K:K,CEG_Assets!$AN$15)*CEG_Assets!$J$15*K432/1000000*(1+CEG_RevAdj)</f>
        <v>1386.59605245828</v>
      </c>
      <c r="L433" s="8" t="n">
        <f aca="false">L428*INDEX(Prices!L:L,CEG_Assets!$AN$15)*CEG_Assets!$J$15*L432/1000000*(1+CEG_RevAdj)</f>
        <v>1414.32797350744</v>
      </c>
      <c r="M433" s="8" t="n">
        <f aca="false">M428*INDEX(Prices!M:M,CEG_Assets!$AN$15)*CEG_Assets!$J$15*M432/1000000*(1+CEG_RevAdj)</f>
        <v>1442.61453297759</v>
      </c>
      <c r="N433" s="8" t="n">
        <f aca="false">N428*INDEX(Prices!N:N,CEG_Assets!$AN$15)*CEG_Assets!$J$15*N432/1000000*(1+CEG_RevAdj)</f>
        <v>1471.46682363714</v>
      </c>
      <c r="O433" s="8" t="n">
        <f aca="false">O428*INDEX(Prices!O:O,CEG_Assets!$AN$15)*CEG_Assets!$J$15*O432/1000000*(1+CEG_RevAdj)</f>
        <v>1500.89616010989</v>
      </c>
      <c r="P433" s="8" t="n">
        <f aca="false">P428*INDEX(Prices!P:P,CEG_Assets!$AN$15)*CEG_Assets!$J$15*P432/1000000*(1+CEG_RevAdj)</f>
        <v>1530.91408331208</v>
      </c>
      <c r="Q433" s="8" t="n">
        <f aca="false">Q428*INDEX(Prices!Q:Q,CEG_Assets!$AN$15)*CEG_Assets!$J$15*Q432/1000000*(1+CEG_RevAdj)</f>
        <v>1561.53236497833</v>
      </c>
      <c r="R433" s="8" t="n">
        <f aca="false">R428*INDEX(Prices!R:R,CEG_Assets!$AN$15)*CEG_Assets!$J$15*R432/1000000*(1+CEG_RevAdj)</f>
        <v>1592.76301227789</v>
      </c>
      <c r="S433" s="8" t="n">
        <f aca="false">S428*INDEX(Prices!S:S,CEG_Assets!$AN$15)*CEG_Assets!$J$15*S432/1000000*(1+CEG_RevAdj)</f>
        <v>1624.61827252345</v>
      </c>
      <c r="T433" s="8" t="n">
        <f aca="false">T428*INDEX(Prices!T:T,CEG_Assets!$AN$15)*CEG_Assets!$J$15*T432/1000000*(1+CEG_RevAdj)</f>
        <v>1657.11063797392</v>
      </c>
      <c r="U433" s="8" t="n">
        <f aca="false">U428*INDEX(Prices!U:U,CEG_Assets!$AN$15)*CEG_Assets!$J$15*U432/1000000*(1+CEG_RevAdj)</f>
        <v>1690.2528507334</v>
      </c>
      <c r="V433" s="8" t="n">
        <f aca="false">V428*INDEX(Prices!V:V,CEG_Assets!$AN$15)*CEG_Assets!$J$15*V432/1000000*(1+CEG_RevAdj)</f>
        <v>1724.05790774807</v>
      </c>
      <c r="W433" s="8" t="n">
        <f aca="false">W428*INDEX(Prices!W:W,CEG_Assets!$AN$15)*CEG_Assets!$J$15*W432/1000000*(1+CEG_RevAdj)</f>
        <v>1758.53906590303</v>
      </c>
      <c r="X433" s="8" t="n">
        <f aca="false">X428*INDEX(Prices!X:X,CEG_Assets!$AN$15)*CEG_Assets!$J$15*X432/1000000*(1+CEG_RevAdj)</f>
        <v>1793.70984722109</v>
      </c>
      <c r="Y433" s="8" t="n">
        <f aca="false">Y428*INDEX(Prices!Y:Y,CEG_Assets!$AN$15)*CEG_Assets!$J$15*Y432/1000000*(1+CEG_RevAdj)</f>
        <v>1829.58404416551</v>
      </c>
      <c r="Z433" s="8" t="n">
        <f aca="false">Z428*INDEX(Prices!Z:Z,CEG_Assets!$AN$15)*CEG_Assets!$J$15*Z432/1000000*(1+CEG_RevAdj)</f>
        <v>0</v>
      </c>
      <c r="AA433" s="8" t="n">
        <f aca="false">AA428*INDEX(Prices!AA:AA,CEG_Assets!$AN$15)*CEG_Assets!$J$15*AA432/1000000*(1+CEG_RevAdj)</f>
        <v>0</v>
      </c>
      <c r="AB433" s="8" t="n">
        <f aca="false">AB428*INDEX(Prices!AB:AB,CEG_Assets!$AN$15)*CEG_Assets!$J$15*AB432/1000000*(1+CEG_RevAdj)</f>
        <v>0</v>
      </c>
      <c r="AC433" s="8" t="n">
        <f aca="false">AC428*INDEX(Prices!AC:AC,CEG_Assets!$AN$15)*CEG_Assets!$J$15*AC432/1000000*(1+CEG_RevAdj)</f>
        <v>0</v>
      </c>
      <c r="AD433" s="8" t="n">
        <f aca="false">AD428*INDEX(Prices!AD:AD,CEG_Assets!$AN$15)*CEG_Assets!$J$15*AD432/1000000*(1+CEG_RevAdj)</f>
        <v>0</v>
      </c>
      <c r="AE433" s="8" t="n">
        <f aca="false">AE428*INDEX(Prices!AE:AE,CEG_Assets!$AN$15)*CEG_Assets!$J$15*AE432/1000000*(1+CEG_RevAdj)</f>
        <v>0</v>
      </c>
      <c r="AF433" s="8" t="n">
        <f aca="false">AF428*INDEX(Prices!AF:AF,CEG_Assets!$AN$15)*CEG_Assets!$J$15*AF432/1000000*(1+CEG_RevAdj)</f>
        <v>0</v>
      </c>
      <c r="AG433" s="8" t="n">
        <f aca="false">AG428*INDEX(Prices!AG:AG,CEG_Assets!$AN$15)*CEG_Assets!$J$15*AG432/1000000*(1+CEG_RevAdj)</f>
        <v>0</v>
      </c>
      <c r="AH433" s="8" t="n">
        <f aca="false">AH428*INDEX(Prices!AH:AH,CEG_Assets!$AN$15)*CEG_Assets!$J$15*AH432/1000000*(1+CEG_RevAdj)</f>
        <v>0</v>
      </c>
      <c r="AI433" s="8" t="n">
        <f aca="false">AI428*INDEX(Prices!AI:AI,CEG_Assets!$AN$15)*CEG_Assets!$J$15*AI432/1000000*(1+CEG_RevAdj)</f>
        <v>0</v>
      </c>
      <c r="AJ433" s="8" t="n">
        <f aca="false">AJ428*INDEX(Prices!AJ:AJ,CEG_Assets!$AN$15)*CEG_Assets!$J$15*AJ432/1000000*(1+CEG_RevAdj)</f>
        <v>0</v>
      </c>
      <c r="AK433" s="8" t="n">
        <f aca="false">AK428*INDEX(Prices!AK:AK,CEG_Assets!$AN$15)*CEG_Assets!$J$15*AK432/1000000*(1+CEG_RevAdj)</f>
        <v>0</v>
      </c>
      <c r="AL433" s="8" t="n">
        <f aca="false">AL428*INDEX(Prices!AL:AL,CEG_Assets!$AN$15)*CEG_Assets!$J$15*AL432/1000000*(1+CEG_RevAdj)</f>
        <v>0</v>
      </c>
      <c r="AM433" s="8" t="n">
        <f aca="false">AM428*INDEX(Prices!AM:AM,CEG_Assets!$AN$15)*CEG_Assets!$J$15*AM432/1000000*(1+CEG_RevAdj)</f>
        <v>0</v>
      </c>
      <c r="AN433" s="8" t="n">
        <f aca="false">AN428*INDEX(Prices!AN:AN,CEG_Assets!$AN$15)*CEG_Assets!$J$15*AN432/1000000*(1+CEG_RevAdj)</f>
        <v>0</v>
      </c>
      <c r="AO433" s="8" t="n">
        <f aca="false">AO428*INDEX(Prices!AO:AO,CEG_Assets!$AN$15)*CEG_Assets!$J$15*AO432/1000000*(1+CEG_RevAdj)</f>
        <v>0</v>
      </c>
      <c r="AP433" s="8" t="n">
        <f aca="false">AP428*INDEX(Prices!AP:AP,CEG_Assets!$AN$15)*CEG_Assets!$J$15*AP432/1000000*(1+CEG_RevAdj)</f>
        <v>0</v>
      </c>
      <c r="AQ433" s="8" t="n">
        <f aca="false">AQ428*INDEX(Prices!AQ:AQ,CEG_Assets!$AN$15)*CEG_Assets!$J$15*AQ432/1000000*(1+CEG_RevAdj)</f>
        <v>0</v>
      </c>
      <c r="AR433" s="8" t="n">
        <f aca="false">AR428*INDEX(Prices!AR:AR,CEG_Assets!$AN$15)*CEG_Assets!$J$15*AR432/1000000*(1+CEG_RevAdj)</f>
        <v>0</v>
      </c>
      <c r="AS433" s="8" t="n">
        <f aca="false">AS428*INDEX(Prices!AS:AS,CEG_Assets!$AN$15)*CEG_Assets!$J$15*AS432/1000000*(1+CEG_RevAdj)</f>
        <v>0</v>
      </c>
    </row>
    <row r="434" customFormat="false" ht="15" hidden="false" customHeight="false" outlineLevel="0" collapsed="false">
      <c r="A434" s="6" t="s">
        <v>441</v>
      </c>
      <c r="B434" s="6" t="s">
        <v>442</v>
      </c>
      <c r="C434" s="9" t="n">
        <f aca="false">SUM(G434:AS434)</f>
        <v>7296.03729992706</v>
      </c>
      <c r="G434" s="8" t="n">
        <f aca="false">(CEG_Assets!$D$15-G427)*INDEX(Prices!G:G,CEG_Assets!$AP$15)*365*CEG_Assets!$T$15*G426/1000000*(1+CEG_RevAdj)</f>
        <v>319.4334</v>
      </c>
      <c r="H434" s="8" t="n">
        <f aca="false">(CEG_Assets!$D$15-H427)*INDEX(Prices!H:H,CEG_Assets!$AP$15)*365*CEG_Assets!$T$15*H426/1000000*(1+CEG_RevAdj)</f>
        <v>325.822068</v>
      </c>
      <c r="I434" s="8" t="n">
        <f aca="false">(CEG_Assets!$D$15-I427)*INDEX(Prices!I:I,CEG_Assets!$AP$15)*365*CEG_Assets!$T$15*I426/1000000*(1+CEG_RevAdj)</f>
        <v>332.33850936</v>
      </c>
      <c r="J434" s="8" t="n">
        <f aca="false">(CEG_Assets!$D$15-J427)*INDEX(Prices!J:J,CEG_Assets!$AP$15)*365*CEG_Assets!$T$15*J426/1000000*(1+CEG_RevAdj)</f>
        <v>338.9852795472</v>
      </c>
      <c r="K434" s="8" t="n">
        <f aca="false">(CEG_Assets!$D$15-K427)*INDEX(Prices!K:K,CEG_Assets!$AP$15)*365*CEG_Assets!$T$15*K426/1000000*(1+CEG_RevAdj)</f>
        <v>345.764985138144</v>
      </c>
      <c r="L434" s="8" t="n">
        <f aca="false">(CEG_Assets!$D$15-L427)*INDEX(Prices!L:L,CEG_Assets!$AP$15)*365*CEG_Assets!$T$15*L426/1000000*(1+CEG_RevAdj)</f>
        <v>352.680284840907</v>
      </c>
      <c r="M434" s="8" t="n">
        <f aca="false">(CEG_Assets!$D$15-M427)*INDEX(Prices!M:M,CEG_Assets!$AP$15)*365*CEG_Assets!$T$15*M426/1000000*(1+CEG_RevAdj)</f>
        <v>359.733890537725</v>
      </c>
      <c r="N434" s="8" t="n">
        <f aca="false">(CEG_Assets!$D$15-N427)*INDEX(Prices!N:N,CEG_Assets!$AP$15)*365*CEG_Assets!$T$15*N426/1000000*(1+CEG_RevAdj)</f>
        <v>366.92856834848</v>
      </c>
      <c r="O434" s="8" t="n">
        <f aca="false">(CEG_Assets!$D$15-O427)*INDEX(Prices!O:O,CEG_Assets!$AP$15)*365*CEG_Assets!$T$15*O426/1000000*(1+CEG_RevAdj)</f>
        <v>374.267139715449</v>
      </c>
      <c r="P434" s="8" t="n">
        <f aca="false">(CEG_Assets!$D$15-P427)*INDEX(Prices!P:P,CEG_Assets!$AP$15)*365*CEG_Assets!$T$15*P426/1000000*(1+CEG_RevAdj)</f>
        <v>381.752482509758</v>
      </c>
      <c r="Q434" s="8" t="n">
        <f aca="false">(CEG_Assets!$D$15-Q427)*INDEX(Prices!Q:Q,CEG_Assets!$AP$15)*365*CEG_Assets!$T$15*Q426/1000000*(1+CEG_RevAdj)</f>
        <v>389.387532159953</v>
      </c>
      <c r="R434" s="8" t="n">
        <f aca="false">(CEG_Assets!$D$15-R427)*INDEX(Prices!R:R,CEG_Assets!$AP$15)*365*CEG_Assets!$T$15*R426/1000000*(1+CEG_RevAdj)</f>
        <v>397.175282803152</v>
      </c>
      <c r="S434" s="8" t="n">
        <f aca="false">(CEG_Assets!$D$15-S427)*INDEX(Prices!S:S,CEG_Assets!$AP$15)*365*CEG_Assets!$T$15*S426/1000000*(1+CEG_RevAdj)</f>
        <v>405.118788459215</v>
      </c>
      <c r="T434" s="8" t="n">
        <f aca="false">(CEG_Assets!$D$15-T427)*INDEX(Prices!T:T,CEG_Assets!$AP$15)*365*CEG_Assets!$T$15*T426/1000000*(1+CEG_RevAdj)</f>
        <v>413.2211642284</v>
      </c>
      <c r="U434" s="8" t="n">
        <f aca="false">(CEG_Assets!$D$15-U427)*INDEX(Prices!U:U,CEG_Assets!$AP$15)*365*CEG_Assets!$T$15*U426/1000000*(1+CEG_RevAdj)</f>
        <v>421.485587512968</v>
      </c>
      <c r="V434" s="8" t="n">
        <f aca="false">(CEG_Assets!$D$15-V427)*INDEX(Prices!V:V,CEG_Assets!$AP$15)*365*CEG_Assets!$T$15*V426/1000000*(1+CEG_RevAdj)</f>
        <v>429.915299263227</v>
      </c>
      <c r="W434" s="8" t="n">
        <f aca="false">(CEG_Assets!$D$15-W427)*INDEX(Prices!W:W,CEG_Assets!$AP$15)*365*CEG_Assets!$T$15*W426/1000000*(1+CEG_RevAdj)</f>
        <v>438.513605248492</v>
      </c>
      <c r="X434" s="8" t="n">
        <f aca="false">(CEG_Assets!$D$15-X427)*INDEX(Prices!X:X,CEG_Assets!$AP$15)*365*CEG_Assets!$T$15*X426/1000000*(1+CEG_RevAdj)</f>
        <v>447.283877353462</v>
      </c>
      <c r="Y434" s="8" t="n">
        <f aca="false">(CEG_Assets!$D$15-Y427)*INDEX(Prices!Y:Y,CEG_Assets!$AP$15)*365*CEG_Assets!$T$15*Y426/1000000*(1+CEG_RevAdj)</f>
        <v>456.229554900531</v>
      </c>
      <c r="Z434" s="8" t="n">
        <f aca="false">(CEG_Assets!$D$15-Z427)*INDEX(Prices!Z:Z,CEG_Assets!$AP$15)*365*CEG_Assets!$T$15*Z426/1000000*(1+CEG_RevAdj)</f>
        <v>0</v>
      </c>
      <c r="AA434" s="8" t="n">
        <f aca="false">(CEG_Assets!$D$15-AA427)*INDEX(Prices!AA:AA,CEG_Assets!$AP$15)*365*CEG_Assets!$T$15*AA426/1000000*(1+CEG_RevAdj)</f>
        <v>0</v>
      </c>
      <c r="AB434" s="8" t="n">
        <f aca="false">(CEG_Assets!$D$15-AB427)*INDEX(Prices!AB:AB,CEG_Assets!$AP$15)*365*CEG_Assets!$T$15*AB426/1000000*(1+CEG_RevAdj)</f>
        <v>0</v>
      </c>
      <c r="AC434" s="8" t="n">
        <f aca="false">(CEG_Assets!$D$15-AC427)*INDEX(Prices!AC:AC,CEG_Assets!$AP$15)*365*CEG_Assets!$T$15*AC426/1000000*(1+CEG_RevAdj)</f>
        <v>0</v>
      </c>
      <c r="AD434" s="8" t="n">
        <f aca="false">(CEG_Assets!$D$15-AD427)*INDEX(Prices!AD:AD,CEG_Assets!$AP$15)*365*CEG_Assets!$T$15*AD426/1000000*(1+CEG_RevAdj)</f>
        <v>0</v>
      </c>
      <c r="AE434" s="8" t="n">
        <f aca="false">(CEG_Assets!$D$15-AE427)*INDEX(Prices!AE:AE,CEG_Assets!$AP$15)*365*CEG_Assets!$T$15*AE426/1000000*(1+CEG_RevAdj)</f>
        <v>0</v>
      </c>
      <c r="AF434" s="8" t="n">
        <f aca="false">(CEG_Assets!$D$15-AF427)*INDEX(Prices!AF:AF,CEG_Assets!$AP$15)*365*CEG_Assets!$T$15*AF426/1000000*(1+CEG_RevAdj)</f>
        <v>0</v>
      </c>
      <c r="AG434" s="8" t="n">
        <f aca="false">(CEG_Assets!$D$15-AG427)*INDEX(Prices!AG:AG,CEG_Assets!$AP$15)*365*CEG_Assets!$T$15*AG426/1000000*(1+CEG_RevAdj)</f>
        <v>0</v>
      </c>
      <c r="AH434" s="8" t="n">
        <f aca="false">(CEG_Assets!$D$15-AH427)*INDEX(Prices!AH:AH,CEG_Assets!$AP$15)*365*CEG_Assets!$T$15*AH426/1000000*(1+CEG_RevAdj)</f>
        <v>0</v>
      </c>
      <c r="AI434" s="8" t="n">
        <f aca="false">(CEG_Assets!$D$15-AI427)*INDEX(Prices!AI:AI,CEG_Assets!$AP$15)*365*CEG_Assets!$T$15*AI426/1000000*(1+CEG_RevAdj)</f>
        <v>0</v>
      </c>
      <c r="AJ434" s="8" t="n">
        <f aca="false">(CEG_Assets!$D$15-AJ427)*INDEX(Prices!AJ:AJ,CEG_Assets!$AP$15)*365*CEG_Assets!$T$15*AJ426/1000000*(1+CEG_RevAdj)</f>
        <v>0</v>
      </c>
      <c r="AK434" s="8" t="n">
        <f aca="false">(CEG_Assets!$D$15-AK427)*INDEX(Prices!AK:AK,CEG_Assets!$AP$15)*365*CEG_Assets!$T$15*AK426/1000000*(1+CEG_RevAdj)</f>
        <v>0</v>
      </c>
      <c r="AL434" s="8" t="n">
        <f aca="false">(CEG_Assets!$D$15-AL427)*INDEX(Prices!AL:AL,CEG_Assets!$AP$15)*365*CEG_Assets!$T$15*AL426/1000000*(1+CEG_RevAdj)</f>
        <v>0</v>
      </c>
      <c r="AM434" s="8" t="n">
        <f aca="false">(CEG_Assets!$D$15-AM427)*INDEX(Prices!AM:AM,CEG_Assets!$AP$15)*365*CEG_Assets!$T$15*AM426/1000000*(1+CEG_RevAdj)</f>
        <v>0</v>
      </c>
      <c r="AN434" s="8" t="n">
        <f aca="false">(CEG_Assets!$D$15-AN427)*INDEX(Prices!AN:AN,CEG_Assets!$AP$15)*365*CEG_Assets!$T$15*AN426/1000000*(1+CEG_RevAdj)</f>
        <v>0</v>
      </c>
      <c r="AO434" s="8" t="n">
        <f aca="false">(CEG_Assets!$D$15-AO427)*INDEX(Prices!AO:AO,CEG_Assets!$AP$15)*365*CEG_Assets!$T$15*AO426/1000000*(1+CEG_RevAdj)</f>
        <v>0</v>
      </c>
      <c r="AP434" s="8" t="n">
        <f aca="false">(CEG_Assets!$D$15-AP427)*INDEX(Prices!AP:AP,CEG_Assets!$AP$15)*365*CEG_Assets!$T$15*AP426/1000000*(1+CEG_RevAdj)</f>
        <v>0</v>
      </c>
      <c r="AQ434" s="8" t="n">
        <f aca="false">(CEG_Assets!$D$15-AQ427)*INDEX(Prices!AQ:AQ,CEG_Assets!$AP$15)*365*CEG_Assets!$T$15*AQ426/1000000*(1+CEG_RevAdj)</f>
        <v>0</v>
      </c>
      <c r="AR434" s="8" t="n">
        <f aca="false">(CEG_Assets!$D$15-AR427)*INDEX(Prices!AR:AR,CEG_Assets!$AP$15)*365*CEG_Assets!$T$15*AR426/1000000*(1+CEG_RevAdj)</f>
        <v>0</v>
      </c>
      <c r="AS434" s="8" t="n">
        <f aca="false">(CEG_Assets!$D$15-AS427)*INDEX(Prices!AS:AS,CEG_Assets!$AP$15)*365*CEG_Assets!$T$15*AS426/1000000*(1+CEG_RevAdj)</f>
        <v>0</v>
      </c>
    </row>
    <row r="435" customFormat="false" ht="15" hidden="false" customHeight="false" outlineLevel="0" collapsed="false">
      <c r="A435" s="6" t="s">
        <v>443</v>
      </c>
      <c r="B435" s="6" t="s">
        <v>444</v>
      </c>
      <c r="C435" s="9" t="n">
        <f aca="false">SUM(G435:AS435)</f>
        <v>0</v>
      </c>
      <c r="G435" s="8" t="n">
        <f aca="false">G429*(CEG_Assets!$AD$15+CEG_PPAAdj)/1000000*(1+CEG_RevAdj)</f>
        <v>0</v>
      </c>
      <c r="H435" s="8" t="n">
        <f aca="false">H429*(CEG_Assets!$AD$15+CEG_PPAAdj)/1000000*(1+CEG_RevAdj)</f>
        <v>0</v>
      </c>
      <c r="I435" s="8" t="n">
        <f aca="false">I429*(CEG_Assets!$AD$15+CEG_PPAAdj)/1000000*(1+CEG_RevAdj)</f>
        <v>0</v>
      </c>
      <c r="J435" s="8" t="n">
        <f aca="false">J429*(CEG_Assets!$AD$15+CEG_PPAAdj)/1000000*(1+CEG_RevAdj)</f>
        <v>0</v>
      </c>
      <c r="K435" s="8" t="n">
        <f aca="false">K429*(CEG_Assets!$AD$15+CEG_PPAAdj)/1000000*(1+CEG_RevAdj)</f>
        <v>0</v>
      </c>
      <c r="L435" s="8" t="n">
        <f aca="false">L429*(CEG_Assets!$AD$15+CEG_PPAAdj)/1000000*(1+CEG_RevAdj)</f>
        <v>0</v>
      </c>
      <c r="M435" s="8" t="n">
        <f aca="false">M429*(CEG_Assets!$AD$15+CEG_PPAAdj)/1000000*(1+CEG_RevAdj)</f>
        <v>0</v>
      </c>
      <c r="N435" s="8" t="n">
        <f aca="false">N429*(CEG_Assets!$AD$15+CEG_PPAAdj)/1000000*(1+CEG_RevAdj)</f>
        <v>0</v>
      </c>
      <c r="O435" s="8" t="n">
        <f aca="false">O429*(CEG_Assets!$AD$15+CEG_PPAAdj)/1000000*(1+CEG_RevAdj)</f>
        <v>0</v>
      </c>
      <c r="P435" s="8" t="n">
        <f aca="false">P429*(CEG_Assets!$AD$15+CEG_PPAAdj)/1000000*(1+CEG_RevAdj)</f>
        <v>0</v>
      </c>
      <c r="Q435" s="8" t="n">
        <f aca="false">Q429*(CEG_Assets!$AD$15+CEG_PPAAdj)/1000000*(1+CEG_RevAdj)</f>
        <v>0</v>
      </c>
      <c r="R435" s="8" t="n">
        <f aca="false">R429*(CEG_Assets!$AD$15+CEG_PPAAdj)/1000000*(1+CEG_RevAdj)</f>
        <v>0</v>
      </c>
      <c r="S435" s="8" t="n">
        <f aca="false">S429*(CEG_Assets!$AD$15+CEG_PPAAdj)/1000000*(1+CEG_RevAdj)</f>
        <v>0</v>
      </c>
      <c r="T435" s="8" t="n">
        <f aca="false">T429*(CEG_Assets!$AD$15+CEG_PPAAdj)/1000000*(1+CEG_RevAdj)</f>
        <v>0</v>
      </c>
      <c r="U435" s="8" t="n">
        <f aca="false">U429*(CEG_Assets!$AD$15+CEG_PPAAdj)/1000000*(1+CEG_RevAdj)</f>
        <v>0</v>
      </c>
      <c r="V435" s="8" t="n">
        <f aca="false">V429*(CEG_Assets!$AD$15+CEG_PPAAdj)/1000000*(1+CEG_RevAdj)</f>
        <v>0</v>
      </c>
      <c r="W435" s="8" t="n">
        <f aca="false">W429*(CEG_Assets!$AD$15+CEG_PPAAdj)/1000000*(1+CEG_RevAdj)</f>
        <v>0</v>
      </c>
      <c r="X435" s="8" t="n">
        <f aca="false">X429*(CEG_Assets!$AD$15+CEG_PPAAdj)/1000000*(1+CEG_RevAdj)</f>
        <v>0</v>
      </c>
      <c r="Y435" s="8" t="n">
        <f aca="false">Y429*(CEG_Assets!$AD$15+CEG_PPAAdj)/1000000*(1+CEG_RevAdj)</f>
        <v>0</v>
      </c>
      <c r="Z435" s="8" t="n">
        <f aca="false">Z429*(CEG_Assets!$AD$15+CEG_PPAAdj)/1000000*(1+CEG_RevAdj)</f>
        <v>0</v>
      </c>
      <c r="AA435" s="8" t="n">
        <f aca="false">AA429*(CEG_Assets!$AD$15+CEG_PPAAdj)/1000000*(1+CEG_RevAdj)</f>
        <v>0</v>
      </c>
      <c r="AB435" s="8" t="n">
        <f aca="false">AB429*(CEG_Assets!$AD$15+CEG_PPAAdj)/1000000*(1+CEG_RevAdj)</f>
        <v>0</v>
      </c>
      <c r="AC435" s="8" t="n">
        <f aca="false">AC429*(CEG_Assets!$AD$15+CEG_PPAAdj)/1000000*(1+CEG_RevAdj)</f>
        <v>0</v>
      </c>
      <c r="AD435" s="8" t="n">
        <f aca="false">AD429*(CEG_Assets!$AD$15+CEG_PPAAdj)/1000000*(1+CEG_RevAdj)</f>
        <v>0</v>
      </c>
      <c r="AE435" s="8" t="n">
        <f aca="false">AE429*(CEG_Assets!$AD$15+CEG_PPAAdj)/1000000*(1+CEG_RevAdj)</f>
        <v>0</v>
      </c>
      <c r="AF435" s="8" t="n">
        <f aca="false">AF429*(CEG_Assets!$AD$15+CEG_PPAAdj)/1000000*(1+CEG_RevAdj)</f>
        <v>0</v>
      </c>
      <c r="AG435" s="8" t="n">
        <f aca="false">AG429*(CEG_Assets!$AD$15+CEG_PPAAdj)/1000000*(1+CEG_RevAdj)</f>
        <v>0</v>
      </c>
      <c r="AH435" s="8" t="n">
        <f aca="false">AH429*(CEG_Assets!$AD$15+CEG_PPAAdj)/1000000*(1+CEG_RevAdj)</f>
        <v>0</v>
      </c>
      <c r="AI435" s="8" t="n">
        <f aca="false">AI429*(CEG_Assets!$AD$15+CEG_PPAAdj)/1000000*(1+CEG_RevAdj)</f>
        <v>0</v>
      </c>
      <c r="AJ435" s="8" t="n">
        <f aca="false">AJ429*(CEG_Assets!$AD$15+CEG_PPAAdj)/1000000*(1+CEG_RevAdj)</f>
        <v>0</v>
      </c>
      <c r="AK435" s="8" t="n">
        <f aca="false">AK429*(CEG_Assets!$AD$15+CEG_PPAAdj)/1000000*(1+CEG_RevAdj)</f>
        <v>0</v>
      </c>
      <c r="AL435" s="8" t="n">
        <f aca="false">AL429*(CEG_Assets!$AD$15+CEG_PPAAdj)/1000000*(1+CEG_RevAdj)</f>
        <v>0</v>
      </c>
      <c r="AM435" s="8" t="n">
        <f aca="false">AM429*(CEG_Assets!$AD$15+CEG_PPAAdj)/1000000*(1+CEG_RevAdj)</f>
        <v>0</v>
      </c>
      <c r="AN435" s="8" t="n">
        <f aca="false">AN429*(CEG_Assets!$AD$15+CEG_PPAAdj)/1000000*(1+CEG_RevAdj)</f>
        <v>0</v>
      </c>
      <c r="AO435" s="8" t="n">
        <f aca="false">AO429*(CEG_Assets!$AD$15+CEG_PPAAdj)/1000000*(1+CEG_RevAdj)</f>
        <v>0</v>
      </c>
      <c r="AP435" s="8" t="n">
        <f aca="false">AP429*(CEG_Assets!$AD$15+CEG_PPAAdj)/1000000*(1+CEG_RevAdj)</f>
        <v>0</v>
      </c>
      <c r="AQ435" s="8" t="n">
        <f aca="false">AQ429*(CEG_Assets!$AD$15+CEG_PPAAdj)/1000000*(1+CEG_RevAdj)</f>
        <v>0</v>
      </c>
      <c r="AR435" s="8" t="n">
        <f aca="false">AR429*(CEG_Assets!$AD$15+CEG_PPAAdj)/1000000*(1+CEG_RevAdj)</f>
        <v>0</v>
      </c>
      <c r="AS435" s="8" t="n">
        <f aca="false">AS429*(CEG_Assets!$AD$15+CEG_PPAAdj)/1000000*(1+CEG_RevAdj)</f>
        <v>0</v>
      </c>
    </row>
    <row r="436" customFormat="false" ht="15" hidden="false" customHeight="false" outlineLevel="0" collapsed="false">
      <c r="A436" s="6" t="s">
        <v>445</v>
      </c>
      <c r="B436" s="6" t="s">
        <v>446</v>
      </c>
      <c r="C436" s="9" t="n">
        <f aca="false">SUM(G436:AS436)</f>
        <v>0</v>
      </c>
      <c r="G436" s="8" t="n">
        <f aca="false">IF(G$3&lt;=CEG_Assets!$V$15,G428*CEG_Assets!$U$15,0)/1000000*(1+CEG_RevAdj)</f>
        <v>0</v>
      </c>
      <c r="H436" s="8" t="n">
        <f aca="false">IF(H$3&lt;=CEG_Assets!$V$15,H428*CEG_Assets!$U$15,0)/1000000*(1+CEG_RevAdj)</f>
        <v>0</v>
      </c>
      <c r="I436" s="8" t="n">
        <f aca="false">IF(I$3&lt;=CEG_Assets!$V$15,I428*CEG_Assets!$U$15,0)/1000000*(1+CEG_RevAdj)</f>
        <v>0</v>
      </c>
      <c r="J436" s="8" t="n">
        <f aca="false">IF(J$3&lt;=CEG_Assets!$V$15,J428*CEG_Assets!$U$15,0)/1000000*(1+CEG_RevAdj)</f>
        <v>0</v>
      </c>
      <c r="K436" s="8" t="n">
        <f aca="false">IF(K$3&lt;=CEG_Assets!$V$15,K428*CEG_Assets!$U$15,0)/1000000*(1+CEG_RevAdj)</f>
        <v>0</v>
      </c>
      <c r="L436" s="8" t="n">
        <f aca="false">IF(L$3&lt;=CEG_Assets!$V$15,L428*CEG_Assets!$U$15,0)/1000000*(1+CEG_RevAdj)</f>
        <v>0</v>
      </c>
      <c r="M436" s="8" t="n">
        <f aca="false">IF(M$3&lt;=CEG_Assets!$V$15,M428*CEG_Assets!$U$15,0)/1000000*(1+CEG_RevAdj)</f>
        <v>0</v>
      </c>
      <c r="N436" s="8" t="n">
        <f aca="false">IF(N$3&lt;=CEG_Assets!$V$15,N428*CEG_Assets!$U$15,0)/1000000*(1+CEG_RevAdj)</f>
        <v>0</v>
      </c>
      <c r="O436" s="8" t="n">
        <f aca="false">IF(O$3&lt;=CEG_Assets!$V$15,O428*CEG_Assets!$U$15,0)/1000000*(1+CEG_RevAdj)</f>
        <v>0</v>
      </c>
      <c r="P436" s="8" t="n">
        <f aca="false">IF(P$3&lt;=CEG_Assets!$V$15,P428*CEG_Assets!$U$15,0)/1000000*(1+CEG_RevAdj)</f>
        <v>0</v>
      </c>
      <c r="Q436" s="8" t="n">
        <f aca="false">IF(Q$3&lt;=CEG_Assets!$V$15,Q428*CEG_Assets!$U$15,0)/1000000*(1+CEG_RevAdj)</f>
        <v>0</v>
      </c>
      <c r="R436" s="8" t="n">
        <f aca="false">IF(R$3&lt;=CEG_Assets!$V$15,R428*CEG_Assets!$U$15,0)/1000000*(1+CEG_RevAdj)</f>
        <v>0</v>
      </c>
      <c r="S436" s="8" t="n">
        <f aca="false">IF(S$3&lt;=CEG_Assets!$V$15,S428*CEG_Assets!$U$15,0)/1000000*(1+CEG_RevAdj)</f>
        <v>0</v>
      </c>
      <c r="T436" s="8" t="n">
        <f aca="false">IF(T$3&lt;=CEG_Assets!$V$15,T428*CEG_Assets!$U$15,0)/1000000*(1+CEG_RevAdj)</f>
        <v>0</v>
      </c>
      <c r="U436" s="8" t="n">
        <f aca="false">IF(U$3&lt;=CEG_Assets!$V$15,U428*CEG_Assets!$U$15,0)/1000000*(1+CEG_RevAdj)</f>
        <v>0</v>
      </c>
      <c r="V436" s="8" t="n">
        <f aca="false">IF(V$3&lt;=CEG_Assets!$V$15,V428*CEG_Assets!$U$15,0)/1000000*(1+CEG_RevAdj)</f>
        <v>0</v>
      </c>
      <c r="W436" s="8" t="n">
        <f aca="false">IF(W$3&lt;=CEG_Assets!$V$15,W428*CEG_Assets!$U$15,0)/1000000*(1+CEG_RevAdj)</f>
        <v>0</v>
      </c>
      <c r="X436" s="8" t="n">
        <f aca="false">IF(X$3&lt;=CEG_Assets!$V$15,X428*CEG_Assets!$U$15,0)/1000000*(1+CEG_RevAdj)</f>
        <v>0</v>
      </c>
      <c r="Y436" s="8" t="n">
        <f aca="false">IF(Y$3&lt;=CEG_Assets!$V$15,Y428*CEG_Assets!$U$15,0)/1000000*(1+CEG_RevAdj)</f>
        <v>0</v>
      </c>
      <c r="Z436" s="8" t="n">
        <f aca="false">IF(Z$3&lt;=CEG_Assets!$V$15,Z428*CEG_Assets!$U$15,0)/1000000*(1+CEG_RevAdj)</f>
        <v>0</v>
      </c>
      <c r="AA436" s="8" t="n">
        <f aca="false">IF(AA$3&lt;=CEG_Assets!$V$15,AA428*CEG_Assets!$U$15,0)/1000000*(1+CEG_RevAdj)</f>
        <v>0</v>
      </c>
      <c r="AB436" s="8" t="n">
        <f aca="false">IF(AB$3&lt;=CEG_Assets!$V$15,AB428*CEG_Assets!$U$15,0)/1000000*(1+CEG_RevAdj)</f>
        <v>0</v>
      </c>
      <c r="AC436" s="8" t="n">
        <f aca="false">IF(AC$3&lt;=CEG_Assets!$V$15,AC428*CEG_Assets!$U$15,0)/1000000*(1+CEG_RevAdj)</f>
        <v>0</v>
      </c>
      <c r="AD436" s="8" t="n">
        <f aca="false">IF(AD$3&lt;=CEG_Assets!$V$15,AD428*CEG_Assets!$U$15,0)/1000000*(1+CEG_RevAdj)</f>
        <v>0</v>
      </c>
      <c r="AE436" s="8" t="n">
        <f aca="false">IF(AE$3&lt;=CEG_Assets!$V$15,AE428*CEG_Assets!$U$15,0)/1000000*(1+CEG_RevAdj)</f>
        <v>0</v>
      </c>
      <c r="AF436" s="8" t="n">
        <f aca="false">IF(AF$3&lt;=CEG_Assets!$V$15,AF428*CEG_Assets!$U$15,0)/1000000*(1+CEG_RevAdj)</f>
        <v>0</v>
      </c>
      <c r="AG436" s="8" t="n">
        <f aca="false">IF(AG$3&lt;=CEG_Assets!$V$15,AG428*CEG_Assets!$U$15,0)/1000000*(1+CEG_RevAdj)</f>
        <v>0</v>
      </c>
      <c r="AH436" s="8" t="n">
        <f aca="false">IF(AH$3&lt;=CEG_Assets!$V$15,AH428*CEG_Assets!$U$15,0)/1000000*(1+CEG_RevAdj)</f>
        <v>0</v>
      </c>
      <c r="AI436" s="8" t="n">
        <f aca="false">IF(AI$3&lt;=CEG_Assets!$V$15,AI428*CEG_Assets!$U$15,0)/1000000*(1+CEG_RevAdj)</f>
        <v>0</v>
      </c>
      <c r="AJ436" s="8" t="n">
        <f aca="false">IF(AJ$3&lt;=CEG_Assets!$V$15,AJ428*CEG_Assets!$U$15,0)/1000000*(1+CEG_RevAdj)</f>
        <v>0</v>
      </c>
      <c r="AK436" s="8" t="n">
        <f aca="false">IF(AK$3&lt;=CEG_Assets!$V$15,AK428*CEG_Assets!$U$15,0)/1000000*(1+CEG_RevAdj)</f>
        <v>0</v>
      </c>
      <c r="AL436" s="8" t="n">
        <f aca="false">IF(AL$3&lt;=CEG_Assets!$V$15,AL428*CEG_Assets!$U$15,0)/1000000*(1+CEG_RevAdj)</f>
        <v>0</v>
      </c>
      <c r="AM436" s="8" t="n">
        <f aca="false">IF(AM$3&lt;=CEG_Assets!$V$15,AM428*CEG_Assets!$U$15,0)/1000000*(1+CEG_RevAdj)</f>
        <v>0</v>
      </c>
      <c r="AN436" s="8" t="n">
        <f aca="false">IF(AN$3&lt;=CEG_Assets!$V$15,AN428*CEG_Assets!$U$15,0)/1000000*(1+CEG_RevAdj)</f>
        <v>0</v>
      </c>
      <c r="AO436" s="8" t="n">
        <f aca="false">IF(AO$3&lt;=CEG_Assets!$V$15,AO428*CEG_Assets!$U$15,0)/1000000*(1+CEG_RevAdj)</f>
        <v>0</v>
      </c>
      <c r="AP436" s="8" t="n">
        <f aca="false">IF(AP$3&lt;=CEG_Assets!$V$15,AP428*CEG_Assets!$U$15,0)/1000000*(1+CEG_RevAdj)</f>
        <v>0</v>
      </c>
      <c r="AQ436" s="8" t="n">
        <f aca="false">IF(AQ$3&lt;=CEG_Assets!$V$15,AQ428*CEG_Assets!$U$15,0)/1000000*(1+CEG_RevAdj)</f>
        <v>0</v>
      </c>
      <c r="AR436" s="8" t="n">
        <f aca="false">IF(AR$3&lt;=CEG_Assets!$V$15,AR428*CEG_Assets!$U$15,0)/1000000*(1+CEG_RevAdj)</f>
        <v>0</v>
      </c>
      <c r="AS436" s="8" t="n">
        <f aca="false">IF(AS$3&lt;=CEG_Assets!$V$15,AS428*CEG_Assets!$U$15,0)/1000000*(1+CEG_RevAdj)</f>
        <v>0</v>
      </c>
    </row>
    <row r="437" customFormat="false" ht="15" hidden="false" customHeight="false" outlineLevel="0" collapsed="false">
      <c r="A437" s="6" t="s">
        <v>447</v>
      </c>
      <c r="B437" s="6" t="s">
        <v>448</v>
      </c>
      <c r="C437" s="9" t="n">
        <f aca="false">SUM(G437:AS437)</f>
        <v>37054.3776429265</v>
      </c>
      <c r="G437" s="8" t="n">
        <f aca="false">G433+G434+G435+G436</f>
        <v>1820.86236</v>
      </c>
      <c r="H437" s="8" t="n">
        <f aca="false">H433+H434+H435+H436</f>
        <v>1848.104208</v>
      </c>
      <c r="I437" s="8" t="n">
        <f aca="false">I433+I434+I435+I436</f>
        <v>1728.57622826536</v>
      </c>
      <c r="J437" s="8" t="n">
        <f aca="false">J433+J434+J435+J436</f>
        <v>1698.39317411414</v>
      </c>
      <c r="K437" s="8" t="n">
        <f aca="false">K433+K434+K435+K436</f>
        <v>1732.36103759642</v>
      </c>
      <c r="L437" s="8" t="n">
        <f aca="false">L433+L434+L435+L436</f>
        <v>1767.00825834835</v>
      </c>
      <c r="M437" s="8" t="n">
        <f aca="false">M433+M434+M435+M436</f>
        <v>1802.34842351532</v>
      </c>
      <c r="N437" s="8" t="n">
        <f aca="false">N433+N434+N435+N436</f>
        <v>1838.39539198562</v>
      </c>
      <c r="O437" s="8" t="n">
        <f aca="false">O433+O434+O435+O436</f>
        <v>1875.16329982534</v>
      </c>
      <c r="P437" s="8" t="n">
        <f aca="false">P433+P434+P435+P436</f>
        <v>1912.66656582184</v>
      </c>
      <c r="Q437" s="8" t="n">
        <f aca="false">Q433+Q434+Q435+Q436</f>
        <v>1950.91989713828</v>
      </c>
      <c r="R437" s="8" t="n">
        <f aca="false">R433+R434+R435+R436</f>
        <v>1989.93829508104</v>
      </c>
      <c r="S437" s="8" t="n">
        <f aca="false">S433+S434+S435+S436</f>
        <v>2029.73706098267</v>
      </c>
      <c r="T437" s="8" t="n">
        <f aca="false">T433+T434+T435+T436</f>
        <v>2070.33180220232</v>
      </c>
      <c r="U437" s="8" t="n">
        <f aca="false">U433+U434+U435+U436</f>
        <v>2111.73843824637</v>
      </c>
      <c r="V437" s="8" t="n">
        <f aca="false">V433+V434+V435+V436</f>
        <v>2153.97320701129</v>
      </c>
      <c r="W437" s="8" t="n">
        <f aca="false">W433+W434+W435+W436</f>
        <v>2197.05267115152</v>
      </c>
      <c r="X437" s="8" t="n">
        <f aca="false">X433+X434+X435+X436</f>
        <v>2240.99372457455</v>
      </c>
      <c r="Y437" s="8" t="n">
        <f aca="false">Y433+Y434+Y435+Y436</f>
        <v>2285.81359906604</v>
      </c>
      <c r="Z437" s="8" t="n">
        <f aca="false">Z433+Z434+Z435+Z436</f>
        <v>0</v>
      </c>
      <c r="AA437" s="8" t="n">
        <f aca="false">AA433+AA434+AA435+AA436</f>
        <v>0</v>
      </c>
      <c r="AB437" s="8" t="n">
        <f aca="false">AB433+AB434+AB435+AB436</f>
        <v>0</v>
      </c>
      <c r="AC437" s="8" t="n">
        <f aca="false">AC433+AC434+AC435+AC436</f>
        <v>0</v>
      </c>
      <c r="AD437" s="8" t="n">
        <f aca="false">AD433+AD434+AD435+AD436</f>
        <v>0</v>
      </c>
      <c r="AE437" s="8" t="n">
        <f aca="false">AE433+AE434+AE435+AE436</f>
        <v>0</v>
      </c>
      <c r="AF437" s="8" t="n">
        <f aca="false">AF433+AF434+AF435+AF436</f>
        <v>0</v>
      </c>
      <c r="AG437" s="8" t="n">
        <f aca="false">AG433+AG434+AG435+AG436</f>
        <v>0</v>
      </c>
      <c r="AH437" s="8" t="n">
        <f aca="false">AH433+AH434+AH435+AH436</f>
        <v>0</v>
      </c>
      <c r="AI437" s="8" t="n">
        <f aca="false">AI433+AI434+AI435+AI436</f>
        <v>0</v>
      </c>
      <c r="AJ437" s="8" t="n">
        <f aca="false">AJ433+AJ434+AJ435+AJ436</f>
        <v>0</v>
      </c>
      <c r="AK437" s="8" t="n">
        <f aca="false">AK433+AK434+AK435+AK436</f>
        <v>0</v>
      </c>
      <c r="AL437" s="8" t="n">
        <f aca="false">AL433+AL434+AL435+AL436</f>
        <v>0</v>
      </c>
      <c r="AM437" s="8" t="n">
        <f aca="false">AM433+AM434+AM435+AM436</f>
        <v>0</v>
      </c>
      <c r="AN437" s="8" t="n">
        <f aca="false">AN433+AN434+AN435+AN436</f>
        <v>0</v>
      </c>
      <c r="AO437" s="8" t="n">
        <f aca="false">AO433+AO434+AO435+AO436</f>
        <v>0</v>
      </c>
      <c r="AP437" s="8" t="n">
        <f aca="false">AP433+AP434+AP435+AP436</f>
        <v>0</v>
      </c>
      <c r="AQ437" s="8" t="n">
        <f aca="false">AQ433+AQ434+AQ435+AQ436</f>
        <v>0</v>
      </c>
      <c r="AR437" s="8" t="n">
        <f aca="false">AR433+AR434+AR435+AR436</f>
        <v>0</v>
      </c>
      <c r="AS437" s="8" t="n">
        <f aca="false">AS433+AS434+AS435+AS436</f>
        <v>0</v>
      </c>
    </row>
    <row r="438" customFormat="false" ht="15" hidden="false" customHeight="false" outlineLevel="0" collapsed="false">
      <c r="A438" s="6" t="s">
        <v>449</v>
      </c>
      <c r="B438" s="6" t="s">
        <v>450</v>
      </c>
      <c r="C438" s="9" t="n">
        <f aca="false">SUM(G438:AS438)</f>
        <v>17778.193587328</v>
      </c>
      <c r="G438" s="8" t="n">
        <f aca="false">((CEG_Assets!$K$15*G430+CEG_Assets!$M$15*G$4)*G428*G432+CEG_Assets!$N$15*(1+CEG_Assets!$Q$15)^(G$3-2026)*(G428+G429))/1000000*(1+CEG_FuelAdj)</f>
        <v>765.165852</v>
      </c>
      <c r="H438" s="8" t="n">
        <f aca="false">((CEG_Assets!$K$15*H430+CEG_Assets!$M$15*H$4)*H428*H432+CEG_Assets!$N$15*(1+CEG_Assets!$Q$15)^(H$3-2026)*(H428+H429))/1000000*(1+CEG_FuelAdj)</f>
        <v>780.46916904</v>
      </c>
      <c r="I438" s="8" t="n">
        <f aca="false">((CEG_Assets!$K$15*I430+CEG_Assets!$M$15*I$4)*I428*I432+CEG_Assets!$N$15*(1+CEG_Assets!$Q$15)^(I$3-2026)*(I428+I429))/1000000*(1+CEG_FuelAdj)</f>
        <v>811.1383673904</v>
      </c>
      <c r="J438" s="8" t="n">
        <f aca="false">((CEG_Assets!$K$15*J430+CEG_Assets!$M$15*J$4)*J428*J432+CEG_Assets!$N$15*(1+CEG_Assets!$Q$15)^(J$3-2026)*(J428+J429))/1000000*(1+CEG_FuelAdj)</f>
        <v>827.361134738208</v>
      </c>
      <c r="K438" s="8" t="n">
        <f aca="false">((CEG_Assets!$K$15*K430+CEG_Assets!$M$15*K$4)*K428*K432+CEG_Assets!$N$15*(1+CEG_Assets!$Q$15)^(K$3-2026)*(K428+K429))/1000000*(1+CEG_FuelAdj)</f>
        <v>843.908357432972</v>
      </c>
      <c r="L438" s="8" t="n">
        <f aca="false">((CEG_Assets!$K$15*L430+CEG_Assets!$M$15*L$4)*L428*L432+CEG_Assets!$N$15*(1+CEG_Assets!$Q$15)^(L$3-2026)*(L428+L429))/1000000*(1+CEG_FuelAdj)</f>
        <v>860.786524581632</v>
      </c>
      <c r="M438" s="8" t="n">
        <f aca="false">((CEG_Assets!$K$15*M430+CEG_Assets!$M$15*M$4)*M428*M432+CEG_Assets!$N$15*(1+CEG_Assets!$Q$15)^(M$3-2026)*(M428+M429))/1000000*(1+CEG_FuelAdj)</f>
        <v>878.002255073264</v>
      </c>
      <c r="N438" s="8" t="n">
        <f aca="false">((CEG_Assets!$K$15*N430+CEG_Assets!$M$15*N$4)*N428*N432+CEG_Assets!$N$15*(1+CEG_Assets!$Q$15)^(N$3-2026)*(N428+N429))/1000000*(1+CEG_FuelAdj)</f>
        <v>895.56230017473</v>
      </c>
      <c r="O438" s="8" t="n">
        <f aca="false">((CEG_Assets!$K$15*O430+CEG_Assets!$M$15*O$4)*O428*O432+CEG_Assets!$N$15*(1+CEG_Assets!$Q$15)^(O$3-2026)*(O428+O429))/1000000*(1+CEG_FuelAdj)</f>
        <v>913.473546178224</v>
      </c>
      <c r="P438" s="8" t="n">
        <f aca="false">((CEG_Assets!$K$15*P430+CEG_Assets!$M$15*P$4)*P428*P432+CEG_Assets!$N$15*(1+CEG_Assets!$Q$15)^(P$3-2026)*(P428+P429))/1000000*(1+CEG_FuelAdj)</f>
        <v>931.743017101789</v>
      </c>
      <c r="Q438" s="8" t="n">
        <f aca="false">((CEG_Assets!$K$15*Q430+CEG_Assets!$M$15*Q$4)*Q428*Q432+CEG_Assets!$N$15*(1+CEG_Assets!$Q$15)^(Q$3-2026)*(Q428+Q429))/1000000*(1+CEG_FuelAdj)</f>
        <v>950.377877443824</v>
      </c>
      <c r="R438" s="8" t="n">
        <f aca="false">((CEG_Assets!$K$15*R430+CEG_Assets!$M$15*R$4)*R428*R432+CEG_Assets!$N$15*(1+CEG_Assets!$Q$15)^(R$3-2026)*(R428+R429))/1000000*(1+CEG_FuelAdj)</f>
        <v>969.385434992701</v>
      </c>
      <c r="S438" s="8" t="n">
        <f aca="false">((CEG_Assets!$K$15*S430+CEG_Assets!$M$15*S$4)*S428*S432+CEG_Assets!$N$15*(1+CEG_Assets!$Q$15)^(S$3-2026)*(S428+S429))/1000000*(1+CEG_FuelAdj)</f>
        <v>988.773143692555</v>
      </c>
      <c r="T438" s="8" t="n">
        <f aca="false">((CEG_Assets!$K$15*T430+CEG_Assets!$M$15*T$4)*T428*T432+CEG_Assets!$N$15*(1+CEG_Assets!$Q$15)^(T$3-2026)*(T428+T429))/1000000*(1+CEG_FuelAdj)</f>
        <v>1008.54860656641</v>
      </c>
      <c r="U438" s="8" t="n">
        <f aca="false">((CEG_Assets!$K$15*U430+CEG_Assets!$M$15*U$4)*U428*U432+CEG_Assets!$N$15*(1+CEG_Assets!$Q$15)^(U$3-2026)*(U428+U429))/1000000*(1+CEG_FuelAdj)</f>
        <v>1028.71957869773</v>
      </c>
      <c r="V438" s="8" t="n">
        <f aca="false">((CEG_Assets!$K$15*V430+CEG_Assets!$M$15*V$4)*V428*V432+CEG_Assets!$N$15*(1+CEG_Assets!$Q$15)^(V$3-2026)*(V428+V429))/1000000*(1+CEG_FuelAdj)</f>
        <v>1049.29397027169</v>
      </c>
      <c r="W438" s="8" t="n">
        <f aca="false">((CEG_Assets!$K$15*W430+CEG_Assets!$M$15*W$4)*W428*W432+CEG_Assets!$N$15*(1+CEG_Assets!$Q$15)^(W$3-2026)*(W428+W429))/1000000*(1+CEG_FuelAdj)</f>
        <v>1070.27984967712</v>
      </c>
      <c r="X438" s="8" t="n">
        <f aca="false">((CEG_Assets!$K$15*X430+CEG_Assets!$M$15*X$4)*X428*X432+CEG_Assets!$N$15*(1+CEG_Assets!$Q$15)^(X$3-2026)*(X428+X429))/1000000*(1+CEG_FuelAdj)</f>
        <v>1091.68544667067</v>
      </c>
      <c r="Y438" s="8" t="n">
        <f aca="false">((CEG_Assets!$K$15*Y430+CEG_Assets!$M$15*Y$4)*Y428*Y432+CEG_Assets!$N$15*(1+CEG_Assets!$Q$15)^(Y$3-2026)*(Y428+Y429))/1000000*(1+CEG_FuelAdj)</f>
        <v>1113.51915560408</v>
      </c>
      <c r="Z438" s="8" t="n">
        <f aca="false">((CEG_Assets!$K$15*Z430+CEG_Assets!$M$15*Z$4)*Z428*Z432+CEG_Assets!$N$15*(1+CEG_Assets!$Q$15)^(Z$3-2026)*(Z428+Z429))/1000000*(1+CEG_FuelAdj)</f>
        <v>0</v>
      </c>
      <c r="AA438" s="8" t="n">
        <f aca="false">((CEG_Assets!$K$15*AA430+CEG_Assets!$M$15*AA$4)*AA428*AA432+CEG_Assets!$N$15*(1+CEG_Assets!$Q$15)^(AA$3-2026)*(AA428+AA429))/1000000*(1+CEG_FuelAdj)</f>
        <v>0</v>
      </c>
      <c r="AB438" s="8" t="n">
        <f aca="false">((CEG_Assets!$K$15*AB430+CEG_Assets!$M$15*AB$4)*AB428*AB432+CEG_Assets!$N$15*(1+CEG_Assets!$Q$15)^(AB$3-2026)*(AB428+AB429))/1000000*(1+CEG_FuelAdj)</f>
        <v>0</v>
      </c>
      <c r="AC438" s="8" t="n">
        <f aca="false">((CEG_Assets!$K$15*AC430+CEG_Assets!$M$15*AC$4)*AC428*AC432+CEG_Assets!$N$15*(1+CEG_Assets!$Q$15)^(AC$3-2026)*(AC428+AC429))/1000000*(1+CEG_FuelAdj)</f>
        <v>0</v>
      </c>
      <c r="AD438" s="8" t="n">
        <f aca="false">((CEG_Assets!$K$15*AD430+CEG_Assets!$M$15*AD$4)*AD428*AD432+CEG_Assets!$N$15*(1+CEG_Assets!$Q$15)^(AD$3-2026)*(AD428+AD429))/1000000*(1+CEG_FuelAdj)</f>
        <v>0</v>
      </c>
      <c r="AE438" s="8" t="n">
        <f aca="false">((CEG_Assets!$K$15*AE430+CEG_Assets!$M$15*AE$4)*AE428*AE432+CEG_Assets!$N$15*(1+CEG_Assets!$Q$15)^(AE$3-2026)*(AE428+AE429))/1000000*(1+CEG_FuelAdj)</f>
        <v>0</v>
      </c>
      <c r="AF438" s="8" t="n">
        <f aca="false">((CEG_Assets!$K$15*AF430+CEG_Assets!$M$15*AF$4)*AF428*AF432+CEG_Assets!$N$15*(1+CEG_Assets!$Q$15)^(AF$3-2026)*(AF428+AF429))/1000000*(1+CEG_FuelAdj)</f>
        <v>0</v>
      </c>
      <c r="AG438" s="8" t="n">
        <f aca="false">((CEG_Assets!$K$15*AG430+CEG_Assets!$M$15*AG$4)*AG428*AG432+CEG_Assets!$N$15*(1+CEG_Assets!$Q$15)^(AG$3-2026)*(AG428+AG429))/1000000*(1+CEG_FuelAdj)</f>
        <v>0</v>
      </c>
      <c r="AH438" s="8" t="n">
        <f aca="false">((CEG_Assets!$K$15*AH430+CEG_Assets!$M$15*AH$4)*AH428*AH432+CEG_Assets!$N$15*(1+CEG_Assets!$Q$15)^(AH$3-2026)*(AH428+AH429))/1000000*(1+CEG_FuelAdj)</f>
        <v>0</v>
      </c>
      <c r="AI438" s="8" t="n">
        <f aca="false">((CEG_Assets!$K$15*AI430+CEG_Assets!$M$15*AI$4)*AI428*AI432+CEG_Assets!$N$15*(1+CEG_Assets!$Q$15)^(AI$3-2026)*(AI428+AI429))/1000000*(1+CEG_FuelAdj)</f>
        <v>0</v>
      </c>
      <c r="AJ438" s="8" t="n">
        <f aca="false">((CEG_Assets!$K$15*AJ430+CEG_Assets!$M$15*AJ$4)*AJ428*AJ432+CEG_Assets!$N$15*(1+CEG_Assets!$Q$15)^(AJ$3-2026)*(AJ428+AJ429))/1000000*(1+CEG_FuelAdj)</f>
        <v>0</v>
      </c>
      <c r="AK438" s="8" t="n">
        <f aca="false">((CEG_Assets!$K$15*AK430+CEG_Assets!$M$15*AK$4)*AK428*AK432+CEG_Assets!$N$15*(1+CEG_Assets!$Q$15)^(AK$3-2026)*(AK428+AK429))/1000000*(1+CEG_FuelAdj)</f>
        <v>0</v>
      </c>
      <c r="AL438" s="8" t="n">
        <f aca="false">((CEG_Assets!$K$15*AL430+CEG_Assets!$M$15*AL$4)*AL428*AL432+CEG_Assets!$N$15*(1+CEG_Assets!$Q$15)^(AL$3-2026)*(AL428+AL429))/1000000*(1+CEG_FuelAdj)</f>
        <v>0</v>
      </c>
      <c r="AM438" s="8" t="n">
        <f aca="false">((CEG_Assets!$K$15*AM430+CEG_Assets!$M$15*AM$4)*AM428*AM432+CEG_Assets!$N$15*(1+CEG_Assets!$Q$15)^(AM$3-2026)*(AM428+AM429))/1000000*(1+CEG_FuelAdj)</f>
        <v>0</v>
      </c>
      <c r="AN438" s="8" t="n">
        <f aca="false">((CEG_Assets!$K$15*AN430+CEG_Assets!$M$15*AN$4)*AN428*AN432+CEG_Assets!$N$15*(1+CEG_Assets!$Q$15)^(AN$3-2026)*(AN428+AN429))/1000000*(1+CEG_FuelAdj)</f>
        <v>0</v>
      </c>
      <c r="AO438" s="8" t="n">
        <f aca="false">((CEG_Assets!$K$15*AO430+CEG_Assets!$M$15*AO$4)*AO428*AO432+CEG_Assets!$N$15*(1+CEG_Assets!$Q$15)^(AO$3-2026)*(AO428+AO429))/1000000*(1+CEG_FuelAdj)</f>
        <v>0</v>
      </c>
      <c r="AP438" s="8" t="n">
        <f aca="false">((CEG_Assets!$K$15*AP430+CEG_Assets!$M$15*AP$4)*AP428*AP432+CEG_Assets!$N$15*(1+CEG_Assets!$Q$15)^(AP$3-2026)*(AP428+AP429))/1000000*(1+CEG_FuelAdj)</f>
        <v>0</v>
      </c>
      <c r="AQ438" s="8" t="n">
        <f aca="false">((CEG_Assets!$K$15*AQ430+CEG_Assets!$M$15*AQ$4)*AQ428*AQ432+CEG_Assets!$N$15*(1+CEG_Assets!$Q$15)^(AQ$3-2026)*(AQ428+AQ429))/1000000*(1+CEG_FuelAdj)</f>
        <v>0</v>
      </c>
      <c r="AR438" s="8" t="n">
        <f aca="false">((CEG_Assets!$K$15*AR430+CEG_Assets!$M$15*AR$4)*AR428*AR432+CEG_Assets!$N$15*(1+CEG_Assets!$Q$15)^(AR$3-2026)*(AR428+AR429))/1000000*(1+CEG_FuelAdj)</f>
        <v>0</v>
      </c>
      <c r="AS438" s="8" t="n">
        <f aca="false">((CEG_Assets!$K$15*AS430+CEG_Assets!$M$15*AS$4)*AS428*AS432+CEG_Assets!$N$15*(1+CEG_Assets!$Q$15)^(AS$3-2026)*(AS428+AS429))/1000000*(1+CEG_FuelAdj)</f>
        <v>0</v>
      </c>
    </row>
    <row r="439" customFormat="false" ht="15" hidden="false" customHeight="false" outlineLevel="0" collapsed="false">
      <c r="A439" s="6" t="s">
        <v>451</v>
      </c>
      <c r="B439" s="6" t="s">
        <v>452</v>
      </c>
      <c r="C439" s="9" t="n">
        <f aca="false">SUM(G439:AS439)</f>
        <v>19276.1840555985</v>
      </c>
      <c r="G439" s="8" t="n">
        <f aca="false">G437-G438</f>
        <v>1055.696508</v>
      </c>
      <c r="H439" s="8" t="n">
        <f aca="false">H437-H438</f>
        <v>1067.63503896</v>
      </c>
      <c r="I439" s="8" t="n">
        <f aca="false">I437-I438</f>
        <v>917.437860874962</v>
      </c>
      <c r="J439" s="8" t="n">
        <f aca="false">J437-J438</f>
        <v>871.03203937593</v>
      </c>
      <c r="K439" s="8" t="n">
        <f aca="false">K437-K438</f>
        <v>888.452680163449</v>
      </c>
      <c r="L439" s="8" t="n">
        <f aca="false">L437-L438</f>
        <v>906.221733766718</v>
      </c>
      <c r="M439" s="8" t="n">
        <f aca="false">M437-M438</f>
        <v>924.346168442053</v>
      </c>
      <c r="N439" s="8" t="n">
        <f aca="false">N437-N438</f>
        <v>942.833091810894</v>
      </c>
      <c r="O439" s="8" t="n">
        <f aca="false">O437-O438</f>
        <v>961.689753647112</v>
      </c>
      <c r="P439" s="8" t="n">
        <f aca="false">P437-P438</f>
        <v>980.923548720054</v>
      </c>
      <c r="Q439" s="8" t="n">
        <f aca="false">Q437-Q438</f>
        <v>1000.54201969446</v>
      </c>
      <c r="R439" s="8" t="n">
        <f aca="false">R437-R438</f>
        <v>1020.55286008834</v>
      </c>
      <c r="S439" s="8" t="n">
        <f aca="false">S437-S438</f>
        <v>1040.96391729011</v>
      </c>
      <c r="T439" s="8" t="n">
        <f aca="false">T437-T438</f>
        <v>1061.78319563591</v>
      </c>
      <c r="U439" s="8" t="n">
        <f aca="false">U437-U438</f>
        <v>1083.01885954863</v>
      </c>
      <c r="V439" s="8" t="n">
        <f aca="false">V437-V438</f>
        <v>1104.6792367396</v>
      </c>
      <c r="W439" s="8" t="n">
        <f aca="false">W437-W438</f>
        <v>1126.7728214744</v>
      </c>
      <c r="X439" s="8" t="n">
        <f aca="false">X437-X438</f>
        <v>1149.30827790388</v>
      </c>
      <c r="Y439" s="8" t="n">
        <f aca="false">Y437-Y438</f>
        <v>1172.29444346196</v>
      </c>
      <c r="Z439" s="8" t="n">
        <f aca="false">Z437-Z438</f>
        <v>0</v>
      </c>
      <c r="AA439" s="8" t="n">
        <f aca="false">AA437-AA438</f>
        <v>0</v>
      </c>
      <c r="AB439" s="8" t="n">
        <f aca="false">AB437-AB438</f>
        <v>0</v>
      </c>
      <c r="AC439" s="8" t="n">
        <f aca="false">AC437-AC438</f>
        <v>0</v>
      </c>
      <c r="AD439" s="8" t="n">
        <f aca="false">AD437-AD438</f>
        <v>0</v>
      </c>
      <c r="AE439" s="8" t="n">
        <f aca="false">AE437-AE438</f>
        <v>0</v>
      </c>
      <c r="AF439" s="8" t="n">
        <f aca="false">AF437-AF438</f>
        <v>0</v>
      </c>
      <c r="AG439" s="8" t="n">
        <f aca="false">AG437-AG438</f>
        <v>0</v>
      </c>
      <c r="AH439" s="8" t="n">
        <f aca="false">AH437-AH438</f>
        <v>0</v>
      </c>
      <c r="AI439" s="8" t="n">
        <f aca="false">AI437-AI438</f>
        <v>0</v>
      </c>
      <c r="AJ439" s="8" t="n">
        <f aca="false">AJ437-AJ438</f>
        <v>0</v>
      </c>
      <c r="AK439" s="8" t="n">
        <f aca="false">AK437-AK438</f>
        <v>0</v>
      </c>
      <c r="AL439" s="8" t="n">
        <f aca="false">AL437-AL438</f>
        <v>0</v>
      </c>
      <c r="AM439" s="8" t="n">
        <f aca="false">AM437-AM438</f>
        <v>0</v>
      </c>
      <c r="AN439" s="8" t="n">
        <f aca="false">AN437-AN438</f>
        <v>0</v>
      </c>
      <c r="AO439" s="8" t="n">
        <f aca="false">AO437-AO438</f>
        <v>0</v>
      </c>
      <c r="AP439" s="8" t="n">
        <f aca="false">AP437-AP438</f>
        <v>0</v>
      </c>
      <c r="AQ439" s="8" t="n">
        <f aca="false">AQ437-AQ438</f>
        <v>0</v>
      </c>
      <c r="AR439" s="8" t="n">
        <f aca="false">AR437-AR438</f>
        <v>0</v>
      </c>
      <c r="AS439" s="8" t="n">
        <f aca="false">AS437-AS438</f>
        <v>0</v>
      </c>
    </row>
    <row r="440" customFormat="false" ht="15" hidden="false" customHeight="false" outlineLevel="0" collapsed="false">
      <c r="A440" s="6" t="s">
        <v>453</v>
      </c>
      <c r="B440" s="6" t="s">
        <v>454</v>
      </c>
      <c r="C440" s="9" t="n">
        <f aca="false">SUM(G440:AS440)</f>
        <v>3727.57916782684</v>
      </c>
      <c r="G440" s="8" t="n">
        <f aca="false">(CEG_Assets!$R$15*CEG_Assets!$D$15*1000*G$4*G426+CEG_Assets!$O$15*(1+CEG_Assets!$Q$15)^(G$3-2026)*(G428+G429))/1000000*(1+CEG_OMAdj)</f>
        <v>163.2</v>
      </c>
      <c r="H440" s="8" t="n">
        <f aca="false">(CEG_Assets!$R$15*CEG_Assets!$D$15*1000*H$4*H426+CEG_Assets!$O$15*(1+CEG_Assets!$Q$15)^(H$3-2026)*(H428+H429))/1000000*(1+CEG_OMAdj)</f>
        <v>166.464</v>
      </c>
      <c r="I440" s="8" t="n">
        <f aca="false">(CEG_Assets!$R$15*CEG_Assets!$D$15*1000*I$4*I426+CEG_Assets!$O$15*(1+CEG_Assets!$Q$15)^(I$3-2026)*(I428+I429))/1000000*(1+CEG_OMAdj)</f>
        <v>169.79328</v>
      </c>
      <c r="J440" s="8" t="n">
        <f aca="false">(CEG_Assets!$R$15*CEG_Assets!$D$15*1000*J$4*J426+CEG_Assets!$O$15*(1+CEG_Assets!$Q$15)^(J$3-2026)*(J428+J429))/1000000*(1+CEG_OMAdj)</f>
        <v>173.1891456</v>
      </c>
      <c r="K440" s="8" t="n">
        <f aca="false">(CEG_Assets!$R$15*CEG_Assets!$D$15*1000*K$4*K426+CEG_Assets!$O$15*(1+CEG_Assets!$Q$15)^(K$3-2026)*(K428+K429))/1000000*(1+CEG_OMAdj)</f>
        <v>176.652928512</v>
      </c>
      <c r="L440" s="8" t="n">
        <f aca="false">(CEG_Assets!$R$15*CEG_Assets!$D$15*1000*L$4*L426+CEG_Assets!$O$15*(1+CEG_Assets!$Q$15)^(L$3-2026)*(L428+L429))/1000000*(1+CEG_OMAdj)</f>
        <v>180.18598708224</v>
      </c>
      <c r="M440" s="8" t="n">
        <f aca="false">(CEG_Assets!$R$15*CEG_Assets!$D$15*1000*M$4*M426+CEG_Assets!$O$15*(1+CEG_Assets!$Q$15)^(M$3-2026)*(M428+M429))/1000000*(1+CEG_OMAdj)</f>
        <v>183.789706823885</v>
      </c>
      <c r="N440" s="8" t="n">
        <f aca="false">(CEG_Assets!$R$15*CEG_Assets!$D$15*1000*N$4*N426+CEG_Assets!$O$15*(1+CEG_Assets!$Q$15)^(N$3-2026)*(N428+N429))/1000000*(1+CEG_OMAdj)</f>
        <v>187.465500960363</v>
      </c>
      <c r="O440" s="8" t="n">
        <f aca="false">(CEG_Assets!$R$15*CEG_Assets!$D$15*1000*O$4*O426+CEG_Assets!$O$15*(1+CEG_Assets!$Q$15)^(O$3-2026)*(O428+O429))/1000000*(1+CEG_OMAdj)</f>
        <v>191.21481097957</v>
      </c>
      <c r="P440" s="8" t="n">
        <f aca="false">(CEG_Assets!$R$15*CEG_Assets!$D$15*1000*P$4*P426+CEG_Assets!$O$15*(1+CEG_Assets!$Q$15)^(P$3-2026)*(P428+P429))/1000000*(1+CEG_OMAdj)</f>
        <v>195.039107199161</v>
      </c>
      <c r="Q440" s="8" t="n">
        <f aca="false">(CEG_Assets!$R$15*CEG_Assets!$D$15*1000*Q$4*Q426+CEG_Assets!$O$15*(1+CEG_Assets!$Q$15)^(Q$3-2026)*(Q428+Q429))/1000000*(1+CEG_OMAdj)</f>
        <v>198.939889343144</v>
      </c>
      <c r="R440" s="8" t="n">
        <f aca="false">(CEG_Assets!$R$15*CEG_Assets!$D$15*1000*R$4*R426+CEG_Assets!$O$15*(1+CEG_Assets!$Q$15)^(R$3-2026)*(R428+R429))/1000000*(1+CEG_OMAdj)</f>
        <v>202.918687130007</v>
      </c>
      <c r="S440" s="8" t="n">
        <f aca="false">(CEG_Assets!$R$15*CEG_Assets!$D$15*1000*S$4*S426+CEG_Assets!$O$15*(1+CEG_Assets!$Q$15)^(S$3-2026)*(S428+S429))/1000000*(1+CEG_OMAdj)</f>
        <v>206.977060872607</v>
      </c>
      <c r="T440" s="8" t="n">
        <f aca="false">(CEG_Assets!$R$15*CEG_Assets!$D$15*1000*T$4*T426+CEG_Assets!$O$15*(1+CEG_Assets!$Q$15)^(T$3-2026)*(T428+T429))/1000000*(1+CEG_OMAdj)</f>
        <v>211.11660209006</v>
      </c>
      <c r="U440" s="8" t="n">
        <f aca="false">(CEG_Assets!$R$15*CEG_Assets!$D$15*1000*U$4*U426+CEG_Assets!$O$15*(1+CEG_Assets!$Q$15)^(U$3-2026)*(U428+U429))/1000000*(1+CEG_OMAdj)</f>
        <v>215.338934131861</v>
      </c>
      <c r="V440" s="8" t="n">
        <f aca="false">(CEG_Assets!$R$15*CEG_Assets!$D$15*1000*V$4*V426+CEG_Assets!$O$15*(1+CEG_Assets!$Q$15)^(V$3-2026)*(V428+V429))/1000000*(1+CEG_OMAdj)</f>
        <v>219.645712814498</v>
      </c>
      <c r="W440" s="8" t="n">
        <f aca="false">(CEG_Assets!$R$15*CEG_Assets!$D$15*1000*W$4*W426+CEG_Assets!$O$15*(1+CEG_Assets!$Q$15)^(W$3-2026)*(W428+W429))/1000000*(1+CEG_OMAdj)</f>
        <v>224.038627070788</v>
      </c>
      <c r="X440" s="8" t="n">
        <f aca="false">(CEG_Assets!$R$15*CEG_Assets!$D$15*1000*X$4*X426+CEG_Assets!$O$15*(1+CEG_Assets!$Q$15)^(X$3-2026)*(X428+X429))/1000000*(1+CEG_OMAdj)</f>
        <v>228.519399612204</v>
      </c>
      <c r="Y440" s="8" t="n">
        <f aca="false">(CEG_Assets!$R$15*CEG_Assets!$D$15*1000*Y$4*Y426+CEG_Assets!$O$15*(1+CEG_Assets!$Q$15)^(Y$3-2026)*(Y428+Y429))/1000000*(1+CEG_OMAdj)</f>
        <v>233.089787604448</v>
      </c>
      <c r="Z440" s="8" t="n">
        <f aca="false">(CEG_Assets!$R$15*CEG_Assets!$D$15*1000*Z$4*Z426+CEG_Assets!$O$15*(1+CEG_Assets!$Q$15)^(Z$3-2026)*(Z428+Z429))/1000000*(1+CEG_OMAdj)</f>
        <v>0</v>
      </c>
      <c r="AA440" s="8" t="n">
        <f aca="false">(CEG_Assets!$R$15*CEG_Assets!$D$15*1000*AA$4*AA426+CEG_Assets!$O$15*(1+CEG_Assets!$Q$15)^(AA$3-2026)*(AA428+AA429))/1000000*(1+CEG_OMAdj)</f>
        <v>0</v>
      </c>
      <c r="AB440" s="8" t="n">
        <f aca="false">(CEG_Assets!$R$15*CEG_Assets!$D$15*1000*AB$4*AB426+CEG_Assets!$O$15*(1+CEG_Assets!$Q$15)^(AB$3-2026)*(AB428+AB429))/1000000*(1+CEG_OMAdj)</f>
        <v>0</v>
      </c>
      <c r="AC440" s="8" t="n">
        <f aca="false">(CEG_Assets!$R$15*CEG_Assets!$D$15*1000*AC$4*AC426+CEG_Assets!$O$15*(1+CEG_Assets!$Q$15)^(AC$3-2026)*(AC428+AC429))/1000000*(1+CEG_OMAdj)</f>
        <v>0</v>
      </c>
      <c r="AD440" s="8" t="n">
        <f aca="false">(CEG_Assets!$R$15*CEG_Assets!$D$15*1000*AD$4*AD426+CEG_Assets!$O$15*(1+CEG_Assets!$Q$15)^(AD$3-2026)*(AD428+AD429))/1000000*(1+CEG_OMAdj)</f>
        <v>0</v>
      </c>
      <c r="AE440" s="8" t="n">
        <f aca="false">(CEG_Assets!$R$15*CEG_Assets!$D$15*1000*AE$4*AE426+CEG_Assets!$O$15*(1+CEG_Assets!$Q$15)^(AE$3-2026)*(AE428+AE429))/1000000*(1+CEG_OMAdj)</f>
        <v>0</v>
      </c>
      <c r="AF440" s="8" t="n">
        <f aca="false">(CEG_Assets!$R$15*CEG_Assets!$D$15*1000*AF$4*AF426+CEG_Assets!$O$15*(1+CEG_Assets!$Q$15)^(AF$3-2026)*(AF428+AF429))/1000000*(1+CEG_OMAdj)</f>
        <v>0</v>
      </c>
      <c r="AG440" s="8" t="n">
        <f aca="false">(CEG_Assets!$R$15*CEG_Assets!$D$15*1000*AG$4*AG426+CEG_Assets!$O$15*(1+CEG_Assets!$Q$15)^(AG$3-2026)*(AG428+AG429))/1000000*(1+CEG_OMAdj)</f>
        <v>0</v>
      </c>
      <c r="AH440" s="8" t="n">
        <f aca="false">(CEG_Assets!$R$15*CEG_Assets!$D$15*1000*AH$4*AH426+CEG_Assets!$O$15*(1+CEG_Assets!$Q$15)^(AH$3-2026)*(AH428+AH429))/1000000*(1+CEG_OMAdj)</f>
        <v>0</v>
      </c>
      <c r="AI440" s="8" t="n">
        <f aca="false">(CEG_Assets!$R$15*CEG_Assets!$D$15*1000*AI$4*AI426+CEG_Assets!$O$15*(1+CEG_Assets!$Q$15)^(AI$3-2026)*(AI428+AI429))/1000000*(1+CEG_OMAdj)</f>
        <v>0</v>
      </c>
      <c r="AJ440" s="8" t="n">
        <f aca="false">(CEG_Assets!$R$15*CEG_Assets!$D$15*1000*AJ$4*AJ426+CEG_Assets!$O$15*(1+CEG_Assets!$Q$15)^(AJ$3-2026)*(AJ428+AJ429))/1000000*(1+CEG_OMAdj)</f>
        <v>0</v>
      </c>
      <c r="AK440" s="8" t="n">
        <f aca="false">(CEG_Assets!$R$15*CEG_Assets!$D$15*1000*AK$4*AK426+CEG_Assets!$O$15*(1+CEG_Assets!$Q$15)^(AK$3-2026)*(AK428+AK429))/1000000*(1+CEG_OMAdj)</f>
        <v>0</v>
      </c>
      <c r="AL440" s="8" t="n">
        <f aca="false">(CEG_Assets!$R$15*CEG_Assets!$D$15*1000*AL$4*AL426+CEG_Assets!$O$15*(1+CEG_Assets!$Q$15)^(AL$3-2026)*(AL428+AL429))/1000000*(1+CEG_OMAdj)</f>
        <v>0</v>
      </c>
      <c r="AM440" s="8" t="n">
        <f aca="false">(CEG_Assets!$R$15*CEG_Assets!$D$15*1000*AM$4*AM426+CEG_Assets!$O$15*(1+CEG_Assets!$Q$15)^(AM$3-2026)*(AM428+AM429))/1000000*(1+CEG_OMAdj)</f>
        <v>0</v>
      </c>
      <c r="AN440" s="8" t="n">
        <f aca="false">(CEG_Assets!$R$15*CEG_Assets!$D$15*1000*AN$4*AN426+CEG_Assets!$O$15*(1+CEG_Assets!$Q$15)^(AN$3-2026)*(AN428+AN429))/1000000*(1+CEG_OMAdj)</f>
        <v>0</v>
      </c>
      <c r="AO440" s="8" t="n">
        <f aca="false">(CEG_Assets!$R$15*CEG_Assets!$D$15*1000*AO$4*AO426+CEG_Assets!$O$15*(1+CEG_Assets!$Q$15)^(AO$3-2026)*(AO428+AO429))/1000000*(1+CEG_OMAdj)</f>
        <v>0</v>
      </c>
      <c r="AP440" s="8" t="n">
        <f aca="false">(CEG_Assets!$R$15*CEG_Assets!$D$15*1000*AP$4*AP426+CEG_Assets!$O$15*(1+CEG_Assets!$Q$15)^(AP$3-2026)*(AP428+AP429))/1000000*(1+CEG_OMAdj)</f>
        <v>0</v>
      </c>
      <c r="AQ440" s="8" t="n">
        <f aca="false">(CEG_Assets!$R$15*CEG_Assets!$D$15*1000*AQ$4*AQ426+CEG_Assets!$O$15*(1+CEG_Assets!$Q$15)^(AQ$3-2026)*(AQ428+AQ429))/1000000*(1+CEG_OMAdj)</f>
        <v>0</v>
      </c>
      <c r="AR440" s="8" t="n">
        <f aca="false">(CEG_Assets!$R$15*CEG_Assets!$D$15*1000*AR$4*AR426+CEG_Assets!$O$15*(1+CEG_Assets!$Q$15)^(AR$3-2026)*(AR428+AR429))/1000000*(1+CEG_OMAdj)</f>
        <v>0</v>
      </c>
      <c r="AS440" s="8" t="n">
        <f aca="false">(CEG_Assets!$R$15*CEG_Assets!$D$15*1000*AS$4*AS426+CEG_Assets!$O$15*(1+CEG_Assets!$Q$15)^(AS$3-2026)*(AS428+AS429))/1000000*(1+CEG_OMAdj)</f>
        <v>0</v>
      </c>
    </row>
    <row r="441" customFormat="false" ht="15" hidden="false" customHeight="false" outlineLevel="0" collapsed="false">
      <c r="A441" s="6" t="s">
        <v>455</v>
      </c>
      <c r="B441" s="6" t="s">
        <v>456</v>
      </c>
      <c r="C441" s="9" t="n">
        <f aca="false">SUM(G441:AS441)</f>
        <v>15548.6048877716</v>
      </c>
      <c r="G441" s="8" t="n">
        <f aca="false">G439-G440</f>
        <v>892.496508</v>
      </c>
      <c r="H441" s="8" t="n">
        <f aca="false">H439-H440</f>
        <v>901.17103896</v>
      </c>
      <c r="I441" s="8" t="n">
        <f aca="false">I439-I440</f>
        <v>747.644580874962</v>
      </c>
      <c r="J441" s="8" t="n">
        <f aca="false">J439-J440</f>
        <v>697.84289377593</v>
      </c>
      <c r="K441" s="8" t="n">
        <f aca="false">K439-K440</f>
        <v>711.799751651449</v>
      </c>
      <c r="L441" s="8" t="n">
        <f aca="false">L439-L440</f>
        <v>726.035746684479</v>
      </c>
      <c r="M441" s="8" t="n">
        <f aca="false">M439-M440</f>
        <v>740.556461618168</v>
      </c>
      <c r="N441" s="8" t="n">
        <f aca="false">N439-N440</f>
        <v>755.367590850531</v>
      </c>
      <c r="O441" s="8" t="n">
        <f aca="false">O439-O440</f>
        <v>770.474942667542</v>
      </c>
      <c r="P441" s="8" t="n">
        <f aca="false">P439-P440</f>
        <v>785.884441520892</v>
      </c>
      <c r="Q441" s="8" t="n">
        <f aca="false">Q439-Q440</f>
        <v>801.602130351311</v>
      </c>
      <c r="R441" s="8" t="n">
        <f aca="false">R439-R440</f>
        <v>817.634172958336</v>
      </c>
      <c r="S441" s="8" t="n">
        <f aca="false">S439-S440</f>
        <v>833.986856417503</v>
      </c>
      <c r="T441" s="8" t="n">
        <f aca="false">T439-T440</f>
        <v>850.666593545853</v>
      </c>
      <c r="U441" s="8" t="n">
        <f aca="false">U439-U440</f>
        <v>867.679925416771</v>
      </c>
      <c r="V441" s="8" t="n">
        <f aca="false">V439-V440</f>
        <v>885.033523925106</v>
      </c>
      <c r="W441" s="8" t="n">
        <f aca="false">W439-W440</f>
        <v>902.734194403608</v>
      </c>
      <c r="X441" s="8" t="n">
        <f aca="false">X439-X440</f>
        <v>920.788878291681</v>
      </c>
      <c r="Y441" s="8" t="n">
        <f aca="false">Y439-Y440</f>
        <v>939.204655857514</v>
      </c>
      <c r="Z441" s="8" t="n">
        <f aca="false">Z439-Z440</f>
        <v>0</v>
      </c>
      <c r="AA441" s="8" t="n">
        <f aca="false">AA439-AA440</f>
        <v>0</v>
      </c>
      <c r="AB441" s="8" t="n">
        <f aca="false">AB439-AB440</f>
        <v>0</v>
      </c>
      <c r="AC441" s="8" t="n">
        <f aca="false">AC439-AC440</f>
        <v>0</v>
      </c>
      <c r="AD441" s="8" t="n">
        <f aca="false">AD439-AD440</f>
        <v>0</v>
      </c>
      <c r="AE441" s="8" t="n">
        <f aca="false">AE439-AE440</f>
        <v>0</v>
      </c>
      <c r="AF441" s="8" t="n">
        <f aca="false">AF439-AF440</f>
        <v>0</v>
      </c>
      <c r="AG441" s="8" t="n">
        <f aca="false">AG439-AG440</f>
        <v>0</v>
      </c>
      <c r="AH441" s="8" t="n">
        <f aca="false">AH439-AH440</f>
        <v>0</v>
      </c>
      <c r="AI441" s="8" t="n">
        <f aca="false">AI439-AI440</f>
        <v>0</v>
      </c>
      <c r="AJ441" s="8" t="n">
        <f aca="false">AJ439-AJ440</f>
        <v>0</v>
      </c>
      <c r="AK441" s="8" t="n">
        <f aca="false">AK439-AK440</f>
        <v>0</v>
      </c>
      <c r="AL441" s="8" t="n">
        <f aca="false">AL439-AL440</f>
        <v>0</v>
      </c>
      <c r="AM441" s="8" t="n">
        <f aca="false">AM439-AM440</f>
        <v>0</v>
      </c>
      <c r="AN441" s="8" t="n">
        <f aca="false">AN439-AN440</f>
        <v>0</v>
      </c>
      <c r="AO441" s="8" t="n">
        <f aca="false">AO439-AO440</f>
        <v>0</v>
      </c>
      <c r="AP441" s="8" t="n">
        <f aca="false">AP439-AP440</f>
        <v>0</v>
      </c>
      <c r="AQ441" s="8" t="n">
        <f aca="false">AQ439-AQ440</f>
        <v>0</v>
      </c>
      <c r="AR441" s="8" t="n">
        <f aca="false">AR439-AR440</f>
        <v>0</v>
      </c>
      <c r="AS441" s="8" t="n">
        <f aca="false">AS439-AS440</f>
        <v>0</v>
      </c>
    </row>
    <row r="442" customFormat="false" ht="15" hidden="false" customHeight="false" outlineLevel="0" collapsed="false">
      <c r="A442" s="6" t="s">
        <v>457</v>
      </c>
      <c r="B442" s="6" t="s">
        <v>458</v>
      </c>
      <c r="C442" s="9" t="n">
        <f aca="false">SUM(G442:AS442)</f>
        <v>1397.84218793506</v>
      </c>
      <c r="G442" s="8" t="n">
        <f aca="false">((CEG_Assets!$S$15*CEG_Assets!$D$15*1000*G$4*G426+CEG_Assets!$P$15*(1+CEG_Assets!$Q$15)^(G$3-2026)*(G428+G429))/1000000+IF(G$3=CEG_Assets!$AH$15,CEG_Assets!$AG$15,0))*(1+CEG_CapexAdj)</f>
        <v>61.2</v>
      </c>
      <c r="H442" s="8" t="n">
        <f aca="false">((CEG_Assets!$S$15*CEG_Assets!$D$15*1000*H$4*H426+CEG_Assets!$P$15*(1+CEG_Assets!$Q$15)^(H$3-2026)*(H428+H429))/1000000+IF(H$3=CEG_Assets!$AH$15,CEG_Assets!$AG$15,0))*(1+CEG_CapexAdj)</f>
        <v>62.424</v>
      </c>
      <c r="I442" s="8" t="n">
        <f aca="false">((CEG_Assets!$S$15*CEG_Assets!$D$15*1000*I$4*I426+CEG_Assets!$P$15*(1+CEG_Assets!$Q$15)^(I$3-2026)*(I428+I429))/1000000+IF(I$3=CEG_Assets!$AH$15,CEG_Assets!$AG$15,0))*(1+CEG_CapexAdj)</f>
        <v>63.67248</v>
      </c>
      <c r="J442" s="8" t="n">
        <f aca="false">((CEG_Assets!$S$15*CEG_Assets!$D$15*1000*J$4*J426+CEG_Assets!$P$15*(1+CEG_Assets!$Q$15)^(J$3-2026)*(J428+J429))/1000000+IF(J$3=CEG_Assets!$AH$15,CEG_Assets!$AG$15,0))*(1+CEG_CapexAdj)</f>
        <v>64.9459296</v>
      </c>
      <c r="K442" s="8" t="n">
        <f aca="false">((CEG_Assets!$S$15*CEG_Assets!$D$15*1000*K$4*K426+CEG_Assets!$P$15*(1+CEG_Assets!$Q$15)^(K$3-2026)*(K428+K429))/1000000+IF(K$3=CEG_Assets!$AH$15,CEG_Assets!$AG$15,0))*(1+CEG_CapexAdj)</f>
        <v>66.244848192</v>
      </c>
      <c r="L442" s="8" t="n">
        <f aca="false">((CEG_Assets!$S$15*CEG_Assets!$D$15*1000*L$4*L426+CEG_Assets!$P$15*(1+CEG_Assets!$Q$15)^(L$3-2026)*(L428+L429))/1000000+IF(L$3=CEG_Assets!$AH$15,CEG_Assets!$AG$15,0))*(1+CEG_CapexAdj)</f>
        <v>67.56974515584</v>
      </c>
      <c r="M442" s="8" t="n">
        <f aca="false">((CEG_Assets!$S$15*CEG_Assets!$D$15*1000*M$4*M426+CEG_Assets!$P$15*(1+CEG_Assets!$Q$15)^(M$3-2026)*(M428+M429))/1000000+IF(M$3=CEG_Assets!$AH$15,CEG_Assets!$AG$15,0))*(1+CEG_CapexAdj)</f>
        <v>68.9211400589568</v>
      </c>
      <c r="N442" s="8" t="n">
        <f aca="false">((CEG_Assets!$S$15*CEG_Assets!$D$15*1000*N$4*N426+CEG_Assets!$P$15*(1+CEG_Assets!$Q$15)^(N$3-2026)*(N428+N429))/1000000+IF(N$3=CEG_Assets!$AH$15,CEG_Assets!$AG$15,0))*(1+CEG_CapexAdj)</f>
        <v>70.2995628601359</v>
      </c>
      <c r="O442" s="8" t="n">
        <f aca="false">((CEG_Assets!$S$15*CEG_Assets!$D$15*1000*O$4*O426+CEG_Assets!$P$15*(1+CEG_Assets!$Q$15)^(O$3-2026)*(O428+O429))/1000000+IF(O$3=CEG_Assets!$AH$15,CEG_Assets!$AG$15,0))*(1+CEG_CapexAdj)</f>
        <v>71.7055541173387</v>
      </c>
      <c r="P442" s="8" t="n">
        <f aca="false">((CEG_Assets!$S$15*CEG_Assets!$D$15*1000*P$4*P426+CEG_Assets!$P$15*(1+CEG_Assets!$Q$15)^(P$3-2026)*(P428+P429))/1000000+IF(P$3=CEG_Assets!$AH$15,CEG_Assets!$AG$15,0))*(1+CEG_CapexAdj)</f>
        <v>73.1396651996854</v>
      </c>
      <c r="Q442" s="8" t="n">
        <f aca="false">((CEG_Assets!$S$15*CEG_Assets!$D$15*1000*Q$4*Q426+CEG_Assets!$P$15*(1+CEG_Assets!$Q$15)^(Q$3-2026)*(Q428+Q429))/1000000+IF(Q$3=CEG_Assets!$AH$15,CEG_Assets!$AG$15,0))*(1+CEG_CapexAdj)</f>
        <v>74.6024585036791</v>
      </c>
      <c r="R442" s="8" t="n">
        <f aca="false">((CEG_Assets!$S$15*CEG_Assets!$D$15*1000*R$4*R426+CEG_Assets!$P$15*(1+CEG_Assets!$Q$15)^(R$3-2026)*(R428+R429))/1000000+IF(R$3=CEG_Assets!$AH$15,CEG_Assets!$AG$15,0))*(1+CEG_CapexAdj)</f>
        <v>76.0945076737527</v>
      </c>
      <c r="S442" s="8" t="n">
        <f aca="false">((CEG_Assets!$S$15*CEG_Assets!$D$15*1000*S$4*S426+CEG_Assets!$P$15*(1+CEG_Assets!$Q$15)^(S$3-2026)*(S428+S429))/1000000+IF(S$3=CEG_Assets!$AH$15,CEG_Assets!$AG$15,0))*(1+CEG_CapexAdj)</f>
        <v>77.6163978272278</v>
      </c>
      <c r="T442" s="8" t="n">
        <f aca="false">((CEG_Assets!$S$15*CEG_Assets!$D$15*1000*T$4*T426+CEG_Assets!$P$15*(1+CEG_Assets!$Q$15)^(T$3-2026)*(T428+T429))/1000000+IF(T$3=CEG_Assets!$AH$15,CEG_Assets!$AG$15,0))*(1+CEG_CapexAdj)</f>
        <v>79.1687257837724</v>
      </c>
      <c r="U442" s="8" t="n">
        <f aca="false">((CEG_Assets!$S$15*CEG_Assets!$D$15*1000*U$4*U426+CEG_Assets!$P$15*(1+CEG_Assets!$Q$15)^(U$3-2026)*(U428+U429))/1000000+IF(U$3=CEG_Assets!$AH$15,CEG_Assets!$AG$15,0))*(1+CEG_CapexAdj)</f>
        <v>80.7521002994478</v>
      </c>
      <c r="V442" s="8" t="n">
        <f aca="false">((CEG_Assets!$S$15*CEG_Assets!$D$15*1000*V$4*V426+CEG_Assets!$P$15*(1+CEG_Assets!$Q$15)^(V$3-2026)*(V428+V429))/1000000+IF(V$3=CEG_Assets!$AH$15,CEG_Assets!$AG$15,0))*(1+CEG_CapexAdj)</f>
        <v>82.3671423054367</v>
      </c>
      <c r="W442" s="8" t="n">
        <f aca="false">((CEG_Assets!$S$15*CEG_Assets!$D$15*1000*W$4*W426+CEG_Assets!$P$15*(1+CEG_Assets!$Q$15)^(W$3-2026)*(W428+W429))/1000000+IF(W$3=CEG_Assets!$AH$15,CEG_Assets!$AG$15,0))*(1+CEG_CapexAdj)</f>
        <v>84.0144851515455</v>
      </c>
      <c r="X442" s="8" t="n">
        <f aca="false">((CEG_Assets!$S$15*CEG_Assets!$D$15*1000*X$4*X426+CEG_Assets!$P$15*(1+CEG_Assets!$Q$15)^(X$3-2026)*(X428+X429))/1000000+IF(X$3=CEG_Assets!$AH$15,CEG_Assets!$AG$15,0))*(1+CEG_CapexAdj)</f>
        <v>85.6947748545764</v>
      </c>
      <c r="Y442" s="8" t="n">
        <f aca="false">((CEG_Assets!$S$15*CEG_Assets!$D$15*1000*Y$4*Y426+CEG_Assets!$P$15*(1+CEG_Assets!$Q$15)^(Y$3-2026)*(Y428+Y429))/1000000+IF(Y$3=CEG_Assets!$AH$15,CEG_Assets!$AG$15,0))*(1+CEG_CapexAdj)</f>
        <v>87.4086703516679</v>
      </c>
      <c r="Z442" s="8" t="n">
        <f aca="false">((CEG_Assets!$S$15*CEG_Assets!$D$15*1000*Z$4*Z426+CEG_Assets!$P$15*(1+CEG_Assets!$Q$15)^(Z$3-2026)*(Z428+Z429))/1000000+IF(Z$3=CEG_Assets!$AH$15,CEG_Assets!$AG$15,0))*(1+CEG_CapexAdj)</f>
        <v>0</v>
      </c>
      <c r="AA442" s="8" t="n">
        <f aca="false">((CEG_Assets!$S$15*CEG_Assets!$D$15*1000*AA$4*AA426+CEG_Assets!$P$15*(1+CEG_Assets!$Q$15)^(AA$3-2026)*(AA428+AA429))/1000000+IF(AA$3=CEG_Assets!$AH$15,CEG_Assets!$AG$15,0))*(1+CEG_CapexAdj)</f>
        <v>0</v>
      </c>
      <c r="AB442" s="8" t="n">
        <f aca="false">((CEG_Assets!$S$15*CEG_Assets!$D$15*1000*AB$4*AB426+CEG_Assets!$P$15*(1+CEG_Assets!$Q$15)^(AB$3-2026)*(AB428+AB429))/1000000+IF(AB$3=CEG_Assets!$AH$15,CEG_Assets!$AG$15,0))*(1+CEG_CapexAdj)</f>
        <v>0</v>
      </c>
      <c r="AC442" s="8" t="n">
        <f aca="false">((CEG_Assets!$S$15*CEG_Assets!$D$15*1000*AC$4*AC426+CEG_Assets!$P$15*(1+CEG_Assets!$Q$15)^(AC$3-2026)*(AC428+AC429))/1000000+IF(AC$3=CEG_Assets!$AH$15,CEG_Assets!$AG$15,0))*(1+CEG_CapexAdj)</f>
        <v>0</v>
      </c>
      <c r="AD442" s="8" t="n">
        <f aca="false">((CEG_Assets!$S$15*CEG_Assets!$D$15*1000*AD$4*AD426+CEG_Assets!$P$15*(1+CEG_Assets!$Q$15)^(AD$3-2026)*(AD428+AD429))/1000000+IF(AD$3=CEG_Assets!$AH$15,CEG_Assets!$AG$15,0))*(1+CEG_CapexAdj)</f>
        <v>0</v>
      </c>
      <c r="AE442" s="8" t="n">
        <f aca="false">((CEG_Assets!$S$15*CEG_Assets!$D$15*1000*AE$4*AE426+CEG_Assets!$P$15*(1+CEG_Assets!$Q$15)^(AE$3-2026)*(AE428+AE429))/1000000+IF(AE$3=CEG_Assets!$AH$15,CEG_Assets!$AG$15,0))*(1+CEG_CapexAdj)</f>
        <v>0</v>
      </c>
      <c r="AF442" s="8" t="n">
        <f aca="false">((CEG_Assets!$S$15*CEG_Assets!$D$15*1000*AF$4*AF426+CEG_Assets!$P$15*(1+CEG_Assets!$Q$15)^(AF$3-2026)*(AF428+AF429))/1000000+IF(AF$3=CEG_Assets!$AH$15,CEG_Assets!$AG$15,0))*(1+CEG_CapexAdj)</f>
        <v>0</v>
      </c>
      <c r="AG442" s="8" t="n">
        <f aca="false">((CEG_Assets!$S$15*CEG_Assets!$D$15*1000*AG$4*AG426+CEG_Assets!$P$15*(1+CEG_Assets!$Q$15)^(AG$3-2026)*(AG428+AG429))/1000000+IF(AG$3=CEG_Assets!$AH$15,CEG_Assets!$AG$15,0))*(1+CEG_CapexAdj)</f>
        <v>0</v>
      </c>
      <c r="AH442" s="8" t="n">
        <f aca="false">((CEG_Assets!$S$15*CEG_Assets!$D$15*1000*AH$4*AH426+CEG_Assets!$P$15*(1+CEG_Assets!$Q$15)^(AH$3-2026)*(AH428+AH429))/1000000+IF(AH$3=CEG_Assets!$AH$15,CEG_Assets!$AG$15,0))*(1+CEG_CapexAdj)</f>
        <v>0</v>
      </c>
      <c r="AI442" s="8" t="n">
        <f aca="false">((CEG_Assets!$S$15*CEG_Assets!$D$15*1000*AI$4*AI426+CEG_Assets!$P$15*(1+CEG_Assets!$Q$15)^(AI$3-2026)*(AI428+AI429))/1000000+IF(AI$3=CEG_Assets!$AH$15,CEG_Assets!$AG$15,0))*(1+CEG_CapexAdj)</f>
        <v>0</v>
      </c>
      <c r="AJ442" s="8" t="n">
        <f aca="false">((CEG_Assets!$S$15*CEG_Assets!$D$15*1000*AJ$4*AJ426+CEG_Assets!$P$15*(1+CEG_Assets!$Q$15)^(AJ$3-2026)*(AJ428+AJ429))/1000000+IF(AJ$3=CEG_Assets!$AH$15,CEG_Assets!$AG$15,0))*(1+CEG_CapexAdj)</f>
        <v>0</v>
      </c>
      <c r="AK442" s="8" t="n">
        <f aca="false">((CEG_Assets!$S$15*CEG_Assets!$D$15*1000*AK$4*AK426+CEG_Assets!$P$15*(1+CEG_Assets!$Q$15)^(AK$3-2026)*(AK428+AK429))/1000000+IF(AK$3=CEG_Assets!$AH$15,CEG_Assets!$AG$15,0))*(1+CEG_CapexAdj)</f>
        <v>0</v>
      </c>
      <c r="AL442" s="8" t="n">
        <f aca="false">((CEG_Assets!$S$15*CEG_Assets!$D$15*1000*AL$4*AL426+CEG_Assets!$P$15*(1+CEG_Assets!$Q$15)^(AL$3-2026)*(AL428+AL429))/1000000+IF(AL$3=CEG_Assets!$AH$15,CEG_Assets!$AG$15,0))*(1+CEG_CapexAdj)</f>
        <v>0</v>
      </c>
      <c r="AM442" s="8" t="n">
        <f aca="false">((CEG_Assets!$S$15*CEG_Assets!$D$15*1000*AM$4*AM426+CEG_Assets!$P$15*(1+CEG_Assets!$Q$15)^(AM$3-2026)*(AM428+AM429))/1000000+IF(AM$3=CEG_Assets!$AH$15,CEG_Assets!$AG$15,0))*(1+CEG_CapexAdj)</f>
        <v>0</v>
      </c>
      <c r="AN442" s="8" t="n">
        <f aca="false">((CEG_Assets!$S$15*CEG_Assets!$D$15*1000*AN$4*AN426+CEG_Assets!$P$15*(1+CEG_Assets!$Q$15)^(AN$3-2026)*(AN428+AN429))/1000000+IF(AN$3=CEG_Assets!$AH$15,CEG_Assets!$AG$15,0))*(1+CEG_CapexAdj)</f>
        <v>0</v>
      </c>
      <c r="AO442" s="8" t="n">
        <f aca="false">((CEG_Assets!$S$15*CEG_Assets!$D$15*1000*AO$4*AO426+CEG_Assets!$P$15*(1+CEG_Assets!$Q$15)^(AO$3-2026)*(AO428+AO429))/1000000+IF(AO$3=CEG_Assets!$AH$15,CEG_Assets!$AG$15,0))*(1+CEG_CapexAdj)</f>
        <v>0</v>
      </c>
      <c r="AP442" s="8" t="n">
        <f aca="false">((CEG_Assets!$S$15*CEG_Assets!$D$15*1000*AP$4*AP426+CEG_Assets!$P$15*(1+CEG_Assets!$Q$15)^(AP$3-2026)*(AP428+AP429))/1000000+IF(AP$3=CEG_Assets!$AH$15,CEG_Assets!$AG$15,0))*(1+CEG_CapexAdj)</f>
        <v>0</v>
      </c>
      <c r="AQ442" s="8" t="n">
        <f aca="false">((CEG_Assets!$S$15*CEG_Assets!$D$15*1000*AQ$4*AQ426+CEG_Assets!$P$15*(1+CEG_Assets!$Q$15)^(AQ$3-2026)*(AQ428+AQ429))/1000000+IF(AQ$3=CEG_Assets!$AH$15,CEG_Assets!$AG$15,0))*(1+CEG_CapexAdj)</f>
        <v>0</v>
      </c>
      <c r="AR442" s="8" t="n">
        <f aca="false">((CEG_Assets!$S$15*CEG_Assets!$D$15*1000*AR$4*AR426+CEG_Assets!$P$15*(1+CEG_Assets!$Q$15)^(AR$3-2026)*(AR428+AR429))/1000000+IF(AR$3=CEG_Assets!$AH$15,CEG_Assets!$AG$15,0))*(1+CEG_CapexAdj)</f>
        <v>0</v>
      </c>
      <c r="AS442" s="8" t="n">
        <f aca="false">((CEG_Assets!$S$15*CEG_Assets!$D$15*1000*AS$4*AS426+CEG_Assets!$P$15*(1+CEG_Assets!$Q$15)^(AS$3-2026)*(AS428+AS429))/1000000+IF(AS$3=CEG_Assets!$AH$15,CEG_Assets!$AG$15,0))*(1+CEG_CapexAdj)</f>
        <v>0</v>
      </c>
    </row>
    <row r="443" customFormat="false" ht="15" hidden="false" customHeight="false" outlineLevel="0" collapsed="false">
      <c r="A443" s="6" t="s">
        <v>459</v>
      </c>
      <c r="B443" s="6" t="s">
        <v>460</v>
      </c>
      <c r="C443" s="9" t="n">
        <f aca="false">SUM(G443:AS443)</f>
        <v>14150.7626998366</v>
      </c>
      <c r="G443" s="8" t="n">
        <f aca="false">IF(CEG_Assets!$Y$15=1,MAX(0,G441-G442),G441-G442)</f>
        <v>831.296508</v>
      </c>
      <c r="H443" s="8" t="n">
        <f aca="false">IF(CEG_Assets!$Y$15=1,MAX(0,H441-H442),H441-H442)</f>
        <v>838.74703896</v>
      </c>
      <c r="I443" s="8" t="n">
        <f aca="false">IF(CEG_Assets!$Y$15=1,MAX(0,I441-I442),I441-I442)</f>
        <v>683.972100874962</v>
      </c>
      <c r="J443" s="8" t="n">
        <f aca="false">IF(CEG_Assets!$Y$15=1,MAX(0,J441-J442),J441-J442)</f>
        <v>632.89696417593</v>
      </c>
      <c r="K443" s="8" t="n">
        <f aca="false">IF(CEG_Assets!$Y$15=1,MAX(0,K441-K442),K441-K442)</f>
        <v>645.554903459449</v>
      </c>
      <c r="L443" s="8" t="n">
        <f aca="false">IF(CEG_Assets!$Y$15=1,MAX(0,L441-L442),L441-L442)</f>
        <v>658.466001528639</v>
      </c>
      <c r="M443" s="8" t="n">
        <f aca="false">IF(CEG_Assets!$Y$15=1,MAX(0,M441-M442),M441-M442)</f>
        <v>671.635321559211</v>
      </c>
      <c r="N443" s="8" t="n">
        <f aca="false">IF(CEG_Assets!$Y$15=1,MAX(0,N441-N442),N441-N442)</f>
        <v>685.068027990395</v>
      </c>
      <c r="O443" s="8" t="n">
        <f aca="false">IF(CEG_Assets!$Y$15=1,MAX(0,O441-O442),O441-O442)</f>
        <v>698.769388550203</v>
      </c>
      <c r="P443" s="8" t="n">
        <f aca="false">IF(CEG_Assets!$Y$15=1,MAX(0,P441-P442),P441-P442)</f>
        <v>712.744776321207</v>
      </c>
      <c r="Q443" s="8" t="n">
        <f aca="false">IF(CEG_Assets!$Y$15=1,MAX(0,Q441-Q442),Q441-Q442)</f>
        <v>726.999671847632</v>
      </c>
      <c r="R443" s="8" t="n">
        <f aca="false">IF(CEG_Assets!$Y$15=1,MAX(0,R441-R442),R441-R442)</f>
        <v>741.539665284584</v>
      </c>
      <c r="S443" s="8" t="n">
        <f aca="false">IF(CEG_Assets!$Y$15=1,MAX(0,S441-S442),S441-S442)</f>
        <v>756.370458590276</v>
      </c>
      <c r="T443" s="8" t="n">
        <f aca="false">IF(CEG_Assets!$Y$15=1,MAX(0,T441-T442),T441-T442)</f>
        <v>771.497867762081</v>
      </c>
      <c r="U443" s="8" t="n">
        <f aca="false">IF(CEG_Assets!$Y$15=1,MAX(0,U441-U442),U441-U442)</f>
        <v>786.927825117323</v>
      </c>
      <c r="V443" s="8" t="n">
        <f aca="false">IF(CEG_Assets!$Y$15=1,MAX(0,V441-V442),V441-V442)</f>
        <v>802.666381619669</v>
      </c>
      <c r="W443" s="8" t="n">
        <f aca="false">IF(CEG_Assets!$Y$15=1,MAX(0,W441-W442),W441-W442)</f>
        <v>818.719709252062</v>
      </c>
      <c r="X443" s="8" t="n">
        <f aca="false">IF(CEG_Assets!$Y$15=1,MAX(0,X441-X442),X441-X442)</f>
        <v>835.094103437104</v>
      </c>
      <c r="Y443" s="8" t="n">
        <f aca="false">IF(CEG_Assets!$Y$15=1,MAX(0,Y441-Y442),Y441-Y442)</f>
        <v>851.795985505846</v>
      </c>
      <c r="Z443" s="8" t="n">
        <f aca="false">IF(CEG_Assets!$Y$15=1,MAX(0,Z441-Z442),Z441-Z442)</f>
        <v>0</v>
      </c>
      <c r="AA443" s="8" t="n">
        <f aca="false">IF(CEG_Assets!$Y$15=1,MAX(0,AA441-AA442),AA441-AA442)</f>
        <v>0</v>
      </c>
      <c r="AB443" s="8" t="n">
        <f aca="false">IF(CEG_Assets!$Y$15=1,MAX(0,AB441-AB442),AB441-AB442)</f>
        <v>0</v>
      </c>
      <c r="AC443" s="8" t="n">
        <f aca="false">IF(CEG_Assets!$Y$15=1,MAX(0,AC441-AC442),AC441-AC442)</f>
        <v>0</v>
      </c>
      <c r="AD443" s="8" t="n">
        <f aca="false">IF(CEG_Assets!$Y$15=1,MAX(0,AD441-AD442),AD441-AD442)</f>
        <v>0</v>
      </c>
      <c r="AE443" s="8" t="n">
        <f aca="false">IF(CEG_Assets!$Y$15=1,MAX(0,AE441-AE442),AE441-AE442)</f>
        <v>0</v>
      </c>
      <c r="AF443" s="8" t="n">
        <f aca="false">IF(CEG_Assets!$Y$15=1,MAX(0,AF441-AF442),AF441-AF442)</f>
        <v>0</v>
      </c>
      <c r="AG443" s="8" t="n">
        <f aca="false">IF(CEG_Assets!$Y$15=1,MAX(0,AG441-AG442),AG441-AG442)</f>
        <v>0</v>
      </c>
      <c r="AH443" s="8" t="n">
        <f aca="false">IF(CEG_Assets!$Y$15=1,MAX(0,AH441-AH442),AH441-AH442)</f>
        <v>0</v>
      </c>
      <c r="AI443" s="8" t="n">
        <f aca="false">IF(CEG_Assets!$Y$15=1,MAX(0,AI441-AI442),AI441-AI442)</f>
        <v>0</v>
      </c>
      <c r="AJ443" s="8" t="n">
        <f aca="false">IF(CEG_Assets!$Y$15=1,MAX(0,AJ441-AJ442),AJ441-AJ442)</f>
        <v>0</v>
      </c>
      <c r="AK443" s="8" t="n">
        <f aca="false">IF(CEG_Assets!$Y$15=1,MAX(0,AK441-AK442),AK441-AK442)</f>
        <v>0</v>
      </c>
      <c r="AL443" s="8" t="n">
        <f aca="false">IF(CEG_Assets!$Y$15=1,MAX(0,AL441-AL442),AL441-AL442)</f>
        <v>0</v>
      </c>
      <c r="AM443" s="8" t="n">
        <f aca="false">IF(CEG_Assets!$Y$15=1,MAX(0,AM441-AM442),AM441-AM442)</f>
        <v>0</v>
      </c>
      <c r="AN443" s="8" t="n">
        <f aca="false">IF(CEG_Assets!$Y$15=1,MAX(0,AN441-AN442),AN441-AN442)</f>
        <v>0</v>
      </c>
      <c r="AO443" s="8" t="n">
        <f aca="false">IF(CEG_Assets!$Y$15=1,MAX(0,AO441-AO442),AO441-AO442)</f>
        <v>0</v>
      </c>
      <c r="AP443" s="8" t="n">
        <f aca="false">IF(CEG_Assets!$Y$15=1,MAX(0,AP441-AP442),AP441-AP442)</f>
        <v>0</v>
      </c>
      <c r="AQ443" s="8" t="n">
        <f aca="false">IF(CEG_Assets!$Y$15=1,MAX(0,AQ441-AQ442),AQ441-AQ442)</f>
        <v>0</v>
      </c>
      <c r="AR443" s="8" t="n">
        <f aca="false">IF(CEG_Assets!$Y$15=1,MAX(0,AR441-AR442),AR441-AR442)</f>
        <v>0</v>
      </c>
      <c r="AS443" s="8" t="n">
        <f aca="false">IF(CEG_Assets!$Y$15=1,MAX(0,AS441-AS442),AS441-AS442)</f>
        <v>0</v>
      </c>
    </row>
    <row r="444" customFormat="false" ht="15" hidden="false" customHeight="false" outlineLevel="0" collapsed="false">
      <c r="A444" s="6" t="s">
        <v>461</v>
      </c>
      <c r="B444" s="6" t="s">
        <v>462</v>
      </c>
      <c r="C444" s="9" t="n">
        <f aca="false">SUM(G444:AS444)</f>
        <v>0</v>
      </c>
      <c r="G444" s="8" t="n">
        <f aca="false">IF(AND(CEG_Assets!$W$15=1,G$3&lt;=PTCLast,G428&gt;0),G428*MAX(0,PTCCredit*(1+Infl)^(G$3-PTCBase)-0.8*MAX(0,(G433+G434+G436)*1000000/MAX(1,G428)-PTCThresh*(1+Infl)^(G$3-PTCBase)))/1000000,0)</f>
        <v>0</v>
      </c>
      <c r="H444" s="8" t="n">
        <f aca="false">IF(AND(CEG_Assets!$W$15=1,H$3&lt;=PTCLast,H428&gt;0),H428*MAX(0,PTCCredit*(1+Infl)^(H$3-PTCBase)-0.8*MAX(0,(H433+H434+H436)*1000000/MAX(1,H428)-PTCThresh*(1+Infl)^(H$3-PTCBase)))/1000000,0)</f>
        <v>0</v>
      </c>
      <c r="I444" s="8" t="n">
        <f aca="false">IF(AND(CEG_Assets!$W$15=1,I$3&lt;=PTCLast,I428&gt;0),I428*MAX(0,PTCCredit*(1+Infl)^(I$3-PTCBase)-0.8*MAX(0,(I433+I434+I436)*1000000/MAX(1,I428)-PTCThresh*(1+Infl)^(I$3-PTCBase)))/1000000,0)</f>
        <v>0</v>
      </c>
      <c r="J444" s="8" t="n">
        <f aca="false">IF(AND(CEG_Assets!$W$15=1,J$3&lt;=PTCLast,J428&gt;0),J428*MAX(0,PTCCredit*(1+Infl)^(J$3-PTCBase)-0.8*MAX(0,(J433+J434+J436)*1000000/MAX(1,J428)-PTCThresh*(1+Infl)^(J$3-PTCBase)))/1000000,0)</f>
        <v>0</v>
      </c>
      <c r="K444" s="8" t="n">
        <f aca="false">IF(AND(CEG_Assets!$W$15=1,K$3&lt;=PTCLast,K428&gt;0),K428*MAX(0,PTCCredit*(1+Infl)^(K$3-PTCBase)-0.8*MAX(0,(K433+K434+K436)*1000000/MAX(1,K428)-PTCThresh*(1+Infl)^(K$3-PTCBase)))/1000000,0)</f>
        <v>0</v>
      </c>
      <c r="L444" s="8" t="n">
        <f aca="false">IF(AND(CEG_Assets!$W$15=1,L$3&lt;=PTCLast,L428&gt;0),L428*MAX(0,PTCCredit*(1+Infl)^(L$3-PTCBase)-0.8*MAX(0,(L433+L434+L436)*1000000/MAX(1,L428)-PTCThresh*(1+Infl)^(L$3-PTCBase)))/1000000,0)</f>
        <v>0</v>
      </c>
      <c r="M444" s="8" t="n">
        <f aca="false">IF(AND(CEG_Assets!$W$15=1,M$3&lt;=PTCLast,M428&gt;0),M428*MAX(0,PTCCredit*(1+Infl)^(M$3-PTCBase)-0.8*MAX(0,(M433+M434+M436)*1000000/MAX(1,M428)-PTCThresh*(1+Infl)^(M$3-PTCBase)))/1000000,0)</f>
        <v>0</v>
      </c>
      <c r="N444" s="8" t="n">
        <f aca="false">IF(AND(CEG_Assets!$W$15=1,N$3&lt;=PTCLast,N428&gt;0),N428*MAX(0,PTCCredit*(1+Infl)^(N$3-PTCBase)-0.8*MAX(0,(N433+N434+N436)*1000000/MAX(1,N428)-PTCThresh*(1+Infl)^(N$3-PTCBase)))/1000000,0)</f>
        <v>0</v>
      </c>
      <c r="O444" s="8" t="n">
        <f aca="false">IF(AND(CEG_Assets!$W$15=1,O$3&lt;=PTCLast,O428&gt;0),O428*MAX(0,PTCCredit*(1+Infl)^(O$3-PTCBase)-0.8*MAX(0,(O433+O434+O436)*1000000/MAX(1,O428)-PTCThresh*(1+Infl)^(O$3-PTCBase)))/1000000,0)</f>
        <v>0</v>
      </c>
      <c r="P444" s="8" t="n">
        <f aca="false">IF(AND(CEG_Assets!$W$15=1,P$3&lt;=PTCLast,P428&gt;0),P428*MAX(0,PTCCredit*(1+Infl)^(P$3-PTCBase)-0.8*MAX(0,(P433+P434+P436)*1000000/MAX(1,P428)-PTCThresh*(1+Infl)^(P$3-PTCBase)))/1000000,0)</f>
        <v>0</v>
      </c>
      <c r="Q444" s="8" t="n">
        <f aca="false">IF(AND(CEG_Assets!$W$15=1,Q$3&lt;=PTCLast,Q428&gt;0),Q428*MAX(0,PTCCredit*(1+Infl)^(Q$3-PTCBase)-0.8*MAX(0,(Q433+Q434+Q436)*1000000/MAX(1,Q428)-PTCThresh*(1+Infl)^(Q$3-PTCBase)))/1000000,0)</f>
        <v>0</v>
      </c>
      <c r="R444" s="8" t="n">
        <f aca="false">IF(AND(CEG_Assets!$W$15=1,R$3&lt;=PTCLast,R428&gt;0),R428*MAX(0,PTCCredit*(1+Infl)^(R$3-PTCBase)-0.8*MAX(0,(R433+R434+R436)*1000000/MAX(1,R428)-PTCThresh*(1+Infl)^(R$3-PTCBase)))/1000000,0)</f>
        <v>0</v>
      </c>
      <c r="S444" s="8" t="n">
        <f aca="false">IF(AND(CEG_Assets!$W$15=1,S$3&lt;=PTCLast,S428&gt;0),S428*MAX(0,PTCCredit*(1+Infl)^(S$3-PTCBase)-0.8*MAX(0,(S433+S434+S436)*1000000/MAX(1,S428)-PTCThresh*(1+Infl)^(S$3-PTCBase)))/1000000,0)</f>
        <v>0</v>
      </c>
      <c r="T444" s="8" t="n">
        <f aca="false">IF(AND(CEG_Assets!$W$15=1,T$3&lt;=PTCLast,T428&gt;0),T428*MAX(0,PTCCredit*(1+Infl)^(T$3-PTCBase)-0.8*MAX(0,(T433+T434+T436)*1000000/MAX(1,T428)-PTCThresh*(1+Infl)^(T$3-PTCBase)))/1000000,0)</f>
        <v>0</v>
      </c>
      <c r="U444" s="8" t="n">
        <f aca="false">IF(AND(CEG_Assets!$W$15=1,U$3&lt;=PTCLast,U428&gt;0),U428*MAX(0,PTCCredit*(1+Infl)^(U$3-PTCBase)-0.8*MAX(0,(U433+U434+U436)*1000000/MAX(1,U428)-PTCThresh*(1+Infl)^(U$3-PTCBase)))/1000000,0)</f>
        <v>0</v>
      </c>
      <c r="V444" s="8" t="n">
        <f aca="false">IF(AND(CEG_Assets!$W$15=1,V$3&lt;=PTCLast,V428&gt;0),V428*MAX(0,PTCCredit*(1+Infl)^(V$3-PTCBase)-0.8*MAX(0,(V433+V434+V436)*1000000/MAX(1,V428)-PTCThresh*(1+Infl)^(V$3-PTCBase)))/1000000,0)</f>
        <v>0</v>
      </c>
      <c r="W444" s="8" t="n">
        <f aca="false">IF(AND(CEG_Assets!$W$15=1,W$3&lt;=PTCLast,W428&gt;0),W428*MAX(0,PTCCredit*(1+Infl)^(W$3-PTCBase)-0.8*MAX(0,(W433+W434+W436)*1000000/MAX(1,W428)-PTCThresh*(1+Infl)^(W$3-PTCBase)))/1000000,0)</f>
        <v>0</v>
      </c>
      <c r="X444" s="8" t="n">
        <f aca="false">IF(AND(CEG_Assets!$W$15=1,X$3&lt;=PTCLast,X428&gt;0),X428*MAX(0,PTCCredit*(1+Infl)^(X$3-PTCBase)-0.8*MAX(0,(X433+X434+X436)*1000000/MAX(1,X428)-PTCThresh*(1+Infl)^(X$3-PTCBase)))/1000000,0)</f>
        <v>0</v>
      </c>
      <c r="Y444" s="8" t="n">
        <f aca="false">IF(AND(CEG_Assets!$W$15=1,Y$3&lt;=PTCLast,Y428&gt;0),Y428*MAX(0,PTCCredit*(1+Infl)^(Y$3-PTCBase)-0.8*MAX(0,(Y433+Y434+Y436)*1000000/MAX(1,Y428)-PTCThresh*(1+Infl)^(Y$3-PTCBase)))/1000000,0)</f>
        <v>0</v>
      </c>
      <c r="Z444" s="8" t="n">
        <f aca="false">IF(AND(CEG_Assets!$W$15=1,Z$3&lt;=PTCLast,Z428&gt;0),Z428*MAX(0,PTCCredit*(1+Infl)^(Z$3-PTCBase)-0.8*MAX(0,(Z433+Z434+Z436)*1000000/MAX(1,Z428)-PTCThresh*(1+Infl)^(Z$3-PTCBase)))/1000000,0)</f>
        <v>0</v>
      </c>
      <c r="AA444" s="8" t="n">
        <f aca="false">IF(AND(CEG_Assets!$W$15=1,AA$3&lt;=PTCLast,AA428&gt;0),AA428*MAX(0,PTCCredit*(1+Infl)^(AA$3-PTCBase)-0.8*MAX(0,(AA433+AA434+AA436)*1000000/MAX(1,AA428)-PTCThresh*(1+Infl)^(AA$3-PTCBase)))/1000000,0)</f>
        <v>0</v>
      </c>
      <c r="AB444" s="8" t="n">
        <f aca="false">IF(AND(CEG_Assets!$W$15=1,AB$3&lt;=PTCLast,AB428&gt;0),AB428*MAX(0,PTCCredit*(1+Infl)^(AB$3-PTCBase)-0.8*MAX(0,(AB433+AB434+AB436)*1000000/MAX(1,AB428)-PTCThresh*(1+Infl)^(AB$3-PTCBase)))/1000000,0)</f>
        <v>0</v>
      </c>
      <c r="AC444" s="8" t="n">
        <f aca="false">IF(AND(CEG_Assets!$W$15=1,AC$3&lt;=PTCLast,AC428&gt;0),AC428*MAX(0,PTCCredit*(1+Infl)^(AC$3-PTCBase)-0.8*MAX(0,(AC433+AC434+AC436)*1000000/MAX(1,AC428)-PTCThresh*(1+Infl)^(AC$3-PTCBase)))/1000000,0)</f>
        <v>0</v>
      </c>
      <c r="AD444" s="8" t="n">
        <f aca="false">IF(AND(CEG_Assets!$W$15=1,AD$3&lt;=PTCLast,AD428&gt;0),AD428*MAX(0,PTCCredit*(1+Infl)^(AD$3-PTCBase)-0.8*MAX(0,(AD433+AD434+AD436)*1000000/MAX(1,AD428)-PTCThresh*(1+Infl)^(AD$3-PTCBase)))/1000000,0)</f>
        <v>0</v>
      </c>
      <c r="AE444" s="8" t="n">
        <f aca="false">IF(AND(CEG_Assets!$W$15=1,AE$3&lt;=PTCLast,AE428&gt;0),AE428*MAX(0,PTCCredit*(1+Infl)^(AE$3-PTCBase)-0.8*MAX(0,(AE433+AE434+AE436)*1000000/MAX(1,AE428)-PTCThresh*(1+Infl)^(AE$3-PTCBase)))/1000000,0)</f>
        <v>0</v>
      </c>
      <c r="AF444" s="8" t="n">
        <f aca="false">IF(AND(CEG_Assets!$W$15=1,AF$3&lt;=PTCLast,AF428&gt;0),AF428*MAX(0,PTCCredit*(1+Infl)^(AF$3-PTCBase)-0.8*MAX(0,(AF433+AF434+AF436)*1000000/MAX(1,AF428)-PTCThresh*(1+Infl)^(AF$3-PTCBase)))/1000000,0)</f>
        <v>0</v>
      </c>
      <c r="AG444" s="8" t="n">
        <f aca="false">IF(AND(CEG_Assets!$W$15=1,AG$3&lt;=PTCLast,AG428&gt;0),AG428*MAX(0,PTCCredit*(1+Infl)^(AG$3-PTCBase)-0.8*MAX(0,(AG433+AG434+AG436)*1000000/MAX(1,AG428)-PTCThresh*(1+Infl)^(AG$3-PTCBase)))/1000000,0)</f>
        <v>0</v>
      </c>
      <c r="AH444" s="8" t="n">
        <f aca="false">IF(AND(CEG_Assets!$W$15=1,AH$3&lt;=PTCLast,AH428&gt;0),AH428*MAX(0,PTCCredit*(1+Infl)^(AH$3-PTCBase)-0.8*MAX(0,(AH433+AH434+AH436)*1000000/MAX(1,AH428)-PTCThresh*(1+Infl)^(AH$3-PTCBase)))/1000000,0)</f>
        <v>0</v>
      </c>
      <c r="AI444" s="8" t="n">
        <f aca="false">IF(AND(CEG_Assets!$W$15=1,AI$3&lt;=PTCLast,AI428&gt;0),AI428*MAX(0,PTCCredit*(1+Infl)^(AI$3-PTCBase)-0.8*MAX(0,(AI433+AI434+AI436)*1000000/MAX(1,AI428)-PTCThresh*(1+Infl)^(AI$3-PTCBase)))/1000000,0)</f>
        <v>0</v>
      </c>
      <c r="AJ444" s="8" t="n">
        <f aca="false">IF(AND(CEG_Assets!$W$15=1,AJ$3&lt;=PTCLast,AJ428&gt;0),AJ428*MAX(0,PTCCredit*(1+Infl)^(AJ$3-PTCBase)-0.8*MAX(0,(AJ433+AJ434+AJ436)*1000000/MAX(1,AJ428)-PTCThresh*(1+Infl)^(AJ$3-PTCBase)))/1000000,0)</f>
        <v>0</v>
      </c>
      <c r="AK444" s="8" t="n">
        <f aca="false">IF(AND(CEG_Assets!$W$15=1,AK$3&lt;=PTCLast,AK428&gt;0),AK428*MAX(0,PTCCredit*(1+Infl)^(AK$3-PTCBase)-0.8*MAX(0,(AK433+AK434+AK436)*1000000/MAX(1,AK428)-PTCThresh*(1+Infl)^(AK$3-PTCBase)))/1000000,0)</f>
        <v>0</v>
      </c>
      <c r="AL444" s="8" t="n">
        <f aca="false">IF(AND(CEG_Assets!$W$15=1,AL$3&lt;=PTCLast,AL428&gt;0),AL428*MAX(0,PTCCredit*(1+Infl)^(AL$3-PTCBase)-0.8*MAX(0,(AL433+AL434+AL436)*1000000/MAX(1,AL428)-PTCThresh*(1+Infl)^(AL$3-PTCBase)))/1000000,0)</f>
        <v>0</v>
      </c>
      <c r="AM444" s="8" t="n">
        <f aca="false">IF(AND(CEG_Assets!$W$15=1,AM$3&lt;=PTCLast,AM428&gt;0),AM428*MAX(0,PTCCredit*(1+Infl)^(AM$3-PTCBase)-0.8*MAX(0,(AM433+AM434+AM436)*1000000/MAX(1,AM428)-PTCThresh*(1+Infl)^(AM$3-PTCBase)))/1000000,0)</f>
        <v>0</v>
      </c>
      <c r="AN444" s="8" t="n">
        <f aca="false">IF(AND(CEG_Assets!$W$15=1,AN$3&lt;=PTCLast,AN428&gt;0),AN428*MAX(0,PTCCredit*(1+Infl)^(AN$3-PTCBase)-0.8*MAX(0,(AN433+AN434+AN436)*1000000/MAX(1,AN428)-PTCThresh*(1+Infl)^(AN$3-PTCBase)))/1000000,0)</f>
        <v>0</v>
      </c>
      <c r="AO444" s="8" t="n">
        <f aca="false">IF(AND(CEG_Assets!$W$15=1,AO$3&lt;=PTCLast,AO428&gt;0),AO428*MAX(0,PTCCredit*(1+Infl)^(AO$3-PTCBase)-0.8*MAX(0,(AO433+AO434+AO436)*1000000/MAX(1,AO428)-PTCThresh*(1+Infl)^(AO$3-PTCBase)))/1000000,0)</f>
        <v>0</v>
      </c>
      <c r="AP444" s="8" t="n">
        <f aca="false">IF(AND(CEG_Assets!$W$15=1,AP$3&lt;=PTCLast,AP428&gt;0),AP428*MAX(0,PTCCredit*(1+Infl)^(AP$3-PTCBase)-0.8*MAX(0,(AP433+AP434+AP436)*1000000/MAX(1,AP428)-PTCThresh*(1+Infl)^(AP$3-PTCBase)))/1000000,0)</f>
        <v>0</v>
      </c>
      <c r="AQ444" s="8" t="n">
        <f aca="false">IF(AND(CEG_Assets!$W$15=1,AQ$3&lt;=PTCLast,AQ428&gt;0),AQ428*MAX(0,PTCCredit*(1+Infl)^(AQ$3-PTCBase)-0.8*MAX(0,(AQ433+AQ434+AQ436)*1000000/MAX(1,AQ428)-PTCThresh*(1+Infl)^(AQ$3-PTCBase)))/1000000,0)</f>
        <v>0</v>
      </c>
      <c r="AR444" s="8" t="n">
        <f aca="false">IF(AND(CEG_Assets!$W$15=1,AR$3&lt;=PTCLast,AR428&gt;0),AR428*MAX(0,PTCCredit*(1+Infl)^(AR$3-PTCBase)-0.8*MAX(0,(AR433+AR434+AR436)*1000000/MAX(1,AR428)-PTCThresh*(1+Infl)^(AR$3-PTCBase)))/1000000,0)</f>
        <v>0</v>
      </c>
      <c r="AS444" s="8" t="n">
        <f aca="false">IF(AND(CEG_Assets!$W$15=1,AS$3&lt;=PTCLast,AS428&gt;0),AS428*MAX(0,PTCCredit*(1+Infl)^(AS$3-PTCBase)-0.8*MAX(0,(AS433+AS434+AS436)*1000000/MAX(1,AS428)-PTCThresh*(1+Infl)^(AS$3-PTCBase)))/1000000,0)</f>
        <v>0</v>
      </c>
    </row>
    <row r="445" customFormat="false" ht="15" hidden="false" customHeight="false" outlineLevel="0" collapsed="false">
      <c r="A445" s="6" t="s">
        <v>463</v>
      </c>
      <c r="B445" s="6" t="s">
        <v>464</v>
      </c>
      <c r="G445" s="8" t="n">
        <f aca="false">G435-G429*(CEG_Assets!$N$15*(1+CEG_FuelAdj)+CEG_Assets!$O$15*(1+CEG_OMAdj)+CEG_Assets!$P$15*(1+CEG_CapexAdj))*(1+CEG_Assets!$Q$15)^(G$3-2026)/1000000</f>
        <v>0</v>
      </c>
      <c r="H445" s="8" t="n">
        <f aca="false">H435-H429*(CEG_Assets!$N$15*(1+CEG_FuelAdj)+CEG_Assets!$O$15*(1+CEG_OMAdj)+CEG_Assets!$P$15*(1+CEG_CapexAdj))*(1+CEG_Assets!$Q$15)^(H$3-2026)/1000000</f>
        <v>0</v>
      </c>
      <c r="I445" s="8" t="n">
        <f aca="false">I435-I429*(CEG_Assets!$N$15*(1+CEG_FuelAdj)+CEG_Assets!$O$15*(1+CEG_OMAdj)+CEG_Assets!$P$15*(1+CEG_CapexAdj))*(1+CEG_Assets!$Q$15)^(I$3-2026)/1000000</f>
        <v>0</v>
      </c>
      <c r="J445" s="8" t="n">
        <f aca="false">J435-J429*(CEG_Assets!$N$15*(1+CEG_FuelAdj)+CEG_Assets!$O$15*(1+CEG_OMAdj)+CEG_Assets!$P$15*(1+CEG_CapexAdj))*(1+CEG_Assets!$Q$15)^(J$3-2026)/1000000</f>
        <v>0</v>
      </c>
      <c r="K445" s="8" t="n">
        <f aca="false">K435-K429*(CEG_Assets!$N$15*(1+CEG_FuelAdj)+CEG_Assets!$O$15*(1+CEG_OMAdj)+CEG_Assets!$P$15*(1+CEG_CapexAdj))*(1+CEG_Assets!$Q$15)^(K$3-2026)/1000000</f>
        <v>0</v>
      </c>
      <c r="L445" s="8" t="n">
        <f aca="false">L435-L429*(CEG_Assets!$N$15*(1+CEG_FuelAdj)+CEG_Assets!$O$15*(1+CEG_OMAdj)+CEG_Assets!$P$15*(1+CEG_CapexAdj))*(1+CEG_Assets!$Q$15)^(L$3-2026)/1000000</f>
        <v>0</v>
      </c>
      <c r="M445" s="8" t="n">
        <f aca="false">M435-M429*(CEG_Assets!$N$15*(1+CEG_FuelAdj)+CEG_Assets!$O$15*(1+CEG_OMAdj)+CEG_Assets!$P$15*(1+CEG_CapexAdj))*(1+CEG_Assets!$Q$15)^(M$3-2026)/1000000</f>
        <v>0</v>
      </c>
      <c r="N445" s="8" t="n">
        <f aca="false">N435-N429*(CEG_Assets!$N$15*(1+CEG_FuelAdj)+CEG_Assets!$O$15*(1+CEG_OMAdj)+CEG_Assets!$P$15*(1+CEG_CapexAdj))*(1+CEG_Assets!$Q$15)^(N$3-2026)/1000000</f>
        <v>0</v>
      </c>
      <c r="O445" s="8" t="n">
        <f aca="false">O435-O429*(CEG_Assets!$N$15*(1+CEG_FuelAdj)+CEG_Assets!$O$15*(1+CEG_OMAdj)+CEG_Assets!$P$15*(1+CEG_CapexAdj))*(1+CEG_Assets!$Q$15)^(O$3-2026)/1000000</f>
        <v>0</v>
      </c>
      <c r="P445" s="8" t="n">
        <f aca="false">P435-P429*(CEG_Assets!$N$15*(1+CEG_FuelAdj)+CEG_Assets!$O$15*(1+CEG_OMAdj)+CEG_Assets!$P$15*(1+CEG_CapexAdj))*(1+CEG_Assets!$Q$15)^(P$3-2026)/1000000</f>
        <v>0</v>
      </c>
      <c r="Q445" s="8" t="n">
        <f aca="false">Q435-Q429*(CEG_Assets!$N$15*(1+CEG_FuelAdj)+CEG_Assets!$O$15*(1+CEG_OMAdj)+CEG_Assets!$P$15*(1+CEG_CapexAdj))*(1+CEG_Assets!$Q$15)^(Q$3-2026)/1000000</f>
        <v>0</v>
      </c>
      <c r="R445" s="8" t="n">
        <f aca="false">R435-R429*(CEG_Assets!$N$15*(1+CEG_FuelAdj)+CEG_Assets!$O$15*(1+CEG_OMAdj)+CEG_Assets!$P$15*(1+CEG_CapexAdj))*(1+CEG_Assets!$Q$15)^(R$3-2026)/1000000</f>
        <v>0</v>
      </c>
      <c r="S445" s="8" t="n">
        <f aca="false">S435-S429*(CEG_Assets!$N$15*(1+CEG_FuelAdj)+CEG_Assets!$O$15*(1+CEG_OMAdj)+CEG_Assets!$P$15*(1+CEG_CapexAdj))*(1+CEG_Assets!$Q$15)^(S$3-2026)/1000000</f>
        <v>0</v>
      </c>
      <c r="T445" s="8" t="n">
        <f aca="false">T435-T429*(CEG_Assets!$N$15*(1+CEG_FuelAdj)+CEG_Assets!$O$15*(1+CEG_OMAdj)+CEG_Assets!$P$15*(1+CEG_CapexAdj))*(1+CEG_Assets!$Q$15)^(T$3-2026)/1000000</f>
        <v>0</v>
      </c>
      <c r="U445" s="8" t="n">
        <f aca="false">U435-U429*(CEG_Assets!$N$15*(1+CEG_FuelAdj)+CEG_Assets!$O$15*(1+CEG_OMAdj)+CEG_Assets!$P$15*(1+CEG_CapexAdj))*(1+CEG_Assets!$Q$15)^(U$3-2026)/1000000</f>
        <v>0</v>
      </c>
      <c r="V445" s="8" t="n">
        <f aca="false">V435-V429*(CEG_Assets!$N$15*(1+CEG_FuelAdj)+CEG_Assets!$O$15*(1+CEG_OMAdj)+CEG_Assets!$P$15*(1+CEG_CapexAdj))*(1+CEG_Assets!$Q$15)^(V$3-2026)/1000000</f>
        <v>0</v>
      </c>
      <c r="W445" s="8" t="n">
        <f aca="false">W435-W429*(CEG_Assets!$N$15*(1+CEG_FuelAdj)+CEG_Assets!$O$15*(1+CEG_OMAdj)+CEG_Assets!$P$15*(1+CEG_CapexAdj))*(1+CEG_Assets!$Q$15)^(W$3-2026)/1000000</f>
        <v>0</v>
      </c>
      <c r="X445" s="8" t="n">
        <f aca="false">X435-X429*(CEG_Assets!$N$15*(1+CEG_FuelAdj)+CEG_Assets!$O$15*(1+CEG_OMAdj)+CEG_Assets!$P$15*(1+CEG_CapexAdj))*(1+CEG_Assets!$Q$15)^(X$3-2026)/1000000</f>
        <v>0</v>
      </c>
      <c r="Y445" s="8" t="n">
        <f aca="false">Y435-Y429*(CEG_Assets!$N$15*(1+CEG_FuelAdj)+CEG_Assets!$O$15*(1+CEG_OMAdj)+CEG_Assets!$P$15*(1+CEG_CapexAdj))*(1+CEG_Assets!$Q$15)^(Y$3-2026)/1000000</f>
        <v>0</v>
      </c>
      <c r="Z445" s="8" t="n">
        <f aca="false">Z435-Z429*(CEG_Assets!$N$15*(1+CEG_FuelAdj)+CEG_Assets!$O$15*(1+CEG_OMAdj)+CEG_Assets!$P$15*(1+CEG_CapexAdj))*(1+CEG_Assets!$Q$15)^(Z$3-2026)/1000000</f>
        <v>0</v>
      </c>
      <c r="AA445" s="8" t="n">
        <f aca="false">AA435-AA429*(CEG_Assets!$N$15*(1+CEG_FuelAdj)+CEG_Assets!$O$15*(1+CEG_OMAdj)+CEG_Assets!$P$15*(1+CEG_CapexAdj))*(1+CEG_Assets!$Q$15)^(AA$3-2026)/1000000</f>
        <v>0</v>
      </c>
      <c r="AB445" s="8" t="n">
        <f aca="false">AB435-AB429*(CEG_Assets!$N$15*(1+CEG_FuelAdj)+CEG_Assets!$O$15*(1+CEG_OMAdj)+CEG_Assets!$P$15*(1+CEG_CapexAdj))*(1+CEG_Assets!$Q$15)^(AB$3-2026)/1000000</f>
        <v>0</v>
      </c>
      <c r="AC445" s="8" t="n">
        <f aca="false">AC435-AC429*(CEG_Assets!$N$15*(1+CEG_FuelAdj)+CEG_Assets!$O$15*(1+CEG_OMAdj)+CEG_Assets!$P$15*(1+CEG_CapexAdj))*(1+CEG_Assets!$Q$15)^(AC$3-2026)/1000000</f>
        <v>0</v>
      </c>
      <c r="AD445" s="8" t="n">
        <f aca="false">AD435-AD429*(CEG_Assets!$N$15*(1+CEG_FuelAdj)+CEG_Assets!$O$15*(1+CEG_OMAdj)+CEG_Assets!$P$15*(1+CEG_CapexAdj))*(1+CEG_Assets!$Q$15)^(AD$3-2026)/1000000</f>
        <v>0</v>
      </c>
      <c r="AE445" s="8" t="n">
        <f aca="false">AE435-AE429*(CEG_Assets!$N$15*(1+CEG_FuelAdj)+CEG_Assets!$O$15*(1+CEG_OMAdj)+CEG_Assets!$P$15*(1+CEG_CapexAdj))*(1+CEG_Assets!$Q$15)^(AE$3-2026)/1000000</f>
        <v>0</v>
      </c>
      <c r="AF445" s="8" t="n">
        <f aca="false">AF435-AF429*(CEG_Assets!$N$15*(1+CEG_FuelAdj)+CEG_Assets!$O$15*(1+CEG_OMAdj)+CEG_Assets!$P$15*(1+CEG_CapexAdj))*(1+CEG_Assets!$Q$15)^(AF$3-2026)/1000000</f>
        <v>0</v>
      </c>
      <c r="AG445" s="8" t="n">
        <f aca="false">AG435-AG429*(CEG_Assets!$N$15*(1+CEG_FuelAdj)+CEG_Assets!$O$15*(1+CEG_OMAdj)+CEG_Assets!$P$15*(1+CEG_CapexAdj))*(1+CEG_Assets!$Q$15)^(AG$3-2026)/1000000</f>
        <v>0</v>
      </c>
      <c r="AH445" s="8" t="n">
        <f aca="false">AH435-AH429*(CEG_Assets!$N$15*(1+CEG_FuelAdj)+CEG_Assets!$O$15*(1+CEG_OMAdj)+CEG_Assets!$P$15*(1+CEG_CapexAdj))*(1+CEG_Assets!$Q$15)^(AH$3-2026)/1000000</f>
        <v>0</v>
      </c>
      <c r="AI445" s="8" t="n">
        <f aca="false">AI435-AI429*(CEG_Assets!$N$15*(1+CEG_FuelAdj)+CEG_Assets!$O$15*(1+CEG_OMAdj)+CEG_Assets!$P$15*(1+CEG_CapexAdj))*(1+CEG_Assets!$Q$15)^(AI$3-2026)/1000000</f>
        <v>0</v>
      </c>
      <c r="AJ445" s="8" t="n">
        <f aca="false">AJ435-AJ429*(CEG_Assets!$N$15*(1+CEG_FuelAdj)+CEG_Assets!$O$15*(1+CEG_OMAdj)+CEG_Assets!$P$15*(1+CEG_CapexAdj))*(1+CEG_Assets!$Q$15)^(AJ$3-2026)/1000000</f>
        <v>0</v>
      </c>
      <c r="AK445" s="8" t="n">
        <f aca="false">AK435-AK429*(CEG_Assets!$N$15*(1+CEG_FuelAdj)+CEG_Assets!$O$15*(1+CEG_OMAdj)+CEG_Assets!$P$15*(1+CEG_CapexAdj))*(1+CEG_Assets!$Q$15)^(AK$3-2026)/1000000</f>
        <v>0</v>
      </c>
      <c r="AL445" s="8" t="n">
        <f aca="false">AL435-AL429*(CEG_Assets!$N$15*(1+CEG_FuelAdj)+CEG_Assets!$O$15*(1+CEG_OMAdj)+CEG_Assets!$P$15*(1+CEG_CapexAdj))*(1+CEG_Assets!$Q$15)^(AL$3-2026)/1000000</f>
        <v>0</v>
      </c>
      <c r="AM445" s="8" t="n">
        <f aca="false">AM435-AM429*(CEG_Assets!$N$15*(1+CEG_FuelAdj)+CEG_Assets!$O$15*(1+CEG_OMAdj)+CEG_Assets!$P$15*(1+CEG_CapexAdj))*(1+CEG_Assets!$Q$15)^(AM$3-2026)/1000000</f>
        <v>0</v>
      </c>
      <c r="AN445" s="8" t="n">
        <f aca="false">AN435-AN429*(CEG_Assets!$N$15*(1+CEG_FuelAdj)+CEG_Assets!$O$15*(1+CEG_OMAdj)+CEG_Assets!$P$15*(1+CEG_CapexAdj))*(1+CEG_Assets!$Q$15)^(AN$3-2026)/1000000</f>
        <v>0</v>
      </c>
      <c r="AO445" s="8" t="n">
        <f aca="false">AO435-AO429*(CEG_Assets!$N$15*(1+CEG_FuelAdj)+CEG_Assets!$O$15*(1+CEG_OMAdj)+CEG_Assets!$P$15*(1+CEG_CapexAdj))*(1+CEG_Assets!$Q$15)^(AO$3-2026)/1000000</f>
        <v>0</v>
      </c>
      <c r="AP445" s="8" t="n">
        <f aca="false">AP435-AP429*(CEG_Assets!$N$15*(1+CEG_FuelAdj)+CEG_Assets!$O$15*(1+CEG_OMAdj)+CEG_Assets!$P$15*(1+CEG_CapexAdj))*(1+CEG_Assets!$Q$15)^(AP$3-2026)/1000000</f>
        <v>0</v>
      </c>
      <c r="AQ445" s="8" t="n">
        <f aca="false">AQ435-AQ429*(CEG_Assets!$N$15*(1+CEG_FuelAdj)+CEG_Assets!$O$15*(1+CEG_OMAdj)+CEG_Assets!$P$15*(1+CEG_CapexAdj))*(1+CEG_Assets!$Q$15)^(AQ$3-2026)/1000000</f>
        <v>0</v>
      </c>
      <c r="AR445" s="8" t="n">
        <f aca="false">AR435-AR429*(CEG_Assets!$N$15*(1+CEG_FuelAdj)+CEG_Assets!$O$15*(1+CEG_OMAdj)+CEG_Assets!$P$15*(1+CEG_CapexAdj))*(1+CEG_Assets!$Q$15)^(AR$3-2026)/1000000</f>
        <v>0</v>
      </c>
      <c r="AS445" s="8" t="n">
        <f aca="false">AS435-AS429*(CEG_Assets!$N$15*(1+CEG_FuelAdj)+CEG_Assets!$O$15*(1+CEG_OMAdj)+CEG_Assets!$P$15*(1+CEG_CapexAdj))*(1+CEG_Assets!$Q$15)^(AS$3-2026)/1000000</f>
        <v>0</v>
      </c>
    </row>
    <row r="446" customFormat="false" ht="15" hidden="false" customHeight="false" outlineLevel="0" collapsed="false">
      <c r="A446" s="6" t="s">
        <v>465</v>
      </c>
      <c r="B446" s="6" t="s">
        <v>466</v>
      </c>
      <c r="G446" s="8" t="n">
        <f aca="false">G443-G445</f>
        <v>831.296508</v>
      </c>
      <c r="H446" s="8" t="n">
        <f aca="false">H443-H445</f>
        <v>838.74703896</v>
      </c>
      <c r="I446" s="8" t="n">
        <f aca="false">I443-I445</f>
        <v>683.972100874962</v>
      </c>
      <c r="J446" s="8" t="n">
        <f aca="false">J443-J445</f>
        <v>632.89696417593</v>
      </c>
      <c r="K446" s="8" t="n">
        <f aca="false">K443-K445</f>
        <v>645.554903459449</v>
      </c>
      <c r="L446" s="8" t="n">
        <f aca="false">L443-L445</f>
        <v>658.466001528639</v>
      </c>
      <c r="M446" s="8" t="n">
        <f aca="false">M443-M445</f>
        <v>671.635321559211</v>
      </c>
      <c r="N446" s="8" t="n">
        <f aca="false">N443-N445</f>
        <v>685.068027990395</v>
      </c>
      <c r="O446" s="8" t="n">
        <f aca="false">O443-O445</f>
        <v>698.769388550203</v>
      </c>
      <c r="P446" s="8" t="n">
        <f aca="false">P443-P445</f>
        <v>712.744776321207</v>
      </c>
      <c r="Q446" s="8" t="n">
        <f aca="false">Q443-Q445</f>
        <v>726.999671847632</v>
      </c>
      <c r="R446" s="8" t="n">
        <f aca="false">R443-R445</f>
        <v>741.539665284584</v>
      </c>
      <c r="S446" s="8" t="n">
        <f aca="false">S443-S445</f>
        <v>756.370458590276</v>
      </c>
      <c r="T446" s="8" t="n">
        <f aca="false">T443-T445</f>
        <v>771.497867762081</v>
      </c>
      <c r="U446" s="8" t="n">
        <f aca="false">U443-U445</f>
        <v>786.927825117323</v>
      </c>
      <c r="V446" s="8" t="n">
        <f aca="false">V443-V445</f>
        <v>802.666381619669</v>
      </c>
      <c r="W446" s="8" t="n">
        <f aca="false">W443-W445</f>
        <v>818.719709252062</v>
      </c>
      <c r="X446" s="8" t="n">
        <f aca="false">X443-X445</f>
        <v>835.094103437104</v>
      </c>
      <c r="Y446" s="8" t="n">
        <f aca="false">Y443-Y445</f>
        <v>851.795985505846</v>
      </c>
      <c r="Z446" s="8" t="n">
        <f aca="false">Z443-Z445</f>
        <v>0</v>
      </c>
      <c r="AA446" s="8" t="n">
        <f aca="false">AA443-AA445</f>
        <v>0</v>
      </c>
      <c r="AB446" s="8" t="n">
        <f aca="false">AB443-AB445</f>
        <v>0</v>
      </c>
      <c r="AC446" s="8" t="n">
        <f aca="false">AC443-AC445</f>
        <v>0</v>
      </c>
      <c r="AD446" s="8" t="n">
        <f aca="false">AD443-AD445</f>
        <v>0</v>
      </c>
      <c r="AE446" s="8" t="n">
        <f aca="false">AE443-AE445</f>
        <v>0</v>
      </c>
      <c r="AF446" s="8" t="n">
        <f aca="false">AF443-AF445</f>
        <v>0</v>
      </c>
      <c r="AG446" s="8" t="n">
        <f aca="false">AG443-AG445</f>
        <v>0</v>
      </c>
      <c r="AH446" s="8" t="n">
        <f aca="false">AH443-AH445</f>
        <v>0</v>
      </c>
      <c r="AI446" s="8" t="n">
        <f aca="false">AI443-AI445</f>
        <v>0</v>
      </c>
      <c r="AJ446" s="8" t="n">
        <f aca="false">AJ443-AJ445</f>
        <v>0</v>
      </c>
      <c r="AK446" s="8" t="n">
        <f aca="false">AK443-AK445</f>
        <v>0</v>
      </c>
      <c r="AL446" s="8" t="n">
        <f aca="false">AL443-AL445</f>
        <v>0</v>
      </c>
      <c r="AM446" s="8" t="n">
        <f aca="false">AM443-AM445</f>
        <v>0</v>
      </c>
      <c r="AN446" s="8" t="n">
        <f aca="false">AN443-AN445</f>
        <v>0</v>
      </c>
      <c r="AO446" s="8" t="n">
        <f aca="false">AO443-AO445</f>
        <v>0</v>
      </c>
      <c r="AP446" s="8" t="n">
        <f aca="false">AP443-AP445</f>
        <v>0</v>
      </c>
      <c r="AQ446" s="8" t="n">
        <f aca="false">AQ443-AQ445</f>
        <v>0</v>
      </c>
      <c r="AR446" s="8" t="n">
        <f aca="false">AR443-AR445</f>
        <v>0</v>
      </c>
      <c r="AS446" s="8" t="n">
        <f aca="false">AS443-AS445</f>
        <v>0</v>
      </c>
    </row>
    <row r="447" customFormat="false" ht="15" hidden="false" customHeight="false" outlineLevel="0" collapsed="false">
      <c r="A447" s="6" t="s">
        <v>467</v>
      </c>
      <c r="B447" s="6" t="s">
        <v>468</v>
      </c>
      <c r="G447" s="8" t="n">
        <f aca="false">G446*(1-TaxRate)+G444</f>
        <v>665.0372064</v>
      </c>
      <c r="H447" s="8" t="n">
        <f aca="false">H446*(1-TaxRate)+H444</f>
        <v>670.997631168</v>
      </c>
      <c r="I447" s="8" t="n">
        <f aca="false">I446*(1-TaxRate)+I444</f>
        <v>547.17768069997</v>
      </c>
      <c r="J447" s="8" t="n">
        <f aca="false">J446*(1-TaxRate)+J444</f>
        <v>506.317571340744</v>
      </c>
      <c r="K447" s="8" t="n">
        <f aca="false">K446*(1-TaxRate)+K444</f>
        <v>516.443922767559</v>
      </c>
      <c r="L447" s="8" t="n">
        <f aca="false">L446*(1-TaxRate)+L444</f>
        <v>526.772801222911</v>
      </c>
      <c r="M447" s="8" t="n">
        <f aca="false">M446*(1-TaxRate)+M444</f>
        <v>537.308257247369</v>
      </c>
      <c r="N447" s="8" t="n">
        <f aca="false">N446*(1-TaxRate)+N444</f>
        <v>548.054422392316</v>
      </c>
      <c r="O447" s="8" t="n">
        <f aca="false">O446*(1-TaxRate)+O444</f>
        <v>559.015510840163</v>
      </c>
      <c r="P447" s="8" t="n">
        <f aca="false">P446*(1-TaxRate)+P444</f>
        <v>570.195821056966</v>
      </c>
      <c r="Q447" s="8" t="n">
        <f aca="false">Q446*(1-TaxRate)+Q444</f>
        <v>581.599737478105</v>
      </c>
      <c r="R447" s="8" t="n">
        <f aca="false">R446*(1-TaxRate)+R444</f>
        <v>593.231732227667</v>
      </c>
      <c r="S447" s="8" t="n">
        <f aca="false">S446*(1-TaxRate)+S444</f>
        <v>605.096366872221</v>
      </c>
      <c r="T447" s="8" t="n">
        <f aca="false">T446*(1-TaxRate)+T444</f>
        <v>617.198294209665</v>
      </c>
      <c r="U447" s="8" t="n">
        <f aca="false">U446*(1-TaxRate)+U444</f>
        <v>629.542260093858</v>
      </c>
      <c r="V447" s="8" t="n">
        <f aca="false">V446*(1-TaxRate)+V444</f>
        <v>642.133105295736</v>
      </c>
      <c r="W447" s="8" t="n">
        <f aca="false">W446*(1-TaxRate)+W444</f>
        <v>654.97576740165</v>
      </c>
      <c r="X447" s="8" t="n">
        <f aca="false">X446*(1-TaxRate)+X444</f>
        <v>668.075282749683</v>
      </c>
      <c r="Y447" s="8" t="n">
        <f aca="false">Y446*(1-TaxRate)+Y444</f>
        <v>681.436788404677</v>
      </c>
      <c r="Z447" s="8" t="n">
        <f aca="false">Z446*(1-TaxRate)+Z444</f>
        <v>0</v>
      </c>
      <c r="AA447" s="8" t="n">
        <f aca="false">AA446*(1-TaxRate)+AA444</f>
        <v>0</v>
      </c>
      <c r="AB447" s="8" t="n">
        <f aca="false">AB446*(1-TaxRate)+AB444</f>
        <v>0</v>
      </c>
      <c r="AC447" s="8" t="n">
        <f aca="false">AC446*(1-TaxRate)+AC444</f>
        <v>0</v>
      </c>
      <c r="AD447" s="8" t="n">
        <f aca="false">AD446*(1-TaxRate)+AD444</f>
        <v>0</v>
      </c>
      <c r="AE447" s="8" t="n">
        <f aca="false">AE446*(1-TaxRate)+AE444</f>
        <v>0</v>
      </c>
      <c r="AF447" s="8" t="n">
        <f aca="false">AF446*(1-TaxRate)+AF444</f>
        <v>0</v>
      </c>
      <c r="AG447" s="8" t="n">
        <f aca="false">AG446*(1-TaxRate)+AG444</f>
        <v>0</v>
      </c>
      <c r="AH447" s="8" t="n">
        <f aca="false">AH446*(1-TaxRate)+AH444</f>
        <v>0</v>
      </c>
      <c r="AI447" s="8" t="n">
        <f aca="false">AI446*(1-TaxRate)+AI444</f>
        <v>0</v>
      </c>
      <c r="AJ447" s="8" t="n">
        <f aca="false">AJ446*(1-TaxRate)+AJ444</f>
        <v>0</v>
      </c>
      <c r="AK447" s="8" t="n">
        <f aca="false">AK446*(1-TaxRate)+AK444</f>
        <v>0</v>
      </c>
      <c r="AL447" s="8" t="n">
        <f aca="false">AL446*(1-TaxRate)+AL444</f>
        <v>0</v>
      </c>
      <c r="AM447" s="8" t="n">
        <f aca="false">AM446*(1-TaxRate)+AM444</f>
        <v>0</v>
      </c>
      <c r="AN447" s="8" t="n">
        <f aca="false">AN446*(1-TaxRate)+AN444</f>
        <v>0</v>
      </c>
      <c r="AO447" s="8" t="n">
        <f aca="false">AO446*(1-TaxRate)+AO444</f>
        <v>0</v>
      </c>
      <c r="AP447" s="8" t="n">
        <f aca="false">AP446*(1-TaxRate)+AP444</f>
        <v>0</v>
      </c>
      <c r="AQ447" s="8" t="n">
        <f aca="false">AQ446*(1-TaxRate)+AQ444</f>
        <v>0</v>
      </c>
      <c r="AR447" s="8" t="n">
        <f aca="false">AR446*(1-TaxRate)+AR444</f>
        <v>0</v>
      </c>
      <c r="AS447" s="8" t="n">
        <f aca="false">AS446*(1-TaxRate)+AS444</f>
        <v>0</v>
      </c>
    </row>
    <row r="448" customFormat="false" ht="15" hidden="false" customHeight="false" outlineLevel="0" collapsed="false">
      <c r="A448" s="6" t="s">
        <v>469</v>
      </c>
      <c r="B448" s="6" t="s">
        <v>470</v>
      </c>
      <c r="G448" s="8" t="n">
        <f aca="false">G445*(1-TaxRate)</f>
        <v>0</v>
      </c>
      <c r="H448" s="8" t="n">
        <f aca="false">H445*(1-TaxRate)</f>
        <v>0</v>
      </c>
      <c r="I448" s="8" t="n">
        <f aca="false">I445*(1-TaxRate)</f>
        <v>0</v>
      </c>
      <c r="J448" s="8" t="n">
        <f aca="false">J445*(1-TaxRate)</f>
        <v>0</v>
      </c>
      <c r="K448" s="8" t="n">
        <f aca="false">K445*(1-TaxRate)</f>
        <v>0</v>
      </c>
      <c r="L448" s="8" t="n">
        <f aca="false">L445*(1-TaxRate)</f>
        <v>0</v>
      </c>
      <c r="M448" s="8" t="n">
        <f aca="false">M445*(1-TaxRate)</f>
        <v>0</v>
      </c>
      <c r="N448" s="8" t="n">
        <f aca="false">N445*(1-TaxRate)</f>
        <v>0</v>
      </c>
      <c r="O448" s="8" t="n">
        <f aca="false">O445*(1-TaxRate)</f>
        <v>0</v>
      </c>
      <c r="P448" s="8" t="n">
        <f aca="false">P445*(1-TaxRate)</f>
        <v>0</v>
      </c>
      <c r="Q448" s="8" t="n">
        <f aca="false">Q445*(1-TaxRate)</f>
        <v>0</v>
      </c>
      <c r="R448" s="8" t="n">
        <f aca="false">R445*(1-TaxRate)</f>
        <v>0</v>
      </c>
      <c r="S448" s="8" t="n">
        <f aca="false">S445*(1-TaxRate)</f>
        <v>0</v>
      </c>
      <c r="T448" s="8" t="n">
        <f aca="false">T445*(1-TaxRate)</f>
        <v>0</v>
      </c>
      <c r="U448" s="8" t="n">
        <f aca="false">U445*(1-TaxRate)</f>
        <v>0</v>
      </c>
      <c r="V448" s="8" t="n">
        <f aca="false">V445*(1-TaxRate)</f>
        <v>0</v>
      </c>
      <c r="W448" s="8" t="n">
        <f aca="false">W445*(1-TaxRate)</f>
        <v>0</v>
      </c>
      <c r="X448" s="8" t="n">
        <f aca="false">X445*(1-TaxRate)</f>
        <v>0</v>
      </c>
      <c r="Y448" s="8" t="n">
        <f aca="false">Y445*(1-TaxRate)</f>
        <v>0</v>
      </c>
      <c r="Z448" s="8" t="n">
        <f aca="false">Z445*(1-TaxRate)</f>
        <v>0</v>
      </c>
      <c r="AA448" s="8" t="n">
        <f aca="false">AA445*(1-TaxRate)</f>
        <v>0</v>
      </c>
      <c r="AB448" s="8" t="n">
        <f aca="false">AB445*(1-TaxRate)</f>
        <v>0</v>
      </c>
      <c r="AC448" s="8" t="n">
        <f aca="false">AC445*(1-TaxRate)</f>
        <v>0</v>
      </c>
      <c r="AD448" s="8" t="n">
        <f aca="false">AD445*(1-TaxRate)</f>
        <v>0</v>
      </c>
      <c r="AE448" s="8" t="n">
        <f aca="false">AE445*(1-TaxRate)</f>
        <v>0</v>
      </c>
      <c r="AF448" s="8" t="n">
        <f aca="false">AF445*(1-TaxRate)</f>
        <v>0</v>
      </c>
      <c r="AG448" s="8" t="n">
        <f aca="false">AG445*(1-TaxRate)</f>
        <v>0</v>
      </c>
      <c r="AH448" s="8" t="n">
        <f aca="false">AH445*(1-TaxRate)</f>
        <v>0</v>
      </c>
      <c r="AI448" s="8" t="n">
        <f aca="false">AI445*(1-TaxRate)</f>
        <v>0</v>
      </c>
      <c r="AJ448" s="8" t="n">
        <f aca="false">AJ445*(1-TaxRate)</f>
        <v>0</v>
      </c>
      <c r="AK448" s="8" t="n">
        <f aca="false">AK445*(1-TaxRate)</f>
        <v>0</v>
      </c>
      <c r="AL448" s="8" t="n">
        <f aca="false">AL445*(1-TaxRate)</f>
        <v>0</v>
      </c>
      <c r="AM448" s="8" t="n">
        <f aca="false">AM445*(1-TaxRate)</f>
        <v>0</v>
      </c>
      <c r="AN448" s="8" t="n">
        <f aca="false">AN445*(1-TaxRate)</f>
        <v>0</v>
      </c>
      <c r="AO448" s="8" t="n">
        <f aca="false">AO445*(1-TaxRate)</f>
        <v>0</v>
      </c>
      <c r="AP448" s="8" t="n">
        <f aca="false">AP445*(1-TaxRate)</f>
        <v>0</v>
      </c>
      <c r="AQ448" s="8" t="n">
        <f aca="false">AQ445*(1-TaxRate)</f>
        <v>0</v>
      </c>
      <c r="AR448" s="8" t="n">
        <f aca="false">AR445*(1-TaxRate)</f>
        <v>0</v>
      </c>
      <c r="AS448" s="8" t="n">
        <f aca="false">AS445*(1-TaxRate)</f>
        <v>0</v>
      </c>
    </row>
    <row r="449" customFormat="false" ht="15" hidden="false" customHeight="false" outlineLevel="0" collapsed="false">
      <c r="A449" s="6" t="s">
        <v>471</v>
      </c>
      <c r="B449" s="6" t="s">
        <v>472</v>
      </c>
      <c r="G449" s="42" t="n">
        <f aca="false">(1+CEG_Assets!$AE$15)^-(G$3+0.5-ValDate)</f>
        <v>0.934199026996437</v>
      </c>
      <c r="H449" s="42" t="n">
        <f aca="false">(1+CEG_Assets!$AE$15)^-(H$3+0.5-ValDate)</f>
        <v>0.853149796343778</v>
      </c>
      <c r="I449" s="42" t="n">
        <f aca="false">(1+CEG_Assets!$AE$15)^-(I$3+0.5-ValDate)</f>
        <v>0.779132234103907</v>
      </c>
      <c r="J449" s="42" t="n">
        <f aca="false">(1+CEG_Assets!$AE$15)^-(J$3+0.5-ValDate)</f>
        <v>0.711536286852883</v>
      </c>
      <c r="K449" s="42" t="n">
        <f aca="false">(1+CEG_Assets!$AE$15)^-(K$3+0.5-ValDate)</f>
        <v>0.649804828176149</v>
      </c>
      <c r="L449" s="42" t="n">
        <f aca="false">(1+CEG_Assets!$AE$15)^-(L$3+0.5-ValDate)</f>
        <v>0.593429066827533</v>
      </c>
      <c r="M449" s="42" t="n">
        <f aca="false">(1+CEG_Assets!$AE$15)^-(M$3+0.5-ValDate)</f>
        <v>0.541944353267154</v>
      </c>
      <c r="N449" s="42" t="n">
        <f aca="false">(1+CEG_Assets!$AE$15)^-(N$3+0.5-ValDate)</f>
        <v>0.494926350015666</v>
      </c>
      <c r="O449" s="42" t="n">
        <f aca="false">(1+CEG_Assets!$AE$15)^-(O$3+0.5-ValDate)</f>
        <v>0.451987534260882</v>
      </c>
      <c r="P449" s="42" t="n">
        <f aca="false">(1+CEG_Assets!$AE$15)^-(P$3+0.5-ValDate)</f>
        <v>0.412774003891216</v>
      </c>
      <c r="Q449" s="42" t="n">
        <f aca="false">(1+CEG_Assets!$AE$15)^-(Q$3+0.5-ValDate)</f>
        <v>0.376962560631248</v>
      </c>
      <c r="R449" s="42" t="n">
        <f aca="false">(1+CEG_Assets!$AE$15)^-(R$3+0.5-ValDate)</f>
        <v>0.344258046238582</v>
      </c>
      <c r="S449" s="42" t="n">
        <f aca="false">(1+CEG_Assets!$AE$15)^-(S$3+0.5-ValDate)</f>
        <v>0.314390909806925</v>
      </c>
      <c r="T449" s="42" t="n">
        <f aca="false">(1+CEG_Assets!$AE$15)^-(T$3+0.5-ValDate)</f>
        <v>0.287114986125045</v>
      </c>
      <c r="U449" s="42" t="n">
        <f aca="false">(1+CEG_Assets!$AE$15)^-(U$3+0.5-ValDate)</f>
        <v>0.262205466780863</v>
      </c>
      <c r="V449" s="42" t="n">
        <f aca="false">(1+CEG_Assets!$AE$15)^-(V$3+0.5-ValDate)</f>
        <v>0.23945704728846</v>
      </c>
      <c r="W449" s="42" t="n">
        <f aca="false">(1+CEG_Assets!$AE$15)^-(W$3+0.5-ValDate)</f>
        <v>0.21868223496663</v>
      </c>
      <c r="X449" s="42" t="n">
        <f aca="false">(1+CEG_Assets!$AE$15)^-(X$3+0.5-ValDate)</f>
        <v>0.199709803622493</v>
      </c>
      <c r="Y449" s="42" t="n">
        <f aca="false">(1+CEG_Assets!$AE$15)^-(Y$3+0.5-ValDate)</f>
        <v>0.182383382303647</v>
      </c>
      <c r="Z449" s="42" t="n">
        <f aca="false">(1+CEG_Assets!$AE$15)^-(Z$3+0.5-ValDate)</f>
        <v>0.166560166487348</v>
      </c>
      <c r="AA449" s="42" t="n">
        <f aca="false">(1+CEG_Assets!$AE$15)^-(AA$3+0.5-ValDate)</f>
        <v>0.152109741084336</v>
      </c>
      <c r="AB449" s="42" t="n">
        <f aca="false">(1+CEG_Assets!$AE$15)^-(AB$3+0.5-ValDate)</f>
        <v>0.138913005556472</v>
      </c>
      <c r="AC449" s="42" t="n">
        <f aca="false">(1+CEG_Assets!$AE$15)^-(AC$3+0.5-ValDate)</f>
        <v>0.126861192289015</v>
      </c>
      <c r="AD449" s="42" t="n">
        <f aca="false">(1+CEG_Assets!$AE$15)^-(AD$3+0.5-ValDate)</f>
        <v>0.115854970126955</v>
      </c>
      <c r="AE449" s="42" t="n">
        <f aca="false">(1+CEG_Assets!$AE$15)^-(AE$3+0.5-ValDate)</f>
        <v>0.105803625686716</v>
      </c>
      <c r="AF449" s="42" t="n">
        <f aca="false">(1+CEG_Assets!$AE$15)^-(AF$3+0.5-ValDate)</f>
        <v>0.0966243156956315</v>
      </c>
      <c r="AG449" s="42" t="n">
        <f aca="false">(1+CEG_Assets!$AE$15)^-(AG$3+0.5-ValDate)</f>
        <v>0.0882413841969238</v>
      </c>
      <c r="AH449" s="42" t="n">
        <f aca="false">(1+CEG_Assets!$AE$15)^-(AH$3+0.5-ValDate)</f>
        <v>0.0805857389926244</v>
      </c>
      <c r="AI449" s="42" t="n">
        <f aca="false">(1+CEG_Assets!$AE$15)^-(AI$3+0.5-ValDate)</f>
        <v>0.0735942821850451</v>
      </c>
      <c r="AJ449" s="42" t="n">
        <f aca="false">(1+CEG_Assets!$AE$15)^-(AJ$3+0.5-ValDate)</f>
        <v>0.0672093901233289</v>
      </c>
      <c r="AK449" s="42" t="n">
        <f aca="false">(1+CEG_Assets!$AE$15)^-(AK$3+0.5-ValDate)</f>
        <v>0.0613784384687935</v>
      </c>
      <c r="AL449" s="42" t="n">
        <f aca="false">(1+CEG_Assets!$AE$15)^-(AL$3+0.5-ValDate)</f>
        <v>0.0560533684646516</v>
      </c>
      <c r="AM449" s="42" t="n">
        <f aca="false">(1+CEG_Assets!$AE$15)^-(AM$3+0.5-ValDate)</f>
        <v>0.0511902908352983</v>
      </c>
      <c r="AN449" s="42" t="n">
        <f aca="false">(1+CEG_Assets!$AE$15)^-(AN$3+0.5-ValDate)</f>
        <v>0.0467491240505007</v>
      </c>
      <c r="AO449" s="42" t="n">
        <f aca="false">(1+CEG_Assets!$AE$15)^-(AO$3+0.5-ValDate)</f>
        <v>0.04269326397306</v>
      </c>
      <c r="AP449" s="42" t="n">
        <f aca="false">(1+CEG_Assets!$AE$15)^-(AP$3+0.5-ValDate)</f>
        <v>0.0389892821671781</v>
      </c>
      <c r="AQ449" s="42" t="n">
        <f aca="false">(1+CEG_Assets!$AE$15)^-(AQ$3+0.5-ValDate)</f>
        <v>0.0356066503809846</v>
      </c>
      <c r="AR449" s="42" t="n">
        <f aca="false">(1+CEG_Assets!$AE$15)^-(AR$3+0.5-ValDate)</f>
        <v>0.032517488932406</v>
      </c>
      <c r="AS449" s="42" t="n">
        <f aca="false">(1+CEG_Assets!$AE$15)^-(AS$3+0.5-ValDate)</f>
        <v>0.0296963369245717</v>
      </c>
    </row>
    <row r="450" customFormat="false" ht="15" hidden="false" customHeight="false" outlineLevel="0" collapsed="false">
      <c r="A450" s="6" t="s">
        <v>473</v>
      </c>
      <c r="B450" s="6" t="s">
        <v>474</v>
      </c>
      <c r="G450" s="42" t="n">
        <f aca="false">(1+CEG_Assets!$AF$15)^-(G$3+0.5-ValDate)</f>
        <v>0.934199026996437</v>
      </c>
      <c r="H450" s="42" t="n">
        <f aca="false">(1+CEG_Assets!$AF$15)^-(H$3+0.5-ValDate)</f>
        <v>0.853149796343778</v>
      </c>
      <c r="I450" s="42" t="n">
        <f aca="false">(1+CEG_Assets!$AF$15)^-(I$3+0.5-ValDate)</f>
        <v>0.779132234103907</v>
      </c>
      <c r="J450" s="42" t="n">
        <f aca="false">(1+CEG_Assets!$AF$15)^-(J$3+0.5-ValDate)</f>
        <v>0.711536286852883</v>
      </c>
      <c r="K450" s="42" t="n">
        <f aca="false">(1+CEG_Assets!$AF$15)^-(K$3+0.5-ValDate)</f>
        <v>0.649804828176149</v>
      </c>
      <c r="L450" s="42" t="n">
        <f aca="false">(1+CEG_Assets!$AF$15)^-(L$3+0.5-ValDate)</f>
        <v>0.593429066827533</v>
      </c>
      <c r="M450" s="42" t="n">
        <f aca="false">(1+CEG_Assets!$AF$15)^-(M$3+0.5-ValDate)</f>
        <v>0.541944353267154</v>
      </c>
      <c r="N450" s="42" t="n">
        <f aca="false">(1+CEG_Assets!$AF$15)^-(N$3+0.5-ValDate)</f>
        <v>0.494926350015666</v>
      </c>
      <c r="O450" s="42" t="n">
        <f aca="false">(1+CEG_Assets!$AF$15)^-(O$3+0.5-ValDate)</f>
        <v>0.451987534260882</v>
      </c>
      <c r="P450" s="42" t="n">
        <f aca="false">(1+CEG_Assets!$AF$15)^-(P$3+0.5-ValDate)</f>
        <v>0.412774003891216</v>
      </c>
      <c r="Q450" s="42" t="n">
        <f aca="false">(1+CEG_Assets!$AF$15)^-(Q$3+0.5-ValDate)</f>
        <v>0.376962560631248</v>
      </c>
      <c r="R450" s="42" t="n">
        <f aca="false">(1+CEG_Assets!$AF$15)^-(R$3+0.5-ValDate)</f>
        <v>0.344258046238582</v>
      </c>
      <c r="S450" s="42" t="n">
        <f aca="false">(1+CEG_Assets!$AF$15)^-(S$3+0.5-ValDate)</f>
        <v>0.314390909806925</v>
      </c>
      <c r="T450" s="42" t="n">
        <f aca="false">(1+CEG_Assets!$AF$15)^-(T$3+0.5-ValDate)</f>
        <v>0.287114986125045</v>
      </c>
      <c r="U450" s="42" t="n">
        <f aca="false">(1+CEG_Assets!$AF$15)^-(U$3+0.5-ValDate)</f>
        <v>0.262205466780863</v>
      </c>
      <c r="V450" s="42" t="n">
        <f aca="false">(1+CEG_Assets!$AF$15)^-(V$3+0.5-ValDate)</f>
        <v>0.23945704728846</v>
      </c>
      <c r="W450" s="42" t="n">
        <f aca="false">(1+CEG_Assets!$AF$15)^-(W$3+0.5-ValDate)</f>
        <v>0.21868223496663</v>
      </c>
      <c r="X450" s="42" t="n">
        <f aca="false">(1+CEG_Assets!$AF$15)^-(X$3+0.5-ValDate)</f>
        <v>0.199709803622493</v>
      </c>
      <c r="Y450" s="42" t="n">
        <f aca="false">(1+CEG_Assets!$AF$15)^-(Y$3+0.5-ValDate)</f>
        <v>0.182383382303647</v>
      </c>
      <c r="Z450" s="42" t="n">
        <f aca="false">(1+CEG_Assets!$AF$15)^-(Z$3+0.5-ValDate)</f>
        <v>0.166560166487348</v>
      </c>
      <c r="AA450" s="42" t="n">
        <f aca="false">(1+CEG_Assets!$AF$15)^-(AA$3+0.5-ValDate)</f>
        <v>0.152109741084336</v>
      </c>
      <c r="AB450" s="42" t="n">
        <f aca="false">(1+CEG_Assets!$AF$15)^-(AB$3+0.5-ValDate)</f>
        <v>0.138913005556472</v>
      </c>
      <c r="AC450" s="42" t="n">
        <f aca="false">(1+CEG_Assets!$AF$15)^-(AC$3+0.5-ValDate)</f>
        <v>0.126861192289015</v>
      </c>
      <c r="AD450" s="42" t="n">
        <f aca="false">(1+CEG_Assets!$AF$15)^-(AD$3+0.5-ValDate)</f>
        <v>0.115854970126955</v>
      </c>
      <c r="AE450" s="42" t="n">
        <f aca="false">(1+CEG_Assets!$AF$15)^-(AE$3+0.5-ValDate)</f>
        <v>0.105803625686716</v>
      </c>
      <c r="AF450" s="42" t="n">
        <f aca="false">(1+CEG_Assets!$AF$15)^-(AF$3+0.5-ValDate)</f>
        <v>0.0966243156956315</v>
      </c>
      <c r="AG450" s="42" t="n">
        <f aca="false">(1+CEG_Assets!$AF$15)^-(AG$3+0.5-ValDate)</f>
        <v>0.0882413841969238</v>
      </c>
      <c r="AH450" s="42" t="n">
        <f aca="false">(1+CEG_Assets!$AF$15)^-(AH$3+0.5-ValDate)</f>
        <v>0.0805857389926244</v>
      </c>
      <c r="AI450" s="42" t="n">
        <f aca="false">(1+CEG_Assets!$AF$15)^-(AI$3+0.5-ValDate)</f>
        <v>0.0735942821850451</v>
      </c>
      <c r="AJ450" s="42" t="n">
        <f aca="false">(1+CEG_Assets!$AF$15)^-(AJ$3+0.5-ValDate)</f>
        <v>0.0672093901233289</v>
      </c>
      <c r="AK450" s="42" t="n">
        <f aca="false">(1+CEG_Assets!$AF$15)^-(AK$3+0.5-ValDate)</f>
        <v>0.0613784384687935</v>
      </c>
      <c r="AL450" s="42" t="n">
        <f aca="false">(1+CEG_Assets!$AF$15)^-(AL$3+0.5-ValDate)</f>
        <v>0.0560533684646516</v>
      </c>
      <c r="AM450" s="42" t="n">
        <f aca="false">(1+CEG_Assets!$AF$15)^-(AM$3+0.5-ValDate)</f>
        <v>0.0511902908352983</v>
      </c>
      <c r="AN450" s="42" t="n">
        <f aca="false">(1+CEG_Assets!$AF$15)^-(AN$3+0.5-ValDate)</f>
        <v>0.0467491240505007</v>
      </c>
      <c r="AO450" s="42" t="n">
        <f aca="false">(1+CEG_Assets!$AF$15)^-(AO$3+0.5-ValDate)</f>
        <v>0.04269326397306</v>
      </c>
      <c r="AP450" s="42" t="n">
        <f aca="false">(1+CEG_Assets!$AF$15)^-(AP$3+0.5-ValDate)</f>
        <v>0.0389892821671781</v>
      </c>
      <c r="AQ450" s="42" t="n">
        <f aca="false">(1+CEG_Assets!$AF$15)^-(AQ$3+0.5-ValDate)</f>
        <v>0.0356066503809846</v>
      </c>
      <c r="AR450" s="42" t="n">
        <f aca="false">(1+CEG_Assets!$AF$15)^-(AR$3+0.5-ValDate)</f>
        <v>0.032517488932406</v>
      </c>
      <c r="AS450" s="42" t="n">
        <f aca="false">(1+CEG_Assets!$AF$15)^-(AS$3+0.5-ValDate)</f>
        <v>0.0296963369245717</v>
      </c>
    </row>
    <row r="451" customFormat="false" ht="15" hidden="false" customHeight="false" outlineLevel="0" collapsed="false">
      <c r="A451" s="6" t="s">
        <v>475</v>
      </c>
      <c r="B451" s="6" t="s">
        <v>476</v>
      </c>
      <c r="C451" s="43" t="n">
        <f aca="false">SUM(G451:AS451)</f>
        <v>5189.66156304223</v>
      </c>
      <c r="D451" s="8" t="n">
        <f aca="false">SUMIF($G$3:$AS$3,"&lt;="&amp;Horizon,G451:AS451)</f>
        <v>1980.32569700917</v>
      </c>
      <c r="E451" s="8" t="n">
        <f aca="false">(C451-D451)*(1+CEG_Assets!$AE$15)^(Horizon+1-ValDate)</f>
        <v>4719.81717298556</v>
      </c>
      <c r="G451" s="8" t="n">
        <f aca="false">G447*G449</f>
        <v>621.277111135309</v>
      </c>
      <c r="H451" s="8" t="n">
        <f aca="false">H447*H449</f>
        <v>572.461492378137</v>
      </c>
      <c r="I451" s="8" t="n">
        <f aca="false">I447*I449</f>
        <v>426.323768815562</v>
      </c>
      <c r="J451" s="8" t="n">
        <f aca="false">J447*J449</f>
        <v>360.263324680163</v>
      </c>
      <c r="K451" s="8" t="n">
        <f aca="false">K447*K449</f>
        <v>335.58775449659</v>
      </c>
      <c r="L451" s="8" t="n">
        <f aca="false">L447*L449</f>
        <v>312.602291859838</v>
      </c>
      <c r="M451" s="8" t="n">
        <f aca="false">M447*M449</f>
        <v>291.191175979027</v>
      </c>
      <c r="N451" s="8" t="n">
        <f aca="false">N447*N449</f>
        <v>271.246574884573</v>
      </c>
      <c r="O451" s="8" t="n">
        <f aca="false">O447*O449</f>
        <v>252.668042358232</v>
      </c>
      <c r="P451" s="8" t="n">
        <f aca="false">P447*P449</f>
        <v>235.362012059723</v>
      </c>
      <c r="Q451" s="8" t="n">
        <f aca="false">Q447*Q449</f>
        <v>219.241326302208</v>
      </c>
      <c r="R451" s="8" t="n">
        <f aca="false">R447*R449</f>
        <v>204.224797103427</v>
      </c>
      <c r="S451" s="8" t="n">
        <f aca="false">S447*S449</f>
        <v>190.236797301822</v>
      </c>
      <c r="T451" s="8" t="n">
        <f aca="false">T447*T449</f>
        <v>177.206879678409</v>
      </c>
      <c r="U451" s="8" t="n">
        <f aca="false">U447*U449</f>
        <v>165.06942216619</v>
      </c>
      <c r="V451" s="8" t="n">
        <f aca="false">V447*V449</f>
        <v>153.763297360286</v>
      </c>
      <c r="W451" s="8" t="n">
        <f aca="false">W447*W449</f>
        <v>143.231564664376</v>
      </c>
      <c r="X451" s="8" t="n">
        <f aca="false">X447*X449</f>
        <v>133.421183522981</v>
      </c>
      <c r="Y451" s="8" t="n">
        <f aca="false">Y447*Y449</f>
        <v>124.282746295379</v>
      </c>
      <c r="Z451" s="8" t="n">
        <f aca="false">Z447*Z449</f>
        <v>0</v>
      </c>
      <c r="AA451" s="8" t="n">
        <f aca="false">AA447*AA449</f>
        <v>0</v>
      </c>
      <c r="AB451" s="8" t="n">
        <f aca="false">AB447*AB449</f>
        <v>0</v>
      </c>
      <c r="AC451" s="8" t="n">
        <f aca="false">AC447*AC449</f>
        <v>0</v>
      </c>
      <c r="AD451" s="8" t="n">
        <f aca="false">AD447*AD449</f>
        <v>0</v>
      </c>
      <c r="AE451" s="8" t="n">
        <f aca="false">AE447*AE449</f>
        <v>0</v>
      </c>
      <c r="AF451" s="8" t="n">
        <f aca="false">AF447*AF449</f>
        <v>0</v>
      </c>
      <c r="AG451" s="8" t="n">
        <f aca="false">AG447*AG449</f>
        <v>0</v>
      </c>
      <c r="AH451" s="8" t="n">
        <f aca="false">AH447*AH449</f>
        <v>0</v>
      </c>
      <c r="AI451" s="8" t="n">
        <f aca="false">AI447*AI449</f>
        <v>0</v>
      </c>
      <c r="AJ451" s="8" t="n">
        <f aca="false">AJ447*AJ449</f>
        <v>0</v>
      </c>
      <c r="AK451" s="8" t="n">
        <f aca="false">AK447*AK449</f>
        <v>0</v>
      </c>
      <c r="AL451" s="8" t="n">
        <f aca="false">AL447*AL449</f>
        <v>0</v>
      </c>
      <c r="AM451" s="8" t="n">
        <f aca="false">AM447*AM449</f>
        <v>0</v>
      </c>
      <c r="AN451" s="8" t="n">
        <f aca="false">AN447*AN449</f>
        <v>0</v>
      </c>
      <c r="AO451" s="8" t="n">
        <f aca="false">AO447*AO449</f>
        <v>0</v>
      </c>
      <c r="AP451" s="8" t="n">
        <f aca="false">AP447*AP449</f>
        <v>0</v>
      </c>
      <c r="AQ451" s="8" t="n">
        <f aca="false">AQ447*AQ449</f>
        <v>0</v>
      </c>
      <c r="AR451" s="8" t="n">
        <f aca="false">AR447*AR449</f>
        <v>0</v>
      </c>
      <c r="AS451" s="8" t="n">
        <f aca="false">AS447*AS449</f>
        <v>0</v>
      </c>
    </row>
    <row r="452" customFormat="false" ht="15" hidden="false" customHeight="false" outlineLevel="0" collapsed="false">
      <c r="A452" s="6" t="s">
        <v>477</v>
      </c>
      <c r="B452" s="6" t="s">
        <v>478</v>
      </c>
      <c r="C452" s="43" t="n">
        <f aca="false">SUM(G452:AS452)</f>
        <v>0</v>
      </c>
      <c r="D452" s="8" t="n">
        <f aca="false">SUMIF($G$3:$AS$3,"&lt;="&amp;Horizon,G452:AS452)</f>
        <v>0</v>
      </c>
      <c r="E452" s="8" t="n">
        <f aca="false">(C452-D452)*(1+CEG_Assets!$AF$15)^(Horizon+1-ValDate)</f>
        <v>0</v>
      </c>
      <c r="G452" s="8" t="n">
        <f aca="false">G448*G450</f>
        <v>0</v>
      </c>
      <c r="H452" s="8" t="n">
        <f aca="false">H448*H450</f>
        <v>0</v>
      </c>
      <c r="I452" s="8" t="n">
        <f aca="false">I448*I450</f>
        <v>0</v>
      </c>
      <c r="J452" s="8" t="n">
        <f aca="false">J448*J450</f>
        <v>0</v>
      </c>
      <c r="K452" s="8" t="n">
        <f aca="false">K448*K450</f>
        <v>0</v>
      </c>
      <c r="L452" s="8" t="n">
        <f aca="false">L448*L450</f>
        <v>0</v>
      </c>
      <c r="M452" s="8" t="n">
        <f aca="false">M448*M450</f>
        <v>0</v>
      </c>
      <c r="N452" s="8" t="n">
        <f aca="false">N448*N450</f>
        <v>0</v>
      </c>
      <c r="O452" s="8" t="n">
        <f aca="false">O448*O450</f>
        <v>0</v>
      </c>
      <c r="P452" s="8" t="n">
        <f aca="false">P448*P450</f>
        <v>0</v>
      </c>
      <c r="Q452" s="8" t="n">
        <f aca="false">Q448*Q450</f>
        <v>0</v>
      </c>
      <c r="R452" s="8" t="n">
        <f aca="false">R448*R450</f>
        <v>0</v>
      </c>
      <c r="S452" s="8" t="n">
        <f aca="false">S448*S450</f>
        <v>0</v>
      </c>
      <c r="T452" s="8" t="n">
        <f aca="false">T448*T450</f>
        <v>0</v>
      </c>
      <c r="U452" s="8" t="n">
        <f aca="false">U448*U450</f>
        <v>0</v>
      </c>
      <c r="V452" s="8" t="n">
        <f aca="false">V448*V450</f>
        <v>0</v>
      </c>
      <c r="W452" s="8" t="n">
        <f aca="false">W448*W450</f>
        <v>0</v>
      </c>
      <c r="X452" s="8" t="n">
        <f aca="false">X448*X450</f>
        <v>0</v>
      </c>
      <c r="Y452" s="8" t="n">
        <f aca="false">Y448*Y450</f>
        <v>0</v>
      </c>
      <c r="Z452" s="8" t="n">
        <f aca="false">Z448*Z450</f>
        <v>0</v>
      </c>
      <c r="AA452" s="8" t="n">
        <f aca="false">AA448*AA450</f>
        <v>0</v>
      </c>
      <c r="AB452" s="8" t="n">
        <f aca="false">AB448*AB450</f>
        <v>0</v>
      </c>
      <c r="AC452" s="8" t="n">
        <f aca="false">AC448*AC450</f>
        <v>0</v>
      </c>
      <c r="AD452" s="8" t="n">
        <f aca="false">AD448*AD450</f>
        <v>0</v>
      </c>
      <c r="AE452" s="8" t="n">
        <f aca="false">AE448*AE450</f>
        <v>0</v>
      </c>
      <c r="AF452" s="8" t="n">
        <f aca="false">AF448*AF450</f>
        <v>0</v>
      </c>
      <c r="AG452" s="8" t="n">
        <f aca="false">AG448*AG450</f>
        <v>0</v>
      </c>
      <c r="AH452" s="8" t="n">
        <f aca="false">AH448*AH450</f>
        <v>0</v>
      </c>
      <c r="AI452" s="8" t="n">
        <f aca="false">AI448*AI450</f>
        <v>0</v>
      </c>
      <c r="AJ452" s="8" t="n">
        <f aca="false">AJ448*AJ450</f>
        <v>0</v>
      </c>
      <c r="AK452" s="8" t="n">
        <f aca="false">AK448*AK450</f>
        <v>0</v>
      </c>
      <c r="AL452" s="8" t="n">
        <f aca="false">AL448*AL450</f>
        <v>0</v>
      </c>
      <c r="AM452" s="8" t="n">
        <f aca="false">AM448*AM450</f>
        <v>0</v>
      </c>
      <c r="AN452" s="8" t="n">
        <f aca="false">AN448*AN450</f>
        <v>0</v>
      </c>
      <c r="AO452" s="8" t="n">
        <f aca="false">AO448*AO450</f>
        <v>0</v>
      </c>
      <c r="AP452" s="8" t="n">
        <f aca="false">AP448*AP450</f>
        <v>0</v>
      </c>
      <c r="AQ452" s="8" t="n">
        <f aca="false">AQ448*AQ450</f>
        <v>0</v>
      </c>
      <c r="AR452" s="8" t="n">
        <f aca="false">AR448*AR450</f>
        <v>0</v>
      </c>
      <c r="AS452" s="8" t="n">
        <f aca="false">AS448*AS450</f>
        <v>0</v>
      </c>
    </row>
    <row r="453" customFormat="false" ht="15" hidden="false" customHeight="false" outlineLevel="0" collapsed="false">
      <c r="A453" s="6" t="s">
        <v>479</v>
      </c>
      <c r="B453" s="6" t="s">
        <v>480</v>
      </c>
      <c r="C453" s="43" t="n">
        <f aca="false">IF(CEG_Assets!$H$15="$/kW",CEG_Assets!$D$15*CEG_Assets!$AI$15*(1+0.4*(PJMWLR/PJMWLRBase-1))/1000,0)</f>
        <v>0</v>
      </c>
      <c r="E453" s="8" t="n">
        <f aca="false">C453</f>
        <v>0</v>
      </c>
      <c r="G453" s="8" t="n">
        <f aca="false">0</f>
        <v>0</v>
      </c>
      <c r="H453" s="8" t="n">
        <f aca="false">0</f>
        <v>0</v>
      </c>
      <c r="I453" s="8" t="n">
        <f aca="false">0</f>
        <v>0</v>
      </c>
      <c r="J453" s="8" t="n">
        <f aca="false">0</f>
        <v>0</v>
      </c>
      <c r="K453" s="8" t="n">
        <f aca="false">0</f>
        <v>0</v>
      </c>
      <c r="L453" s="8" t="n">
        <f aca="false">0</f>
        <v>0</v>
      </c>
      <c r="M453" s="8" t="n">
        <f aca="false">0</f>
        <v>0</v>
      </c>
      <c r="N453" s="8" t="n">
        <f aca="false">0</f>
        <v>0</v>
      </c>
      <c r="O453" s="8" t="n">
        <f aca="false">0</f>
        <v>0</v>
      </c>
      <c r="P453" s="8" t="n">
        <f aca="false">0</f>
        <v>0</v>
      </c>
      <c r="Q453" s="8" t="n">
        <f aca="false">0</f>
        <v>0</v>
      </c>
      <c r="R453" s="8" t="n">
        <f aca="false">0</f>
        <v>0</v>
      </c>
      <c r="S453" s="8" t="n">
        <f aca="false">0</f>
        <v>0</v>
      </c>
      <c r="T453" s="8" t="n">
        <f aca="false">0</f>
        <v>0</v>
      </c>
      <c r="U453" s="8" t="n">
        <f aca="false">0</f>
        <v>0</v>
      </c>
      <c r="V453" s="8" t="n">
        <f aca="false">0</f>
        <v>0</v>
      </c>
      <c r="W453" s="8" t="n">
        <f aca="false">0</f>
        <v>0</v>
      </c>
      <c r="X453" s="8" t="n">
        <f aca="false">0</f>
        <v>0</v>
      </c>
      <c r="Y453" s="8" t="n">
        <f aca="false">0</f>
        <v>0</v>
      </c>
      <c r="Z453" s="8" t="n">
        <f aca="false">0</f>
        <v>0</v>
      </c>
      <c r="AA453" s="8" t="n">
        <f aca="false">0</f>
        <v>0</v>
      </c>
      <c r="AB453" s="8" t="n">
        <f aca="false">0</f>
        <v>0</v>
      </c>
      <c r="AC453" s="8" t="n">
        <f aca="false">0</f>
        <v>0</v>
      </c>
      <c r="AD453" s="8" t="n">
        <f aca="false">0</f>
        <v>0</v>
      </c>
      <c r="AE453" s="8" t="n">
        <f aca="false">0</f>
        <v>0</v>
      </c>
      <c r="AF453" s="8" t="n">
        <f aca="false">0</f>
        <v>0</v>
      </c>
      <c r="AG453" s="8" t="n">
        <f aca="false">0</f>
        <v>0</v>
      </c>
      <c r="AH453" s="8" t="n">
        <f aca="false">0</f>
        <v>0</v>
      </c>
      <c r="AI453" s="8" t="n">
        <f aca="false">0</f>
        <v>0</v>
      </c>
      <c r="AJ453" s="8" t="n">
        <f aca="false">0</f>
        <v>0</v>
      </c>
      <c r="AK453" s="8" t="n">
        <f aca="false">0</f>
        <v>0</v>
      </c>
      <c r="AL453" s="8" t="n">
        <f aca="false">0</f>
        <v>0</v>
      </c>
      <c r="AM453" s="8" t="n">
        <f aca="false">0</f>
        <v>0</v>
      </c>
      <c r="AN453" s="8" t="n">
        <f aca="false">0</f>
        <v>0</v>
      </c>
      <c r="AO453" s="8" t="n">
        <f aca="false">0</f>
        <v>0</v>
      </c>
      <c r="AP453" s="8" t="n">
        <f aca="false">0</f>
        <v>0</v>
      </c>
      <c r="AQ453" s="8" t="n">
        <f aca="false">0</f>
        <v>0</v>
      </c>
      <c r="AR453" s="8" t="n">
        <f aca="false">0</f>
        <v>0</v>
      </c>
      <c r="AS453" s="8" t="n">
        <f aca="false">0</f>
        <v>0</v>
      </c>
    </row>
    <row r="455" customFormat="false" ht="15" hidden="false" customHeight="false" outlineLevel="0" collapsed="false">
      <c r="A455" s="54" t="str">
        <f aca="false">CEG_Assets!$A$16</f>
        <v>Calpine - West peakers</v>
      </c>
    </row>
    <row r="456" customFormat="false" ht="15" hidden="false" customHeight="false" outlineLevel="0" collapsed="false">
      <c r="A456" s="6" t="s">
        <v>425</v>
      </c>
      <c r="B456" s="6" t="s">
        <v>426</v>
      </c>
      <c r="G456" s="47" t="n">
        <f aca="false">IF(AND(G$3&gt;=CEG_Assets!$E$16,G$3&lt;=CEG_Assets!$F$16,CEG_Assets!$H$16="Cashflow"),1,0)</f>
        <v>1</v>
      </c>
      <c r="H456" s="47" t="n">
        <f aca="false">IF(AND(H$3&gt;=CEG_Assets!$E$16,H$3&lt;=CEG_Assets!$F$16,CEG_Assets!$H$16="Cashflow"),1,0)</f>
        <v>1</v>
      </c>
      <c r="I456" s="47" t="n">
        <f aca="false">IF(AND(I$3&gt;=CEG_Assets!$E$16,I$3&lt;=CEG_Assets!$F$16,CEG_Assets!$H$16="Cashflow"),1,0)</f>
        <v>1</v>
      </c>
      <c r="J456" s="47" t="n">
        <f aca="false">IF(AND(J$3&gt;=CEG_Assets!$E$16,J$3&lt;=CEG_Assets!$F$16,CEG_Assets!$H$16="Cashflow"),1,0)</f>
        <v>1</v>
      </c>
      <c r="K456" s="47" t="n">
        <f aca="false">IF(AND(K$3&gt;=CEG_Assets!$E$16,K$3&lt;=CEG_Assets!$F$16,CEG_Assets!$H$16="Cashflow"),1,0)</f>
        <v>1</v>
      </c>
      <c r="L456" s="47" t="n">
        <f aca="false">IF(AND(L$3&gt;=CEG_Assets!$E$16,L$3&lt;=CEG_Assets!$F$16,CEG_Assets!$H$16="Cashflow"),1,0)</f>
        <v>1</v>
      </c>
      <c r="M456" s="47" t="n">
        <f aca="false">IF(AND(M$3&gt;=CEG_Assets!$E$16,M$3&lt;=CEG_Assets!$F$16,CEG_Assets!$H$16="Cashflow"),1,0)</f>
        <v>1</v>
      </c>
      <c r="N456" s="47" t="n">
        <f aca="false">IF(AND(N$3&gt;=CEG_Assets!$E$16,N$3&lt;=CEG_Assets!$F$16,CEG_Assets!$H$16="Cashflow"),1,0)</f>
        <v>1</v>
      </c>
      <c r="O456" s="47" t="n">
        <f aca="false">IF(AND(O$3&gt;=CEG_Assets!$E$16,O$3&lt;=CEG_Assets!$F$16,CEG_Assets!$H$16="Cashflow"),1,0)</f>
        <v>1</v>
      </c>
      <c r="P456" s="47" t="n">
        <f aca="false">IF(AND(P$3&gt;=CEG_Assets!$E$16,P$3&lt;=CEG_Assets!$F$16,CEG_Assets!$H$16="Cashflow"),1,0)</f>
        <v>1</v>
      </c>
      <c r="Q456" s="47" t="n">
        <f aca="false">IF(AND(Q$3&gt;=CEG_Assets!$E$16,Q$3&lt;=CEG_Assets!$F$16,CEG_Assets!$H$16="Cashflow"),1,0)</f>
        <v>1</v>
      </c>
      <c r="R456" s="47" t="n">
        <f aca="false">IF(AND(R$3&gt;=CEG_Assets!$E$16,R$3&lt;=CEG_Assets!$F$16,CEG_Assets!$H$16="Cashflow"),1,0)</f>
        <v>1</v>
      </c>
      <c r="S456" s="47" t="n">
        <f aca="false">IF(AND(S$3&gt;=CEG_Assets!$E$16,S$3&lt;=CEG_Assets!$F$16,CEG_Assets!$H$16="Cashflow"),1,0)</f>
        <v>1</v>
      </c>
      <c r="T456" s="47" t="n">
        <f aca="false">IF(AND(T$3&gt;=CEG_Assets!$E$16,T$3&lt;=CEG_Assets!$F$16,CEG_Assets!$H$16="Cashflow"),1,0)</f>
        <v>1</v>
      </c>
      <c r="U456" s="47" t="n">
        <f aca="false">IF(AND(U$3&gt;=CEG_Assets!$E$16,U$3&lt;=CEG_Assets!$F$16,CEG_Assets!$H$16="Cashflow"),1,0)</f>
        <v>0</v>
      </c>
      <c r="V456" s="47" t="n">
        <f aca="false">IF(AND(V$3&gt;=CEG_Assets!$E$16,V$3&lt;=CEG_Assets!$F$16,CEG_Assets!$H$16="Cashflow"),1,0)</f>
        <v>0</v>
      </c>
      <c r="W456" s="47" t="n">
        <f aca="false">IF(AND(W$3&gt;=CEG_Assets!$E$16,W$3&lt;=CEG_Assets!$F$16,CEG_Assets!$H$16="Cashflow"),1,0)</f>
        <v>0</v>
      </c>
      <c r="X456" s="47" t="n">
        <f aca="false">IF(AND(X$3&gt;=CEG_Assets!$E$16,X$3&lt;=CEG_Assets!$F$16,CEG_Assets!$H$16="Cashflow"),1,0)</f>
        <v>0</v>
      </c>
      <c r="Y456" s="47" t="n">
        <f aca="false">IF(AND(Y$3&gt;=CEG_Assets!$E$16,Y$3&lt;=CEG_Assets!$F$16,CEG_Assets!$H$16="Cashflow"),1,0)</f>
        <v>0</v>
      </c>
      <c r="Z456" s="47" t="n">
        <f aca="false">IF(AND(Z$3&gt;=CEG_Assets!$E$16,Z$3&lt;=CEG_Assets!$F$16,CEG_Assets!$H$16="Cashflow"),1,0)</f>
        <v>0</v>
      </c>
      <c r="AA456" s="47" t="n">
        <f aca="false">IF(AND(AA$3&gt;=CEG_Assets!$E$16,AA$3&lt;=CEG_Assets!$F$16,CEG_Assets!$H$16="Cashflow"),1,0)</f>
        <v>0</v>
      </c>
      <c r="AB456" s="47" t="n">
        <f aca="false">IF(AND(AB$3&gt;=CEG_Assets!$E$16,AB$3&lt;=CEG_Assets!$F$16,CEG_Assets!$H$16="Cashflow"),1,0)</f>
        <v>0</v>
      </c>
      <c r="AC456" s="47" t="n">
        <f aca="false">IF(AND(AC$3&gt;=CEG_Assets!$E$16,AC$3&lt;=CEG_Assets!$F$16,CEG_Assets!$H$16="Cashflow"),1,0)</f>
        <v>0</v>
      </c>
      <c r="AD456" s="47" t="n">
        <f aca="false">IF(AND(AD$3&gt;=CEG_Assets!$E$16,AD$3&lt;=CEG_Assets!$F$16,CEG_Assets!$H$16="Cashflow"),1,0)</f>
        <v>0</v>
      </c>
      <c r="AE456" s="47" t="n">
        <f aca="false">IF(AND(AE$3&gt;=CEG_Assets!$E$16,AE$3&lt;=CEG_Assets!$F$16,CEG_Assets!$H$16="Cashflow"),1,0)</f>
        <v>0</v>
      </c>
      <c r="AF456" s="47" t="n">
        <f aca="false">IF(AND(AF$3&gt;=CEG_Assets!$E$16,AF$3&lt;=CEG_Assets!$F$16,CEG_Assets!$H$16="Cashflow"),1,0)</f>
        <v>0</v>
      </c>
      <c r="AG456" s="47" t="n">
        <f aca="false">IF(AND(AG$3&gt;=CEG_Assets!$E$16,AG$3&lt;=CEG_Assets!$F$16,CEG_Assets!$H$16="Cashflow"),1,0)</f>
        <v>0</v>
      </c>
      <c r="AH456" s="47" t="n">
        <f aca="false">IF(AND(AH$3&gt;=CEG_Assets!$E$16,AH$3&lt;=CEG_Assets!$F$16,CEG_Assets!$H$16="Cashflow"),1,0)</f>
        <v>0</v>
      </c>
      <c r="AI456" s="47" t="n">
        <f aca="false">IF(AND(AI$3&gt;=CEG_Assets!$E$16,AI$3&lt;=CEG_Assets!$F$16,CEG_Assets!$H$16="Cashflow"),1,0)</f>
        <v>0</v>
      </c>
      <c r="AJ456" s="47" t="n">
        <f aca="false">IF(AND(AJ$3&gt;=CEG_Assets!$E$16,AJ$3&lt;=CEG_Assets!$F$16,CEG_Assets!$H$16="Cashflow"),1,0)</f>
        <v>0</v>
      </c>
      <c r="AK456" s="47" t="n">
        <f aca="false">IF(AND(AK$3&gt;=CEG_Assets!$E$16,AK$3&lt;=CEG_Assets!$F$16,CEG_Assets!$H$16="Cashflow"),1,0)</f>
        <v>0</v>
      </c>
      <c r="AL456" s="47" t="n">
        <f aca="false">IF(AND(AL$3&gt;=CEG_Assets!$E$16,AL$3&lt;=CEG_Assets!$F$16,CEG_Assets!$H$16="Cashflow"),1,0)</f>
        <v>0</v>
      </c>
      <c r="AM456" s="47" t="n">
        <f aca="false">IF(AND(AM$3&gt;=CEG_Assets!$E$16,AM$3&lt;=CEG_Assets!$F$16,CEG_Assets!$H$16="Cashflow"),1,0)</f>
        <v>0</v>
      </c>
      <c r="AN456" s="47" t="n">
        <f aca="false">IF(AND(AN$3&gt;=CEG_Assets!$E$16,AN$3&lt;=CEG_Assets!$F$16,CEG_Assets!$H$16="Cashflow"),1,0)</f>
        <v>0</v>
      </c>
      <c r="AO456" s="47" t="n">
        <f aca="false">IF(AND(AO$3&gt;=CEG_Assets!$E$16,AO$3&lt;=CEG_Assets!$F$16,CEG_Assets!$H$16="Cashflow"),1,0)</f>
        <v>0</v>
      </c>
      <c r="AP456" s="47" t="n">
        <f aca="false">IF(AND(AP$3&gt;=CEG_Assets!$E$16,AP$3&lt;=CEG_Assets!$F$16,CEG_Assets!$H$16="Cashflow"),1,0)</f>
        <v>0</v>
      </c>
      <c r="AQ456" s="47" t="n">
        <f aca="false">IF(AND(AQ$3&gt;=CEG_Assets!$E$16,AQ$3&lt;=CEG_Assets!$F$16,CEG_Assets!$H$16="Cashflow"),1,0)</f>
        <v>0</v>
      </c>
      <c r="AR456" s="47" t="n">
        <f aca="false">IF(AND(AR$3&gt;=CEG_Assets!$E$16,AR$3&lt;=CEG_Assets!$F$16,CEG_Assets!$H$16="Cashflow"),1,0)</f>
        <v>0</v>
      </c>
      <c r="AS456" s="47" t="n">
        <f aca="false">IF(AND(AS$3&gt;=CEG_Assets!$E$16,AS$3&lt;=CEG_Assets!$F$16,CEG_Assets!$H$16="Cashflow"),1,0)</f>
        <v>0</v>
      </c>
    </row>
    <row r="457" customFormat="false" ht="15" hidden="false" customHeight="false" outlineLevel="0" collapsed="false">
      <c r="A457" s="6" t="s">
        <v>427</v>
      </c>
      <c r="B457" s="6" t="s">
        <v>428</v>
      </c>
      <c r="G457" s="9" t="n">
        <f aca="false">IF(AND(G$3&gt;=CEG_Assets!$AA$16,G$3&lt;=CEG_Assets!$AB$16),MIN(CEG_Assets!$D$16,CEG_Assets!$Z$16*MIN(1,(G$3-CEG_Assets!$AA$16+1)/MAX(1,CEG_Assets!$AC$16))),0)*G456</f>
        <v>0</v>
      </c>
      <c r="H457" s="9" t="n">
        <f aca="false">IF(AND(H$3&gt;=CEG_Assets!$AA$16,H$3&lt;=CEG_Assets!$AB$16),MIN(CEG_Assets!$D$16,CEG_Assets!$Z$16*MIN(1,(H$3-CEG_Assets!$AA$16+1)/MAX(1,CEG_Assets!$AC$16))),0)*H456</f>
        <v>0</v>
      </c>
      <c r="I457" s="9" t="n">
        <f aca="false">IF(AND(I$3&gt;=CEG_Assets!$AA$16,I$3&lt;=CEG_Assets!$AB$16),MIN(CEG_Assets!$D$16,CEG_Assets!$Z$16*MIN(1,(I$3-CEG_Assets!$AA$16+1)/MAX(1,CEG_Assets!$AC$16))),0)*I456</f>
        <v>0</v>
      </c>
      <c r="J457" s="9" t="n">
        <f aca="false">IF(AND(J$3&gt;=CEG_Assets!$AA$16,J$3&lt;=CEG_Assets!$AB$16),MIN(CEG_Assets!$D$16,CEG_Assets!$Z$16*MIN(1,(J$3-CEG_Assets!$AA$16+1)/MAX(1,CEG_Assets!$AC$16))),0)*J456</f>
        <v>0</v>
      </c>
      <c r="K457" s="9" t="n">
        <f aca="false">IF(AND(K$3&gt;=CEG_Assets!$AA$16,K$3&lt;=CEG_Assets!$AB$16),MIN(CEG_Assets!$D$16,CEG_Assets!$Z$16*MIN(1,(K$3-CEG_Assets!$AA$16+1)/MAX(1,CEG_Assets!$AC$16))),0)*K456</f>
        <v>0</v>
      </c>
      <c r="L457" s="9" t="n">
        <f aca="false">IF(AND(L$3&gt;=CEG_Assets!$AA$16,L$3&lt;=CEG_Assets!$AB$16),MIN(CEG_Assets!$D$16,CEG_Assets!$Z$16*MIN(1,(L$3-CEG_Assets!$AA$16+1)/MAX(1,CEG_Assets!$AC$16))),0)*L456</f>
        <v>0</v>
      </c>
      <c r="M457" s="9" t="n">
        <f aca="false">IF(AND(M$3&gt;=CEG_Assets!$AA$16,M$3&lt;=CEG_Assets!$AB$16),MIN(CEG_Assets!$D$16,CEG_Assets!$Z$16*MIN(1,(M$3-CEG_Assets!$AA$16+1)/MAX(1,CEG_Assets!$AC$16))),0)*M456</f>
        <v>0</v>
      </c>
      <c r="N457" s="9" t="n">
        <f aca="false">IF(AND(N$3&gt;=CEG_Assets!$AA$16,N$3&lt;=CEG_Assets!$AB$16),MIN(CEG_Assets!$D$16,CEG_Assets!$Z$16*MIN(1,(N$3-CEG_Assets!$AA$16+1)/MAX(1,CEG_Assets!$AC$16))),0)*N456</f>
        <v>0</v>
      </c>
      <c r="O457" s="9" t="n">
        <f aca="false">IF(AND(O$3&gt;=CEG_Assets!$AA$16,O$3&lt;=CEG_Assets!$AB$16),MIN(CEG_Assets!$D$16,CEG_Assets!$Z$16*MIN(1,(O$3-CEG_Assets!$AA$16+1)/MAX(1,CEG_Assets!$AC$16))),0)*O456</f>
        <v>0</v>
      </c>
      <c r="P457" s="9" t="n">
        <f aca="false">IF(AND(P$3&gt;=CEG_Assets!$AA$16,P$3&lt;=CEG_Assets!$AB$16),MIN(CEG_Assets!$D$16,CEG_Assets!$Z$16*MIN(1,(P$3-CEG_Assets!$AA$16+1)/MAX(1,CEG_Assets!$AC$16))),0)*P456</f>
        <v>0</v>
      </c>
      <c r="Q457" s="9" t="n">
        <f aca="false">IF(AND(Q$3&gt;=CEG_Assets!$AA$16,Q$3&lt;=CEG_Assets!$AB$16),MIN(CEG_Assets!$D$16,CEG_Assets!$Z$16*MIN(1,(Q$3-CEG_Assets!$AA$16+1)/MAX(1,CEG_Assets!$AC$16))),0)*Q456</f>
        <v>0</v>
      </c>
      <c r="R457" s="9" t="n">
        <f aca="false">IF(AND(R$3&gt;=CEG_Assets!$AA$16,R$3&lt;=CEG_Assets!$AB$16),MIN(CEG_Assets!$D$16,CEG_Assets!$Z$16*MIN(1,(R$3-CEG_Assets!$AA$16+1)/MAX(1,CEG_Assets!$AC$16))),0)*R456</f>
        <v>0</v>
      </c>
      <c r="S457" s="9" t="n">
        <f aca="false">IF(AND(S$3&gt;=CEG_Assets!$AA$16,S$3&lt;=CEG_Assets!$AB$16),MIN(CEG_Assets!$D$16,CEG_Assets!$Z$16*MIN(1,(S$3-CEG_Assets!$AA$16+1)/MAX(1,CEG_Assets!$AC$16))),0)*S456</f>
        <v>0</v>
      </c>
      <c r="T457" s="9" t="n">
        <f aca="false">IF(AND(T$3&gt;=CEG_Assets!$AA$16,T$3&lt;=CEG_Assets!$AB$16),MIN(CEG_Assets!$D$16,CEG_Assets!$Z$16*MIN(1,(T$3-CEG_Assets!$AA$16+1)/MAX(1,CEG_Assets!$AC$16))),0)*T456</f>
        <v>0</v>
      </c>
      <c r="U457" s="9" t="n">
        <f aca="false">IF(AND(U$3&gt;=CEG_Assets!$AA$16,U$3&lt;=CEG_Assets!$AB$16),MIN(CEG_Assets!$D$16,CEG_Assets!$Z$16*MIN(1,(U$3-CEG_Assets!$AA$16+1)/MAX(1,CEG_Assets!$AC$16))),0)*U456</f>
        <v>0</v>
      </c>
      <c r="V457" s="9" t="n">
        <f aca="false">IF(AND(V$3&gt;=CEG_Assets!$AA$16,V$3&lt;=CEG_Assets!$AB$16),MIN(CEG_Assets!$D$16,CEG_Assets!$Z$16*MIN(1,(V$3-CEG_Assets!$AA$16+1)/MAX(1,CEG_Assets!$AC$16))),0)*V456</f>
        <v>0</v>
      </c>
      <c r="W457" s="9" t="n">
        <f aca="false">IF(AND(W$3&gt;=CEG_Assets!$AA$16,W$3&lt;=CEG_Assets!$AB$16),MIN(CEG_Assets!$D$16,CEG_Assets!$Z$16*MIN(1,(W$3-CEG_Assets!$AA$16+1)/MAX(1,CEG_Assets!$AC$16))),0)*W456</f>
        <v>0</v>
      </c>
      <c r="X457" s="9" t="n">
        <f aca="false">IF(AND(X$3&gt;=CEG_Assets!$AA$16,X$3&lt;=CEG_Assets!$AB$16),MIN(CEG_Assets!$D$16,CEG_Assets!$Z$16*MIN(1,(X$3-CEG_Assets!$AA$16+1)/MAX(1,CEG_Assets!$AC$16))),0)*X456</f>
        <v>0</v>
      </c>
      <c r="Y457" s="9" t="n">
        <f aca="false">IF(AND(Y$3&gt;=CEG_Assets!$AA$16,Y$3&lt;=CEG_Assets!$AB$16),MIN(CEG_Assets!$D$16,CEG_Assets!$Z$16*MIN(1,(Y$3-CEG_Assets!$AA$16+1)/MAX(1,CEG_Assets!$AC$16))),0)*Y456</f>
        <v>0</v>
      </c>
      <c r="Z457" s="9" t="n">
        <f aca="false">IF(AND(Z$3&gt;=CEG_Assets!$AA$16,Z$3&lt;=CEG_Assets!$AB$16),MIN(CEG_Assets!$D$16,CEG_Assets!$Z$16*MIN(1,(Z$3-CEG_Assets!$AA$16+1)/MAX(1,CEG_Assets!$AC$16))),0)*Z456</f>
        <v>0</v>
      </c>
      <c r="AA457" s="9" t="n">
        <f aca="false">IF(AND(AA$3&gt;=CEG_Assets!$AA$16,AA$3&lt;=CEG_Assets!$AB$16),MIN(CEG_Assets!$D$16,CEG_Assets!$Z$16*MIN(1,(AA$3-CEG_Assets!$AA$16+1)/MAX(1,CEG_Assets!$AC$16))),0)*AA456</f>
        <v>0</v>
      </c>
      <c r="AB457" s="9" t="n">
        <f aca="false">IF(AND(AB$3&gt;=CEG_Assets!$AA$16,AB$3&lt;=CEG_Assets!$AB$16),MIN(CEG_Assets!$D$16,CEG_Assets!$Z$16*MIN(1,(AB$3-CEG_Assets!$AA$16+1)/MAX(1,CEG_Assets!$AC$16))),0)*AB456</f>
        <v>0</v>
      </c>
      <c r="AC457" s="9" t="n">
        <f aca="false">IF(AND(AC$3&gt;=CEG_Assets!$AA$16,AC$3&lt;=CEG_Assets!$AB$16),MIN(CEG_Assets!$D$16,CEG_Assets!$Z$16*MIN(1,(AC$3-CEG_Assets!$AA$16+1)/MAX(1,CEG_Assets!$AC$16))),0)*AC456</f>
        <v>0</v>
      </c>
      <c r="AD457" s="9" t="n">
        <f aca="false">IF(AND(AD$3&gt;=CEG_Assets!$AA$16,AD$3&lt;=CEG_Assets!$AB$16),MIN(CEG_Assets!$D$16,CEG_Assets!$Z$16*MIN(1,(AD$3-CEG_Assets!$AA$16+1)/MAX(1,CEG_Assets!$AC$16))),0)*AD456</f>
        <v>0</v>
      </c>
      <c r="AE457" s="9" t="n">
        <f aca="false">IF(AND(AE$3&gt;=CEG_Assets!$AA$16,AE$3&lt;=CEG_Assets!$AB$16),MIN(CEG_Assets!$D$16,CEG_Assets!$Z$16*MIN(1,(AE$3-CEG_Assets!$AA$16+1)/MAX(1,CEG_Assets!$AC$16))),0)*AE456</f>
        <v>0</v>
      </c>
      <c r="AF457" s="9" t="n">
        <f aca="false">IF(AND(AF$3&gt;=CEG_Assets!$AA$16,AF$3&lt;=CEG_Assets!$AB$16),MIN(CEG_Assets!$D$16,CEG_Assets!$Z$16*MIN(1,(AF$3-CEG_Assets!$AA$16+1)/MAX(1,CEG_Assets!$AC$16))),0)*AF456</f>
        <v>0</v>
      </c>
      <c r="AG457" s="9" t="n">
        <f aca="false">IF(AND(AG$3&gt;=CEG_Assets!$AA$16,AG$3&lt;=CEG_Assets!$AB$16),MIN(CEG_Assets!$D$16,CEG_Assets!$Z$16*MIN(1,(AG$3-CEG_Assets!$AA$16+1)/MAX(1,CEG_Assets!$AC$16))),0)*AG456</f>
        <v>0</v>
      </c>
      <c r="AH457" s="9" t="n">
        <f aca="false">IF(AND(AH$3&gt;=CEG_Assets!$AA$16,AH$3&lt;=CEG_Assets!$AB$16),MIN(CEG_Assets!$D$16,CEG_Assets!$Z$16*MIN(1,(AH$3-CEG_Assets!$AA$16+1)/MAX(1,CEG_Assets!$AC$16))),0)*AH456</f>
        <v>0</v>
      </c>
      <c r="AI457" s="9" t="n">
        <f aca="false">IF(AND(AI$3&gt;=CEG_Assets!$AA$16,AI$3&lt;=CEG_Assets!$AB$16),MIN(CEG_Assets!$D$16,CEG_Assets!$Z$16*MIN(1,(AI$3-CEG_Assets!$AA$16+1)/MAX(1,CEG_Assets!$AC$16))),0)*AI456</f>
        <v>0</v>
      </c>
      <c r="AJ457" s="9" t="n">
        <f aca="false">IF(AND(AJ$3&gt;=CEG_Assets!$AA$16,AJ$3&lt;=CEG_Assets!$AB$16),MIN(CEG_Assets!$D$16,CEG_Assets!$Z$16*MIN(1,(AJ$3-CEG_Assets!$AA$16+1)/MAX(1,CEG_Assets!$AC$16))),0)*AJ456</f>
        <v>0</v>
      </c>
      <c r="AK457" s="9" t="n">
        <f aca="false">IF(AND(AK$3&gt;=CEG_Assets!$AA$16,AK$3&lt;=CEG_Assets!$AB$16),MIN(CEG_Assets!$D$16,CEG_Assets!$Z$16*MIN(1,(AK$3-CEG_Assets!$AA$16+1)/MAX(1,CEG_Assets!$AC$16))),0)*AK456</f>
        <v>0</v>
      </c>
      <c r="AL457" s="9" t="n">
        <f aca="false">IF(AND(AL$3&gt;=CEG_Assets!$AA$16,AL$3&lt;=CEG_Assets!$AB$16),MIN(CEG_Assets!$D$16,CEG_Assets!$Z$16*MIN(1,(AL$3-CEG_Assets!$AA$16+1)/MAX(1,CEG_Assets!$AC$16))),0)*AL456</f>
        <v>0</v>
      </c>
      <c r="AM457" s="9" t="n">
        <f aca="false">IF(AND(AM$3&gt;=CEG_Assets!$AA$16,AM$3&lt;=CEG_Assets!$AB$16),MIN(CEG_Assets!$D$16,CEG_Assets!$Z$16*MIN(1,(AM$3-CEG_Assets!$AA$16+1)/MAX(1,CEG_Assets!$AC$16))),0)*AM456</f>
        <v>0</v>
      </c>
      <c r="AN457" s="9" t="n">
        <f aca="false">IF(AND(AN$3&gt;=CEG_Assets!$AA$16,AN$3&lt;=CEG_Assets!$AB$16),MIN(CEG_Assets!$D$16,CEG_Assets!$Z$16*MIN(1,(AN$3-CEG_Assets!$AA$16+1)/MAX(1,CEG_Assets!$AC$16))),0)*AN456</f>
        <v>0</v>
      </c>
      <c r="AO457" s="9" t="n">
        <f aca="false">IF(AND(AO$3&gt;=CEG_Assets!$AA$16,AO$3&lt;=CEG_Assets!$AB$16),MIN(CEG_Assets!$D$16,CEG_Assets!$Z$16*MIN(1,(AO$3-CEG_Assets!$AA$16+1)/MAX(1,CEG_Assets!$AC$16))),0)*AO456</f>
        <v>0</v>
      </c>
      <c r="AP457" s="9" t="n">
        <f aca="false">IF(AND(AP$3&gt;=CEG_Assets!$AA$16,AP$3&lt;=CEG_Assets!$AB$16),MIN(CEG_Assets!$D$16,CEG_Assets!$Z$16*MIN(1,(AP$3-CEG_Assets!$AA$16+1)/MAX(1,CEG_Assets!$AC$16))),0)*AP456</f>
        <v>0</v>
      </c>
      <c r="AQ457" s="9" t="n">
        <f aca="false">IF(AND(AQ$3&gt;=CEG_Assets!$AA$16,AQ$3&lt;=CEG_Assets!$AB$16),MIN(CEG_Assets!$D$16,CEG_Assets!$Z$16*MIN(1,(AQ$3-CEG_Assets!$AA$16+1)/MAX(1,CEG_Assets!$AC$16))),0)*AQ456</f>
        <v>0</v>
      </c>
      <c r="AR457" s="9" t="n">
        <f aca="false">IF(AND(AR$3&gt;=CEG_Assets!$AA$16,AR$3&lt;=CEG_Assets!$AB$16),MIN(CEG_Assets!$D$16,CEG_Assets!$Z$16*MIN(1,(AR$3-CEG_Assets!$AA$16+1)/MAX(1,CEG_Assets!$AC$16))),0)*AR456</f>
        <v>0</v>
      </c>
      <c r="AS457" s="9" t="n">
        <f aca="false">IF(AND(AS$3&gt;=CEG_Assets!$AA$16,AS$3&lt;=CEG_Assets!$AB$16),MIN(CEG_Assets!$D$16,CEG_Assets!$Z$16*MIN(1,(AS$3-CEG_Assets!$AA$16+1)/MAX(1,CEG_Assets!$AC$16))),0)*AS456</f>
        <v>0</v>
      </c>
    </row>
    <row r="458" customFormat="false" ht="15" hidden="false" customHeight="false" outlineLevel="0" collapsed="false">
      <c r="A458" s="6" t="s">
        <v>429</v>
      </c>
      <c r="B458" s="6" t="s">
        <v>430</v>
      </c>
      <c r="G458" s="9" t="n">
        <f aca="false">(CEG_Assets!$D$16-G457)*8760*CEG_Assets!$I$16*G456</f>
        <v>420480</v>
      </c>
      <c r="H458" s="9" t="n">
        <f aca="false">(CEG_Assets!$D$16-H457)*8760*CEG_Assets!$I$16*H456</f>
        <v>420480</v>
      </c>
      <c r="I458" s="9" t="n">
        <f aca="false">(CEG_Assets!$D$16-I457)*8760*CEG_Assets!$I$16*I456</f>
        <v>420480</v>
      </c>
      <c r="J458" s="9" t="n">
        <f aca="false">(CEG_Assets!$D$16-J457)*8760*CEG_Assets!$I$16*J456</f>
        <v>420480</v>
      </c>
      <c r="K458" s="9" t="n">
        <f aca="false">(CEG_Assets!$D$16-K457)*8760*CEG_Assets!$I$16*K456</f>
        <v>420480</v>
      </c>
      <c r="L458" s="9" t="n">
        <f aca="false">(CEG_Assets!$D$16-L457)*8760*CEG_Assets!$I$16*L456</f>
        <v>420480</v>
      </c>
      <c r="M458" s="9" t="n">
        <f aca="false">(CEG_Assets!$D$16-M457)*8760*CEG_Assets!$I$16*M456</f>
        <v>420480</v>
      </c>
      <c r="N458" s="9" t="n">
        <f aca="false">(CEG_Assets!$D$16-N457)*8760*CEG_Assets!$I$16*N456</f>
        <v>420480</v>
      </c>
      <c r="O458" s="9" t="n">
        <f aca="false">(CEG_Assets!$D$16-O457)*8760*CEG_Assets!$I$16*O456</f>
        <v>420480</v>
      </c>
      <c r="P458" s="9" t="n">
        <f aca="false">(CEG_Assets!$D$16-P457)*8760*CEG_Assets!$I$16*P456</f>
        <v>420480</v>
      </c>
      <c r="Q458" s="9" t="n">
        <f aca="false">(CEG_Assets!$D$16-Q457)*8760*CEG_Assets!$I$16*Q456</f>
        <v>420480</v>
      </c>
      <c r="R458" s="9" t="n">
        <f aca="false">(CEG_Assets!$D$16-R457)*8760*CEG_Assets!$I$16*R456</f>
        <v>420480</v>
      </c>
      <c r="S458" s="9" t="n">
        <f aca="false">(CEG_Assets!$D$16-S457)*8760*CEG_Assets!$I$16*S456</f>
        <v>420480</v>
      </c>
      <c r="T458" s="9" t="n">
        <f aca="false">(CEG_Assets!$D$16-T457)*8760*CEG_Assets!$I$16*T456</f>
        <v>420480</v>
      </c>
      <c r="U458" s="9" t="n">
        <f aca="false">(CEG_Assets!$D$16-U457)*8760*CEG_Assets!$I$16*U456</f>
        <v>0</v>
      </c>
      <c r="V458" s="9" t="n">
        <f aca="false">(CEG_Assets!$D$16-V457)*8760*CEG_Assets!$I$16*V456</f>
        <v>0</v>
      </c>
      <c r="W458" s="9" t="n">
        <f aca="false">(CEG_Assets!$D$16-W457)*8760*CEG_Assets!$I$16*W456</f>
        <v>0</v>
      </c>
      <c r="X458" s="9" t="n">
        <f aca="false">(CEG_Assets!$D$16-X457)*8760*CEG_Assets!$I$16*X456</f>
        <v>0</v>
      </c>
      <c r="Y458" s="9" t="n">
        <f aca="false">(CEG_Assets!$D$16-Y457)*8760*CEG_Assets!$I$16*Y456</f>
        <v>0</v>
      </c>
      <c r="Z458" s="9" t="n">
        <f aca="false">(CEG_Assets!$D$16-Z457)*8760*CEG_Assets!$I$16*Z456</f>
        <v>0</v>
      </c>
      <c r="AA458" s="9" t="n">
        <f aca="false">(CEG_Assets!$D$16-AA457)*8760*CEG_Assets!$I$16*AA456</f>
        <v>0</v>
      </c>
      <c r="AB458" s="9" t="n">
        <f aca="false">(CEG_Assets!$D$16-AB457)*8760*CEG_Assets!$I$16*AB456</f>
        <v>0</v>
      </c>
      <c r="AC458" s="9" t="n">
        <f aca="false">(CEG_Assets!$D$16-AC457)*8760*CEG_Assets!$I$16*AC456</f>
        <v>0</v>
      </c>
      <c r="AD458" s="9" t="n">
        <f aca="false">(CEG_Assets!$D$16-AD457)*8760*CEG_Assets!$I$16*AD456</f>
        <v>0</v>
      </c>
      <c r="AE458" s="9" t="n">
        <f aca="false">(CEG_Assets!$D$16-AE457)*8760*CEG_Assets!$I$16*AE456</f>
        <v>0</v>
      </c>
      <c r="AF458" s="9" t="n">
        <f aca="false">(CEG_Assets!$D$16-AF457)*8760*CEG_Assets!$I$16*AF456</f>
        <v>0</v>
      </c>
      <c r="AG458" s="9" t="n">
        <f aca="false">(CEG_Assets!$D$16-AG457)*8760*CEG_Assets!$I$16*AG456</f>
        <v>0</v>
      </c>
      <c r="AH458" s="9" t="n">
        <f aca="false">(CEG_Assets!$D$16-AH457)*8760*CEG_Assets!$I$16*AH456</f>
        <v>0</v>
      </c>
      <c r="AI458" s="9" t="n">
        <f aca="false">(CEG_Assets!$D$16-AI457)*8760*CEG_Assets!$I$16*AI456</f>
        <v>0</v>
      </c>
      <c r="AJ458" s="9" t="n">
        <f aca="false">(CEG_Assets!$D$16-AJ457)*8760*CEG_Assets!$I$16*AJ456</f>
        <v>0</v>
      </c>
      <c r="AK458" s="9" t="n">
        <f aca="false">(CEG_Assets!$D$16-AK457)*8760*CEG_Assets!$I$16*AK456</f>
        <v>0</v>
      </c>
      <c r="AL458" s="9" t="n">
        <f aca="false">(CEG_Assets!$D$16-AL457)*8760*CEG_Assets!$I$16*AL456</f>
        <v>0</v>
      </c>
      <c r="AM458" s="9" t="n">
        <f aca="false">(CEG_Assets!$D$16-AM457)*8760*CEG_Assets!$I$16*AM456</f>
        <v>0</v>
      </c>
      <c r="AN458" s="9" t="n">
        <f aca="false">(CEG_Assets!$D$16-AN457)*8760*CEG_Assets!$I$16*AN456</f>
        <v>0</v>
      </c>
      <c r="AO458" s="9" t="n">
        <f aca="false">(CEG_Assets!$D$16-AO457)*8760*CEG_Assets!$I$16*AO456</f>
        <v>0</v>
      </c>
      <c r="AP458" s="9" t="n">
        <f aca="false">(CEG_Assets!$D$16-AP457)*8760*CEG_Assets!$I$16*AP456</f>
        <v>0</v>
      </c>
      <c r="AQ458" s="9" t="n">
        <f aca="false">(CEG_Assets!$D$16-AQ457)*8760*CEG_Assets!$I$16*AQ456</f>
        <v>0</v>
      </c>
      <c r="AR458" s="9" t="n">
        <f aca="false">(CEG_Assets!$D$16-AR457)*8760*CEG_Assets!$I$16*AR456</f>
        <v>0</v>
      </c>
      <c r="AS458" s="9" t="n">
        <f aca="false">(CEG_Assets!$D$16-AS457)*8760*CEG_Assets!$I$16*AS456</f>
        <v>0</v>
      </c>
    </row>
    <row r="459" customFormat="false" ht="15" hidden="false" customHeight="false" outlineLevel="0" collapsed="false">
      <c r="A459" s="6" t="s">
        <v>431</v>
      </c>
      <c r="B459" s="6" t="s">
        <v>432</v>
      </c>
      <c r="G459" s="9" t="n">
        <f aca="false">G457*8760*CEG_Assets!$I$16*G456</f>
        <v>0</v>
      </c>
      <c r="H459" s="9" t="n">
        <f aca="false">H457*8760*CEG_Assets!$I$16*H456</f>
        <v>0</v>
      </c>
      <c r="I459" s="9" t="n">
        <f aca="false">I457*8760*CEG_Assets!$I$16*I456</f>
        <v>0</v>
      </c>
      <c r="J459" s="9" t="n">
        <f aca="false">J457*8760*CEG_Assets!$I$16*J456</f>
        <v>0</v>
      </c>
      <c r="K459" s="9" t="n">
        <f aca="false">K457*8760*CEG_Assets!$I$16*K456</f>
        <v>0</v>
      </c>
      <c r="L459" s="9" t="n">
        <f aca="false">L457*8760*CEG_Assets!$I$16*L456</f>
        <v>0</v>
      </c>
      <c r="M459" s="9" t="n">
        <f aca="false">M457*8760*CEG_Assets!$I$16*M456</f>
        <v>0</v>
      </c>
      <c r="N459" s="9" t="n">
        <f aca="false">N457*8760*CEG_Assets!$I$16*N456</f>
        <v>0</v>
      </c>
      <c r="O459" s="9" t="n">
        <f aca="false">O457*8760*CEG_Assets!$I$16*O456</f>
        <v>0</v>
      </c>
      <c r="P459" s="9" t="n">
        <f aca="false">P457*8760*CEG_Assets!$I$16*P456</f>
        <v>0</v>
      </c>
      <c r="Q459" s="9" t="n">
        <f aca="false">Q457*8760*CEG_Assets!$I$16*Q456</f>
        <v>0</v>
      </c>
      <c r="R459" s="9" t="n">
        <f aca="false">R457*8760*CEG_Assets!$I$16*R456</f>
        <v>0</v>
      </c>
      <c r="S459" s="9" t="n">
        <f aca="false">S457*8760*CEG_Assets!$I$16*S456</f>
        <v>0</v>
      </c>
      <c r="T459" s="9" t="n">
        <f aca="false">T457*8760*CEG_Assets!$I$16*T456</f>
        <v>0</v>
      </c>
      <c r="U459" s="9" t="n">
        <f aca="false">U457*8760*CEG_Assets!$I$16*U456</f>
        <v>0</v>
      </c>
      <c r="V459" s="9" t="n">
        <f aca="false">V457*8760*CEG_Assets!$I$16*V456</f>
        <v>0</v>
      </c>
      <c r="W459" s="9" t="n">
        <f aca="false">W457*8760*CEG_Assets!$I$16*W456</f>
        <v>0</v>
      </c>
      <c r="X459" s="9" t="n">
        <f aca="false">X457*8760*CEG_Assets!$I$16*X456</f>
        <v>0</v>
      </c>
      <c r="Y459" s="9" t="n">
        <f aca="false">Y457*8760*CEG_Assets!$I$16*Y456</f>
        <v>0</v>
      </c>
      <c r="Z459" s="9" t="n">
        <f aca="false">Z457*8760*CEG_Assets!$I$16*Z456</f>
        <v>0</v>
      </c>
      <c r="AA459" s="9" t="n">
        <f aca="false">AA457*8760*CEG_Assets!$I$16*AA456</f>
        <v>0</v>
      </c>
      <c r="AB459" s="9" t="n">
        <f aca="false">AB457*8760*CEG_Assets!$I$16*AB456</f>
        <v>0</v>
      </c>
      <c r="AC459" s="9" t="n">
        <f aca="false">AC457*8760*CEG_Assets!$I$16*AC456</f>
        <v>0</v>
      </c>
      <c r="AD459" s="9" t="n">
        <f aca="false">AD457*8760*CEG_Assets!$I$16*AD456</f>
        <v>0</v>
      </c>
      <c r="AE459" s="9" t="n">
        <f aca="false">AE457*8760*CEG_Assets!$I$16*AE456</f>
        <v>0</v>
      </c>
      <c r="AF459" s="9" t="n">
        <f aca="false">AF457*8760*CEG_Assets!$I$16*AF456</f>
        <v>0</v>
      </c>
      <c r="AG459" s="9" t="n">
        <f aca="false">AG457*8760*CEG_Assets!$I$16*AG456</f>
        <v>0</v>
      </c>
      <c r="AH459" s="9" t="n">
        <f aca="false">AH457*8760*CEG_Assets!$I$16*AH456</f>
        <v>0</v>
      </c>
      <c r="AI459" s="9" t="n">
        <f aca="false">AI457*8760*CEG_Assets!$I$16*AI456</f>
        <v>0</v>
      </c>
      <c r="AJ459" s="9" t="n">
        <f aca="false">AJ457*8760*CEG_Assets!$I$16*AJ456</f>
        <v>0</v>
      </c>
      <c r="AK459" s="9" t="n">
        <f aca="false">AK457*8760*CEG_Assets!$I$16*AK456</f>
        <v>0</v>
      </c>
      <c r="AL459" s="9" t="n">
        <f aca="false">AL457*8760*CEG_Assets!$I$16*AL456</f>
        <v>0</v>
      </c>
      <c r="AM459" s="9" t="n">
        <f aca="false">AM457*8760*CEG_Assets!$I$16*AM456</f>
        <v>0</v>
      </c>
      <c r="AN459" s="9" t="n">
        <f aca="false">AN457*8760*CEG_Assets!$I$16*AN456</f>
        <v>0</v>
      </c>
      <c r="AO459" s="9" t="n">
        <f aca="false">AO457*8760*CEG_Assets!$I$16*AO456</f>
        <v>0</v>
      </c>
      <c r="AP459" s="9" t="n">
        <f aca="false">AP457*8760*CEG_Assets!$I$16*AP456</f>
        <v>0</v>
      </c>
      <c r="AQ459" s="9" t="n">
        <f aca="false">AQ457*8760*CEG_Assets!$I$16*AQ456</f>
        <v>0</v>
      </c>
      <c r="AR459" s="9" t="n">
        <f aca="false">AR457*8760*CEG_Assets!$I$16*AR456</f>
        <v>0</v>
      </c>
      <c r="AS459" s="9" t="n">
        <f aca="false">AS457*8760*CEG_Assets!$I$16*AS456</f>
        <v>0</v>
      </c>
    </row>
    <row r="460" customFormat="false" ht="15" hidden="false" customHeight="false" outlineLevel="0" collapsed="false">
      <c r="A460" s="6" t="s">
        <v>433</v>
      </c>
      <c r="B460" s="6" t="s">
        <v>434</v>
      </c>
      <c r="G460" s="7" t="n">
        <f aca="false">IF(ISNUMBER(CEG_Assets!$L$16),CEG_Assets!$L$16*G$4,INDEX(Prices!G:G,CEG_Assets!$AO$16)+FuelAdder*G$4)</f>
        <v>4.896</v>
      </c>
      <c r="H460" s="7" t="n">
        <f aca="false">IF(ISNUMBER(CEG_Assets!$L$16),CEG_Assets!$L$16*H$4,INDEX(Prices!H:H,CEG_Assets!$AO$16)+FuelAdder*H$4)</f>
        <v>4.99392</v>
      </c>
      <c r="I460" s="7" t="n">
        <f aca="false">IF(ISNUMBER(CEG_Assets!$L$16),CEG_Assets!$L$16*I$4,INDEX(Prices!I:I,CEG_Assets!$AO$16)+FuelAdder*I$4)</f>
        <v>5.1999192</v>
      </c>
      <c r="J460" s="7" t="n">
        <f aca="false">IF(ISNUMBER(CEG_Assets!$L$16),CEG_Assets!$L$16*J$4,INDEX(Prices!J:J,CEG_Assets!$AO$16)+FuelAdder*J$4)</f>
        <v>5.303917584</v>
      </c>
      <c r="K460" s="7" t="n">
        <f aca="false">IF(ISNUMBER(CEG_Assets!$L$16),CEG_Assets!$L$16*K$4,INDEX(Prices!K:K,CEG_Assets!$AO$16)+FuelAdder*K$4)</f>
        <v>5.40999593568</v>
      </c>
      <c r="L460" s="7" t="n">
        <f aca="false">IF(ISNUMBER(CEG_Assets!$L$16),CEG_Assets!$L$16*L$4,INDEX(Prices!L:L,CEG_Assets!$AO$16)+FuelAdder*L$4)</f>
        <v>5.5181958543936</v>
      </c>
      <c r="M460" s="7" t="n">
        <f aca="false">IF(ISNUMBER(CEG_Assets!$L$16),CEG_Assets!$L$16*M$4,INDEX(Prices!M:M,CEG_Assets!$AO$16)+FuelAdder*M$4)</f>
        <v>5.62855977148147</v>
      </c>
      <c r="N460" s="7" t="n">
        <f aca="false">IF(ISNUMBER(CEG_Assets!$L$16),CEG_Assets!$L$16*N$4,INDEX(Prices!N:N,CEG_Assets!$AO$16)+FuelAdder*N$4)</f>
        <v>5.7411309669111</v>
      </c>
      <c r="O460" s="7" t="n">
        <f aca="false">IF(ISNUMBER(CEG_Assets!$L$16),CEG_Assets!$L$16*O$4,INDEX(Prices!O:O,CEG_Assets!$AO$16)+FuelAdder*O$4)</f>
        <v>5.85595358624932</v>
      </c>
      <c r="P460" s="7" t="n">
        <f aca="false">IF(ISNUMBER(CEG_Assets!$L$16),CEG_Assets!$L$16*P$4,INDEX(Prices!P:P,CEG_Assets!$AO$16)+FuelAdder*P$4)</f>
        <v>5.97307265797431</v>
      </c>
      <c r="Q460" s="7" t="n">
        <f aca="false">IF(ISNUMBER(CEG_Assets!$L$16),CEG_Assets!$L$16*Q$4,INDEX(Prices!Q:Q,CEG_Assets!$AO$16)+FuelAdder*Q$4)</f>
        <v>6.0925341111338</v>
      </c>
      <c r="R460" s="7" t="n">
        <f aca="false">IF(ISNUMBER(CEG_Assets!$L$16),CEG_Assets!$L$16*R$4,INDEX(Prices!R:R,CEG_Assets!$AO$16)+FuelAdder*R$4)</f>
        <v>6.21438479335647</v>
      </c>
      <c r="S460" s="7" t="n">
        <f aca="false">IF(ISNUMBER(CEG_Assets!$L$16),CEG_Assets!$L$16*S$4,INDEX(Prices!S:S,CEG_Assets!$AO$16)+FuelAdder*S$4)</f>
        <v>6.3386724892236</v>
      </c>
      <c r="T460" s="7" t="n">
        <f aca="false">IF(ISNUMBER(CEG_Assets!$L$16),CEG_Assets!$L$16*T$4,INDEX(Prices!T:T,CEG_Assets!$AO$16)+FuelAdder*T$4)</f>
        <v>6.46544593900808</v>
      </c>
      <c r="U460" s="7" t="n">
        <f aca="false">IF(ISNUMBER(CEG_Assets!$L$16),CEG_Assets!$L$16*U$4,INDEX(Prices!U:U,CEG_Assets!$AO$16)+FuelAdder*U$4)</f>
        <v>6.59475485778824</v>
      </c>
      <c r="V460" s="7" t="n">
        <f aca="false">IF(ISNUMBER(CEG_Assets!$L$16),CEG_Assets!$L$16*V$4,INDEX(Prices!V:V,CEG_Assets!$AO$16)+FuelAdder*V$4)</f>
        <v>6.726649954944</v>
      </c>
      <c r="W460" s="7" t="n">
        <f aca="false">IF(ISNUMBER(CEG_Assets!$L$16),CEG_Assets!$L$16*W$4,INDEX(Prices!W:W,CEG_Assets!$AO$16)+FuelAdder*W$4)</f>
        <v>6.86118295404288</v>
      </c>
      <c r="X460" s="7" t="n">
        <f aca="false">IF(ISNUMBER(CEG_Assets!$L$16),CEG_Assets!$L$16*X$4,INDEX(Prices!X:X,CEG_Assets!$AO$16)+FuelAdder*X$4)</f>
        <v>6.99840661312374</v>
      </c>
      <c r="Y460" s="7" t="n">
        <f aca="false">IF(ISNUMBER(CEG_Assets!$L$16),CEG_Assets!$L$16*Y$4,INDEX(Prices!Y:Y,CEG_Assets!$AO$16)+FuelAdder*Y$4)</f>
        <v>7.13837474538621</v>
      </c>
      <c r="Z460" s="7" t="n">
        <f aca="false">IF(ISNUMBER(CEG_Assets!$L$16),CEG_Assets!$L$16*Z$4,INDEX(Prices!Z:Z,CEG_Assets!$AO$16)+FuelAdder*Z$4)</f>
        <v>7.28114224029394</v>
      </c>
      <c r="AA460" s="7" t="n">
        <f aca="false">IF(ISNUMBER(CEG_Assets!$L$16),CEG_Assets!$L$16*AA$4,INDEX(Prices!AA:AA,CEG_Assets!$AO$16)+FuelAdder*AA$4)</f>
        <v>7.42676508509982</v>
      </c>
      <c r="AB460" s="7" t="n">
        <f aca="false">IF(ISNUMBER(CEG_Assets!$L$16),CEG_Assets!$L$16*AB$4,INDEX(Prices!AB:AB,CEG_Assets!$AO$16)+FuelAdder*AB$4)</f>
        <v>7.57530038680181</v>
      </c>
      <c r="AC460" s="7" t="n">
        <f aca="false">IF(ISNUMBER(CEG_Assets!$L$16),CEG_Assets!$L$16*AC$4,INDEX(Prices!AC:AC,CEG_Assets!$AO$16)+FuelAdder*AC$4)</f>
        <v>7.72680639453785</v>
      </c>
      <c r="AD460" s="7" t="n">
        <f aca="false">IF(ISNUMBER(CEG_Assets!$L$16),CEG_Assets!$L$16*AD$4,INDEX(Prices!AD:AD,CEG_Assets!$AO$16)+FuelAdder*AD$4)</f>
        <v>7.88134252242861</v>
      </c>
      <c r="AE460" s="7" t="n">
        <f aca="false">IF(ISNUMBER(CEG_Assets!$L$16),CEG_Assets!$L$16*AE$4,INDEX(Prices!AE:AE,CEG_Assets!$AO$16)+FuelAdder*AE$4)</f>
        <v>8.03896937287718</v>
      </c>
      <c r="AF460" s="7" t="n">
        <f aca="false">IF(ISNUMBER(CEG_Assets!$L$16),CEG_Assets!$L$16*AF$4,INDEX(Prices!AF:AF,CEG_Assets!$AO$16)+FuelAdder*AF$4)</f>
        <v>8.19974876033472</v>
      </c>
      <c r="AG460" s="7" t="n">
        <f aca="false">IF(ISNUMBER(CEG_Assets!$L$16),CEG_Assets!$L$16*AG$4,INDEX(Prices!AG:AG,CEG_Assets!$AO$16)+FuelAdder*AG$4)</f>
        <v>8.36374373554142</v>
      </c>
      <c r="AH460" s="7" t="n">
        <f aca="false">IF(ISNUMBER(CEG_Assets!$L$16),CEG_Assets!$L$16*AH$4,INDEX(Prices!AH:AH,CEG_Assets!$AO$16)+FuelAdder*AH$4)</f>
        <v>8.53101861025225</v>
      </c>
      <c r="AI460" s="7" t="n">
        <f aca="false">IF(ISNUMBER(CEG_Assets!$L$16),CEG_Assets!$L$16*AI$4,INDEX(Prices!AI:AI,CEG_Assets!$AO$16)+FuelAdder*AI$4)</f>
        <v>8.70163898245729</v>
      </c>
      <c r="AJ460" s="7" t="n">
        <f aca="false">IF(ISNUMBER(CEG_Assets!$L$16),CEG_Assets!$L$16*AJ$4,INDEX(Prices!AJ:AJ,CEG_Assets!$AO$16)+FuelAdder*AJ$4)</f>
        <v>8.87567176210644</v>
      </c>
      <c r="AK460" s="7" t="n">
        <f aca="false">IF(ISNUMBER(CEG_Assets!$L$16),CEG_Assets!$L$16*AK$4,INDEX(Prices!AK:AK,CEG_Assets!$AO$16)+FuelAdder*AK$4)</f>
        <v>9.05318519734857</v>
      </c>
      <c r="AL460" s="7" t="n">
        <f aca="false">IF(ISNUMBER(CEG_Assets!$L$16),CEG_Assets!$L$16*AL$4,INDEX(Prices!AL:AL,CEG_Assets!$AO$16)+FuelAdder*AL$4)</f>
        <v>9.23424890129554</v>
      </c>
      <c r="AM460" s="7" t="n">
        <f aca="false">IF(ISNUMBER(CEG_Assets!$L$16),CEG_Assets!$L$16*AM$4,INDEX(Prices!AM:AM,CEG_Assets!$AO$16)+FuelAdder*AM$4)</f>
        <v>9.41893387932145</v>
      </c>
      <c r="AN460" s="7" t="n">
        <f aca="false">IF(ISNUMBER(CEG_Assets!$L$16),CEG_Assets!$L$16*AN$4,INDEX(Prices!AN:AN,CEG_Assets!$AO$16)+FuelAdder*AN$4)</f>
        <v>9.60731255690788</v>
      </c>
      <c r="AO460" s="7" t="n">
        <f aca="false">IF(ISNUMBER(CEG_Assets!$L$16),CEG_Assets!$L$16*AO$4,INDEX(Prices!AO:AO,CEG_Assets!$AO$16)+FuelAdder*AO$4)</f>
        <v>9.79945880804604</v>
      </c>
      <c r="AP460" s="7" t="n">
        <f aca="false">IF(ISNUMBER(CEG_Assets!$L$16),CEG_Assets!$L$16*AP$4,INDEX(Prices!AP:AP,CEG_Assets!$AO$16)+FuelAdder*AP$4)</f>
        <v>9.99544798420696</v>
      </c>
      <c r="AQ460" s="7" t="n">
        <f aca="false">IF(ISNUMBER(CEG_Assets!$L$16),CEG_Assets!$L$16*AQ$4,INDEX(Prices!AQ:AQ,CEG_Assets!$AO$16)+FuelAdder*AQ$4)</f>
        <v>10.1953569438911</v>
      </c>
      <c r="AR460" s="7" t="n">
        <f aca="false">IF(ISNUMBER(CEG_Assets!$L$16),CEG_Assets!$L$16*AR$4,INDEX(Prices!AR:AR,CEG_Assets!$AO$16)+FuelAdder*AR$4)</f>
        <v>10.3992640827689</v>
      </c>
      <c r="AS460" s="7" t="n">
        <f aca="false">IF(ISNUMBER(CEG_Assets!$L$16),CEG_Assets!$L$16*AS$4,INDEX(Prices!AS:AS,CEG_Assets!$AO$16)+FuelAdder*AS$4)</f>
        <v>10.6072493644243</v>
      </c>
    </row>
    <row r="461" customFormat="false" ht="15" hidden="false" customHeight="false" outlineLevel="0" collapsed="false">
      <c r="A461" s="6" t="s">
        <v>435</v>
      </c>
      <c r="B461" s="6" t="s">
        <v>436</v>
      </c>
      <c r="G461" s="7" t="n">
        <f aca="false">INDEX(Prices!G:G,CEG_Assets!$AN$16)*CEG_Assets!$J$16-CEG_Assets!$K$16*G460-CEG_Assets!$M$16*G$4</f>
        <v>109.092</v>
      </c>
      <c r="H461" s="7" t="n">
        <f aca="false">INDEX(Prices!H:H,CEG_Assets!$AN$16)*CEG_Assets!$J$16-CEG_Assets!$K$16*H460-CEG_Assets!$M$16*H$4</f>
        <v>110.26184</v>
      </c>
      <c r="I461" s="7" t="n">
        <f aca="false">INDEX(Prices!I:I,CEG_Assets!$AN$16)*CEG_Assets!$J$16-CEG_Assets!$K$16*I460-CEG_Assets!$M$16*I$4</f>
        <v>94.09274797</v>
      </c>
      <c r="J461" s="7" t="n">
        <f aca="false">INDEX(Prices!J:J,CEG_Assets!$AN$16)*CEG_Assets!$J$16-CEG_Assets!$K$16*J460-CEG_Assets!$M$16*J$4</f>
        <v>88.8325012908</v>
      </c>
      <c r="K461" s="7" t="n">
        <f aca="false">INDEX(Prices!K:K,CEG_Assets!$AN$16)*CEG_Assets!$J$16-CEG_Assets!$K$16*K460-CEG_Assets!$M$16*K$4</f>
        <v>90.609151316616</v>
      </c>
      <c r="L461" s="7" t="n">
        <f aca="false">INDEX(Prices!L:L,CEG_Assets!$AN$16)*CEG_Assets!$J$16-CEG_Assets!$K$16*L460-CEG_Assets!$M$16*L$4</f>
        <v>92.4213343429483</v>
      </c>
      <c r="M461" s="7" t="n">
        <f aca="false">INDEX(Prices!M:M,CEG_Assets!$AN$16)*CEG_Assets!$J$16-CEG_Assets!$K$16*M460-CEG_Assets!$M$16*M$4</f>
        <v>94.2697610298073</v>
      </c>
      <c r="N461" s="7" t="n">
        <f aca="false">INDEX(Prices!N:N,CEG_Assets!$AN$16)*CEG_Assets!$J$16-CEG_Assets!$K$16*N460-CEG_Assets!$M$16*N$4</f>
        <v>96.1551562504035</v>
      </c>
      <c r="O461" s="7" t="n">
        <f aca="false">INDEX(Prices!O:O,CEG_Assets!$AN$16)*CEG_Assets!$J$16-CEG_Assets!$K$16*O460-CEG_Assets!$M$16*O$4</f>
        <v>98.0782593754115</v>
      </c>
      <c r="P461" s="7" t="n">
        <f aca="false">INDEX(Prices!P:P,CEG_Assets!$AN$16)*CEG_Assets!$J$16-CEG_Assets!$K$16*P460-CEG_Assets!$M$16*P$4</f>
        <v>100.03982456292</v>
      </c>
      <c r="Q461" s="7" t="n">
        <f aca="false">INDEX(Prices!Q:Q,CEG_Assets!$AN$16)*CEG_Assets!$J$16-CEG_Assets!$K$16*Q460-CEG_Assets!$M$16*Q$4</f>
        <v>102.040621054178</v>
      </c>
      <c r="R461" s="7" t="n">
        <f aca="false">INDEX(Prices!R:R,CEG_Assets!$AN$16)*CEG_Assets!$J$16-CEG_Assets!$K$16*R460-CEG_Assets!$M$16*R$4</f>
        <v>104.081433475262</v>
      </c>
      <c r="S461" s="7" t="n">
        <f aca="false">INDEX(Prices!S:S,CEG_Assets!$AN$16)*CEG_Assets!$J$16-CEG_Assets!$K$16*S460-CEG_Assets!$M$16*S$4</f>
        <v>106.163062144767</v>
      </c>
      <c r="T461" s="7" t="n">
        <f aca="false">INDEX(Prices!T:T,CEG_Assets!$AN$16)*CEG_Assets!$J$16-CEG_Assets!$K$16*T460-CEG_Assets!$M$16*T$4</f>
        <v>108.286323387662</v>
      </c>
      <c r="U461" s="7" t="n">
        <f aca="false">INDEX(Prices!U:U,CEG_Assets!$AN$16)*CEG_Assets!$J$16-CEG_Assets!$K$16*U460-CEG_Assets!$M$16*U$4</f>
        <v>110.452049855416</v>
      </c>
      <c r="V461" s="7" t="n">
        <f aca="false">INDEX(Prices!V:V,CEG_Assets!$AN$16)*CEG_Assets!$J$16-CEG_Assets!$K$16*V460-CEG_Assets!$M$16*V$4</f>
        <v>112.661090852524</v>
      </c>
      <c r="W461" s="7" t="n">
        <f aca="false">INDEX(Prices!W:W,CEG_Assets!$AN$16)*CEG_Assets!$J$16-CEG_Assets!$K$16*W460-CEG_Assets!$M$16*W$4</f>
        <v>114.914312669574</v>
      </c>
      <c r="X461" s="7" t="n">
        <f aca="false">INDEX(Prices!X:X,CEG_Assets!$AN$16)*CEG_Assets!$J$16-CEG_Assets!$K$16*X460-CEG_Assets!$M$16*X$4</f>
        <v>117.212598922966</v>
      </c>
      <c r="Y461" s="7" t="n">
        <f aca="false">INDEX(Prices!Y:Y,CEG_Assets!$AN$16)*CEG_Assets!$J$16-CEG_Assets!$K$16*Y460-CEG_Assets!$M$16*Y$4</f>
        <v>119.556850901425</v>
      </c>
      <c r="Z461" s="7" t="n">
        <f aca="false">INDEX(Prices!Z:Z,CEG_Assets!$AN$16)*CEG_Assets!$J$16-CEG_Assets!$K$16*Z460-CEG_Assets!$M$16*Z$4</f>
        <v>121.947987919454</v>
      </c>
      <c r="AA461" s="7" t="n">
        <f aca="false">INDEX(Prices!AA:AA,CEG_Assets!$AN$16)*CEG_Assets!$J$16-CEG_Assets!$K$16*AA460-CEG_Assets!$M$16*AA$4</f>
        <v>124.386947677843</v>
      </c>
      <c r="AB461" s="7" t="n">
        <f aca="false">INDEX(Prices!AB:AB,CEG_Assets!$AN$16)*CEG_Assets!$J$16-CEG_Assets!$K$16*AB460-CEG_Assets!$M$16*AB$4</f>
        <v>126.8746866314</v>
      </c>
      <c r="AC461" s="7" t="n">
        <f aca="false">INDEX(Prices!AC:AC,CEG_Assets!$AN$16)*CEG_Assets!$J$16-CEG_Assets!$K$16*AC460-CEG_Assets!$M$16*AC$4</f>
        <v>129.412180364028</v>
      </c>
      <c r="AD461" s="7" t="n">
        <f aca="false">INDEX(Prices!AD:AD,CEG_Assets!$AN$16)*CEG_Assets!$J$16-CEG_Assets!$K$16*AD460-CEG_Assets!$M$16*AD$4</f>
        <v>132.000423971308</v>
      </c>
      <c r="AE461" s="7" t="n">
        <f aca="false">INDEX(Prices!AE:AE,CEG_Assets!$AN$16)*CEG_Assets!$J$16-CEG_Assets!$K$16*AE460-CEG_Assets!$M$16*AE$4</f>
        <v>134.640432450734</v>
      </c>
      <c r="AF461" s="7" t="n">
        <f aca="false">INDEX(Prices!AF:AF,CEG_Assets!$AN$16)*CEG_Assets!$J$16-CEG_Assets!$K$16*AF460-CEG_Assets!$M$16*AF$4</f>
        <v>137.333241099749</v>
      </c>
      <c r="AG461" s="7" t="n">
        <f aca="false">INDEX(Prices!AG:AG,CEG_Assets!$AN$16)*CEG_Assets!$J$16-CEG_Assets!$K$16*AG460-CEG_Assets!$M$16*AG$4</f>
        <v>140.079905921744</v>
      </c>
      <c r="AH461" s="7" t="n">
        <f aca="false">INDEX(Prices!AH:AH,CEG_Assets!$AN$16)*CEG_Assets!$J$16-CEG_Assets!$K$16*AH460-CEG_Assets!$M$16*AH$4</f>
        <v>142.881504040179</v>
      </c>
      <c r="AI461" s="7" t="n">
        <f aca="false">INDEX(Prices!AI:AI,CEG_Assets!$AN$16)*CEG_Assets!$J$16-CEG_Assets!$K$16*AI460-CEG_Assets!$M$16*AI$4</f>
        <v>145.739134120982</v>
      </c>
      <c r="AJ461" s="7" t="n">
        <f aca="false">INDEX(Prices!AJ:AJ,CEG_Assets!$AN$16)*CEG_Assets!$J$16-CEG_Assets!$K$16*AJ460-CEG_Assets!$M$16*AJ$4</f>
        <v>148.653916803402</v>
      </c>
      <c r="AK461" s="7" t="n">
        <f aca="false">INDEX(Prices!AK:AK,CEG_Assets!$AN$16)*CEG_Assets!$J$16-CEG_Assets!$K$16*AK460-CEG_Assets!$M$16*AK$4</f>
        <v>151.62699513947</v>
      </c>
      <c r="AL461" s="7" t="n">
        <f aca="false">INDEX(Prices!AL:AL,CEG_Assets!$AN$16)*CEG_Assets!$J$16-CEG_Assets!$K$16*AL460-CEG_Assets!$M$16*AL$4</f>
        <v>154.65953504226</v>
      </c>
      <c r="AM461" s="7" t="n">
        <f aca="false">INDEX(Prices!AM:AM,CEG_Assets!$AN$16)*CEG_Assets!$J$16-CEG_Assets!$K$16*AM460-CEG_Assets!$M$16*AM$4</f>
        <v>157.752725743105</v>
      </c>
      <c r="AN461" s="7" t="n">
        <f aca="false">INDEX(Prices!AN:AN,CEG_Assets!$AN$16)*CEG_Assets!$J$16-CEG_Assets!$K$16*AN460-CEG_Assets!$M$16*AN$4</f>
        <v>160.907780257967</v>
      </c>
      <c r="AO461" s="7" t="n">
        <f aca="false">INDEX(Prices!AO:AO,CEG_Assets!$AN$16)*CEG_Assets!$J$16-CEG_Assets!$K$16*AO460-CEG_Assets!$M$16*AO$4</f>
        <v>164.125935863126</v>
      </c>
      <c r="AP461" s="7" t="n">
        <f aca="false">INDEX(Prices!AP:AP,CEG_Assets!$AN$16)*CEG_Assets!$J$16-CEG_Assets!$K$16*AP460-CEG_Assets!$M$16*AP$4</f>
        <v>167.408454580389</v>
      </c>
      <c r="AQ461" s="7" t="n">
        <f aca="false">INDEX(Prices!AQ:AQ,CEG_Assets!$AN$16)*CEG_Assets!$J$16-CEG_Assets!$K$16*AQ460-CEG_Assets!$M$16*AQ$4</f>
        <v>170.756623671996</v>
      </c>
      <c r="AR461" s="7" t="n">
        <f aca="false">INDEX(Prices!AR:AR,CEG_Assets!$AN$16)*CEG_Assets!$J$16-CEG_Assets!$K$16*AR460-CEG_Assets!$M$16*AR$4</f>
        <v>174.171756145436</v>
      </c>
      <c r="AS461" s="7" t="n">
        <f aca="false">INDEX(Prices!AS:AS,CEG_Assets!$AN$16)*CEG_Assets!$J$16-CEG_Assets!$K$16*AS460-CEG_Assets!$M$16*AS$4</f>
        <v>177.655191268345</v>
      </c>
    </row>
    <row r="462" customFormat="false" ht="15" hidden="false" customHeight="false" outlineLevel="0" collapsed="false">
      <c r="A462" s="6" t="s">
        <v>437</v>
      </c>
      <c r="B462" s="6" t="s">
        <v>438</v>
      </c>
      <c r="G462" s="47" t="n">
        <f aca="false">IF(CEG_Assets!$X$16=1,IF(G461&gt;0,1,0),1)</f>
        <v>1</v>
      </c>
      <c r="H462" s="47" t="n">
        <f aca="false">IF(CEG_Assets!$X$16=1,IF(H461&gt;0,1,0),1)</f>
        <v>1</v>
      </c>
      <c r="I462" s="47" t="n">
        <f aca="false">IF(CEG_Assets!$X$16=1,IF(I461&gt;0,1,0),1)</f>
        <v>1</v>
      </c>
      <c r="J462" s="47" t="n">
        <f aca="false">IF(CEG_Assets!$X$16=1,IF(J461&gt;0,1,0),1)</f>
        <v>1</v>
      </c>
      <c r="K462" s="47" t="n">
        <f aca="false">IF(CEG_Assets!$X$16=1,IF(K461&gt;0,1,0),1)</f>
        <v>1</v>
      </c>
      <c r="L462" s="47" t="n">
        <f aca="false">IF(CEG_Assets!$X$16=1,IF(L461&gt;0,1,0),1)</f>
        <v>1</v>
      </c>
      <c r="M462" s="47" t="n">
        <f aca="false">IF(CEG_Assets!$X$16=1,IF(M461&gt;0,1,0),1)</f>
        <v>1</v>
      </c>
      <c r="N462" s="47" t="n">
        <f aca="false">IF(CEG_Assets!$X$16=1,IF(N461&gt;0,1,0),1)</f>
        <v>1</v>
      </c>
      <c r="O462" s="47" t="n">
        <f aca="false">IF(CEG_Assets!$X$16=1,IF(O461&gt;0,1,0),1)</f>
        <v>1</v>
      </c>
      <c r="P462" s="47" t="n">
        <f aca="false">IF(CEG_Assets!$X$16=1,IF(P461&gt;0,1,0),1)</f>
        <v>1</v>
      </c>
      <c r="Q462" s="47" t="n">
        <f aca="false">IF(CEG_Assets!$X$16=1,IF(Q461&gt;0,1,0),1)</f>
        <v>1</v>
      </c>
      <c r="R462" s="47" t="n">
        <f aca="false">IF(CEG_Assets!$X$16=1,IF(R461&gt;0,1,0),1)</f>
        <v>1</v>
      </c>
      <c r="S462" s="47" t="n">
        <f aca="false">IF(CEG_Assets!$X$16=1,IF(S461&gt;0,1,0),1)</f>
        <v>1</v>
      </c>
      <c r="T462" s="47" t="n">
        <f aca="false">IF(CEG_Assets!$X$16=1,IF(T461&gt;0,1,0),1)</f>
        <v>1</v>
      </c>
      <c r="U462" s="47" t="n">
        <f aca="false">IF(CEG_Assets!$X$16=1,IF(U461&gt;0,1,0),1)</f>
        <v>1</v>
      </c>
      <c r="V462" s="47" t="n">
        <f aca="false">IF(CEG_Assets!$X$16=1,IF(V461&gt;0,1,0),1)</f>
        <v>1</v>
      </c>
      <c r="W462" s="47" t="n">
        <f aca="false">IF(CEG_Assets!$X$16=1,IF(W461&gt;0,1,0),1)</f>
        <v>1</v>
      </c>
      <c r="X462" s="47" t="n">
        <f aca="false">IF(CEG_Assets!$X$16=1,IF(X461&gt;0,1,0),1)</f>
        <v>1</v>
      </c>
      <c r="Y462" s="47" t="n">
        <f aca="false">IF(CEG_Assets!$X$16=1,IF(Y461&gt;0,1,0),1)</f>
        <v>1</v>
      </c>
      <c r="Z462" s="47" t="n">
        <f aca="false">IF(CEG_Assets!$X$16=1,IF(Z461&gt;0,1,0),1)</f>
        <v>1</v>
      </c>
      <c r="AA462" s="47" t="n">
        <f aca="false">IF(CEG_Assets!$X$16=1,IF(AA461&gt;0,1,0),1)</f>
        <v>1</v>
      </c>
      <c r="AB462" s="47" t="n">
        <f aca="false">IF(CEG_Assets!$X$16=1,IF(AB461&gt;0,1,0),1)</f>
        <v>1</v>
      </c>
      <c r="AC462" s="47" t="n">
        <f aca="false">IF(CEG_Assets!$X$16=1,IF(AC461&gt;0,1,0),1)</f>
        <v>1</v>
      </c>
      <c r="AD462" s="47" t="n">
        <f aca="false">IF(CEG_Assets!$X$16=1,IF(AD461&gt;0,1,0),1)</f>
        <v>1</v>
      </c>
      <c r="AE462" s="47" t="n">
        <f aca="false">IF(CEG_Assets!$X$16=1,IF(AE461&gt;0,1,0),1)</f>
        <v>1</v>
      </c>
      <c r="AF462" s="47" t="n">
        <f aca="false">IF(CEG_Assets!$X$16=1,IF(AF461&gt;0,1,0),1)</f>
        <v>1</v>
      </c>
      <c r="AG462" s="47" t="n">
        <f aca="false">IF(CEG_Assets!$X$16=1,IF(AG461&gt;0,1,0),1)</f>
        <v>1</v>
      </c>
      <c r="AH462" s="47" t="n">
        <f aca="false">IF(CEG_Assets!$X$16=1,IF(AH461&gt;0,1,0),1)</f>
        <v>1</v>
      </c>
      <c r="AI462" s="47" t="n">
        <f aca="false">IF(CEG_Assets!$X$16=1,IF(AI461&gt;0,1,0),1)</f>
        <v>1</v>
      </c>
      <c r="AJ462" s="47" t="n">
        <f aca="false">IF(CEG_Assets!$X$16=1,IF(AJ461&gt;0,1,0),1)</f>
        <v>1</v>
      </c>
      <c r="AK462" s="47" t="n">
        <f aca="false">IF(CEG_Assets!$X$16=1,IF(AK461&gt;0,1,0),1)</f>
        <v>1</v>
      </c>
      <c r="AL462" s="47" t="n">
        <f aca="false">IF(CEG_Assets!$X$16=1,IF(AL461&gt;0,1,0),1)</f>
        <v>1</v>
      </c>
      <c r="AM462" s="47" t="n">
        <f aca="false">IF(CEG_Assets!$X$16=1,IF(AM461&gt;0,1,0),1)</f>
        <v>1</v>
      </c>
      <c r="AN462" s="47" t="n">
        <f aca="false">IF(CEG_Assets!$X$16=1,IF(AN461&gt;0,1,0),1)</f>
        <v>1</v>
      </c>
      <c r="AO462" s="47" t="n">
        <f aca="false">IF(CEG_Assets!$X$16=1,IF(AO461&gt;0,1,0),1)</f>
        <v>1</v>
      </c>
      <c r="AP462" s="47" t="n">
        <f aca="false">IF(CEG_Assets!$X$16=1,IF(AP461&gt;0,1,0),1)</f>
        <v>1</v>
      </c>
      <c r="AQ462" s="47" t="n">
        <f aca="false">IF(CEG_Assets!$X$16=1,IF(AQ461&gt;0,1,0),1)</f>
        <v>1</v>
      </c>
      <c r="AR462" s="47" t="n">
        <f aca="false">IF(CEG_Assets!$X$16=1,IF(AR461&gt;0,1,0),1)</f>
        <v>1</v>
      </c>
      <c r="AS462" s="47" t="n">
        <f aca="false">IF(CEG_Assets!$X$16=1,IF(AS461&gt;0,1,0),1)</f>
        <v>1</v>
      </c>
    </row>
    <row r="463" customFormat="false" ht="15" hidden="false" customHeight="false" outlineLevel="0" collapsed="false">
      <c r="A463" s="6" t="s">
        <v>439</v>
      </c>
      <c r="B463" s="6" t="s">
        <v>440</v>
      </c>
      <c r="C463" s="9" t="n">
        <f aca="false">SUM(G463:AS463)</f>
        <v>972.159843581603</v>
      </c>
      <c r="G463" s="8" t="n">
        <f aca="false">G458*INDEX(Prices!G:G,CEG_Assets!$AN$16)*CEG_Assets!$J$16*G462/1000000*(1+CEG_RevAdj)</f>
        <v>69.631488</v>
      </c>
      <c r="H463" s="8" t="n">
        <f aca="false">H458*INDEX(Prices!H:H,CEG_Assets!$AN$16)*CEG_Assets!$J$16*H462/1000000*(1+CEG_RevAdj)</f>
        <v>70.598592</v>
      </c>
      <c r="I463" s="8" t="n">
        <f aca="false">I458*INDEX(Prices!I:I,CEG_Assets!$AN$16)*CEG_Assets!$J$16*I462/1000000*(1+CEG_RevAdj)</f>
        <v>64.7530536303936</v>
      </c>
      <c r="J463" s="8" t="n">
        <f aca="false">J458*INDEX(Prices!J:J,CEG_Assets!$AN$16)*CEG_Assets!$J$16*J462/1000000*(1+CEG_RevAdj)</f>
        <v>63.045003806003</v>
      </c>
      <c r="K463" s="8" t="n">
        <f aca="false">K458*INDEX(Prices!K:K,CEG_Assets!$AN$16)*CEG_Assets!$J$16*K462/1000000*(1+CEG_RevAdj)</f>
        <v>64.305903882123</v>
      </c>
      <c r="L463" s="8" t="n">
        <f aca="false">L458*INDEX(Prices!L:L,CEG_Assets!$AN$16)*CEG_Assets!$J$16*L462/1000000*(1+CEG_RevAdj)</f>
        <v>65.5920219597655</v>
      </c>
      <c r="M463" s="8" t="n">
        <f aca="false">M458*INDEX(Prices!M:M,CEG_Assets!$AN$16)*CEG_Assets!$J$16*M462/1000000*(1+CEG_RevAdj)</f>
        <v>66.9038623989608</v>
      </c>
      <c r="N463" s="8" t="n">
        <f aca="false">N458*INDEX(Prices!N:N,CEG_Assets!$AN$16)*CEG_Assets!$J$16*N462/1000000*(1+CEG_RevAdj)</f>
        <v>68.24193964694</v>
      </c>
      <c r="O463" s="8" t="n">
        <f aca="false">O458*INDEX(Prices!O:O,CEG_Assets!$AN$16)*CEG_Assets!$J$16*O462/1000000*(1+CEG_RevAdj)</f>
        <v>69.6067784398788</v>
      </c>
      <c r="P463" s="8" t="n">
        <f aca="false">P458*INDEX(Prices!P:P,CEG_Assets!$AN$16)*CEG_Assets!$J$16*P462/1000000*(1+CEG_RevAdj)</f>
        <v>70.9989140086764</v>
      </c>
      <c r="Q463" s="8" t="n">
        <f aca="false">Q458*INDEX(Prices!Q:Q,CEG_Assets!$AN$16)*CEG_Assets!$J$16*Q462/1000000*(1+CEG_RevAdj)</f>
        <v>72.4188922888499</v>
      </c>
      <c r="R463" s="8" t="n">
        <f aca="false">R458*INDEX(Prices!R:R,CEG_Assets!$AN$16)*CEG_Assets!$J$16*R462/1000000*(1+CEG_RevAdj)</f>
        <v>73.8672701346269</v>
      </c>
      <c r="S463" s="8" t="n">
        <f aca="false">S458*INDEX(Prices!S:S,CEG_Assets!$AN$16)*CEG_Assets!$J$16*S462/1000000*(1+CEG_RevAdj)</f>
        <v>75.3446155373195</v>
      </c>
      <c r="T463" s="8" t="n">
        <f aca="false">T458*INDEX(Prices!T:T,CEG_Assets!$AN$16)*CEG_Assets!$J$16*T462/1000000*(1+CEG_RevAdj)</f>
        <v>76.8515078480658</v>
      </c>
      <c r="U463" s="8" t="n">
        <f aca="false">U458*INDEX(Prices!U:U,CEG_Assets!$AN$16)*CEG_Assets!$J$16*U462/1000000*(1+CEG_RevAdj)</f>
        <v>0</v>
      </c>
      <c r="V463" s="8" t="n">
        <f aca="false">V458*INDEX(Prices!V:V,CEG_Assets!$AN$16)*CEG_Assets!$J$16*V462/1000000*(1+CEG_RevAdj)</f>
        <v>0</v>
      </c>
      <c r="W463" s="8" t="n">
        <f aca="false">W458*INDEX(Prices!W:W,CEG_Assets!$AN$16)*CEG_Assets!$J$16*W462/1000000*(1+CEG_RevAdj)</f>
        <v>0</v>
      </c>
      <c r="X463" s="8" t="n">
        <f aca="false">X458*INDEX(Prices!X:X,CEG_Assets!$AN$16)*CEG_Assets!$J$16*X462/1000000*(1+CEG_RevAdj)</f>
        <v>0</v>
      </c>
      <c r="Y463" s="8" t="n">
        <f aca="false">Y458*INDEX(Prices!Y:Y,CEG_Assets!$AN$16)*CEG_Assets!$J$16*Y462/1000000*(1+CEG_RevAdj)</f>
        <v>0</v>
      </c>
      <c r="Z463" s="8" t="n">
        <f aca="false">Z458*INDEX(Prices!Z:Z,CEG_Assets!$AN$16)*CEG_Assets!$J$16*Z462/1000000*(1+CEG_RevAdj)</f>
        <v>0</v>
      </c>
      <c r="AA463" s="8" t="n">
        <f aca="false">AA458*INDEX(Prices!AA:AA,CEG_Assets!$AN$16)*CEG_Assets!$J$16*AA462/1000000*(1+CEG_RevAdj)</f>
        <v>0</v>
      </c>
      <c r="AB463" s="8" t="n">
        <f aca="false">AB458*INDEX(Prices!AB:AB,CEG_Assets!$AN$16)*CEG_Assets!$J$16*AB462/1000000*(1+CEG_RevAdj)</f>
        <v>0</v>
      </c>
      <c r="AC463" s="8" t="n">
        <f aca="false">AC458*INDEX(Prices!AC:AC,CEG_Assets!$AN$16)*CEG_Assets!$J$16*AC462/1000000*(1+CEG_RevAdj)</f>
        <v>0</v>
      </c>
      <c r="AD463" s="8" t="n">
        <f aca="false">AD458*INDEX(Prices!AD:AD,CEG_Assets!$AN$16)*CEG_Assets!$J$16*AD462/1000000*(1+CEG_RevAdj)</f>
        <v>0</v>
      </c>
      <c r="AE463" s="8" t="n">
        <f aca="false">AE458*INDEX(Prices!AE:AE,CEG_Assets!$AN$16)*CEG_Assets!$J$16*AE462/1000000*(1+CEG_RevAdj)</f>
        <v>0</v>
      </c>
      <c r="AF463" s="8" t="n">
        <f aca="false">AF458*INDEX(Prices!AF:AF,CEG_Assets!$AN$16)*CEG_Assets!$J$16*AF462/1000000*(1+CEG_RevAdj)</f>
        <v>0</v>
      </c>
      <c r="AG463" s="8" t="n">
        <f aca="false">AG458*INDEX(Prices!AG:AG,CEG_Assets!$AN$16)*CEG_Assets!$J$16*AG462/1000000*(1+CEG_RevAdj)</f>
        <v>0</v>
      </c>
      <c r="AH463" s="8" t="n">
        <f aca="false">AH458*INDEX(Prices!AH:AH,CEG_Assets!$AN$16)*CEG_Assets!$J$16*AH462/1000000*(1+CEG_RevAdj)</f>
        <v>0</v>
      </c>
      <c r="AI463" s="8" t="n">
        <f aca="false">AI458*INDEX(Prices!AI:AI,CEG_Assets!$AN$16)*CEG_Assets!$J$16*AI462/1000000*(1+CEG_RevAdj)</f>
        <v>0</v>
      </c>
      <c r="AJ463" s="8" t="n">
        <f aca="false">AJ458*INDEX(Prices!AJ:AJ,CEG_Assets!$AN$16)*CEG_Assets!$J$16*AJ462/1000000*(1+CEG_RevAdj)</f>
        <v>0</v>
      </c>
      <c r="AK463" s="8" t="n">
        <f aca="false">AK458*INDEX(Prices!AK:AK,CEG_Assets!$AN$16)*CEG_Assets!$J$16*AK462/1000000*(1+CEG_RevAdj)</f>
        <v>0</v>
      </c>
      <c r="AL463" s="8" t="n">
        <f aca="false">AL458*INDEX(Prices!AL:AL,CEG_Assets!$AN$16)*CEG_Assets!$J$16*AL462/1000000*(1+CEG_RevAdj)</f>
        <v>0</v>
      </c>
      <c r="AM463" s="8" t="n">
        <f aca="false">AM458*INDEX(Prices!AM:AM,CEG_Assets!$AN$16)*CEG_Assets!$J$16*AM462/1000000*(1+CEG_RevAdj)</f>
        <v>0</v>
      </c>
      <c r="AN463" s="8" t="n">
        <f aca="false">AN458*INDEX(Prices!AN:AN,CEG_Assets!$AN$16)*CEG_Assets!$J$16*AN462/1000000*(1+CEG_RevAdj)</f>
        <v>0</v>
      </c>
      <c r="AO463" s="8" t="n">
        <f aca="false">AO458*INDEX(Prices!AO:AO,CEG_Assets!$AN$16)*CEG_Assets!$J$16*AO462/1000000*(1+CEG_RevAdj)</f>
        <v>0</v>
      </c>
      <c r="AP463" s="8" t="n">
        <f aca="false">AP458*INDEX(Prices!AP:AP,CEG_Assets!$AN$16)*CEG_Assets!$J$16*AP462/1000000*(1+CEG_RevAdj)</f>
        <v>0</v>
      </c>
      <c r="AQ463" s="8" t="n">
        <f aca="false">AQ458*INDEX(Prices!AQ:AQ,CEG_Assets!$AN$16)*CEG_Assets!$J$16*AQ462/1000000*(1+CEG_RevAdj)</f>
        <v>0</v>
      </c>
      <c r="AR463" s="8" t="n">
        <f aca="false">AR458*INDEX(Prices!AR:AR,CEG_Assets!$AN$16)*CEG_Assets!$J$16*AR462/1000000*(1+CEG_RevAdj)</f>
        <v>0</v>
      </c>
      <c r="AS463" s="8" t="n">
        <f aca="false">AS458*INDEX(Prices!AS:AS,CEG_Assets!$AN$16)*CEG_Assets!$J$16*AS462/1000000*(1+CEG_RevAdj)</f>
        <v>0</v>
      </c>
    </row>
    <row r="464" customFormat="false" ht="15" hidden="false" customHeight="false" outlineLevel="0" collapsed="false">
      <c r="A464" s="6" t="s">
        <v>441</v>
      </c>
      <c r="B464" s="6" t="s">
        <v>442</v>
      </c>
      <c r="C464" s="9" t="n">
        <f aca="false">SUM(G464:AS464)</f>
        <v>628.013461618263</v>
      </c>
      <c r="G464" s="8" t="n">
        <f aca="false">(CEG_Assets!$D$16-G457)*INDEX(Prices!G:G,CEG_Assets!$AP$16)*365*CEG_Assets!$T$16*G456/1000000*(1+CEG_RevAdj)</f>
        <v>39.31488</v>
      </c>
      <c r="H464" s="8" t="n">
        <f aca="false">(CEG_Assets!$D$16-H457)*INDEX(Prices!H:H,CEG_Assets!$AP$16)*365*CEG_Assets!$T$16*H456/1000000*(1+CEG_RevAdj)</f>
        <v>40.1011776</v>
      </c>
      <c r="I464" s="8" t="n">
        <f aca="false">(CEG_Assets!$D$16-I457)*INDEX(Prices!I:I,CEG_Assets!$AP$16)*365*CEG_Assets!$T$16*I456/1000000*(1+CEG_RevAdj)</f>
        <v>40.903201152</v>
      </c>
      <c r="J464" s="8" t="n">
        <f aca="false">(CEG_Assets!$D$16-J457)*INDEX(Prices!J:J,CEG_Assets!$AP$16)*365*CEG_Assets!$T$16*J456/1000000*(1+CEG_RevAdj)</f>
        <v>41.72126517504</v>
      </c>
      <c r="K464" s="8" t="n">
        <f aca="false">(CEG_Assets!$D$16-K457)*INDEX(Prices!K:K,CEG_Assets!$AP$16)*365*CEG_Assets!$T$16*K456/1000000*(1+CEG_RevAdj)</f>
        <v>42.5556904785408</v>
      </c>
      <c r="L464" s="8" t="n">
        <f aca="false">(CEG_Assets!$D$16-L457)*INDEX(Prices!L:L,CEG_Assets!$AP$16)*365*CEG_Assets!$T$16*L456/1000000*(1+CEG_RevAdj)</f>
        <v>43.4068042881116</v>
      </c>
      <c r="M464" s="8" t="n">
        <f aca="false">(CEG_Assets!$D$16-M457)*INDEX(Prices!M:M,CEG_Assets!$AP$16)*365*CEG_Assets!$T$16*M456/1000000*(1+CEG_RevAdj)</f>
        <v>44.2749403738739</v>
      </c>
      <c r="N464" s="8" t="n">
        <f aca="false">(CEG_Assets!$D$16-N457)*INDEX(Prices!N:N,CEG_Assets!$AP$16)*365*CEG_Assets!$T$16*N456/1000000*(1+CEG_RevAdj)</f>
        <v>45.1604391813513</v>
      </c>
      <c r="O464" s="8" t="n">
        <f aca="false">(CEG_Assets!$D$16-O457)*INDEX(Prices!O:O,CEG_Assets!$AP$16)*365*CEG_Assets!$T$16*O456/1000000*(1+CEG_RevAdj)</f>
        <v>46.0636479649784</v>
      </c>
      <c r="P464" s="8" t="n">
        <f aca="false">(CEG_Assets!$D$16-P457)*INDEX(Prices!P:P,CEG_Assets!$AP$16)*365*CEG_Assets!$T$16*P456/1000000*(1+CEG_RevAdj)</f>
        <v>46.9849209242779</v>
      </c>
      <c r="Q464" s="8" t="n">
        <f aca="false">(CEG_Assets!$D$16-Q457)*INDEX(Prices!Q:Q,CEG_Assets!$AP$16)*365*CEG_Assets!$T$16*Q456/1000000*(1+CEG_RevAdj)</f>
        <v>47.9246193427635</v>
      </c>
      <c r="R464" s="8" t="n">
        <f aca="false">(CEG_Assets!$D$16-R457)*INDEX(Prices!R:R,CEG_Assets!$AP$16)*365*CEG_Assets!$T$16*R456/1000000*(1+CEG_RevAdj)</f>
        <v>48.8831117296188</v>
      </c>
      <c r="S464" s="8" t="n">
        <f aca="false">(CEG_Assets!$D$16-S457)*INDEX(Prices!S:S,CEG_Assets!$AP$16)*365*CEG_Assets!$T$16*S456/1000000*(1+CEG_RevAdj)</f>
        <v>49.8607739642111</v>
      </c>
      <c r="T464" s="8" t="n">
        <f aca="false">(CEG_Assets!$D$16-T457)*INDEX(Prices!T:T,CEG_Assets!$AP$16)*365*CEG_Assets!$T$16*T456/1000000*(1+CEG_RevAdj)</f>
        <v>50.8579894434954</v>
      </c>
      <c r="U464" s="8" t="n">
        <f aca="false">(CEG_Assets!$D$16-U457)*INDEX(Prices!U:U,CEG_Assets!$AP$16)*365*CEG_Assets!$T$16*U456/1000000*(1+CEG_RevAdj)</f>
        <v>0</v>
      </c>
      <c r="V464" s="8" t="n">
        <f aca="false">(CEG_Assets!$D$16-V457)*INDEX(Prices!V:V,CEG_Assets!$AP$16)*365*CEG_Assets!$T$16*V456/1000000*(1+CEG_RevAdj)</f>
        <v>0</v>
      </c>
      <c r="W464" s="8" t="n">
        <f aca="false">(CEG_Assets!$D$16-W457)*INDEX(Prices!W:W,CEG_Assets!$AP$16)*365*CEG_Assets!$T$16*W456/1000000*(1+CEG_RevAdj)</f>
        <v>0</v>
      </c>
      <c r="X464" s="8" t="n">
        <f aca="false">(CEG_Assets!$D$16-X457)*INDEX(Prices!X:X,CEG_Assets!$AP$16)*365*CEG_Assets!$T$16*X456/1000000*(1+CEG_RevAdj)</f>
        <v>0</v>
      </c>
      <c r="Y464" s="8" t="n">
        <f aca="false">(CEG_Assets!$D$16-Y457)*INDEX(Prices!Y:Y,CEG_Assets!$AP$16)*365*CEG_Assets!$T$16*Y456/1000000*(1+CEG_RevAdj)</f>
        <v>0</v>
      </c>
      <c r="Z464" s="8" t="n">
        <f aca="false">(CEG_Assets!$D$16-Z457)*INDEX(Prices!Z:Z,CEG_Assets!$AP$16)*365*CEG_Assets!$T$16*Z456/1000000*(1+CEG_RevAdj)</f>
        <v>0</v>
      </c>
      <c r="AA464" s="8" t="n">
        <f aca="false">(CEG_Assets!$D$16-AA457)*INDEX(Prices!AA:AA,CEG_Assets!$AP$16)*365*CEG_Assets!$T$16*AA456/1000000*(1+CEG_RevAdj)</f>
        <v>0</v>
      </c>
      <c r="AB464" s="8" t="n">
        <f aca="false">(CEG_Assets!$D$16-AB457)*INDEX(Prices!AB:AB,CEG_Assets!$AP$16)*365*CEG_Assets!$T$16*AB456/1000000*(1+CEG_RevAdj)</f>
        <v>0</v>
      </c>
      <c r="AC464" s="8" t="n">
        <f aca="false">(CEG_Assets!$D$16-AC457)*INDEX(Prices!AC:AC,CEG_Assets!$AP$16)*365*CEG_Assets!$T$16*AC456/1000000*(1+CEG_RevAdj)</f>
        <v>0</v>
      </c>
      <c r="AD464" s="8" t="n">
        <f aca="false">(CEG_Assets!$D$16-AD457)*INDEX(Prices!AD:AD,CEG_Assets!$AP$16)*365*CEG_Assets!$T$16*AD456/1000000*(1+CEG_RevAdj)</f>
        <v>0</v>
      </c>
      <c r="AE464" s="8" t="n">
        <f aca="false">(CEG_Assets!$D$16-AE457)*INDEX(Prices!AE:AE,CEG_Assets!$AP$16)*365*CEG_Assets!$T$16*AE456/1000000*(1+CEG_RevAdj)</f>
        <v>0</v>
      </c>
      <c r="AF464" s="8" t="n">
        <f aca="false">(CEG_Assets!$D$16-AF457)*INDEX(Prices!AF:AF,CEG_Assets!$AP$16)*365*CEG_Assets!$T$16*AF456/1000000*(1+CEG_RevAdj)</f>
        <v>0</v>
      </c>
      <c r="AG464" s="8" t="n">
        <f aca="false">(CEG_Assets!$D$16-AG457)*INDEX(Prices!AG:AG,CEG_Assets!$AP$16)*365*CEG_Assets!$T$16*AG456/1000000*(1+CEG_RevAdj)</f>
        <v>0</v>
      </c>
      <c r="AH464" s="8" t="n">
        <f aca="false">(CEG_Assets!$D$16-AH457)*INDEX(Prices!AH:AH,CEG_Assets!$AP$16)*365*CEG_Assets!$T$16*AH456/1000000*(1+CEG_RevAdj)</f>
        <v>0</v>
      </c>
      <c r="AI464" s="8" t="n">
        <f aca="false">(CEG_Assets!$D$16-AI457)*INDEX(Prices!AI:AI,CEG_Assets!$AP$16)*365*CEG_Assets!$T$16*AI456/1000000*(1+CEG_RevAdj)</f>
        <v>0</v>
      </c>
      <c r="AJ464" s="8" t="n">
        <f aca="false">(CEG_Assets!$D$16-AJ457)*INDEX(Prices!AJ:AJ,CEG_Assets!$AP$16)*365*CEG_Assets!$T$16*AJ456/1000000*(1+CEG_RevAdj)</f>
        <v>0</v>
      </c>
      <c r="AK464" s="8" t="n">
        <f aca="false">(CEG_Assets!$D$16-AK457)*INDEX(Prices!AK:AK,CEG_Assets!$AP$16)*365*CEG_Assets!$T$16*AK456/1000000*(1+CEG_RevAdj)</f>
        <v>0</v>
      </c>
      <c r="AL464" s="8" t="n">
        <f aca="false">(CEG_Assets!$D$16-AL457)*INDEX(Prices!AL:AL,CEG_Assets!$AP$16)*365*CEG_Assets!$T$16*AL456/1000000*(1+CEG_RevAdj)</f>
        <v>0</v>
      </c>
      <c r="AM464" s="8" t="n">
        <f aca="false">(CEG_Assets!$D$16-AM457)*INDEX(Prices!AM:AM,CEG_Assets!$AP$16)*365*CEG_Assets!$T$16*AM456/1000000*(1+CEG_RevAdj)</f>
        <v>0</v>
      </c>
      <c r="AN464" s="8" t="n">
        <f aca="false">(CEG_Assets!$D$16-AN457)*INDEX(Prices!AN:AN,CEG_Assets!$AP$16)*365*CEG_Assets!$T$16*AN456/1000000*(1+CEG_RevAdj)</f>
        <v>0</v>
      </c>
      <c r="AO464" s="8" t="n">
        <f aca="false">(CEG_Assets!$D$16-AO457)*INDEX(Prices!AO:AO,CEG_Assets!$AP$16)*365*CEG_Assets!$T$16*AO456/1000000*(1+CEG_RevAdj)</f>
        <v>0</v>
      </c>
      <c r="AP464" s="8" t="n">
        <f aca="false">(CEG_Assets!$D$16-AP457)*INDEX(Prices!AP:AP,CEG_Assets!$AP$16)*365*CEG_Assets!$T$16*AP456/1000000*(1+CEG_RevAdj)</f>
        <v>0</v>
      </c>
      <c r="AQ464" s="8" t="n">
        <f aca="false">(CEG_Assets!$D$16-AQ457)*INDEX(Prices!AQ:AQ,CEG_Assets!$AP$16)*365*CEG_Assets!$T$16*AQ456/1000000*(1+CEG_RevAdj)</f>
        <v>0</v>
      </c>
      <c r="AR464" s="8" t="n">
        <f aca="false">(CEG_Assets!$D$16-AR457)*INDEX(Prices!AR:AR,CEG_Assets!$AP$16)*365*CEG_Assets!$T$16*AR456/1000000*(1+CEG_RevAdj)</f>
        <v>0</v>
      </c>
      <c r="AS464" s="8" t="n">
        <f aca="false">(CEG_Assets!$D$16-AS457)*INDEX(Prices!AS:AS,CEG_Assets!$AP$16)*365*CEG_Assets!$T$16*AS456/1000000*(1+CEG_RevAdj)</f>
        <v>0</v>
      </c>
    </row>
    <row r="465" customFormat="false" ht="15" hidden="false" customHeight="false" outlineLevel="0" collapsed="false">
      <c r="A465" s="6" t="s">
        <v>443</v>
      </c>
      <c r="B465" s="6" t="s">
        <v>444</v>
      </c>
      <c r="C465" s="9" t="n">
        <f aca="false">SUM(G465:AS465)</f>
        <v>0</v>
      </c>
      <c r="G465" s="8" t="n">
        <f aca="false">G459*(CEG_Assets!$AD$16+CEG_PPAAdj)/1000000*(1+CEG_RevAdj)</f>
        <v>0</v>
      </c>
      <c r="H465" s="8" t="n">
        <f aca="false">H459*(CEG_Assets!$AD$16+CEG_PPAAdj)/1000000*(1+CEG_RevAdj)</f>
        <v>0</v>
      </c>
      <c r="I465" s="8" t="n">
        <f aca="false">I459*(CEG_Assets!$AD$16+CEG_PPAAdj)/1000000*(1+CEG_RevAdj)</f>
        <v>0</v>
      </c>
      <c r="J465" s="8" t="n">
        <f aca="false">J459*(CEG_Assets!$AD$16+CEG_PPAAdj)/1000000*(1+CEG_RevAdj)</f>
        <v>0</v>
      </c>
      <c r="K465" s="8" t="n">
        <f aca="false">K459*(CEG_Assets!$AD$16+CEG_PPAAdj)/1000000*(1+CEG_RevAdj)</f>
        <v>0</v>
      </c>
      <c r="L465" s="8" t="n">
        <f aca="false">L459*(CEG_Assets!$AD$16+CEG_PPAAdj)/1000000*(1+CEG_RevAdj)</f>
        <v>0</v>
      </c>
      <c r="M465" s="8" t="n">
        <f aca="false">M459*(CEG_Assets!$AD$16+CEG_PPAAdj)/1000000*(1+CEG_RevAdj)</f>
        <v>0</v>
      </c>
      <c r="N465" s="8" t="n">
        <f aca="false">N459*(CEG_Assets!$AD$16+CEG_PPAAdj)/1000000*(1+CEG_RevAdj)</f>
        <v>0</v>
      </c>
      <c r="O465" s="8" t="n">
        <f aca="false">O459*(CEG_Assets!$AD$16+CEG_PPAAdj)/1000000*(1+CEG_RevAdj)</f>
        <v>0</v>
      </c>
      <c r="P465" s="8" t="n">
        <f aca="false">P459*(CEG_Assets!$AD$16+CEG_PPAAdj)/1000000*(1+CEG_RevAdj)</f>
        <v>0</v>
      </c>
      <c r="Q465" s="8" t="n">
        <f aca="false">Q459*(CEG_Assets!$AD$16+CEG_PPAAdj)/1000000*(1+CEG_RevAdj)</f>
        <v>0</v>
      </c>
      <c r="R465" s="8" t="n">
        <f aca="false">R459*(CEG_Assets!$AD$16+CEG_PPAAdj)/1000000*(1+CEG_RevAdj)</f>
        <v>0</v>
      </c>
      <c r="S465" s="8" t="n">
        <f aca="false">S459*(CEG_Assets!$AD$16+CEG_PPAAdj)/1000000*(1+CEG_RevAdj)</f>
        <v>0</v>
      </c>
      <c r="T465" s="8" t="n">
        <f aca="false">T459*(CEG_Assets!$AD$16+CEG_PPAAdj)/1000000*(1+CEG_RevAdj)</f>
        <v>0</v>
      </c>
      <c r="U465" s="8" t="n">
        <f aca="false">U459*(CEG_Assets!$AD$16+CEG_PPAAdj)/1000000*(1+CEG_RevAdj)</f>
        <v>0</v>
      </c>
      <c r="V465" s="8" t="n">
        <f aca="false">V459*(CEG_Assets!$AD$16+CEG_PPAAdj)/1000000*(1+CEG_RevAdj)</f>
        <v>0</v>
      </c>
      <c r="W465" s="8" t="n">
        <f aca="false">W459*(CEG_Assets!$AD$16+CEG_PPAAdj)/1000000*(1+CEG_RevAdj)</f>
        <v>0</v>
      </c>
      <c r="X465" s="8" t="n">
        <f aca="false">X459*(CEG_Assets!$AD$16+CEG_PPAAdj)/1000000*(1+CEG_RevAdj)</f>
        <v>0</v>
      </c>
      <c r="Y465" s="8" t="n">
        <f aca="false">Y459*(CEG_Assets!$AD$16+CEG_PPAAdj)/1000000*(1+CEG_RevAdj)</f>
        <v>0</v>
      </c>
      <c r="Z465" s="8" t="n">
        <f aca="false">Z459*(CEG_Assets!$AD$16+CEG_PPAAdj)/1000000*(1+CEG_RevAdj)</f>
        <v>0</v>
      </c>
      <c r="AA465" s="8" t="n">
        <f aca="false">AA459*(CEG_Assets!$AD$16+CEG_PPAAdj)/1000000*(1+CEG_RevAdj)</f>
        <v>0</v>
      </c>
      <c r="AB465" s="8" t="n">
        <f aca="false">AB459*(CEG_Assets!$AD$16+CEG_PPAAdj)/1000000*(1+CEG_RevAdj)</f>
        <v>0</v>
      </c>
      <c r="AC465" s="8" t="n">
        <f aca="false">AC459*(CEG_Assets!$AD$16+CEG_PPAAdj)/1000000*(1+CEG_RevAdj)</f>
        <v>0</v>
      </c>
      <c r="AD465" s="8" t="n">
        <f aca="false">AD459*(CEG_Assets!$AD$16+CEG_PPAAdj)/1000000*(1+CEG_RevAdj)</f>
        <v>0</v>
      </c>
      <c r="AE465" s="8" t="n">
        <f aca="false">AE459*(CEG_Assets!$AD$16+CEG_PPAAdj)/1000000*(1+CEG_RevAdj)</f>
        <v>0</v>
      </c>
      <c r="AF465" s="8" t="n">
        <f aca="false">AF459*(CEG_Assets!$AD$16+CEG_PPAAdj)/1000000*(1+CEG_RevAdj)</f>
        <v>0</v>
      </c>
      <c r="AG465" s="8" t="n">
        <f aca="false">AG459*(CEG_Assets!$AD$16+CEG_PPAAdj)/1000000*(1+CEG_RevAdj)</f>
        <v>0</v>
      </c>
      <c r="AH465" s="8" t="n">
        <f aca="false">AH459*(CEG_Assets!$AD$16+CEG_PPAAdj)/1000000*(1+CEG_RevAdj)</f>
        <v>0</v>
      </c>
      <c r="AI465" s="8" t="n">
        <f aca="false">AI459*(CEG_Assets!$AD$16+CEG_PPAAdj)/1000000*(1+CEG_RevAdj)</f>
        <v>0</v>
      </c>
      <c r="AJ465" s="8" t="n">
        <f aca="false">AJ459*(CEG_Assets!$AD$16+CEG_PPAAdj)/1000000*(1+CEG_RevAdj)</f>
        <v>0</v>
      </c>
      <c r="AK465" s="8" t="n">
        <f aca="false">AK459*(CEG_Assets!$AD$16+CEG_PPAAdj)/1000000*(1+CEG_RevAdj)</f>
        <v>0</v>
      </c>
      <c r="AL465" s="8" t="n">
        <f aca="false">AL459*(CEG_Assets!$AD$16+CEG_PPAAdj)/1000000*(1+CEG_RevAdj)</f>
        <v>0</v>
      </c>
      <c r="AM465" s="8" t="n">
        <f aca="false">AM459*(CEG_Assets!$AD$16+CEG_PPAAdj)/1000000*(1+CEG_RevAdj)</f>
        <v>0</v>
      </c>
      <c r="AN465" s="8" t="n">
        <f aca="false">AN459*(CEG_Assets!$AD$16+CEG_PPAAdj)/1000000*(1+CEG_RevAdj)</f>
        <v>0</v>
      </c>
      <c r="AO465" s="8" t="n">
        <f aca="false">AO459*(CEG_Assets!$AD$16+CEG_PPAAdj)/1000000*(1+CEG_RevAdj)</f>
        <v>0</v>
      </c>
      <c r="AP465" s="8" t="n">
        <f aca="false">AP459*(CEG_Assets!$AD$16+CEG_PPAAdj)/1000000*(1+CEG_RevAdj)</f>
        <v>0</v>
      </c>
      <c r="AQ465" s="8" t="n">
        <f aca="false">AQ459*(CEG_Assets!$AD$16+CEG_PPAAdj)/1000000*(1+CEG_RevAdj)</f>
        <v>0</v>
      </c>
      <c r="AR465" s="8" t="n">
        <f aca="false">AR459*(CEG_Assets!$AD$16+CEG_PPAAdj)/1000000*(1+CEG_RevAdj)</f>
        <v>0</v>
      </c>
      <c r="AS465" s="8" t="n">
        <f aca="false">AS459*(CEG_Assets!$AD$16+CEG_PPAAdj)/1000000*(1+CEG_RevAdj)</f>
        <v>0</v>
      </c>
    </row>
    <row r="466" customFormat="false" ht="15" hidden="false" customHeight="false" outlineLevel="0" collapsed="false">
      <c r="A466" s="6" t="s">
        <v>445</v>
      </c>
      <c r="B466" s="6" t="s">
        <v>446</v>
      </c>
      <c r="C466" s="9" t="n">
        <f aca="false">SUM(G466:AS466)</f>
        <v>0</v>
      </c>
      <c r="G466" s="8" t="n">
        <f aca="false">IF(G$3&lt;=CEG_Assets!$V$16,G458*CEG_Assets!$U$16,0)/1000000*(1+CEG_RevAdj)</f>
        <v>0</v>
      </c>
      <c r="H466" s="8" t="n">
        <f aca="false">IF(H$3&lt;=CEG_Assets!$V$16,H458*CEG_Assets!$U$16,0)/1000000*(1+CEG_RevAdj)</f>
        <v>0</v>
      </c>
      <c r="I466" s="8" t="n">
        <f aca="false">IF(I$3&lt;=CEG_Assets!$V$16,I458*CEG_Assets!$U$16,0)/1000000*(1+CEG_RevAdj)</f>
        <v>0</v>
      </c>
      <c r="J466" s="8" t="n">
        <f aca="false">IF(J$3&lt;=CEG_Assets!$V$16,J458*CEG_Assets!$U$16,0)/1000000*(1+CEG_RevAdj)</f>
        <v>0</v>
      </c>
      <c r="K466" s="8" t="n">
        <f aca="false">IF(K$3&lt;=CEG_Assets!$V$16,K458*CEG_Assets!$U$16,0)/1000000*(1+CEG_RevAdj)</f>
        <v>0</v>
      </c>
      <c r="L466" s="8" t="n">
        <f aca="false">IF(L$3&lt;=CEG_Assets!$V$16,L458*CEG_Assets!$U$16,0)/1000000*(1+CEG_RevAdj)</f>
        <v>0</v>
      </c>
      <c r="M466" s="8" t="n">
        <f aca="false">IF(M$3&lt;=CEG_Assets!$V$16,M458*CEG_Assets!$U$16,0)/1000000*(1+CEG_RevAdj)</f>
        <v>0</v>
      </c>
      <c r="N466" s="8" t="n">
        <f aca="false">IF(N$3&lt;=CEG_Assets!$V$16,N458*CEG_Assets!$U$16,0)/1000000*(1+CEG_RevAdj)</f>
        <v>0</v>
      </c>
      <c r="O466" s="8" t="n">
        <f aca="false">IF(O$3&lt;=CEG_Assets!$V$16,O458*CEG_Assets!$U$16,0)/1000000*(1+CEG_RevAdj)</f>
        <v>0</v>
      </c>
      <c r="P466" s="8" t="n">
        <f aca="false">IF(P$3&lt;=CEG_Assets!$V$16,P458*CEG_Assets!$U$16,0)/1000000*(1+CEG_RevAdj)</f>
        <v>0</v>
      </c>
      <c r="Q466" s="8" t="n">
        <f aca="false">IF(Q$3&lt;=CEG_Assets!$V$16,Q458*CEG_Assets!$U$16,0)/1000000*(1+CEG_RevAdj)</f>
        <v>0</v>
      </c>
      <c r="R466" s="8" t="n">
        <f aca="false">IF(R$3&lt;=CEG_Assets!$V$16,R458*CEG_Assets!$U$16,0)/1000000*(1+CEG_RevAdj)</f>
        <v>0</v>
      </c>
      <c r="S466" s="8" t="n">
        <f aca="false">IF(S$3&lt;=CEG_Assets!$V$16,S458*CEG_Assets!$U$16,0)/1000000*(1+CEG_RevAdj)</f>
        <v>0</v>
      </c>
      <c r="T466" s="8" t="n">
        <f aca="false">IF(T$3&lt;=CEG_Assets!$V$16,T458*CEG_Assets!$U$16,0)/1000000*(1+CEG_RevAdj)</f>
        <v>0</v>
      </c>
      <c r="U466" s="8" t="n">
        <f aca="false">IF(U$3&lt;=CEG_Assets!$V$16,U458*CEG_Assets!$U$16,0)/1000000*(1+CEG_RevAdj)</f>
        <v>0</v>
      </c>
      <c r="V466" s="8" t="n">
        <f aca="false">IF(V$3&lt;=CEG_Assets!$V$16,V458*CEG_Assets!$U$16,0)/1000000*(1+CEG_RevAdj)</f>
        <v>0</v>
      </c>
      <c r="W466" s="8" t="n">
        <f aca="false">IF(W$3&lt;=CEG_Assets!$V$16,W458*CEG_Assets!$U$16,0)/1000000*(1+CEG_RevAdj)</f>
        <v>0</v>
      </c>
      <c r="X466" s="8" t="n">
        <f aca="false">IF(X$3&lt;=CEG_Assets!$V$16,X458*CEG_Assets!$U$16,0)/1000000*(1+CEG_RevAdj)</f>
        <v>0</v>
      </c>
      <c r="Y466" s="8" t="n">
        <f aca="false">IF(Y$3&lt;=CEG_Assets!$V$16,Y458*CEG_Assets!$U$16,0)/1000000*(1+CEG_RevAdj)</f>
        <v>0</v>
      </c>
      <c r="Z466" s="8" t="n">
        <f aca="false">IF(Z$3&lt;=CEG_Assets!$V$16,Z458*CEG_Assets!$U$16,0)/1000000*(1+CEG_RevAdj)</f>
        <v>0</v>
      </c>
      <c r="AA466" s="8" t="n">
        <f aca="false">IF(AA$3&lt;=CEG_Assets!$V$16,AA458*CEG_Assets!$U$16,0)/1000000*(1+CEG_RevAdj)</f>
        <v>0</v>
      </c>
      <c r="AB466" s="8" t="n">
        <f aca="false">IF(AB$3&lt;=CEG_Assets!$V$16,AB458*CEG_Assets!$U$16,0)/1000000*(1+CEG_RevAdj)</f>
        <v>0</v>
      </c>
      <c r="AC466" s="8" t="n">
        <f aca="false">IF(AC$3&lt;=CEG_Assets!$V$16,AC458*CEG_Assets!$U$16,0)/1000000*(1+CEG_RevAdj)</f>
        <v>0</v>
      </c>
      <c r="AD466" s="8" t="n">
        <f aca="false">IF(AD$3&lt;=CEG_Assets!$V$16,AD458*CEG_Assets!$U$16,0)/1000000*(1+CEG_RevAdj)</f>
        <v>0</v>
      </c>
      <c r="AE466" s="8" t="n">
        <f aca="false">IF(AE$3&lt;=CEG_Assets!$V$16,AE458*CEG_Assets!$U$16,0)/1000000*(1+CEG_RevAdj)</f>
        <v>0</v>
      </c>
      <c r="AF466" s="8" t="n">
        <f aca="false">IF(AF$3&lt;=CEG_Assets!$V$16,AF458*CEG_Assets!$U$16,0)/1000000*(1+CEG_RevAdj)</f>
        <v>0</v>
      </c>
      <c r="AG466" s="8" t="n">
        <f aca="false">IF(AG$3&lt;=CEG_Assets!$V$16,AG458*CEG_Assets!$U$16,0)/1000000*(1+CEG_RevAdj)</f>
        <v>0</v>
      </c>
      <c r="AH466" s="8" t="n">
        <f aca="false">IF(AH$3&lt;=CEG_Assets!$V$16,AH458*CEG_Assets!$U$16,0)/1000000*(1+CEG_RevAdj)</f>
        <v>0</v>
      </c>
      <c r="AI466" s="8" t="n">
        <f aca="false">IF(AI$3&lt;=CEG_Assets!$V$16,AI458*CEG_Assets!$U$16,0)/1000000*(1+CEG_RevAdj)</f>
        <v>0</v>
      </c>
      <c r="AJ466" s="8" t="n">
        <f aca="false">IF(AJ$3&lt;=CEG_Assets!$V$16,AJ458*CEG_Assets!$U$16,0)/1000000*(1+CEG_RevAdj)</f>
        <v>0</v>
      </c>
      <c r="AK466" s="8" t="n">
        <f aca="false">IF(AK$3&lt;=CEG_Assets!$V$16,AK458*CEG_Assets!$U$16,0)/1000000*(1+CEG_RevAdj)</f>
        <v>0</v>
      </c>
      <c r="AL466" s="8" t="n">
        <f aca="false">IF(AL$3&lt;=CEG_Assets!$V$16,AL458*CEG_Assets!$U$16,0)/1000000*(1+CEG_RevAdj)</f>
        <v>0</v>
      </c>
      <c r="AM466" s="8" t="n">
        <f aca="false">IF(AM$3&lt;=CEG_Assets!$V$16,AM458*CEG_Assets!$U$16,0)/1000000*(1+CEG_RevAdj)</f>
        <v>0</v>
      </c>
      <c r="AN466" s="8" t="n">
        <f aca="false">IF(AN$3&lt;=CEG_Assets!$V$16,AN458*CEG_Assets!$U$16,0)/1000000*(1+CEG_RevAdj)</f>
        <v>0</v>
      </c>
      <c r="AO466" s="8" t="n">
        <f aca="false">IF(AO$3&lt;=CEG_Assets!$V$16,AO458*CEG_Assets!$U$16,0)/1000000*(1+CEG_RevAdj)</f>
        <v>0</v>
      </c>
      <c r="AP466" s="8" t="n">
        <f aca="false">IF(AP$3&lt;=CEG_Assets!$V$16,AP458*CEG_Assets!$U$16,0)/1000000*(1+CEG_RevAdj)</f>
        <v>0</v>
      </c>
      <c r="AQ466" s="8" t="n">
        <f aca="false">IF(AQ$3&lt;=CEG_Assets!$V$16,AQ458*CEG_Assets!$U$16,0)/1000000*(1+CEG_RevAdj)</f>
        <v>0</v>
      </c>
      <c r="AR466" s="8" t="n">
        <f aca="false">IF(AR$3&lt;=CEG_Assets!$V$16,AR458*CEG_Assets!$U$16,0)/1000000*(1+CEG_RevAdj)</f>
        <v>0</v>
      </c>
      <c r="AS466" s="8" t="n">
        <f aca="false">IF(AS$3&lt;=CEG_Assets!$V$16,AS458*CEG_Assets!$U$16,0)/1000000*(1+CEG_RevAdj)</f>
        <v>0</v>
      </c>
    </row>
    <row r="467" customFormat="false" ht="15" hidden="false" customHeight="false" outlineLevel="0" collapsed="false">
      <c r="A467" s="6" t="s">
        <v>447</v>
      </c>
      <c r="B467" s="6" t="s">
        <v>448</v>
      </c>
      <c r="C467" s="9" t="n">
        <f aca="false">SUM(G467:AS467)</f>
        <v>1600.17330519987</v>
      </c>
      <c r="G467" s="8" t="n">
        <f aca="false">G463+G464+G465+G466</f>
        <v>108.946368</v>
      </c>
      <c r="H467" s="8" t="n">
        <f aca="false">H463+H464+H465+H466</f>
        <v>110.6997696</v>
      </c>
      <c r="I467" s="8" t="n">
        <f aca="false">I463+I464+I465+I466</f>
        <v>105.656254782394</v>
      </c>
      <c r="J467" s="8" t="n">
        <f aca="false">J463+J464+J465+J466</f>
        <v>104.766268981043</v>
      </c>
      <c r="K467" s="8" t="n">
        <f aca="false">K463+K464+K465+K466</f>
        <v>106.861594360664</v>
      </c>
      <c r="L467" s="8" t="n">
        <f aca="false">L463+L464+L465+L466</f>
        <v>108.998826247877</v>
      </c>
      <c r="M467" s="8" t="n">
        <f aca="false">M463+M464+M465+M466</f>
        <v>111.178802772835</v>
      </c>
      <c r="N467" s="8" t="n">
        <f aca="false">N463+N464+N465+N466</f>
        <v>113.402378828291</v>
      </c>
      <c r="O467" s="8" t="n">
        <f aca="false">O463+O464+O465+O466</f>
        <v>115.670426404857</v>
      </c>
      <c r="P467" s="8" t="n">
        <f aca="false">P463+P464+P465+P466</f>
        <v>117.983834932954</v>
      </c>
      <c r="Q467" s="8" t="n">
        <f aca="false">Q463+Q464+Q465+Q466</f>
        <v>120.343511631613</v>
      </c>
      <c r="R467" s="8" t="n">
        <f aca="false">R463+R464+R465+R466</f>
        <v>122.750381864246</v>
      </c>
      <c r="S467" s="8" t="n">
        <f aca="false">S463+S464+S465+S466</f>
        <v>125.205389501531</v>
      </c>
      <c r="T467" s="8" t="n">
        <f aca="false">T463+T464+T465+T466</f>
        <v>127.709497291561</v>
      </c>
      <c r="U467" s="8" t="n">
        <f aca="false">U463+U464+U465+U466</f>
        <v>0</v>
      </c>
      <c r="V467" s="8" t="n">
        <f aca="false">V463+V464+V465+V466</f>
        <v>0</v>
      </c>
      <c r="W467" s="8" t="n">
        <f aca="false">W463+W464+W465+W466</f>
        <v>0</v>
      </c>
      <c r="X467" s="8" t="n">
        <f aca="false">X463+X464+X465+X466</f>
        <v>0</v>
      </c>
      <c r="Y467" s="8" t="n">
        <f aca="false">Y463+Y464+Y465+Y466</f>
        <v>0</v>
      </c>
      <c r="Z467" s="8" t="n">
        <f aca="false">Z463+Z464+Z465+Z466</f>
        <v>0</v>
      </c>
      <c r="AA467" s="8" t="n">
        <f aca="false">AA463+AA464+AA465+AA466</f>
        <v>0</v>
      </c>
      <c r="AB467" s="8" t="n">
        <f aca="false">AB463+AB464+AB465+AB466</f>
        <v>0</v>
      </c>
      <c r="AC467" s="8" t="n">
        <f aca="false">AC463+AC464+AC465+AC466</f>
        <v>0</v>
      </c>
      <c r="AD467" s="8" t="n">
        <f aca="false">AD463+AD464+AD465+AD466</f>
        <v>0</v>
      </c>
      <c r="AE467" s="8" t="n">
        <f aca="false">AE463+AE464+AE465+AE466</f>
        <v>0</v>
      </c>
      <c r="AF467" s="8" t="n">
        <f aca="false">AF463+AF464+AF465+AF466</f>
        <v>0</v>
      </c>
      <c r="AG467" s="8" t="n">
        <f aca="false">AG463+AG464+AG465+AG466</f>
        <v>0</v>
      </c>
      <c r="AH467" s="8" t="n">
        <f aca="false">AH463+AH464+AH465+AH466</f>
        <v>0</v>
      </c>
      <c r="AI467" s="8" t="n">
        <f aca="false">AI463+AI464+AI465+AI466</f>
        <v>0</v>
      </c>
      <c r="AJ467" s="8" t="n">
        <f aca="false">AJ463+AJ464+AJ465+AJ466</f>
        <v>0</v>
      </c>
      <c r="AK467" s="8" t="n">
        <f aca="false">AK463+AK464+AK465+AK466</f>
        <v>0</v>
      </c>
      <c r="AL467" s="8" t="n">
        <f aca="false">AL463+AL464+AL465+AL466</f>
        <v>0</v>
      </c>
      <c r="AM467" s="8" t="n">
        <f aca="false">AM463+AM464+AM465+AM466</f>
        <v>0</v>
      </c>
      <c r="AN467" s="8" t="n">
        <f aca="false">AN463+AN464+AN465+AN466</f>
        <v>0</v>
      </c>
      <c r="AO467" s="8" t="n">
        <f aca="false">AO463+AO464+AO465+AO466</f>
        <v>0</v>
      </c>
      <c r="AP467" s="8" t="n">
        <f aca="false">AP463+AP464+AP465+AP466</f>
        <v>0</v>
      </c>
      <c r="AQ467" s="8" t="n">
        <f aca="false">AQ463+AQ464+AQ465+AQ466</f>
        <v>0</v>
      </c>
      <c r="AR467" s="8" t="n">
        <f aca="false">AR463+AR464+AR465+AR466</f>
        <v>0</v>
      </c>
      <c r="AS467" s="8" t="n">
        <f aca="false">AS463+AS464+AS465+AS466</f>
        <v>0</v>
      </c>
    </row>
    <row r="468" customFormat="false" ht="15" hidden="false" customHeight="false" outlineLevel="0" collapsed="false">
      <c r="A468" s="6" t="s">
        <v>449</v>
      </c>
      <c r="B468" s="6" t="s">
        <v>450</v>
      </c>
      <c r="C468" s="9" t="n">
        <f aca="false">SUM(G468:AS468)</f>
        <v>385.832433249501</v>
      </c>
      <c r="G468" s="8" t="n">
        <f aca="false">((CEG_Assets!$K$16*G460+CEG_Assets!$M$16*G$4)*G458*G462+CEG_Assets!$N$16*(1+CEG_Assets!$Q$16)^(G$3-2026)*(G458+G459))/1000000*(1+CEG_FuelAdj)</f>
        <v>23.76048384</v>
      </c>
      <c r="H468" s="8" t="n">
        <f aca="false">((CEG_Assets!$K$16*H460+CEG_Assets!$M$16*H$4)*H458*H462+CEG_Assets!$N$16*(1+CEG_Assets!$Q$16)^(H$3-2026)*(H458+H459))/1000000*(1+CEG_FuelAdj)</f>
        <v>24.2356935168</v>
      </c>
      <c r="I468" s="8" t="n">
        <f aca="false">((CEG_Assets!$K$16*I460+CEG_Assets!$M$16*I$4)*I458*I462+CEG_Assets!$N$16*(1+CEG_Assets!$Q$16)^(I$3-2026)*(I458+I459))/1000000*(1+CEG_FuelAdj)</f>
        <v>25.188934963968</v>
      </c>
      <c r="J468" s="8" t="n">
        <f aca="false">((CEG_Assets!$K$16*J460+CEG_Assets!$M$16*J$4)*J458*J462+CEG_Assets!$N$16*(1+CEG_Assets!$Q$16)^(J$3-2026)*(J458+J459))/1000000*(1+CEG_FuelAdj)</f>
        <v>25.6927136632474</v>
      </c>
      <c r="K468" s="8" t="n">
        <f aca="false">((CEG_Assets!$K$16*K460+CEG_Assets!$M$16*K$4)*K458*K462+CEG_Assets!$N$16*(1+CEG_Assets!$Q$16)^(K$3-2026)*(K458+K459))/1000000*(1+CEG_FuelAdj)</f>
        <v>26.2065679365123</v>
      </c>
      <c r="L468" s="8" t="n">
        <f aca="false">((CEG_Assets!$K$16*L460+CEG_Assets!$M$16*L$4)*L458*L462+CEG_Assets!$N$16*(1+CEG_Assets!$Q$16)^(L$3-2026)*(L458+L459))/1000000*(1+CEG_FuelAdj)</f>
        <v>26.7306992952426</v>
      </c>
      <c r="M468" s="8" t="n">
        <f aca="false">((CEG_Assets!$K$16*M460+CEG_Assets!$M$16*M$4)*M458*M462+CEG_Assets!$N$16*(1+CEG_Assets!$Q$16)^(M$3-2026)*(M458+M459))/1000000*(1+CEG_FuelAdj)</f>
        <v>27.2653132811474</v>
      </c>
      <c r="N468" s="8" t="n">
        <f aca="false">((CEG_Assets!$K$16*N460+CEG_Assets!$M$16*N$4)*N458*N462+CEG_Assets!$N$16*(1+CEG_Assets!$Q$16)^(N$3-2026)*(N458+N459))/1000000*(1+CEG_FuelAdj)</f>
        <v>27.8106195467704</v>
      </c>
      <c r="O468" s="8" t="n">
        <f aca="false">((CEG_Assets!$K$16*O460+CEG_Assets!$M$16*O$4)*O458*O462+CEG_Assets!$N$16*(1+CEG_Assets!$Q$16)^(O$3-2026)*(O458+O459))/1000000*(1+CEG_FuelAdj)</f>
        <v>28.3668319377058</v>
      </c>
      <c r="P468" s="8" t="n">
        <f aca="false">((CEG_Assets!$K$16*P460+CEG_Assets!$M$16*P$4)*P458*P462+CEG_Assets!$N$16*(1+CEG_Assets!$Q$16)^(P$3-2026)*(P458+P459))/1000000*(1+CEG_FuelAdj)</f>
        <v>28.9341685764599</v>
      </c>
      <c r="Q468" s="8" t="n">
        <f aca="false">((CEG_Assets!$K$16*Q460+CEG_Assets!$M$16*Q$4)*Q458*Q462+CEG_Assets!$N$16*(1+CEG_Assets!$Q$16)^(Q$3-2026)*(Q458+Q459))/1000000*(1+CEG_FuelAdj)</f>
        <v>29.5128519479891</v>
      </c>
      <c r="R468" s="8" t="n">
        <f aca="false">((CEG_Assets!$K$16*R460+CEG_Assets!$M$16*R$4)*R458*R462+CEG_Assets!$N$16*(1+CEG_Assets!$Q$16)^(R$3-2026)*(R458+R459))/1000000*(1+CEG_FuelAdj)</f>
        <v>30.1031089869489</v>
      </c>
      <c r="S468" s="8" t="n">
        <f aca="false">((CEG_Assets!$K$16*S460+CEG_Assets!$M$16*S$4)*S458*S462+CEG_Assets!$N$16*(1+CEG_Assets!$Q$16)^(S$3-2026)*(S458+S459))/1000000*(1+CEG_FuelAdj)</f>
        <v>30.7051711666878</v>
      </c>
      <c r="T468" s="8" t="n">
        <f aca="false">((CEG_Assets!$K$16*T460+CEG_Assets!$M$16*T$4)*T458*T462+CEG_Assets!$N$16*(1+CEG_Assets!$Q$16)^(T$3-2026)*(T458+T459))/1000000*(1+CEG_FuelAdj)</f>
        <v>31.3192745900216</v>
      </c>
      <c r="U468" s="8" t="n">
        <f aca="false">((CEG_Assets!$K$16*U460+CEG_Assets!$M$16*U$4)*U458*U462+CEG_Assets!$N$16*(1+CEG_Assets!$Q$16)^(U$3-2026)*(U458+U459))/1000000*(1+CEG_FuelAdj)</f>
        <v>0</v>
      </c>
      <c r="V468" s="8" t="n">
        <f aca="false">((CEG_Assets!$K$16*V460+CEG_Assets!$M$16*V$4)*V458*V462+CEG_Assets!$N$16*(1+CEG_Assets!$Q$16)^(V$3-2026)*(V458+V459))/1000000*(1+CEG_FuelAdj)</f>
        <v>0</v>
      </c>
      <c r="W468" s="8" t="n">
        <f aca="false">((CEG_Assets!$K$16*W460+CEG_Assets!$M$16*W$4)*W458*W462+CEG_Assets!$N$16*(1+CEG_Assets!$Q$16)^(W$3-2026)*(W458+W459))/1000000*(1+CEG_FuelAdj)</f>
        <v>0</v>
      </c>
      <c r="X468" s="8" t="n">
        <f aca="false">((CEG_Assets!$K$16*X460+CEG_Assets!$M$16*X$4)*X458*X462+CEG_Assets!$N$16*(1+CEG_Assets!$Q$16)^(X$3-2026)*(X458+X459))/1000000*(1+CEG_FuelAdj)</f>
        <v>0</v>
      </c>
      <c r="Y468" s="8" t="n">
        <f aca="false">((CEG_Assets!$K$16*Y460+CEG_Assets!$M$16*Y$4)*Y458*Y462+CEG_Assets!$N$16*(1+CEG_Assets!$Q$16)^(Y$3-2026)*(Y458+Y459))/1000000*(1+CEG_FuelAdj)</f>
        <v>0</v>
      </c>
      <c r="Z468" s="8" t="n">
        <f aca="false">((CEG_Assets!$K$16*Z460+CEG_Assets!$M$16*Z$4)*Z458*Z462+CEG_Assets!$N$16*(1+CEG_Assets!$Q$16)^(Z$3-2026)*(Z458+Z459))/1000000*(1+CEG_FuelAdj)</f>
        <v>0</v>
      </c>
      <c r="AA468" s="8" t="n">
        <f aca="false">((CEG_Assets!$K$16*AA460+CEG_Assets!$M$16*AA$4)*AA458*AA462+CEG_Assets!$N$16*(1+CEG_Assets!$Q$16)^(AA$3-2026)*(AA458+AA459))/1000000*(1+CEG_FuelAdj)</f>
        <v>0</v>
      </c>
      <c r="AB468" s="8" t="n">
        <f aca="false">((CEG_Assets!$K$16*AB460+CEG_Assets!$M$16*AB$4)*AB458*AB462+CEG_Assets!$N$16*(1+CEG_Assets!$Q$16)^(AB$3-2026)*(AB458+AB459))/1000000*(1+CEG_FuelAdj)</f>
        <v>0</v>
      </c>
      <c r="AC468" s="8" t="n">
        <f aca="false">((CEG_Assets!$K$16*AC460+CEG_Assets!$M$16*AC$4)*AC458*AC462+CEG_Assets!$N$16*(1+CEG_Assets!$Q$16)^(AC$3-2026)*(AC458+AC459))/1000000*(1+CEG_FuelAdj)</f>
        <v>0</v>
      </c>
      <c r="AD468" s="8" t="n">
        <f aca="false">((CEG_Assets!$K$16*AD460+CEG_Assets!$M$16*AD$4)*AD458*AD462+CEG_Assets!$N$16*(1+CEG_Assets!$Q$16)^(AD$3-2026)*(AD458+AD459))/1000000*(1+CEG_FuelAdj)</f>
        <v>0</v>
      </c>
      <c r="AE468" s="8" t="n">
        <f aca="false">((CEG_Assets!$K$16*AE460+CEG_Assets!$M$16*AE$4)*AE458*AE462+CEG_Assets!$N$16*(1+CEG_Assets!$Q$16)^(AE$3-2026)*(AE458+AE459))/1000000*(1+CEG_FuelAdj)</f>
        <v>0</v>
      </c>
      <c r="AF468" s="8" t="n">
        <f aca="false">((CEG_Assets!$K$16*AF460+CEG_Assets!$M$16*AF$4)*AF458*AF462+CEG_Assets!$N$16*(1+CEG_Assets!$Q$16)^(AF$3-2026)*(AF458+AF459))/1000000*(1+CEG_FuelAdj)</f>
        <v>0</v>
      </c>
      <c r="AG468" s="8" t="n">
        <f aca="false">((CEG_Assets!$K$16*AG460+CEG_Assets!$M$16*AG$4)*AG458*AG462+CEG_Assets!$N$16*(1+CEG_Assets!$Q$16)^(AG$3-2026)*(AG458+AG459))/1000000*(1+CEG_FuelAdj)</f>
        <v>0</v>
      </c>
      <c r="AH468" s="8" t="n">
        <f aca="false">((CEG_Assets!$K$16*AH460+CEG_Assets!$M$16*AH$4)*AH458*AH462+CEG_Assets!$N$16*(1+CEG_Assets!$Q$16)^(AH$3-2026)*(AH458+AH459))/1000000*(1+CEG_FuelAdj)</f>
        <v>0</v>
      </c>
      <c r="AI468" s="8" t="n">
        <f aca="false">((CEG_Assets!$K$16*AI460+CEG_Assets!$M$16*AI$4)*AI458*AI462+CEG_Assets!$N$16*(1+CEG_Assets!$Q$16)^(AI$3-2026)*(AI458+AI459))/1000000*(1+CEG_FuelAdj)</f>
        <v>0</v>
      </c>
      <c r="AJ468" s="8" t="n">
        <f aca="false">((CEG_Assets!$K$16*AJ460+CEG_Assets!$M$16*AJ$4)*AJ458*AJ462+CEG_Assets!$N$16*(1+CEG_Assets!$Q$16)^(AJ$3-2026)*(AJ458+AJ459))/1000000*(1+CEG_FuelAdj)</f>
        <v>0</v>
      </c>
      <c r="AK468" s="8" t="n">
        <f aca="false">((CEG_Assets!$K$16*AK460+CEG_Assets!$M$16*AK$4)*AK458*AK462+CEG_Assets!$N$16*(1+CEG_Assets!$Q$16)^(AK$3-2026)*(AK458+AK459))/1000000*(1+CEG_FuelAdj)</f>
        <v>0</v>
      </c>
      <c r="AL468" s="8" t="n">
        <f aca="false">((CEG_Assets!$K$16*AL460+CEG_Assets!$M$16*AL$4)*AL458*AL462+CEG_Assets!$N$16*(1+CEG_Assets!$Q$16)^(AL$3-2026)*(AL458+AL459))/1000000*(1+CEG_FuelAdj)</f>
        <v>0</v>
      </c>
      <c r="AM468" s="8" t="n">
        <f aca="false">((CEG_Assets!$K$16*AM460+CEG_Assets!$M$16*AM$4)*AM458*AM462+CEG_Assets!$N$16*(1+CEG_Assets!$Q$16)^(AM$3-2026)*(AM458+AM459))/1000000*(1+CEG_FuelAdj)</f>
        <v>0</v>
      </c>
      <c r="AN468" s="8" t="n">
        <f aca="false">((CEG_Assets!$K$16*AN460+CEG_Assets!$M$16*AN$4)*AN458*AN462+CEG_Assets!$N$16*(1+CEG_Assets!$Q$16)^(AN$3-2026)*(AN458+AN459))/1000000*(1+CEG_FuelAdj)</f>
        <v>0</v>
      </c>
      <c r="AO468" s="8" t="n">
        <f aca="false">((CEG_Assets!$K$16*AO460+CEG_Assets!$M$16*AO$4)*AO458*AO462+CEG_Assets!$N$16*(1+CEG_Assets!$Q$16)^(AO$3-2026)*(AO458+AO459))/1000000*(1+CEG_FuelAdj)</f>
        <v>0</v>
      </c>
      <c r="AP468" s="8" t="n">
        <f aca="false">((CEG_Assets!$K$16*AP460+CEG_Assets!$M$16*AP$4)*AP458*AP462+CEG_Assets!$N$16*(1+CEG_Assets!$Q$16)^(AP$3-2026)*(AP458+AP459))/1000000*(1+CEG_FuelAdj)</f>
        <v>0</v>
      </c>
      <c r="AQ468" s="8" t="n">
        <f aca="false">((CEG_Assets!$K$16*AQ460+CEG_Assets!$M$16*AQ$4)*AQ458*AQ462+CEG_Assets!$N$16*(1+CEG_Assets!$Q$16)^(AQ$3-2026)*(AQ458+AQ459))/1000000*(1+CEG_FuelAdj)</f>
        <v>0</v>
      </c>
      <c r="AR468" s="8" t="n">
        <f aca="false">((CEG_Assets!$K$16*AR460+CEG_Assets!$M$16*AR$4)*AR458*AR462+CEG_Assets!$N$16*(1+CEG_Assets!$Q$16)^(AR$3-2026)*(AR458+AR459))/1000000*(1+CEG_FuelAdj)</f>
        <v>0</v>
      </c>
      <c r="AS468" s="8" t="n">
        <f aca="false">((CEG_Assets!$K$16*AS460+CEG_Assets!$M$16*AS$4)*AS458*AS462+CEG_Assets!$N$16*(1+CEG_Assets!$Q$16)^(AS$3-2026)*(AS458+AS459))/1000000*(1+CEG_FuelAdj)</f>
        <v>0</v>
      </c>
    </row>
    <row r="469" customFormat="false" ht="15" hidden="false" customHeight="false" outlineLevel="0" collapsed="false">
      <c r="A469" s="6" t="s">
        <v>451</v>
      </c>
      <c r="B469" s="6" t="s">
        <v>452</v>
      </c>
      <c r="C469" s="9" t="n">
        <f aca="false">SUM(G469:AS469)</f>
        <v>1214.34087195036</v>
      </c>
      <c r="G469" s="8" t="n">
        <f aca="false">G467-G468</f>
        <v>85.18588416</v>
      </c>
      <c r="H469" s="8" t="n">
        <f aca="false">H467-H468</f>
        <v>86.4640760832</v>
      </c>
      <c r="I469" s="8" t="n">
        <f aca="false">I467-I468</f>
        <v>80.4673198184256</v>
      </c>
      <c r="J469" s="8" t="n">
        <f aca="false">J467-J468</f>
        <v>79.0735553177956</v>
      </c>
      <c r="K469" s="8" t="n">
        <f aca="false">K467-K468</f>
        <v>80.6550264241515</v>
      </c>
      <c r="L469" s="8" t="n">
        <f aca="false">L467-L468</f>
        <v>82.2681269526345</v>
      </c>
      <c r="M469" s="8" t="n">
        <f aca="false">M467-M468</f>
        <v>83.9134894916872</v>
      </c>
      <c r="N469" s="8" t="n">
        <f aca="false">N467-N468</f>
        <v>85.591759281521</v>
      </c>
      <c r="O469" s="8" t="n">
        <f aca="false">O467-O468</f>
        <v>87.3035944671514</v>
      </c>
      <c r="P469" s="8" t="n">
        <f aca="false">P467-P468</f>
        <v>89.0496663564944</v>
      </c>
      <c r="Q469" s="8" t="n">
        <f aca="false">Q467-Q468</f>
        <v>90.8306596836243</v>
      </c>
      <c r="R469" s="8" t="n">
        <f aca="false">R467-R468</f>
        <v>92.6472728772968</v>
      </c>
      <c r="S469" s="8" t="n">
        <f aca="false">S467-S468</f>
        <v>94.5002183348427</v>
      </c>
      <c r="T469" s="8" t="n">
        <f aca="false">T467-T468</f>
        <v>96.3902227015396</v>
      </c>
      <c r="U469" s="8" t="n">
        <f aca="false">U467-U468</f>
        <v>0</v>
      </c>
      <c r="V469" s="8" t="n">
        <f aca="false">V467-V468</f>
        <v>0</v>
      </c>
      <c r="W469" s="8" t="n">
        <f aca="false">W467-W468</f>
        <v>0</v>
      </c>
      <c r="X469" s="8" t="n">
        <f aca="false">X467-X468</f>
        <v>0</v>
      </c>
      <c r="Y469" s="8" t="n">
        <f aca="false">Y467-Y468</f>
        <v>0</v>
      </c>
      <c r="Z469" s="8" t="n">
        <f aca="false">Z467-Z468</f>
        <v>0</v>
      </c>
      <c r="AA469" s="8" t="n">
        <f aca="false">AA467-AA468</f>
        <v>0</v>
      </c>
      <c r="AB469" s="8" t="n">
        <f aca="false">AB467-AB468</f>
        <v>0</v>
      </c>
      <c r="AC469" s="8" t="n">
        <f aca="false">AC467-AC468</f>
        <v>0</v>
      </c>
      <c r="AD469" s="8" t="n">
        <f aca="false">AD467-AD468</f>
        <v>0</v>
      </c>
      <c r="AE469" s="8" t="n">
        <f aca="false">AE467-AE468</f>
        <v>0</v>
      </c>
      <c r="AF469" s="8" t="n">
        <f aca="false">AF467-AF468</f>
        <v>0</v>
      </c>
      <c r="AG469" s="8" t="n">
        <f aca="false">AG467-AG468</f>
        <v>0</v>
      </c>
      <c r="AH469" s="8" t="n">
        <f aca="false">AH467-AH468</f>
        <v>0</v>
      </c>
      <c r="AI469" s="8" t="n">
        <f aca="false">AI467-AI468</f>
        <v>0</v>
      </c>
      <c r="AJ469" s="8" t="n">
        <f aca="false">AJ467-AJ468</f>
        <v>0</v>
      </c>
      <c r="AK469" s="8" t="n">
        <f aca="false">AK467-AK468</f>
        <v>0</v>
      </c>
      <c r="AL469" s="8" t="n">
        <f aca="false">AL467-AL468</f>
        <v>0</v>
      </c>
      <c r="AM469" s="8" t="n">
        <f aca="false">AM467-AM468</f>
        <v>0</v>
      </c>
      <c r="AN469" s="8" t="n">
        <f aca="false">AN467-AN468</f>
        <v>0</v>
      </c>
      <c r="AO469" s="8" t="n">
        <f aca="false">AO467-AO468</f>
        <v>0</v>
      </c>
      <c r="AP469" s="8" t="n">
        <f aca="false">AP467-AP468</f>
        <v>0</v>
      </c>
      <c r="AQ469" s="8" t="n">
        <f aca="false">AQ467-AQ468</f>
        <v>0</v>
      </c>
      <c r="AR469" s="8" t="n">
        <f aca="false">AR467-AR468</f>
        <v>0</v>
      </c>
      <c r="AS469" s="8" t="n">
        <f aca="false">AS467-AS468</f>
        <v>0</v>
      </c>
    </row>
    <row r="470" customFormat="false" ht="15" hidden="false" customHeight="false" outlineLevel="0" collapsed="false">
      <c r="A470" s="6" t="s">
        <v>453</v>
      </c>
      <c r="B470" s="6" t="s">
        <v>454</v>
      </c>
      <c r="C470" s="9" t="n">
        <f aca="false">SUM(G470:AS470)</f>
        <v>234.625203593373</v>
      </c>
      <c r="G470" s="8" t="n">
        <f aca="false">(CEG_Assets!$R$16*CEG_Assets!$D$16*1000*G$4*G456+CEG_Assets!$O$16*(1+CEG_Assets!$Q$16)^(G$3-2026)*(G458+G459))/1000000*(1+CEG_OMAdj)</f>
        <v>14.688</v>
      </c>
      <c r="H470" s="8" t="n">
        <f aca="false">(CEG_Assets!$R$16*CEG_Assets!$D$16*1000*H$4*H456+CEG_Assets!$O$16*(1+CEG_Assets!$Q$16)^(H$3-2026)*(H458+H459))/1000000*(1+CEG_OMAdj)</f>
        <v>14.98176</v>
      </c>
      <c r="I470" s="8" t="n">
        <f aca="false">(CEG_Assets!$R$16*CEG_Assets!$D$16*1000*I$4*I456+CEG_Assets!$O$16*(1+CEG_Assets!$Q$16)^(I$3-2026)*(I458+I459))/1000000*(1+CEG_OMAdj)</f>
        <v>15.2813952</v>
      </c>
      <c r="J470" s="8" t="n">
        <f aca="false">(CEG_Assets!$R$16*CEG_Assets!$D$16*1000*J$4*J456+CEG_Assets!$O$16*(1+CEG_Assets!$Q$16)^(J$3-2026)*(J458+J459))/1000000*(1+CEG_OMAdj)</f>
        <v>15.587023104</v>
      </c>
      <c r="K470" s="8" t="n">
        <f aca="false">(CEG_Assets!$R$16*CEG_Assets!$D$16*1000*K$4*K456+CEG_Assets!$O$16*(1+CEG_Assets!$Q$16)^(K$3-2026)*(K458+K459))/1000000*(1+CEG_OMAdj)</f>
        <v>15.89876356608</v>
      </c>
      <c r="L470" s="8" t="n">
        <f aca="false">(CEG_Assets!$R$16*CEG_Assets!$D$16*1000*L$4*L456+CEG_Assets!$O$16*(1+CEG_Assets!$Q$16)^(L$3-2026)*(L458+L459))/1000000*(1+CEG_OMAdj)</f>
        <v>16.2167388374016</v>
      </c>
      <c r="M470" s="8" t="n">
        <f aca="false">(CEG_Assets!$R$16*CEG_Assets!$D$16*1000*M$4*M456+CEG_Assets!$O$16*(1+CEG_Assets!$Q$16)^(M$3-2026)*(M458+M459))/1000000*(1+CEG_OMAdj)</f>
        <v>16.5410736141496</v>
      </c>
      <c r="N470" s="8" t="n">
        <f aca="false">(CEG_Assets!$R$16*CEG_Assets!$D$16*1000*N$4*N456+CEG_Assets!$O$16*(1+CEG_Assets!$Q$16)^(N$3-2026)*(N458+N459))/1000000*(1+CEG_OMAdj)</f>
        <v>16.8718950864326</v>
      </c>
      <c r="O470" s="8" t="n">
        <f aca="false">(CEG_Assets!$R$16*CEG_Assets!$D$16*1000*O$4*O456+CEG_Assets!$O$16*(1+CEG_Assets!$Q$16)^(O$3-2026)*(O458+O459))/1000000*(1+CEG_OMAdj)</f>
        <v>17.2093329881613</v>
      </c>
      <c r="P470" s="8" t="n">
        <f aca="false">(CEG_Assets!$R$16*CEG_Assets!$D$16*1000*P$4*P456+CEG_Assets!$O$16*(1+CEG_Assets!$Q$16)^(P$3-2026)*(P458+P459))/1000000*(1+CEG_OMAdj)</f>
        <v>17.5535196479245</v>
      </c>
      <c r="Q470" s="8" t="n">
        <f aca="false">(CEG_Assets!$R$16*CEG_Assets!$D$16*1000*Q$4*Q456+CEG_Assets!$O$16*(1+CEG_Assets!$Q$16)^(Q$3-2026)*(Q458+Q459))/1000000*(1+CEG_OMAdj)</f>
        <v>17.904590040883</v>
      </c>
      <c r="R470" s="8" t="n">
        <f aca="false">(CEG_Assets!$R$16*CEG_Assets!$D$16*1000*R$4*R456+CEG_Assets!$O$16*(1+CEG_Assets!$Q$16)^(R$3-2026)*(R458+R459))/1000000*(1+CEG_OMAdj)</f>
        <v>18.2626818417007</v>
      </c>
      <c r="S470" s="8" t="n">
        <f aca="false">(CEG_Assets!$R$16*CEG_Assets!$D$16*1000*S$4*S456+CEG_Assets!$O$16*(1+CEG_Assets!$Q$16)^(S$3-2026)*(S458+S459))/1000000*(1+CEG_OMAdj)</f>
        <v>18.6279354785347</v>
      </c>
      <c r="T470" s="8" t="n">
        <f aca="false">(CEG_Assets!$R$16*CEG_Assets!$D$16*1000*T$4*T456+CEG_Assets!$O$16*(1+CEG_Assets!$Q$16)^(T$3-2026)*(T458+T459))/1000000*(1+CEG_OMAdj)</f>
        <v>19.0004941881054</v>
      </c>
      <c r="U470" s="8" t="n">
        <f aca="false">(CEG_Assets!$R$16*CEG_Assets!$D$16*1000*U$4*U456+CEG_Assets!$O$16*(1+CEG_Assets!$Q$16)^(U$3-2026)*(U458+U459))/1000000*(1+CEG_OMAdj)</f>
        <v>0</v>
      </c>
      <c r="V470" s="8" t="n">
        <f aca="false">(CEG_Assets!$R$16*CEG_Assets!$D$16*1000*V$4*V456+CEG_Assets!$O$16*(1+CEG_Assets!$Q$16)^(V$3-2026)*(V458+V459))/1000000*(1+CEG_OMAdj)</f>
        <v>0</v>
      </c>
      <c r="W470" s="8" t="n">
        <f aca="false">(CEG_Assets!$R$16*CEG_Assets!$D$16*1000*W$4*W456+CEG_Assets!$O$16*(1+CEG_Assets!$Q$16)^(W$3-2026)*(W458+W459))/1000000*(1+CEG_OMAdj)</f>
        <v>0</v>
      </c>
      <c r="X470" s="8" t="n">
        <f aca="false">(CEG_Assets!$R$16*CEG_Assets!$D$16*1000*X$4*X456+CEG_Assets!$O$16*(1+CEG_Assets!$Q$16)^(X$3-2026)*(X458+X459))/1000000*(1+CEG_OMAdj)</f>
        <v>0</v>
      </c>
      <c r="Y470" s="8" t="n">
        <f aca="false">(CEG_Assets!$R$16*CEG_Assets!$D$16*1000*Y$4*Y456+CEG_Assets!$O$16*(1+CEG_Assets!$Q$16)^(Y$3-2026)*(Y458+Y459))/1000000*(1+CEG_OMAdj)</f>
        <v>0</v>
      </c>
      <c r="Z470" s="8" t="n">
        <f aca="false">(CEG_Assets!$R$16*CEG_Assets!$D$16*1000*Z$4*Z456+CEG_Assets!$O$16*(1+CEG_Assets!$Q$16)^(Z$3-2026)*(Z458+Z459))/1000000*(1+CEG_OMAdj)</f>
        <v>0</v>
      </c>
      <c r="AA470" s="8" t="n">
        <f aca="false">(CEG_Assets!$R$16*CEG_Assets!$D$16*1000*AA$4*AA456+CEG_Assets!$O$16*(1+CEG_Assets!$Q$16)^(AA$3-2026)*(AA458+AA459))/1000000*(1+CEG_OMAdj)</f>
        <v>0</v>
      </c>
      <c r="AB470" s="8" t="n">
        <f aca="false">(CEG_Assets!$R$16*CEG_Assets!$D$16*1000*AB$4*AB456+CEG_Assets!$O$16*(1+CEG_Assets!$Q$16)^(AB$3-2026)*(AB458+AB459))/1000000*(1+CEG_OMAdj)</f>
        <v>0</v>
      </c>
      <c r="AC470" s="8" t="n">
        <f aca="false">(CEG_Assets!$R$16*CEG_Assets!$D$16*1000*AC$4*AC456+CEG_Assets!$O$16*(1+CEG_Assets!$Q$16)^(AC$3-2026)*(AC458+AC459))/1000000*(1+CEG_OMAdj)</f>
        <v>0</v>
      </c>
      <c r="AD470" s="8" t="n">
        <f aca="false">(CEG_Assets!$R$16*CEG_Assets!$D$16*1000*AD$4*AD456+CEG_Assets!$O$16*(1+CEG_Assets!$Q$16)^(AD$3-2026)*(AD458+AD459))/1000000*(1+CEG_OMAdj)</f>
        <v>0</v>
      </c>
      <c r="AE470" s="8" t="n">
        <f aca="false">(CEG_Assets!$R$16*CEG_Assets!$D$16*1000*AE$4*AE456+CEG_Assets!$O$16*(1+CEG_Assets!$Q$16)^(AE$3-2026)*(AE458+AE459))/1000000*(1+CEG_OMAdj)</f>
        <v>0</v>
      </c>
      <c r="AF470" s="8" t="n">
        <f aca="false">(CEG_Assets!$R$16*CEG_Assets!$D$16*1000*AF$4*AF456+CEG_Assets!$O$16*(1+CEG_Assets!$Q$16)^(AF$3-2026)*(AF458+AF459))/1000000*(1+CEG_OMAdj)</f>
        <v>0</v>
      </c>
      <c r="AG470" s="8" t="n">
        <f aca="false">(CEG_Assets!$R$16*CEG_Assets!$D$16*1000*AG$4*AG456+CEG_Assets!$O$16*(1+CEG_Assets!$Q$16)^(AG$3-2026)*(AG458+AG459))/1000000*(1+CEG_OMAdj)</f>
        <v>0</v>
      </c>
      <c r="AH470" s="8" t="n">
        <f aca="false">(CEG_Assets!$R$16*CEG_Assets!$D$16*1000*AH$4*AH456+CEG_Assets!$O$16*(1+CEG_Assets!$Q$16)^(AH$3-2026)*(AH458+AH459))/1000000*(1+CEG_OMAdj)</f>
        <v>0</v>
      </c>
      <c r="AI470" s="8" t="n">
        <f aca="false">(CEG_Assets!$R$16*CEG_Assets!$D$16*1000*AI$4*AI456+CEG_Assets!$O$16*(1+CEG_Assets!$Q$16)^(AI$3-2026)*(AI458+AI459))/1000000*(1+CEG_OMAdj)</f>
        <v>0</v>
      </c>
      <c r="AJ470" s="8" t="n">
        <f aca="false">(CEG_Assets!$R$16*CEG_Assets!$D$16*1000*AJ$4*AJ456+CEG_Assets!$O$16*(1+CEG_Assets!$Q$16)^(AJ$3-2026)*(AJ458+AJ459))/1000000*(1+CEG_OMAdj)</f>
        <v>0</v>
      </c>
      <c r="AK470" s="8" t="n">
        <f aca="false">(CEG_Assets!$R$16*CEG_Assets!$D$16*1000*AK$4*AK456+CEG_Assets!$O$16*(1+CEG_Assets!$Q$16)^(AK$3-2026)*(AK458+AK459))/1000000*(1+CEG_OMAdj)</f>
        <v>0</v>
      </c>
      <c r="AL470" s="8" t="n">
        <f aca="false">(CEG_Assets!$R$16*CEG_Assets!$D$16*1000*AL$4*AL456+CEG_Assets!$O$16*(1+CEG_Assets!$Q$16)^(AL$3-2026)*(AL458+AL459))/1000000*(1+CEG_OMAdj)</f>
        <v>0</v>
      </c>
      <c r="AM470" s="8" t="n">
        <f aca="false">(CEG_Assets!$R$16*CEG_Assets!$D$16*1000*AM$4*AM456+CEG_Assets!$O$16*(1+CEG_Assets!$Q$16)^(AM$3-2026)*(AM458+AM459))/1000000*(1+CEG_OMAdj)</f>
        <v>0</v>
      </c>
      <c r="AN470" s="8" t="n">
        <f aca="false">(CEG_Assets!$R$16*CEG_Assets!$D$16*1000*AN$4*AN456+CEG_Assets!$O$16*(1+CEG_Assets!$Q$16)^(AN$3-2026)*(AN458+AN459))/1000000*(1+CEG_OMAdj)</f>
        <v>0</v>
      </c>
      <c r="AO470" s="8" t="n">
        <f aca="false">(CEG_Assets!$R$16*CEG_Assets!$D$16*1000*AO$4*AO456+CEG_Assets!$O$16*(1+CEG_Assets!$Q$16)^(AO$3-2026)*(AO458+AO459))/1000000*(1+CEG_OMAdj)</f>
        <v>0</v>
      </c>
      <c r="AP470" s="8" t="n">
        <f aca="false">(CEG_Assets!$R$16*CEG_Assets!$D$16*1000*AP$4*AP456+CEG_Assets!$O$16*(1+CEG_Assets!$Q$16)^(AP$3-2026)*(AP458+AP459))/1000000*(1+CEG_OMAdj)</f>
        <v>0</v>
      </c>
      <c r="AQ470" s="8" t="n">
        <f aca="false">(CEG_Assets!$R$16*CEG_Assets!$D$16*1000*AQ$4*AQ456+CEG_Assets!$O$16*(1+CEG_Assets!$Q$16)^(AQ$3-2026)*(AQ458+AQ459))/1000000*(1+CEG_OMAdj)</f>
        <v>0</v>
      </c>
      <c r="AR470" s="8" t="n">
        <f aca="false">(CEG_Assets!$R$16*CEG_Assets!$D$16*1000*AR$4*AR456+CEG_Assets!$O$16*(1+CEG_Assets!$Q$16)^(AR$3-2026)*(AR458+AR459))/1000000*(1+CEG_OMAdj)</f>
        <v>0</v>
      </c>
      <c r="AS470" s="8" t="n">
        <f aca="false">(CEG_Assets!$R$16*CEG_Assets!$D$16*1000*AS$4*AS456+CEG_Assets!$O$16*(1+CEG_Assets!$Q$16)^(AS$3-2026)*(AS458+AS459))/1000000*(1+CEG_OMAdj)</f>
        <v>0</v>
      </c>
    </row>
    <row r="471" customFormat="false" ht="15" hidden="false" customHeight="false" outlineLevel="0" collapsed="false">
      <c r="A471" s="6" t="s">
        <v>455</v>
      </c>
      <c r="B471" s="6" t="s">
        <v>456</v>
      </c>
      <c r="C471" s="9" t="n">
        <f aca="false">SUM(G471:AS471)</f>
        <v>979.715668356991</v>
      </c>
      <c r="G471" s="8" t="n">
        <f aca="false">G469-G470</f>
        <v>70.49788416</v>
      </c>
      <c r="H471" s="8" t="n">
        <f aca="false">H469-H470</f>
        <v>71.4823160832</v>
      </c>
      <c r="I471" s="8" t="n">
        <f aca="false">I469-I470</f>
        <v>65.1859246184256</v>
      </c>
      <c r="J471" s="8" t="n">
        <f aca="false">J469-J470</f>
        <v>63.4865322137956</v>
      </c>
      <c r="K471" s="8" t="n">
        <f aca="false">K469-K470</f>
        <v>64.7562628580715</v>
      </c>
      <c r="L471" s="8" t="n">
        <f aca="false">L469-L470</f>
        <v>66.0513881152329</v>
      </c>
      <c r="M471" s="8" t="n">
        <f aca="false">M469-M470</f>
        <v>67.3724158775376</v>
      </c>
      <c r="N471" s="8" t="n">
        <f aca="false">N469-N470</f>
        <v>68.7198641950883</v>
      </c>
      <c r="O471" s="8" t="n">
        <f aca="false">O469-O470</f>
        <v>70.0942614789901</v>
      </c>
      <c r="P471" s="8" t="n">
        <f aca="false">P469-P470</f>
        <v>71.4961467085699</v>
      </c>
      <c r="Q471" s="8" t="n">
        <f aca="false">Q469-Q470</f>
        <v>72.9260696427413</v>
      </c>
      <c r="R471" s="8" t="n">
        <f aca="false">R469-R470</f>
        <v>74.3845910355961</v>
      </c>
      <c r="S471" s="8" t="n">
        <f aca="false">S469-S470</f>
        <v>75.8722828563081</v>
      </c>
      <c r="T471" s="8" t="n">
        <f aca="false">T469-T470</f>
        <v>77.3897285134342</v>
      </c>
      <c r="U471" s="8" t="n">
        <f aca="false">U469-U470</f>
        <v>0</v>
      </c>
      <c r="V471" s="8" t="n">
        <f aca="false">V469-V470</f>
        <v>0</v>
      </c>
      <c r="W471" s="8" t="n">
        <f aca="false">W469-W470</f>
        <v>0</v>
      </c>
      <c r="X471" s="8" t="n">
        <f aca="false">X469-X470</f>
        <v>0</v>
      </c>
      <c r="Y471" s="8" t="n">
        <f aca="false">Y469-Y470</f>
        <v>0</v>
      </c>
      <c r="Z471" s="8" t="n">
        <f aca="false">Z469-Z470</f>
        <v>0</v>
      </c>
      <c r="AA471" s="8" t="n">
        <f aca="false">AA469-AA470</f>
        <v>0</v>
      </c>
      <c r="AB471" s="8" t="n">
        <f aca="false">AB469-AB470</f>
        <v>0</v>
      </c>
      <c r="AC471" s="8" t="n">
        <f aca="false">AC469-AC470</f>
        <v>0</v>
      </c>
      <c r="AD471" s="8" t="n">
        <f aca="false">AD469-AD470</f>
        <v>0</v>
      </c>
      <c r="AE471" s="8" t="n">
        <f aca="false">AE469-AE470</f>
        <v>0</v>
      </c>
      <c r="AF471" s="8" t="n">
        <f aca="false">AF469-AF470</f>
        <v>0</v>
      </c>
      <c r="AG471" s="8" t="n">
        <f aca="false">AG469-AG470</f>
        <v>0</v>
      </c>
      <c r="AH471" s="8" t="n">
        <f aca="false">AH469-AH470</f>
        <v>0</v>
      </c>
      <c r="AI471" s="8" t="n">
        <f aca="false">AI469-AI470</f>
        <v>0</v>
      </c>
      <c r="AJ471" s="8" t="n">
        <f aca="false">AJ469-AJ470</f>
        <v>0</v>
      </c>
      <c r="AK471" s="8" t="n">
        <f aca="false">AK469-AK470</f>
        <v>0</v>
      </c>
      <c r="AL471" s="8" t="n">
        <f aca="false">AL469-AL470</f>
        <v>0</v>
      </c>
      <c r="AM471" s="8" t="n">
        <f aca="false">AM469-AM470</f>
        <v>0</v>
      </c>
      <c r="AN471" s="8" t="n">
        <f aca="false">AN469-AN470</f>
        <v>0</v>
      </c>
      <c r="AO471" s="8" t="n">
        <f aca="false">AO469-AO470</f>
        <v>0</v>
      </c>
      <c r="AP471" s="8" t="n">
        <f aca="false">AP469-AP470</f>
        <v>0</v>
      </c>
      <c r="AQ471" s="8" t="n">
        <f aca="false">AQ469-AQ470</f>
        <v>0</v>
      </c>
      <c r="AR471" s="8" t="n">
        <f aca="false">AR469-AR470</f>
        <v>0</v>
      </c>
      <c r="AS471" s="8" t="n">
        <f aca="false">AS469-AS470</f>
        <v>0</v>
      </c>
    </row>
    <row r="472" customFormat="false" ht="15" hidden="false" customHeight="false" outlineLevel="0" collapsed="false">
      <c r="A472" s="6" t="s">
        <v>457</v>
      </c>
      <c r="B472" s="6" t="s">
        <v>458</v>
      </c>
      <c r="C472" s="9" t="n">
        <f aca="false">SUM(G472:AS472)</f>
        <v>65.1736676648259</v>
      </c>
      <c r="G472" s="8" t="n">
        <f aca="false">((CEG_Assets!$S$16*CEG_Assets!$D$16*1000*G$4*G456+CEG_Assets!$P$16*(1+CEG_Assets!$Q$16)^(G$3-2026)*(G458+G459))/1000000+IF(G$3=CEG_Assets!$AH$16,CEG_Assets!$AG$16,0))*(1+CEG_CapexAdj)</f>
        <v>4.08</v>
      </c>
      <c r="H472" s="8" t="n">
        <f aca="false">((CEG_Assets!$S$16*CEG_Assets!$D$16*1000*H$4*H456+CEG_Assets!$P$16*(1+CEG_Assets!$Q$16)^(H$3-2026)*(H458+H459))/1000000+IF(H$3=CEG_Assets!$AH$16,CEG_Assets!$AG$16,0))*(1+CEG_CapexAdj)</f>
        <v>4.1616</v>
      </c>
      <c r="I472" s="8" t="n">
        <f aca="false">((CEG_Assets!$S$16*CEG_Assets!$D$16*1000*I$4*I456+CEG_Assets!$P$16*(1+CEG_Assets!$Q$16)^(I$3-2026)*(I458+I459))/1000000+IF(I$3=CEG_Assets!$AH$16,CEG_Assets!$AG$16,0))*(1+CEG_CapexAdj)</f>
        <v>4.244832</v>
      </c>
      <c r="J472" s="8" t="n">
        <f aca="false">((CEG_Assets!$S$16*CEG_Assets!$D$16*1000*J$4*J456+CEG_Assets!$P$16*(1+CEG_Assets!$Q$16)^(J$3-2026)*(J458+J459))/1000000+IF(J$3=CEG_Assets!$AH$16,CEG_Assets!$AG$16,0))*(1+CEG_CapexAdj)</f>
        <v>4.32972864</v>
      </c>
      <c r="K472" s="8" t="n">
        <f aca="false">((CEG_Assets!$S$16*CEG_Assets!$D$16*1000*K$4*K456+CEG_Assets!$P$16*(1+CEG_Assets!$Q$16)^(K$3-2026)*(K458+K459))/1000000+IF(K$3=CEG_Assets!$AH$16,CEG_Assets!$AG$16,0))*(1+CEG_CapexAdj)</f>
        <v>4.4163232128</v>
      </c>
      <c r="L472" s="8" t="n">
        <f aca="false">((CEG_Assets!$S$16*CEG_Assets!$D$16*1000*L$4*L456+CEG_Assets!$P$16*(1+CEG_Assets!$Q$16)^(L$3-2026)*(L458+L459))/1000000+IF(L$3=CEG_Assets!$AH$16,CEG_Assets!$AG$16,0))*(1+CEG_CapexAdj)</f>
        <v>4.504649677056</v>
      </c>
      <c r="M472" s="8" t="n">
        <f aca="false">((CEG_Assets!$S$16*CEG_Assets!$D$16*1000*M$4*M456+CEG_Assets!$P$16*(1+CEG_Assets!$Q$16)^(M$3-2026)*(M458+M459))/1000000+IF(M$3=CEG_Assets!$AH$16,CEG_Assets!$AG$16,0))*(1+CEG_CapexAdj)</f>
        <v>4.59474267059712</v>
      </c>
      <c r="N472" s="8" t="n">
        <f aca="false">((CEG_Assets!$S$16*CEG_Assets!$D$16*1000*N$4*N456+CEG_Assets!$P$16*(1+CEG_Assets!$Q$16)^(N$3-2026)*(N458+N459))/1000000+IF(N$3=CEG_Assets!$AH$16,CEG_Assets!$AG$16,0))*(1+CEG_CapexAdj)</f>
        <v>4.68663752400906</v>
      </c>
      <c r="O472" s="8" t="n">
        <f aca="false">((CEG_Assets!$S$16*CEG_Assets!$D$16*1000*O$4*O456+CEG_Assets!$P$16*(1+CEG_Assets!$Q$16)^(O$3-2026)*(O458+O459))/1000000+IF(O$3=CEG_Assets!$AH$16,CEG_Assets!$AG$16,0))*(1+CEG_CapexAdj)</f>
        <v>4.78037027448924</v>
      </c>
      <c r="P472" s="8" t="n">
        <f aca="false">((CEG_Assets!$S$16*CEG_Assets!$D$16*1000*P$4*P456+CEG_Assets!$P$16*(1+CEG_Assets!$Q$16)^(P$3-2026)*(P458+P459))/1000000+IF(P$3=CEG_Assets!$AH$16,CEG_Assets!$AG$16,0))*(1+CEG_CapexAdj)</f>
        <v>4.87597767997903</v>
      </c>
      <c r="Q472" s="8" t="n">
        <f aca="false">((CEG_Assets!$S$16*CEG_Assets!$D$16*1000*Q$4*Q456+CEG_Assets!$P$16*(1+CEG_Assets!$Q$16)^(Q$3-2026)*(Q458+Q459))/1000000+IF(Q$3=CEG_Assets!$AH$16,CEG_Assets!$AG$16,0))*(1+CEG_CapexAdj)</f>
        <v>4.97349723357861</v>
      </c>
      <c r="R472" s="8" t="n">
        <f aca="false">((CEG_Assets!$S$16*CEG_Assets!$D$16*1000*R$4*R456+CEG_Assets!$P$16*(1+CEG_Assets!$Q$16)^(R$3-2026)*(R458+R459))/1000000+IF(R$3=CEG_Assets!$AH$16,CEG_Assets!$AG$16,0))*(1+CEG_CapexAdj)</f>
        <v>5.07296717825018</v>
      </c>
      <c r="S472" s="8" t="n">
        <f aca="false">((CEG_Assets!$S$16*CEG_Assets!$D$16*1000*S$4*S456+CEG_Assets!$P$16*(1+CEG_Assets!$Q$16)^(S$3-2026)*(S458+S459))/1000000+IF(S$3=CEG_Assets!$AH$16,CEG_Assets!$AG$16,0))*(1+CEG_CapexAdj)</f>
        <v>5.17442652181519</v>
      </c>
      <c r="T472" s="8" t="n">
        <f aca="false">((CEG_Assets!$S$16*CEG_Assets!$D$16*1000*T$4*T456+CEG_Assets!$P$16*(1+CEG_Assets!$Q$16)^(T$3-2026)*(T458+T459))/1000000+IF(T$3=CEG_Assets!$AH$16,CEG_Assets!$AG$16,0))*(1+CEG_CapexAdj)</f>
        <v>5.27791505225149</v>
      </c>
      <c r="U472" s="8" t="n">
        <f aca="false">((CEG_Assets!$S$16*CEG_Assets!$D$16*1000*U$4*U456+CEG_Assets!$P$16*(1+CEG_Assets!$Q$16)^(U$3-2026)*(U458+U459))/1000000+IF(U$3=CEG_Assets!$AH$16,CEG_Assets!$AG$16,0))*(1+CEG_CapexAdj)</f>
        <v>0</v>
      </c>
      <c r="V472" s="8" t="n">
        <f aca="false">((CEG_Assets!$S$16*CEG_Assets!$D$16*1000*V$4*V456+CEG_Assets!$P$16*(1+CEG_Assets!$Q$16)^(V$3-2026)*(V458+V459))/1000000+IF(V$3=CEG_Assets!$AH$16,CEG_Assets!$AG$16,0))*(1+CEG_CapexAdj)</f>
        <v>0</v>
      </c>
      <c r="W472" s="8" t="n">
        <f aca="false">((CEG_Assets!$S$16*CEG_Assets!$D$16*1000*W$4*W456+CEG_Assets!$P$16*(1+CEG_Assets!$Q$16)^(W$3-2026)*(W458+W459))/1000000+IF(W$3=CEG_Assets!$AH$16,CEG_Assets!$AG$16,0))*(1+CEG_CapexAdj)</f>
        <v>0</v>
      </c>
      <c r="X472" s="8" t="n">
        <f aca="false">((CEG_Assets!$S$16*CEG_Assets!$D$16*1000*X$4*X456+CEG_Assets!$P$16*(1+CEG_Assets!$Q$16)^(X$3-2026)*(X458+X459))/1000000+IF(X$3=CEG_Assets!$AH$16,CEG_Assets!$AG$16,0))*(1+CEG_CapexAdj)</f>
        <v>0</v>
      </c>
      <c r="Y472" s="8" t="n">
        <f aca="false">((CEG_Assets!$S$16*CEG_Assets!$D$16*1000*Y$4*Y456+CEG_Assets!$P$16*(1+CEG_Assets!$Q$16)^(Y$3-2026)*(Y458+Y459))/1000000+IF(Y$3=CEG_Assets!$AH$16,CEG_Assets!$AG$16,0))*(1+CEG_CapexAdj)</f>
        <v>0</v>
      </c>
      <c r="Z472" s="8" t="n">
        <f aca="false">((CEG_Assets!$S$16*CEG_Assets!$D$16*1000*Z$4*Z456+CEG_Assets!$P$16*(1+CEG_Assets!$Q$16)^(Z$3-2026)*(Z458+Z459))/1000000+IF(Z$3=CEG_Assets!$AH$16,CEG_Assets!$AG$16,0))*(1+CEG_CapexAdj)</f>
        <v>0</v>
      </c>
      <c r="AA472" s="8" t="n">
        <f aca="false">((CEG_Assets!$S$16*CEG_Assets!$D$16*1000*AA$4*AA456+CEG_Assets!$P$16*(1+CEG_Assets!$Q$16)^(AA$3-2026)*(AA458+AA459))/1000000+IF(AA$3=CEG_Assets!$AH$16,CEG_Assets!$AG$16,0))*(1+CEG_CapexAdj)</f>
        <v>0</v>
      </c>
      <c r="AB472" s="8" t="n">
        <f aca="false">((CEG_Assets!$S$16*CEG_Assets!$D$16*1000*AB$4*AB456+CEG_Assets!$P$16*(1+CEG_Assets!$Q$16)^(AB$3-2026)*(AB458+AB459))/1000000+IF(AB$3=CEG_Assets!$AH$16,CEG_Assets!$AG$16,0))*(1+CEG_CapexAdj)</f>
        <v>0</v>
      </c>
      <c r="AC472" s="8" t="n">
        <f aca="false">((CEG_Assets!$S$16*CEG_Assets!$D$16*1000*AC$4*AC456+CEG_Assets!$P$16*(1+CEG_Assets!$Q$16)^(AC$3-2026)*(AC458+AC459))/1000000+IF(AC$3=CEG_Assets!$AH$16,CEG_Assets!$AG$16,0))*(1+CEG_CapexAdj)</f>
        <v>0</v>
      </c>
      <c r="AD472" s="8" t="n">
        <f aca="false">((CEG_Assets!$S$16*CEG_Assets!$D$16*1000*AD$4*AD456+CEG_Assets!$P$16*(1+CEG_Assets!$Q$16)^(AD$3-2026)*(AD458+AD459))/1000000+IF(AD$3=CEG_Assets!$AH$16,CEG_Assets!$AG$16,0))*(1+CEG_CapexAdj)</f>
        <v>0</v>
      </c>
      <c r="AE472" s="8" t="n">
        <f aca="false">((CEG_Assets!$S$16*CEG_Assets!$D$16*1000*AE$4*AE456+CEG_Assets!$P$16*(1+CEG_Assets!$Q$16)^(AE$3-2026)*(AE458+AE459))/1000000+IF(AE$3=CEG_Assets!$AH$16,CEG_Assets!$AG$16,0))*(1+CEG_CapexAdj)</f>
        <v>0</v>
      </c>
      <c r="AF472" s="8" t="n">
        <f aca="false">((CEG_Assets!$S$16*CEG_Assets!$D$16*1000*AF$4*AF456+CEG_Assets!$P$16*(1+CEG_Assets!$Q$16)^(AF$3-2026)*(AF458+AF459))/1000000+IF(AF$3=CEG_Assets!$AH$16,CEG_Assets!$AG$16,0))*(1+CEG_CapexAdj)</f>
        <v>0</v>
      </c>
      <c r="AG472" s="8" t="n">
        <f aca="false">((CEG_Assets!$S$16*CEG_Assets!$D$16*1000*AG$4*AG456+CEG_Assets!$P$16*(1+CEG_Assets!$Q$16)^(AG$3-2026)*(AG458+AG459))/1000000+IF(AG$3=CEG_Assets!$AH$16,CEG_Assets!$AG$16,0))*(1+CEG_CapexAdj)</f>
        <v>0</v>
      </c>
      <c r="AH472" s="8" t="n">
        <f aca="false">((CEG_Assets!$S$16*CEG_Assets!$D$16*1000*AH$4*AH456+CEG_Assets!$P$16*(1+CEG_Assets!$Q$16)^(AH$3-2026)*(AH458+AH459))/1000000+IF(AH$3=CEG_Assets!$AH$16,CEG_Assets!$AG$16,0))*(1+CEG_CapexAdj)</f>
        <v>0</v>
      </c>
      <c r="AI472" s="8" t="n">
        <f aca="false">((CEG_Assets!$S$16*CEG_Assets!$D$16*1000*AI$4*AI456+CEG_Assets!$P$16*(1+CEG_Assets!$Q$16)^(AI$3-2026)*(AI458+AI459))/1000000+IF(AI$3=CEG_Assets!$AH$16,CEG_Assets!$AG$16,0))*(1+CEG_CapexAdj)</f>
        <v>0</v>
      </c>
      <c r="AJ472" s="8" t="n">
        <f aca="false">((CEG_Assets!$S$16*CEG_Assets!$D$16*1000*AJ$4*AJ456+CEG_Assets!$P$16*(1+CEG_Assets!$Q$16)^(AJ$3-2026)*(AJ458+AJ459))/1000000+IF(AJ$3=CEG_Assets!$AH$16,CEG_Assets!$AG$16,0))*(1+CEG_CapexAdj)</f>
        <v>0</v>
      </c>
      <c r="AK472" s="8" t="n">
        <f aca="false">((CEG_Assets!$S$16*CEG_Assets!$D$16*1000*AK$4*AK456+CEG_Assets!$P$16*(1+CEG_Assets!$Q$16)^(AK$3-2026)*(AK458+AK459))/1000000+IF(AK$3=CEG_Assets!$AH$16,CEG_Assets!$AG$16,0))*(1+CEG_CapexAdj)</f>
        <v>0</v>
      </c>
      <c r="AL472" s="8" t="n">
        <f aca="false">((CEG_Assets!$S$16*CEG_Assets!$D$16*1000*AL$4*AL456+CEG_Assets!$P$16*(1+CEG_Assets!$Q$16)^(AL$3-2026)*(AL458+AL459))/1000000+IF(AL$3=CEG_Assets!$AH$16,CEG_Assets!$AG$16,0))*(1+CEG_CapexAdj)</f>
        <v>0</v>
      </c>
      <c r="AM472" s="8" t="n">
        <f aca="false">((CEG_Assets!$S$16*CEG_Assets!$D$16*1000*AM$4*AM456+CEG_Assets!$P$16*(1+CEG_Assets!$Q$16)^(AM$3-2026)*(AM458+AM459))/1000000+IF(AM$3=CEG_Assets!$AH$16,CEG_Assets!$AG$16,0))*(1+CEG_CapexAdj)</f>
        <v>0</v>
      </c>
      <c r="AN472" s="8" t="n">
        <f aca="false">((CEG_Assets!$S$16*CEG_Assets!$D$16*1000*AN$4*AN456+CEG_Assets!$P$16*(1+CEG_Assets!$Q$16)^(AN$3-2026)*(AN458+AN459))/1000000+IF(AN$3=CEG_Assets!$AH$16,CEG_Assets!$AG$16,0))*(1+CEG_CapexAdj)</f>
        <v>0</v>
      </c>
      <c r="AO472" s="8" t="n">
        <f aca="false">((CEG_Assets!$S$16*CEG_Assets!$D$16*1000*AO$4*AO456+CEG_Assets!$P$16*(1+CEG_Assets!$Q$16)^(AO$3-2026)*(AO458+AO459))/1000000+IF(AO$3=CEG_Assets!$AH$16,CEG_Assets!$AG$16,0))*(1+CEG_CapexAdj)</f>
        <v>0</v>
      </c>
      <c r="AP472" s="8" t="n">
        <f aca="false">((CEG_Assets!$S$16*CEG_Assets!$D$16*1000*AP$4*AP456+CEG_Assets!$P$16*(1+CEG_Assets!$Q$16)^(AP$3-2026)*(AP458+AP459))/1000000+IF(AP$3=CEG_Assets!$AH$16,CEG_Assets!$AG$16,0))*(1+CEG_CapexAdj)</f>
        <v>0</v>
      </c>
      <c r="AQ472" s="8" t="n">
        <f aca="false">((CEG_Assets!$S$16*CEG_Assets!$D$16*1000*AQ$4*AQ456+CEG_Assets!$P$16*(1+CEG_Assets!$Q$16)^(AQ$3-2026)*(AQ458+AQ459))/1000000+IF(AQ$3=CEG_Assets!$AH$16,CEG_Assets!$AG$16,0))*(1+CEG_CapexAdj)</f>
        <v>0</v>
      </c>
      <c r="AR472" s="8" t="n">
        <f aca="false">((CEG_Assets!$S$16*CEG_Assets!$D$16*1000*AR$4*AR456+CEG_Assets!$P$16*(1+CEG_Assets!$Q$16)^(AR$3-2026)*(AR458+AR459))/1000000+IF(AR$3=CEG_Assets!$AH$16,CEG_Assets!$AG$16,0))*(1+CEG_CapexAdj)</f>
        <v>0</v>
      </c>
      <c r="AS472" s="8" t="n">
        <f aca="false">((CEG_Assets!$S$16*CEG_Assets!$D$16*1000*AS$4*AS456+CEG_Assets!$P$16*(1+CEG_Assets!$Q$16)^(AS$3-2026)*(AS458+AS459))/1000000+IF(AS$3=CEG_Assets!$AH$16,CEG_Assets!$AG$16,0))*(1+CEG_CapexAdj)</f>
        <v>0</v>
      </c>
    </row>
    <row r="473" customFormat="false" ht="15" hidden="false" customHeight="false" outlineLevel="0" collapsed="false">
      <c r="A473" s="6" t="s">
        <v>459</v>
      </c>
      <c r="B473" s="6" t="s">
        <v>460</v>
      </c>
      <c r="C473" s="9" t="n">
        <f aca="false">SUM(G473:AS473)</f>
        <v>914.542000692165</v>
      </c>
      <c r="G473" s="8" t="n">
        <f aca="false">IF(CEG_Assets!$Y$16=1,MAX(0,G471-G472),G471-G472)</f>
        <v>66.41788416</v>
      </c>
      <c r="H473" s="8" t="n">
        <f aca="false">IF(CEG_Assets!$Y$16=1,MAX(0,H471-H472),H471-H472)</f>
        <v>67.3207160832</v>
      </c>
      <c r="I473" s="8" t="n">
        <f aca="false">IF(CEG_Assets!$Y$16=1,MAX(0,I471-I472),I471-I472)</f>
        <v>60.9410926184256</v>
      </c>
      <c r="J473" s="8" t="n">
        <f aca="false">IF(CEG_Assets!$Y$16=1,MAX(0,J471-J472),J471-J472)</f>
        <v>59.1568035737956</v>
      </c>
      <c r="K473" s="8" t="n">
        <f aca="false">IF(CEG_Assets!$Y$16=1,MAX(0,K471-K472),K471-K472)</f>
        <v>60.3399396452715</v>
      </c>
      <c r="L473" s="8" t="n">
        <f aca="false">IF(CEG_Assets!$Y$16=1,MAX(0,L471-L472),L471-L472)</f>
        <v>61.5467384381769</v>
      </c>
      <c r="M473" s="8" t="n">
        <f aca="false">IF(CEG_Assets!$Y$16=1,MAX(0,M471-M472),M471-M472)</f>
        <v>62.7776732069405</v>
      </c>
      <c r="N473" s="8" t="n">
        <f aca="false">IF(CEG_Assets!$Y$16=1,MAX(0,N471-N472),N471-N472)</f>
        <v>64.0332266710793</v>
      </c>
      <c r="O473" s="8" t="n">
        <f aca="false">IF(CEG_Assets!$Y$16=1,MAX(0,O471-O472),O471-O472)</f>
        <v>65.3138912045009</v>
      </c>
      <c r="P473" s="8" t="n">
        <f aca="false">IF(CEG_Assets!$Y$16=1,MAX(0,P471-P472),P471-P472)</f>
        <v>66.6201690285909</v>
      </c>
      <c r="Q473" s="8" t="n">
        <f aca="false">IF(CEG_Assets!$Y$16=1,MAX(0,Q471-Q472),Q471-Q472)</f>
        <v>67.9525724091627</v>
      </c>
      <c r="R473" s="8" t="n">
        <f aca="false">IF(CEG_Assets!$Y$16=1,MAX(0,R471-R472),R471-R472)</f>
        <v>69.311623857346</v>
      </c>
      <c r="S473" s="8" t="n">
        <f aca="false">IF(CEG_Assets!$Y$16=1,MAX(0,S471-S472),S471-S472)</f>
        <v>70.6978563344929</v>
      </c>
      <c r="T473" s="8" t="n">
        <f aca="false">IF(CEG_Assets!$Y$16=1,MAX(0,T471-T472),T471-T472)</f>
        <v>72.1118134611827</v>
      </c>
      <c r="U473" s="8" t="n">
        <f aca="false">IF(CEG_Assets!$Y$16=1,MAX(0,U471-U472),U471-U472)</f>
        <v>0</v>
      </c>
      <c r="V473" s="8" t="n">
        <f aca="false">IF(CEG_Assets!$Y$16=1,MAX(0,V471-V472),V471-V472)</f>
        <v>0</v>
      </c>
      <c r="W473" s="8" t="n">
        <f aca="false">IF(CEG_Assets!$Y$16=1,MAX(0,W471-W472),W471-W472)</f>
        <v>0</v>
      </c>
      <c r="X473" s="8" t="n">
        <f aca="false">IF(CEG_Assets!$Y$16=1,MAX(0,X471-X472),X471-X472)</f>
        <v>0</v>
      </c>
      <c r="Y473" s="8" t="n">
        <f aca="false">IF(CEG_Assets!$Y$16=1,MAX(0,Y471-Y472),Y471-Y472)</f>
        <v>0</v>
      </c>
      <c r="Z473" s="8" t="n">
        <f aca="false">IF(CEG_Assets!$Y$16=1,MAX(0,Z471-Z472),Z471-Z472)</f>
        <v>0</v>
      </c>
      <c r="AA473" s="8" t="n">
        <f aca="false">IF(CEG_Assets!$Y$16=1,MAX(0,AA471-AA472),AA471-AA472)</f>
        <v>0</v>
      </c>
      <c r="AB473" s="8" t="n">
        <f aca="false">IF(CEG_Assets!$Y$16=1,MAX(0,AB471-AB472),AB471-AB472)</f>
        <v>0</v>
      </c>
      <c r="AC473" s="8" t="n">
        <f aca="false">IF(CEG_Assets!$Y$16=1,MAX(0,AC471-AC472),AC471-AC472)</f>
        <v>0</v>
      </c>
      <c r="AD473" s="8" t="n">
        <f aca="false">IF(CEG_Assets!$Y$16=1,MAX(0,AD471-AD472),AD471-AD472)</f>
        <v>0</v>
      </c>
      <c r="AE473" s="8" t="n">
        <f aca="false">IF(CEG_Assets!$Y$16=1,MAX(0,AE471-AE472),AE471-AE472)</f>
        <v>0</v>
      </c>
      <c r="AF473" s="8" t="n">
        <f aca="false">IF(CEG_Assets!$Y$16=1,MAX(0,AF471-AF472),AF471-AF472)</f>
        <v>0</v>
      </c>
      <c r="AG473" s="8" t="n">
        <f aca="false">IF(CEG_Assets!$Y$16=1,MAX(0,AG471-AG472),AG471-AG472)</f>
        <v>0</v>
      </c>
      <c r="AH473" s="8" t="n">
        <f aca="false">IF(CEG_Assets!$Y$16=1,MAX(0,AH471-AH472),AH471-AH472)</f>
        <v>0</v>
      </c>
      <c r="AI473" s="8" t="n">
        <f aca="false">IF(CEG_Assets!$Y$16=1,MAX(0,AI471-AI472),AI471-AI472)</f>
        <v>0</v>
      </c>
      <c r="AJ473" s="8" t="n">
        <f aca="false">IF(CEG_Assets!$Y$16=1,MAX(0,AJ471-AJ472),AJ471-AJ472)</f>
        <v>0</v>
      </c>
      <c r="AK473" s="8" t="n">
        <f aca="false">IF(CEG_Assets!$Y$16=1,MAX(0,AK471-AK472),AK471-AK472)</f>
        <v>0</v>
      </c>
      <c r="AL473" s="8" t="n">
        <f aca="false">IF(CEG_Assets!$Y$16=1,MAX(0,AL471-AL472),AL471-AL472)</f>
        <v>0</v>
      </c>
      <c r="AM473" s="8" t="n">
        <f aca="false">IF(CEG_Assets!$Y$16=1,MAX(0,AM471-AM472),AM471-AM472)</f>
        <v>0</v>
      </c>
      <c r="AN473" s="8" t="n">
        <f aca="false">IF(CEG_Assets!$Y$16=1,MAX(0,AN471-AN472),AN471-AN472)</f>
        <v>0</v>
      </c>
      <c r="AO473" s="8" t="n">
        <f aca="false">IF(CEG_Assets!$Y$16=1,MAX(0,AO471-AO472),AO471-AO472)</f>
        <v>0</v>
      </c>
      <c r="AP473" s="8" t="n">
        <f aca="false">IF(CEG_Assets!$Y$16=1,MAX(0,AP471-AP472),AP471-AP472)</f>
        <v>0</v>
      </c>
      <c r="AQ473" s="8" t="n">
        <f aca="false">IF(CEG_Assets!$Y$16=1,MAX(0,AQ471-AQ472),AQ471-AQ472)</f>
        <v>0</v>
      </c>
      <c r="AR473" s="8" t="n">
        <f aca="false">IF(CEG_Assets!$Y$16=1,MAX(0,AR471-AR472),AR471-AR472)</f>
        <v>0</v>
      </c>
      <c r="AS473" s="8" t="n">
        <f aca="false">IF(CEG_Assets!$Y$16=1,MAX(0,AS471-AS472),AS471-AS472)</f>
        <v>0</v>
      </c>
    </row>
    <row r="474" customFormat="false" ht="15" hidden="false" customHeight="false" outlineLevel="0" collapsed="false">
      <c r="A474" s="6" t="s">
        <v>461</v>
      </c>
      <c r="B474" s="6" t="s">
        <v>462</v>
      </c>
      <c r="C474" s="9" t="n">
        <f aca="false">SUM(G474:AS474)</f>
        <v>0</v>
      </c>
      <c r="G474" s="8" t="n">
        <f aca="false">IF(AND(CEG_Assets!$W$16=1,G$3&lt;=PTCLast,G458&gt;0),G458*MAX(0,PTCCredit*(1+Infl)^(G$3-PTCBase)-0.8*MAX(0,(G463+G464+G466)*1000000/MAX(1,G458)-PTCThresh*(1+Infl)^(G$3-PTCBase)))/1000000,0)</f>
        <v>0</v>
      </c>
      <c r="H474" s="8" t="n">
        <f aca="false">IF(AND(CEG_Assets!$W$16=1,H$3&lt;=PTCLast,H458&gt;0),H458*MAX(0,PTCCredit*(1+Infl)^(H$3-PTCBase)-0.8*MAX(0,(H463+H464+H466)*1000000/MAX(1,H458)-PTCThresh*(1+Infl)^(H$3-PTCBase)))/1000000,0)</f>
        <v>0</v>
      </c>
      <c r="I474" s="8" t="n">
        <f aca="false">IF(AND(CEG_Assets!$W$16=1,I$3&lt;=PTCLast,I458&gt;0),I458*MAX(0,PTCCredit*(1+Infl)^(I$3-PTCBase)-0.8*MAX(0,(I463+I464+I466)*1000000/MAX(1,I458)-PTCThresh*(1+Infl)^(I$3-PTCBase)))/1000000,0)</f>
        <v>0</v>
      </c>
      <c r="J474" s="8" t="n">
        <f aca="false">IF(AND(CEG_Assets!$W$16=1,J$3&lt;=PTCLast,J458&gt;0),J458*MAX(0,PTCCredit*(1+Infl)^(J$3-PTCBase)-0.8*MAX(0,(J463+J464+J466)*1000000/MAX(1,J458)-PTCThresh*(1+Infl)^(J$3-PTCBase)))/1000000,0)</f>
        <v>0</v>
      </c>
      <c r="K474" s="8" t="n">
        <f aca="false">IF(AND(CEG_Assets!$W$16=1,K$3&lt;=PTCLast,K458&gt;0),K458*MAX(0,PTCCredit*(1+Infl)^(K$3-PTCBase)-0.8*MAX(0,(K463+K464+K466)*1000000/MAX(1,K458)-PTCThresh*(1+Infl)^(K$3-PTCBase)))/1000000,0)</f>
        <v>0</v>
      </c>
      <c r="L474" s="8" t="n">
        <f aca="false">IF(AND(CEG_Assets!$W$16=1,L$3&lt;=PTCLast,L458&gt;0),L458*MAX(0,PTCCredit*(1+Infl)^(L$3-PTCBase)-0.8*MAX(0,(L463+L464+L466)*1000000/MAX(1,L458)-PTCThresh*(1+Infl)^(L$3-PTCBase)))/1000000,0)</f>
        <v>0</v>
      </c>
      <c r="M474" s="8" t="n">
        <f aca="false">IF(AND(CEG_Assets!$W$16=1,M$3&lt;=PTCLast,M458&gt;0),M458*MAX(0,PTCCredit*(1+Infl)^(M$3-PTCBase)-0.8*MAX(0,(M463+M464+M466)*1000000/MAX(1,M458)-PTCThresh*(1+Infl)^(M$3-PTCBase)))/1000000,0)</f>
        <v>0</v>
      </c>
      <c r="N474" s="8" t="n">
        <f aca="false">IF(AND(CEG_Assets!$W$16=1,N$3&lt;=PTCLast,N458&gt;0),N458*MAX(0,PTCCredit*(1+Infl)^(N$3-PTCBase)-0.8*MAX(0,(N463+N464+N466)*1000000/MAX(1,N458)-PTCThresh*(1+Infl)^(N$3-PTCBase)))/1000000,0)</f>
        <v>0</v>
      </c>
      <c r="O474" s="8" t="n">
        <f aca="false">IF(AND(CEG_Assets!$W$16=1,O$3&lt;=PTCLast,O458&gt;0),O458*MAX(0,PTCCredit*(1+Infl)^(O$3-PTCBase)-0.8*MAX(0,(O463+O464+O466)*1000000/MAX(1,O458)-PTCThresh*(1+Infl)^(O$3-PTCBase)))/1000000,0)</f>
        <v>0</v>
      </c>
      <c r="P474" s="8" t="n">
        <f aca="false">IF(AND(CEG_Assets!$W$16=1,P$3&lt;=PTCLast,P458&gt;0),P458*MAX(0,PTCCredit*(1+Infl)^(P$3-PTCBase)-0.8*MAX(0,(P463+P464+P466)*1000000/MAX(1,P458)-PTCThresh*(1+Infl)^(P$3-PTCBase)))/1000000,0)</f>
        <v>0</v>
      </c>
      <c r="Q474" s="8" t="n">
        <f aca="false">IF(AND(CEG_Assets!$W$16=1,Q$3&lt;=PTCLast,Q458&gt;0),Q458*MAX(0,PTCCredit*(1+Infl)^(Q$3-PTCBase)-0.8*MAX(0,(Q463+Q464+Q466)*1000000/MAX(1,Q458)-PTCThresh*(1+Infl)^(Q$3-PTCBase)))/1000000,0)</f>
        <v>0</v>
      </c>
      <c r="R474" s="8" t="n">
        <f aca="false">IF(AND(CEG_Assets!$W$16=1,R$3&lt;=PTCLast,R458&gt;0),R458*MAX(0,PTCCredit*(1+Infl)^(R$3-PTCBase)-0.8*MAX(0,(R463+R464+R466)*1000000/MAX(1,R458)-PTCThresh*(1+Infl)^(R$3-PTCBase)))/1000000,0)</f>
        <v>0</v>
      </c>
      <c r="S474" s="8" t="n">
        <f aca="false">IF(AND(CEG_Assets!$W$16=1,S$3&lt;=PTCLast,S458&gt;0),S458*MAX(0,PTCCredit*(1+Infl)^(S$3-PTCBase)-0.8*MAX(0,(S463+S464+S466)*1000000/MAX(1,S458)-PTCThresh*(1+Infl)^(S$3-PTCBase)))/1000000,0)</f>
        <v>0</v>
      </c>
      <c r="T474" s="8" t="n">
        <f aca="false">IF(AND(CEG_Assets!$W$16=1,T$3&lt;=PTCLast,T458&gt;0),T458*MAX(0,PTCCredit*(1+Infl)^(T$3-PTCBase)-0.8*MAX(0,(T463+T464+T466)*1000000/MAX(1,T458)-PTCThresh*(1+Infl)^(T$3-PTCBase)))/1000000,0)</f>
        <v>0</v>
      </c>
      <c r="U474" s="8" t="n">
        <f aca="false">IF(AND(CEG_Assets!$W$16=1,U$3&lt;=PTCLast,U458&gt;0),U458*MAX(0,PTCCredit*(1+Infl)^(U$3-PTCBase)-0.8*MAX(0,(U463+U464+U466)*1000000/MAX(1,U458)-PTCThresh*(1+Infl)^(U$3-PTCBase)))/1000000,0)</f>
        <v>0</v>
      </c>
      <c r="V474" s="8" t="n">
        <f aca="false">IF(AND(CEG_Assets!$W$16=1,V$3&lt;=PTCLast,V458&gt;0),V458*MAX(0,PTCCredit*(1+Infl)^(V$3-PTCBase)-0.8*MAX(0,(V463+V464+V466)*1000000/MAX(1,V458)-PTCThresh*(1+Infl)^(V$3-PTCBase)))/1000000,0)</f>
        <v>0</v>
      </c>
      <c r="W474" s="8" t="n">
        <f aca="false">IF(AND(CEG_Assets!$W$16=1,W$3&lt;=PTCLast,W458&gt;0),W458*MAX(0,PTCCredit*(1+Infl)^(W$3-PTCBase)-0.8*MAX(0,(W463+W464+W466)*1000000/MAX(1,W458)-PTCThresh*(1+Infl)^(W$3-PTCBase)))/1000000,0)</f>
        <v>0</v>
      </c>
      <c r="X474" s="8" t="n">
        <f aca="false">IF(AND(CEG_Assets!$W$16=1,X$3&lt;=PTCLast,X458&gt;0),X458*MAX(0,PTCCredit*(1+Infl)^(X$3-PTCBase)-0.8*MAX(0,(X463+X464+X466)*1000000/MAX(1,X458)-PTCThresh*(1+Infl)^(X$3-PTCBase)))/1000000,0)</f>
        <v>0</v>
      </c>
      <c r="Y474" s="8" t="n">
        <f aca="false">IF(AND(CEG_Assets!$W$16=1,Y$3&lt;=PTCLast,Y458&gt;0),Y458*MAX(0,PTCCredit*(1+Infl)^(Y$3-PTCBase)-0.8*MAX(0,(Y463+Y464+Y466)*1000000/MAX(1,Y458)-PTCThresh*(1+Infl)^(Y$3-PTCBase)))/1000000,0)</f>
        <v>0</v>
      </c>
      <c r="Z474" s="8" t="n">
        <f aca="false">IF(AND(CEG_Assets!$W$16=1,Z$3&lt;=PTCLast,Z458&gt;0),Z458*MAX(0,PTCCredit*(1+Infl)^(Z$3-PTCBase)-0.8*MAX(0,(Z463+Z464+Z466)*1000000/MAX(1,Z458)-PTCThresh*(1+Infl)^(Z$3-PTCBase)))/1000000,0)</f>
        <v>0</v>
      </c>
      <c r="AA474" s="8" t="n">
        <f aca="false">IF(AND(CEG_Assets!$W$16=1,AA$3&lt;=PTCLast,AA458&gt;0),AA458*MAX(0,PTCCredit*(1+Infl)^(AA$3-PTCBase)-0.8*MAX(0,(AA463+AA464+AA466)*1000000/MAX(1,AA458)-PTCThresh*(1+Infl)^(AA$3-PTCBase)))/1000000,0)</f>
        <v>0</v>
      </c>
      <c r="AB474" s="8" t="n">
        <f aca="false">IF(AND(CEG_Assets!$W$16=1,AB$3&lt;=PTCLast,AB458&gt;0),AB458*MAX(0,PTCCredit*(1+Infl)^(AB$3-PTCBase)-0.8*MAX(0,(AB463+AB464+AB466)*1000000/MAX(1,AB458)-PTCThresh*(1+Infl)^(AB$3-PTCBase)))/1000000,0)</f>
        <v>0</v>
      </c>
      <c r="AC474" s="8" t="n">
        <f aca="false">IF(AND(CEG_Assets!$W$16=1,AC$3&lt;=PTCLast,AC458&gt;0),AC458*MAX(0,PTCCredit*(1+Infl)^(AC$3-PTCBase)-0.8*MAX(0,(AC463+AC464+AC466)*1000000/MAX(1,AC458)-PTCThresh*(1+Infl)^(AC$3-PTCBase)))/1000000,0)</f>
        <v>0</v>
      </c>
      <c r="AD474" s="8" t="n">
        <f aca="false">IF(AND(CEG_Assets!$W$16=1,AD$3&lt;=PTCLast,AD458&gt;0),AD458*MAX(0,PTCCredit*(1+Infl)^(AD$3-PTCBase)-0.8*MAX(0,(AD463+AD464+AD466)*1000000/MAX(1,AD458)-PTCThresh*(1+Infl)^(AD$3-PTCBase)))/1000000,0)</f>
        <v>0</v>
      </c>
      <c r="AE474" s="8" t="n">
        <f aca="false">IF(AND(CEG_Assets!$W$16=1,AE$3&lt;=PTCLast,AE458&gt;0),AE458*MAX(0,PTCCredit*(1+Infl)^(AE$3-PTCBase)-0.8*MAX(0,(AE463+AE464+AE466)*1000000/MAX(1,AE458)-PTCThresh*(1+Infl)^(AE$3-PTCBase)))/1000000,0)</f>
        <v>0</v>
      </c>
      <c r="AF474" s="8" t="n">
        <f aca="false">IF(AND(CEG_Assets!$W$16=1,AF$3&lt;=PTCLast,AF458&gt;0),AF458*MAX(0,PTCCredit*(1+Infl)^(AF$3-PTCBase)-0.8*MAX(0,(AF463+AF464+AF466)*1000000/MAX(1,AF458)-PTCThresh*(1+Infl)^(AF$3-PTCBase)))/1000000,0)</f>
        <v>0</v>
      </c>
      <c r="AG474" s="8" t="n">
        <f aca="false">IF(AND(CEG_Assets!$W$16=1,AG$3&lt;=PTCLast,AG458&gt;0),AG458*MAX(0,PTCCredit*(1+Infl)^(AG$3-PTCBase)-0.8*MAX(0,(AG463+AG464+AG466)*1000000/MAX(1,AG458)-PTCThresh*(1+Infl)^(AG$3-PTCBase)))/1000000,0)</f>
        <v>0</v>
      </c>
      <c r="AH474" s="8" t="n">
        <f aca="false">IF(AND(CEG_Assets!$W$16=1,AH$3&lt;=PTCLast,AH458&gt;0),AH458*MAX(0,PTCCredit*(1+Infl)^(AH$3-PTCBase)-0.8*MAX(0,(AH463+AH464+AH466)*1000000/MAX(1,AH458)-PTCThresh*(1+Infl)^(AH$3-PTCBase)))/1000000,0)</f>
        <v>0</v>
      </c>
      <c r="AI474" s="8" t="n">
        <f aca="false">IF(AND(CEG_Assets!$W$16=1,AI$3&lt;=PTCLast,AI458&gt;0),AI458*MAX(0,PTCCredit*(1+Infl)^(AI$3-PTCBase)-0.8*MAX(0,(AI463+AI464+AI466)*1000000/MAX(1,AI458)-PTCThresh*(1+Infl)^(AI$3-PTCBase)))/1000000,0)</f>
        <v>0</v>
      </c>
      <c r="AJ474" s="8" t="n">
        <f aca="false">IF(AND(CEG_Assets!$W$16=1,AJ$3&lt;=PTCLast,AJ458&gt;0),AJ458*MAX(0,PTCCredit*(1+Infl)^(AJ$3-PTCBase)-0.8*MAX(0,(AJ463+AJ464+AJ466)*1000000/MAX(1,AJ458)-PTCThresh*(1+Infl)^(AJ$3-PTCBase)))/1000000,0)</f>
        <v>0</v>
      </c>
      <c r="AK474" s="8" t="n">
        <f aca="false">IF(AND(CEG_Assets!$W$16=1,AK$3&lt;=PTCLast,AK458&gt;0),AK458*MAX(0,PTCCredit*(1+Infl)^(AK$3-PTCBase)-0.8*MAX(0,(AK463+AK464+AK466)*1000000/MAX(1,AK458)-PTCThresh*(1+Infl)^(AK$3-PTCBase)))/1000000,0)</f>
        <v>0</v>
      </c>
      <c r="AL474" s="8" t="n">
        <f aca="false">IF(AND(CEG_Assets!$W$16=1,AL$3&lt;=PTCLast,AL458&gt;0),AL458*MAX(0,PTCCredit*(1+Infl)^(AL$3-PTCBase)-0.8*MAX(0,(AL463+AL464+AL466)*1000000/MAX(1,AL458)-PTCThresh*(1+Infl)^(AL$3-PTCBase)))/1000000,0)</f>
        <v>0</v>
      </c>
      <c r="AM474" s="8" t="n">
        <f aca="false">IF(AND(CEG_Assets!$W$16=1,AM$3&lt;=PTCLast,AM458&gt;0),AM458*MAX(0,PTCCredit*(1+Infl)^(AM$3-PTCBase)-0.8*MAX(0,(AM463+AM464+AM466)*1000000/MAX(1,AM458)-PTCThresh*(1+Infl)^(AM$3-PTCBase)))/1000000,0)</f>
        <v>0</v>
      </c>
      <c r="AN474" s="8" t="n">
        <f aca="false">IF(AND(CEG_Assets!$W$16=1,AN$3&lt;=PTCLast,AN458&gt;0),AN458*MAX(0,PTCCredit*(1+Infl)^(AN$3-PTCBase)-0.8*MAX(0,(AN463+AN464+AN466)*1000000/MAX(1,AN458)-PTCThresh*(1+Infl)^(AN$3-PTCBase)))/1000000,0)</f>
        <v>0</v>
      </c>
      <c r="AO474" s="8" t="n">
        <f aca="false">IF(AND(CEG_Assets!$W$16=1,AO$3&lt;=PTCLast,AO458&gt;0),AO458*MAX(0,PTCCredit*(1+Infl)^(AO$3-PTCBase)-0.8*MAX(0,(AO463+AO464+AO466)*1000000/MAX(1,AO458)-PTCThresh*(1+Infl)^(AO$3-PTCBase)))/1000000,0)</f>
        <v>0</v>
      </c>
      <c r="AP474" s="8" t="n">
        <f aca="false">IF(AND(CEG_Assets!$W$16=1,AP$3&lt;=PTCLast,AP458&gt;0),AP458*MAX(0,PTCCredit*(1+Infl)^(AP$3-PTCBase)-0.8*MAX(0,(AP463+AP464+AP466)*1000000/MAX(1,AP458)-PTCThresh*(1+Infl)^(AP$3-PTCBase)))/1000000,0)</f>
        <v>0</v>
      </c>
      <c r="AQ474" s="8" t="n">
        <f aca="false">IF(AND(CEG_Assets!$W$16=1,AQ$3&lt;=PTCLast,AQ458&gt;0),AQ458*MAX(0,PTCCredit*(1+Infl)^(AQ$3-PTCBase)-0.8*MAX(0,(AQ463+AQ464+AQ466)*1000000/MAX(1,AQ458)-PTCThresh*(1+Infl)^(AQ$3-PTCBase)))/1000000,0)</f>
        <v>0</v>
      </c>
      <c r="AR474" s="8" t="n">
        <f aca="false">IF(AND(CEG_Assets!$W$16=1,AR$3&lt;=PTCLast,AR458&gt;0),AR458*MAX(0,PTCCredit*(1+Infl)^(AR$3-PTCBase)-0.8*MAX(0,(AR463+AR464+AR466)*1000000/MAX(1,AR458)-PTCThresh*(1+Infl)^(AR$3-PTCBase)))/1000000,0)</f>
        <v>0</v>
      </c>
      <c r="AS474" s="8" t="n">
        <f aca="false">IF(AND(CEG_Assets!$W$16=1,AS$3&lt;=PTCLast,AS458&gt;0),AS458*MAX(0,PTCCredit*(1+Infl)^(AS$3-PTCBase)-0.8*MAX(0,(AS463+AS464+AS466)*1000000/MAX(1,AS458)-PTCThresh*(1+Infl)^(AS$3-PTCBase)))/1000000,0)</f>
        <v>0</v>
      </c>
    </row>
    <row r="475" customFormat="false" ht="15" hidden="false" customHeight="false" outlineLevel="0" collapsed="false">
      <c r="A475" s="6" t="s">
        <v>463</v>
      </c>
      <c r="B475" s="6" t="s">
        <v>464</v>
      </c>
      <c r="G475" s="8" t="n">
        <f aca="false">G465-G459*(CEG_Assets!$N$16*(1+CEG_FuelAdj)+CEG_Assets!$O$16*(1+CEG_OMAdj)+CEG_Assets!$P$16*(1+CEG_CapexAdj))*(1+CEG_Assets!$Q$16)^(G$3-2026)/1000000</f>
        <v>0</v>
      </c>
      <c r="H475" s="8" t="n">
        <f aca="false">H465-H459*(CEG_Assets!$N$16*(1+CEG_FuelAdj)+CEG_Assets!$O$16*(1+CEG_OMAdj)+CEG_Assets!$P$16*(1+CEG_CapexAdj))*(1+CEG_Assets!$Q$16)^(H$3-2026)/1000000</f>
        <v>0</v>
      </c>
      <c r="I475" s="8" t="n">
        <f aca="false">I465-I459*(CEG_Assets!$N$16*(1+CEG_FuelAdj)+CEG_Assets!$O$16*(1+CEG_OMAdj)+CEG_Assets!$P$16*(1+CEG_CapexAdj))*(1+CEG_Assets!$Q$16)^(I$3-2026)/1000000</f>
        <v>0</v>
      </c>
      <c r="J475" s="8" t="n">
        <f aca="false">J465-J459*(CEG_Assets!$N$16*(1+CEG_FuelAdj)+CEG_Assets!$O$16*(1+CEG_OMAdj)+CEG_Assets!$P$16*(1+CEG_CapexAdj))*(1+CEG_Assets!$Q$16)^(J$3-2026)/1000000</f>
        <v>0</v>
      </c>
      <c r="K475" s="8" t="n">
        <f aca="false">K465-K459*(CEG_Assets!$N$16*(1+CEG_FuelAdj)+CEG_Assets!$O$16*(1+CEG_OMAdj)+CEG_Assets!$P$16*(1+CEG_CapexAdj))*(1+CEG_Assets!$Q$16)^(K$3-2026)/1000000</f>
        <v>0</v>
      </c>
      <c r="L475" s="8" t="n">
        <f aca="false">L465-L459*(CEG_Assets!$N$16*(1+CEG_FuelAdj)+CEG_Assets!$O$16*(1+CEG_OMAdj)+CEG_Assets!$P$16*(1+CEG_CapexAdj))*(1+CEG_Assets!$Q$16)^(L$3-2026)/1000000</f>
        <v>0</v>
      </c>
      <c r="M475" s="8" t="n">
        <f aca="false">M465-M459*(CEG_Assets!$N$16*(1+CEG_FuelAdj)+CEG_Assets!$O$16*(1+CEG_OMAdj)+CEG_Assets!$P$16*(1+CEG_CapexAdj))*(1+CEG_Assets!$Q$16)^(M$3-2026)/1000000</f>
        <v>0</v>
      </c>
      <c r="N475" s="8" t="n">
        <f aca="false">N465-N459*(CEG_Assets!$N$16*(1+CEG_FuelAdj)+CEG_Assets!$O$16*(1+CEG_OMAdj)+CEG_Assets!$P$16*(1+CEG_CapexAdj))*(1+CEG_Assets!$Q$16)^(N$3-2026)/1000000</f>
        <v>0</v>
      </c>
      <c r="O475" s="8" t="n">
        <f aca="false">O465-O459*(CEG_Assets!$N$16*(1+CEG_FuelAdj)+CEG_Assets!$O$16*(1+CEG_OMAdj)+CEG_Assets!$P$16*(1+CEG_CapexAdj))*(1+CEG_Assets!$Q$16)^(O$3-2026)/1000000</f>
        <v>0</v>
      </c>
      <c r="P475" s="8" t="n">
        <f aca="false">P465-P459*(CEG_Assets!$N$16*(1+CEG_FuelAdj)+CEG_Assets!$O$16*(1+CEG_OMAdj)+CEG_Assets!$P$16*(1+CEG_CapexAdj))*(1+CEG_Assets!$Q$16)^(P$3-2026)/1000000</f>
        <v>0</v>
      </c>
      <c r="Q475" s="8" t="n">
        <f aca="false">Q465-Q459*(CEG_Assets!$N$16*(1+CEG_FuelAdj)+CEG_Assets!$O$16*(1+CEG_OMAdj)+CEG_Assets!$P$16*(1+CEG_CapexAdj))*(1+CEG_Assets!$Q$16)^(Q$3-2026)/1000000</f>
        <v>0</v>
      </c>
      <c r="R475" s="8" t="n">
        <f aca="false">R465-R459*(CEG_Assets!$N$16*(1+CEG_FuelAdj)+CEG_Assets!$O$16*(1+CEG_OMAdj)+CEG_Assets!$P$16*(1+CEG_CapexAdj))*(1+CEG_Assets!$Q$16)^(R$3-2026)/1000000</f>
        <v>0</v>
      </c>
      <c r="S475" s="8" t="n">
        <f aca="false">S465-S459*(CEG_Assets!$N$16*(1+CEG_FuelAdj)+CEG_Assets!$O$16*(1+CEG_OMAdj)+CEG_Assets!$P$16*(1+CEG_CapexAdj))*(1+CEG_Assets!$Q$16)^(S$3-2026)/1000000</f>
        <v>0</v>
      </c>
      <c r="T475" s="8" t="n">
        <f aca="false">T465-T459*(CEG_Assets!$N$16*(1+CEG_FuelAdj)+CEG_Assets!$O$16*(1+CEG_OMAdj)+CEG_Assets!$P$16*(1+CEG_CapexAdj))*(1+CEG_Assets!$Q$16)^(T$3-2026)/1000000</f>
        <v>0</v>
      </c>
      <c r="U475" s="8" t="n">
        <f aca="false">U465-U459*(CEG_Assets!$N$16*(1+CEG_FuelAdj)+CEG_Assets!$O$16*(1+CEG_OMAdj)+CEG_Assets!$P$16*(1+CEG_CapexAdj))*(1+CEG_Assets!$Q$16)^(U$3-2026)/1000000</f>
        <v>0</v>
      </c>
      <c r="V475" s="8" t="n">
        <f aca="false">V465-V459*(CEG_Assets!$N$16*(1+CEG_FuelAdj)+CEG_Assets!$O$16*(1+CEG_OMAdj)+CEG_Assets!$P$16*(1+CEG_CapexAdj))*(1+CEG_Assets!$Q$16)^(V$3-2026)/1000000</f>
        <v>0</v>
      </c>
      <c r="W475" s="8" t="n">
        <f aca="false">W465-W459*(CEG_Assets!$N$16*(1+CEG_FuelAdj)+CEG_Assets!$O$16*(1+CEG_OMAdj)+CEG_Assets!$P$16*(1+CEG_CapexAdj))*(1+CEG_Assets!$Q$16)^(W$3-2026)/1000000</f>
        <v>0</v>
      </c>
      <c r="X475" s="8" t="n">
        <f aca="false">X465-X459*(CEG_Assets!$N$16*(1+CEG_FuelAdj)+CEG_Assets!$O$16*(1+CEG_OMAdj)+CEG_Assets!$P$16*(1+CEG_CapexAdj))*(1+CEG_Assets!$Q$16)^(X$3-2026)/1000000</f>
        <v>0</v>
      </c>
      <c r="Y475" s="8" t="n">
        <f aca="false">Y465-Y459*(CEG_Assets!$N$16*(1+CEG_FuelAdj)+CEG_Assets!$O$16*(1+CEG_OMAdj)+CEG_Assets!$P$16*(1+CEG_CapexAdj))*(1+CEG_Assets!$Q$16)^(Y$3-2026)/1000000</f>
        <v>0</v>
      </c>
      <c r="Z475" s="8" t="n">
        <f aca="false">Z465-Z459*(CEG_Assets!$N$16*(1+CEG_FuelAdj)+CEG_Assets!$O$16*(1+CEG_OMAdj)+CEG_Assets!$P$16*(1+CEG_CapexAdj))*(1+CEG_Assets!$Q$16)^(Z$3-2026)/1000000</f>
        <v>0</v>
      </c>
      <c r="AA475" s="8" t="n">
        <f aca="false">AA465-AA459*(CEG_Assets!$N$16*(1+CEG_FuelAdj)+CEG_Assets!$O$16*(1+CEG_OMAdj)+CEG_Assets!$P$16*(1+CEG_CapexAdj))*(1+CEG_Assets!$Q$16)^(AA$3-2026)/1000000</f>
        <v>0</v>
      </c>
      <c r="AB475" s="8" t="n">
        <f aca="false">AB465-AB459*(CEG_Assets!$N$16*(1+CEG_FuelAdj)+CEG_Assets!$O$16*(1+CEG_OMAdj)+CEG_Assets!$P$16*(1+CEG_CapexAdj))*(1+CEG_Assets!$Q$16)^(AB$3-2026)/1000000</f>
        <v>0</v>
      </c>
      <c r="AC475" s="8" t="n">
        <f aca="false">AC465-AC459*(CEG_Assets!$N$16*(1+CEG_FuelAdj)+CEG_Assets!$O$16*(1+CEG_OMAdj)+CEG_Assets!$P$16*(1+CEG_CapexAdj))*(1+CEG_Assets!$Q$16)^(AC$3-2026)/1000000</f>
        <v>0</v>
      </c>
      <c r="AD475" s="8" t="n">
        <f aca="false">AD465-AD459*(CEG_Assets!$N$16*(1+CEG_FuelAdj)+CEG_Assets!$O$16*(1+CEG_OMAdj)+CEG_Assets!$P$16*(1+CEG_CapexAdj))*(1+CEG_Assets!$Q$16)^(AD$3-2026)/1000000</f>
        <v>0</v>
      </c>
      <c r="AE475" s="8" t="n">
        <f aca="false">AE465-AE459*(CEG_Assets!$N$16*(1+CEG_FuelAdj)+CEG_Assets!$O$16*(1+CEG_OMAdj)+CEG_Assets!$P$16*(1+CEG_CapexAdj))*(1+CEG_Assets!$Q$16)^(AE$3-2026)/1000000</f>
        <v>0</v>
      </c>
      <c r="AF475" s="8" t="n">
        <f aca="false">AF465-AF459*(CEG_Assets!$N$16*(1+CEG_FuelAdj)+CEG_Assets!$O$16*(1+CEG_OMAdj)+CEG_Assets!$P$16*(1+CEG_CapexAdj))*(1+CEG_Assets!$Q$16)^(AF$3-2026)/1000000</f>
        <v>0</v>
      </c>
      <c r="AG475" s="8" t="n">
        <f aca="false">AG465-AG459*(CEG_Assets!$N$16*(1+CEG_FuelAdj)+CEG_Assets!$O$16*(1+CEG_OMAdj)+CEG_Assets!$P$16*(1+CEG_CapexAdj))*(1+CEG_Assets!$Q$16)^(AG$3-2026)/1000000</f>
        <v>0</v>
      </c>
      <c r="AH475" s="8" t="n">
        <f aca="false">AH465-AH459*(CEG_Assets!$N$16*(1+CEG_FuelAdj)+CEG_Assets!$O$16*(1+CEG_OMAdj)+CEG_Assets!$P$16*(1+CEG_CapexAdj))*(1+CEG_Assets!$Q$16)^(AH$3-2026)/1000000</f>
        <v>0</v>
      </c>
      <c r="AI475" s="8" t="n">
        <f aca="false">AI465-AI459*(CEG_Assets!$N$16*(1+CEG_FuelAdj)+CEG_Assets!$O$16*(1+CEG_OMAdj)+CEG_Assets!$P$16*(1+CEG_CapexAdj))*(1+CEG_Assets!$Q$16)^(AI$3-2026)/1000000</f>
        <v>0</v>
      </c>
      <c r="AJ475" s="8" t="n">
        <f aca="false">AJ465-AJ459*(CEG_Assets!$N$16*(1+CEG_FuelAdj)+CEG_Assets!$O$16*(1+CEG_OMAdj)+CEG_Assets!$P$16*(1+CEG_CapexAdj))*(1+CEG_Assets!$Q$16)^(AJ$3-2026)/1000000</f>
        <v>0</v>
      </c>
      <c r="AK475" s="8" t="n">
        <f aca="false">AK465-AK459*(CEG_Assets!$N$16*(1+CEG_FuelAdj)+CEG_Assets!$O$16*(1+CEG_OMAdj)+CEG_Assets!$P$16*(1+CEG_CapexAdj))*(1+CEG_Assets!$Q$16)^(AK$3-2026)/1000000</f>
        <v>0</v>
      </c>
      <c r="AL475" s="8" t="n">
        <f aca="false">AL465-AL459*(CEG_Assets!$N$16*(1+CEG_FuelAdj)+CEG_Assets!$O$16*(1+CEG_OMAdj)+CEG_Assets!$P$16*(1+CEG_CapexAdj))*(1+CEG_Assets!$Q$16)^(AL$3-2026)/1000000</f>
        <v>0</v>
      </c>
      <c r="AM475" s="8" t="n">
        <f aca="false">AM465-AM459*(CEG_Assets!$N$16*(1+CEG_FuelAdj)+CEG_Assets!$O$16*(1+CEG_OMAdj)+CEG_Assets!$P$16*(1+CEG_CapexAdj))*(1+CEG_Assets!$Q$16)^(AM$3-2026)/1000000</f>
        <v>0</v>
      </c>
      <c r="AN475" s="8" t="n">
        <f aca="false">AN465-AN459*(CEG_Assets!$N$16*(1+CEG_FuelAdj)+CEG_Assets!$O$16*(1+CEG_OMAdj)+CEG_Assets!$P$16*(1+CEG_CapexAdj))*(1+CEG_Assets!$Q$16)^(AN$3-2026)/1000000</f>
        <v>0</v>
      </c>
      <c r="AO475" s="8" t="n">
        <f aca="false">AO465-AO459*(CEG_Assets!$N$16*(1+CEG_FuelAdj)+CEG_Assets!$O$16*(1+CEG_OMAdj)+CEG_Assets!$P$16*(1+CEG_CapexAdj))*(1+CEG_Assets!$Q$16)^(AO$3-2026)/1000000</f>
        <v>0</v>
      </c>
      <c r="AP475" s="8" t="n">
        <f aca="false">AP465-AP459*(CEG_Assets!$N$16*(1+CEG_FuelAdj)+CEG_Assets!$O$16*(1+CEG_OMAdj)+CEG_Assets!$P$16*(1+CEG_CapexAdj))*(1+CEG_Assets!$Q$16)^(AP$3-2026)/1000000</f>
        <v>0</v>
      </c>
      <c r="AQ475" s="8" t="n">
        <f aca="false">AQ465-AQ459*(CEG_Assets!$N$16*(1+CEG_FuelAdj)+CEG_Assets!$O$16*(1+CEG_OMAdj)+CEG_Assets!$P$16*(1+CEG_CapexAdj))*(1+CEG_Assets!$Q$16)^(AQ$3-2026)/1000000</f>
        <v>0</v>
      </c>
      <c r="AR475" s="8" t="n">
        <f aca="false">AR465-AR459*(CEG_Assets!$N$16*(1+CEG_FuelAdj)+CEG_Assets!$O$16*(1+CEG_OMAdj)+CEG_Assets!$P$16*(1+CEG_CapexAdj))*(1+CEG_Assets!$Q$16)^(AR$3-2026)/1000000</f>
        <v>0</v>
      </c>
      <c r="AS475" s="8" t="n">
        <f aca="false">AS465-AS459*(CEG_Assets!$N$16*(1+CEG_FuelAdj)+CEG_Assets!$O$16*(1+CEG_OMAdj)+CEG_Assets!$P$16*(1+CEG_CapexAdj))*(1+CEG_Assets!$Q$16)^(AS$3-2026)/1000000</f>
        <v>0</v>
      </c>
    </row>
    <row r="476" customFormat="false" ht="15" hidden="false" customHeight="false" outlineLevel="0" collapsed="false">
      <c r="A476" s="6" t="s">
        <v>465</v>
      </c>
      <c r="B476" s="6" t="s">
        <v>466</v>
      </c>
      <c r="G476" s="8" t="n">
        <f aca="false">G473-G475</f>
        <v>66.41788416</v>
      </c>
      <c r="H476" s="8" t="n">
        <f aca="false">H473-H475</f>
        <v>67.3207160832</v>
      </c>
      <c r="I476" s="8" t="n">
        <f aca="false">I473-I475</f>
        <v>60.9410926184256</v>
      </c>
      <c r="J476" s="8" t="n">
        <f aca="false">J473-J475</f>
        <v>59.1568035737956</v>
      </c>
      <c r="K476" s="8" t="n">
        <f aca="false">K473-K475</f>
        <v>60.3399396452715</v>
      </c>
      <c r="L476" s="8" t="n">
        <f aca="false">L473-L475</f>
        <v>61.5467384381769</v>
      </c>
      <c r="M476" s="8" t="n">
        <f aca="false">M473-M475</f>
        <v>62.7776732069405</v>
      </c>
      <c r="N476" s="8" t="n">
        <f aca="false">N473-N475</f>
        <v>64.0332266710793</v>
      </c>
      <c r="O476" s="8" t="n">
        <f aca="false">O473-O475</f>
        <v>65.3138912045009</v>
      </c>
      <c r="P476" s="8" t="n">
        <f aca="false">P473-P475</f>
        <v>66.6201690285909</v>
      </c>
      <c r="Q476" s="8" t="n">
        <f aca="false">Q473-Q475</f>
        <v>67.9525724091627</v>
      </c>
      <c r="R476" s="8" t="n">
        <f aca="false">R473-R475</f>
        <v>69.311623857346</v>
      </c>
      <c r="S476" s="8" t="n">
        <f aca="false">S473-S475</f>
        <v>70.6978563344929</v>
      </c>
      <c r="T476" s="8" t="n">
        <f aca="false">T473-T475</f>
        <v>72.1118134611827</v>
      </c>
      <c r="U476" s="8" t="n">
        <f aca="false">U473-U475</f>
        <v>0</v>
      </c>
      <c r="V476" s="8" t="n">
        <f aca="false">V473-V475</f>
        <v>0</v>
      </c>
      <c r="W476" s="8" t="n">
        <f aca="false">W473-W475</f>
        <v>0</v>
      </c>
      <c r="X476" s="8" t="n">
        <f aca="false">X473-X475</f>
        <v>0</v>
      </c>
      <c r="Y476" s="8" t="n">
        <f aca="false">Y473-Y475</f>
        <v>0</v>
      </c>
      <c r="Z476" s="8" t="n">
        <f aca="false">Z473-Z475</f>
        <v>0</v>
      </c>
      <c r="AA476" s="8" t="n">
        <f aca="false">AA473-AA475</f>
        <v>0</v>
      </c>
      <c r="AB476" s="8" t="n">
        <f aca="false">AB473-AB475</f>
        <v>0</v>
      </c>
      <c r="AC476" s="8" t="n">
        <f aca="false">AC473-AC475</f>
        <v>0</v>
      </c>
      <c r="AD476" s="8" t="n">
        <f aca="false">AD473-AD475</f>
        <v>0</v>
      </c>
      <c r="AE476" s="8" t="n">
        <f aca="false">AE473-AE475</f>
        <v>0</v>
      </c>
      <c r="AF476" s="8" t="n">
        <f aca="false">AF473-AF475</f>
        <v>0</v>
      </c>
      <c r="AG476" s="8" t="n">
        <f aca="false">AG473-AG475</f>
        <v>0</v>
      </c>
      <c r="AH476" s="8" t="n">
        <f aca="false">AH473-AH475</f>
        <v>0</v>
      </c>
      <c r="AI476" s="8" t="n">
        <f aca="false">AI473-AI475</f>
        <v>0</v>
      </c>
      <c r="AJ476" s="8" t="n">
        <f aca="false">AJ473-AJ475</f>
        <v>0</v>
      </c>
      <c r="AK476" s="8" t="n">
        <f aca="false">AK473-AK475</f>
        <v>0</v>
      </c>
      <c r="AL476" s="8" t="n">
        <f aca="false">AL473-AL475</f>
        <v>0</v>
      </c>
      <c r="AM476" s="8" t="n">
        <f aca="false">AM473-AM475</f>
        <v>0</v>
      </c>
      <c r="AN476" s="8" t="n">
        <f aca="false">AN473-AN475</f>
        <v>0</v>
      </c>
      <c r="AO476" s="8" t="n">
        <f aca="false">AO473-AO475</f>
        <v>0</v>
      </c>
      <c r="AP476" s="8" t="n">
        <f aca="false">AP473-AP475</f>
        <v>0</v>
      </c>
      <c r="AQ476" s="8" t="n">
        <f aca="false">AQ473-AQ475</f>
        <v>0</v>
      </c>
      <c r="AR476" s="8" t="n">
        <f aca="false">AR473-AR475</f>
        <v>0</v>
      </c>
      <c r="AS476" s="8" t="n">
        <f aca="false">AS473-AS475</f>
        <v>0</v>
      </c>
    </row>
    <row r="477" customFormat="false" ht="15" hidden="false" customHeight="false" outlineLevel="0" collapsed="false">
      <c r="A477" s="6" t="s">
        <v>467</v>
      </c>
      <c r="B477" s="6" t="s">
        <v>468</v>
      </c>
      <c r="G477" s="8" t="n">
        <f aca="false">G476*(1-TaxRate)+G474</f>
        <v>53.134307328</v>
      </c>
      <c r="H477" s="8" t="n">
        <f aca="false">H476*(1-TaxRate)+H474</f>
        <v>53.85657286656</v>
      </c>
      <c r="I477" s="8" t="n">
        <f aca="false">I476*(1-TaxRate)+I474</f>
        <v>48.7528740947405</v>
      </c>
      <c r="J477" s="8" t="n">
        <f aca="false">J476*(1-TaxRate)+J474</f>
        <v>47.3254428590365</v>
      </c>
      <c r="K477" s="8" t="n">
        <f aca="false">K476*(1-TaxRate)+K474</f>
        <v>48.2719517162172</v>
      </c>
      <c r="L477" s="8" t="n">
        <f aca="false">L476*(1-TaxRate)+L474</f>
        <v>49.2373907505415</v>
      </c>
      <c r="M477" s="8" t="n">
        <f aca="false">M476*(1-TaxRate)+M474</f>
        <v>50.2221385655524</v>
      </c>
      <c r="N477" s="8" t="n">
        <f aca="false">N476*(1-TaxRate)+N474</f>
        <v>51.2265813368634</v>
      </c>
      <c r="O477" s="8" t="n">
        <f aca="false">O476*(1-TaxRate)+O474</f>
        <v>52.2511129636007</v>
      </c>
      <c r="P477" s="8" t="n">
        <f aca="false">P476*(1-TaxRate)+P474</f>
        <v>53.2961352228727</v>
      </c>
      <c r="Q477" s="8" t="n">
        <f aca="false">Q476*(1-TaxRate)+Q474</f>
        <v>54.3620579273302</v>
      </c>
      <c r="R477" s="8" t="n">
        <f aca="false">R476*(1-TaxRate)+R474</f>
        <v>55.4492990858768</v>
      </c>
      <c r="S477" s="8" t="n">
        <f aca="false">S476*(1-TaxRate)+S474</f>
        <v>56.5582850675943</v>
      </c>
      <c r="T477" s="8" t="n">
        <f aca="false">T476*(1-TaxRate)+T474</f>
        <v>57.6894507689462</v>
      </c>
      <c r="U477" s="8" t="n">
        <f aca="false">U476*(1-TaxRate)+U474</f>
        <v>0</v>
      </c>
      <c r="V477" s="8" t="n">
        <f aca="false">V476*(1-TaxRate)+V474</f>
        <v>0</v>
      </c>
      <c r="W477" s="8" t="n">
        <f aca="false">W476*(1-TaxRate)+W474</f>
        <v>0</v>
      </c>
      <c r="X477" s="8" t="n">
        <f aca="false">X476*(1-TaxRate)+X474</f>
        <v>0</v>
      </c>
      <c r="Y477" s="8" t="n">
        <f aca="false">Y476*(1-TaxRate)+Y474</f>
        <v>0</v>
      </c>
      <c r="Z477" s="8" t="n">
        <f aca="false">Z476*(1-TaxRate)+Z474</f>
        <v>0</v>
      </c>
      <c r="AA477" s="8" t="n">
        <f aca="false">AA476*(1-TaxRate)+AA474</f>
        <v>0</v>
      </c>
      <c r="AB477" s="8" t="n">
        <f aca="false">AB476*(1-TaxRate)+AB474</f>
        <v>0</v>
      </c>
      <c r="AC477" s="8" t="n">
        <f aca="false">AC476*(1-TaxRate)+AC474</f>
        <v>0</v>
      </c>
      <c r="AD477" s="8" t="n">
        <f aca="false">AD476*(1-TaxRate)+AD474</f>
        <v>0</v>
      </c>
      <c r="AE477" s="8" t="n">
        <f aca="false">AE476*(1-TaxRate)+AE474</f>
        <v>0</v>
      </c>
      <c r="AF477" s="8" t="n">
        <f aca="false">AF476*(1-TaxRate)+AF474</f>
        <v>0</v>
      </c>
      <c r="AG477" s="8" t="n">
        <f aca="false">AG476*(1-TaxRate)+AG474</f>
        <v>0</v>
      </c>
      <c r="AH477" s="8" t="n">
        <f aca="false">AH476*(1-TaxRate)+AH474</f>
        <v>0</v>
      </c>
      <c r="AI477" s="8" t="n">
        <f aca="false">AI476*(1-TaxRate)+AI474</f>
        <v>0</v>
      </c>
      <c r="AJ477" s="8" t="n">
        <f aca="false">AJ476*(1-TaxRate)+AJ474</f>
        <v>0</v>
      </c>
      <c r="AK477" s="8" t="n">
        <f aca="false">AK476*(1-TaxRate)+AK474</f>
        <v>0</v>
      </c>
      <c r="AL477" s="8" t="n">
        <f aca="false">AL476*(1-TaxRate)+AL474</f>
        <v>0</v>
      </c>
      <c r="AM477" s="8" t="n">
        <f aca="false">AM476*(1-TaxRate)+AM474</f>
        <v>0</v>
      </c>
      <c r="AN477" s="8" t="n">
        <f aca="false">AN476*(1-TaxRate)+AN474</f>
        <v>0</v>
      </c>
      <c r="AO477" s="8" t="n">
        <f aca="false">AO476*(1-TaxRate)+AO474</f>
        <v>0</v>
      </c>
      <c r="AP477" s="8" t="n">
        <f aca="false">AP476*(1-TaxRate)+AP474</f>
        <v>0</v>
      </c>
      <c r="AQ477" s="8" t="n">
        <f aca="false">AQ476*(1-TaxRate)+AQ474</f>
        <v>0</v>
      </c>
      <c r="AR477" s="8" t="n">
        <f aca="false">AR476*(1-TaxRate)+AR474</f>
        <v>0</v>
      </c>
      <c r="AS477" s="8" t="n">
        <f aca="false">AS476*(1-TaxRate)+AS474</f>
        <v>0</v>
      </c>
    </row>
    <row r="478" customFormat="false" ht="15" hidden="false" customHeight="false" outlineLevel="0" collapsed="false">
      <c r="A478" s="6" t="s">
        <v>469</v>
      </c>
      <c r="B478" s="6" t="s">
        <v>470</v>
      </c>
      <c r="G478" s="8" t="n">
        <f aca="false">G475*(1-TaxRate)</f>
        <v>0</v>
      </c>
      <c r="H478" s="8" t="n">
        <f aca="false">H475*(1-TaxRate)</f>
        <v>0</v>
      </c>
      <c r="I478" s="8" t="n">
        <f aca="false">I475*(1-TaxRate)</f>
        <v>0</v>
      </c>
      <c r="J478" s="8" t="n">
        <f aca="false">J475*(1-TaxRate)</f>
        <v>0</v>
      </c>
      <c r="K478" s="8" t="n">
        <f aca="false">K475*(1-TaxRate)</f>
        <v>0</v>
      </c>
      <c r="L478" s="8" t="n">
        <f aca="false">L475*(1-TaxRate)</f>
        <v>0</v>
      </c>
      <c r="M478" s="8" t="n">
        <f aca="false">M475*(1-TaxRate)</f>
        <v>0</v>
      </c>
      <c r="N478" s="8" t="n">
        <f aca="false">N475*(1-TaxRate)</f>
        <v>0</v>
      </c>
      <c r="O478" s="8" t="n">
        <f aca="false">O475*(1-TaxRate)</f>
        <v>0</v>
      </c>
      <c r="P478" s="8" t="n">
        <f aca="false">P475*(1-TaxRate)</f>
        <v>0</v>
      </c>
      <c r="Q478" s="8" t="n">
        <f aca="false">Q475*(1-TaxRate)</f>
        <v>0</v>
      </c>
      <c r="R478" s="8" t="n">
        <f aca="false">R475*(1-TaxRate)</f>
        <v>0</v>
      </c>
      <c r="S478" s="8" t="n">
        <f aca="false">S475*(1-TaxRate)</f>
        <v>0</v>
      </c>
      <c r="T478" s="8" t="n">
        <f aca="false">T475*(1-TaxRate)</f>
        <v>0</v>
      </c>
      <c r="U478" s="8" t="n">
        <f aca="false">U475*(1-TaxRate)</f>
        <v>0</v>
      </c>
      <c r="V478" s="8" t="n">
        <f aca="false">V475*(1-TaxRate)</f>
        <v>0</v>
      </c>
      <c r="W478" s="8" t="n">
        <f aca="false">W475*(1-TaxRate)</f>
        <v>0</v>
      </c>
      <c r="X478" s="8" t="n">
        <f aca="false">X475*(1-TaxRate)</f>
        <v>0</v>
      </c>
      <c r="Y478" s="8" t="n">
        <f aca="false">Y475*(1-TaxRate)</f>
        <v>0</v>
      </c>
      <c r="Z478" s="8" t="n">
        <f aca="false">Z475*(1-TaxRate)</f>
        <v>0</v>
      </c>
      <c r="AA478" s="8" t="n">
        <f aca="false">AA475*(1-TaxRate)</f>
        <v>0</v>
      </c>
      <c r="AB478" s="8" t="n">
        <f aca="false">AB475*(1-TaxRate)</f>
        <v>0</v>
      </c>
      <c r="AC478" s="8" t="n">
        <f aca="false">AC475*(1-TaxRate)</f>
        <v>0</v>
      </c>
      <c r="AD478" s="8" t="n">
        <f aca="false">AD475*(1-TaxRate)</f>
        <v>0</v>
      </c>
      <c r="AE478" s="8" t="n">
        <f aca="false">AE475*(1-TaxRate)</f>
        <v>0</v>
      </c>
      <c r="AF478" s="8" t="n">
        <f aca="false">AF475*(1-TaxRate)</f>
        <v>0</v>
      </c>
      <c r="AG478" s="8" t="n">
        <f aca="false">AG475*(1-TaxRate)</f>
        <v>0</v>
      </c>
      <c r="AH478" s="8" t="n">
        <f aca="false">AH475*(1-TaxRate)</f>
        <v>0</v>
      </c>
      <c r="AI478" s="8" t="n">
        <f aca="false">AI475*(1-TaxRate)</f>
        <v>0</v>
      </c>
      <c r="AJ478" s="8" t="n">
        <f aca="false">AJ475*(1-TaxRate)</f>
        <v>0</v>
      </c>
      <c r="AK478" s="8" t="n">
        <f aca="false">AK475*(1-TaxRate)</f>
        <v>0</v>
      </c>
      <c r="AL478" s="8" t="n">
        <f aca="false">AL475*(1-TaxRate)</f>
        <v>0</v>
      </c>
      <c r="AM478" s="8" t="n">
        <f aca="false">AM475*(1-TaxRate)</f>
        <v>0</v>
      </c>
      <c r="AN478" s="8" t="n">
        <f aca="false">AN475*(1-TaxRate)</f>
        <v>0</v>
      </c>
      <c r="AO478" s="8" t="n">
        <f aca="false">AO475*(1-TaxRate)</f>
        <v>0</v>
      </c>
      <c r="AP478" s="8" t="n">
        <f aca="false">AP475*(1-TaxRate)</f>
        <v>0</v>
      </c>
      <c r="AQ478" s="8" t="n">
        <f aca="false">AQ475*(1-TaxRate)</f>
        <v>0</v>
      </c>
      <c r="AR478" s="8" t="n">
        <f aca="false">AR475*(1-TaxRate)</f>
        <v>0</v>
      </c>
      <c r="AS478" s="8" t="n">
        <f aca="false">AS475*(1-TaxRate)</f>
        <v>0</v>
      </c>
    </row>
    <row r="479" customFormat="false" ht="15" hidden="false" customHeight="false" outlineLevel="0" collapsed="false">
      <c r="A479" s="6" t="s">
        <v>471</v>
      </c>
      <c r="B479" s="6" t="s">
        <v>472</v>
      </c>
      <c r="G479" s="42" t="n">
        <f aca="false">(1+CEG_Assets!$AE$16)^-(G$3+0.5-ValDate)</f>
        <v>0.931012444622223</v>
      </c>
      <c r="H479" s="42" t="n">
        <f aca="false">(1+CEG_Assets!$AE$16)^-(H$3+0.5-ValDate)</f>
        <v>0.846374949656566</v>
      </c>
      <c r="I479" s="42" t="n">
        <f aca="false">(1+CEG_Assets!$AE$16)^-(I$3+0.5-ValDate)</f>
        <v>0.76943177241506</v>
      </c>
      <c r="J479" s="42" t="n">
        <f aca="false">(1+CEG_Assets!$AE$16)^-(J$3+0.5-ValDate)</f>
        <v>0.699483429468236</v>
      </c>
      <c r="K479" s="42" t="n">
        <f aca="false">(1+CEG_Assets!$AE$16)^-(K$3+0.5-ValDate)</f>
        <v>0.635894026789306</v>
      </c>
      <c r="L479" s="42" t="n">
        <f aca="false">(1+CEG_Assets!$AE$16)^-(L$3+0.5-ValDate)</f>
        <v>0.578085478899369</v>
      </c>
      <c r="M479" s="42" t="n">
        <f aca="false">(1+CEG_Assets!$AE$16)^-(M$3+0.5-ValDate)</f>
        <v>0.525532253544881</v>
      </c>
      <c r="N479" s="42" t="n">
        <f aca="false">(1+CEG_Assets!$AE$16)^-(N$3+0.5-ValDate)</f>
        <v>0.47775659413171</v>
      </c>
      <c r="O479" s="42" t="n">
        <f aca="false">(1+CEG_Assets!$AE$16)^-(O$3+0.5-ValDate)</f>
        <v>0.434324176483372</v>
      </c>
      <c r="P479" s="42" t="n">
        <f aca="false">(1+CEG_Assets!$AE$16)^-(P$3+0.5-ValDate)</f>
        <v>0.394840160439429</v>
      </c>
      <c r="Q479" s="42" t="n">
        <f aca="false">(1+CEG_Assets!$AE$16)^-(Q$3+0.5-ValDate)</f>
        <v>0.358945600399481</v>
      </c>
      <c r="R479" s="42" t="n">
        <f aca="false">(1+CEG_Assets!$AE$16)^-(R$3+0.5-ValDate)</f>
        <v>0.326314182181347</v>
      </c>
      <c r="S479" s="42" t="n">
        <f aca="false">(1+CEG_Assets!$AE$16)^-(S$3+0.5-ValDate)</f>
        <v>0.296649256528497</v>
      </c>
      <c r="T479" s="42" t="n">
        <f aca="false">(1+CEG_Assets!$AE$16)^-(T$3+0.5-ValDate)</f>
        <v>0.269681142298634</v>
      </c>
      <c r="U479" s="42" t="n">
        <f aca="false">(1+CEG_Assets!$AE$16)^-(U$3+0.5-ValDate)</f>
        <v>0.24516467481694</v>
      </c>
      <c r="V479" s="42" t="n">
        <f aca="false">(1+CEG_Assets!$AE$16)^-(V$3+0.5-ValDate)</f>
        <v>0.222876977106309</v>
      </c>
      <c r="W479" s="42" t="n">
        <f aca="false">(1+CEG_Assets!$AE$16)^-(W$3+0.5-ValDate)</f>
        <v>0.202615433733008</v>
      </c>
      <c r="X479" s="42" t="n">
        <f aca="false">(1+CEG_Assets!$AE$16)^-(X$3+0.5-ValDate)</f>
        <v>0.184195848848189</v>
      </c>
      <c r="Y479" s="42" t="n">
        <f aca="false">(1+CEG_Assets!$AE$16)^-(Y$3+0.5-ValDate)</f>
        <v>0.167450771680172</v>
      </c>
      <c r="Z479" s="42" t="n">
        <f aca="false">(1+CEG_Assets!$AE$16)^-(Z$3+0.5-ValDate)</f>
        <v>0.152227974254702</v>
      </c>
      <c r="AA479" s="42" t="n">
        <f aca="false">(1+CEG_Assets!$AE$16)^-(AA$3+0.5-ValDate)</f>
        <v>0.138389067504274</v>
      </c>
      <c r="AB479" s="42" t="n">
        <f aca="false">(1+CEG_Assets!$AE$16)^-(AB$3+0.5-ValDate)</f>
        <v>0.125808243185704</v>
      </c>
      <c r="AC479" s="42" t="n">
        <f aca="false">(1+CEG_Assets!$AE$16)^-(AC$3+0.5-ValDate)</f>
        <v>0.114371130168822</v>
      </c>
      <c r="AD479" s="42" t="n">
        <f aca="false">(1+CEG_Assets!$AE$16)^-(AD$3+0.5-ValDate)</f>
        <v>0.103973754698929</v>
      </c>
      <c r="AE479" s="42" t="n">
        <f aca="false">(1+CEG_Assets!$AE$16)^-(AE$3+0.5-ValDate)</f>
        <v>0.0945215951808443</v>
      </c>
      <c r="AF479" s="42" t="n">
        <f aca="false">(1+CEG_Assets!$AE$16)^-(AF$3+0.5-ValDate)</f>
        <v>0.0859287228916766</v>
      </c>
      <c r="AG479" s="42" t="n">
        <f aca="false">(1+CEG_Assets!$AE$16)^-(AG$3+0.5-ValDate)</f>
        <v>0.0781170208106151</v>
      </c>
      <c r="AH479" s="42" t="n">
        <f aca="false">(1+CEG_Assets!$AE$16)^-(AH$3+0.5-ValDate)</f>
        <v>0.0710154734641955</v>
      </c>
      <c r="AI479" s="42" t="n">
        <f aca="false">(1+CEG_Assets!$AE$16)^-(AI$3+0.5-ValDate)</f>
        <v>0.0645595213310868</v>
      </c>
      <c r="AJ479" s="42" t="n">
        <f aca="false">(1+CEG_Assets!$AE$16)^-(AJ$3+0.5-ValDate)</f>
        <v>0.0586904739373517</v>
      </c>
      <c r="AK479" s="42" t="n">
        <f aca="false">(1+CEG_Assets!$AE$16)^-(AK$3+0.5-ValDate)</f>
        <v>0.0533549763066833</v>
      </c>
      <c r="AL479" s="42" t="n">
        <f aca="false">(1+CEG_Assets!$AE$16)^-(AL$3+0.5-ValDate)</f>
        <v>0.0485045239151667</v>
      </c>
      <c r="AM479" s="42" t="n">
        <f aca="false">(1+CEG_Assets!$AE$16)^-(AM$3+0.5-ValDate)</f>
        <v>0.0440950217410606</v>
      </c>
      <c r="AN479" s="42" t="n">
        <f aca="false">(1+CEG_Assets!$AE$16)^-(AN$3+0.5-ValDate)</f>
        <v>0.0400863834009642</v>
      </c>
      <c r="AO479" s="42" t="n">
        <f aca="false">(1+CEG_Assets!$AE$16)^-(AO$3+0.5-ValDate)</f>
        <v>0.0364421667281493</v>
      </c>
      <c r="AP479" s="42" t="n">
        <f aca="false">(1+CEG_Assets!$AE$16)^-(AP$3+0.5-ValDate)</f>
        <v>0.0331292424801357</v>
      </c>
      <c r="AQ479" s="42" t="n">
        <f aca="false">(1+CEG_Assets!$AE$16)^-(AQ$3+0.5-ValDate)</f>
        <v>0.0301174931637597</v>
      </c>
      <c r="AR479" s="42" t="n">
        <f aca="false">(1+CEG_Assets!$AE$16)^-(AR$3+0.5-ValDate)</f>
        <v>0.0273795392397815</v>
      </c>
      <c r="AS479" s="42" t="n">
        <f aca="false">(1+CEG_Assets!$AE$16)^-(AS$3+0.5-ValDate)</f>
        <v>0.0248904902179832</v>
      </c>
    </row>
    <row r="480" customFormat="false" ht="15" hidden="false" customHeight="false" outlineLevel="0" collapsed="false">
      <c r="A480" s="6" t="s">
        <v>473</v>
      </c>
      <c r="B480" s="6" t="s">
        <v>474</v>
      </c>
      <c r="G480" s="42" t="n">
        <f aca="false">(1+CEG_Assets!$AF$16)^-(G$3+0.5-ValDate)</f>
        <v>0.931012444622223</v>
      </c>
      <c r="H480" s="42" t="n">
        <f aca="false">(1+CEG_Assets!$AF$16)^-(H$3+0.5-ValDate)</f>
        <v>0.846374949656566</v>
      </c>
      <c r="I480" s="42" t="n">
        <f aca="false">(1+CEG_Assets!$AF$16)^-(I$3+0.5-ValDate)</f>
        <v>0.76943177241506</v>
      </c>
      <c r="J480" s="42" t="n">
        <f aca="false">(1+CEG_Assets!$AF$16)^-(J$3+0.5-ValDate)</f>
        <v>0.699483429468236</v>
      </c>
      <c r="K480" s="42" t="n">
        <f aca="false">(1+CEG_Assets!$AF$16)^-(K$3+0.5-ValDate)</f>
        <v>0.635894026789306</v>
      </c>
      <c r="L480" s="42" t="n">
        <f aca="false">(1+CEG_Assets!$AF$16)^-(L$3+0.5-ValDate)</f>
        <v>0.578085478899369</v>
      </c>
      <c r="M480" s="42" t="n">
        <f aca="false">(1+CEG_Assets!$AF$16)^-(M$3+0.5-ValDate)</f>
        <v>0.525532253544881</v>
      </c>
      <c r="N480" s="42" t="n">
        <f aca="false">(1+CEG_Assets!$AF$16)^-(N$3+0.5-ValDate)</f>
        <v>0.47775659413171</v>
      </c>
      <c r="O480" s="42" t="n">
        <f aca="false">(1+CEG_Assets!$AF$16)^-(O$3+0.5-ValDate)</f>
        <v>0.434324176483372</v>
      </c>
      <c r="P480" s="42" t="n">
        <f aca="false">(1+CEG_Assets!$AF$16)^-(P$3+0.5-ValDate)</f>
        <v>0.394840160439429</v>
      </c>
      <c r="Q480" s="42" t="n">
        <f aca="false">(1+CEG_Assets!$AF$16)^-(Q$3+0.5-ValDate)</f>
        <v>0.358945600399481</v>
      </c>
      <c r="R480" s="42" t="n">
        <f aca="false">(1+CEG_Assets!$AF$16)^-(R$3+0.5-ValDate)</f>
        <v>0.326314182181347</v>
      </c>
      <c r="S480" s="42" t="n">
        <f aca="false">(1+CEG_Assets!$AF$16)^-(S$3+0.5-ValDate)</f>
        <v>0.296649256528497</v>
      </c>
      <c r="T480" s="42" t="n">
        <f aca="false">(1+CEG_Assets!$AF$16)^-(T$3+0.5-ValDate)</f>
        <v>0.269681142298634</v>
      </c>
      <c r="U480" s="42" t="n">
        <f aca="false">(1+CEG_Assets!$AF$16)^-(U$3+0.5-ValDate)</f>
        <v>0.24516467481694</v>
      </c>
      <c r="V480" s="42" t="n">
        <f aca="false">(1+CEG_Assets!$AF$16)^-(V$3+0.5-ValDate)</f>
        <v>0.222876977106309</v>
      </c>
      <c r="W480" s="42" t="n">
        <f aca="false">(1+CEG_Assets!$AF$16)^-(W$3+0.5-ValDate)</f>
        <v>0.202615433733008</v>
      </c>
      <c r="X480" s="42" t="n">
        <f aca="false">(1+CEG_Assets!$AF$16)^-(X$3+0.5-ValDate)</f>
        <v>0.184195848848189</v>
      </c>
      <c r="Y480" s="42" t="n">
        <f aca="false">(1+CEG_Assets!$AF$16)^-(Y$3+0.5-ValDate)</f>
        <v>0.167450771680172</v>
      </c>
      <c r="Z480" s="42" t="n">
        <f aca="false">(1+CEG_Assets!$AF$16)^-(Z$3+0.5-ValDate)</f>
        <v>0.152227974254702</v>
      </c>
      <c r="AA480" s="42" t="n">
        <f aca="false">(1+CEG_Assets!$AF$16)^-(AA$3+0.5-ValDate)</f>
        <v>0.138389067504274</v>
      </c>
      <c r="AB480" s="42" t="n">
        <f aca="false">(1+CEG_Assets!$AF$16)^-(AB$3+0.5-ValDate)</f>
        <v>0.125808243185704</v>
      </c>
      <c r="AC480" s="42" t="n">
        <f aca="false">(1+CEG_Assets!$AF$16)^-(AC$3+0.5-ValDate)</f>
        <v>0.114371130168822</v>
      </c>
      <c r="AD480" s="42" t="n">
        <f aca="false">(1+CEG_Assets!$AF$16)^-(AD$3+0.5-ValDate)</f>
        <v>0.103973754698929</v>
      </c>
      <c r="AE480" s="42" t="n">
        <f aca="false">(1+CEG_Assets!$AF$16)^-(AE$3+0.5-ValDate)</f>
        <v>0.0945215951808443</v>
      </c>
      <c r="AF480" s="42" t="n">
        <f aca="false">(1+CEG_Assets!$AF$16)^-(AF$3+0.5-ValDate)</f>
        <v>0.0859287228916766</v>
      </c>
      <c r="AG480" s="42" t="n">
        <f aca="false">(1+CEG_Assets!$AF$16)^-(AG$3+0.5-ValDate)</f>
        <v>0.0781170208106151</v>
      </c>
      <c r="AH480" s="42" t="n">
        <f aca="false">(1+CEG_Assets!$AF$16)^-(AH$3+0.5-ValDate)</f>
        <v>0.0710154734641955</v>
      </c>
      <c r="AI480" s="42" t="n">
        <f aca="false">(1+CEG_Assets!$AF$16)^-(AI$3+0.5-ValDate)</f>
        <v>0.0645595213310868</v>
      </c>
      <c r="AJ480" s="42" t="n">
        <f aca="false">(1+CEG_Assets!$AF$16)^-(AJ$3+0.5-ValDate)</f>
        <v>0.0586904739373517</v>
      </c>
      <c r="AK480" s="42" t="n">
        <f aca="false">(1+CEG_Assets!$AF$16)^-(AK$3+0.5-ValDate)</f>
        <v>0.0533549763066833</v>
      </c>
      <c r="AL480" s="42" t="n">
        <f aca="false">(1+CEG_Assets!$AF$16)^-(AL$3+0.5-ValDate)</f>
        <v>0.0485045239151667</v>
      </c>
      <c r="AM480" s="42" t="n">
        <f aca="false">(1+CEG_Assets!$AF$16)^-(AM$3+0.5-ValDate)</f>
        <v>0.0440950217410606</v>
      </c>
      <c r="AN480" s="42" t="n">
        <f aca="false">(1+CEG_Assets!$AF$16)^-(AN$3+0.5-ValDate)</f>
        <v>0.0400863834009642</v>
      </c>
      <c r="AO480" s="42" t="n">
        <f aca="false">(1+CEG_Assets!$AF$16)^-(AO$3+0.5-ValDate)</f>
        <v>0.0364421667281493</v>
      </c>
      <c r="AP480" s="42" t="n">
        <f aca="false">(1+CEG_Assets!$AF$16)^-(AP$3+0.5-ValDate)</f>
        <v>0.0331292424801357</v>
      </c>
      <c r="AQ480" s="42" t="n">
        <f aca="false">(1+CEG_Assets!$AF$16)^-(AQ$3+0.5-ValDate)</f>
        <v>0.0301174931637597</v>
      </c>
      <c r="AR480" s="42" t="n">
        <f aca="false">(1+CEG_Assets!$AF$16)^-(AR$3+0.5-ValDate)</f>
        <v>0.0273795392397815</v>
      </c>
      <c r="AS480" s="42" t="n">
        <f aca="false">(1+CEG_Assets!$AF$16)^-(AS$3+0.5-ValDate)</f>
        <v>0.0248904902179832</v>
      </c>
    </row>
    <row r="481" customFormat="false" ht="15" hidden="false" customHeight="false" outlineLevel="0" collapsed="false">
      <c r="A481" s="6" t="s">
        <v>475</v>
      </c>
      <c r="B481" s="6" t="s">
        <v>476</v>
      </c>
      <c r="C481" s="43" t="n">
        <f aca="false">SUM(G481:AS481)</f>
        <v>389.37340655449</v>
      </c>
      <c r="D481" s="8" t="n">
        <f aca="false">SUMIF($G$3:$AS$3,"&lt;="&amp;Horizon,G481:AS481)</f>
        <v>165.666928904546</v>
      </c>
      <c r="E481" s="8" t="n">
        <f aca="false">(C481-D481)*(1+CEG_Assets!$AE$16)^(Horizon+1-ValDate)</f>
        <v>335.426578054332</v>
      </c>
      <c r="G481" s="8" t="n">
        <f aca="false">G477*G479</f>
        <v>49.4687013587498</v>
      </c>
      <c r="H481" s="8" t="n">
        <f aca="false">H477*H479</f>
        <v>45.5828541486099</v>
      </c>
      <c r="I481" s="8" t="n">
        <f aca="false">I477*I479</f>
        <v>37.5120103250444</v>
      </c>
      <c r="J481" s="8" t="n">
        <f aca="false">J477*J479</f>
        <v>33.1033630721419</v>
      </c>
      <c r="K481" s="8" t="n">
        <f aca="false">K477*K479</f>
        <v>30.6958457578043</v>
      </c>
      <c r="L481" s="8" t="n">
        <f aca="false">L477*L479</f>
        <v>28.4634206117822</v>
      </c>
      <c r="M481" s="8" t="n">
        <f aca="false">M477*M479</f>
        <v>26.393353658198</v>
      </c>
      <c r="N481" s="8" t="n">
        <f aca="false">N477*N479</f>
        <v>24.4738370285109</v>
      </c>
      <c r="O481" s="8" t="n">
        <f aca="false">O477*O479</f>
        <v>22.6939216082555</v>
      </c>
      <c r="P481" s="8" t="n">
        <f aca="false">P477*P479</f>
        <v>21.0434545822006</v>
      </c>
      <c r="Q481" s="8" t="n">
        <f aca="false">Q477*Q479</f>
        <v>19.5130215216769</v>
      </c>
      <c r="R481" s="8" t="n">
        <f aca="false">R477*R479</f>
        <v>18.0938926837368</v>
      </c>
      <c r="S481" s="8" t="n">
        <f aca="false">S477*S479</f>
        <v>16.7779732158286</v>
      </c>
      <c r="T481" s="8" t="n">
        <f aca="false">T477*T479</f>
        <v>15.5577569819502</v>
      </c>
      <c r="U481" s="8" t="n">
        <f aca="false">U477*U479</f>
        <v>0</v>
      </c>
      <c r="V481" s="8" t="n">
        <f aca="false">V477*V479</f>
        <v>0</v>
      </c>
      <c r="W481" s="8" t="n">
        <f aca="false">W477*W479</f>
        <v>0</v>
      </c>
      <c r="X481" s="8" t="n">
        <f aca="false">X477*X479</f>
        <v>0</v>
      </c>
      <c r="Y481" s="8" t="n">
        <f aca="false">Y477*Y479</f>
        <v>0</v>
      </c>
      <c r="Z481" s="8" t="n">
        <f aca="false">Z477*Z479</f>
        <v>0</v>
      </c>
      <c r="AA481" s="8" t="n">
        <f aca="false">AA477*AA479</f>
        <v>0</v>
      </c>
      <c r="AB481" s="8" t="n">
        <f aca="false">AB477*AB479</f>
        <v>0</v>
      </c>
      <c r="AC481" s="8" t="n">
        <f aca="false">AC477*AC479</f>
        <v>0</v>
      </c>
      <c r="AD481" s="8" t="n">
        <f aca="false">AD477*AD479</f>
        <v>0</v>
      </c>
      <c r="AE481" s="8" t="n">
        <f aca="false">AE477*AE479</f>
        <v>0</v>
      </c>
      <c r="AF481" s="8" t="n">
        <f aca="false">AF477*AF479</f>
        <v>0</v>
      </c>
      <c r="AG481" s="8" t="n">
        <f aca="false">AG477*AG479</f>
        <v>0</v>
      </c>
      <c r="AH481" s="8" t="n">
        <f aca="false">AH477*AH479</f>
        <v>0</v>
      </c>
      <c r="AI481" s="8" t="n">
        <f aca="false">AI477*AI479</f>
        <v>0</v>
      </c>
      <c r="AJ481" s="8" t="n">
        <f aca="false">AJ477*AJ479</f>
        <v>0</v>
      </c>
      <c r="AK481" s="8" t="n">
        <f aca="false">AK477*AK479</f>
        <v>0</v>
      </c>
      <c r="AL481" s="8" t="n">
        <f aca="false">AL477*AL479</f>
        <v>0</v>
      </c>
      <c r="AM481" s="8" t="n">
        <f aca="false">AM477*AM479</f>
        <v>0</v>
      </c>
      <c r="AN481" s="8" t="n">
        <f aca="false">AN477*AN479</f>
        <v>0</v>
      </c>
      <c r="AO481" s="8" t="n">
        <f aca="false">AO477*AO479</f>
        <v>0</v>
      </c>
      <c r="AP481" s="8" t="n">
        <f aca="false">AP477*AP479</f>
        <v>0</v>
      </c>
      <c r="AQ481" s="8" t="n">
        <f aca="false">AQ477*AQ479</f>
        <v>0</v>
      </c>
      <c r="AR481" s="8" t="n">
        <f aca="false">AR477*AR479</f>
        <v>0</v>
      </c>
      <c r="AS481" s="8" t="n">
        <f aca="false">AS477*AS479</f>
        <v>0</v>
      </c>
    </row>
    <row r="482" customFormat="false" ht="15" hidden="false" customHeight="false" outlineLevel="0" collapsed="false">
      <c r="A482" s="6" t="s">
        <v>477</v>
      </c>
      <c r="B482" s="6" t="s">
        <v>478</v>
      </c>
      <c r="C482" s="43" t="n">
        <f aca="false">SUM(G482:AS482)</f>
        <v>0</v>
      </c>
      <c r="D482" s="8" t="n">
        <f aca="false">SUMIF($G$3:$AS$3,"&lt;="&amp;Horizon,G482:AS482)</f>
        <v>0</v>
      </c>
      <c r="E482" s="8" t="n">
        <f aca="false">(C482-D482)*(1+CEG_Assets!$AF$16)^(Horizon+1-ValDate)</f>
        <v>0</v>
      </c>
      <c r="G482" s="8" t="n">
        <f aca="false">G478*G480</f>
        <v>0</v>
      </c>
      <c r="H482" s="8" t="n">
        <f aca="false">H478*H480</f>
        <v>0</v>
      </c>
      <c r="I482" s="8" t="n">
        <f aca="false">I478*I480</f>
        <v>0</v>
      </c>
      <c r="J482" s="8" t="n">
        <f aca="false">J478*J480</f>
        <v>0</v>
      </c>
      <c r="K482" s="8" t="n">
        <f aca="false">K478*K480</f>
        <v>0</v>
      </c>
      <c r="L482" s="8" t="n">
        <f aca="false">L478*L480</f>
        <v>0</v>
      </c>
      <c r="M482" s="8" t="n">
        <f aca="false">M478*M480</f>
        <v>0</v>
      </c>
      <c r="N482" s="8" t="n">
        <f aca="false">N478*N480</f>
        <v>0</v>
      </c>
      <c r="O482" s="8" t="n">
        <f aca="false">O478*O480</f>
        <v>0</v>
      </c>
      <c r="P482" s="8" t="n">
        <f aca="false">P478*P480</f>
        <v>0</v>
      </c>
      <c r="Q482" s="8" t="n">
        <f aca="false">Q478*Q480</f>
        <v>0</v>
      </c>
      <c r="R482" s="8" t="n">
        <f aca="false">R478*R480</f>
        <v>0</v>
      </c>
      <c r="S482" s="8" t="n">
        <f aca="false">S478*S480</f>
        <v>0</v>
      </c>
      <c r="T482" s="8" t="n">
        <f aca="false">T478*T480</f>
        <v>0</v>
      </c>
      <c r="U482" s="8" t="n">
        <f aca="false">U478*U480</f>
        <v>0</v>
      </c>
      <c r="V482" s="8" t="n">
        <f aca="false">V478*V480</f>
        <v>0</v>
      </c>
      <c r="W482" s="8" t="n">
        <f aca="false">W478*W480</f>
        <v>0</v>
      </c>
      <c r="X482" s="8" t="n">
        <f aca="false">X478*X480</f>
        <v>0</v>
      </c>
      <c r="Y482" s="8" t="n">
        <f aca="false">Y478*Y480</f>
        <v>0</v>
      </c>
      <c r="Z482" s="8" t="n">
        <f aca="false">Z478*Z480</f>
        <v>0</v>
      </c>
      <c r="AA482" s="8" t="n">
        <f aca="false">AA478*AA480</f>
        <v>0</v>
      </c>
      <c r="AB482" s="8" t="n">
        <f aca="false">AB478*AB480</f>
        <v>0</v>
      </c>
      <c r="AC482" s="8" t="n">
        <f aca="false">AC478*AC480</f>
        <v>0</v>
      </c>
      <c r="AD482" s="8" t="n">
        <f aca="false">AD478*AD480</f>
        <v>0</v>
      </c>
      <c r="AE482" s="8" t="n">
        <f aca="false">AE478*AE480</f>
        <v>0</v>
      </c>
      <c r="AF482" s="8" t="n">
        <f aca="false">AF478*AF480</f>
        <v>0</v>
      </c>
      <c r="AG482" s="8" t="n">
        <f aca="false">AG478*AG480</f>
        <v>0</v>
      </c>
      <c r="AH482" s="8" t="n">
        <f aca="false">AH478*AH480</f>
        <v>0</v>
      </c>
      <c r="AI482" s="8" t="n">
        <f aca="false">AI478*AI480</f>
        <v>0</v>
      </c>
      <c r="AJ482" s="8" t="n">
        <f aca="false">AJ478*AJ480</f>
        <v>0</v>
      </c>
      <c r="AK482" s="8" t="n">
        <f aca="false">AK478*AK480</f>
        <v>0</v>
      </c>
      <c r="AL482" s="8" t="n">
        <f aca="false">AL478*AL480</f>
        <v>0</v>
      </c>
      <c r="AM482" s="8" t="n">
        <f aca="false">AM478*AM480</f>
        <v>0</v>
      </c>
      <c r="AN482" s="8" t="n">
        <f aca="false">AN478*AN480</f>
        <v>0</v>
      </c>
      <c r="AO482" s="8" t="n">
        <f aca="false">AO478*AO480</f>
        <v>0</v>
      </c>
      <c r="AP482" s="8" t="n">
        <f aca="false">AP478*AP480</f>
        <v>0</v>
      </c>
      <c r="AQ482" s="8" t="n">
        <f aca="false">AQ478*AQ480</f>
        <v>0</v>
      </c>
      <c r="AR482" s="8" t="n">
        <f aca="false">AR478*AR480</f>
        <v>0</v>
      </c>
      <c r="AS482" s="8" t="n">
        <f aca="false">AS478*AS480</f>
        <v>0</v>
      </c>
    </row>
    <row r="483" customFormat="false" ht="15" hidden="false" customHeight="false" outlineLevel="0" collapsed="false">
      <c r="A483" s="6" t="s">
        <v>479</v>
      </c>
      <c r="B483" s="6" t="s">
        <v>480</v>
      </c>
      <c r="C483" s="43" t="n">
        <f aca="false">IF(CEG_Assets!$H$16="$/kW",CEG_Assets!$D$16*CEG_Assets!$AI$16*(1+0.4*(PJMWLR/PJMWLRBase-1))/1000,0)</f>
        <v>0</v>
      </c>
      <c r="E483" s="8" t="n">
        <f aca="false">C483</f>
        <v>0</v>
      </c>
      <c r="G483" s="8" t="n">
        <f aca="false">0</f>
        <v>0</v>
      </c>
      <c r="H483" s="8" t="n">
        <f aca="false">0</f>
        <v>0</v>
      </c>
      <c r="I483" s="8" t="n">
        <f aca="false">0</f>
        <v>0</v>
      </c>
      <c r="J483" s="8" t="n">
        <f aca="false">0</f>
        <v>0</v>
      </c>
      <c r="K483" s="8" t="n">
        <f aca="false">0</f>
        <v>0</v>
      </c>
      <c r="L483" s="8" t="n">
        <f aca="false">0</f>
        <v>0</v>
      </c>
      <c r="M483" s="8" t="n">
        <f aca="false">0</f>
        <v>0</v>
      </c>
      <c r="N483" s="8" t="n">
        <f aca="false">0</f>
        <v>0</v>
      </c>
      <c r="O483" s="8" t="n">
        <f aca="false">0</f>
        <v>0</v>
      </c>
      <c r="P483" s="8" t="n">
        <f aca="false">0</f>
        <v>0</v>
      </c>
      <c r="Q483" s="8" t="n">
        <f aca="false">0</f>
        <v>0</v>
      </c>
      <c r="R483" s="8" t="n">
        <f aca="false">0</f>
        <v>0</v>
      </c>
      <c r="S483" s="8" t="n">
        <f aca="false">0</f>
        <v>0</v>
      </c>
      <c r="T483" s="8" t="n">
        <f aca="false">0</f>
        <v>0</v>
      </c>
      <c r="U483" s="8" t="n">
        <f aca="false">0</f>
        <v>0</v>
      </c>
      <c r="V483" s="8" t="n">
        <f aca="false">0</f>
        <v>0</v>
      </c>
      <c r="W483" s="8" t="n">
        <f aca="false">0</f>
        <v>0</v>
      </c>
      <c r="X483" s="8" t="n">
        <f aca="false">0</f>
        <v>0</v>
      </c>
      <c r="Y483" s="8" t="n">
        <f aca="false">0</f>
        <v>0</v>
      </c>
      <c r="Z483" s="8" t="n">
        <f aca="false">0</f>
        <v>0</v>
      </c>
      <c r="AA483" s="8" t="n">
        <f aca="false">0</f>
        <v>0</v>
      </c>
      <c r="AB483" s="8" t="n">
        <f aca="false">0</f>
        <v>0</v>
      </c>
      <c r="AC483" s="8" t="n">
        <f aca="false">0</f>
        <v>0</v>
      </c>
      <c r="AD483" s="8" t="n">
        <f aca="false">0</f>
        <v>0</v>
      </c>
      <c r="AE483" s="8" t="n">
        <f aca="false">0</f>
        <v>0</v>
      </c>
      <c r="AF483" s="8" t="n">
        <f aca="false">0</f>
        <v>0</v>
      </c>
      <c r="AG483" s="8" t="n">
        <f aca="false">0</f>
        <v>0</v>
      </c>
      <c r="AH483" s="8" t="n">
        <f aca="false">0</f>
        <v>0</v>
      </c>
      <c r="AI483" s="8" t="n">
        <f aca="false">0</f>
        <v>0</v>
      </c>
      <c r="AJ483" s="8" t="n">
        <f aca="false">0</f>
        <v>0</v>
      </c>
      <c r="AK483" s="8" t="n">
        <f aca="false">0</f>
        <v>0</v>
      </c>
      <c r="AL483" s="8" t="n">
        <f aca="false">0</f>
        <v>0</v>
      </c>
      <c r="AM483" s="8" t="n">
        <f aca="false">0</f>
        <v>0</v>
      </c>
      <c r="AN483" s="8" t="n">
        <f aca="false">0</f>
        <v>0</v>
      </c>
      <c r="AO483" s="8" t="n">
        <f aca="false">0</f>
        <v>0</v>
      </c>
      <c r="AP483" s="8" t="n">
        <f aca="false">0</f>
        <v>0</v>
      </c>
      <c r="AQ483" s="8" t="n">
        <f aca="false">0</f>
        <v>0</v>
      </c>
      <c r="AR483" s="8" t="n">
        <f aca="false">0</f>
        <v>0</v>
      </c>
      <c r="AS483" s="8" t="n">
        <f aca="false">0</f>
        <v>0</v>
      </c>
    </row>
    <row r="485" customFormat="false" ht="15" hidden="false" customHeight="false" outlineLevel="0" collapsed="false">
      <c r="A485" s="54" t="str">
        <f aca="false">CEG_Assets!$A$17</f>
        <v>Calpine - The Geysers geothermal</v>
      </c>
    </row>
    <row r="486" customFormat="false" ht="15" hidden="false" customHeight="false" outlineLevel="0" collapsed="false">
      <c r="A486" s="6" t="s">
        <v>425</v>
      </c>
      <c r="B486" s="6" t="s">
        <v>426</v>
      </c>
      <c r="G486" s="47" t="n">
        <f aca="false">IF(AND(G$3&gt;=CEG_Assets!$E$17,G$3&lt;=CEG_Assets!$F$17,CEG_Assets!$H$17="Cashflow"),1,0)</f>
        <v>1</v>
      </c>
      <c r="H486" s="47" t="n">
        <f aca="false">IF(AND(H$3&gt;=CEG_Assets!$E$17,H$3&lt;=CEG_Assets!$F$17,CEG_Assets!$H$17="Cashflow"),1,0)</f>
        <v>1</v>
      </c>
      <c r="I486" s="47" t="n">
        <f aca="false">IF(AND(I$3&gt;=CEG_Assets!$E$17,I$3&lt;=CEG_Assets!$F$17,CEG_Assets!$H$17="Cashflow"),1,0)</f>
        <v>1</v>
      </c>
      <c r="J486" s="47" t="n">
        <f aca="false">IF(AND(J$3&gt;=CEG_Assets!$E$17,J$3&lt;=CEG_Assets!$F$17,CEG_Assets!$H$17="Cashflow"),1,0)</f>
        <v>1</v>
      </c>
      <c r="K486" s="47" t="n">
        <f aca="false">IF(AND(K$3&gt;=CEG_Assets!$E$17,K$3&lt;=CEG_Assets!$F$17,CEG_Assets!$H$17="Cashflow"),1,0)</f>
        <v>1</v>
      </c>
      <c r="L486" s="47" t="n">
        <f aca="false">IF(AND(L$3&gt;=CEG_Assets!$E$17,L$3&lt;=CEG_Assets!$F$17,CEG_Assets!$H$17="Cashflow"),1,0)</f>
        <v>1</v>
      </c>
      <c r="M486" s="47" t="n">
        <f aca="false">IF(AND(M$3&gt;=CEG_Assets!$E$17,M$3&lt;=CEG_Assets!$F$17,CEG_Assets!$H$17="Cashflow"),1,0)</f>
        <v>1</v>
      </c>
      <c r="N486" s="47" t="n">
        <f aca="false">IF(AND(N$3&gt;=CEG_Assets!$E$17,N$3&lt;=CEG_Assets!$F$17,CEG_Assets!$H$17="Cashflow"),1,0)</f>
        <v>1</v>
      </c>
      <c r="O486" s="47" t="n">
        <f aca="false">IF(AND(O$3&gt;=CEG_Assets!$E$17,O$3&lt;=CEG_Assets!$F$17,CEG_Assets!$H$17="Cashflow"),1,0)</f>
        <v>1</v>
      </c>
      <c r="P486" s="47" t="n">
        <f aca="false">IF(AND(P$3&gt;=CEG_Assets!$E$17,P$3&lt;=CEG_Assets!$F$17,CEG_Assets!$H$17="Cashflow"),1,0)</f>
        <v>1</v>
      </c>
      <c r="Q486" s="47" t="n">
        <f aca="false">IF(AND(Q$3&gt;=CEG_Assets!$E$17,Q$3&lt;=CEG_Assets!$F$17,CEG_Assets!$H$17="Cashflow"),1,0)</f>
        <v>1</v>
      </c>
      <c r="R486" s="47" t="n">
        <f aca="false">IF(AND(R$3&gt;=CEG_Assets!$E$17,R$3&lt;=CEG_Assets!$F$17,CEG_Assets!$H$17="Cashflow"),1,0)</f>
        <v>1</v>
      </c>
      <c r="S486" s="47" t="n">
        <f aca="false">IF(AND(S$3&gt;=CEG_Assets!$E$17,S$3&lt;=CEG_Assets!$F$17,CEG_Assets!$H$17="Cashflow"),1,0)</f>
        <v>1</v>
      </c>
      <c r="T486" s="47" t="n">
        <f aca="false">IF(AND(T$3&gt;=CEG_Assets!$E$17,T$3&lt;=CEG_Assets!$F$17,CEG_Assets!$H$17="Cashflow"),1,0)</f>
        <v>1</v>
      </c>
      <c r="U486" s="47" t="n">
        <f aca="false">IF(AND(U$3&gt;=CEG_Assets!$E$17,U$3&lt;=CEG_Assets!$F$17,CEG_Assets!$H$17="Cashflow"),1,0)</f>
        <v>1</v>
      </c>
      <c r="V486" s="47" t="n">
        <f aca="false">IF(AND(V$3&gt;=CEG_Assets!$E$17,V$3&lt;=CEG_Assets!$F$17,CEG_Assets!$H$17="Cashflow"),1,0)</f>
        <v>1</v>
      </c>
      <c r="W486" s="47" t="n">
        <f aca="false">IF(AND(W$3&gt;=CEG_Assets!$E$17,W$3&lt;=CEG_Assets!$F$17,CEG_Assets!$H$17="Cashflow"),1,0)</f>
        <v>1</v>
      </c>
      <c r="X486" s="47" t="n">
        <f aca="false">IF(AND(X$3&gt;=CEG_Assets!$E$17,X$3&lt;=CEG_Assets!$F$17,CEG_Assets!$H$17="Cashflow"),1,0)</f>
        <v>1</v>
      </c>
      <c r="Y486" s="47" t="n">
        <f aca="false">IF(AND(Y$3&gt;=CEG_Assets!$E$17,Y$3&lt;=CEG_Assets!$F$17,CEG_Assets!$H$17="Cashflow"),1,0)</f>
        <v>1</v>
      </c>
      <c r="Z486" s="47" t="n">
        <f aca="false">IF(AND(Z$3&gt;=CEG_Assets!$E$17,Z$3&lt;=CEG_Assets!$F$17,CEG_Assets!$H$17="Cashflow"),1,0)</f>
        <v>1</v>
      </c>
      <c r="AA486" s="47" t="n">
        <f aca="false">IF(AND(AA$3&gt;=CEG_Assets!$E$17,AA$3&lt;=CEG_Assets!$F$17,CEG_Assets!$H$17="Cashflow"),1,0)</f>
        <v>1</v>
      </c>
      <c r="AB486" s="47" t="n">
        <f aca="false">IF(AND(AB$3&gt;=CEG_Assets!$E$17,AB$3&lt;=CEG_Assets!$F$17,CEG_Assets!$H$17="Cashflow"),1,0)</f>
        <v>1</v>
      </c>
      <c r="AC486" s="47" t="n">
        <f aca="false">IF(AND(AC$3&gt;=CEG_Assets!$E$17,AC$3&lt;=CEG_Assets!$F$17,CEG_Assets!$H$17="Cashflow"),1,0)</f>
        <v>1</v>
      </c>
      <c r="AD486" s="47" t="n">
        <f aca="false">IF(AND(AD$3&gt;=CEG_Assets!$E$17,AD$3&lt;=CEG_Assets!$F$17,CEG_Assets!$H$17="Cashflow"),1,0)</f>
        <v>1</v>
      </c>
      <c r="AE486" s="47" t="n">
        <f aca="false">IF(AND(AE$3&gt;=CEG_Assets!$E$17,AE$3&lt;=CEG_Assets!$F$17,CEG_Assets!$H$17="Cashflow"),1,0)</f>
        <v>1</v>
      </c>
      <c r="AF486" s="47" t="n">
        <f aca="false">IF(AND(AF$3&gt;=CEG_Assets!$E$17,AF$3&lt;=CEG_Assets!$F$17,CEG_Assets!$H$17="Cashflow"),1,0)</f>
        <v>1</v>
      </c>
      <c r="AG486" s="47" t="n">
        <f aca="false">IF(AND(AG$3&gt;=CEG_Assets!$E$17,AG$3&lt;=CEG_Assets!$F$17,CEG_Assets!$H$17="Cashflow"),1,0)</f>
        <v>1</v>
      </c>
      <c r="AH486" s="47" t="n">
        <f aca="false">IF(AND(AH$3&gt;=CEG_Assets!$E$17,AH$3&lt;=CEG_Assets!$F$17,CEG_Assets!$H$17="Cashflow"),1,0)</f>
        <v>1</v>
      </c>
      <c r="AI486" s="47" t="n">
        <f aca="false">IF(AND(AI$3&gt;=CEG_Assets!$E$17,AI$3&lt;=CEG_Assets!$F$17,CEG_Assets!$H$17="Cashflow"),1,0)</f>
        <v>1</v>
      </c>
      <c r="AJ486" s="47" t="n">
        <f aca="false">IF(AND(AJ$3&gt;=CEG_Assets!$E$17,AJ$3&lt;=CEG_Assets!$F$17,CEG_Assets!$H$17="Cashflow"),1,0)</f>
        <v>0</v>
      </c>
      <c r="AK486" s="47" t="n">
        <f aca="false">IF(AND(AK$3&gt;=CEG_Assets!$E$17,AK$3&lt;=CEG_Assets!$F$17,CEG_Assets!$H$17="Cashflow"),1,0)</f>
        <v>0</v>
      </c>
      <c r="AL486" s="47" t="n">
        <f aca="false">IF(AND(AL$3&gt;=CEG_Assets!$E$17,AL$3&lt;=CEG_Assets!$F$17,CEG_Assets!$H$17="Cashflow"),1,0)</f>
        <v>0</v>
      </c>
      <c r="AM486" s="47" t="n">
        <f aca="false">IF(AND(AM$3&gt;=CEG_Assets!$E$17,AM$3&lt;=CEG_Assets!$F$17,CEG_Assets!$H$17="Cashflow"),1,0)</f>
        <v>0</v>
      </c>
      <c r="AN486" s="47" t="n">
        <f aca="false">IF(AND(AN$3&gt;=CEG_Assets!$E$17,AN$3&lt;=CEG_Assets!$F$17,CEG_Assets!$H$17="Cashflow"),1,0)</f>
        <v>0</v>
      </c>
      <c r="AO486" s="47" t="n">
        <f aca="false">IF(AND(AO$3&gt;=CEG_Assets!$E$17,AO$3&lt;=CEG_Assets!$F$17,CEG_Assets!$H$17="Cashflow"),1,0)</f>
        <v>0</v>
      </c>
      <c r="AP486" s="47" t="n">
        <f aca="false">IF(AND(AP$3&gt;=CEG_Assets!$E$17,AP$3&lt;=CEG_Assets!$F$17,CEG_Assets!$H$17="Cashflow"),1,0)</f>
        <v>0</v>
      </c>
      <c r="AQ486" s="47" t="n">
        <f aca="false">IF(AND(AQ$3&gt;=CEG_Assets!$E$17,AQ$3&lt;=CEG_Assets!$F$17,CEG_Assets!$H$17="Cashflow"),1,0)</f>
        <v>0</v>
      </c>
      <c r="AR486" s="47" t="n">
        <f aca="false">IF(AND(AR$3&gt;=CEG_Assets!$E$17,AR$3&lt;=CEG_Assets!$F$17,CEG_Assets!$H$17="Cashflow"),1,0)</f>
        <v>0</v>
      </c>
      <c r="AS486" s="47" t="n">
        <f aca="false">IF(AND(AS$3&gt;=CEG_Assets!$E$17,AS$3&lt;=CEG_Assets!$F$17,CEG_Assets!$H$17="Cashflow"),1,0)</f>
        <v>0</v>
      </c>
    </row>
    <row r="487" customFormat="false" ht="15" hidden="false" customHeight="false" outlineLevel="0" collapsed="false">
      <c r="A487" s="6" t="s">
        <v>427</v>
      </c>
      <c r="B487" s="6" t="s">
        <v>428</v>
      </c>
      <c r="G487" s="9" t="n">
        <f aca="false">IF(AND(G$3&gt;=CEG_Assets!$AA$17,G$3&lt;=CEG_Assets!$AB$17),MIN(CEG_Assets!$D$17,CEG_Assets!$Z$17*MIN(1,(G$3-CEG_Assets!$AA$17+1)/MAX(1,CEG_Assets!$AC$17))),0)*G486</f>
        <v>750</v>
      </c>
      <c r="H487" s="9" t="n">
        <f aca="false">IF(AND(H$3&gt;=CEG_Assets!$AA$17,H$3&lt;=CEG_Assets!$AB$17),MIN(CEG_Assets!$D$17,CEG_Assets!$Z$17*MIN(1,(H$3-CEG_Assets!$AA$17+1)/MAX(1,CEG_Assets!$AC$17))),0)*H486</f>
        <v>750</v>
      </c>
      <c r="I487" s="9" t="n">
        <f aca="false">IF(AND(I$3&gt;=CEG_Assets!$AA$17,I$3&lt;=CEG_Assets!$AB$17),MIN(CEG_Assets!$D$17,CEG_Assets!$Z$17*MIN(1,(I$3-CEG_Assets!$AA$17+1)/MAX(1,CEG_Assets!$AC$17))),0)*I486</f>
        <v>750</v>
      </c>
      <c r="J487" s="9" t="n">
        <f aca="false">IF(AND(J$3&gt;=CEG_Assets!$AA$17,J$3&lt;=CEG_Assets!$AB$17),MIN(CEG_Assets!$D$17,CEG_Assets!$Z$17*MIN(1,(J$3-CEG_Assets!$AA$17+1)/MAX(1,CEG_Assets!$AC$17))),0)*J486</f>
        <v>750</v>
      </c>
      <c r="K487" s="9" t="n">
        <f aca="false">IF(AND(K$3&gt;=CEG_Assets!$AA$17,K$3&lt;=CEG_Assets!$AB$17),MIN(CEG_Assets!$D$17,CEG_Assets!$Z$17*MIN(1,(K$3-CEG_Assets!$AA$17+1)/MAX(1,CEG_Assets!$AC$17))),0)*K486</f>
        <v>750</v>
      </c>
      <c r="L487" s="9" t="n">
        <f aca="false">IF(AND(L$3&gt;=CEG_Assets!$AA$17,L$3&lt;=CEG_Assets!$AB$17),MIN(CEG_Assets!$D$17,CEG_Assets!$Z$17*MIN(1,(L$3-CEG_Assets!$AA$17+1)/MAX(1,CEG_Assets!$AC$17))),0)*L486</f>
        <v>750</v>
      </c>
      <c r="M487" s="9" t="n">
        <f aca="false">IF(AND(M$3&gt;=CEG_Assets!$AA$17,M$3&lt;=CEG_Assets!$AB$17),MIN(CEG_Assets!$D$17,CEG_Assets!$Z$17*MIN(1,(M$3-CEG_Assets!$AA$17+1)/MAX(1,CEG_Assets!$AC$17))),0)*M486</f>
        <v>750</v>
      </c>
      <c r="N487" s="9" t="n">
        <f aca="false">IF(AND(N$3&gt;=CEG_Assets!$AA$17,N$3&lt;=CEG_Assets!$AB$17),MIN(CEG_Assets!$D$17,CEG_Assets!$Z$17*MIN(1,(N$3-CEG_Assets!$AA$17+1)/MAX(1,CEG_Assets!$AC$17))),0)*N486</f>
        <v>750</v>
      </c>
      <c r="O487" s="9" t="n">
        <f aca="false">IF(AND(O$3&gt;=CEG_Assets!$AA$17,O$3&lt;=CEG_Assets!$AB$17),MIN(CEG_Assets!$D$17,CEG_Assets!$Z$17*MIN(1,(O$3-CEG_Assets!$AA$17+1)/MAX(1,CEG_Assets!$AC$17))),0)*O486</f>
        <v>750</v>
      </c>
      <c r="P487" s="9" t="n">
        <f aca="false">IF(AND(P$3&gt;=CEG_Assets!$AA$17,P$3&lt;=CEG_Assets!$AB$17),MIN(CEG_Assets!$D$17,CEG_Assets!$Z$17*MIN(1,(P$3-CEG_Assets!$AA$17+1)/MAX(1,CEG_Assets!$AC$17))),0)*P486</f>
        <v>0</v>
      </c>
      <c r="Q487" s="9" t="n">
        <f aca="false">IF(AND(Q$3&gt;=CEG_Assets!$AA$17,Q$3&lt;=CEG_Assets!$AB$17),MIN(CEG_Assets!$D$17,CEG_Assets!$Z$17*MIN(1,(Q$3-CEG_Assets!$AA$17+1)/MAX(1,CEG_Assets!$AC$17))),0)*Q486</f>
        <v>0</v>
      </c>
      <c r="R487" s="9" t="n">
        <f aca="false">IF(AND(R$3&gt;=CEG_Assets!$AA$17,R$3&lt;=CEG_Assets!$AB$17),MIN(CEG_Assets!$D$17,CEG_Assets!$Z$17*MIN(1,(R$3-CEG_Assets!$AA$17+1)/MAX(1,CEG_Assets!$AC$17))),0)*R486</f>
        <v>0</v>
      </c>
      <c r="S487" s="9" t="n">
        <f aca="false">IF(AND(S$3&gt;=CEG_Assets!$AA$17,S$3&lt;=CEG_Assets!$AB$17),MIN(CEG_Assets!$D$17,CEG_Assets!$Z$17*MIN(1,(S$3-CEG_Assets!$AA$17+1)/MAX(1,CEG_Assets!$AC$17))),0)*S486</f>
        <v>0</v>
      </c>
      <c r="T487" s="9" t="n">
        <f aca="false">IF(AND(T$3&gt;=CEG_Assets!$AA$17,T$3&lt;=CEG_Assets!$AB$17),MIN(CEG_Assets!$D$17,CEG_Assets!$Z$17*MIN(1,(T$3-CEG_Assets!$AA$17+1)/MAX(1,CEG_Assets!$AC$17))),0)*T486</f>
        <v>0</v>
      </c>
      <c r="U487" s="9" t="n">
        <f aca="false">IF(AND(U$3&gt;=CEG_Assets!$AA$17,U$3&lt;=CEG_Assets!$AB$17),MIN(CEG_Assets!$D$17,CEG_Assets!$Z$17*MIN(1,(U$3-CEG_Assets!$AA$17+1)/MAX(1,CEG_Assets!$AC$17))),0)*U486</f>
        <v>0</v>
      </c>
      <c r="V487" s="9" t="n">
        <f aca="false">IF(AND(V$3&gt;=CEG_Assets!$AA$17,V$3&lt;=CEG_Assets!$AB$17),MIN(CEG_Assets!$D$17,CEG_Assets!$Z$17*MIN(1,(V$3-CEG_Assets!$AA$17+1)/MAX(1,CEG_Assets!$AC$17))),0)*V486</f>
        <v>0</v>
      </c>
      <c r="W487" s="9" t="n">
        <f aca="false">IF(AND(W$3&gt;=CEG_Assets!$AA$17,W$3&lt;=CEG_Assets!$AB$17),MIN(CEG_Assets!$D$17,CEG_Assets!$Z$17*MIN(1,(W$3-CEG_Assets!$AA$17+1)/MAX(1,CEG_Assets!$AC$17))),0)*W486</f>
        <v>0</v>
      </c>
      <c r="X487" s="9" t="n">
        <f aca="false">IF(AND(X$3&gt;=CEG_Assets!$AA$17,X$3&lt;=CEG_Assets!$AB$17),MIN(CEG_Assets!$D$17,CEG_Assets!$Z$17*MIN(1,(X$3-CEG_Assets!$AA$17+1)/MAX(1,CEG_Assets!$AC$17))),0)*X486</f>
        <v>0</v>
      </c>
      <c r="Y487" s="9" t="n">
        <f aca="false">IF(AND(Y$3&gt;=CEG_Assets!$AA$17,Y$3&lt;=CEG_Assets!$AB$17),MIN(CEG_Assets!$D$17,CEG_Assets!$Z$17*MIN(1,(Y$3-CEG_Assets!$AA$17+1)/MAX(1,CEG_Assets!$AC$17))),0)*Y486</f>
        <v>0</v>
      </c>
      <c r="Z487" s="9" t="n">
        <f aca="false">IF(AND(Z$3&gt;=CEG_Assets!$AA$17,Z$3&lt;=CEG_Assets!$AB$17),MIN(CEG_Assets!$D$17,CEG_Assets!$Z$17*MIN(1,(Z$3-CEG_Assets!$AA$17+1)/MAX(1,CEG_Assets!$AC$17))),0)*Z486</f>
        <v>0</v>
      </c>
      <c r="AA487" s="9" t="n">
        <f aca="false">IF(AND(AA$3&gt;=CEG_Assets!$AA$17,AA$3&lt;=CEG_Assets!$AB$17),MIN(CEG_Assets!$D$17,CEG_Assets!$Z$17*MIN(1,(AA$3-CEG_Assets!$AA$17+1)/MAX(1,CEG_Assets!$AC$17))),0)*AA486</f>
        <v>0</v>
      </c>
      <c r="AB487" s="9" t="n">
        <f aca="false">IF(AND(AB$3&gt;=CEG_Assets!$AA$17,AB$3&lt;=CEG_Assets!$AB$17),MIN(CEG_Assets!$D$17,CEG_Assets!$Z$17*MIN(1,(AB$3-CEG_Assets!$AA$17+1)/MAX(1,CEG_Assets!$AC$17))),0)*AB486</f>
        <v>0</v>
      </c>
      <c r="AC487" s="9" t="n">
        <f aca="false">IF(AND(AC$3&gt;=CEG_Assets!$AA$17,AC$3&lt;=CEG_Assets!$AB$17),MIN(CEG_Assets!$D$17,CEG_Assets!$Z$17*MIN(1,(AC$3-CEG_Assets!$AA$17+1)/MAX(1,CEG_Assets!$AC$17))),0)*AC486</f>
        <v>0</v>
      </c>
      <c r="AD487" s="9" t="n">
        <f aca="false">IF(AND(AD$3&gt;=CEG_Assets!$AA$17,AD$3&lt;=CEG_Assets!$AB$17),MIN(CEG_Assets!$D$17,CEG_Assets!$Z$17*MIN(1,(AD$3-CEG_Assets!$AA$17+1)/MAX(1,CEG_Assets!$AC$17))),0)*AD486</f>
        <v>0</v>
      </c>
      <c r="AE487" s="9" t="n">
        <f aca="false">IF(AND(AE$3&gt;=CEG_Assets!$AA$17,AE$3&lt;=CEG_Assets!$AB$17),MIN(CEG_Assets!$D$17,CEG_Assets!$Z$17*MIN(1,(AE$3-CEG_Assets!$AA$17+1)/MAX(1,CEG_Assets!$AC$17))),0)*AE486</f>
        <v>0</v>
      </c>
      <c r="AF487" s="9" t="n">
        <f aca="false">IF(AND(AF$3&gt;=CEG_Assets!$AA$17,AF$3&lt;=CEG_Assets!$AB$17),MIN(CEG_Assets!$D$17,CEG_Assets!$Z$17*MIN(1,(AF$3-CEG_Assets!$AA$17+1)/MAX(1,CEG_Assets!$AC$17))),0)*AF486</f>
        <v>0</v>
      </c>
      <c r="AG487" s="9" t="n">
        <f aca="false">IF(AND(AG$3&gt;=CEG_Assets!$AA$17,AG$3&lt;=CEG_Assets!$AB$17),MIN(CEG_Assets!$D$17,CEG_Assets!$Z$17*MIN(1,(AG$3-CEG_Assets!$AA$17+1)/MAX(1,CEG_Assets!$AC$17))),0)*AG486</f>
        <v>0</v>
      </c>
      <c r="AH487" s="9" t="n">
        <f aca="false">IF(AND(AH$3&gt;=CEG_Assets!$AA$17,AH$3&lt;=CEG_Assets!$AB$17),MIN(CEG_Assets!$D$17,CEG_Assets!$Z$17*MIN(1,(AH$3-CEG_Assets!$AA$17+1)/MAX(1,CEG_Assets!$AC$17))),0)*AH486</f>
        <v>0</v>
      </c>
      <c r="AI487" s="9" t="n">
        <f aca="false">IF(AND(AI$3&gt;=CEG_Assets!$AA$17,AI$3&lt;=CEG_Assets!$AB$17),MIN(CEG_Assets!$D$17,CEG_Assets!$Z$17*MIN(1,(AI$3-CEG_Assets!$AA$17+1)/MAX(1,CEG_Assets!$AC$17))),0)*AI486</f>
        <v>0</v>
      </c>
      <c r="AJ487" s="9" t="n">
        <f aca="false">IF(AND(AJ$3&gt;=CEG_Assets!$AA$17,AJ$3&lt;=CEG_Assets!$AB$17),MIN(CEG_Assets!$D$17,CEG_Assets!$Z$17*MIN(1,(AJ$3-CEG_Assets!$AA$17+1)/MAX(1,CEG_Assets!$AC$17))),0)*AJ486</f>
        <v>0</v>
      </c>
      <c r="AK487" s="9" t="n">
        <f aca="false">IF(AND(AK$3&gt;=CEG_Assets!$AA$17,AK$3&lt;=CEG_Assets!$AB$17),MIN(CEG_Assets!$D$17,CEG_Assets!$Z$17*MIN(1,(AK$3-CEG_Assets!$AA$17+1)/MAX(1,CEG_Assets!$AC$17))),0)*AK486</f>
        <v>0</v>
      </c>
      <c r="AL487" s="9" t="n">
        <f aca="false">IF(AND(AL$3&gt;=CEG_Assets!$AA$17,AL$3&lt;=CEG_Assets!$AB$17),MIN(CEG_Assets!$D$17,CEG_Assets!$Z$17*MIN(1,(AL$3-CEG_Assets!$AA$17+1)/MAX(1,CEG_Assets!$AC$17))),0)*AL486</f>
        <v>0</v>
      </c>
      <c r="AM487" s="9" t="n">
        <f aca="false">IF(AND(AM$3&gt;=CEG_Assets!$AA$17,AM$3&lt;=CEG_Assets!$AB$17),MIN(CEG_Assets!$D$17,CEG_Assets!$Z$17*MIN(1,(AM$3-CEG_Assets!$AA$17+1)/MAX(1,CEG_Assets!$AC$17))),0)*AM486</f>
        <v>0</v>
      </c>
      <c r="AN487" s="9" t="n">
        <f aca="false">IF(AND(AN$3&gt;=CEG_Assets!$AA$17,AN$3&lt;=CEG_Assets!$AB$17),MIN(CEG_Assets!$D$17,CEG_Assets!$Z$17*MIN(1,(AN$3-CEG_Assets!$AA$17+1)/MAX(1,CEG_Assets!$AC$17))),0)*AN486</f>
        <v>0</v>
      </c>
      <c r="AO487" s="9" t="n">
        <f aca="false">IF(AND(AO$3&gt;=CEG_Assets!$AA$17,AO$3&lt;=CEG_Assets!$AB$17),MIN(CEG_Assets!$D$17,CEG_Assets!$Z$17*MIN(1,(AO$3-CEG_Assets!$AA$17+1)/MAX(1,CEG_Assets!$AC$17))),0)*AO486</f>
        <v>0</v>
      </c>
      <c r="AP487" s="9" t="n">
        <f aca="false">IF(AND(AP$3&gt;=CEG_Assets!$AA$17,AP$3&lt;=CEG_Assets!$AB$17),MIN(CEG_Assets!$D$17,CEG_Assets!$Z$17*MIN(1,(AP$3-CEG_Assets!$AA$17+1)/MAX(1,CEG_Assets!$AC$17))),0)*AP486</f>
        <v>0</v>
      </c>
      <c r="AQ487" s="9" t="n">
        <f aca="false">IF(AND(AQ$3&gt;=CEG_Assets!$AA$17,AQ$3&lt;=CEG_Assets!$AB$17),MIN(CEG_Assets!$D$17,CEG_Assets!$Z$17*MIN(1,(AQ$3-CEG_Assets!$AA$17+1)/MAX(1,CEG_Assets!$AC$17))),0)*AQ486</f>
        <v>0</v>
      </c>
      <c r="AR487" s="9" t="n">
        <f aca="false">IF(AND(AR$3&gt;=CEG_Assets!$AA$17,AR$3&lt;=CEG_Assets!$AB$17),MIN(CEG_Assets!$D$17,CEG_Assets!$Z$17*MIN(1,(AR$3-CEG_Assets!$AA$17+1)/MAX(1,CEG_Assets!$AC$17))),0)*AR486</f>
        <v>0</v>
      </c>
      <c r="AS487" s="9" t="n">
        <f aca="false">IF(AND(AS$3&gt;=CEG_Assets!$AA$17,AS$3&lt;=CEG_Assets!$AB$17),MIN(CEG_Assets!$D$17,CEG_Assets!$Z$17*MIN(1,(AS$3-CEG_Assets!$AA$17+1)/MAX(1,CEG_Assets!$AC$17))),0)*AS486</f>
        <v>0</v>
      </c>
    </row>
    <row r="488" customFormat="false" ht="15" hidden="false" customHeight="false" outlineLevel="0" collapsed="false">
      <c r="A488" s="6" t="s">
        <v>429</v>
      </c>
      <c r="B488" s="6" t="s">
        <v>430</v>
      </c>
      <c r="G488" s="9" t="n">
        <f aca="false">(CEG_Assets!$D$17-G487)*8760*CEG_Assets!$I$17*G486</f>
        <v>0</v>
      </c>
      <c r="H488" s="9" t="n">
        <f aca="false">(CEG_Assets!$D$17-H487)*8760*CEG_Assets!$I$17*H486</f>
        <v>0</v>
      </c>
      <c r="I488" s="9" t="n">
        <f aca="false">(CEG_Assets!$D$17-I487)*8760*CEG_Assets!$I$17*I486</f>
        <v>0</v>
      </c>
      <c r="J488" s="9" t="n">
        <f aca="false">(CEG_Assets!$D$17-J487)*8760*CEG_Assets!$I$17*J486</f>
        <v>0</v>
      </c>
      <c r="K488" s="9" t="n">
        <f aca="false">(CEG_Assets!$D$17-K487)*8760*CEG_Assets!$I$17*K486</f>
        <v>0</v>
      </c>
      <c r="L488" s="9" t="n">
        <f aca="false">(CEG_Assets!$D$17-L487)*8760*CEG_Assets!$I$17*L486</f>
        <v>0</v>
      </c>
      <c r="M488" s="9" t="n">
        <f aca="false">(CEG_Assets!$D$17-M487)*8760*CEG_Assets!$I$17*M486</f>
        <v>0</v>
      </c>
      <c r="N488" s="9" t="n">
        <f aca="false">(CEG_Assets!$D$17-N487)*8760*CEG_Assets!$I$17*N486</f>
        <v>0</v>
      </c>
      <c r="O488" s="9" t="n">
        <f aca="false">(CEG_Assets!$D$17-O487)*8760*CEG_Assets!$I$17*O486</f>
        <v>0</v>
      </c>
      <c r="P488" s="9" t="n">
        <f aca="false">(CEG_Assets!$D$17-P487)*8760*CEG_Assets!$I$17*P486</f>
        <v>5584500</v>
      </c>
      <c r="Q488" s="9" t="n">
        <f aca="false">(CEG_Assets!$D$17-Q487)*8760*CEG_Assets!$I$17*Q486</f>
        <v>5584500</v>
      </c>
      <c r="R488" s="9" t="n">
        <f aca="false">(CEG_Assets!$D$17-R487)*8760*CEG_Assets!$I$17*R486</f>
        <v>5584500</v>
      </c>
      <c r="S488" s="9" t="n">
        <f aca="false">(CEG_Assets!$D$17-S487)*8760*CEG_Assets!$I$17*S486</f>
        <v>5584500</v>
      </c>
      <c r="T488" s="9" t="n">
        <f aca="false">(CEG_Assets!$D$17-T487)*8760*CEG_Assets!$I$17*T486</f>
        <v>5584500</v>
      </c>
      <c r="U488" s="9" t="n">
        <f aca="false">(CEG_Assets!$D$17-U487)*8760*CEG_Assets!$I$17*U486</f>
        <v>5584500</v>
      </c>
      <c r="V488" s="9" t="n">
        <f aca="false">(CEG_Assets!$D$17-V487)*8760*CEG_Assets!$I$17*V486</f>
        <v>5584500</v>
      </c>
      <c r="W488" s="9" t="n">
        <f aca="false">(CEG_Assets!$D$17-W487)*8760*CEG_Assets!$I$17*W486</f>
        <v>5584500</v>
      </c>
      <c r="X488" s="9" t="n">
        <f aca="false">(CEG_Assets!$D$17-X487)*8760*CEG_Assets!$I$17*X486</f>
        <v>5584500</v>
      </c>
      <c r="Y488" s="9" t="n">
        <f aca="false">(CEG_Assets!$D$17-Y487)*8760*CEG_Assets!$I$17*Y486</f>
        <v>5584500</v>
      </c>
      <c r="Z488" s="9" t="n">
        <f aca="false">(CEG_Assets!$D$17-Z487)*8760*CEG_Assets!$I$17*Z486</f>
        <v>5584500</v>
      </c>
      <c r="AA488" s="9" t="n">
        <f aca="false">(CEG_Assets!$D$17-AA487)*8760*CEG_Assets!$I$17*AA486</f>
        <v>5584500</v>
      </c>
      <c r="AB488" s="9" t="n">
        <f aca="false">(CEG_Assets!$D$17-AB487)*8760*CEG_Assets!$I$17*AB486</f>
        <v>5584500</v>
      </c>
      <c r="AC488" s="9" t="n">
        <f aca="false">(CEG_Assets!$D$17-AC487)*8760*CEG_Assets!$I$17*AC486</f>
        <v>5584500</v>
      </c>
      <c r="AD488" s="9" t="n">
        <f aca="false">(CEG_Assets!$D$17-AD487)*8760*CEG_Assets!$I$17*AD486</f>
        <v>5584500</v>
      </c>
      <c r="AE488" s="9" t="n">
        <f aca="false">(CEG_Assets!$D$17-AE487)*8760*CEG_Assets!$I$17*AE486</f>
        <v>5584500</v>
      </c>
      <c r="AF488" s="9" t="n">
        <f aca="false">(CEG_Assets!$D$17-AF487)*8760*CEG_Assets!$I$17*AF486</f>
        <v>5584500</v>
      </c>
      <c r="AG488" s="9" t="n">
        <f aca="false">(CEG_Assets!$D$17-AG487)*8760*CEG_Assets!$I$17*AG486</f>
        <v>5584500</v>
      </c>
      <c r="AH488" s="9" t="n">
        <f aca="false">(CEG_Assets!$D$17-AH487)*8760*CEG_Assets!$I$17*AH486</f>
        <v>5584500</v>
      </c>
      <c r="AI488" s="9" t="n">
        <f aca="false">(CEG_Assets!$D$17-AI487)*8760*CEG_Assets!$I$17*AI486</f>
        <v>5584500</v>
      </c>
      <c r="AJ488" s="9" t="n">
        <f aca="false">(CEG_Assets!$D$17-AJ487)*8760*CEG_Assets!$I$17*AJ486</f>
        <v>0</v>
      </c>
      <c r="AK488" s="9" t="n">
        <f aca="false">(CEG_Assets!$D$17-AK487)*8760*CEG_Assets!$I$17*AK486</f>
        <v>0</v>
      </c>
      <c r="AL488" s="9" t="n">
        <f aca="false">(CEG_Assets!$D$17-AL487)*8760*CEG_Assets!$I$17*AL486</f>
        <v>0</v>
      </c>
      <c r="AM488" s="9" t="n">
        <f aca="false">(CEG_Assets!$D$17-AM487)*8760*CEG_Assets!$I$17*AM486</f>
        <v>0</v>
      </c>
      <c r="AN488" s="9" t="n">
        <f aca="false">(CEG_Assets!$D$17-AN487)*8760*CEG_Assets!$I$17*AN486</f>
        <v>0</v>
      </c>
      <c r="AO488" s="9" t="n">
        <f aca="false">(CEG_Assets!$D$17-AO487)*8760*CEG_Assets!$I$17*AO486</f>
        <v>0</v>
      </c>
      <c r="AP488" s="9" t="n">
        <f aca="false">(CEG_Assets!$D$17-AP487)*8760*CEG_Assets!$I$17*AP486</f>
        <v>0</v>
      </c>
      <c r="AQ488" s="9" t="n">
        <f aca="false">(CEG_Assets!$D$17-AQ487)*8760*CEG_Assets!$I$17*AQ486</f>
        <v>0</v>
      </c>
      <c r="AR488" s="9" t="n">
        <f aca="false">(CEG_Assets!$D$17-AR487)*8760*CEG_Assets!$I$17*AR486</f>
        <v>0</v>
      </c>
      <c r="AS488" s="9" t="n">
        <f aca="false">(CEG_Assets!$D$17-AS487)*8760*CEG_Assets!$I$17*AS486</f>
        <v>0</v>
      </c>
    </row>
    <row r="489" customFormat="false" ht="15" hidden="false" customHeight="false" outlineLevel="0" collapsed="false">
      <c r="A489" s="6" t="s">
        <v>431</v>
      </c>
      <c r="B489" s="6" t="s">
        <v>432</v>
      </c>
      <c r="G489" s="9" t="n">
        <f aca="false">G487*8760*CEG_Assets!$I$17*G486</f>
        <v>5584500</v>
      </c>
      <c r="H489" s="9" t="n">
        <f aca="false">H487*8760*CEG_Assets!$I$17*H486</f>
        <v>5584500</v>
      </c>
      <c r="I489" s="9" t="n">
        <f aca="false">I487*8760*CEG_Assets!$I$17*I486</f>
        <v>5584500</v>
      </c>
      <c r="J489" s="9" t="n">
        <f aca="false">J487*8760*CEG_Assets!$I$17*J486</f>
        <v>5584500</v>
      </c>
      <c r="K489" s="9" t="n">
        <f aca="false">K487*8760*CEG_Assets!$I$17*K486</f>
        <v>5584500</v>
      </c>
      <c r="L489" s="9" t="n">
        <f aca="false">L487*8760*CEG_Assets!$I$17*L486</f>
        <v>5584500</v>
      </c>
      <c r="M489" s="9" t="n">
        <f aca="false">M487*8760*CEG_Assets!$I$17*M486</f>
        <v>5584500</v>
      </c>
      <c r="N489" s="9" t="n">
        <f aca="false">N487*8760*CEG_Assets!$I$17*N486</f>
        <v>5584500</v>
      </c>
      <c r="O489" s="9" t="n">
        <f aca="false">O487*8760*CEG_Assets!$I$17*O486</f>
        <v>5584500</v>
      </c>
      <c r="P489" s="9" t="n">
        <f aca="false">P487*8760*CEG_Assets!$I$17*P486</f>
        <v>0</v>
      </c>
      <c r="Q489" s="9" t="n">
        <f aca="false">Q487*8760*CEG_Assets!$I$17*Q486</f>
        <v>0</v>
      </c>
      <c r="R489" s="9" t="n">
        <f aca="false">R487*8760*CEG_Assets!$I$17*R486</f>
        <v>0</v>
      </c>
      <c r="S489" s="9" t="n">
        <f aca="false">S487*8760*CEG_Assets!$I$17*S486</f>
        <v>0</v>
      </c>
      <c r="T489" s="9" t="n">
        <f aca="false">T487*8760*CEG_Assets!$I$17*T486</f>
        <v>0</v>
      </c>
      <c r="U489" s="9" t="n">
        <f aca="false">U487*8760*CEG_Assets!$I$17*U486</f>
        <v>0</v>
      </c>
      <c r="V489" s="9" t="n">
        <f aca="false">V487*8760*CEG_Assets!$I$17*V486</f>
        <v>0</v>
      </c>
      <c r="W489" s="9" t="n">
        <f aca="false">W487*8760*CEG_Assets!$I$17*W486</f>
        <v>0</v>
      </c>
      <c r="X489" s="9" t="n">
        <f aca="false">X487*8760*CEG_Assets!$I$17*X486</f>
        <v>0</v>
      </c>
      <c r="Y489" s="9" t="n">
        <f aca="false">Y487*8760*CEG_Assets!$I$17*Y486</f>
        <v>0</v>
      </c>
      <c r="Z489" s="9" t="n">
        <f aca="false">Z487*8760*CEG_Assets!$I$17*Z486</f>
        <v>0</v>
      </c>
      <c r="AA489" s="9" t="n">
        <f aca="false">AA487*8760*CEG_Assets!$I$17*AA486</f>
        <v>0</v>
      </c>
      <c r="AB489" s="9" t="n">
        <f aca="false">AB487*8760*CEG_Assets!$I$17*AB486</f>
        <v>0</v>
      </c>
      <c r="AC489" s="9" t="n">
        <f aca="false">AC487*8760*CEG_Assets!$I$17*AC486</f>
        <v>0</v>
      </c>
      <c r="AD489" s="9" t="n">
        <f aca="false">AD487*8760*CEG_Assets!$I$17*AD486</f>
        <v>0</v>
      </c>
      <c r="AE489" s="9" t="n">
        <f aca="false">AE487*8760*CEG_Assets!$I$17*AE486</f>
        <v>0</v>
      </c>
      <c r="AF489" s="9" t="n">
        <f aca="false">AF487*8760*CEG_Assets!$I$17*AF486</f>
        <v>0</v>
      </c>
      <c r="AG489" s="9" t="n">
        <f aca="false">AG487*8760*CEG_Assets!$I$17*AG486</f>
        <v>0</v>
      </c>
      <c r="AH489" s="9" t="n">
        <f aca="false">AH487*8760*CEG_Assets!$I$17*AH486</f>
        <v>0</v>
      </c>
      <c r="AI489" s="9" t="n">
        <f aca="false">AI487*8760*CEG_Assets!$I$17*AI486</f>
        <v>0</v>
      </c>
      <c r="AJ489" s="9" t="n">
        <f aca="false">AJ487*8760*CEG_Assets!$I$17*AJ486</f>
        <v>0</v>
      </c>
      <c r="AK489" s="9" t="n">
        <f aca="false">AK487*8760*CEG_Assets!$I$17*AK486</f>
        <v>0</v>
      </c>
      <c r="AL489" s="9" t="n">
        <f aca="false">AL487*8760*CEG_Assets!$I$17*AL486</f>
        <v>0</v>
      </c>
      <c r="AM489" s="9" t="n">
        <f aca="false">AM487*8760*CEG_Assets!$I$17*AM486</f>
        <v>0</v>
      </c>
      <c r="AN489" s="9" t="n">
        <f aca="false">AN487*8760*CEG_Assets!$I$17*AN486</f>
        <v>0</v>
      </c>
      <c r="AO489" s="9" t="n">
        <f aca="false">AO487*8760*CEG_Assets!$I$17*AO486</f>
        <v>0</v>
      </c>
      <c r="AP489" s="9" t="n">
        <f aca="false">AP487*8760*CEG_Assets!$I$17*AP486</f>
        <v>0</v>
      </c>
      <c r="AQ489" s="9" t="n">
        <f aca="false">AQ487*8760*CEG_Assets!$I$17*AQ486</f>
        <v>0</v>
      </c>
      <c r="AR489" s="9" t="n">
        <f aca="false">AR487*8760*CEG_Assets!$I$17*AR486</f>
        <v>0</v>
      </c>
      <c r="AS489" s="9" t="n">
        <f aca="false">AS487*8760*CEG_Assets!$I$17*AS486</f>
        <v>0</v>
      </c>
    </row>
    <row r="490" customFormat="false" ht="15" hidden="false" customHeight="false" outlineLevel="0" collapsed="false">
      <c r="A490" s="6" t="s">
        <v>433</v>
      </c>
      <c r="B490" s="6" t="s">
        <v>434</v>
      </c>
      <c r="G490" s="7" t="n">
        <f aca="false">IF(ISNUMBER(CEG_Assets!$L$17),CEG_Assets!$L$17*G$4,INDEX(Prices!G:G,CEG_Assets!$AO$17)+FuelAdder*G$4)</f>
        <v>4.896</v>
      </c>
      <c r="H490" s="7" t="n">
        <f aca="false">IF(ISNUMBER(CEG_Assets!$L$17),CEG_Assets!$L$17*H$4,INDEX(Prices!H:H,CEG_Assets!$AO$17)+FuelAdder*H$4)</f>
        <v>4.99392</v>
      </c>
      <c r="I490" s="7" t="n">
        <f aca="false">IF(ISNUMBER(CEG_Assets!$L$17),CEG_Assets!$L$17*I$4,INDEX(Prices!I:I,CEG_Assets!$AO$17)+FuelAdder*I$4)</f>
        <v>5.1999192</v>
      </c>
      <c r="J490" s="7" t="n">
        <f aca="false">IF(ISNUMBER(CEG_Assets!$L$17),CEG_Assets!$L$17*J$4,INDEX(Prices!J:J,CEG_Assets!$AO$17)+FuelAdder*J$4)</f>
        <v>5.303917584</v>
      </c>
      <c r="K490" s="7" t="n">
        <f aca="false">IF(ISNUMBER(CEG_Assets!$L$17),CEG_Assets!$L$17*K$4,INDEX(Prices!K:K,CEG_Assets!$AO$17)+FuelAdder*K$4)</f>
        <v>5.40999593568</v>
      </c>
      <c r="L490" s="7" t="n">
        <f aca="false">IF(ISNUMBER(CEG_Assets!$L$17),CEG_Assets!$L$17*L$4,INDEX(Prices!L:L,CEG_Assets!$AO$17)+FuelAdder*L$4)</f>
        <v>5.5181958543936</v>
      </c>
      <c r="M490" s="7" t="n">
        <f aca="false">IF(ISNUMBER(CEG_Assets!$L$17),CEG_Assets!$L$17*M$4,INDEX(Prices!M:M,CEG_Assets!$AO$17)+FuelAdder*M$4)</f>
        <v>5.62855977148147</v>
      </c>
      <c r="N490" s="7" t="n">
        <f aca="false">IF(ISNUMBER(CEG_Assets!$L$17),CEG_Assets!$L$17*N$4,INDEX(Prices!N:N,CEG_Assets!$AO$17)+FuelAdder*N$4)</f>
        <v>5.7411309669111</v>
      </c>
      <c r="O490" s="7" t="n">
        <f aca="false">IF(ISNUMBER(CEG_Assets!$L$17),CEG_Assets!$L$17*O$4,INDEX(Prices!O:O,CEG_Assets!$AO$17)+FuelAdder*O$4)</f>
        <v>5.85595358624932</v>
      </c>
      <c r="P490" s="7" t="n">
        <f aca="false">IF(ISNUMBER(CEG_Assets!$L$17),CEG_Assets!$L$17*P$4,INDEX(Prices!P:P,CEG_Assets!$AO$17)+FuelAdder*P$4)</f>
        <v>5.97307265797431</v>
      </c>
      <c r="Q490" s="7" t="n">
        <f aca="false">IF(ISNUMBER(CEG_Assets!$L$17),CEG_Assets!$L$17*Q$4,INDEX(Prices!Q:Q,CEG_Assets!$AO$17)+FuelAdder*Q$4)</f>
        <v>6.0925341111338</v>
      </c>
      <c r="R490" s="7" t="n">
        <f aca="false">IF(ISNUMBER(CEG_Assets!$L$17),CEG_Assets!$L$17*R$4,INDEX(Prices!R:R,CEG_Assets!$AO$17)+FuelAdder*R$4)</f>
        <v>6.21438479335647</v>
      </c>
      <c r="S490" s="7" t="n">
        <f aca="false">IF(ISNUMBER(CEG_Assets!$L$17),CEG_Assets!$L$17*S$4,INDEX(Prices!S:S,CEG_Assets!$AO$17)+FuelAdder*S$4)</f>
        <v>6.3386724892236</v>
      </c>
      <c r="T490" s="7" t="n">
        <f aca="false">IF(ISNUMBER(CEG_Assets!$L$17),CEG_Assets!$L$17*T$4,INDEX(Prices!T:T,CEG_Assets!$AO$17)+FuelAdder*T$4)</f>
        <v>6.46544593900808</v>
      </c>
      <c r="U490" s="7" t="n">
        <f aca="false">IF(ISNUMBER(CEG_Assets!$L$17),CEG_Assets!$L$17*U$4,INDEX(Prices!U:U,CEG_Assets!$AO$17)+FuelAdder*U$4)</f>
        <v>6.59475485778824</v>
      </c>
      <c r="V490" s="7" t="n">
        <f aca="false">IF(ISNUMBER(CEG_Assets!$L$17),CEG_Assets!$L$17*V$4,INDEX(Prices!V:V,CEG_Assets!$AO$17)+FuelAdder*V$4)</f>
        <v>6.726649954944</v>
      </c>
      <c r="W490" s="7" t="n">
        <f aca="false">IF(ISNUMBER(CEG_Assets!$L$17),CEG_Assets!$L$17*W$4,INDEX(Prices!W:W,CEG_Assets!$AO$17)+FuelAdder*W$4)</f>
        <v>6.86118295404288</v>
      </c>
      <c r="X490" s="7" t="n">
        <f aca="false">IF(ISNUMBER(CEG_Assets!$L$17),CEG_Assets!$L$17*X$4,INDEX(Prices!X:X,CEG_Assets!$AO$17)+FuelAdder*X$4)</f>
        <v>6.99840661312374</v>
      </c>
      <c r="Y490" s="7" t="n">
        <f aca="false">IF(ISNUMBER(CEG_Assets!$L$17),CEG_Assets!$L$17*Y$4,INDEX(Prices!Y:Y,CEG_Assets!$AO$17)+FuelAdder*Y$4)</f>
        <v>7.13837474538621</v>
      </c>
      <c r="Z490" s="7" t="n">
        <f aca="false">IF(ISNUMBER(CEG_Assets!$L$17),CEG_Assets!$L$17*Z$4,INDEX(Prices!Z:Z,CEG_Assets!$AO$17)+FuelAdder*Z$4)</f>
        <v>7.28114224029394</v>
      </c>
      <c r="AA490" s="7" t="n">
        <f aca="false">IF(ISNUMBER(CEG_Assets!$L$17),CEG_Assets!$L$17*AA$4,INDEX(Prices!AA:AA,CEG_Assets!$AO$17)+FuelAdder*AA$4)</f>
        <v>7.42676508509982</v>
      </c>
      <c r="AB490" s="7" t="n">
        <f aca="false">IF(ISNUMBER(CEG_Assets!$L$17),CEG_Assets!$L$17*AB$4,INDEX(Prices!AB:AB,CEG_Assets!$AO$17)+FuelAdder*AB$4)</f>
        <v>7.57530038680181</v>
      </c>
      <c r="AC490" s="7" t="n">
        <f aca="false">IF(ISNUMBER(CEG_Assets!$L$17),CEG_Assets!$L$17*AC$4,INDEX(Prices!AC:AC,CEG_Assets!$AO$17)+FuelAdder*AC$4)</f>
        <v>7.72680639453785</v>
      </c>
      <c r="AD490" s="7" t="n">
        <f aca="false">IF(ISNUMBER(CEG_Assets!$L$17),CEG_Assets!$L$17*AD$4,INDEX(Prices!AD:AD,CEG_Assets!$AO$17)+FuelAdder*AD$4)</f>
        <v>7.88134252242861</v>
      </c>
      <c r="AE490" s="7" t="n">
        <f aca="false">IF(ISNUMBER(CEG_Assets!$L$17),CEG_Assets!$L$17*AE$4,INDEX(Prices!AE:AE,CEG_Assets!$AO$17)+FuelAdder*AE$4)</f>
        <v>8.03896937287718</v>
      </c>
      <c r="AF490" s="7" t="n">
        <f aca="false">IF(ISNUMBER(CEG_Assets!$L$17),CEG_Assets!$L$17*AF$4,INDEX(Prices!AF:AF,CEG_Assets!$AO$17)+FuelAdder*AF$4)</f>
        <v>8.19974876033472</v>
      </c>
      <c r="AG490" s="7" t="n">
        <f aca="false">IF(ISNUMBER(CEG_Assets!$L$17),CEG_Assets!$L$17*AG$4,INDEX(Prices!AG:AG,CEG_Assets!$AO$17)+FuelAdder*AG$4)</f>
        <v>8.36374373554142</v>
      </c>
      <c r="AH490" s="7" t="n">
        <f aca="false">IF(ISNUMBER(CEG_Assets!$L$17),CEG_Assets!$L$17*AH$4,INDEX(Prices!AH:AH,CEG_Assets!$AO$17)+FuelAdder*AH$4)</f>
        <v>8.53101861025225</v>
      </c>
      <c r="AI490" s="7" t="n">
        <f aca="false">IF(ISNUMBER(CEG_Assets!$L$17),CEG_Assets!$L$17*AI$4,INDEX(Prices!AI:AI,CEG_Assets!$AO$17)+FuelAdder*AI$4)</f>
        <v>8.70163898245729</v>
      </c>
      <c r="AJ490" s="7" t="n">
        <f aca="false">IF(ISNUMBER(CEG_Assets!$L$17),CEG_Assets!$L$17*AJ$4,INDEX(Prices!AJ:AJ,CEG_Assets!$AO$17)+FuelAdder*AJ$4)</f>
        <v>8.87567176210644</v>
      </c>
      <c r="AK490" s="7" t="n">
        <f aca="false">IF(ISNUMBER(CEG_Assets!$L$17),CEG_Assets!$L$17*AK$4,INDEX(Prices!AK:AK,CEG_Assets!$AO$17)+FuelAdder*AK$4)</f>
        <v>9.05318519734857</v>
      </c>
      <c r="AL490" s="7" t="n">
        <f aca="false">IF(ISNUMBER(CEG_Assets!$L$17),CEG_Assets!$L$17*AL$4,INDEX(Prices!AL:AL,CEG_Assets!$AO$17)+FuelAdder*AL$4)</f>
        <v>9.23424890129554</v>
      </c>
      <c r="AM490" s="7" t="n">
        <f aca="false">IF(ISNUMBER(CEG_Assets!$L$17),CEG_Assets!$L$17*AM$4,INDEX(Prices!AM:AM,CEG_Assets!$AO$17)+FuelAdder*AM$4)</f>
        <v>9.41893387932145</v>
      </c>
      <c r="AN490" s="7" t="n">
        <f aca="false">IF(ISNUMBER(CEG_Assets!$L$17),CEG_Assets!$L$17*AN$4,INDEX(Prices!AN:AN,CEG_Assets!$AO$17)+FuelAdder*AN$4)</f>
        <v>9.60731255690788</v>
      </c>
      <c r="AO490" s="7" t="n">
        <f aca="false">IF(ISNUMBER(CEG_Assets!$L$17),CEG_Assets!$L$17*AO$4,INDEX(Prices!AO:AO,CEG_Assets!$AO$17)+FuelAdder*AO$4)</f>
        <v>9.79945880804604</v>
      </c>
      <c r="AP490" s="7" t="n">
        <f aca="false">IF(ISNUMBER(CEG_Assets!$L$17),CEG_Assets!$L$17*AP$4,INDEX(Prices!AP:AP,CEG_Assets!$AO$17)+FuelAdder*AP$4)</f>
        <v>9.99544798420696</v>
      </c>
      <c r="AQ490" s="7" t="n">
        <f aca="false">IF(ISNUMBER(CEG_Assets!$L$17),CEG_Assets!$L$17*AQ$4,INDEX(Prices!AQ:AQ,CEG_Assets!$AO$17)+FuelAdder*AQ$4)</f>
        <v>10.1953569438911</v>
      </c>
      <c r="AR490" s="7" t="n">
        <f aca="false">IF(ISNUMBER(CEG_Assets!$L$17),CEG_Assets!$L$17*AR$4,INDEX(Prices!AR:AR,CEG_Assets!$AO$17)+FuelAdder*AR$4)</f>
        <v>10.3992640827689</v>
      </c>
      <c r="AS490" s="7" t="n">
        <f aca="false">IF(ISNUMBER(CEG_Assets!$L$17),CEG_Assets!$L$17*AS$4,INDEX(Prices!AS:AS,CEG_Assets!$AO$17)+FuelAdder*AS$4)</f>
        <v>10.6072493644243</v>
      </c>
    </row>
    <row r="491" customFormat="false" ht="15" hidden="false" customHeight="false" outlineLevel="0" collapsed="false">
      <c r="A491" s="6" t="s">
        <v>435</v>
      </c>
      <c r="B491" s="6" t="s">
        <v>436</v>
      </c>
      <c r="G491" s="7" t="n">
        <f aca="false">INDEX(Prices!G:G,CEG_Assets!$AN$17)*CEG_Assets!$J$17-CEG_Assets!$K$17*G490-CEG_Assets!$M$17*G$4</f>
        <v>72.864</v>
      </c>
      <c r="H491" s="7" t="n">
        <f aca="false">INDEX(Prices!H:H,CEG_Assets!$AN$17)*CEG_Assets!$J$17-CEG_Assets!$K$17*H490-CEG_Assets!$M$17*H$4</f>
        <v>73.876</v>
      </c>
      <c r="I491" s="7" t="n">
        <f aca="false">INDEX(Prices!I:I,CEG_Assets!$AN$17)*CEG_Assets!$J$17-CEG_Assets!$K$17*I490-CEG_Assets!$M$17*I$4</f>
        <v>67.7590934108</v>
      </c>
      <c r="J491" s="7" t="n">
        <f aca="false">INDEX(Prices!J:J,CEG_Assets!$AN$17)*CEG_Assets!$J$17-CEG_Assets!$K$17*J490-CEG_Assets!$M$17*J$4</f>
        <v>65.971750558032</v>
      </c>
      <c r="K491" s="7" t="n">
        <f aca="false">INDEX(Prices!K:K,CEG_Assets!$AN$17)*CEG_Assets!$J$17-CEG_Assets!$K$17*K490-CEG_Assets!$M$17*K$4</f>
        <v>67.2911855691927</v>
      </c>
      <c r="L491" s="7" t="n">
        <f aca="false">INDEX(Prices!L:L,CEG_Assets!$AN$17)*CEG_Assets!$J$17-CEG_Assets!$K$17*L490-CEG_Assets!$M$17*L$4</f>
        <v>68.6370092805765</v>
      </c>
      <c r="M491" s="7" t="n">
        <f aca="false">INDEX(Prices!M:M,CEG_Assets!$AN$17)*CEG_Assets!$J$17-CEG_Assets!$K$17*M490-CEG_Assets!$M$17*M$4</f>
        <v>70.009749466188</v>
      </c>
      <c r="N491" s="7" t="n">
        <f aca="false">INDEX(Prices!N:N,CEG_Assets!$AN$17)*CEG_Assets!$J$17-CEG_Assets!$K$17*N490-CEG_Assets!$M$17*N$4</f>
        <v>71.4099444555118</v>
      </c>
      <c r="O491" s="7" t="n">
        <f aca="false">INDEX(Prices!O:O,CEG_Assets!$AN$17)*CEG_Assets!$J$17-CEG_Assets!$K$17*O490-CEG_Assets!$M$17*O$4</f>
        <v>72.838143344622</v>
      </c>
      <c r="P491" s="7" t="n">
        <f aca="false">INDEX(Prices!P:P,CEG_Assets!$AN$17)*CEG_Assets!$J$17-CEG_Assets!$K$17*P490-CEG_Assets!$M$17*P$4</f>
        <v>74.2949062115145</v>
      </c>
      <c r="Q491" s="7" t="n">
        <f aca="false">INDEX(Prices!Q:Q,CEG_Assets!$AN$17)*CEG_Assets!$J$17-CEG_Assets!$K$17*Q490-CEG_Assets!$M$17*Q$4</f>
        <v>75.7808043357448</v>
      </c>
      <c r="R491" s="7" t="n">
        <f aca="false">INDEX(Prices!R:R,CEG_Assets!$AN$17)*CEG_Assets!$J$17-CEG_Assets!$K$17*R490-CEG_Assets!$M$17*R$4</f>
        <v>77.2964204224597</v>
      </c>
      <c r="S491" s="7" t="n">
        <f aca="false">INDEX(Prices!S:S,CEG_Assets!$AN$17)*CEG_Assets!$J$17-CEG_Assets!$K$17*S490-CEG_Assets!$M$17*S$4</f>
        <v>78.8423488309089</v>
      </c>
      <c r="T491" s="7" t="n">
        <f aca="false">INDEX(Prices!T:T,CEG_Assets!$AN$17)*CEG_Assets!$J$17-CEG_Assets!$K$17*T490-CEG_Assets!$M$17*T$4</f>
        <v>80.4191958075271</v>
      </c>
      <c r="U491" s="7" t="n">
        <f aca="false">INDEX(Prices!U:U,CEG_Assets!$AN$17)*CEG_Assets!$J$17-CEG_Assets!$K$17*U490-CEG_Assets!$M$17*U$4</f>
        <v>82.0275797236776</v>
      </c>
      <c r="V491" s="7" t="n">
        <f aca="false">INDEX(Prices!V:V,CEG_Assets!$AN$17)*CEG_Assets!$J$17-CEG_Assets!$K$17*V490-CEG_Assets!$M$17*V$4</f>
        <v>83.6681313181511</v>
      </c>
      <c r="W491" s="7" t="n">
        <f aca="false">INDEX(Prices!W:W,CEG_Assets!$AN$17)*CEG_Assets!$J$17-CEG_Assets!$K$17*W490-CEG_Assets!$M$17*W$4</f>
        <v>85.3414939445142</v>
      </c>
      <c r="X491" s="7" t="n">
        <f aca="false">INDEX(Prices!X:X,CEG_Assets!$AN$17)*CEG_Assets!$J$17-CEG_Assets!$K$17*X490-CEG_Assets!$M$17*X$4</f>
        <v>87.0483238234044</v>
      </c>
      <c r="Y491" s="7" t="n">
        <f aca="false">INDEX(Prices!Y:Y,CEG_Assets!$AN$17)*CEG_Assets!$J$17-CEG_Assets!$K$17*Y490-CEG_Assets!$M$17*Y$4</f>
        <v>88.7892902998726</v>
      </c>
      <c r="Z491" s="7" t="n">
        <f aca="false">INDEX(Prices!Z:Z,CEG_Assets!$AN$17)*CEG_Assets!$J$17-CEG_Assets!$K$17*Z490-CEG_Assets!$M$17*Z$4</f>
        <v>90.56507610587</v>
      </c>
      <c r="AA491" s="7" t="n">
        <f aca="false">INDEX(Prices!AA:AA,CEG_Assets!$AN$17)*CEG_Assets!$J$17-CEG_Assets!$K$17*AA490-CEG_Assets!$M$17*AA$4</f>
        <v>92.3763776279874</v>
      </c>
      <c r="AB491" s="7" t="n">
        <f aca="false">INDEX(Prices!AB:AB,CEG_Assets!$AN$17)*CEG_Assets!$J$17-CEG_Assets!$K$17*AB490-CEG_Assets!$M$17*AB$4</f>
        <v>94.2239051805471</v>
      </c>
      <c r="AC491" s="7" t="n">
        <f aca="false">INDEX(Prices!AC:AC,CEG_Assets!$AN$17)*CEG_Assets!$J$17-CEG_Assets!$K$17*AC490-CEG_Assets!$M$17*AC$4</f>
        <v>96.1083832841581</v>
      </c>
      <c r="AD491" s="7" t="n">
        <f aca="false">INDEX(Prices!AD:AD,CEG_Assets!$AN$17)*CEG_Assets!$J$17-CEG_Assets!$K$17*AD490-CEG_Assets!$M$17*AD$4</f>
        <v>98.0305509498413</v>
      </c>
      <c r="AE491" s="7" t="n">
        <f aca="false">INDEX(Prices!AE:AE,CEG_Assets!$AN$17)*CEG_Assets!$J$17-CEG_Assets!$K$17*AE490-CEG_Assets!$M$17*AE$4</f>
        <v>99.9911619688381</v>
      </c>
      <c r="AF491" s="7" t="n">
        <f aca="false">INDEX(Prices!AF:AF,CEG_Assets!$AN$17)*CEG_Assets!$J$17-CEG_Assets!$K$17*AF490-CEG_Assets!$M$17*AF$4</f>
        <v>101.990985208215</v>
      </c>
      <c r="AG491" s="7" t="n">
        <f aca="false">INDEX(Prices!AG:AG,CEG_Assets!$AN$17)*CEG_Assets!$J$17-CEG_Assets!$K$17*AG490-CEG_Assets!$M$17*AG$4</f>
        <v>104.030804912379</v>
      </c>
      <c r="AH491" s="7" t="n">
        <f aca="false">INDEX(Prices!AH:AH,CEG_Assets!$AN$17)*CEG_Assets!$J$17-CEG_Assets!$K$17*AH490-CEG_Assets!$M$17*AH$4</f>
        <v>106.111421010627</v>
      </c>
      <c r="AI491" s="7" t="n">
        <f aca="false">INDEX(Prices!AI:AI,CEG_Assets!$AN$17)*CEG_Assets!$J$17-CEG_Assets!$K$17*AI490-CEG_Assets!$M$17*AI$4</f>
        <v>108.233649430839</v>
      </c>
      <c r="AJ491" s="7" t="n">
        <f aca="false">INDEX(Prices!AJ:AJ,CEG_Assets!$AN$17)*CEG_Assets!$J$17-CEG_Assets!$K$17*AJ490-CEG_Assets!$M$17*AJ$4</f>
        <v>110.398322419456</v>
      </c>
      <c r="AK491" s="7" t="n">
        <f aca="false">INDEX(Prices!AK:AK,CEG_Assets!$AN$17)*CEG_Assets!$J$17-CEG_Assets!$K$17*AK490-CEG_Assets!$M$17*AK$4</f>
        <v>112.606288867845</v>
      </c>
      <c r="AL491" s="7" t="n">
        <f aca="false">INDEX(Prices!AL:AL,CEG_Assets!$AN$17)*CEG_Assets!$J$17-CEG_Assets!$K$17*AL490-CEG_Assets!$M$17*AL$4</f>
        <v>114.858414645202</v>
      </c>
      <c r="AM491" s="7" t="n">
        <f aca="false">INDEX(Prices!AM:AM,CEG_Assets!$AN$17)*CEG_Assets!$J$17-CEG_Assets!$K$17*AM490-CEG_Assets!$M$17*AM$4</f>
        <v>117.155582938106</v>
      </c>
      <c r="AN491" s="7" t="n">
        <f aca="false">INDEX(Prices!AN:AN,CEG_Assets!$AN$17)*CEG_Assets!$J$17-CEG_Assets!$K$17*AN490-CEG_Assets!$M$17*AN$4</f>
        <v>119.498694596868</v>
      </c>
      <c r="AO491" s="7" t="n">
        <f aca="false">INDEX(Prices!AO:AO,CEG_Assets!$AN$17)*CEG_Assets!$J$17-CEG_Assets!$K$17*AO490-CEG_Assets!$M$17*AO$4</f>
        <v>121.888668488806</v>
      </c>
      <c r="AP491" s="7" t="n">
        <f aca="false">INDEX(Prices!AP:AP,CEG_Assets!$AN$17)*CEG_Assets!$J$17-CEG_Assets!$K$17*AP490-CEG_Assets!$M$17*AP$4</f>
        <v>124.326441858582</v>
      </c>
      <c r="AQ491" s="7" t="n">
        <f aca="false">INDEX(Prices!AQ:AQ,CEG_Assets!$AN$17)*CEG_Assets!$J$17-CEG_Assets!$K$17*AQ490-CEG_Assets!$M$17*AQ$4</f>
        <v>126.812970695753</v>
      </c>
      <c r="AR491" s="7" t="n">
        <f aca="false">INDEX(Prices!AR:AR,CEG_Assets!$AN$17)*CEG_Assets!$J$17-CEG_Assets!$K$17*AR490-CEG_Assets!$M$17*AR$4</f>
        <v>129.349230109668</v>
      </c>
      <c r="AS491" s="7" t="n">
        <f aca="false">INDEX(Prices!AS:AS,CEG_Assets!$AN$17)*CEG_Assets!$J$17-CEG_Assets!$K$17*AS490-CEG_Assets!$M$17*AS$4</f>
        <v>131.936214711862</v>
      </c>
    </row>
    <row r="492" customFormat="false" ht="15" hidden="false" customHeight="false" outlineLevel="0" collapsed="false">
      <c r="A492" s="6" t="s">
        <v>437</v>
      </c>
      <c r="B492" s="6" t="s">
        <v>438</v>
      </c>
      <c r="G492" s="47" t="n">
        <f aca="false">IF(CEG_Assets!$X$17=1,IF(G491&gt;0,1,0),1)</f>
        <v>1</v>
      </c>
      <c r="H492" s="47" t="n">
        <f aca="false">IF(CEG_Assets!$X$17=1,IF(H491&gt;0,1,0),1)</f>
        <v>1</v>
      </c>
      <c r="I492" s="47" t="n">
        <f aca="false">IF(CEG_Assets!$X$17=1,IF(I491&gt;0,1,0),1)</f>
        <v>1</v>
      </c>
      <c r="J492" s="47" t="n">
        <f aca="false">IF(CEG_Assets!$X$17=1,IF(J491&gt;0,1,0),1)</f>
        <v>1</v>
      </c>
      <c r="K492" s="47" t="n">
        <f aca="false">IF(CEG_Assets!$X$17=1,IF(K491&gt;0,1,0),1)</f>
        <v>1</v>
      </c>
      <c r="L492" s="47" t="n">
        <f aca="false">IF(CEG_Assets!$X$17=1,IF(L491&gt;0,1,0),1)</f>
        <v>1</v>
      </c>
      <c r="M492" s="47" t="n">
        <f aca="false">IF(CEG_Assets!$X$17=1,IF(M491&gt;0,1,0),1)</f>
        <v>1</v>
      </c>
      <c r="N492" s="47" t="n">
        <f aca="false">IF(CEG_Assets!$X$17=1,IF(N491&gt;0,1,0),1)</f>
        <v>1</v>
      </c>
      <c r="O492" s="47" t="n">
        <f aca="false">IF(CEG_Assets!$X$17=1,IF(O491&gt;0,1,0),1)</f>
        <v>1</v>
      </c>
      <c r="P492" s="47" t="n">
        <f aca="false">IF(CEG_Assets!$X$17=1,IF(P491&gt;0,1,0),1)</f>
        <v>1</v>
      </c>
      <c r="Q492" s="47" t="n">
        <f aca="false">IF(CEG_Assets!$X$17=1,IF(Q491&gt;0,1,0),1)</f>
        <v>1</v>
      </c>
      <c r="R492" s="47" t="n">
        <f aca="false">IF(CEG_Assets!$X$17=1,IF(R491&gt;0,1,0),1)</f>
        <v>1</v>
      </c>
      <c r="S492" s="47" t="n">
        <f aca="false">IF(CEG_Assets!$X$17=1,IF(S491&gt;0,1,0),1)</f>
        <v>1</v>
      </c>
      <c r="T492" s="47" t="n">
        <f aca="false">IF(CEG_Assets!$X$17=1,IF(T491&gt;0,1,0),1)</f>
        <v>1</v>
      </c>
      <c r="U492" s="47" t="n">
        <f aca="false">IF(CEG_Assets!$X$17=1,IF(U491&gt;0,1,0),1)</f>
        <v>1</v>
      </c>
      <c r="V492" s="47" t="n">
        <f aca="false">IF(CEG_Assets!$X$17=1,IF(V491&gt;0,1,0),1)</f>
        <v>1</v>
      </c>
      <c r="W492" s="47" t="n">
        <f aca="false">IF(CEG_Assets!$X$17=1,IF(W491&gt;0,1,0),1)</f>
        <v>1</v>
      </c>
      <c r="X492" s="47" t="n">
        <f aca="false">IF(CEG_Assets!$X$17=1,IF(X491&gt;0,1,0),1)</f>
        <v>1</v>
      </c>
      <c r="Y492" s="47" t="n">
        <f aca="false">IF(CEG_Assets!$X$17=1,IF(Y491&gt;0,1,0),1)</f>
        <v>1</v>
      </c>
      <c r="Z492" s="47" t="n">
        <f aca="false">IF(CEG_Assets!$X$17=1,IF(Z491&gt;0,1,0),1)</f>
        <v>1</v>
      </c>
      <c r="AA492" s="47" t="n">
        <f aca="false">IF(CEG_Assets!$X$17=1,IF(AA491&gt;0,1,0),1)</f>
        <v>1</v>
      </c>
      <c r="AB492" s="47" t="n">
        <f aca="false">IF(CEG_Assets!$X$17=1,IF(AB491&gt;0,1,0),1)</f>
        <v>1</v>
      </c>
      <c r="AC492" s="47" t="n">
        <f aca="false">IF(CEG_Assets!$X$17=1,IF(AC491&gt;0,1,0),1)</f>
        <v>1</v>
      </c>
      <c r="AD492" s="47" t="n">
        <f aca="false">IF(CEG_Assets!$X$17=1,IF(AD491&gt;0,1,0),1)</f>
        <v>1</v>
      </c>
      <c r="AE492" s="47" t="n">
        <f aca="false">IF(CEG_Assets!$X$17=1,IF(AE491&gt;0,1,0),1)</f>
        <v>1</v>
      </c>
      <c r="AF492" s="47" t="n">
        <f aca="false">IF(CEG_Assets!$X$17=1,IF(AF491&gt;0,1,0),1)</f>
        <v>1</v>
      </c>
      <c r="AG492" s="47" t="n">
        <f aca="false">IF(CEG_Assets!$X$17=1,IF(AG491&gt;0,1,0),1)</f>
        <v>1</v>
      </c>
      <c r="AH492" s="47" t="n">
        <f aca="false">IF(CEG_Assets!$X$17=1,IF(AH491&gt;0,1,0),1)</f>
        <v>1</v>
      </c>
      <c r="AI492" s="47" t="n">
        <f aca="false">IF(CEG_Assets!$X$17=1,IF(AI491&gt;0,1,0),1)</f>
        <v>1</v>
      </c>
      <c r="AJ492" s="47" t="n">
        <f aca="false">IF(CEG_Assets!$X$17=1,IF(AJ491&gt;0,1,0),1)</f>
        <v>1</v>
      </c>
      <c r="AK492" s="47" t="n">
        <f aca="false">IF(CEG_Assets!$X$17=1,IF(AK491&gt;0,1,0),1)</f>
        <v>1</v>
      </c>
      <c r="AL492" s="47" t="n">
        <f aca="false">IF(CEG_Assets!$X$17=1,IF(AL491&gt;0,1,0),1)</f>
        <v>1</v>
      </c>
      <c r="AM492" s="47" t="n">
        <f aca="false">IF(CEG_Assets!$X$17=1,IF(AM491&gt;0,1,0),1)</f>
        <v>1</v>
      </c>
      <c r="AN492" s="47" t="n">
        <f aca="false">IF(CEG_Assets!$X$17=1,IF(AN491&gt;0,1,0),1)</f>
        <v>1</v>
      </c>
      <c r="AO492" s="47" t="n">
        <f aca="false">IF(CEG_Assets!$X$17=1,IF(AO491&gt;0,1,0),1)</f>
        <v>1</v>
      </c>
      <c r="AP492" s="47" t="n">
        <f aca="false">IF(CEG_Assets!$X$17=1,IF(AP491&gt;0,1,0),1)</f>
        <v>1</v>
      </c>
      <c r="AQ492" s="47" t="n">
        <f aca="false">IF(CEG_Assets!$X$17=1,IF(AQ491&gt;0,1,0),1)</f>
        <v>1</v>
      </c>
      <c r="AR492" s="47" t="n">
        <f aca="false">IF(CEG_Assets!$X$17=1,IF(AR491&gt;0,1,0),1)</f>
        <v>1</v>
      </c>
      <c r="AS492" s="47" t="n">
        <f aca="false">IF(CEG_Assets!$X$17=1,IF(AS491&gt;0,1,0),1)</f>
        <v>1</v>
      </c>
    </row>
    <row r="493" customFormat="false" ht="15" hidden="false" customHeight="false" outlineLevel="0" collapsed="false">
      <c r="A493" s="6" t="s">
        <v>439</v>
      </c>
      <c r="B493" s="6" t="s">
        <v>440</v>
      </c>
      <c r="C493" s="9" t="n">
        <f aca="false">SUM(G493:AS493)</f>
        <v>10080.9763906625</v>
      </c>
      <c r="G493" s="8" t="n">
        <f aca="false">G488*INDEX(Prices!G:G,CEG_Assets!$AN$17)*CEG_Assets!$J$17*G492/1000000*(1+CEG_RevAdj)</f>
        <v>0</v>
      </c>
      <c r="H493" s="8" t="n">
        <f aca="false">H488*INDEX(Prices!H:H,CEG_Assets!$AN$17)*CEG_Assets!$J$17*H492/1000000*(1+CEG_RevAdj)</f>
        <v>0</v>
      </c>
      <c r="I493" s="8" t="n">
        <f aca="false">I488*INDEX(Prices!I:I,CEG_Assets!$AN$17)*CEG_Assets!$J$17*I492/1000000*(1+CEG_RevAdj)</f>
        <v>0</v>
      </c>
      <c r="J493" s="8" t="n">
        <f aca="false">J488*INDEX(Prices!J:J,CEG_Assets!$AN$17)*CEG_Assets!$J$17*J492/1000000*(1+CEG_RevAdj)</f>
        <v>0</v>
      </c>
      <c r="K493" s="8" t="n">
        <f aca="false">K488*INDEX(Prices!K:K,CEG_Assets!$AN$17)*CEG_Assets!$J$17*K492/1000000*(1+CEG_RevAdj)</f>
        <v>0</v>
      </c>
      <c r="L493" s="8" t="n">
        <f aca="false">L488*INDEX(Prices!L:L,CEG_Assets!$AN$17)*CEG_Assets!$J$17*L492/1000000*(1+CEG_RevAdj)</f>
        <v>0</v>
      </c>
      <c r="M493" s="8" t="n">
        <f aca="false">M488*INDEX(Prices!M:M,CEG_Assets!$AN$17)*CEG_Assets!$J$17*M492/1000000*(1+CEG_RevAdj)</f>
        <v>0</v>
      </c>
      <c r="N493" s="8" t="n">
        <f aca="false">N488*INDEX(Prices!N:N,CEG_Assets!$AN$17)*CEG_Assets!$J$17*N492/1000000*(1+CEG_RevAdj)</f>
        <v>0</v>
      </c>
      <c r="O493" s="8" t="n">
        <f aca="false">O488*INDEX(Prices!O:O,CEG_Assets!$AN$17)*CEG_Assets!$J$17*O492/1000000*(1+CEG_RevAdj)</f>
        <v>0</v>
      </c>
      <c r="P493" s="8" t="n">
        <f aca="false">P488*INDEX(Prices!P:P,CEG_Assets!$AN$17)*CEG_Assets!$J$17*P492/1000000*(1+CEG_RevAdj)</f>
        <v>414.899903738203</v>
      </c>
      <c r="Q493" s="8" t="n">
        <f aca="false">Q488*INDEX(Prices!Q:Q,CEG_Assets!$AN$17)*CEG_Assets!$J$17*Q492/1000000*(1+CEG_RevAdj)</f>
        <v>423.197901812967</v>
      </c>
      <c r="R493" s="8" t="n">
        <f aca="false">R488*INDEX(Prices!R:R,CEG_Assets!$AN$17)*CEG_Assets!$J$17*R492/1000000*(1+CEG_RevAdj)</f>
        <v>431.661859849226</v>
      </c>
      <c r="S493" s="8" t="n">
        <f aca="false">S488*INDEX(Prices!S:S,CEG_Assets!$AN$17)*CEG_Assets!$J$17*S492/1000000*(1+CEG_RevAdj)</f>
        <v>440.295097046211</v>
      </c>
      <c r="T493" s="8" t="n">
        <f aca="false">T488*INDEX(Prices!T:T,CEG_Assets!$AN$17)*CEG_Assets!$J$17*T492/1000000*(1+CEG_RevAdj)</f>
        <v>449.100998987135</v>
      </c>
      <c r="U493" s="8" t="n">
        <f aca="false">U488*INDEX(Prices!U:U,CEG_Assets!$AN$17)*CEG_Assets!$J$17*U492/1000000*(1+CEG_RevAdj)</f>
        <v>458.083018966877</v>
      </c>
      <c r="V493" s="8" t="n">
        <f aca="false">V488*INDEX(Prices!V:V,CEG_Assets!$AN$17)*CEG_Assets!$J$17*V492/1000000*(1+CEG_RevAdj)</f>
        <v>467.244679346215</v>
      </c>
      <c r="W493" s="8" t="n">
        <f aca="false">W488*INDEX(Prices!W:W,CEG_Assets!$AN$17)*CEG_Assets!$J$17*W492/1000000*(1+CEG_RevAdj)</f>
        <v>476.589572933139</v>
      </c>
      <c r="X493" s="8" t="n">
        <f aca="false">X488*INDEX(Prices!X:X,CEG_Assets!$AN$17)*CEG_Assets!$J$17*X492/1000000*(1+CEG_RevAdj)</f>
        <v>486.121364391802</v>
      </c>
      <c r="Y493" s="8" t="n">
        <f aca="false">Y488*INDEX(Prices!Y:Y,CEG_Assets!$AN$17)*CEG_Assets!$J$17*Y492/1000000*(1+CEG_RevAdj)</f>
        <v>495.843791679638</v>
      </c>
      <c r="Z493" s="8" t="n">
        <f aca="false">Z488*INDEX(Prices!Z:Z,CEG_Assets!$AN$17)*CEG_Assets!$J$17*Z492/1000000*(1+CEG_RevAdj)</f>
        <v>505.760667513231</v>
      </c>
      <c r="AA493" s="8" t="n">
        <f aca="false">AA488*INDEX(Prices!AA:AA,CEG_Assets!$AN$17)*CEG_Assets!$J$17*AA492/1000000*(1+CEG_RevAdj)</f>
        <v>515.875880863496</v>
      </c>
      <c r="AB493" s="8" t="n">
        <f aca="false">AB488*INDEX(Prices!AB:AB,CEG_Assets!$AN$17)*CEG_Assets!$J$17*AB492/1000000*(1+CEG_RevAdj)</f>
        <v>526.193398480766</v>
      </c>
      <c r="AC493" s="8" t="n">
        <f aca="false">AC488*INDEX(Prices!AC:AC,CEG_Assets!$AN$17)*CEG_Assets!$J$17*AC492/1000000*(1+CEG_RevAdj)</f>
        <v>536.717266450381</v>
      </c>
      <c r="AD493" s="8" t="n">
        <f aca="false">AD488*INDEX(Prices!AD:AD,CEG_Assets!$AN$17)*CEG_Assets!$J$17*AD492/1000000*(1+CEG_RevAdj)</f>
        <v>547.451611779388</v>
      </c>
      <c r="AE493" s="8" t="n">
        <f aca="false">AE488*INDEX(Prices!AE:AE,CEG_Assets!$AN$17)*CEG_Assets!$J$17*AE492/1000000*(1+CEG_RevAdj)</f>
        <v>558.400644014976</v>
      </c>
      <c r="AF493" s="8" t="n">
        <f aca="false">AF488*INDEX(Prices!AF:AF,CEG_Assets!$AN$17)*CEG_Assets!$J$17*AF492/1000000*(1+CEG_RevAdj)</f>
        <v>569.568656895276</v>
      </c>
      <c r="AG493" s="8" t="n">
        <f aca="false">AG488*INDEX(Prices!AG:AG,CEG_Assets!$AN$17)*CEG_Assets!$J$17*AG492/1000000*(1+CEG_RevAdj)</f>
        <v>580.960030033181</v>
      </c>
      <c r="AH493" s="8" t="n">
        <f aca="false">AH488*INDEX(Prices!AH:AH,CEG_Assets!$AN$17)*CEG_Assets!$J$17*AH492/1000000*(1+CEG_RevAdj)</f>
        <v>592.579230633845</v>
      </c>
      <c r="AI493" s="8" t="n">
        <f aca="false">AI488*INDEX(Prices!AI:AI,CEG_Assets!$AN$17)*CEG_Assets!$J$17*AI492/1000000*(1+CEG_RevAdj)</f>
        <v>604.430815246522</v>
      </c>
      <c r="AJ493" s="8" t="n">
        <f aca="false">AJ488*INDEX(Prices!AJ:AJ,CEG_Assets!$AN$17)*CEG_Assets!$J$17*AJ492/1000000*(1+CEG_RevAdj)</f>
        <v>0</v>
      </c>
      <c r="AK493" s="8" t="n">
        <f aca="false">AK488*INDEX(Prices!AK:AK,CEG_Assets!$AN$17)*CEG_Assets!$J$17*AK492/1000000*(1+CEG_RevAdj)</f>
        <v>0</v>
      </c>
      <c r="AL493" s="8" t="n">
        <f aca="false">AL488*INDEX(Prices!AL:AL,CEG_Assets!$AN$17)*CEG_Assets!$J$17*AL492/1000000*(1+CEG_RevAdj)</f>
        <v>0</v>
      </c>
      <c r="AM493" s="8" t="n">
        <f aca="false">AM488*INDEX(Prices!AM:AM,CEG_Assets!$AN$17)*CEG_Assets!$J$17*AM492/1000000*(1+CEG_RevAdj)</f>
        <v>0</v>
      </c>
      <c r="AN493" s="8" t="n">
        <f aca="false">AN488*INDEX(Prices!AN:AN,CEG_Assets!$AN$17)*CEG_Assets!$J$17*AN492/1000000*(1+CEG_RevAdj)</f>
        <v>0</v>
      </c>
      <c r="AO493" s="8" t="n">
        <f aca="false">AO488*INDEX(Prices!AO:AO,CEG_Assets!$AN$17)*CEG_Assets!$J$17*AO492/1000000*(1+CEG_RevAdj)</f>
        <v>0</v>
      </c>
      <c r="AP493" s="8" t="n">
        <f aca="false">AP488*INDEX(Prices!AP:AP,CEG_Assets!$AN$17)*CEG_Assets!$J$17*AP492/1000000*(1+CEG_RevAdj)</f>
        <v>0</v>
      </c>
      <c r="AQ493" s="8" t="n">
        <f aca="false">AQ488*INDEX(Prices!AQ:AQ,CEG_Assets!$AN$17)*CEG_Assets!$J$17*AQ492/1000000*(1+CEG_RevAdj)</f>
        <v>0</v>
      </c>
      <c r="AR493" s="8" t="n">
        <f aca="false">AR488*INDEX(Prices!AR:AR,CEG_Assets!$AN$17)*CEG_Assets!$J$17*AR492/1000000*(1+CEG_RevAdj)</f>
        <v>0</v>
      </c>
      <c r="AS493" s="8" t="n">
        <f aca="false">AS488*INDEX(Prices!AS:AS,CEG_Assets!$AN$17)*CEG_Assets!$J$17*AS492/1000000*(1+CEG_RevAdj)</f>
        <v>0</v>
      </c>
    </row>
    <row r="494" customFormat="false" ht="15" hidden="false" customHeight="false" outlineLevel="0" collapsed="false">
      <c r="A494" s="6" t="s">
        <v>441</v>
      </c>
      <c r="B494" s="6" t="s">
        <v>442</v>
      </c>
      <c r="C494" s="9" t="n">
        <f aca="false">SUM(G494:AS494)</f>
        <v>1605.38906062981</v>
      </c>
      <c r="G494" s="8" t="n">
        <f aca="false">(CEG_Assets!$D$17-G487)*INDEX(Prices!G:G,CEG_Assets!$AP$17)*365*CEG_Assets!$T$17*G486/1000000*(1+CEG_RevAdj)</f>
        <v>0</v>
      </c>
      <c r="H494" s="8" t="n">
        <f aca="false">(CEG_Assets!$D$17-H487)*INDEX(Prices!H:H,CEG_Assets!$AP$17)*365*CEG_Assets!$T$17*H486/1000000*(1+CEG_RevAdj)</f>
        <v>0</v>
      </c>
      <c r="I494" s="8" t="n">
        <f aca="false">(CEG_Assets!$D$17-I487)*INDEX(Prices!I:I,CEG_Assets!$AP$17)*365*CEG_Assets!$T$17*I486/1000000*(1+CEG_RevAdj)</f>
        <v>0</v>
      </c>
      <c r="J494" s="8" t="n">
        <f aca="false">(CEG_Assets!$D$17-J487)*INDEX(Prices!J:J,CEG_Assets!$AP$17)*365*CEG_Assets!$T$17*J486/1000000*(1+CEG_RevAdj)</f>
        <v>0</v>
      </c>
      <c r="K494" s="8" t="n">
        <f aca="false">(CEG_Assets!$D$17-K487)*INDEX(Prices!K:K,CEG_Assets!$AP$17)*365*CEG_Assets!$T$17*K486/1000000*(1+CEG_RevAdj)</f>
        <v>0</v>
      </c>
      <c r="L494" s="8" t="n">
        <f aca="false">(CEG_Assets!$D$17-L487)*INDEX(Prices!L:L,CEG_Assets!$AP$17)*365*CEG_Assets!$T$17*L486/1000000*(1+CEG_RevAdj)</f>
        <v>0</v>
      </c>
      <c r="M494" s="8" t="n">
        <f aca="false">(CEG_Assets!$D$17-M487)*INDEX(Prices!M:M,CEG_Assets!$AP$17)*365*CEG_Assets!$T$17*M486/1000000*(1+CEG_RevAdj)</f>
        <v>0</v>
      </c>
      <c r="N494" s="8" t="n">
        <f aca="false">(CEG_Assets!$D$17-N487)*INDEX(Prices!N:N,CEG_Assets!$AP$17)*365*CEG_Assets!$T$17*N486/1000000*(1+CEG_RevAdj)</f>
        <v>0</v>
      </c>
      <c r="O494" s="8" t="n">
        <f aca="false">(CEG_Assets!$D$17-O487)*INDEX(Prices!O:O,CEG_Assets!$AP$17)*365*CEG_Assets!$T$17*O486/1000000*(1+CEG_RevAdj)</f>
        <v>0</v>
      </c>
      <c r="P494" s="8" t="n">
        <f aca="false">(CEG_Assets!$D$17-P487)*INDEX(Prices!P:P,CEG_Assets!$AP$17)*365*CEG_Assets!$T$17*P486/1000000*(1+CEG_RevAdj)</f>
        <v>66.0725450497658</v>
      </c>
      <c r="Q494" s="8" t="n">
        <f aca="false">(CEG_Assets!$D$17-Q487)*INDEX(Prices!Q:Q,CEG_Assets!$AP$17)*365*CEG_Assets!$T$17*Q486/1000000*(1+CEG_RevAdj)</f>
        <v>67.3939959507612</v>
      </c>
      <c r="R494" s="8" t="n">
        <f aca="false">(CEG_Assets!$D$17-R487)*INDEX(Prices!R:R,CEG_Assets!$AP$17)*365*CEG_Assets!$T$17*R486/1000000*(1+CEG_RevAdj)</f>
        <v>68.7418758697764</v>
      </c>
      <c r="S494" s="8" t="n">
        <f aca="false">(CEG_Assets!$D$17-S487)*INDEX(Prices!S:S,CEG_Assets!$AP$17)*365*CEG_Assets!$T$17*S486/1000000*(1+CEG_RevAdj)</f>
        <v>70.1167133871719</v>
      </c>
      <c r="T494" s="8" t="n">
        <f aca="false">(CEG_Assets!$D$17-T487)*INDEX(Prices!T:T,CEG_Assets!$AP$17)*365*CEG_Assets!$T$17*T486/1000000*(1+CEG_RevAdj)</f>
        <v>71.5190476549153</v>
      </c>
      <c r="U494" s="8" t="n">
        <f aca="false">(CEG_Assets!$D$17-U487)*INDEX(Prices!U:U,CEG_Assets!$AP$17)*365*CEG_Assets!$T$17*U486/1000000*(1+CEG_RevAdj)</f>
        <v>72.9494286080137</v>
      </c>
      <c r="V494" s="8" t="n">
        <f aca="false">(CEG_Assets!$D$17-V487)*INDEX(Prices!V:V,CEG_Assets!$AP$17)*365*CEG_Assets!$T$17*V486/1000000*(1+CEG_RevAdj)</f>
        <v>74.4084171801739</v>
      </c>
      <c r="W494" s="8" t="n">
        <f aca="false">(CEG_Assets!$D$17-W487)*INDEX(Prices!W:W,CEG_Assets!$AP$17)*365*CEG_Assets!$T$17*W486/1000000*(1+CEG_RevAdj)</f>
        <v>75.8965855237774</v>
      </c>
      <c r="X494" s="8" t="n">
        <f aca="false">(CEG_Assets!$D$17-X487)*INDEX(Prices!X:X,CEG_Assets!$AP$17)*365*CEG_Assets!$T$17*X486/1000000*(1+CEG_RevAdj)</f>
        <v>77.414517234253</v>
      </c>
      <c r="Y494" s="8" t="n">
        <f aca="false">(CEG_Assets!$D$17-Y487)*INDEX(Prices!Y:Y,CEG_Assets!$AP$17)*365*CEG_Assets!$T$17*Y486/1000000*(1+CEG_RevAdj)</f>
        <v>78.962807578938</v>
      </c>
      <c r="Z494" s="8" t="n">
        <f aca="false">(CEG_Assets!$D$17-Z487)*INDEX(Prices!Z:Z,CEG_Assets!$AP$17)*365*CEG_Assets!$T$17*Z486/1000000*(1+CEG_RevAdj)</f>
        <v>80.5420637305168</v>
      </c>
      <c r="AA494" s="8" t="n">
        <f aca="false">(CEG_Assets!$D$17-AA487)*INDEX(Prices!AA:AA,CEG_Assets!$AP$17)*365*CEG_Assets!$T$17*AA486/1000000*(1+CEG_RevAdj)</f>
        <v>82.1529050051271</v>
      </c>
      <c r="AB494" s="8" t="n">
        <f aca="false">(CEG_Assets!$D$17-AB487)*INDEX(Prices!AB:AB,CEG_Assets!$AP$17)*365*CEG_Assets!$T$17*AB486/1000000*(1+CEG_RevAdj)</f>
        <v>83.7959631052297</v>
      </c>
      <c r="AC494" s="8" t="n">
        <f aca="false">(CEG_Assets!$D$17-AC487)*INDEX(Prices!AC:AC,CEG_Assets!$AP$17)*365*CEG_Assets!$T$17*AC486/1000000*(1+CEG_RevAdj)</f>
        <v>85.4718823673343</v>
      </c>
      <c r="AD494" s="8" t="n">
        <f aca="false">(CEG_Assets!$D$17-AD487)*INDEX(Prices!AD:AD,CEG_Assets!$AP$17)*365*CEG_Assets!$T$17*AD486/1000000*(1+CEG_RevAdj)</f>
        <v>87.181320014681</v>
      </c>
      <c r="AE494" s="8" t="n">
        <f aca="false">(CEG_Assets!$D$17-AE487)*INDEX(Prices!AE:AE,CEG_Assets!$AP$17)*365*CEG_Assets!$T$17*AE486/1000000*(1+CEG_RevAdj)</f>
        <v>88.9249464149746</v>
      </c>
      <c r="AF494" s="8" t="n">
        <f aca="false">(CEG_Assets!$D$17-AF487)*INDEX(Prices!AF:AF,CEG_Assets!$AP$17)*365*CEG_Assets!$T$17*AF486/1000000*(1+CEG_RevAdj)</f>
        <v>90.703445343274</v>
      </c>
      <c r="AG494" s="8" t="n">
        <f aca="false">(CEG_Assets!$D$17-AG487)*INDEX(Prices!AG:AG,CEG_Assets!$AP$17)*365*CEG_Assets!$T$17*AG486/1000000*(1+CEG_RevAdj)</f>
        <v>92.5175142501396</v>
      </c>
      <c r="AH494" s="8" t="n">
        <f aca="false">(CEG_Assets!$D$17-AH487)*INDEX(Prices!AH:AH,CEG_Assets!$AP$17)*365*CEG_Assets!$T$17*AH486/1000000*(1+CEG_RevAdj)</f>
        <v>94.3678645351423</v>
      </c>
      <c r="AI494" s="8" t="n">
        <f aca="false">(CEG_Assets!$D$17-AI487)*INDEX(Prices!AI:AI,CEG_Assets!$AP$17)*365*CEG_Assets!$T$17*AI486/1000000*(1+CEG_RevAdj)</f>
        <v>96.2552218258452</v>
      </c>
      <c r="AJ494" s="8" t="n">
        <f aca="false">(CEG_Assets!$D$17-AJ487)*INDEX(Prices!AJ:AJ,CEG_Assets!$AP$17)*365*CEG_Assets!$T$17*AJ486/1000000*(1+CEG_RevAdj)</f>
        <v>0</v>
      </c>
      <c r="AK494" s="8" t="n">
        <f aca="false">(CEG_Assets!$D$17-AK487)*INDEX(Prices!AK:AK,CEG_Assets!$AP$17)*365*CEG_Assets!$T$17*AK486/1000000*(1+CEG_RevAdj)</f>
        <v>0</v>
      </c>
      <c r="AL494" s="8" t="n">
        <f aca="false">(CEG_Assets!$D$17-AL487)*INDEX(Prices!AL:AL,CEG_Assets!$AP$17)*365*CEG_Assets!$T$17*AL486/1000000*(1+CEG_RevAdj)</f>
        <v>0</v>
      </c>
      <c r="AM494" s="8" t="n">
        <f aca="false">(CEG_Assets!$D$17-AM487)*INDEX(Prices!AM:AM,CEG_Assets!$AP$17)*365*CEG_Assets!$T$17*AM486/1000000*(1+CEG_RevAdj)</f>
        <v>0</v>
      </c>
      <c r="AN494" s="8" t="n">
        <f aca="false">(CEG_Assets!$D$17-AN487)*INDEX(Prices!AN:AN,CEG_Assets!$AP$17)*365*CEG_Assets!$T$17*AN486/1000000*(1+CEG_RevAdj)</f>
        <v>0</v>
      </c>
      <c r="AO494" s="8" t="n">
        <f aca="false">(CEG_Assets!$D$17-AO487)*INDEX(Prices!AO:AO,CEG_Assets!$AP$17)*365*CEG_Assets!$T$17*AO486/1000000*(1+CEG_RevAdj)</f>
        <v>0</v>
      </c>
      <c r="AP494" s="8" t="n">
        <f aca="false">(CEG_Assets!$D$17-AP487)*INDEX(Prices!AP:AP,CEG_Assets!$AP$17)*365*CEG_Assets!$T$17*AP486/1000000*(1+CEG_RevAdj)</f>
        <v>0</v>
      </c>
      <c r="AQ494" s="8" t="n">
        <f aca="false">(CEG_Assets!$D$17-AQ487)*INDEX(Prices!AQ:AQ,CEG_Assets!$AP$17)*365*CEG_Assets!$T$17*AQ486/1000000*(1+CEG_RevAdj)</f>
        <v>0</v>
      </c>
      <c r="AR494" s="8" t="n">
        <f aca="false">(CEG_Assets!$D$17-AR487)*INDEX(Prices!AR:AR,CEG_Assets!$AP$17)*365*CEG_Assets!$T$17*AR486/1000000*(1+CEG_RevAdj)</f>
        <v>0</v>
      </c>
      <c r="AS494" s="8" t="n">
        <f aca="false">(CEG_Assets!$D$17-AS487)*INDEX(Prices!AS:AS,CEG_Assets!$AP$17)*365*CEG_Assets!$T$17*AS486/1000000*(1+CEG_RevAdj)</f>
        <v>0</v>
      </c>
    </row>
    <row r="495" customFormat="false" ht="15" hidden="false" customHeight="false" outlineLevel="0" collapsed="false">
      <c r="A495" s="6" t="s">
        <v>443</v>
      </c>
      <c r="B495" s="6" t="s">
        <v>444</v>
      </c>
      <c r="C495" s="9" t="n">
        <f aca="false">SUM(G495:AS495)</f>
        <v>4272.1425</v>
      </c>
      <c r="G495" s="8" t="n">
        <f aca="false">G489*(CEG_Assets!$AD$17+CEG_PPAAdj)/1000000*(1+CEG_RevAdj)</f>
        <v>474.6825</v>
      </c>
      <c r="H495" s="8" t="n">
        <f aca="false">H489*(CEG_Assets!$AD$17+CEG_PPAAdj)/1000000*(1+CEG_RevAdj)</f>
        <v>474.6825</v>
      </c>
      <c r="I495" s="8" t="n">
        <f aca="false">I489*(CEG_Assets!$AD$17+CEG_PPAAdj)/1000000*(1+CEG_RevAdj)</f>
        <v>474.6825</v>
      </c>
      <c r="J495" s="8" t="n">
        <f aca="false">J489*(CEG_Assets!$AD$17+CEG_PPAAdj)/1000000*(1+CEG_RevAdj)</f>
        <v>474.6825</v>
      </c>
      <c r="K495" s="8" t="n">
        <f aca="false">K489*(CEG_Assets!$AD$17+CEG_PPAAdj)/1000000*(1+CEG_RevAdj)</f>
        <v>474.6825</v>
      </c>
      <c r="L495" s="8" t="n">
        <f aca="false">L489*(CEG_Assets!$AD$17+CEG_PPAAdj)/1000000*(1+CEG_RevAdj)</f>
        <v>474.6825</v>
      </c>
      <c r="M495" s="8" t="n">
        <f aca="false">M489*(CEG_Assets!$AD$17+CEG_PPAAdj)/1000000*(1+CEG_RevAdj)</f>
        <v>474.6825</v>
      </c>
      <c r="N495" s="8" t="n">
        <f aca="false">N489*(CEG_Assets!$AD$17+CEG_PPAAdj)/1000000*(1+CEG_RevAdj)</f>
        <v>474.6825</v>
      </c>
      <c r="O495" s="8" t="n">
        <f aca="false">O489*(CEG_Assets!$AD$17+CEG_PPAAdj)/1000000*(1+CEG_RevAdj)</f>
        <v>474.6825</v>
      </c>
      <c r="P495" s="8" t="n">
        <f aca="false">P489*(CEG_Assets!$AD$17+CEG_PPAAdj)/1000000*(1+CEG_RevAdj)</f>
        <v>0</v>
      </c>
      <c r="Q495" s="8" t="n">
        <f aca="false">Q489*(CEG_Assets!$AD$17+CEG_PPAAdj)/1000000*(1+CEG_RevAdj)</f>
        <v>0</v>
      </c>
      <c r="R495" s="8" t="n">
        <f aca="false">R489*(CEG_Assets!$AD$17+CEG_PPAAdj)/1000000*(1+CEG_RevAdj)</f>
        <v>0</v>
      </c>
      <c r="S495" s="8" t="n">
        <f aca="false">S489*(CEG_Assets!$AD$17+CEG_PPAAdj)/1000000*(1+CEG_RevAdj)</f>
        <v>0</v>
      </c>
      <c r="T495" s="8" t="n">
        <f aca="false">T489*(CEG_Assets!$AD$17+CEG_PPAAdj)/1000000*(1+CEG_RevAdj)</f>
        <v>0</v>
      </c>
      <c r="U495" s="8" t="n">
        <f aca="false">U489*(CEG_Assets!$AD$17+CEG_PPAAdj)/1000000*(1+CEG_RevAdj)</f>
        <v>0</v>
      </c>
      <c r="V495" s="8" t="n">
        <f aca="false">V489*(CEG_Assets!$AD$17+CEG_PPAAdj)/1000000*(1+CEG_RevAdj)</f>
        <v>0</v>
      </c>
      <c r="W495" s="8" t="n">
        <f aca="false">W489*(CEG_Assets!$AD$17+CEG_PPAAdj)/1000000*(1+CEG_RevAdj)</f>
        <v>0</v>
      </c>
      <c r="X495" s="8" t="n">
        <f aca="false">X489*(CEG_Assets!$AD$17+CEG_PPAAdj)/1000000*(1+CEG_RevAdj)</f>
        <v>0</v>
      </c>
      <c r="Y495" s="8" t="n">
        <f aca="false">Y489*(CEG_Assets!$AD$17+CEG_PPAAdj)/1000000*(1+CEG_RevAdj)</f>
        <v>0</v>
      </c>
      <c r="Z495" s="8" t="n">
        <f aca="false">Z489*(CEG_Assets!$AD$17+CEG_PPAAdj)/1000000*(1+CEG_RevAdj)</f>
        <v>0</v>
      </c>
      <c r="AA495" s="8" t="n">
        <f aca="false">AA489*(CEG_Assets!$AD$17+CEG_PPAAdj)/1000000*(1+CEG_RevAdj)</f>
        <v>0</v>
      </c>
      <c r="AB495" s="8" t="n">
        <f aca="false">AB489*(CEG_Assets!$AD$17+CEG_PPAAdj)/1000000*(1+CEG_RevAdj)</f>
        <v>0</v>
      </c>
      <c r="AC495" s="8" t="n">
        <f aca="false">AC489*(CEG_Assets!$AD$17+CEG_PPAAdj)/1000000*(1+CEG_RevAdj)</f>
        <v>0</v>
      </c>
      <c r="AD495" s="8" t="n">
        <f aca="false">AD489*(CEG_Assets!$AD$17+CEG_PPAAdj)/1000000*(1+CEG_RevAdj)</f>
        <v>0</v>
      </c>
      <c r="AE495" s="8" t="n">
        <f aca="false">AE489*(CEG_Assets!$AD$17+CEG_PPAAdj)/1000000*(1+CEG_RevAdj)</f>
        <v>0</v>
      </c>
      <c r="AF495" s="8" t="n">
        <f aca="false">AF489*(CEG_Assets!$AD$17+CEG_PPAAdj)/1000000*(1+CEG_RevAdj)</f>
        <v>0</v>
      </c>
      <c r="AG495" s="8" t="n">
        <f aca="false">AG489*(CEG_Assets!$AD$17+CEG_PPAAdj)/1000000*(1+CEG_RevAdj)</f>
        <v>0</v>
      </c>
      <c r="AH495" s="8" t="n">
        <f aca="false">AH489*(CEG_Assets!$AD$17+CEG_PPAAdj)/1000000*(1+CEG_RevAdj)</f>
        <v>0</v>
      </c>
      <c r="AI495" s="8" t="n">
        <f aca="false">AI489*(CEG_Assets!$AD$17+CEG_PPAAdj)/1000000*(1+CEG_RevAdj)</f>
        <v>0</v>
      </c>
      <c r="AJ495" s="8" t="n">
        <f aca="false">AJ489*(CEG_Assets!$AD$17+CEG_PPAAdj)/1000000*(1+CEG_RevAdj)</f>
        <v>0</v>
      </c>
      <c r="AK495" s="8" t="n">
        <f aca="false">AK489*(CEG_Assets!$AD$17+CEG_PPAAdj)/1000000*(1+CEG_RevAdj)</f>
        <v>0</v>
      </c>
      <c r="AL495" s="8" t="n">
        <f aca="false">AL489*(CEG_Assets!$AD$17+CEG_PPAAdj)/1000000*(1+CEG_RevAdj)</f>
        <v>0</v>
      </c>
      <c r="AM495" s="8" t="n">
        <f aca="false">AM489*(CEG_Assets!$AD$17+CEG_PPAAdj)/1000000*(1+CEG_RevAdj)</f>
        <v>0</v>
      </c>
      <c r="AN495" s="8" t="n">
        <f aca="false">AN489*(CEG_Assets!$AD$17+CEG_PPAAdj)/1000000*(1+CEG_RevAdj)</f>
        <v>0</v>
      </c>
      <c r="AO495" s="8" t="n">
        <f aca="false">AO489*(CEG_Assets!$AD$17+CEG_PPAAdj)/1000000*(1+CEG_RevAdj)</f>
        <v>0</v>
      </c>
      <c r="AP495" s="8" t="n">
        <f aca="false">AP489*(CEG_Assets!$AD$17+CEG_PPAAdj)/1000000*(1+CEG_RevAdj)</f>
        <v>0</v>
      </c>
      <c r="AQ495" s="8" t="n">
        <f aca="false">AQ489*(CEG_Assets!$AD$17+CEG_PPAAdj)/1000000*(1+CEG_RevAdj)</f>
        <v>0</v>
      </c>
      <c r="AR495" s="8" t="n">
        <f aca="false">AR489*(CEG_Assets!$AD$17+CEG_PPAAdj)/1000000*(1+CEG_RevAdj)</f>
        <v>0</v>
      </c>
      <c r="AS495" s="8" t="n">
        <f aca="false">AS489*(CEG_Assets!$AD$17+CEG_PPAAdj)/1000000*(1+CEG_RevAdj)</f>
        <v>0</v>
      </c>
    </row>
    <row r="496" customFormat="false" ht="15" hidden="false" customHeight="false" outlineLevel="0" collapsed="false">
      <c r="A496" s="6" t="s">
        <v>445</v>
      </c>
      <c r="B496" s="6" t="s">
        <v>446</v>
      </c>
      <c r="C496" s="9" t="n">
        <f aca="false">SUM(G496:AS496)</f>
        <v>0</v>
      </c>
      <c r="G496" s="8" t="n">
        <f aca="false">IF(G$3&lt;=CEG_Assets!$V$17,G488*CEG_Assets!$U$17,0)/1000000*(1+CEG_RevAdj)</f>
        <v>0</v>
      </c>
      <c r="H496" s="8" t="n">
        <f aca="false">IF(H$3&lt;=CEG_Assets!$V$17,H488*CEG_Assets!$U$17,0)/1000000*(1+CEG_RevAdj)</f>
        <v>0</v>
      </c>
      <c r="I496" s="8" t="n">
        <f aca="false">IF(I$3&lt;=CEG_Assets!$V$17,I488*CEG_Assets!$U$17,0)/1000000*(1+CEG_RevAdj)</f>
        <v>0</v>
      </c>
      <c r="J496" s="8" t="n">
        <f aca="false">IF(J$3&lt;=CEG_Assets!$V$17,J488*CEG_Assets!$U$17,0)/1000000*(1+CEG_RevAdj)</f>
        <v>0</v>
      </c>
      <c r="K496" s="8" t="n">
        <f aca="false">IF(K$3&lt;=CEG_Assets!$V$17,K488*CEG_Assets!$U$17,0)/1000000*(1+CEG_RevAdj)</f>
        <v>0</v>
      </c>
      <c r="L496" s="8" t="n">
        <f aca="false">IF(L$3&lt;=CEG_Assets!$V$17,L488*CEG_Assets!$U$17,0)/1000000*(1+CEG_RevAdj)</f>
        <v>0</v>
      </c>
      <c r="M496" s="8" t="n">
        <f aca="false">IF(M$3&lt;=CEG_Assets!$V$17,M488*CEG_Assets!$U$17,0)/1000000*(1+CEG_RevAdj)</f>
        <v>0</v>
      </c>
      <c r="N496" s="8" t="n">
        <f aca="false">IF(N$3&lt;=CEG_Assets!$V$17,N488*CEG_Assets!$U$17,0)/1000000*(1+CEG_RevAdj)</f>
        <v>0</v>
      </c>
      <c r="O496" s="8" t="n">
        <f aca="false">IF(O$3&lt;=CEG_Assets!$V$17,O488*CEG_Assets!$U$17,0)/1000000*(1+CEG_RevAdj)</f>
        <v>0</v>
      </c>
      <c r="P496" s="8" t="n">
        <f aca="false">IF(P$3&lt;=CEG_Assets!$V$17,P488*CEG_Assets!$U$17,0)/1000000*(1+CEG_RevAdj)</f>
        <v>0</v>
      </c>
      <c r="Q496" s="8" t="n">
        <f aca="false">IF(Q$3&lt;=CEG_Assets!$V$17,Q488*CEG_Assets!$U$17,0)/1000000*(1+CEG_RevAdj)</f>
        <v>0</v>
      </c>
      <c r="R496" s="8" t="n">
        <f aca="false">IF(R$3&lt;=CEG_Assets!$V$17,R488*CEG_Assets!$U$17,0)/1000000*(1+CEG_RevAdj)</f>
        <v>0</v>
      </c>
      <c r="S496" s="8" t="n">
        <f aca="false">IF(S$3&lt;=CEG_Assets!$V$17,S488*CEG_Assets!$U$17,0)/1000000*(1+CEG_RevAdj)</f>
        <v>0</v>
      </c>
      <c r="T496" s="8" t="n">
        <f aca="false">IF(T$3&lt;=CEG_Assets!$V$17,T488*CEG_Assets!$U$17,0)/1000000*(1+CEG_RevAdj)</f>
        <v>0</v>
      </c>
      <c r="U496" s="8" t="n">
        <f aca="false">IF(U$3&lt;=CEG_Assets!$V$17,U488*CEG_Assets!$U$17,0)/1000000*(1+CEG_RevAdj)</f>
        <v>0</v>
      </c>
      <c r="V496" s="8" t="n">
        <f aca="false">IF(V$3&lt;=CEG_Assets!$V$17,V488*CEG_Assets!$U$17,0)/1000000*(1+CEG_RevAdj)</f>
        <v>0</v>
      </c>
      <c r="W496" s="8" t="n">
        <f aca="false">IF(W$3&lt;=CEG_Assets!$V$17,W488*CEG_Assets!$U$17,0)/1000000*(1+CEG_RevAdj)</f>
        <v>0</v>
      </c>
      <c r="X496" s="8" t="n">
        <f aca="false">IF(X$3&lt;=CEG_Assets!$V$17,X488*CEG_Assets!$U$17,0)/1000000*(1+CEG_RevAdj)</f>
        <v>0</v>
      </c>
      <c r="Y496" s="8" t="n">
        <f aca="false">IF(Y$3&lt;=CEG_Assets!$V$17,Y488*CEG_Assets!$U$17,0)/1000000*(1+CEG_RevAdj)</f>
        <v>0</v>
      </c>
      <c r="Z496" s="8" t="n">
        <f aca="false">IF(Z$3&lt;=CEG_Assets!$V$17,Z488*CEG_Assets!$U$17,0)/1000000*(1+CEG_RevAdj)</f>
        <v>0</v>
      </c>
      <c r="AA496" s="8" t="n">
        <f aca="false">IF(AA$3&lt;=CEG_Assets!$V$17,AA488*CEG_Assets!$U$17,0)/1000000*(1+CEG_RevAdj)</f>
        <v>0</v>
      </c>
      <c r="AB496" s="8" t="n">
        <f aca="false">IF(AB$3&lt;=CEG_Assets!$V$17,AB488*CEG_Assets!$U$17,0)/1000000*(1+CEG_RevAdj)</f>
        <v>0</v>
      </c>
      <c r="AC496" s="8" t="n">
        <f aca="false">IF(AC$3&lt;=CEG_Assets!$V$17,AC488*CEG_Assets!$U$17,0)/1000000*(1+CEG_RevAdj)</f>
        <v>0</v>
      </c>
      <c r="AD496" s="8" t="n">
        <f aca="false">IF(AD$3&lt;=CEG_Assets!$V$17,AD488*CEG_Assets!$U$17,0)/1000000*(1+CEG_RevAdj)</f>
        <v>0</v>
      </c>
      <c r="AE496" s="8" t="n">
        <f aca="false">IF(AE$3&lt;=CEG_Assets!$V$17,AE488*CEG_Assets!$U$17,0)/1000000*(1+CEG_RevAdj)</f>
        <v>0</v>
      </c>
      <c r="AF496" s="8" t="n">
        <f aca="false">IF(AF$3&lt;=CEG_Assets!$V$17,AF488*CEG_Assets!$U$17,0)/1000000*(1+CEG_RevAdj)</f>
        <v>0</v>
      </c>
      <c r="AG496" s="8" t="n">
        <f aca="false">IF(AG$3&lt;=CEG_Assets!$V$17,AG488*CEG_Assets!$U$17,0)/1000000*(1+CEG_RevAdj)</f>
        <v>0</v>
      </c>
      <c r="AH496" s="8" t="n">
        <f aca="false">IF(AH$3&lt;=CEG_Assets!$V$17,AH488*CEG_Assets!$U$17,0)/1000000*(1+CEG_RevAdj)</f>
        <v>0</v>
      </c>
      <c r="AI496" s="8" t="n">
        <f aca="false">IF(AI$3&lt;=CEG_Assets!$V$17,AI488*CEG_Assets!$U$17,0)/1000000*(1+CEG_RevAdj)</f>
        <v>0</v>
      </c>
      <c r="AJ496" s="8" t="n">
        <f aca="false">IF(AJ$3&lt;=CEG_Assets!$V$17,AJ488*CEG_Assets!$U$17,0)/1000000*(1+CEG_RevAdj)</f>
        <v>0</v>
      </c>
      <c r="AK496" s="8" t="n">
        <f aca="false">IF(AK$3&lt;=CEG_Assets!$V$17,AK488*CEG_Assets!$U$17,0)/1000000*(1+CEG_RevAdj)</f>
        <v>0</v>
      </c>
      <c r="AL496" s="8" t="n">
        <f aca="false">IF(AL$3&lt;=CEG_Assets!$V$17,AL488*CEG_Assets!$U$17,0)/1000000*(1+CEG_RevAdj)</f>
        <v>0</v>
      </c>
      <c r="AM496" s="8" t="n">
        <f aca="false">IF(AM$3&lt;=CEG_Assets!$V$17,AM488*CEG_Assets!$U$17,0)/1000000*(1+CEG_RevAdj)</f>
        <v>0</v>
      </c>
      <c r="AN496" s="8" t="n">
        <f aca="false">IF(AN$3&lt;=CEG_Assets!$V$17,AN488*CEG_Assets!$U$17,0)/1000000*(1+CEG_RevAdj)</f>
        <v>0</v>
      </c>
      <c r="AO496" s="8" t="n">
        <f aca="false">IF(AO$3&lt;=CEG_Assets!$V$17,AO488*CEG_Assets!$U$17,0)/1000000*(1+CEG_RevAdj)</f>
        <v>0</v>
      </c>
      <c r="AP496" s="8" t="n">
        <f aca="false">IF(AP$3&lt;=CEG_Assets!$V$17,AP488*CEG_Assets!$U$17,0)/1000000*(1+CEG_RevAdj)</f>
        <v>0</v>
      </c>
      <c r="AQ496" s="8" t="n">
        <f aca="false">IF(AQ$3&lt;=CEG_Assets!$V$17,AQ488*CEG_Assets!$U$17,0)/1000000*(1+CEG_RevAdj)</f>
        <v>0</v>
      </c>
      <c r="AR496" s="8" t="n">
        <f aca="false">IF(AR$3&lt;=CEG_Assets!$V$17,AR488*CEG_Assets!$U$17,0)/1000000*(1+CEG_RevAdj)</f>
        <v>0</v>
      </c>
      <c r="AS496" s="8" t="n">
        <f aca="false">IF(AS$3&lt;=CEG_Assets!$V$17,AS488*CEG_Assets!$U$17,0)/1000000*(1+CEG_RevAdj)</f>
        <v>0</v>
      </c>
    </row>
    <row r="497" customFormat="false" ht="15" hidden="false" customHeight="false" outlineLevel="0" collapsed="false">
      <c r="A497" s="6" t="s">
        <v>447</v>
      </c>
      <c r="B497" s="6" t="s">
        <v>448</v>
      </c>
      <c r="C497" s="9" t="n">
        <f aca="false">SUM(G497:AS497)</f>
        <v>15958.5079512923</v>
      </c>
      <c r="G497" s="8" t="n">
        <f aca="false">G493+G494+G495+G496</f>
        <v>474.6825</v>
      </c>
      <c r="H497" s="8" t="n">
        <f aca="false">H493+H494+H495+H496</f>
        <v>474.6825</v>
      </c>
      <c r="I497" s="8" t="n">
        <f aca="false">I493+I494+I495+I496</f>
        <v>474.6825</v>
      </c>
      <c r="J497" s="8" t="n">
        <f aca="false">J493+J494+J495+J496</f>
        <v>474.6825</v>
      </c>
      <c r="K497" s="8" t="n">
        <f aca="false">K493+K494+K495+K496</f>
        <v>474.6825</v>
      </c>
      <c r="L497" s="8" t="n">
        <f aca="false">L493+L494+L495+L496</f>
        <v>474.6825</v>
      </c>
      <c r="M497" s="8" t="n">
        <f aca="false">M493+M494+M495+M496</f>
        <v>474.6825</v>
      </c>
      <c r="N497" s="8" t="n">
        <f aca="false">N493+N494+N495+N496</f>
        <v>474.6825</v>
      </c>
      <c r="O497" s="8" t="n">
        <f aca="false">O493+O494+O495+O496</f>
        <v>474.6825</v>
      </c>
      <c r="P497" s="8" t="n">
        <f aca="false">P493+P494+P495+P496</f>
        <v>480.972448787968</v>
      </c>
      <c r="Q497" s="8" t="n">
        <f aca="false">Q493+Q494+Q495+Q496</f>
        <v>490.591897763728</v>
      </c>
      <c r="R497" s="8" t="n">
        <f aca="false">R493+R494+R495+R496</f>
        <v>500.403735719002</v>
      </c>
      <c r="S497" s="8" t="n">
        <f aca="false">S493+S494+S495+S496</f>
        <v>510.411810433382</v>
      </c>
      <c r="T497" s="8" t="n">
        <f aca="false">T493+T494+T495+T496</f>
        <v>520.62004664205</v>
      </c>
      <c r="U497" s="8" t="n">
        <f aca="false">U493+U494+U495+U496</f>
        <v>531.032447574891</v>
      </c>
      <c r="V497" s="8" t="n">
        <f aca="false">V493+V494+V495+V496</f>
        <v>541.653096526389</v>
      </c>
      <c r="W497" s="8" t="n">
        <f aca="false">W493+W494+W495+W496</f>
        <v>552.486158456917</v>
      </c>
      <c r="X497" s="8" t="n">
        <f aca="false">X493+X494+X495+X496</f>
        <v>563.535881626055</v>
      </c>
      <c r="Y497" s="8" t="n">
        <f aca="false">Y493+Y494+Y495+Y496</f>
        <v>574.806599258576</v>
      </c>
      <c r="Z497" s="8" t="n">
        <f aca="false">Z493+Z494+Z495+Z496</f>
        <v>586.302731243748</v>
      </c>
      <c r="AA497" s="8" t="n">
        <f aca="false">AA493+AA494+AA495+AA496</f>
        <v>598.028785868623</v>
      </c>
      <c r="AB497" s="8" t="n">
        <f aca="false">AB493+AB494+AB495+AB496</f>
        <v>609.989361585995</v>
      </c>
      <c r="AC497" s="8" t="n">
        <f aca="false">AC493+AC494+AC495+AC496</f>
        <v>622.189148817715</v>
      </c>
      <c r="AD497" s="8" t="n">
        <f aca="false">AD493+AD494+AD495+AD496</f>
        <v>634.632931794069</v>
      </c>
      <c r="AE497" s="8" t="n">
        <f aca="false">AE493+AE494+AE495+AE496</f>
        <v>647.325590429951</v>
      </c>
      <c r="AF497" s="8" t="n">
        <f aca="false">AF493+AF494+AF495+AF496</f>
        <v>660.27210223855</v>
      </c>
      <c r="AG497" s="8" t="n">
        <f aca="false">AG493+AG494+AG495+AG496</f>
        <v>673.477544283321</v>
      </c>
      <c r="AH497" s="8" t="n">
        <f aca="false">AH493+AH494+AH495+AH496</f>
        <v>686.947095168987</v>
      </c>
      <c r="AI497" s="8" t="n">
        <f aca="false">AI493+AI494+AI495+AI496</f>
        <v>700.686037072367</v>
      </c>
      <c r="AJ497" s="8" t="n">
        <f aca="false">AJ493+AJ494+AJ495+AJ496</f>
        <v>0</v>
      </c>
      <c r="AK497" s="8" t="n">
        <f aca="false">AK493+AK494+AK495+AK496</f>
        <v>0</v>
      </c>
      <c r="AL497" s="8" t="n">
        <f aca="false">AL493+AL494+AL495+AL496</f>
        <v>0</v>
      </c>
      <c r="AM497" s="8" t="n">
        <f aca="false">AM493+AM494+AM495+AM496</f>
        <v>0</v>
      </c>
      <c r="AN497" s="8" t="n">
        <f aca="false">AN493+AN494+AN495+AN496</f>
        <v>0</v>
      </c>
      <c r="AO497" s="8" t="n">
        <f aca="false">AO493+AO494+AO495+AO496</f>
        <v>0</v>
      </c>
      <c r="AP497" s="8" t="n">
        <f aca="false">AP493+AP494+AP495+AP496</f>
        <v>0</v>
      </c>
      <c r="AQ497" s="8" t="n">
        <f aca="false">AQ493+AQ494+AQ495+AQ496</f>
        <v>0</v>
      </c>
      <c r="AR497" s="8" t="n">
        <f aca="false">AR493+AR494+AR495+AR496</f>
        <v>0</v>
      </c>
      <c r="AS497" s="8" t="n">
        <f aca="false">AS493+AS494+AS495+AS496</f>
        <v>0</v>
      </c>
    </row>
    <row r="498" customFormat="false" ht="15" hidden="false" customHeight="false" outlineLevel="0" collapsed="false">
      <c r="A498" s="6" t="s">
        <v>449</v>
      </c>
      <c r="B498" s="6" t="s">
        <v>450</v>
      </c>
      <c r="C498" s="9" t="n">
        <f aca="false">SUM(G498:AS498)</f>
        <v>0</v>
      </c>
      <c r="G498" s="8" t="n">
        <f aca="false">((CEG_Assets!$K$17*G490+CEG_Assets!$M$17*G$4)*G488*G492+CEG_Assets!$N$17*(1+CEG_Assets!$Q$17)^(G$3-2026)*(G488+G489))/1000000*(1+CEG_FuelAdj)</f>
        <v>0</v>
      </c>
      <c r="H498" s="8" t="n">
        <f aca="false">((CEG_Assets!$K$17*H490+CEG_Assets!$M$17*H$4)*H488*H492+CEG_Assets!$N$17*(1+CEG_Assets!$Q$17)^(H$3-2026)*(H488+H489))/1000000*(1+CEG_FuelAdj)</f>
        <v>0</v>
      </c>
      <c r="I498" s="8" t="n">
        <f aca="false">((CEG_Assets!$K$17*I490+CEG_Assets!$M$17*I$4)*I488*I492+CEG_Assets!$N$17*(1+CEG_Assets!$Q$17)^(I$3-2026)*(I488+I489))/1000000*(1+CEG_FuelAdj)</f>
        <v>0</v>
      </c>
      <c r="J498" s="8" t="n">
        <f aca="false">((CEG_Assets!$K$17*J490+CEG_Assets!$M$17*J$4)*J488*J492+CEG_Assets!$N$17*(1+CEG_Assets!$Q$17)^(J$3-2026)*(J488+J489))/1000000*(1+CEG_FuelAdj)</f>
        <v>0</v>
      </c>
      <c r="K498" s="8" t="n">
        <f aca="false">((CEG_Assets!$K$17*K490+CEG_Assets!$M$17*K$4)*K488*K492+CEG_Assets!$N$17*(1+CEG_Assets!$Q$17)^(K$3-2026)*(K488+K489))/1000000*(1+CEG_FuelAdj)</f>
        <v>0</v>
      </c>
      <c r="L498" s="8" t="n">
        <f aca="false">((CEG_Assets!$K$17*L490+CEG_Assets!$M$17*L$4)*L488*L492+CEG_Assets!$N$17*(1+CEG_Assets!$Q$17)^(L$3-2026)*(L488+L489))/1000000*(1+CEG_FuelAdj)</f>
        <v>0</v>
      </c>
      <c r="M498" s="8" t="n">
        <f aca="false">((CEG_Assets!$K$17*M490+CEG_Assets!$M$17*M$4)*M488*M492+CEG_Assets!$N$17*(1+CEG_Assets!$Q$17)^(M$3-2026)*(M488+M489))/1000000*(1+CEG_FuelAdj)</f>
        <v>0</v>
      </c>
      <c r="N498" s="8" t="n">
        <f aca="false">((CEG_Assets!$K$17*N490+CEG_Assets!$M$17*N$4)*N488*N492+CEG_Assets!$N$17*(1+CEG_Assets!$Q$17)^(N$3-2026)*(N488+N489))/1000000*(1+CEG_FuelAdj)</f>
        <v>0</v>
      </c>
      <c r="O498" s="8" t="n">
        <f aca="false">((CEG_Assets!$K$17*O490+CEG_Assets!$M$17*O$4)*O488*O492+CEG_Assets!$N$17*(1+CEG_Assets!$Q$17)^(O$3-2026)*(O488+O489))/1000000*(1+CEG_FuelAdj)</f>
        <v>0</v>
      </c>
      <c r="P498" s="8" t="n">
        <f aca="false">((CEG_Assets!$K$17*P490+CEG_Assets!$M$17*P$4)*P488*P492+CEG_Assets!$N$17*(1+CEG_Assets!$Q$17)^(P$3-2026)*(P488+P489))/1000000*(1+CEG_FuelAdj)</f>
        <v>0</v>
      </c>
      <c r="Q498" s="8" t="n">
        <f aca="false">((CEG_Assets!$K$17*Q490+CEG_Assets!$M$17*Q$4)*Q488*Q492+CEG_Assets!$N$17*(1+CEG_Assets!$Q$17)^(Q$3-2026)*(Q488+Q489))/1000000*(1+CEG_FuelAdj)</f>
        <v>0</v>
      </c>
      <c r="R498" s="8" t="n">
        <f aca="false">((CEG_Assets!$K$17*R490+CEG_Assets!$M$17*R$4)*R488*R492+CEG_Assets!$N$17*(1+CEG_Assets!$Q$17)^(R$3-2026)*(R488+R489))/1000000*(1+CEG_FuelAdj)</f>
        <v>0</v>
      </c>
      <c r="S498" s="8" t="n">
        <f aca="false">((CEG_Assets!$K$17*S490+CEG_Assets!$M$17*S$4)*S488*S492+CEG_Assets!$N$17*(1+CEG_Assets!$Q$17)^(S$3-2026)*(S488+S489))/1000000*(1+CEG_FuelAdj)</f>
        <v>0</v>
      </c>
      <c r="T498" s="8" t="n">
        <f aca="false">((CEG_Assets!$K$17*T490+CEG_Assets!$M$17*T$4)*T488*T492+CEG_Assets!$N$17*(1+CEG_Assets!$Q$17)^(T$3-2026)*(T488+T489))/1000000*(1+CEG_FuelAdj)</f>
        <v>0</v>
      </c>
      <c r="U498" s="8" t="n">
        <f aca="false">((CEG_Assets!$K$17*U490+CEG_Assets!$M$17*U$4)*U488*U492+CEG_Assets!$N$17*(1+CEG_Assets!$Q$17)^(U$3-2026)*(U488+U489))/1000000*(1+CEG_FuelAdj)</f>
        <v>0</v>
      </c>
      <c r="V498" s="8" t="n">
        <f aca="false">((CEG_Assets!$K$17*V490+CEG_Assets!$M$17*V$4)*V488*V492+CEG_Assets!$N$17*(1+CEG_Assets!$Q$17)^(V$3-2026)*(V488+V489))/1000000*(1+CEG_FuelAdj)</f>
        <v>0</v>
      </c>
      <c r="W498" s="8" t="n">
        <f aca="false">((CEG_Assets!$K$17*W490+CEG_Assets!$M$17*W$4)*W488*W492+CEG_Assets!$N$17*(1+CEG_Assets!$Q$17)^(W$3-2026)*(W488+W489))/1000000*(1+CEG_FuelAdj)</f>
        <v>0</v>
      </c>
      <c r="X498" s="8" t="n">
        <f aca="false">((CEG_Assets!$K$17*X490+CEG_Assets!$M$17*X$4)*X488*X492+CEG_Assets!$N$17*(1+CEG_Assets!$Q$17)^(X$3-2026)*(X488+X489))/1000000*(1+CEG_FuelAdj)</f>
        <v>0</v>
      </c>
      <c r="Y498" s="8" t="n">
        <f aca="false">((CEG_Assets!$K$17*Y490+CEG_Assets!$M$17*Y$4)*Y488*Y492+CEG_Assets!$N$17*(1+CEG_Assets!$Q$17)^(Y$3-2026)*(Y488+Y489))/1000000*(1+CEG_FuelAdj)</f>
        <v>0</v>
      </c>
      <c r="Z498" s="8" t="n">
        <f aca="false">((CEG_Assets!$K$17*Z490+CEG_Assets!$M$17*Z$4)*Z488*Z492+CEG_Assets!$N$17*(1+CEG_Assets!$Q$17)^(Z$3-2026)*(Z488+Z489))/1000000*(1+CEG_FuelAdj)</f>
        <v>0</v>
      </c>
      <c r="AA498" s="8" t="n">
        <f aca="false">((CEG_Assets!$K$17*AA490+CEG_Assets!$M$17*AA$4)*AA488*AA492+CEG_Assets!$N$17*(1+CEG_Assets!$Q$17)^(AA$3-2026)*(AA488+AA489))/1000000*(1+CEG_FuelAdj)</f>
        <v>0</v>
      </c>
      <c r="AB498" s="8" t="n">
        <f aca="false">((CEG_Assets!$K$17*AB490+CEG_Assets!$M$17*AB$4)*AB488*AB492+CEG_Assets!$N$17*(1+CEG_Assets!$Q$17)^(AB$3-2026)*(AB488+AB489))/1000000*(1+CEG_FuelAdj)</f>
        <v>0</v>
      </c>
      <c r="AC498" s="8" t="n">
        <f aca="false">((CEG_Assets!$K$17*AC490+CEG_Assets!$M$17*AC$4)*AC488*AC492+CEG_Assets!$N$17*(1+CEG_Assets!$Q$17)^(AC$3-2026)*(AC488+AC489))/1000000*(1+CEG_FuelAdj)</f>
        <v>0</v>
      </c>
      <c r="AD498" s="8" t="n">
        <f aca="false">((CEG_Assets!$K$17*AD490+CEG_Assets!$M$17*AD$4)*AD488*AD492+CEG_Assets!$N$17*(1+CEG_Assets!$Q$17)^(AD$3-2026)*(AD488+AD489))/1000000*(1+CEG_FuelAdj)</f>
        <v>0</v>
      </c>
      <c r="AE498" s="8" t="n">
        <f aca="false">((CEG_Assets!$K$17*AE490+CEG_Assets!$M$17*AE$4)*AE488*AE492+CEG_Assets!$N$17*(1+CEG_Assets!$Q$17)^(AE$3-2026)*(AE488+AE489))/1000000*(1+CEG_FuelAdj)</f>
        <v>0</v>
      </c>
      <c r="AF498" s="8" t="n">
        <f aca="false">((CEG_Assets!$K$17*AF490+CEG_Assets!$M$17*AF$4)*AF488*AF492+CEG_Assets!$N$17*(1+CEG_Assets!$Q$17)^(AF$3-2026)*(AF488+AF489))/1000000*(1+CEG_FuelAdj)</f>
        <v>0</v>
      </c>
      <c r="AG498" s="8" t="n">
        <f aca="false">((CEG_Assets!$K$17*AG490+CEG_Assets!$M$17*AG$4)*AG488*AG492+CEG_Assets!$N$17*(1+CEG_Assets!$Q$17)^(AG$3-2026)*(AG488+AG489))/1000000*(1+CEG_FuelAdj)</f>
        <v>0</v>
      </c>
      <c r="AH498" s="8" t="n">
        <f aca="false">((CEG_Assets!$K$17*AH490+CEG_Assets!$M$17*AH$4)*AH488*AH492+CEG_Assets!$N$17*(1+CEG_Assets!$Q$17)^(AH$3-2026)*(AH488+AH489))/1000000*(1+CEG_FuelAdj)</f>
        <v>0</v>
      </c>
      <c r="AI498" s="8" t="n">
        <f aca="false">((CEG_Assets!$K$17*AI490+CEG_Assets!$M$17*AI$4)*AI488*AI492+CEG_Assets!$N$17*(1+CEG_Assets!$Q$17)^(AI$3-2026)*(AI488+AI489))/1000000*(1+CEG_FuelAdj)</f>
        <v>0</v>
      </c>
      <c r="AJ498" s="8" t="n">
        <f aca="false">((CEG_Assets!$K$17*AJ490+CEG_Assets!$M$17*AJ$4)*AJ488*AJ492+CEG_Assets!$N$17*(1+CEG_Assets!$Q$17)^(AJ$3-2026)*(AJ488+AJ489))/1000000*(1+CEG_FuelAdj)</f>
        <v>0</v>
      </c>
      <c r="AK498" s="8" t="n">
        <f aca="false">((CEG_Assets!$K$17*AK490+CEG_Assets!$M$17*AK$4)*AK488*AK492+CEG_Assets!$N$17*(1+CEG_Assets!$Q$17)^(AK$3-2026)*(AK488+AK489))/1000000*(1+CEG_FuelAdj)</f>
        <v>0</v>
      </c>
      <c r="AL498" s="8" t="n">
        <f aca="false">((CEG_Assets!$K$17*AL490+CEG_Assets!$M$17*AL$4)*AL488*AL492+CEG_Assets!$N$17*(1+CEG_Assets!$Q$17)^(AL$3-2026)*(AL488+AL489))/1000000*(1+CEG_FuelAdj)</f>
        <v>0</v>
      </c>
      <c r="AM498" s="8" t="n">
        <f aca="false">((CEG_Assets!$K$17*AM490+CEG_Assets!$M$17*AM$4)*AM488*AM492+CEG_Assets!$N$17*(1+CEG_Assets!$Q$17)^(AM$3-2026)*(AM488+AM489))/1000000*(1+CEG_FuelAdj)</f>
        <v>0</v>
      </c>
      <c r="AN498" s="8" t="n">
        <f aca="false">((CEG_Assets!$K$17*AN490+CEG_Assets!$M$17*AN$4)*AN488*AN492+CEG_Assets!$N$17*(1+CEG_Assets!$Q$17)^(AN$3-2026)*(AN488+AN489))/1000000*(1+CEG_FuelAdj)</f>
        <v>0</v>
      </c>
      <c r="AO498" s="8" t="n">
        <f aca="false">((CEG_Assets!$K$17*AO490+CEG_Assets!$M$17*AO$4)*AO488*AO492+CEG_Assets!$N$17*(1+CEG_Assets!$Q$17)^(AO$3-2026)*(AO488+AO489))/1000000*(1+CEG_FuelAdj)</f>
        <v>0</v>
      </c>
      <c r="AP498" s="8" t="n">
        <f aca="false">((CEG_Assets!$K$17*AP490+CEG_Assets!$M$17*AP$4)*AP488*AP492+CEG_Assets!$N$17*(1+CEG_Assets!$Q$17)^(AP$3-2026)*(AP488+AP489))/1000000*(1+CEG_FuelAdj)</f>
        <v>0</v>
      </c>
      <c r="AQ498" s="8" t="n">
        <f aca="false">((CEG_Assets!$K$17*AQ490+CEG_Assets!$M$17*AQ$4)*AQ488*AQ492+CEG_Assets!$N$17*(1+CEG_Assets!$Q$17)^(AQ$3-2026)*(AQ488+AQ489))/1000000*(1+CEG_FuelAdj)</f>
        <v>0</v>
      </c>
      <c r="AR498" s="8" t="n">
        <f aca="false">((CEG_Assets!$K$17*AR490+CEG_Assets!$M$17*AR$4)*AR488*AR492+CEG_Assets!$N$17*(1+CEG_Assets!$Q$17)^(AR$3-2026)*(AR488+AR489))/1000000*(1+CEG_FuelAdj)</f>
        <v>0</v>
      </c>
      <c r="AS498" s="8" t="n">
        <f aca="false">((CEG_Assets!$K$17*AS490+CEG_Assets!$M$17*AS$4)*AS488*AS492+CEG_Assets!$N$17*(1+CEG_Assets!$Q$17)^(AS$3-2026)*(AS488+AS489))/1000000*(1+CEG_FuelAdj)</f>
        <v>0</v>
      </c>
    </row>
    <row r="499" customFormat="false" ht="15" hidden="false" customHeight="false" outlineLevel="0" collapsed="false">
      <c r="A499" s="6" t="s">
        <v>451</v>
      </c>
      <c r="B499" s="6" t="s">
        <v>452</v>
      </c>
      <c r="C499" s="9" t="n">
        <f aca="false">SUM(G499:AS499)</f>
        <v>15958.5079512923</v>
      </c>
      <c r="G499" s="8" t="n">
        <f aca="false">G497-G498</f>
        <v>474.6825</v>
      </c>
      <c r="H499" s="8" t="n">
        <f aca="false">H497-H498</f>
        <v>474.6825</v>
      </c>
      <c r="I499" s="8" t="n">
        <f aca="false">I497-I498</f>
        <v>474.6825</v>
      </c>
      <c r="J499" s="8" t="n">
        <f aca="false">J497-J498</f>
        <v>474.6825</v>
      </c>
      <c r="K499" s="8" t="n">
        <f aca="false">K497-K498</f>
        <v>474.6825</v>
      </c>
      <c r="L499" s="8" t="n">
        <f aca="false">L497-L498</f>
        <v>474.6825</v>
      </c>
      <c r="M499" s="8" t="n">
        <f aca="false">M497-M498</f>
        <v>474.6825</v>
      </c>
      <c r="N499" s="8" t="n">
        <f aca="false">N497-N498</f>
        <v>474.6825</v>
      </c>
      <c r="O499" s="8" t="n">
        <f aca="false">O497-O498</f>
        <v>474.6825</v>
      </c>
      <c r="P499" s="8" t="n">
        <f aca="false">P497-P498</f>
        <v>480.972448787968</v>
      </c>
      <c r="Q499" s="8" t="n">
        <f aca="false">Q497-Q498</f>
        <v>490.591897763728</v>
      </c>
      <c r="R499" s="8" t="n">
        <f aca="false">R497-R498</f>
        <v>500.403735719002</v>
      </c>
      <c r="S499" s="8" t="n">
        <f aca="false">S497-S498</f>
        <v>510.411810433382</v>
      </c>
      <c r="T499" s="8" t="n">
        <f aca="false">T497-T498</f>
        <v>520.62004664205</v>
      </c>
      <c r="U499" s="8" t="n">
        <f aca="false">U497-U498</f>
        <v>531.032447574891</v>
      </c>
      <c r="V499" s="8" t="n">
        <f aca="false">V497-V498</f>
        <v>541.653096526389</v>
      </c>
      <c r="W499" s="8" t="n">
        <f aca="false">W497-W498</f>
        <v>552.486158456917</v>
      </c>
      <c r="X499" s="8" t="n">
        <f aca="false">X497-X498</f>
        <v>563.535881626055</v>
      </c>
      <c r="Y499" s="8" t="n">
        <f aca="false">Y497-Y498</f>
        <v>574.806599258576</v>
      </c>
      <c r="Z499" s="8" t="n">
        <f aca="false">Z497-Z498</f>
        <v>586.302731243748</v>
      </c>
      <c r="AA499" s="8" t="n">
        <f aca="false">AA497-AA498</f>
        <v>598.028785868623</v>
      </c>
      <c r="AB499" s="8" t="n">
        <f aca="false">AB497-AB498</f>
        <v>609.989361585995</v>
      </c>
      <c r="AC499" s="8" t="n">
        <f aca="false">AC497-AC498</f>
        <v>622.189148817715</v>
      </c>
      <c r="AD499" s="8" t="n">
        <f aca="false">AD497-AD498</f>
        <v>634.632931794069</v>
      </c>
      <c r="AE499" s="8" t="n">
        <f aca="false">AE497-AE498</f>
        <v>647.325590429951</v>
      </c>
      <c r="AF499" s="8" t="n">
        <f aca="false">AF497-AF498</f>
        <v>660.27210223855</v>
      </c>
      <c r="AG499" s="8" t="n">
        <f aca="false">AG497-AG498</f>
        <v>673.477544283321</v>
      </c>
      <c r="AH499" s="8" t="n">
        <f aca="false">AH497-AH498</f>
        <v>686.947095168987</v>
      </c>
      <c r="AI499" s="8" t="n">
        <f aca="false">AI497-AI498</f>
        <v>700.686037072367</v>
      </c>
      <c r="AJ499" s="8" t="n">
        <f aca="false">AJ497-AJ498</f>
        <v>0</v>
      </c>
      <c r="AK499" s="8" t="n">
        <f aca="false">AK497-AK498</f>
        <v>0</v>
      </c>
      <c r="AL499" s="8" t="n">
        <f aca="false">AL497-AL498</f>
        <v>0</v>
      </c>
      <c r="AM499" s="8" t="n">
        <f aca="false">AM497-AM498</f>
        <v>0</v>
      </c>
      <c r="AN499" s="8" t="n">
        <f aca="false">AN497-AN498</f>
        <v>0</v>
      </c>
      <c r="AO499" s="8" t="n">
        <f aca="false">AO497-AO498</f>
        <v>0</v>
      </c>
      <c r="AP499" s="8" t="n">
        <f aca="false">AP497-AP498</f>
        <v>0</v>
      </c>
      <c r="AQ499" s="8" t="n">
        <f aca="false">AQ497-AQ498</f>
        <v>0</v>
      </c>
      <c r="AR499" s="8" t="n">
        <f aca="false">AR497-AR498</f>
        <v>0</v>
      </c>
      <c r="AS499" s="8" t="n">
        <f aca="false">AS497-AS498</f>
        <v>0</v>
      </c>
    </row>
    <row r="500" customFormat="false" ht="15" hidden="false" customHeight="false" outlineLevel="0" collapsed="false">
      <c r="A500" s="6" t="s">
        <v>453</v>
      </c>
      <c r="B500" s="6" t="s">
        <v>454</v>
      </c>
      <c r="C500" s="9" t="n">
        <f aca="false">SUM(G500:AS500)</f>
        <v>9104.42554098103</v>
      </c>
      <c r="G500" s="8" t="n">
        <f aca="false">(CEG_Assets!$R$17*CEG_Assets!$D$17*1000*G$4*G486+CEG_Assets!$O$17*(1+CEG_Assets!$Q$17)^(G$3-2026)*(G488+G489))/1000000*(1+CEG_OMAdj)</f>
        <v>217.516275</v>
      </c>
      <c r="H500" s="8" t="n">
        <f aca="false">(CEG_Assets!$R$17*CEG_Assets!$D$17*1000*H$4*H486+CEG_Assets!$O$17*(1+CEG_Assets!$Q$17)^(H$3-2026)*(H488+H489))/1000000*(1+CEG_OMAdj)</f>
        <v>222.954181875</v>
      </c>
      <c r="I500" s="8" t="n">
        <f aca="false">(CEG_Assets!$R$17*CEG_Assets!$D$17*1000*I$4*I486+CEG_Assets!$O$17*(1+CEG_Assets!$Q$17)^(I$3-2026)*(I488+I489))/1000000*(1+CEG_OMAdj)</f>
        <v>228.528036421875</v>
      </c>
      <c r="J500" s="8" t="n">
        <f aca="false">(CEG_Assets!$R$17*CEG_Assets!$D$17*1000*J$4*J486+CEG_Assets!$O$17*(1+CEG_Assets!$Q$17)^(J$3-2026)*(J488+J489))/1000000*(1+CEG_OMAdj)</f>
        <v>234.241237332422</v>
      </c>
      <c r="K500" s="8" t="n">
        <f aca="false">(CEG_Assets!$R$17*CEG_Assets!$D$17*1000*K$4*K486+CEG_Assets!$O$17*(1+CEG_Assets!$Q$17)^(K$3-2026)*(K488+K489))/1000000*(1+CEG_OMAdj)</f>
        <v>240.097268265732</v>
      </c>
      <c r="L500" s="8" t="n">
        <f aca="false">(CEG_Assets!$R$17*CEG_Assets!$D$17*1000*L$4*L486+CEG_Assets!$O$17*(1+CEG_Assets!$Q$17)^(L$3-2026)*(L488+L489))/1000000*(1+CEG_OMAdj)</f>
        <v>246.099699972376</v>
      </c>
      <c r="M500" s="8" t="n">
        <f aca="false">(CEG_Assets!$R$17*CEG_Assets!$D$17*1000*M$4*M486+CEG_Assets!$O$17*(1+CEG_Assets!$Q$17)^(M$3-2026)*(M488+M489))/1000000*(1+CEG_OMAdj)</f>
        <v>252.252192471685</v>
      </c>
      <c r="N500" s="8" t="n">
        <f aca="false">(CEG_Assets!$R$17*CEG_Assets!$D$17*1000*N$4*N486+CEG_Assets!$O$17*(1+CEG_Assets!$Q$17)^(N$3-2026)*(N488+N489))/1000000*(1+CEG_OMAdj)</f>
        <v>258.558497283477</v>
      </c>
      <c r="O500" s="8" t="n">
        <f aca="false">(CEG_Assets!$R$17*CEG_Assets!$D$17*1000*O$4*O486+CEG_Assets!$O$17*(1+CEG_Assets!$Q$17)^(O$3-2026)*(O488+O489))/1000000*(1+CEG_OMAdj)</f>
        <v>265.022459715564</v>
      </c>
      <c r="P500" s="8" t="n">
        <f aca="false">(CEG_Assets!$R$17*CEG_Assets!$D$17*1000*P$4*P486+CEG_Assets!$O$17*(1+CEG_Assets!$Q$17)^(P$3-2026)*(P488+P489))/1000000*(1+CEG_OMAdj)</f>
        <v>271.648021208453</v>
      </c>
      <c r="Q500" s="8" t="n">
        <f aca="false">(CEG_Assets!$R$17*CEG_Assets!$D$17*1000*Q$4*Q486+CEG_Assets!$O$17*(1+CEG_Assets!$Q$17)^(Q$3-2026)*(Q488+Q489))/1000000*(1+CEG_OMAdj)</f>
        <v>278.439221738664</v>
      </c>
      <c r="R500" s="8" t="n">
        <f aca="false">(CEG_Assets!$R$17*CEG_Assets!$D$17*1000*R$4*R486+CEG_Assets!$O$17*(1+CEG_Assets!$Q$17)^(R$3-2026)*(R488+R489))/1000000*(1+CEG_OMAdj)</f>
        <v>285.400202282131</v>
      </c>
      <c r="S500" s="8" t="n">
        <f aca="false">(CEG_Assets!$R$17*CEG_Assets!$D$17*1000*S$4*S486+CEG_Assets!$O$17*(1+CEG_Assets!$Q$17)^(S$3-2026)*(S488+S489))/1000000*(1+CEG_OMAdj)</f>
        <v>292.535207339184</v>
      </c>
      <c r="T500" s="8" t="n">
        <f aca="false">(CEG_Assets!$R$17*CEG_Assets!$D$17*1000*T$4*T486+CEG_Assets!$O$17*(1+CEG_Assets!$Q$17)^(T$3-2026)*(T488+T489))/1000000*(1+CEG_OMAdj)</f>
        <v>299.848587522664</v>
      </c>
      <c r="U500" s="8" t="n">
        <f aca="false">(CEG_Assets!$R$17*CEG_Assets!$D$17*1000*U$4*U486+CEG_Assets!$O$17*(1+CEG_Assets!$Q$17)^(U$3-2026)*(U488+U489))/1000000*(1+CEG_OMAdj)</f>
        <v>307.34480221073</v>
      </c>
      <c r="V500" s="8" t="n">
        <f aca="false">(CEG_Assets!$R$17*CEG_Assets!$D$17*1000*V$4*V486+CEG_Assets!$O$17*(1+CEG_Assets!$Q$17)^(V$3-2026)*(V488+V489))/1000000*(1+CEG_OMAdj)</f>
        <v>315.028422265999</v>
      </c>
      <c r="W500" s="8" t="n">
        <f aca="false">(CEG_Assets!$R$17*CEG_Assets!$D$17*1000*W$4*W486+CEG_Assets!$O$17*(1+CEG_Assets!$Q$17)^(W$3-2026)*(W488+W489))/1000000*(1+CEG_OMAdj)</f>
        <v>322.904132822649</v>
      </c>
      <c r="X500" s="8" t="n">
        <f aca="false">(CEG_Assets!$R$17*CEG_Assets!$D$17*1000*X$4*X486+CEG_Assets!$O$17*(1+CEG_Assets!$Q$17)^(X$3-2026)*(X488+X489))/1000000*(1+CEG_OMAdj)</f>
        <v>330.976736143215</v>
      </c>
      <c r="Y500" s="8" t="n">
        <f aca="false">(CEG_Assets!$R$17*CEG_Assets!$D$17*1000*Y$4*Y486+CEG_Assets!$O$17*(1+CEG_Assets!$Q$17)^(Y$3-2026)*(Y488+Y489))/1000000*(1+CEG_OMAdj)</f>
        <v>339.251154546795</v>
      </c>
      <c r="Z500" s="8" t="n">
        <f aca="false">(CEG_Assets!$R$17*CEG_Assets!$D$17*1000*Z$4*Z486+CEG_Assets!$O$17*(1+CEG_Assets!$Q$17)^(Z$3-2026)*(Z488+Z489))/1000000*(1+CEG_OMAdj)</f>
        <v>347.732433410465</v>
      </c>
      <c r="AA500" s="8" t="n">
        <f aca="false">(CEG_Assets!$R$17*CEG_Assets!$D$17*1000*AA$4*AA486+CEG_Assets!$O$17*(1+CEG_Assets!$Q$17)^(AA$3-2026)*(AA488+AA489))/1000000*(1+CEG_OMAdj)</f>
        <v>356.425744245727</v>
      </c>
      <c r="AB500" s="8" t="n">
        <f aca="false">(CEG_Assets!$R$17*CEG_Assets!$D$17*1000*AB$4*AB486+CEG_Assets!$O$17*(1+CEG_Assets!$Q$17)^(AB$3-2026)*(AB488+AB489))/1000000*(1+CEG_OMAdj)</f>
        <v>365.33638785187</v>
      </c>
      <c r="AC500" s="8" t="n">
        <f aca="false">(CEG_Assets!$R$17*CEG_Assets!$D$17*1000*AC$4*AC486+CEG_Assets!$O$17*(1+CEG_Assets!$Q$17)^(AC$3-2026)*(AC488+AC489))/1000000*(1+CEG_OMAdj)</f>
        <v>374.469797548166</v>
      </c>
      <c r="AD500" s="8" t="n">
        <f aca="false">(CEG_Assets!$R$17*CEG_Assets!$D$17*1000*AD$4*AD486+CEG_Assets!$O$17*(1+CEG_Assets!$Q$17)^(AD$3-2026)*(AD488+AD489))/1000000*(1+CEG_OMAdj)</f>
        <v>383.83154248687</v>
      </c>
      <c r="AE500" s="8" t="n">
        <f aca="false">(CEG_Assets!$R$17*CEG_Assets!$D$17*1000*AE$4*AE486+CEG_Assets!$O$17*(1+CEG_Assets!$Q$17)^(AE$3-2026)*(AE488+AE489))/1000000*(1+CEG_OMAdj)</f>
        <v>393.427331049042</v>
      </c>
      <c r="AF500" s="8" t="n">
        <f aca="false">(CEG_Assets!$R$17*CEG_Assets!$D$17*1000*AF$4*AF486+CEG_Assets!$O$17*(1+CEG_Assets!$Q$17)^(AF$3-2026)*(AF488+AF489))/1000000*(1+CEG_OMAdj)</f>
        <v>403.263014325268</v>
      </c>
      <c r="AG500" s="8" t="n">
        <f aca="false">(CEG_Assets!$R$17*CEG_Assets!$D$17*1000*AG$4*AG486+CEG_Assets!$O$17*(1+CEG_Assets!$Q$17)^(AG$3-2026)*(AG488+AG489))/1000000*(1+CEG_OMAdj)</f>
        <v>413.3445896834</v>
      </c>
      <c r="AH500" s="8" t="n">
        <f aca="false">(CEG_Assets!$R$17*CEG_Assets!$D$17*1000*AH$4*AH486+CEG_Assets!$O$17*(1+CEG_Assets!$Q$17)^(AH$3-2026)*(AH488+AH489))/1000000*(1+CEG_OMAdj)</f>
        <v>423.678204425485</v>
      </c>
      <c r="AI500" s="8" t="n">
        <f aca="false">(CEG_Assets!$R$17*CEG_Assets!$D$17*1000*AI$4*AI486+CEG_Assets!$O$17*(1+CEG_Assets!$Q$17)^(AI$3-2026)*(AI488+AI489))/1000000*(1+CEG_OMAdj)</f>
        <v>434.270159536122</v>
      </c>
      <c r="AJ500" s="8" t="n">
        <f aca="false">(CEG_Assets!$R$17*CEG_Assets!$D$17*1000*AJ$4*AJ486+CEG_Assets!$O$17*(1+CEG_Assets!$Q$17)^(AJ$3-2026)*(AJ488+AJ489))/1000000*(1+CEG_OMAdj)</f>
        <v>0</v>
      </c>
      <c r="AK500" s="8" t="n">
        <f aca="false">(CEG_Assets!$R$17*CEG_Assets!$D$17*1000*AK$4*AK486+CEG_Assets!$O$17*(1+CEG_Assets!$Q$17)^(AK$3-2026)*(AK488+AK489))/1000000*(1+CEG_OMAdj)</f>
        <v>0</v>
      </c>
      <c r="AL500" s="8" t="n">
        <f aca="false">(CEG_Assets!$R$17*CEG_Assets!$D$17*1000*AL$4*AL486+CEG_Assets!$O$17*(1+CEG_Assets!$Q$17)^(AL$3-2026)*(AL488+AL489))/1000000*(1+CEG_OMAdj)</f>
        <v>0</v>
      </c>
      <c r="AM500" s="8" t="n">
        <f aca="false">(CEG_Assets!$R$17*CEG_Assets!$D$17*1000*AM$4*AM486+CEG_Assets!$O$17*(1+CEG_Assets!$Q$17)^(AM$3-2026)*(AM488+AM489))/1000000*(1+CEG_OMAdj)</f>
        <v>0</v>
      </c>
      <c r="AN500" s="8" t="n">
        <f aca="false">(CEG_Assets!$R$17*CEG_Assets!$D$17*1000*AN$4*AN486+CEG_Assets!$O$17*(1+CEG_Assets!$Q$17)^(AN$3-2026)*(AN488+AN489))/1000000*(1+CEG_OMAdj)</f>
        <v>0</v>
      </c>
      <c r="AO500" s="8" t="n">
        <f aca="false">(CEG_Assets!$R$17*CEG_Assets!$D$17*1000*AO$4*AO486+CEG_Assets!$O$17*(1+CEG_Assets!$Q$17)^(AO$3-2026)*(AO488+AO489))/1000000*(1+CEG_OMAdj)</f>
        <v>0</v>
      </c>
      <c r="AP500" s="8" t="n">
        <f aca="false">(CEG_Assets!$R$17*CEG_Assets!$D$17*1000*AP$4*AP486+CEG_Assets!$O$17*(1+CEG_Assets!$Q$17)^(AP$3-2026)*(AP488+AP489))/1000000*(1+CEG_OMAdj)</f>
        <v>0</v>
      </c>
      <c r="AQ500" s="8" t="n">
        <f aca="false">(CEG_Assets!$R$17*CEG_Assets!$D$17*1000*AQ$4*AQ486+CEG_Assets!$O$17*(1+CEG_Assets!$Q$17)^(AQ$3-2026)*(AQ488+AQ489))/1000000*(1+CEG_OMAdj)</f>
        <v>0</v>
      </c>
      <c r="AR500" s="8" t="n">
        <f aca="false">(CEG_Assets!$R$17*CEG_Assets!$D$17*1000*AR$4*AR486+CEG_Assets!$O$17*(1+CEG_Assets!$Q$17)^(AR$3-2026)*(AR488+AR489))/1000000*(1+CEG_OMAdj)</f>
        <v>0</v>
      </c>
      <c r="AS500" s="8" t="n">
        <f aca="false">(CEG_Assets!$R$17*CEG_Assets!$D$17*1000*AS$4*AS486+CEG_Assets!$O$17*(1+CEG_Assets!$Q$17)^(AS$3-2026)*(AS488+AS489))/1000000*(1+CEG_OMAdj)</f>
        <v>0</v>
      </c>
    </row>
    <row r="501" customFormat="false" ht="15" hidden="false" customHeight="false" outlineLevel="0" collapsed="false">
      <c r="A501" s="6" t="s">
        <v>455</v>
      </c>
      <c r="B501" s="6" t="s">
        <v>456</v>
      </c>
      <c r="C501" s="9" t="n">
        <f aca="false">SUM(G501:AS501)</f>
        <v>6854.08241031126</v>
      </c>
      <c r="G501" s="8" t="n">
        <f aca="false">G499-G500</f>
        <v>257.166225</v>
      </c>
      <c r="H501" s="8" t="n">
        <f aca="false">H499-H500</f>
        <v>251.728318125</v>
      </c>
      <c r="I501" s="8" t="n">
        <f aca="false">I499-I500</f>
        <v>246.154463578125</v>
      </c>
      <c r="J501" s="8" t="n">
        <f aca="false">J499-J500</f>
        <v>240.441262667578</v>
      </c>
      <c r="K501" s="8" t="n">
        <f aca="false">K499-K500</f>
        <v>234.585231734268</v>
      </c>
      <c r="L501" s="8" t="n">
        <f aca="false">L499-L500</f>
        <v>228.582800027624</v>
      </c>
      <c r="M501" s="8" t="n">
        <f aca="false">M499-M500</f>
        <v>222.430307528315</v>
      </c>
      <c r="N501" s="8" t="n">
        <f aca="false">N499-N500</f>
        <v>216.124002716523</v>
      </c>
      <c r="O501" s="8" t="n">
        <f aca="false">O499-O500</f>
        <v>209.660040284436</v>
      </c>
      <c r="P501" s="8" t="n">
        <f aca="false">P499-P500</f>
        <v>209.324427579515</v>
      </c>
      <c r="Q501" s="8" t="n">
        <f aca="false">Q499-Q500</f>
        <v>212.152676025063</v>
      </c>
      <c r="R501" s="8" t="n">
        <f aca="false">R499-R500</f>
        <v>215.003533436871</v>
      </c>
      <c r="S501" s="8" t="n">
        <f aca="false">S499-S500</f>
        <v>217.876603094198</v>
      </c>
      <c r="T501" s="8" t="n">
        <f aca="false">T499-T500</f>
        <v>220.771459119386</v>
      </c>
      <c r="U501" s="8" t="n">
        <f aca="false">U499-U500</f>
        <v>223.687645364161</v>
      </c>
      <c r="V501" s="8" t="n">
        <f aca="false">V499-V500</f>
        <v>226.62467426039</v>
      </c>
      <c r="W501" s="8" t="n">
        <f aca="false">W499-W500</f>
        <v>229.582025634268</v>
      </c>
      <c r="X501" s="8" t="n">
        <f aca="false">X499-X500</f>
        <v>232.559145482841</v>
      </c>
      <c r="Y501" s="8" t="n">
        <f aca="false">Y499-Y500</f>
        <v>235.555444711781</v>
      </c>
      <c r="Z501" s="8" t="n">
        <f aca="false">Z499-Z500</f>
        <v>238.570297833283</v>
      </c>
      <c r="AA501" s="8" t="n">
        <f aca="false">AA499-AA500</f>
        <v>241.603041622896</v>
      </c>
      <c r="AB501" s="8" t="n">
        <f aca="false">AB499-AB500</f>
        <v>244.652973734126</v>
      </c>
      <c r="AC501" s="8" t="n">
        <f aca="false">AC499-AC500</f>
        <v>247.719351269549</v>
      </c>
      <c r="AD501" s="8" t="n">
        <f aca="false">AD499-AD500</f>
        <v>250.801389307199</v>
      </c>
      <c r="AE501" s="8" t="n">
        <f aca="false">AE499-AE500</f>
        <v>253.898259380909</v>
      </c>
      <c r="AF501" s="8" t="n">
        <f aca="false">AF499-AF500</f>
        <v>257.009087913282</v>
      </c>
      <c r="AG501" s="8" t="n">
        <f aca="false">AG499-AG500</f>
        <v>260.132954599921</v>
      </c>
      <c r="AH501" s="8" t="n">
        <f aca="false">AH499-AH500</f>
        <v>263.268890743503</v>
      </c>
      <c r="AI501" s="8" t="n">
        <f aca="false">AI499-AI500</f>
        <v>266.415877536245</v>
      </c>
      <c r="AJ501" s="8" t="n">
        <f aca="false">AJ499-AJ500</f>
        <v>0</v>
      </c>
      <c r="AK501" s="8" t="n">
        <f aca="false">AK499-AK500</f>
        <v>0</v>
      </c>
      <c r="AL501" s="8" t="n">
        <f aca="false">AL499-AL500</f>
        <v>0</v>
      </c>
      <c r="AM501" s="8" t="n">
        <f aca="false">AM499-AM500</f>
        <v>0</v>
      </c>
      <c r="AN501" s="8" t="n">
        <f aca="false">AN499-AN500</f>
        <v>0</v>
      </c>
      <c r="AO501" s="8" t="n">
        <f aca="false">AO499-AO500</f>
        <v>0</v>
      </c>
      <c r="AP501" s="8" t="n">
        <f aca="false">AP499-AP500</f>
        <v>0</v>
      </c>
      <c r="AQ501" s="8" t="n">
        <f aca="false">AQ499-AQ500</f>
        <v>0</v>
      </c>
      <c r="AR501" s="8" t="n">
        <f aca="false">AR499-AR500</f>
        <v>0</v>
      </c>
      <c r="AS501" s="8" t="n">
        <f aca="false">AS499-AS500</f>
        <v>0</v>
      </c>
    </row>
    <row r="502" customFormat="false" ht="15" hidden="false" customHeight="false" outlineLevel="0" collapsed="false">
      <c r="A502" s="6" t="s">
        <v>457</v>
      </c>
      <c r="B502" s="6" t="s">
        <v>458</v>
      </c>
      <c r="C502" s="9" t="n">
        <f aca="false">SUM(G502:AS502)</f>
        <v>0</v>
      </c>
      <c r="G502" s="8" t="n">
        <f aca="false">((CEG_Assets!$S$17*CEG_Assets!$D$17*1000*G$4*G486+CEG_Assets!$P$17*(1+CEG_Assets!$Q$17)^(G$3-2026)*(G488+G489))/1000000+IF(G$3=CEG_Assets!$AH$17,CEG_Assets!$AG$17,0))*(1+CEG_CapexAdj)</f>
        <v>0</v>
      </c>
      <c r="H502" s="8" t="n">
        <f aca="false">((CEG_Assets!$S$17*CEG_Assets!$D$17*1000*H$4*H486+CEG_Assets!$P$17*(1+CEG_Assets!$Q$17)^(H$3-2026)*(H488+H489))/1000000+IF(H$3=CEG_Assets!$AH$17,CEG_Assets!$AG$17,0))*(1+CEG_CapexAdj)</f>
        <v>0</v>
      </c>
      <c r="I502" s="8" t="n">
        <f aca="false">((CEG_Assets!$S$17*CEG_Assets!$D$17*1000*I$4*I486+CEG_Assets!$P$17*(1+CEG_Assets!$Q$17)^(I$3-2026)*(I488+I489))/1000000+IF(I$3=CEG_Assets!$AH$17,CEG_Assets!$AG$17,0))*(1+CEG_CapexAdj)</f>
        <v>0</v>
      </c>
      <c r="J502" s="8" t="n">
        <f aca="false">((CEG_Assets!$S$17*CEG_Assets!$D$17*1000*J$4*J486+CEG_Assets!$P$17*(1+CEG_Assets!$Q$17)^(J$3-2026)*(J488+J489))/1000000+IF(J$3=CEG_Assets!$AH$17,CEG_Assets!$AG$17,0))*(1+CEG_CapexAdj)</f>
        <v>0</v>
      </c>
      <c r="K502" s="8" t="n">
        <f aca="false">((CEG_Assets!$S$17*CEG_Assets!$D$17*1000*K$4*K486+CEG_Assets!$P$17*(1+CEG_Assets!$Q$17)^(K$3-2026)*(K488+K489))/1000000+IF(K$3=CEG_Assets!$AH$17,CEG_Assets!$AG$17,0))*(1+CEG_CapexAdj)</f>
        <v>0</v>
      </c>
      <c r="L502" s="8" t="n">
        <f aca="false">((CEG_Assets!$S$17*CEG_Assets!$D$17*1000*L$4*L486+CEG_Assets!$P$17*(1+CEG_Assets!$Q$17)^(L$3-2026)*(L488+L489))/1000000+IF(L$3=CEG_Assets!$AH$17,CEG_Assets!$AG$17,0))*(1+CEG_CapexAdj)</f>
        <v>0</v>
      </c>
      <c r="M502" s="8" t="n">
        <f aca="false">((CEG_Assets!$S$17*CEG_Assets!$D$17*1000*M$4*M486+CEG_Assets!$P$17*(1+CEG_Assets!$Q$17)^(M$3-2026)*(M488+M489))/1000000+IF(M$3=CEG_Assets!$AH$17,CEG_Assets!$AG$17,0))*(1+CEG_CapexAdj)</f>
        <v>0</v>
      </c>
      <c r="N502" s="8" t="n">
        <f aca="false">((CEG_Assets!$S$17*CEG_Assets!$D$17*1000*N$4*N486+CEG_Assets!$P$17*(1+CEG_Assets!$Q$17)^(N$3-2026)*(N488+N489))/1000000+IF(N$3=CEG_Assets!$AH$17,CEG_Assets!$AG$17,0))*(1+CEG_CapexAdj)</f>
        <v>0</v>
      </c>
      <c r="O502" s="8" t="n">
        <f aca="false">((CEG_Assets!$S$17*CEG_Assets!$D$17*1000*O$4*O486+CEG_Assets!$P$17*(1+CEG_Assets!$Q$17)^(O$3-2026)*(O488+O489))/1000000+IF(O$3=CEG_Assets!$AH$17,CEG_Assets!$AG$17,0))*(1+CEG_CapexAdj)</f>
        <v>0</v>
      </c>
      <c r="P502" s="8" t="n">
        <f aca="false">((CEG_Assets!$S$17*CEG_Assets!$D$17*1000*P$4*P486+CEG_Assets!$P$17*(1+CEG_Assets!$Q$17)^(P$3-2026)*(P488+P489))/1000000+IF(P$3=CEG_Assets!$AH$17,CEG_Assets!$AG$17,0))*(1+CEG_CapexAdj)</f>
        <v>0</v>
      </c>
      <c r="Q502" s="8" t="n">
        <f aca="false">((CEG_Assets!$S$17*CEG_Assets!$D$17*1000*Q$4*Q486+CEG_Assets!$P$17*(1+CEG_Assets!$Q$17)^(Q$3-2026)*(Q488+Q489))/1000000+IF(Q$3=CEG_Assets!$AH$17,CEG_Assets!$AG$17,0))*(1+CEG_CapexAdj)</f>
        <v>0</v>
      </c>
      <c r="R502" s="8" t="n">
        <f aca="false">((CEG_Assets!$S$17*CEG_Assets!$D$17*1000*R$4*R486+CEG_Assets!$P$17*(1+CEG_Assets!$Q$17)^(R$3-2026)*(R488+R489))/1000000+IF(R$3=CEG_Assets!$AH$17,CEG_Assets!$AG$17,0))*(1+CEG_CapexAdj)</f>
        <v>0</v>
      </c>
      <c r="S502" s="8" t="n">
        <f aca="false">((CEG_Assets!$S$17*CEG_Assets!$D$17*1000*S$4*S486+CEG_Assets!$P$17*(1+CEG_Assets!$Q$17)^(S$3-2026)*(S488+S489))/1000000+IF(S$3=CEG_Assets!$AH$17,CEG_Assets!$AG$17,0))*(1+CEG_CapexAdj)</f>
        <v>0</v>
      </c>
      <c r="T502" s="8" t="n">
        <f aca="false">((CEG_Assets!$S$17*CEG_Assets!$D$17*1000*T$4*T486+CEG_Assets!$P$17*(1+CEG_Assets!$Q$17)^(T$3-2026)*(T488+T489))/1000000+IF(T$3=CEG_Assets!$AH$17,CEG_Assets!$AG$17,0))*(1+CEG_CapexAdj)</f>
        <v>0</v>
      </c>
      <c r="U502" s="8" t="n">
        <f aca="false">((CEG_Assets!$S$17*CEG_Assets!$D$17*1000*U$4*U486+CEG_Assets!$P$17*(1+CEG_Assets!$Q$17)^(U$3-2026)*(U488+U489))/1000000+IF(U$3=CEG_Assets!$AH$17,CEG_Assets!$AG$17,0))*(1+CEG_CapexAdj)</f>
        <v>0</v>
      </c>
      <c r="V502" s="8" t="n">
        <f aca="false">((CEG_Assets!$S$17*CEG_Assets!$D$17*1000*V$4*V486+CEG_Assets!$P$17*(1+CEG_Assets!$Q$17)^(V$3-2026)*(V488+V489))/1000000+IF(V$3=CEG_Assets!$AH$17,CEG_Assets!$AG$17,0))*(1+CEG_CapexAdj)</f>
        <v>0</v>
      </c>
      <c r="W502" s="8" t="n">
        <f aca="false">((CEG_Assets!$S$17*CEG_Assets!$D$17*1000*W$4*W486+CEG_Assets!$P$17*(1+CEG_Assets!$Q$17)^(W$3-2026)*(W488+W489))/1000000+IF(W$3=CEG_Assets!$AH$17,CEG_Assets!$AG$17,0))*(1+CEG_CapexAdj)</f>
        <v>0</v>
      </c>
      <c r="X502" s="8" t="n">
        <f aca="false">((CEG_Assets!$S$17*CEG_Assets!$D$17*1000*X$4*X486+CEG_Assets!$P$17*(1+CEG_Assets!$Q$17)^(X$3-2026)*(X488+X489))/1000000+IF(X$3=CEG_Assets!$AH$17,CEG_Assets!$AG$17,0))*(1+CEG_CapexAdj)</f>
        <v>0</v>
      </c>
      <c r="Y502" s="8" t="n">
        <f aca="false">((CEG_Assets!$S$17*CEG_Assets!$D$17*1000*Y$4*Y486+CEG_Assets!$P$17*(1+CEG_Assets!$Q$17)^(Y$3-2026)*(Y488+Y489))/1000000+IF(Y$3=CEG_Assets!$AH$17,CEG_Assets!$AG$17,0))*(1+CEG_CapexAdj)</f>
        <v>0</v>
      </c>
      <c r="Z502" s="8" t="n">
        <f aca="false">((CEG_Assets!$S$17*CEG_Assets!$D$17*1000*Z$4*Z486+CEG_Assets!$P$17*(1+CEG_Assets!$Q$17)^(Z$3-2026)*(Z488+Z489))/1000000+IF(Z$3=CEG_Assets!$AH$17,CEG_Assets!$AG$17,0))*(1+CEG_CapexAdj)</f>
        <v>0</v>
      </c>
      <c r="AA502" s="8" t="n">
        <f aca="false">((CEG_Assets!$S$17*CEG_Assets!$D$17*1000*AA$4*AA486+CEG_Assets!$P$17*(1+CEG_Assets!$Q$17)^(AA$3-2026)*(AA488+AA489))/1000000+IF(AA$3=CEG_Assets!$AH$17,CEG_Assets!$AG$17,0))*(1+CEG_CapexAdj)</f>
        <v>0</v>
      </c>
      <c r="AB502" s="8" t="n">
        <f aca="false">((CEG_Assets!$S$17*CEG_Assets!$D$17*1000*AB$4*AB486+CEG_Assets!$P$17*(1+CEG_Assets!$Q$17)^(AB$3-2026)*(AB488+AB489))/1000000+IF(AB$3=CEG_Assets!$AH$17,CEG_Assets!$AG$17,0))*(1+CEG_CapexAdj)</f>
        <v>0</v>
      </c>
      <c r="AC502" s="8" t="n">
        <f aca="false">((CEG_Assets!$S$17*CEG_Assets!$D$17*1000*AC$4*AC486+CEG_Assets!$P$17*(1+CEG_Assets!$Q$17)^(AC$3-2026)*(AC488+AC489))/1000000+IF(AC$3=CEG_Assets!$AH$17,CEG_Assets!$AG$17,0))*(1+CEG_CapexAdj)</f>
        <v>0</v>
      </c>
      <c r="AD502" s="8" t="n">
        <f aca="false">((CEG_Assets!$S$17*CEG_Assets!$D$17*1000*AD$4*AD486+CEG_Assets!$P$17*(1+CEG_Assets!$Q$17)^(AD$3-2026)*(AD488+AD489))/1000000+IF(AD$3=CEG_Assets!$AH$17,CEG_Assets!$AG$17,0))*(1+CEG_CapexAdj)</f>
        <v>0</v>
      </c>
      <c r="AE502" s="8" t="n">
        <f aca="false">((CEG_Assets!$S$17*CEG_Assets!$D$17*1000*AE$4*AE486+CEG_Assets!$P$17*(1+CEG_Assets!$Q$17)^(AE$3-2026)*(AE488+AE489))/1000000+IF(AE$3=CEG_Assets!$AH$17,CEG_Assets!$AG$17,0))*(1+CEG_CapexAdj)</f>
        <v>0</v>
      </c>
      <c r="AF502" s="8" t="n">
        <f aca="false">((CEG_Assets!$S$17*CEG_Assets!$D$17*1000*AF$4*AF486+CEG_Assets!$P$17*(1+CEG_Assets!$Q$17)^(AF$3-2026)*(AF488+AF489))/1000000+IF(AF$3=CEG_Assets!$AH$17,CEG_Assets!$AG$17,0))*(1+CEG_CapexAdj)</f>
        <v>0</v>
      </c>
      <c r="AG502" s="8" t="n">
        <f aca="false">((CEG_Assets!$S$17*CEG_Assets!$D$17*1000*AG$4*AG486+CEG_Assets!$P$17*(1+CEG_Assets!$Q$17)^(AG$3-2026)*(AG488+AG489))/1000000+IF(AG$3=CEG_Assets!$AH$17,CEG_Assets!$AG$17,0))*(1+CEG_CapexAdj)</f>
        <v>0</v>
      </c>
      <c r="AH502" s="8" t="n">
        <f aca="false">((CEG_Assets!$S$17*CEG_Assets!$D$17*1000*AH$4*AH486+CEG_Assets!$P$17*(1+CEG_Assets!$Q$17)^(AH$3-2026)*(AH488+AH489))/1000000+IF(AH$3=CEG_Assets!$AH$17,CEG_Assets!$AG$17,0))*(1+CEG_CapexAdj)</f>
        <v>0</v>
      </c>
      <c r="AI502" s="8" t="n">
        <f aca="false">((CEG_Assets!$S$17*CEG_Assets!$D$17*1000*AI$4*AI486+CEG_Assets!$P$17*(1+CEG_Assets!$Q$17)^(AI$3-2026)*(AI488+AI489))/1000000+IF(AI$3=CEG_Assets!$AH$17,CEG_Assets!$AG$17,0))*(1+CEG_CapexAdj)</f>
        <v>0</v>
      </c>
      <c r="AJ502" s="8" t="n">
        <f aca="false">((CEG_Assets!$S$17*CEG_Assets!$D$17*1000*AJ$4*AJ486+CEG_Assets!$P$17*(1+CEG_Assets!$Q$17)^(AJ$3-2026)*(AJ488+AJ489))/1000000+IF(AJ$3=CEG_Assets!$AH$17,CEG_Assets!$AG$17,0))*(1+CEG_CapexAdj)</f>
        <v>0</v>
      </c>
      <c r="AK502" s="8" t="n">
        <f aca="false">((CEG_Assets!$S$17*CEG_Assets!$D$17*1000*AK$4*AK486+CEG_Assets!$P$17*(1+CEG_Assets!$Q$17)^(AK$3-2026)*(AK488+AK489))/1000000+IF(AK$3=CEG_Assets!$AH$17,CEG_Assets!$AG$17,0))*(1+CEG_CapexAdj)</f>
        <v>0</v>
      </c>
      <c r="AL502" s="8" t="n">
        <f aca="false">((CEG_Assets!$S$17*CEG_Assets!$D$17*1000*AL$4*AL486+CEG_Assets!$P$17*(1+CEG_Assets!$Q$17)^(AL$3-2026)*(AL488+AL489))/1000000+IF(AL$3=CEG_Assets!$AH$17,CEG_Assets!$AG$17,0))*(1+CEG_CapexAdj)</f>
        <v>0</v>
      </c>
      <c r="AM502" s="8" t="n">
        <f aca="false">((CEG_Assets!$S$17*CEG_Assets!$D$17*1000*AM$4*AM486+CEG_Assets!$P$17*(1+CEG_Assets!$Q$17)^(AM$3-2026)*(AM488+AM489))/1000000+IF(AM$3=CEG_Assets!$AH$17,CEG_Assets!$AG$17,0))*(1+CEG_CapexAdj)</f>
        <v>0</v>
      </c>
      <c r="AN502" s="8" t="n">
        <f aca="false">((CEG_Assets!$S$17*CEG_Assets!$D$17*1000*AN$4*AN486+CEG_Assets!$P$17*(1+CEG_Assets!$Q$17)^(AN$3-2026)*(AN488+AN489))/1000000+IF(AN$3=CEG_Assets!$AH$17,CEG_Assets!$AG$17,0))*(1+CEG_CapexAdj)</f>
        <v>0</v>
      </c>
      <c r="AO502" s="8" t="n">
        <f aca="false">((CEG_Assets!$S$17*CEG_Assets!$D$17*1000*AO$4*AO486+CEG_Assets!$P$17*(1+CEG_Assets!$Q$17)^(AO$3-2026)*(AO488+AO489))/1000000+IF(AO$3=CEG_Assets!$AH$17,CEG_Assets!$AG$17,0))*(1+CEG_CapexAdj)</f>
        <v>0</v>
      </c>
      <c r="AP502" s="8" t="n">
        <f aca="false">((CEG_Assets!$S$17*CEG_Assets!$D$17*1000*AP$4*AP486+CEG_Assets!$P$17*(1+CEG_Assets!$Q$17)^(AP$3-2026)*(AP488+AP489))/1000000+IF(AP$3=CEG_Assets!$AH$17,CEG_Assets!$AG$17,0))*(1+CEG_CapexAdj)</f>
        <v>0</v>
      </c>
      <c r="AQ502" s="8" t="n">
        <f aca="false">((CEG_Assets!$S$17*CEG_Assets!$D$17*1000*AQ$4*AQ486+CEG_Assets!$P$17*(1+CEG_Assets!$Q$17)^(AQ$3-2026)*(AQ488+AQ489))/1000000+IF(AQ$3=CEG_Assets!$AH$17,CEG_Assets!$AG$17,0))*(1+CEG_CapexAdj)</f>
        <v>0</v>
      </c>
      <c r="AR502" s="8" t="n">
        <f aca="false">((CEG_Assets!$S$17*CEG_Assets!$D$17*1000*AR$4*AR486+CEG_Assets!$P$17*(1+CEG_Assets!$Q$17)^(AR$3-2026)*(AR488+AR489))/1000000+IF(AR$3=CEG_Assets!$AH$17,CEG_Assets!$AG$17,0))*(1+CEG_CapexAdj)</f>
        <v>0</v>
      </c>
      <c r="AS502" s="8" t="n">
        <f aca="false">((CEG_Assets!$S$17*CEG_Assets!$D$17*1000*AS$4*AS486+CEG_Assets!$P$17*(1+CEG_Assets!$Q$17)^(AS$3-2026)*(AS488+AS489))/1000000+IF(AS$3=CEG_Assets!$AH$17,CEG_Assets!$AG$17,0))*(1+CEG_CapexAdj)</f>
        <v>0</v>
      </c>
    </row>
    <row r="503" customFormat="false" ht="15" hidden="false" customHeight="false" outlineLevel="0" collapsed="false">
      <c r="A503" s="6" t="s">
        <v>459</v>
      </c>
      <c r="B503" s="6" t="s">
        <v>460</v>
      </c>
      <c r="C503" s="9" t="n">
        <f aca="false">SUM(G503:AS503)</f>
        <v>6854.08241031126</v>
      </c>
      <c r="G503" s="8" t="n">
        <f aca="false">IF(CEG_Assets!$Y$17=1,MAX(0,G501-G502),G501-G502)</f>
        <v>257.166225</v>
      </c>
      <c r="H503" s="8" t="n">
        <f aca="false">IF(CEG_Assets!$Y$17=1,MAX(0,H501-H502),H501-H502)</f>
        <v>251.728318125</v>
      </c>
      <c r="I503" s="8" t="n">
        <f aca="false">IF(CEG_Assets!$Y$17=1,MAX(0,I501-I502),I501-I502)</f>
        <v>246.154463578125</v>
      </c>
      <c r="J503" s="8" t="n">
        <f aca="false">IF(CEG_Assets!$Y$17=1,MAX(0,J501-J502),J501-J502)</f>
        <v>240.441262667578</v>
      </c>
      <c r="K503" s="8" t="n">
        <f aca="false">IF(CEG_Assets!$Y$17=1,MAX(0,K501-K502),K501-K502)</f>
        <v>234.585231734268</v>
      </c>
      <c r="L503" s="8" t="n">
        <f aca="false">IF(CEG_Assets!$Y$17=1,MAX(0,L501-L502),L501-L502)</f>
        <v>228.582800027624</v>
      </c>
      <c r="M503" s="8" t="n">
        <f aca="false">IF(CEG_Assets!$Y$17=1,MAX(0,M501-M502),M501-M502)</f>
        <v>222.430307528315</v>
      </c>
      <c r="N503" s="8" t="n">
        <f aca="false">IF(CEG_Assets!$Y$17=1,MAX(0,N501-N502),N501-N502)</f>
        <v>216.124002716523</v>
      </c>
      <c r="O503" s="8" t="n">
        <f aca="false">IF(CEG_Assets!$Y$17=1,MAX(0,O501-O502),O501-O502)</f>
        <v>209.660040284436</v>
      </c>
      <c r="P503" s="8" t="n">
        <f aca="false">IF(CEG_Assets!$Y$17=1,MAX(0,P501-P502),P501-P502)</f>
        <v>209.324427579515</v>
      </c>
      <c r="Q503" s="8" t="n">
        <f aca="false">IF(CEG_Assets!$Y$17=1,MAX(0,Q501-Q502),Q501-Q502)</f>
        <v>212.152676025063</v>
      </c>
      <c r="R503" s="8" t="n">
        <f aca="false">IF(CEG_Assets!$Y$17=1,MAX(0,R501-R502),R501-R502)</f>
        <v>215.003533436871</v>
      </c>
      <c r="S503" s="8" t="n">
        <f aca="false">IF(CEG_Assets!$Y$17=1,MAX(0,S501-S502),S501-S502)</f>
        <v>217.876603094198</v>
      </c>
      <c r="T503" s="8" t="n">
        <f aca="false">IF(CEG_Assets!$Y$17=1,MAX(0,T501-T502),T501-T502)</f>
        <v>220.771459119386</v>
      </c>
      <c r="U503" s="8" t="n">
        <f aca="false">IF(CEG_Assets!$Y$17=1,MAX(0,U501-U502),U501-U502)</f>
        <v>223.687645364161</v>
      </c>
      <c r="V503" s="8" t="n">
        <f aca="false">IF(CEG_Assets!$Y$17=1,MAX(0,V501-V502),V501-V502)</f>
        <v>226.62467426039</v>
      </c>
      <c r="W503" s="8" t="n">
        <f aca="false">IF(CEG_Assets!$Y$17=1,MAX(0,W501-W502),W501-W502)</f>
        <v>229.582025634268</v>
      </c>
      <c r="X503" s="8" t="n">
        <f aca="false">IF(CEG_Assets!$Y$17=1,MAX(0,X501-X502),X501-X502)</f>
        <v>232.559145482841</v>
      </c>
      <c r="Y503" s="8" t="n">
        <f aca="false">IF(CEG_Assets!$Y$17=1,MAX(0,Y501-Y502),Y501-Y502)</f>
        <v>235.555444711781</v>
      </c>
      <c r="Z503" s="8" t="n">
        <f aca="false">IF(CEG_Assets!$Y$17=1,MAX(0,Z501-Z502),Z501-Z502)</f>
        <v>238.570297833283</v>
      </c>
      <c r="AA503" s="8" t="n">
        <f aca="false">IF(CEG_Assets!$Y$17=1,MAX(0,AA501-AA502),AA501-AA502)</f>
        <v>241.603041622896</v>
      </c>
      <c r="AB503" s="8" t="n">
        <f aca="false">IF(CEG_Assets!$Y$17=1,MAX(0,AB501-AB502),AB501-AB502)</f>
        <v>244.652973734126</v>
      </c>
      <c r="AC503" s="8" t="n">
        <f aca="false">IF(CEG_Assets!$Y$17=1,MAX(0,AC501-AC502),AC501-AC502)</f>
        <v>247.719351269549</v>
      </c>
      <c r="AD503" s="8" t="n">
        <f aca="false">IF(CEG_Assets!$Y$17=1,MAX(0,AD501-AD502),AD501-AD502)</f>
        <v>250.801389307199</v>
      </c>
      <c r="AE503" s="8" t="n">
        <f aca="false">IF(CEG_Assets!$Y$17=1,MAX(0,AE501-AE502),AE501-AE502)</f>
        <v>253.898259380909</v>
      </c>
      <c r="AF503" s="8" t="n">
        <f aca="false">IF(CEG_Assets!$Y$17=1,MAX(0,AF501-AF502),AF501-AF502)</f>
        <v>257.009087913282</v>
      </c>
      <c r="AG503" s="8" t="n">
        <f aca="false">IF(CEG_Assets!$Y$17=1,MAX(0,AG501-AG502),AG501-AG502)</f>
        <v>260.132954599921</v>
      </c>
      <c r="AH503" s="8" t="n">
        <f aca="false">IF(CEG_Assets!$Y$17=1,MAX(0,AH501-AH502),AH501-AH502)</f>
        <v>263.268890743503</v>
      </c>
      <c r="AI503" s="8" t="n">
        <f aca="false">IF(CEG_Assets!$Y$17=1,MAX(0,AI501-AI502),AI501-AI502)</f>
        <v>266.415877536245</v>
      </c>
      <c r="AJ503" s="8" t="n">
        <f aca="false">IF(CEG_Assets!$Y$17=1,MAX(0,AJ501-AJ502),AJ501-AJ502)</f>
        <v>0</v>
      </c>
      <c r="AK503" s="8" t="n">
        <f aca="false">IF(CEG_Assets!$Y$17=1,MAX(0,AK501-AK502),AK501-AK502)</f>
        <v>0</v>
      </c>
      <c r="AL503" s="8" t="n">
        <f aca="false">IF(CEG_Assets!$Y$17=1,MAX(0,AL501-AL502),AL501-AL502)</f>
        <v>0</v>
      </c>
      <c r="AM503" s="8" t="n">
        <f aca="false">IF(CEG_Assets!$Y$17=1,MAX(0,AM501-AM502),AM501-AM502)</f>
        <v>0</v>
      </c>
      <c r="AN503" s="8" t="n">
        <f aca="false">IF(CEG_Assets!$Y$17=1,MAX(0,AN501-AN502),AN501-AN502)</f>
        <v>0</v>
      </c>
      <c r="AO503" s="8" t="n">
        <f aca="false">IF(CEG_Assets!$Y$17=1,MAX(0,AO501-AO502),AO501-AO502)</f>
        <v>0</v>
      </c>
      <c r="AP503" s="8" t="n">
        <f aca="false">IF(CEG_Assets!$Y$17=1,MAX(0,AP501-AP502),AP501-AP502)</f>
        <v>0</v>
      </c>
      <c r="AQ503" s="8" t="n">
        <f aca="false">IF(CEG_Assets!$Y$17=1,MAX(0,AQ501-AQ502),AQ501-AQ502)</f>
        <v>0</v>
      </c>
      <c r="AR503" s="8" t="n">
        <f aca="false">IF(CEG_Assets!$Y$17=1,MAX(0,AR501-AR502),AR501-AR502)</f>
        <v>0</v>
      </c>
      <c r="AS503" s="8" t="n">
        <f aca="false">IF(CEG_Assets!$Y$17=1,MAX(0,AS501-AS502),AS501-AS502)</f>
        <v>0</v>
      </c>
    </row>
    <row r="504" customFormat="false" ht="15" hidden="false" customHeight="false" outlineLevel="0" collapsed="false">
      <c r="A504" s="6" t="s">
        <v>461</v>
      </c>
      <c r="B504" s="6" t="s">
        <v>462</v>
      </c>
      <c r="C504" s="9" t="n">
        <f aca="false">SUM(G504:AS504)</f>
        <v>0</v>
      </c>
      <c r="G504" s="8" t="n">
        <f aca="false">IF(AND(CEG_Assets!$W$17=1,G$3&lt;=PTCLast,G488&gt;0),G488*MAX(0,PTCCredit*(1+Infl)^(G$3-PTCBase)-0.8*MAX(0,(G493+G494+G496)*1000000/MAX(1,G488)-PTCThresh*(1+Infl)^(G$3-PTCBase)))/1000000,0)</f>
        <v>0</v>
      </c>
      <c r="H504" s="8" t="n">
        <f aca="false">IF(AND(CEG_Assets!$W$17=1,H$3&lt;=PTCLast,H488&gt;0),H488*MAX(0,PTCCredit*(1+Infl)^(H$3-PTCBase)-0.8*MAX(0,(H493+H494+H496)*1000000/MAX(1,H488)-PTCThresh*(1+Infl)^(H$3-PTCBase)))/1000000,0)</f>
        <v>0</v>
      </c>
      <c r="I504" s="8" t="n">
        <f aca="false">IF(AND(CEG_Assets!$W$17=1,I$3&lt;=PTCLast,I488&gt;0),I488*MAX(0,PTCCredit*(1+Infl)^(I$3-PTCBase)-0.8*MAX(0,(I493+I494+I496)*1000000/MAX(1,I488)-PTCThresh*(1+Infl)^(I$3-PTCBase)))/1000000,0)</f>
        <v>0</v>
      </c>
      <c r="J504" s="8" t="n">
        <f aca="false">IF(AND(CEG_Assets!$W$17=1,J$3&lt;=PTCLast,J488&gt;0),J488*MAX(0,PTCCredit*(1+Infl)^(J$3-PTCBase)-0.8*MAX(0,(J493+J494+J496)*1000000/MAX(1,J488)-PTCThresh*(1+Infl)^(J$3-PTCBase)))/1000000,0)</f>
        <v>0</v>
      </c>
      <c r="K504" s="8" t="n">
        <f aca="false">IF(AND(CEG_Assets!$W$17=1,K$3&lt;=PTCLast,K488&gt;0),K488*MAX(0,PTCCredit*(1+Infl)^(K$3-PTCBase)-0.8*MAX(0,(K493+K494+K496)*1000000/MAX(1,K488)-PTCThresh*(1+Infl)^(K$3-PTCBase)))/1000000,0)</f>
        <v>0</v>
      </c>
      <c r="L504" s="8" t="n">
        <f aca="false">IF(AND(CEG_Assets!$W$17=1,L$3&lt;=PTCLast,L488&gt;0),L488*MAX(0,PTCCredit*(1+Infl)^(L$3-PTCBase)-0.8*MAX(0,(L493+L494+L496)*1000000/MAX(1,L488)-PTCThresh*(1+Infl)^(L$3-PTCBase)))/1000000,0)</f>
        <v>0</v>
      </c>
      <c r="M504" s="8" t="n">
        <f aca="false">IF(AND(CEG_Assets!$W$17=1,M$3&lt;=PTCLast,M488&gt;0),M488*MAX(0,PTCCredit*(1+Infl)^(M$3-PTCBase)-0.8*MAX(0,(M493+M494+M496)*1000000/MAX(1,M488)-PTCThresh*(1+Infl)^(M$3-PTCBase)))/1000000,0)</f>
        <v>0</v>
      </c>
      <c r="N504" s="8" t="n">
        <f aca="false">IF(AND(CEG_Assets!$W$17=1,N$3&lt;=PTCLast,N488&gt;0),N488*MAX(0,PTCCredit*(1+Infl)^(N$3-PTCBase)-0.8*MAX(0,(N493+N494+N496)*1000000/MAX(1,N488)-PTCThresh*(1+Infl)^(N$3-PTCBase)))/1000000,0)</f>
        <v>0</v>
      </c>
      <c r="O504" s="8" t="n">
        <f aca="false">IF(AND(CEG_Assets!$W$17=1,O$3&lt;=PTCLast,O488&gt;0),O488*MAX(0,PTCCredit*(1+Infl)^(O$3-PTCBase)-0.8*MAX(0,(O493+O494+O496)*1000000/MAX(1,O488)-PTCThresh*(1+Infl)^(O$3-PTCBase)))/1000000,0)</f>
        <v>0</v>
      </c>
      <c r="P504" s="8" t="n">
        <f aca="false">IF(AND(CEG_Assets!$W$17=1,P$3&lt;=PTCLast,P488&gt;0),P488*MAX(0,PTCCredit*(1+Infl)^(P$3-PTCBase)-0.8*MAX(0,(P493+P494+P496)*1000000/MAX(1,P488)-PTCThresh*(1+Infl)^(P$3-PTCBase)))/1000000,0)</f>
        <v>0</v>
      </c>
      <c r="Q504" s="8" t="n">
        <f aca="false">IF(AND(CEG_Assets!$W$17=1,Q$3&lt;=PTCLast,Q488&gt;0),Q488*MAX(0,PTCCredit*(1+Infl)^(Q$3-PTCBase)-0.8*MAX(0,(Q493+Q494+Q496)*1000000/MAX(1,Q488)-PTCThresh*(1+Infl)^(Q$3-PTCBase)))/1000000,0)</f>
        <v>0</v>
      </c>
      <c r="R504" s="8" t="n">
        <f aca="false">IF(AND(CEG_Assets!$W$17=1,R$3&lt;=PTCLast,R488&gt;0),R488*MAX(0,PTCCredit*(1+Infl)^(R$3-PTCBase)-0.8*MAX(0,(R493+R494+R496)*1000000/MAX(1,R488)-PTCThresh*(1+Infl)^(R$3-PTCBase)))/1000000,0)</f>
        <v>0</v>
      </c>
      <c r="S504" s="8" t="n">
        <f aca="false">IF(AND(CEG_Assets!$W$17=1,S$3&lt;=PTCLast,S488&gt;0),S488*MAX(0,PTCCredit*(1+Infl)^(S$3-PTCBase)-0.8*MAX(0,(S493+S494+S496)*1000000/MAX(1,S488)-PTCThresh*(1+Infl)^(S$3-PTCBase)))/1000000,0)</f>
        <v>0</v>
      </c>
      <c r="T504" s="8" t="n">
        <f aca="false">IF(AND(CEG_Assets!$W$17=1,T$3&lt;=PTCLast,T488&gt;0),T488*MAX(0,PTCCredit*(1+Infl)^(T$3-PTCBase)-0.8*MAX(0,(T493+T494+T496)*1000000/MAX(1,T488)-PTCThresh*(1+Infl)^(T$3-PTCBase)))/1000000,0)</f>
        <v>0</v>
      </c>
      <c r="U504" s="8" t="n">
        <f aca="false">IF(AND(CEG_Assets!$W$17=1,U$3&lt;=PTCLast,U488&gt;0),U488*MAX(0,PTCCredit*(1+Infl)^(U$3-PTCBase)-0.8*MAX(0,(U493+U494+U496)*1000000/MAX(1,U488)-PTCThresh*(1+Infl)^(U$3-PTCBase)))/1000000,0)</f>
        <v>0</v>
      </c>
      <c r="V504" s="8" t="n">
        <f aca="false">IF(AND(CEG_Assets!$W$17=1,V$3&lt;=PTCLast,V488&gt;0),V488*MAX(0,PTCCredit*(1+Infl)^(V$3-PTCBase)-0.8*MAX(0,(V493+V494+V496)*1000000/MAX(1,V488)-PTCThresh*(1+Infl)^(V$3-PTCBase)))/1000000,0)</f>
        <v>0</v>
      </c>
      <c r="W504" s="8" t="n">
        <f aca="false">IF(AND(CEG_Assets!$W$17=1,W$3&lt;=PTCLast,W488&gt;0),W488*MAX(0,PTCCredit*(1+Infl)^(W$3-PTCBase)-0.8*MAX(0,(W493+W494+W496)*1000000/MAX(1,W488)-PTCThresh*(1+Infl)^(W$3-PTCBase)))/1000000,0)</f>
        <v>0</v>
      </c>
      <c r="X504" s="8" t="n">
        <f aca="false">IF(AND(CEG_Assets!$W$17=1,X$3&lt;=PTCLast,X488&gt;0),X488*MAX(0,PTCCredit*(1+Infl)^(X$3-PTCBase)-0.8*MAX(0,(X493+X494+X496)*1000000/MAX(1,X488)-PTCThresh*(1+Infl)^(X$3-PTCBase)))/1000000,0)</f>
        <v>0</v>
      </c>
      <c r="Y504" s="8" t="n">
        <f aca="false">IF(AND(CEG_Assets!$W$17=1,Y$3&lt;=PTCLast,Y488&gt;0),Y488*MAX(0,PTCCredit*(1+Infl)^(Y$3-PTCBase)-0.8*MAX(0,(Y493+Y494+Y496)*1000000/MAX(1,Y488)-PTCThresh*(1+Infl)^(Y$3-PTCBase)))/1000000,0)</f>
        <v>0</v>
      </c>
      <c r="Z504" s="8" t="n">
        <f aca="false">IF(AND(CEG_Assets!$W$17=1,Z$3&lt;=PTCLast,Z488&gt;0),Z488*MAX(0,PTCCredit*(1+Infl)^(Z$3-PTCBase)-0.8*MAX(0,(Z493+Z494+Z496)*1000000/MAX(1,Z488)-PTCThresh*(1+Infl)^(Z$3-PTCBase)))/1000000,0)</f>
        <v>0</v>
      </c>
      <c r="AA504" s="8" t="n">
        <f aca="false">IF(AND(CEG_Assets!$W$17=1,AA$3&lt;=PTCLast,AA488&gt;0),AA488*MAX(0,PTCCredit*(1+Infl)^(AA$3-PTCBase)-0.8*MAX(0,(AA493+AA494+AA496)*1000000/MAX(1,AA488)-PTCThresh*(1+Infl)^(AA$3-PTCBase)))/1000000,0)</f>
        <v>0</v>
      </c>
      <c r="AB504" s="8" t="n">
        <f aca="false">IF(AND(CEG_Assets!$W$17=1,AB$3&lt;=PTCLast,AB488&gt;0),AB488*MAX(0,PTCCredit*(1+Infl)^(AB$3-PTCBase)-0.8*MAX(0,(AB493+AB494+AB496)*1000000/MAX(1,AB488)-PTCThresh*(1+Infl)^(AB$3-PTCBase)))/1000000,0)</f>
        <v>0</v>
      </c>
      <c r="AC504" s="8" t="n">
        <f aca="false">IF(AND(CEG_Assets!$W$17=1,AC$3&lt;=PTCLast,AC488&gt;0),AC488*MAX(0,PTCCredit*(1+Infl)^(AC$3-PTCBase)-0.8*MAX(0,(AC493+AC494+AC496)*1000000/MAX(1,AC488)-PTCThresh*(1+Infl)^(AC$3-PTCBase)))/1000000,0)</f>
        <v>0</v>
      </c>
      <c r="AD504" s="8" t="n">
        <f aca="false">IF(AND(CEG_Assets!$W$17=1,AD$3&lt;=PTCLast,AD488&gt;0),AD488*MAX(0,PTCCredit*(1+Infl)^(AD$3-PTCBase)-0.8*MAX(0,(AD493+AD494+AD496)*1000000/MAX(1,AD488)-PTCThresh*(1+Infl)^(AD$3-PTCBase)))/1000000,0)</f>
        <v>0</v>
      </c>
      <c r="AE504" s="8" t="n">
        <f aca="false">IF(AND(CEG_Assets!$W$17=1,AE$3&lt;=PTCLast,AE488&gt;0),AE488*MAX(0,PTCCredit*(1+Infl)^(AE$3-PTCBase)-0.8*MAX(0,(AE493+AE494+AE496)*1000000/MAX(1,AE488)-PTCThresh*(1+Infl)^(AE$3-PTCBase)))/1000000,0)</f>
        <v>0</v>
      </c>
      <c r="AF504" s="8" t="n">
        <f aca="false">IF(AND(CEG_Assets!$W$17=1,AF$3&lt;=PTCLast,AF488&gt;0),AF488*MAX(0,PTCCredit*(1+Infl)^(AF$3-PTCBase)-0.8*MAX(0,(AF493+AF494+AF496)*1000000/MAX(1,AF488)-PTCThresh*(1+Infl)^(AF$3-PTCBase)))/1000000,0)</f>
        <v>0</v>
      </c>
      <c r="AG504" s="8" t="n">
        <f aca="false">IF(AND(CEG_Assets!$W$17=1,AG$3&lt;=PTCLast,AG488&gt;0),AG488*MAX(0,PTCCredit*(1+Infl)^(AG$3-PTCBase)-0.8*MAX(0,(AG493+AG494+AG496)*1000000/MAX(1,AG488)-PTCThresh*(1+Infl)^(AG$3-PTCBase)))/1000000,0)</f>
        <v>0</v>
      </c>
      <c r="AH504" s="8" t="n">
        <f aca="false">IF(AND(CEG_Assets!$W$17=1,AH$3&lt;=PTCLast,AH488&gt;0),AH488*MAX(0,PTCCredit*(1+Infl)^(AH$3-PTCBase)-0.8*MAX(0,(AH493+AH494+AH496)*1000000/MAX(1,AH488)-PTCThresh*(1+Infl)^(AH$3-PTCBase)))/1000000,0)</f>
        <v>0</v>
      </c>
      <c r="AI504" s="8" t="n">
        <f aca="false">IF(AND(CEG_Assets!$W$17=1,AI$3&lt;=PTCLast,AI488&gt;0),AI488*MAX(0,PTCCredit*(1+Infl)^(AI$3-PTCBase)-0.8*MAX(0,(AI493+AI494+AI496)*1000000/MAX(1,AI488)-PTCThresh*(1+Infl)^(AI$3-PTCBase)))/1000000,0)</f>
        <v>0</v>
      </c>
      <c r="AJ504" s="8" t="n">
        <f aca="false">IF(AND(CEG_Assets!$W$17=1,AJ$3&lt;=PTCLast,AJ488&gt;0),AJ488*MAX(0,PTCCredit*(1+Infl)^(AJ$3-PTCBase)-0.8*MAX(0,(AJ493+AJ494+AJ496)*1000000/MAX(1,AJ488)-PTCThresh*(1+Infl)^(AJ$3-PTCBase)))/1000000,0)</f>
        <v>0</v>
      </c>
      <c r="AK504" s="8" t="n">
        <f aca="false">IF(AND(CEG_Assets!$W$17=1,AK$3&lt;=PTCLast,AK488&gt;0),AK488*MAX(0,PTCCredit*(1+Infl)^(AK$3-PTCBase)-0.8*MAX(0,(AK493+AK494+AK496)*1000000/MAX(1,AK488)-PTCThresh*(1+Infl)^(AK$3-PTCBase)))/1000000,0)</f>
        <v>0</v>
      </c>
      <c r="AL504" s="8" t="n">
        <f aca="false">IF(AND(CEG_Assets!$W$17=1,AL$3&lt;=PTCLast,AL488&gt;0),AL488*MAX(0,PTCCredit*(1+Infl)^(AL$3-PTCBase)-0.8*MAX(0,(AL493+AL494+AL496)*1000000/MAX(1,AL488)-PTCThresh*(1+Infl)^(AL$3-PTCBase)))/1000000,0)</f>
        <v>0</v>
      </c>
      <c r="AM504" s="8" t="n">
        <f aca="false">IF(AND(CEG_Assets!$W$17=1,AM$3&lt;=PTCLast,AM488&gt;0),AM488*MAX(0,PTCCredit*(1+Infl)^(AM$3-PTCBase)-0.8*MAX(0,(AM493+AM494+AM496)*1000000/MAX(1,AM488)-PTCThresh*(1+Infl)^(AM$3-PTCBase)))/1000000,0)</f>
        <v>0</v>
      </c>
      <c r="AN504" s="8" t="n">
        <f aca="false">IF(AND(CEG_Assets!$W$17=1,AN$3&lt;=PTCLast,AN488&gt;0),AN488*MAX(0,PTCCredit*(1+Infl)^(AN$3-PTCBase)-0.8*MAX(0,(AN493+AN494+AN496)*1000000/MAX(1,AN488)-PTCThresh*(1+Infl)^(AN$3-PTCBase)))/1000000,0)</f>
        <v>0</v>
      </c>
      <c r="AO504" s="8" t="n">
        <f aca="false">IF(AND(CEG_Assets!$W$17=1,AO$3&lt;=PTCLast,AO488&gt;0),AO488*MAX(0,PTCCredit*(1+Infl)^(AO$3-PTCBase)-0.8*MAX(0,(AO493+AO494+AO496)*1000000/MAX(1,AO488)-PTCThresh*(1+Infl)^(AO$3-PTCBase)))/1000000,0)</f>
        <v>0</v>
      </c>
      <c r="AP504" s="8" t="n">
        <f aca="false">IF(AND(CEG_Assets!$W$17=1,AP$3&lt;=PTCLast,AP488&gt;0),AP488*MAX(0,PTCCredit*(1+Infl)^(AP$3-PTCBase)-0.8*MAX(0,(AP493+AP494+AP496)*1000000/MAX(1,AP488)-PTCThresh*(1+Infl)^(AP$3-PTCBase)))/1000000,0)</f>
        <v>0</v>
      </c>
      <c r="AQ504" s="8" t="n">
        <f aca="false">IF(AND(CEG_Assets!$W$17=1,AQ$3&lt;=PTCLast,AQ488&gt;0),AQ488*MAX(0,PTCCredit*(1+Infl)^(AQ$3-PTCBase)-0.8*MAX(0,(AQ493+AQ494+AQ496)*1000000/MAX(1,AQ488)-PTCThresh*(1+Infl)^(AQ$3-PTCBase)))/1000000,0)</f>
        <v>0</v>
      </c>
      <c r="AR504" s="8" t="n">
        <f aca="false">IF(AND(CEG_Assets!$W$17=1,AR$3&lt;=PTCLast,AR488&gt;0),AR488*MAX(0,PTCCredit*(1+Infl)^(AR$3-PTCBase)-0.8*MAX(0,(AR493+AR494+AR496)*1000000/MAX(1,AR488)-PTCThresh*(1+Infl)^(AR$3-PTCBase)))/1000000,0)</f>
        <v>0</v>
      </c>
      <c r="AS504" s="8" t="n">
        <f aca="false">IF(AND(CEG_Assets!$W$17=1,AS$3&lt;=PTCLast,AS488&gt;0),AS488*MAX(0,PTCCredit*(1+Infl)^(AS$3-PTCBase)-0.8*MAX(0,(AS493+AS494+AS496)*1000000/MAX(1,AS488)-PTCThresh*(1+Infl)^(AS$3-PTCBase)))/1000000,0)</f>
        <v>0</v>
      </c>
    </row>
    <row r="505" customFormat="false" ht="15" hidden="false" customHeight="false" outlineLevel="0" collapsed="false">
      <c r="A505" s="6" t="s">
        <v>463</v>
      </c>
      <c r="B505" s="6" t="s">
        <v>464</v>
      </c>
      <c r="G505" s="8" t="n">
        <f aca="false">G495-G489*(CEG_Assets!$N$17*(1+CEG_FuelAdj)+CEG_Assets!$O$17*(1+CEG_OMAdj)+CEG_Assets!$P$17*(1+CEG_CapexAdj))*(1+CEG_Assets!$Q$17)^(G$3-2026)/1000000</f>
        <v>257.166225</v>
      </c>
      <c r="H505" s="8" t="n">
        <f aca="false">H495-H489*(CEG_Assets!$N$17*(1+CEG_FuelAdj)+CEG_Assets!$O$17*(1+CEG_OMAdj)+CEG_Assets!$P$17*(1+CEG_CapexAdj))*(1+CEG_Assets!$Q$17)^(H$3-2026)/1000000</f>
        <v>251.728318125</v>
      </c>
      <c r="I505" s="8" t="n">
        <f aca="false">I495-I489*(CEG_Assets!$N$17*(1+CEG_FuelAdj)+CEG_Assets!$O$17*(1+CEG_OMAdj)+CEG_Assets!$P$17*(1+CEG_CapexAdj))*(1+CEG_Assets!$Q$17)^(I$3-2026)/1000000</f>
        <v>246.154463578125</v>
      </c>
      <c r="J505" s="8" t="n">
        <f aca="false">J495-J489*(CEG_Assets!$N$17*(1+CEG_FuelAdj)+CEG_Assets!$O$17*(1+CEG_OMAdj)+CEG_Assets!$P$17*(1+CEG_CapexAdj))*(1+CEG_Assets!$Q$17)^(J$3-2026)/1000000</f>
        <v>240.441262667578</v>
      </c>
      <c r="K505" s="8" t="n">
        <f aca="false">K495-K489*(CEG_Assets!$N$17*(1+CEG_FuelAdj)+CEG_Assets!$O$17*(1+CEG_OMAdj)+CEG_Assets!$P$17*(1+CEG_CapexAdj))*(1+CEG_Assets!$Q$17)^(K$3-2026)/1000000</f>
        <v>234.585231734268</v>
      </c>
      <c r="L505" s="8" t="n">
        <f aca="false">L495-L489*(CEG_Assets!$N$17*(1+CEG_FuelAdj)+CEG_Assets!$O$17*(1+CEG_OMAdj)+CEG_Assets!$P$17*(1+CEG_CapexAdj))*(1+CEG_Assets!$Q$17)^(L$3-2026)/1000000</f>
        <v>228.582800027624</v>
      </c>
      <c r="M505" s="8" t="n">
        <f aca="false">M495-M489*(CEG_Assets!$N$17*(1+CEG_FuelAdj)+CEG_Assets!$O$17*(1+CEG_OMAdj)+CEG_Assets!$P$17*(1+CEG_CapexAdj))*(1+CEG_Assets!$Q$17)^(M$3-2026)/1000000</f>
        <v>222.430307528315</v>
      </c>
      <c r="N505" s="8" t="n">
        <f aca="false">N495-N489*(CEG_Assets!$N$17*(1+CEG_FuelAdj)+CEG_Assets!$O$17*(1+CEG_OMAdj)+CEG_Assets!$P$17*(1+CEG_CapexAdj))*(1+CEG_Assets!$Q$17)^(N$3-2026)/1000000</f>
        <v>216.124002716523</v>
      </c>
      <c r="O505" s="8" t="n">
        <f aca="false">O495-O489*(CEG_Assets!$N$17*(1+CEG_FuelAdj)+CEG_Assets!$O$17*(1+CEG_OMAdj)+CEG_Assets!$P$17*(1+CEG_CapexAdj))*(1+CEG_Assets!$Q$17)^(O$3-2026)/1000000</f>
        <v>209.660040284436</v>
      </c>
      <c r="P505" s="8" t="n">
        <f aca="false">P495-P489*(CEG_Assets!$N$17*(1+CEG_FuelAdj)+CEG_Assets!$O$17*(1+CEG_OMAdj)+CEG_Assets!$P$17*(1+CEG_CapexAdj))*(1+CEG_Assets!$Q$17)^(P$3-2026)/1000000</f>
        <v>0</v>
      </c>
      <c r="Q505" s="8" t="n">
        <f aca="false">Q495-Q489*(CEG_Assets!$N$17*(1+CEG_FuelAdj)+CEG_Assets!$O$17*(1+CEG_OMAdj)+CEG_Assets!$P$17*(1+CEG_CapexAdj))*(1+CEG_Assets!$Q$17)^(Q$3-2026)/1000000</f>
        <v>0</v>
      </c>
      <c r="R505" s="8" t="n">
        <f aca="false">R495-R489*(CEG_Assets!$N$17*(1+CEG_FuelAdj)+CEG_Assets!$O$17*(1+CEG_OMAdj)+CEG_Assets!$P$17*(1+CEG_CapexAdj))*(1+CEG_Assets!$Q$17)^(R$3-2026)/1000000</f>
        <v>0</v>
      </c>
      <c r="S505" s="8" t="n">
        <f aca="false">S495-S489*(CEG_Assets!$N$17*(1+CEG_FuelAdj)+CEG_Assets!$O$17*(1+CEG_OMAdj)+CEG_Assets!$P$17*(1+CEG_CapexAdj))*(1+CEG_Assets!$Q$17)^(S$3-2026)/1000000</f>
        <v>0</v>
      </c>
      <c r="T505" s="8" t="n">
        <f aca="false">T495-T489*(CEG_Assets!$N$17*(1+CEG_FuelAdj)+CEG_Assets!$O$17*(1+CEG_OMAdj)+CEG_Assets!$P$17*(1+CEG_CapexAdj))*(1+CEG_Assets!$Q$17)^(T$3-2026)/1000000</f>
        <v>0</v>
      </c>
      <c r="U505" s="8" t="n">
        <f aca="false">U495-U489*(CEG_Assets!$N$17*(1+CEG_FuelAdj)+CEG_Assets!$O$17*(1+CEG_OMAdj)+CEG_Assets!$P$17*(1+CEG_CapexAdj))*(1+CEG_Assets!$Q$17)^(U$3-2026)/1000000</f>
        <v>0</v>
      </c>
      <c r="V505" s="8" t="n">
        <f aca="false">V495-V489*(CEG_Assets!$N$17*(1+CEG_FuelAdj)+CEG_Assets!$O$17*(1+CEG_OMAdj)+CEG_Assets!$P$17*(1+CEG_CapexAdj))*(1+CEG_Assets!$Q$17)^(V$3-2026)/1000000</f>
        <v>0</v>
      </c>
      <c r="W505" s="8" t="n">
        <f aca="false">W495-W489*(CEG_Assets!$N$17*(1+CEG_FuelAdj)+CEG_Assets!$O$17*(1+CEG_OMAdj)+CEG_Assets!$P$17*(1+CEG_CapexAdj))*(1+CEG_Assets!$Q$17)^(W$3-2026)/1000000</f>
        <v>0</v>
      </c>
      <c r="X505" s="8" t="n">
        <f aca="false">X495-X489*(CEG_Assets!$N$17*(1+CEG_FuelAdj)+CEG_Assets!$O$17*(1+CEG_OMAdj)+CEG_Assets!$P$17*(1+CEG_CapexAdj))*(1+CEG_Assets!$Q$17)^(X$3-2026)/1000000</f>
        <v>0</v>
      </c>
      <c r="Y505" s="8" t="n">
        <f aca="false">Y495-Y489*(CEG_Assets!$N$17*(1+CEG_FuelAdj)+CEG_Assets!$O$17*(1+CEG_OMAdj)+CEG_Assets!$P$17*(1+CEG_CapexAdj))*(1+CEG_Assets!$Q$17)^(Y$3-2026)/1000000</f>
        <v>0</v>
      </c>
      <c r="Z505" s="8" t="n">
        <f aca="false">Z495-Z489*(CEG_Assets!$N$17*(1+CEG_FuelAdj)+CEG_Assets!$O$17*(1+CEG_OMAdj)+CEG_Assets!$P$17*(1+CEG_CapexAdj))*(1+CEG_Assets!$Q$17)^(Z$3-2026)/1000000</f>
        <v>0</v>
      </c>
      <c r="AA505" s="8" t="n">
        <f aca="false">AA495-AA489*(CEG_Assets!$N$17*(1+CEG_FuelAdj)+CEG_Assets!$O$17*(1+CEG_OMAdj)+CEG_Assets!$P$17*(1+CEG_CapexAdj))*(1+CEG_Assets!$Q$17)^(AA$3-2026)/1000000</f>
        <v>0</v>
      </c>
      <c r="AB505" s="8" t="n">
        <f aca="false">AB495-AB489*(CEG_Assets!$N$17*(1+CEG_FuelAdj)+CEG_Assets!$O$17*(1+CEG_OMAdj)+CEG_Assets!$P$17*(1+CEG_CapexAdj))*(1+CEG_Assets!$Q$17)^(AB$3-2026)/1000000</f>
        <v>0</v>
      </c>
      <c r="AC505" s="8" t="n">
        <f aca="false">AC495-AC489*(CEG_Assets!$N$17*(1+CEG_FuelAdj)+CEG_Assets!$O$17*(1+CEG_OMAdj)+CEG_Assets!$P$17*(1+CEG_CapexAdj))*(1+CEG_Assets!$Q$17)^(AC$3-2026)/1000000</f>
        <v>0</v>
      </c>
      <c r="AD505" s="8" t="n">
        <f aca="false">AD495-AD489*(CEG_Assets!$N$17*(1+CEG_FuelAdj)+CEG_Assets!$O$17*(1+CEG_OMAdj)+CEG_Assets!$P$17*(1+CEG_CapexAdj))*(1+CEG_Assets!$Q$17)^(AD$3-2026)/1000000</f>
        <v>0</v>
      </c>
      <c r="AE505" s="8" t="n">
        <f aca="false">AE495-AE489*(CEG_Assets!$N$17*(1+CEG_FuelAdj)+CEG_Assets!$O$17*(1+CEG_OMAdj)+CEG_Assets!$P$17*(1+CEG_CapexAdj))*(1+CEG_Assets!$Q$17)^(AE$3-2026)/1000000</f>
        <v>0</v>
      </c>
      <c r="AF505" s="8" t="n">
        <f aca="false">AF495-AF489*(CEG_Assets!$N$17*(1+CEG_FuelAdj)+CEG_Assets!$O$17*(1+CEG_OMAdj)+CEG_Assets!$P$17*(1+CEG_CapexAdj))*(1+CEG_Assets!$Q$17)^(AF$3-2026)/1000000</f>
        <v>0</v>
      </c>
      <c r="AG505" s="8" t="n">
        <f aca="false">AG495-AG489*(CEG_Assets!$N$17*(1+CEG_FuelAdj)+CEG_Assets!$O$17*(1+CEG_OMAdj)+CEG_Assets!$P$17*(1+CEG_CapexAdj))*(1+CEG_Assets!$Q$17)^(AG$3-2026)/1000000</f>
        <v>0</v>
      </c>
      <c r="AH505" s="8" t="n">
        <f aca="false">AH495-AH489*(CEG_Assets!$N$17*(1+CEG_FuelAdj)+CEG_Assets!$O$17*(1+CEG_OMAdj)+CEG_Assets!$P$17*(1+CEG_CapexAdj))*(1+CEG_Assets!$Q$17)^(AH$3-2026)/1000000</f>
        <v>0</v>
      </c>
      <c r="AI505" s="8" t="n">
        <f aca="false">AI495-AI489*(CEG_Assets!$N$17*(1+CEG_FuelAdj)+CEG_Assets!$O$17*(1+CEG_OMAdj)+CEG_Assets!$P$17*(1+CEG_CapexAdj))*(1+CEG_Assets!$Q$17)^(AI$3-2026)/1000000</f>
        <v>0</v>
      </c>
      <c r="AJ505" s="8" t="n">
        <f aca="false">AJ495-AJ489*(CEG_Assets!$N$17*(1+CEG_FuelAdj)+CEG_Assets!$O$17*(1+CEG_OMAdj)+CEG_Assets!$P$17*(1+CEG_CapexAdj))*(1+CEG_Assets!$Q$17)^(AJ$3-2026)/1000000</f>
        <v>0</v>
      </c>
      <c r="AK505" s="8" t="n">
        <f aca="false">AK495-AK489*(CEG_Assets!$N$17*(1+CEG_FuelAdj)+CEG_Assets!$O$17*(1+CEG_OMAdj)+CEG_Assets!$P$17*(1+CEG_CapexAdj))*(1+CEG_Assets!$Q$17)^(AK$3-2026)/1000000</f>
        <v>0</v>
      </c>
      <c r="AL505" s="8" t="n">
        <f aca="false">AL495-AL489*(CEG_Assets!$N$17*(1+CEG_FuelAdj)+CEG_Assets!$O$17*(1+CEG_OMAdj)+CEG_Assets!$P$17*(1+CEG_CapexAdj))*(1+CEG_Assets!$Q$17)^(AL$3-2026)/1000000</f>
        <v>0</v>
      </c>
      <c r="AM505" s="8" t="n">
        <f aca="false">AM495-AM489*(CEG_Assets!$N$17*(1+CEG_FuelAdj)+CEG_Assets!$O$17*(1+CEG_OMAdj)+CEG_Assets!$P$17*(1+CEG_CapexAdj))*(1+CEG_Assets!$Q$17)^(AM$3-2026)/1000000</f>
        <v>0</v>
      </c>
      <c r="AN505" s="8" t="n">
        <f aca="false">AN495-AN489*(CEG_Assets!$N$17*(1+CEG_FuelAdj)+CEG_Assets!$O$17*(1+CEG_OMAdj)+CEG_Assets!$P$17*(1+CEG_CapexAdj))*(1+CEG_Assets!$Q$17)^(AN$3-2026)/1000000</f>
        <v>0</v>
      </c>
      <c r="AO505" s="8" t="n">
        <f aca="false">AO495-AO489*(CEG_Assets!$N$17*(1+CEG_FuelAdj)+CEG_Assets!$O$17*(1+CEG_OMAdj)+CEG_Assets!$P$17*(1+CEG_CapexAdj))*(1+CEG_Assets!$Q$17)^(AO$3-2026)/1000000</f>
        <v>0</v>
      </c>
      <c r="AP505" s="8" t="n">
        <f aca="false">AP495-AP489*(CEG_Assets!$N$17*(1+CEG_FuelAdj)+CEG_Assets!$O$17*(1+CEG_OMAdj)+CEG_Assets!$P$17*(1+CEG_CapexAdj))*(1+CEG_Assets!$Q$17)^(AP$3-2026)/1000000</f>
        <v>0</v>
      </c>
      <c r="AQ505" s="8" t="n">
        <f aca="false">AQ495-AQ489*(CEG_Assets!$N$17*(1+CEG_FuelAdj)+CEG_Assets!$O$17*(1+CEG_OMAdj)+CEG_Assets!$P$17*(1+CEG_CapexAdj))*(1+CEG_Assets!$Q$17)^(AQ$3-2026)/1000000</f>
        <v>0</v>
      </c>
      <c r="AR505" s="8" t="n">
        <f aca="false">AR495-AR489*(CEG_Assets!$N$17*(1+CEG_FuelAdj)+CEG_Assets!$O$17*(1+CEG_OMAdj)+CEG_Assets!$P$17*(1+CEG_CapexAdj))*(1+CEG_Assets!$Q$17)^(AR$3-2026)/1000000</f>
        <v>0</v>
      </c>
      <c r="AS505" s="8" t="n">
        <f aca="false">AS495-AS489*(CEG_Assets!$N$17*(1+CEG_FuelAdj)+CEG_Assets!$O$17*(1+CEG_OMAdj)+CEG_Assets!$P$17*(1+CEG_CapexAdj))*(1+CEG_Assets!$Q$17)^(AS$3-2026)/1000000</f>
        <v>0</v>
      </c>
    </row>
    <row r="506" customFormat="false" ht="15" hidden="false" customHeight="false" outlineLevel="0" collapsed="false">
      <c r="A506" s="6" t="s">
        <v>465</v>
      </c>
      <c r="B506" s="6" t="s">
        <v>466</v>
      </c>
      <c r="G506" s="8" t="n">
        <f aca="false">G503-G505</f>
        <v>0</v>
      </c>
      <c r="H506" s="8" t="n">
        <f aca="false">H503-H505</f>
        <v>0</v>
      </c>
      <c r="I506" s="8" t="n">
        <f aca="false">I503-I505</f>
        <v>0</v>
      </c>
      <c r="J506" s="8" t="n">
        <f aca="false">J503-J505</f>
        <v>0</v>
      </c>
      <c r="K506" s="8" t="n">
        <f aca="false">K503-K505</f>
        <v>0</v>
      </c>
      <c r="L506" s="8" t="n">
        <f aca="false">L503-L505</f>
        <v>0</v>
      </c>
      <c r="M506" s="8" t="n">
        <f aca="false">M503-M505</f>
        <v>0</v>
      </c>
      <c r="N506" s="8" t="n">
        <f aca="false">N503-N505</f>
        <v>0</v>
      </c>
      <c r="O506" s="8" t="n">
        <f aca="false">O503-O505</f>
        <v>0</v>
      </c>
      <c r="P506" s="8" t="n">
        <f aca="false">P503-P505</f>
        <v>209.324427579515</v>
      </c>
      <c r="Q506" s="8" t="n">
        <f aca="false">Q503-Q505</f>
        <v>212.152676025063</v>
      </c>
      <c r="R506" s="8" t="n">
        <f aca="false">R503-R505</f>
        <v>215.003533436871</v>
      </c>
      <c r="S506" s="8" t="n">
        <f aca="false">S503-S505</f>
        <v>217.876603094198</v>
      </c>
      <c r="T506" s="8" t="n">
        <f aca="false">T503-T505</f>
        <v>220.771459119386</v>
      </c>
      <c r="U506" s="8" t="n">
        <f aca="false">U503-U505</f>
        <v>223.687645364161</v>
      </c>
      <c r="V506" s="8" t="n">
        <f aca="false">V503-V505</f>
        <v>226.62467426039</v>
      </c>
      <c r="W506" s="8" t="n">
        <f aca="false">W503-W505</f>
        <v>229.582025634268</v>
      </c>
      <c r="X506" s="8" t="n">
        <f aca="false">X503-X505</f>
        <v>232.559145482841</v>
      </c>
      <c r="Y506" s="8" t="n">
        <f aca="false">Y503-Y505</f>
        <v>235.555444711781</v>
      </c>
      <c r="Z506" s="8" t="n">
        <f aca="false">Z503-Z505</f>
        <v>238.570297833283</v>
      </c>
      <c r="AA506" s="8" t="n">
        <f aca="false">AA503-AA505</f>
        <v>241.603041622896</v>
      </c>
      <c r="AB506" s="8" t="n">
        <f aca="false">AB503-AB505</f>
        <v>244.652973734126</v>
      </c>
      <c r="AC506" s="8" t="n">
        <f aca="false">AC503-AC505</f>
        <v>247.719351269549</v>
      </c>
      <c r="AD506" s="8" t="n">
        <f aca="false">AD503-AD505</f>
        <v>250.801389307199</v>
      </c>
      <c r="AE506" s="8" t="n">
        <f aca="false">AE503-AE505</f>
        <v>253.898259380909</v>
      </c>
      <c r="AF506" s="8" t="n">
        <f aca="false">AF503-AF505</f>
        <v>257.009087913282</v>
      </c>
      <c r="AG506" s="8" t="n">
        <f aca="false">AG503-AG505</f>
        <v>260.132954599921</v>
      </c>
      <c r="AH506" s="8" t="n">
        <f aca="false">AH503-AH505</f>
        <v>263.268890743503</v>
      </c>
      <c r="AI506" s="8" t="n">
        <f aca="false">AI503-AI505</f>
        <v>266.415877536245</v>
      </c>
      <c r="AJ506" s="8" t="n">
        <f aca="false">AJ503-AJ505</f>
        <v>0</v>
      </c>
      <c r="AK506" s="8" t="n">
        <f aca="false">AK503-AK505</f>
        <v>0</v>
      </c>
      <c r="AL506" s="8" t="n">
        <f aca="false">AL503-AL505</f>
        <v>0</v>
      </c>
      <c r="AM506" s="8" t="n">
        <f aca="false">AM503-AM505</f>
        <v>0</v>
      </c>
      <c r="AN506" s="8" t="n">
        <f aca="false">AN503-AN505</f>
        <v>0</v>
      </c>
      <c r="AO506" s="8" t="n">
        <f aca="false">AO503-AO505</f>
        <v>0</v>
      </c>
      <c r="AP506" s="8" t="n">
        <f aca="false">AP503-AP505</f>
        <v>0</v>
      </c>
      <c r="AQ506" s="8" t="n">
        <f aca="false">AQ503-AQ505</f>
        <v>0</v>
      </c>
      <c r="AR506" s="8" t="n">
        <f aca="false">AR503-AR505</f>
        <v>0</v>
      </c>
      <c r="AS506" s="8" t="n">
        <f aca="false">AS503-AS505</f>
        <v>0</v>
      </c>
    </row>
    <row r="507" customFormat="false" ht="15" hidden="false" customHeight="false" outlineLevel="0" collapsed="false">
      <c r="A507" s="6" t="s">
        <v>467</v>
      </c>
      <c r="B507" s="6" t="s">
        <v>468</v>
      </c>
      <c r="G507" s="8" t="n">
        <f aca="false">G506*(1-TaxRate)+G504</f>
        <v>0</v>
      </c>
      <c r="H507" s="8" t="n">
        <f aca="false">H506*(1-TaxRate)+H504</f>
        <v>0</v>
      </c>
      <c r="I507" s="8" t="n">
        <f aca="false">I506*(1-TaxRate)+I504</f>
        <v>0</v>
      </c>
      <c r="J507" s="8" t="n">
        <f aca="false">J506*(1-TaxRate)+J504</f>
        <v>0</v>
      </c>
      <c r="K507" s="8" t="n">
        <f aca="false">K506*(1-TaxRate)+K504</f>
        <v>0</v>
      </c>
      <c r="L507" s="8" t="n">
        <f aca="false">L506*(1-TaxRate)+L504</f>
        <v>0</v>
      </c>
      <c r="M507" s="8" t="n">
        <f aca="false">M506*(1-TaxRate)+M504</f>
        <v>0</v>
      </c>
      <c r="N507" s="8" t="n">
        <f aca="false">N506*(1-TaxRate)+N504</f>
        <v>0</v>
      </c>
      <c r="O507" s="8" t="n">
        <f aca="false">O506*(1-TaxRate)+O504</f>
        <v>0</v>
      </c>
      <c r="P507" s="8" t="n">
        <f aca="false">P506*(1-TaxRate)+P504</f>
        <v>167.459542063612</v>
      </c>
      <c r="Q507" s="8" t="n">
        <f aca="false">Q506*(1-TaxRate)+Q504</f>
        <v>169.722140820051</v>
      </c>
      <c r="R507" s="8" t="n">
        <f aca="false">R506*(1-TaxRate)+R504</f>
        <v>172.002826749497</v>
      </c>
      <c r="S507" s="8" t="n">
        <f aca="false">S506*(1-TaxRate)+S504</f>
        <v>174.301282475359</v>
      </c>
      <c r="T507" s="8" t="n">
        <f aca="false">T506*(1-TaxRate)+T504</f>
        <v>176.617167295509</v>
      </c>
      <c r="U507" s="8" t="n">
        <f aca="false">U506*(1-TaxRate)+U504</f>
        <v>178.950116291329</v>
      </c>
      <c r="V507" s="8" t="n">
        <f aca="false">V506*(1-TaxRate)+V504</f>
        <v>181.299739408312</v>
      </c>
      <c r="W507" s="8" t="n">
        <f aca="false">W506*(1-TaxRate)+W504</f>
        <v>183.665620507415</v>
      </c>
      <c r="X507" s="8" t="n">
        <f aca="false">X506*(1-TaxRate)+X504</f>
        <v>186.047316386272</v>
      </c>
      <c r="Y507" s="8" t="n">
        <f aca="false">Y506*(1-TaxRate)+Y504</f>
        <v>188.444355769425</v>
      </c>
      <c r="Z507" s="8" t="n">
        <f aca="false">Z506*(1-TaxRate)+Z504</f>
        <v>190.856238266626</v>
      </c>
      <c r="AA507" s="8" t="n">
        <f aca="false">AA506*(1-TaxRate)+AA504</f>
        <v>193.282433298317</v>
      </c>
      <c r="AB507" s="8" t="n">
        <f aca="false">AB506*(1-TaxRate)+AB504</f>
        <v>195.7223789873</v>
      </c>
      <c r="AC507" s="8" t="n">
        <f aca="false">AC506*(1-TaxRate)+AC504</f>
        <v>198.175481015639</v>
      </c>
      <c r="AD507" s="8" t="n">
        <f aca="false">AD506*(1-TaxRate)+AD504</f>
        <v>200.641111445759</v>
      </c>
      <c r="AE507" s="8" t="n">
        <f aca="false">AE506*(1-TaxRate)+AE504</f>
        <v>203.118607504727</v>
      </c>
      <c r="AF507" s="8" t="n">
        <f aca="false">AF506*(1-TaxRate)+AF504</f>
        <v>205.607270330625</v>
      </c>
      <c r="AG507" s="8" t="n">
        <f aca="false">AG506*(1-TaxRate)+AG504</f>
        <v>208.106363679937</v>
      </c>
      <c r="AH507" s="8" t="n">
        <f aca="false">AH506*(1-TaxRate)+AH504</f>
        <v>210.615112594802</v>
      </c>
      <c r="AI507" s="8" t="n">
        <f aca="false">AI506*(1-TaxRate)+AI504</f>
        <v>213.132702028996</v>
      </c>
      <c r="AJ507" s="8" t="n">
        <f aca="false">AJ506*(1-TaxRate)+AJ504</f>
        <v>0</v>
      </c>
      <c r="AK507" s="8" t="n">
        <f aca="false">AK506*(1-TaxRate)+AK504</f>
        <v>0</v>
      </c>
      <c r="AL507" s="8" t="n">
        <f aca="false">AL506*(1-TaxRate)+AL504</f>
        <v>0</v>
      </c>
      <c r="AM507" s="8" t="n">
        <f aca="false">AM506*(1-TaxRate)+AM504</f>
        <v>0</v>
      </c>
      <c r="AN507" s="8" t="n">
        <f aca="false">AN506*(1-TaxRate)+AN504</f>
        <v>0</v>
      </c>
      <c r="AO507" s="8" t="n">
        <f aca="false">AO506*(1-TaxRate)+AO504</f>
        <v>0</v>
      </c>
      <c r="AP507" s="8" t="n">
        <f aca="false">AP506*(1-TaxRate)+AP504</f>
        <v>0</v>
      </c>
      <c r="AQ507" s="8" t="n">
        <f aca="false">AQ506*(1-TaxRate)+AQ504</f>
        <v>0</v>
      </c>
      <c r="AR507" s="8" t="n">
        <f aca="false">AR506*(1-TaxRate)+AR504</f>
        <v>0</v>
      </c>
      <c r="AS507" s="8" t="n">
        <f aca="false">AS506*(1-TaxRate)+AS504</f>
        <v>0</v>
      </c>
    </row>
    <row r="508" customFormat="false" ht="15" hidden="false" customHeight="false" outlineLevel="0" collapsed="false">
      <c r="A508" s="6" t="s">
        <v>469</v>
      </c>
      <c r="B508" s="6" t="s">
        <v>470</v>
      </c>
      <c r="G508" s="8" t="n">
        <f aca="false">G505*(1-TaxRate)</f>
        <v>205.73298</v>
      </c>
      <c r="H508" s="8" t="n">
        <f aca="false">H505*(1-TaxRate)</f>
        <v>201.3826545</v>
      </c>
      <c r="I508" s="8" t="n">
        <f aca="false">I505*(1-TaxRate)</f>
        <v>196.9235708625</v>
      </c>
      <c r="J508" s="8" t="n">
        <f aca="false">J505*(1-TaxRate)</f>
        <v>192.353010134063</v>
      </c>
      <c r="K508" s="8" t="n">
        <f aca="false">K505*(1-TaxRate)</f>
        <v>187.668185387414</v>
      </c>
      <c r="L508" s="8" t="n">
        <f aca="false">L505*(1-TaxRate)</f>
        <v>182.8662400221</v>
      </c>
      <c r="M508" s="8" t="n">
        <f aca="false">M505*(1-TaxRate)</f>
        <v>177.944246022652</v>
      </c>
      <c r="N508" s="8" t="n">
        <f aca="false">N505*(1-TaxRate)</f>
        <v>172.899202173218</v>
      </c>
      <c r="O508" s="8" t="n">
        <f aca="false">O505*(1-TaxRate)</f>
        <v>167.728032227549</v>
      </c>
      <c r="P508" s="8" t="n">
        <f aca="false">P505*(1-TaxRate)</f>
        <v>0</v>
      </c>
      <c r="Q508" s="8" t="n">
        <f aca="false">Q505*(1-TaxRate)</f>
        <v>0</v>
      </c>
      <c r="R508" s="8" t="n">
        <f aca="false">R505*(1-TaxRate)</f>
        <v>0</v>
      </c>
      <c r="S508" s="8" t="n">
        <f aca="false">S505*(1-TaxRate)</f>
        <v>0</v>
      </c>
      <c r="T508" s="8" t="n">
        <f aca="false">T505*(1-TaxRate)</f>
        <v>0</v>
      </c>
      <c r="U508" s="8" t="n">
        <f aca="false">U505*(1-TaxRate)</f>
        <v>0</v>
      </c>
      <c r="V508" s="8" t="n">
        <f aca="false">V505*(1-TaxRate)</f>
        <v>0</v>
      </c>
      <c r="W508" s="8" t="n">
        <f aca="false">W505*(1-TaxRate)</f>
        <v>0</v>
      </c>
      <c r="X508" s="8" t="n">
        <f aca="false">X505*(1-TaxRate)</f>
        <v>0</v>
      </c>
      <c r="Y508" s="8" t="n">
        <f aca="false">Y505*(1-TaxRate)</f>
        <v>0</v>
      </c>
      <c r="Z508" s="8" t="n">
        <f aca="false">Z505*(1-TaxRate)</f>
        <v>0</v>
      </c>
      <c r="AA508" s="8" t="n">
        <f aca="false">AA505*(1-TaxRate)</f>
        <v>0</v>
      </c>
      <c r="AB508" s="8" t="n">
        <f aca="false">AB505*(1-TaxRate)</f>
        <v>0</v>
      </c>
      <c r="AC508" s="8" t="n">
        <f aca="false">AC505*(1-TaxRate)</f>
        <v>0</v>
      </c>
      <c r="AD508" s="8" t="n">
        <f aca="false">AD505*(1-TaxRate)</f>
        <v>0</v>
      </c>
      <c r="AE508" s="8" t="n">
        <f aca="false">AE505*(1-TaxRate)</f>
        <v>0</v>
      </c>
      <c r="AF508" s="8" t="n">
        <f aca="false">AF505*(1-TaxRate)</f>
        <v>0</v>
      </c>
      <c r="AG508" s="8" t="n">
        <f aca="false">AG505*(1-TaxRate)</f>
        <v>0</v>
      </c>
      <c r="AH508" s="8" t="n">
        <f aca="false">AH505*(1-TaxRate)</f>
        <v>0</v>
      </c>
      <c r="AI508" s="8" t="n">
        <f aca="false">AI505*(1-TaxRate)</f>
        <v>0</v>
      </c>
      <c r="AJ508" s="8" t="n">
        <f aca="false">AJ505*(1-TaxRate)</f>
        <v>0</v>
      </c>
      <c r="AK508" s="8" t="n">
        <f aca="false">AK505*(1-TaxRate)</f>
        <v>0</v>
      </c>
      <c r="AL508" s="8" t="n">
        <f aca="false">AL505*(1-TaxRate)</f>
        <v>0</v>
      </c>
      <c r="AM508" s="8" t="n">
        <f aca="false">AM505*(1-TaxRate)</f>
        <v>0</v>
      </c>
      <c r="AN508" s="8" t="n">
        <f aca="false">AN505*(1-TaxRate)</f>
        <v>0</v>
      </c>
      <c r="AO508" s="8" t="n">
        <f aca="false">AO505*(1-TaxRate)</f>
        <v>0</v>
      </c>
      <c r="AP508" s="8" t="n">
        <f aca="false">AP505*(1-TaxRate)</f>
        <v>0</v>
      </c>
      <c r="AQ508" s="8" t="n">
        <f aca="false">AQ505*(1-TaxRate)</f>
        <v>0</v>
      </c>
      <c r="AR508" s="8" t="n">
        <f aca="false">AR505*(1-TaxRate)</f>
        <v>0</v>
      </c>
      <c r="AS508" s="8" t="n">
        <f aca="false">AS505*(1-TaxRate)</f>
        <v>0</v>
      </c>
    </row>
    <row r="509" customFormat="false" ht="15" hidden="false" customHeight="false" outlineLevel="0" collapsed="false">
      <c r="A509" s="6" t="s">
        <v>471</v>
      </c>
      <c r="B509" s="6" t="s">
        <v>472</v>
      </c>
      <c r="G509" s="42" t="n">
        <f aca="false">(1+CEG_Assets!$AE$17)^-(G$3+0.5-ValDate)</f>
        <v>0.947204280091693</v>
      </c>
      <c r="H509" s="42" t="n">
        <f aca="false">(1+CEG_Assets!$AE$17)^-(H$3+0.5-ValDate)</f>
        <v>0.881120260550412</v>
      </c>
      <c r="I509" s="42" t="n">
        <f aca="false">(1+CEG_Assets!$AE$17)^-(I$3+0.5-ValDate)</f>
        <v>0.819646754000383</v>
      </c>
      <c r="J509" s="42" t="n">
        <f aca="false">(1+CEG_Assets!$AE$17)^-(J$3+0.5-ValDate)</f>
        <v>0.762462096744543</v>
      </c>
      <c r="K509" s="42" t="n">
        <f aca="false">(1+CEG_Assets!$AE$17)^-(K$3+0.5-ValDate)</f>
        <v>0.70926706673911</v>
      </c>
      <c r="L509" s="42" t="n">
        <f aca="false">(1+CEG_Assets!$AE$17)^-(L$3+0.5-ValDate)</f>
        <v>0.659783317896846</v>
      </c>
      <c r="M509" s="42" t="n">
        <f aca="false">(1+CEG_Assets!$AE$17)^-(M$3+0.5-ValDate)</f>
        <v>0.613751923624973</v>
      </c>
      <c r="N509" s="42" t="n">
        <f aca="false">(1+CEG_Assets!$AE$17)^-(N$3+0.5-ValDate)</f>
        <v>0.570932021976719</v>
      </c>
      <c r="O509" s="42" t="n">
        <f aca="false">(1+CEG_Assets!$AE$17)^-(O$3+0.5-ValDate)</f>
        <v>0.531099555327181</v>
      </c>
      <c r="P509" s="42" t="n">
        <f aca="false">(1+CEG_Assets!$AE$17)^-(P$3+0.5-ValDate)</f>
        <v>0.494046097978773</v>
      </c>
      <c r="Q509" s="42" t="n">
        <f aca="false">(1+CEG_Assets!$AE$17)^-(Q$3+0.5-ValDate)</f>
        <v>0.459577765561649</v>
      </c>
      <c r="R509" s="42" t="n">
        <f aca="false">(1+CEG_Assets!$AE$17)^-(R$3+0.5-ValDate)</f>
        <v>0.427514200522464</v>
      </c>
      <c r="S509" s="42" t="n">
        <f aca="false">(1+CEG_Assets!$AE$17)^-(S$3+0.5-ValDate)</f>
        <v>0.39768762839299</v>
      </c>
      <c r="T509" s="42" t="n">
        <f aca="false">(1+CEG_Assets!$AE$17)^-(T$3+0.5-ValDate)</f>
        <v>0.369941979900456</v>
      </c>
      <c r="U509" s="42" t="n">
        <f aca="false">(1+CEG_Assets!$AE$17)^-(U$3+0.5-ValDate)</f>
        <v>0.344132074326006</v>
      </c>
      <c r="V509" s="42" t="n">
        <f aca="false">(1+CEG_Assets!$AE$17)^-(V$3+0.5-ValDate)</f>
        <v>0.320122859838145</v>
      </c>
      <c r="W509" s="42" t="n">
        <f aca="false">(1+CEG_Assets!$AE$17)^-(W$3+0.5-ValDate)</f>
        <v>0.297788706826181</v>
      </c>
      <c r="X509" s="42" t="n">
        <f aca="false">(1+CEG_Assets!$AE$17)^-(X$3+0.5-ValDate)</f>
        <v>0.277012750535982</v>
      </c>
      <c r="Y509" s="42" t="n">
        <f aca="false">(1+CEG_Assets!$AE$17)^-(Y$3+0.5-ValDate)</f>
        <v>0.257686279568356</v>
      </c>
      <c r="Z509" s="42" t="n">
        <f aca="false">(1+CEG_Assets!$AE$17)^-(Z$3+0.5-ValDate)</f>
        <v>0.239708167040331</v>
      </c>
      <c r="AA509" s="42" t="n">
        <f aca="false">(1+CEG_Assets!$AE$17)^-(AA$3+0.5-ValDate)</f>
        <v>0.222984341432866</v>
      </c>
      <c r="AB509" s="42" t="n">
        <f aca="false">(1+CEG_Assets!$AE$17)^-(AB$3+0.5-ValDate)</f>
        <v>0.207427294356154</v>
      </c>
      <c r="AC509" s="42" t="n">
        <f aca="false">(1+CEG_Assets!$AE$17)^-(AC$3+0.5-ValDate)</f>
        <v>0.192955622656888</v>
      </c>
      <c r="AD509" s="42" t="n">
        <f aca="false">(1+CEG_Assets!$AE$17)^-(AD$3+0.5-ValDate)</f>
        <v>0.179493602471524</v>
      </c>
      <c r="AE509" s="42" t="n">
        <f aca="false">(1+CEG_Assets!$AE$17)^-(AE$3+0.5-ValDate)</f>
        <v>0.166970792996766</v>
      </c>
      <c r="AF509" s="42" t="n">
        <f aca="false">(1+CEG_Assets!$AE$17)^-(AF$3+0.5-ValDate)</f>
        <v>0.155321667903969</v>
      </c>
      <c r="AG509" s="42" t="n">
        <f aca="false">(1+CEG_Assets!$AE$17)^-(AG$3+0.5-ValDate)</f>
        <v>0.144485272468808</v>
      </c>
      <c r="AH509" s="42" t="n">
        <f aca="false">(1+CEG_Assets!$AE$17)^-(AH$3+0.5-ValDate)</f>
        <v>0.134404904622147</v>
      </c>
      <c r="AI509" s="42" t="n">
        <f aca="false">(1+CEG_Assets!$AE$17)^-(AI$3+0.5-ValDate)</f>
        <v>0.12502781825316</v>
      </c>
      <c r="AJ509" s="42" t="n">
        <f aca="false">(1+CEG_Assets!$AE$17)^-(AJ$3+0.5-ValDate)</f>
        <v>0.116304947212242</v>
      </c>
      <c r="AK509" s="42" t="n">
        <f aca="false">(1+CEG_Assets!$AE$17)^-(AK$3+0.5-ValDate)</f>
        <v>0.108190648569527</v>
      </c>
      <c r="AL509" s="42" t="n">
        <f aca="false">(1+CEG_Assets!$AE$17)^-(AL$3+0.5-ValDate)</f>
        <v>0.100642463785607</v>
      </c>
      <c r="AM509" s="42" t="n">
        <f aca="false">(1+CEG_Assets!$AE$17)^-(AM$3+0.5-ValDate)</f>
        <v>0.0936208965447505</v>
      </c>
      <c r="AN509" s="42" t="n">
        <f aca="false">(1+CEG_Assets!$AE$17)^-(AN$3+0.5-ValDate)</f>
        <v>0.08708920608814</v>
      </c>
      <c r="AO509" s="42" t="n">
        <f aca="false">(1+CEG_Assets!$AE$17)^-(AO$3+0.5-ValDate)</f>
        <v>0.0810132149657116</v>
      </c>
      <c r="AP509" s="42" t="n">
        <f aca="false">(1+CEG_Assets!$AE$17)^-(AP$3+0.5-ValDate)</f>
        <v>0.075361130200662</v>
      </c>
      <c r="AQ509" s="42" t="n">
        <f aca="false">(1+CEG_Assets!$AE$17)^-(AQ$3+0.5-ValDate)</f>
        <v>0.0701033769308484</v>
      </c>
      <c r="AR509" s="42" t="n">
        <f aca="false">(1+CEG_Assets!$AE$17)^-(AR$3+0.5-ValDate)</f>
        <v>0.0652124436566031</v>
      </c>
      <c r="AS509" s="42" t="n">
        <f aca="false">(1+CEG_Assets!$AE$17)^-(AS$3+0.5-ValDate)</f>
        <v>0.0606627382852122</v>
      </c>
    </row>
    <row r="510" customFormat="false" ht="15" hidden="false" customHeight="false" outlineLevel="0" collapsed="false">
      <c r="A510" s="6" t="s">
        <v>473</v>
      </c>
      <c r="B510" s="6" t="s">
        <v>474</v>
      </c>
      <c r="G510" s="42" t="n">
        <f aca="false">(1+CEG_Assets!$AF$17)^-(G$3+0.5-ValDate)</f>
        <v>0.947204280091693</v>
      </c>
      <c r="H510" s="42" t="n">
        <f aca="false">(1+CEG_Assets!$AF$17)^-(H$3+0.5-ValDate)</f>
        <v>0.881120260550412</v>
      </c>
      <c r="I510" s="42" t="n">
        <f aca="false">(1+CEG_Assets!$AF$17)^-(I$3+0.5-ValDate)</f>
        <v>0.819646754000383</v>
      </c>
      <c r="J510" s="42" t="n">
        <f aca="false">(1+CEG_Assets!$AF$17)^-(J$3+0.5-ValDate)</f>
        <v>0.762462096744543</v>
      </c>
      <c r="K510" s="42" t="n">
        <f aca="false">(1+CEG_Assets!$AF$17)^-(K$3+0.5-ValDate)</f>
        <v>0.70926706673911</v>
      </c>
      <c r="L510" s="42" t="n">
        <f aca="false">(1+CEG_Assets!$AF$17)^-(L$3+0.5-ValDate)</f>
        <v>0.659783317896846</v>
      </c>
      <c r="M510" s="42" t="n">
        <f aca="false">(1+CEG_Assets!$AF$17)^-(M$3+0.5-ValDate)</f>
        <v>0.613751923624973</v>
      </c>
      <c r="N510" s="42" t="n">
        <f aca="false">(1+CEG_Assets!$AF$17)^-(N$3+0.5-ValDate)</f>
        <v>0.570932021976719</v>
      </c>
      <c r="O510" s="42" t="n">
        <f aca="false">(1+CEG_Assets!$AF$17)^-(O$3+0.5-ValDate)</f>
        <v>0.531099555327181</v>
      </c>
      <c r="P510" s="42" t="n">
        <f aca="false">(1+CEG_Assets!$AF$17)^-(P$3+0.5-ValDate)</f>
        <v>0.494046097978773</v>
      </c>
      <c r="Q510" s="42" t="n">
        <f aca="false">(1+CEG_Assets!$AF$17)^-(Q$3+0.5-ValDate)</f>
        <v>0.459577765561649</v>
      </c>
      <c r="R510" s="42" t="n">
        <f aca="false">(1+CEG_Assets!$AF$17)^-(R$3+0.5-ValDate)</f>
        <v>0.427514200522464</v>
      </c>
      <c r="S510" s="42" t="n">
        <f aca="false">(1+CEG_Assets!$AF$17)^-(S$3+0.5-ValDate)</f>
        <v>0.39768762839299</v>
      </c>
      <c r="T510" s="42" t="n">
        <f aca="false">(1+CEG_Assets!$AF$17)^-(T$3+0.5-ValDate)</f>
        <v>0.369941979900456</v>
      </c>
      <c r="U510" s="42" t="n">
        <f aca="false">(1+CEG_Assets!$AF$17)^-(U$3+0.5-ValDate)</f>
        <v>0.344132074326006</v>
      </c>
      <c r="V510" s="42" t="n">
        <f aca="false">(1+CEG_Assets!$AF$17)^-(V$3+0.5-ValDate)</f>
        <v>0.320122859838145</v>
      </c>
      <c r="W510" s="42" t="n">
        <f aca="false">(1+CEG_Assets!$AF$17)^-(W$3+0.5-ValDate)</f>
        <v>0.297788706826181</v>
      </c>
      <c r="X510" s="42" t="n">
        <f aca="false">(1+CEG_Assets!$AF$17)^-(X$3+0.5-ValDate)</f>
        <v>0.277012750535982</v>
      </c>
      <c r="Y510" s="42" t="n">
        <f aca="false">(1+CEG_Assets!$AF$17)^-(Y$3+0.5-ValDate)</f>
        <v>0.257686279568356</v>
      </c>
      <c r="Z510" s="42" t="n">
        <f aca="false">(1+CEG_Assets!$AF$17)^-(Z$3+0.5-ValDate)</f>
        <v>0.239708167040331</v>
      </c>
      <c r="AA510" s="42" t="n">
        <f aca="false">(1+CEG_Assets!$AF$17)^-(AA$3+0.5-ValDate)</f>
        <v>0.222984341432866</v>
      </c>
      <c r="AB510" s="42" t="n">
        <f aca="false">(1+CEG_Assets!$AF$17)^-(AB$3+0.5-ValDate)</f>
        <v>0.207427294356154</v>
      </c>
      <c r="AC510" s="42" t="n">
        <f aca="false">(1+CEG_Assets!$AF$17)^-(AC$3+0.5-ValDate)</f>
        <v>0.192955622656888</v>
      </c>
      <c r="AD510" s="42" t="n">
        <f aca="false">(1+CEG_Assets!$AF$17)^-(AD$3+0.5-ValDate)</f>
        <v>0.179493602471524</v>
      </c>
      <c r="AE510" s="42" t="n">
        <f aca="false">(1+CEG_Assets!$AF$17)^-(AE$3+0.5-ValDate)</f>
        <v>0.166970792996766</v>
      </c>
      <c r="AF510" s="42" t="n">
        <f aca="false">(1+CEG_Assets!$AF$17)^-(AF$3+0.5-ValDate)</f>
        <v>0.155321667903969</v>
      </c>
      <c r="AG510" s="42" t="n">
        <f aca="false">(1+CEG_Assets!$AF$17)^-(AG$3+0.5-ValDate)</f>
        <v>0.144485272468808</v>
      </c>
      <c r="AH510" s="42" t="n">
        <f aca="false">(1+CEG_Assets!$AF$17)^-(AH$3+0.5-ValDate)</f>
        <v>0.134404904622147</v>
      </c>
      <c r="AI510" s="42" t="n">
        <f aca="false">(1+CEG_Assets!$AF$17)^-(AI$3+0.5-ValDate)</f>
        <v>0.12502781825316</v>
      </c>
      <c r="AJ510" s="42" t="n">
        <f aca="false">(1+CEG_Assets!$AF$17)^-(AJ$3+0.5-ValDate)</f>
        <v>0.116304947212242</v>
      </c>
      <c r="AK510" s="42" t="n">
        <f aca="false">(1+CEG_Assets!$AF$17)^-(AK$3+0.5-ValDate)</f>
        <v>0.108190648569527</v>
      </c>
      <c r="AL510" s="42" t="n">
        <f aca="false">(1+CEG_Assets!$AF$17)^-(AL$3+0.5-ValDate)</f>
        <v>0.100642463785607</v>
      </c>
      <c r="AM510" s="42" t="n">
        <f aca="false">(1+CEG_Assets!$AF$17)^-(AM$3+0.5-ValDate)</f>
        <v>0.0936208965447505</v>
      </c>
      <c r="AN510" s="42" t="n">
        <f aca="false">(1+CEG_Assets!$AF$17)^-(AN$3+0.5-ValDate)</f>
        <v>0.08708920608814</v>
      </c>
      <c r="AO510" s="42" t="n">
        <f aca="false">(1+CEG_Assets!$AF$17)^-(AO$3+0.5-ValDate)</f>
        <v>0.0810132149657116</v>
      </c>
      <c r="AP510" s="42" t="n">
        <f aca="false">(1+CEG_Assets!$AF$17)^-(AP$3+0.5-ValDate)</f>
        <v>0.075361130200662</v>
      </c>
      <c r="AQ510" s="42" t="n">
        <f aca="false">(1+CEG_Assets!$AF$17)^-(AQ$3+0.5-ValDate)</f>
        <v>0.0701033769308484</v>
      </c>
      <c r="AR510" s="42" t="n">
        <f aca="false">(1+CEG_Assets!$AF$17)^-(AR$3+0.5-ValDate)</f>
        <v>0.0652124436566031</v>
      </c>
      <c r="AS510" s="42" t="n">
        <f aca="false">(1+CEG_Assets!$AF$17)^-(AS$3+0.5-ValDate)</f>
        <v>0.0606627382852122</v>
      </c>
    </row>
    <row r="511" customFormat="false" ht="15" hidden="false" customHeight="false" outlineLevel="0" collapsed="false">
      <c r="A511" s="6" t="s">
        <v>475</v>
      </c>
      <c r="B511" s="6" t="s">
        <v>476</v>
      </c>
      <c r="C511" s="43" t="n">
        <f aca="false">SUM(G511:AS511)</f>
        <v>997.907144469099</v>
      </c>
      <c r="D511" s="8" t="n">
        <f aca="false">SUMIF($G$3:$AS$3,"&lt;="&amp;Horizon,G511:AS511)</f>
        <v>0</v>
      </c>
      <c r="E511" s="8" t="n">
        <f aca="false">(C511-D511)*(1+CEG_Assets!$AE$17)^(Horizon+1-ValDate)</f>
        <v>1356.98830575989</v>
      </c>
      <c r="G511" s="8" t="n">
        <f aca="false">G507*G509</f>
        <v>0</v>
      </c>
      <c r="H511" s="8" t="n">
        <f aca="false">H507*H509</f>
        <v>0</v>
      </c>
      <c r="I511" s="8" t="n">
        <f aca="false">I507*I509</f>
        <v>0</v>
      </c>
      <c r="J511" s="8" t="n">
        <f aca="false">J507*J509</f>
        <v>0</v>
      </c>
      <c r="K511" s="8" t="n">
        <f aca="false">K507*K509</f>
        <v>0</v>
      </c>
      <c r="L511" s="8" t="n">
        <f aca="false">L507*L509</f>
        <v>0</v>
      </c>
      <c r="M511" s="8" t="n">
        <f aca="false">M507*M509</f>
        <v>0</v>
      </c>
      <c r="N511" s="8" t="n">
        <f aca="false">N507*N509</f>
        <v>0</v>
      </c>
      <c r="O511" s="8" t="n">
        <f aca="false">O507*O509</f>
        <v>0</v>
      </c>
      <c r="P511" s="8" t="n">
        <f aca="false">P507*P509</f>
        <v>82.7327333258399</v>
      </c>
      <c r="Q511" s="8" t="n">
        <f aca="false">Q507*Q509</f>
        <v>78.0005222444185</v>
      </c>
      <c r="R511" s="8" t="n">
        <f aca="false">R507*R509</f>
        <v>73.5336509654152</v>
      </c>
      <c r="S511" s="8" t="n">
        <f aca="false">S507*S509</f>
        <v>69.317463653482</v>
      </c>
      <c r="T511" s="8" t="n">
        <f aca="false">T507*T509</f>
        <v>65.3381045537107</v>
      </c>
      <c r="U511" s="8" t="n">
        <f aca="false">U507*U509</f>
        <v>61.5824747202148</v>
      </c>
      <c r="V511" s="8" t="n">
        <f aca="false">V507*V509</f>
        <v>58.0381910672993</v>
      </c>
      <c r="W511" s="8" t="n">
        <f aca="false">W507*W509</f>
        <v>54.6935476193311</v>
      </c>
      <c r="X511" s="8" t="n">
        <f aca="false">X507*X509</f>
        <v>51.5374788419995</v>
      </c>
      <c r="Y511" s="8" t="n">
        <f aca="false">Y507*Y509</f>
        <v>48.5595249438788</v>
      </c>
      <c r="Z511" s="8" t="n">
        <f aca="false">Z507*Z509</f>
        <v>45.7497990431057</v>
      </c>
      <c r="AA511" s="8" t="n">
        <f aca="false">AA507*AA509</f>
        <v>43.0989560995671</v>
      </c>
      <c r="AB511" s="8" t="n">
        <f aca="false">AB507*AB509</f>
        <v>40.5981635182856</v>
      </c>
      <c r="AC511" s="8" t="n">
        <f aca="false">AC507*AC509</f>
        <v>38.2390733347009</v>
      </c>
      <c r="AD511" s="8" t="n">
        <f aca="false">AD507*AD509</f>
        <v>36.0137958972898</v>
      </c>
      <c r="AE511" s="8" t="n">
        <f aca="false">AE507*AE509</f>
        <v>33.9148749674631</v>
      </c>
      <c r="AF511" s="8" t="n">
        <f aca="false">AF507*AF509</f>
        <v>31.9352641609349</v>
      </c>
      <c r="AG511" s="8" t="n">
        <f aca="false">AG507*AG509</f>
        <v>30.0683046587885</v>
      </c>
      <c r="AH511" s="8" t="n">
        <f aca="false">AH507*AH509</f>
        <v>28.3077041202871</v>
      </c>
      <c r="AI511" s="8" t="n">
        <f aca="false">AI507*AI509</f>
        <v>26.6475167330862</v>
      </c>
      <c r="AJ511" s="8" t="n">
        <f aca="false">AJ507*AJ509</f>
        <v>0</v>
      </c>
      <c r="AK511" s="8" t="n">
        <f aca="false">AK507*AK509</f>
        <v>0</v>
      </c>
      <c r="AL511" s="8" t="n">
        <f aca="false">AL507*AL509</f>
        <v>0</v>
      </c>
      <c r="AM511" s="8" t="n">
        <f aca="false">AM507*AM509</f>
        <v>0</v>
      </c>
      <c r="AN511" s="8" t="n">
        <f aca="false">AN507*AN509</f>
        <v>0</v>
      </c>
      <c r="AO511" s="8" t="n">
        <f aca="false">AO507*AO509</f>
        <v>0</v>
      </c>
      <c r="AP511" s="8" t="n">
        <f aca="false">AP507*AP509</f>
        <v>0</v>
      </c>
      <c r="AQ511" s="8" t="n">
        <f aca="false">AQ507*AQ509</f>
        <v>0</v>
      </c>
      <c r="AR511" s="8" t="n">
        <f aca="false">AR507*AR509</f>
        <v>0</v>
      </c>
      <c r="AS511" s="8" t="n">
        <f aca="false">AS507*AS509</f>
        <v>0</v>
      </c>
    </row>
    <row r="512" customFormat="false" ht="15" hidden="false" customHeight="false" outlineLevel="0" collapsed="false">
      <c r="A512" s="6" t="s">
        <v>477</v>
      </c>
      <c r="B512" s="6" t="s">
        <v>478</v>
      </c>
      <c r="C512" s="43" t="n">
        <f aca="false">SUM(G512:AS512)</f>
        <v>1231.1496969453</v>
      </c>
      <c r="D512" s="8" t="n">
        <f aca="false">SUMIF($G$3:$AS$3,"&lt;="&amp;Horizon,G512:AS512)</f>
        <v>680.383141280947</v>
      </c>
      <c r="E512" s="8" t="n">
        <f aca="false">(C512-D512)*(1+CEG_Assets!$AF$17)^(Horizon+1-ValDate)</f>
        <v>748.951221947409</v>
      </c>
      <c r="G512" s="8" t="n">
        <f aca="false">G508*G510</f>
        <v>194.871159212019</v>
      </c>
      <c r="H512" s="8" t="n">
        <f aca="false">H508*H510</f>
        <v>177.442337003374</v>
      </c>
      <c r="I512" s="8" t="n">
        <f aca="false">I508*I510</f>
        <v>161.407765643613</v>
      </c>
      <c r="J512" s="8" t="n">
        <f aca="false">J508*J510</f>
        <v>146.661879421942</v>
      </c>
      <c r="K512" s="8" t="n">
        <f aca="false">K508*K510</f>
        <v>133.106863369983</v>
      </c>
      <c r="L512" s="8" t="n">
        <f aca="false">L508*L510</f>
        <v>120.652094573102</v>
      </c>
      <c r="M512" s="8" t="n">
        <f aca="false">M508*M510</f>
        <v>109.213623294398</v>
      </c>
      <c r="N512" s="8" t="n">
        <f aca="false">N508*N510</f>
        <v>98.7136910949172</v>
      </c>
      <c r="O512" s="8" t="n">
        <f aca="false">O508*O510</f>
        <v>89.0802833319543</v>
      </c>
      <c r="P512" s="8" t="n">
        <f aca="false">P508*P510</f>
        <v>0</v>
      </c>
      <c r="Q512" s="8" t="n">
        <f aca="false">Q508*Q510</f>
        <v>0</v>
      </c>
      <c r="R512" s="8" t="n">
        <f aca="false">R508*R510</f>
        <v>0</v>
      </c>
      <c r="S512" s="8" t="n">
        <f aca="false">S508*S510</f>
        <v>0</v>
      </c>
      <c r="T512" s="8" t="n">
        <f aca="false">T508*T510</f>
        <v>0</v>
      </c>
      <c r="U512" s="8" t="n">
        <f aca="false">U508*U510</f>
        <v>0</v>
      </c>
      <c r="V512" s="8" t="n">
        <f aca="false">V508*V510</f>
        <v>0</v>
      </c>
      <c r="W512" s="8" t="n">
        <f aca="false">W508*W510</f>
        <v>0</v>
      </c>
      <c r="X512" s="8" t="n">
        <f aca="false">X508*X510</f>
        <v>0</v>
      </c>
      <c r="Y512" s="8" t="n">
        <f aca="false">Y508*Y510</f>
        <v>0</v>
      </c>
      <c r="Z512" s="8" t="n">
        <f aca="false">Z508*Z510</f>
        <v>0</v>
      </c>
      <c r="AA512" s="8" t="n">
        <f aca="false">AA508*AA510</f>
        <v>0</v>
      </c>
      <c r="AB512" s="8" t="n">
        <f aca="false">AB508*AB510</f>
        <v>0</v>
      </c>
      <c r="AC512" s="8" t="n">
        <f aca="false">AC508*AC510</f>
        <v>0</v>
      </c>
      <c r="AD512" s="8" t="n">
        <f aca="false">AD508*AD510</f>
        <v>0</v>
      </c>
      <c r="AE512" s="8" t="n">
        <f aca="false">AE508*AE510</f>
        <v>0</v>
      </c>
      <c r="AF512" s="8" t="n">
        <f aca="false">AF508*AF510</f>
        <v>0</v>
      </c>
      <c r="AG512" s="8" t="n">
        <f aca="false">AG508*AG510</f>
        <v>0</v>
      </c>
      <c r="AH512" s="8" t="n">
        <f aca="false">AH508*AH510</f>
        <v>0</v>
      </c>
      <c r="AI512" s="8" t="n">
        <f aca="false">AI508*AI510</f>
        <v>0</v>
      </c>
      <c r="AJ512" s="8" t="n">
        <f aca="false">AJ508*AJ510</f>
        <v>0</v>
      </c>
      <c r="AK512" s="8" t="n">
        <f aca="false">AK508*AK510</f>
        <v>0</v>
      </c>
      <c r="AL512" s="8" t="n">
        <f aca="false">AL508*AL510</f>
        <v>0</v>
      </c>
      <c r="AM512" s="8" t="n">
        <f aca="false">AM508*AM510</f>
        <v>0</v>
      </c>
      <c r="AN512" s="8" t="n">
        <f aca="false">AN508*AN510</f>
        <v>0</v>
      </c>
      <c r="AO512" s="8" t="n">
        <f aca="false">AO508*AO510</f>
        <v>0</v>
      </c>
      <c r="AP512" s="8" t="n">
        <f aca="false">AP508*AP510</f>
        <v>0</v>
      </c>
      <c r="AQ512" s="8" t="n">
        <f aca="false">AQ508*AQ510</f>
        <v>0</v>
      </c>
      <c r="AR512" s="8" t="n">
        <f aca="false">AR508*AR510</f>
        <v>0</v>
      </c>
      <c r="AS512" s="8" t="n">
        <f aca="false">AS508*AS510</f>
        <v>0</v>
      </c>
    </row>
    <row r="513" customFormat="false" ht="15" hidden="false" customHeight="false" outlineLevel="0" collapsed="false">
      <c r="A513" s="6" t="s">
        <v>479</v>
      </c>
      <c r="B513" s="6" t="s">
        <v>480</v>
      </c>
      <c r="C513" s="43" t="n">
        <f aca="false">IF(CEG_Assets!$H$17="$/kW",CEG_Assets!$D$17*CEG_Assets!$AI$17*(1+0.4*(PJMWLR/PJMWLRBase-1))/1000,0)</f>
        <v>0</v>
      </c>
      <c r="E513" s="8" t="n">
        <f aca="false">C513</f>
        <v>0</v>
      </c>
      <c r="G513" s="8" t="n">
        <f aca="false">0</f>
        <v>0</v>
      </c>
      <c r="H513" s="8" t="n">
        <f aca="false">0</f>
        <v>0</v>
      </c>
      <c r="I513" s="8" t="n">
        <f aca="false">0</f>
        <v>0</v>
      </c>
      <c r="J513" s="8" t="n">
        <f aca="false">0</f>
        <v>0</v>
      </c>
      <c r="K513" s="8" t="n">
        <f aca="false">0</f>
        <v>0</v>
      </c>
      <c r="L513" s="8" t="n">
        <f aca="false">0</f>
        <v>0</v>
      </c>
      <c r="M513" s="8" t="n">
        <f aca="false">0</f>
        <v>0</v>
      </c>
      <c r="N513" s="8" t="n">
        <f aca="false">0</f>
        <v>0</v>
      </c>
      <c r="O513" s="8" t="n">
        <f aca="false">0</f>
        <v>0</v>
      </c>
      <c r="P513" s="8" t="n">
        <f aca="false">0</f>
        <v>0</v>
      </c>
      <c r="Q513" s="8" t="n">
        <f aca="false">0</f>
        <v>0</v>
      </c>
      <c r="R513" s="8" t="n">
        <f aca="false">0</f>
        <v>0</v>
      </c>
      <c r="S513" s="8" t="n">
        <f aca="false">0</f>
        <v>0</v>
      </c>
      <c r="T513" s="8" t="n">
        <f aca="false">0</f>
        <v>0</v>
      </c>
      <c r="U513" s="8" t="n">
        <f aca="false">0</f>
        <v>0</v>
      </c>
      <c r="V513" s="8" t="n">
        <f aca="false">0</f>
        <v>0</v>
      </c>
      <c r="W513" s="8" t="n">
        <f aca="false">0</f>
        <v>0</v>
      </c>
      <c r="X513" s="8" t="n">
        <f aca="false">0</f>
        <v>0</v>
      </c>
      <c r="Y513" s="8" t="n">
        <f aca="false">0</f>
        <v>0</v>
      </c>
      <c r="Z513" s="8" t="n">
        <f aca="false">0</f>
        <v>0</v>
      </c>
      <c r="AA513" s="8" t="n">
        <f aca="false">0</f>
        <v>0</v>
      </c>
      <c r="AB513" s="8" t="n">
        <f aca="false">0</f>
        <v>0</v>
      </c>
      <c r="AC513" s="8" t="n">
        <f aca="false">0</f>
        <v>0</v>
      </c>
      <c r="AD513" s="8" t="n">
        <f aca="false">0</f>
        <v>0</v>
      </c>
      <c r="AE513" s="8" t="n">
        <f aca="false">0</f>
        <v>0</v>
      </c>
      <c r="AF513" s="8" t="n">
        <f aca="false">0</f>
        <v>0</v>
      </c>
      <c r="AG513" s="8" t="n">
        <f aca="false">0</f>
        <v>0</v>
      </c>
      <c r="AH513" s="8" t="n">
        <f aca="false">0</f>
        <v>0</v>
      </c>
      <c r="AI513" s="8" t="n">
        <f aca="false">0</f>
        <v>0</v>
      </c>
      <c r="AJ513" s="8" t="n">
        <f aca="false">0</f>
        <v>0</v>
      </c>
      <c r="AK513" s="8" t="n">
        <f aca="false">0</f>
        <v>0</v>
      </c>
      <c r="AL513" s="8" t="n">
        <f aca="false">0</f>
        <v>0</v>
      </c>
      <c r="AM513" s="8" t="n">
        <f aca="false">0</f>
        <v>0</v>
      </c>
      <c r="AN513" s="8" t="n">
        <f aca="false">0</f>
        <v>0</v>
      </c>
      <c r="AO513" s="8" t="n">
        <f aca="false">0</f>
        <v>0</v>
      </c>
      <c r="AP513" s="8" t="n">
        <f aca="false">0</f>
        <v>0</v>
      </c>
      <c r="AQ513" s="8" t="n">
        <f aca="false">0</f>
        <v>0</v>
      </c>
      <c r="AR513" s="8" t="n">
        <f aca="false">0</f>
        <v>0</v>
      </c>
      <c r="AS513" s="8" t="n">
        <f aca="false">0</f>
        <v>0</v>
      </c>
    </row>
    <row r="515" customFormat="false" ht="15" hidden="false" customHeight="false" outlineLevel="0" collapsed="false">
      <c r="A515" s="54" t="str">
        <f aca="false">CEG_Assets!$A$18</f>
        <v>Calpine - East CCGT (NE/NY/PJM residual/SE)</v>
      </c>
    </row>
    <row r="516" customFormat="false" ht="15" hidden="false" customHeight="false" outlineLevel="0" collapsed="false">
      <c r="A516" s="6" t="s">
        <v>425</v>
      </c>
      <c r="B516" s="6" t="s">
        <v>426</v>
      </c>
      <c r="G516" s="47" t="n">
        <f aca="false">IF(AND(G$3&gt;=CEG_Assets!$E$18,G$3&lt;=CEG_Assets!$F$18,CEG_Assets!$H$18="Cashflow"),1,0)</f>
        <v>1</v>
      </c>
      <c r="H516" s="47" t="n">
        <f aca="false">IF(AND(H$3&gt;=CEG_Assets!$E$18,H$3&lt;=CEG_Assets!$F$18,CEG_Assets!$H$18="Cashflow"),1,0)</f>
        <v>1</v>
      </c>
      <c r="I516" s="47" t="n">
        <f aca="false">IF(AND(I$3&gt;=CEG_Assets!$E$18,I$3&lt;=CEG_Assets!$F$18,CEG_Assets!$H$18="Cashflow"),1,0)</f>
        <v>1</v>
      </c>
      <c r="J516" s="47" t="n">
        <f aca="false">IF(AND(J$3&gt;=CEG_Assets!$E$18,J$3&lt;=CEG_Assets!$F$18,CEG_Assets!$H$18="Cashflow"),1,0)</f>
        <v>1</v>
      </c>
      <c r="K516" s="47" t="n">
        <f aca="false">IF(AND(K$3&gt;=CEG_Assets!$E$18,K$3&lt;=CEG_Assets!$F$18,CEG_Assets!$H$18="Cashflow"),1,0)</f>
        <v>1</v>
      </c>
      <c r="L516" s="47" t="n">
        <f aca="false">IF(AND(L$3&gt;=CEG_Assets!$E$18,L$3&lt;=CEG_Assets!$F$18,CEG_Assets!$H$18="Cashflow"),1,0)</f>
        <v>1</v>
      </c>
      <c r="M516" s="47" t="n">
        <f aca="false">IF(AND(M$3&gt;=CEG_Assets!$E$18,M$3&lt;=CEG_Assets!$F$18,CEG_Assets!$H$18="Cashflow"),1,0)</f>
        <v>1</v>
      </c>
      <c r="N516" s="47" t="n">
        <f aca="false">IF(AND(N$3&gt;=CEG_Assets!$E$18,N$3&lt;=CEG_Assets!$F$18,CEG_Assets!$H$18="Cashflow"),1,0)</f>
        <v>1</v>
      </c>
      <c r="O516" s="47" t="n">
        <f aca="false">IF(AND(O$3&gt;=CEG_Assets!$E$18,O$3&lt;=CEG_Assets!$F$18,CEG_Assets!$H$18="Cashflow"),1,0)</f>
        <v>1</v>
      </c>
      <c r="P516" s="47" t="n">
        <f aca="false">IF(AND(P$3&gt;=CEG_Assets!$E$18,P$3&lt;=CEG_Assets!$F$18,CEG_Assets!$H$18="Cashflow"),1,0)</f>
        <v>1</v>
      </c>
      <c r="Q516" s="47" t="n">
        <f aca="false">IF(AND(Q$3&gt;=CEG_Assets!$E$18,Q$3&lt;=CEG_Assets!$F$18,CEG_Assets!$H$18="Cashflow"),1,0)</f>
        <v>1</v>
      </c>
      <c r="R516" s="47" t="n">
        <f aca="false">IF(AND(R$3&gt;=CEG_Assets!$E$18,R$3&lt;=CEG_Assets!$F$18,CEG_Assets!$H$18="Cashflow"),1,0)</f>
        <v>1</v>
      </c>
      <c r="S516" s="47" t="n">
        <f aca="false">IF(AND(S$3&gt;=CEG_Assets!$E$18,S$3&lt;=CEG_Assets!$F$18,CEG_Assets!$H$18="Cashflow"),1,0)</f>
        <v>1</v>
      </c>
      <c r="T516" s="47" t="n">
        <f aca="false">IF(AND(T$3&gt;=CEG_Assets!$E$18,T$3&lt;=CEG_Assets!$F$18,CEG_Assets!$H$18="Cashflow"),1,0)</f>
        <v>1</v>
      </c>
      <c r="U516" s="47" t="n">
        <f aca="false">IF(AND(U$3&gt;=CEG_Assets!$E$18,U$3&lt;=CEG_Assets!$F$18,CEG_Assets!$H$18="Cashflow"),1,0)</f>
        <v>1</v>
      </c>
      <c r="V516" s="47" t="n">
        <f aca="false">IF(AND(V$3&gt;=CEG_Assets!$E$18,V$3&lt;=CEG_Assets!$F$18,CEG_Assets!$H$18="Cashflow"),1,0)</f>
        <v>1</v>
      </c>
      <c r="W516" s="47" t="n">
        <f aca="false">IF(AND(W$3&gt;=CEG_Assets!$E$18,W$3&lt;=CEG_Assets!$F$18,CEG_Assets!$H$18="Cashflow"),1,0)</f>
        <v>1</v>
      </c>
      <c r="X516" s="47" t="n">
        <f aca="false">IF(AND(X$3&gt;=CEG_Assets!$E$18,X$3&lt;=CEG_Assets!$F$18,CEG_Assets!$H$18="Cashflow"),1,0)</f>
        <v>1</v>
      </c>
      <c r="Y516" s="47" t="n">
        <f aca="false">IF(AND(Y$3&gt;=CEG_Assets!$E$18,Y$3&lt;=CEG_Assets!$F$18,CEG_Assets!$H$18="Cashflow"),1,0)</f>
        <v>1</v>
      </c>
      <c r="Z516" s="47" t="n">
        <f aca="false">IF(AND(Z$3&gt;=CEG_Assets!$E$18,Z$3&lt;=CEG_Assets!$F$18,CEG_Assets!$H$18="Cashflow"),1,0)</f>
        <v>0</v>
      </c>
      <c r="AA516" s="47" t="n">
        <f aca="false">IF(AND(AA$3&gt;=CEG_Assets!$E$18,AA$3&lt;=CEG_Assets!$F$18,CEG_Assets!$H$18="Cashflow"),1,0)</f>
        <v>0</v>
      </c>
      <c r="AB516" s="47" t="n">
        <f aca="false">IF(AND(AB$3&gt;=CEG_Assets!$E$18,AB$3&lt;=CEG_Assets!$F$18,CEG_Assets!$H$18="Cashflow"),1,0)</f>
        <v>0</v>
      </c>
      <c r="AC516" s="47" t="n">
        <f aca="false">IF(AND(AC$3&gt;=CEG_Assets!$E$18,AC$3&lt;=CEG_Assets!$F$18,CEG_Assets!$H$18="Cashflow"),1,0)</f>
        <v>0</v>
      </c>
      <c r="AD516" s="47" t="n">
        <f aca="false">IF(AND(AD$3&gt;=CEG_Assets!$E$18,AD$3&lt;=CEG_Assets!$F$18,CEG_Assets!$H$18="Cashflow"),1,0)</f>
        <v>0</v>
      </c>
      <c r="AE516" s="47" t="n">
        <f aca="false">IF(AND(AE$3&gt;=CEG_Assets!$E$18,AE$3&lt;=CEG_Assets!$F$18,CEG_Assets!$H$18="Cashflow"),1,0)</f>
        <v>0</v>
      </c>
      <c r="AF516" s="47" t="n">
        <f aca="false">IF(AND(AF$3&gt;=CEG_Assets!$E$18,AF$3&lt;=CEG_Assets!$F$18,CEG_Assets!$H$18="Cashflow"),1,0)</f>
        <v>0</v>
      </c>
      <c r="AG516" s="47" t="n">
        <f aca="false">IF(AND(AG$3&gt;=CEG_Assets!$E$18,AG$3&lt;=CEG_Assets!$F$18,CEG_Assets!$H$18="Cashflow"),1,0)</f>
        <v>0</v>
      </c>
      <c r="AH516" s="47" t="n">
        <f aca="false">IF(AND(AH$3&gt;=CEG_Assets!$E$18,AH$3&lt;=CEG_Assets!$F$18,CEG_Assets!$H$18="Cashflow"),1,0)</f>
        <v>0</v>
      </c>
      <c r="AI516" s="47" t="n">
        <f aca="false">IF(AND(AI$3&gt;=CEG_Assets!$E$18,AI$3&lt;=CEG_Assets!$F$18,CEG_Assets!$H$18="Cashflow"),1,0)</f>
        <v>0</v>
      </c>
      <c r="AJ516" s="47" t="n">
        <f aca="false">IF(AND(AJ$3&gt;=CEG_Assets!$E$18,AJ$3&lt;=CEG_Assets!$F$18,CEG_Assets!$H$18="Cashflow"),1,0)</f>
        <v>0</v>
      </c>
      <c r="AK516" s="47" t="n">
        <f aca="false">IF(AND(AK$3&gt;=CEG_Assets!$E$18,AK$3&lt;=CEG_Assets!$F$18,CEG_Assets!$H$18="Cashflow"),1,0)</f>
        <v>0</v>
      </c>
      <c r="AL516" s="47" t="n">
        <f aca="false">IF(AND(AL$3&gt;=CEG_Assets!$E$18,AL$3&lt;=CEG_Assets!$F$18,CEG_Assets!$H$18="Cashflow"),1,0)</f>
        <v>0</v>
      </c>
      <c r="AM516" s="47" t="n">
        <f aca="false">IF(AND(AM$3&gt;=CEG_Assets!$E$18,AM$3&lt;=CEG_Assets!$F$18,CEG_Assets!$H$18="Cashflow"),1,0)</f>
        <v>0</v>
      </c>
      <c r="AN516" s="47" t="n">
        <f aca="false">IF(AND(AN$3&gt;=CEG_Assets!$E$18,AN$3&lt;=CEG_Assets!$F$18,CEG_Assets!$H$18="Cashflow"),1,0)</f>
        <v>0</v>
      </c>
      <c r="AO516" s="47" t="n">
        <f aca="false">IF(AND(AO$3&gt;=CEG_Assets!$E$18,AO$3&lt;=CEG_Assets!$F$18,CEG_Assets!$H$18="Cashflow"),1,0)</f>
        <v>0</v>
      </c>
      <c r="AP516" s="47" t="n">
        <f aca="false">IF(AND(AP$3&gt;=CEG_Assets!$E$18,AP$3&lt;=CEG_Assets!$F$18,CEG_Assets!$H$18="Cashflow"),1,0)</f>
        <v>0</v>
      </c>
      <c r="AQ516" s="47" t="n">
        <f aca="false">IF(AND(AQ$3&gt;=CEG_Assets!$E$18,AQ$3&lt;=CEG_Assets!$F$18,CEG_Assets!$H$18="Cashflow"),1,0)</f>
        <v>0</v>
      </c>
      <c r="AR516" s="47" t="n">
        <f aca="false">IF(AND(AR$3&gt;=CEG_Assets!$E$18,AR$3&lt;=CEG_Assets!$F$18,CEG_Assets!$H$18="Cashflow"),1,0)</f>
        <v>0</v>
      </c>
      <c r="AS516" s="47" t="n">
        <f aca="false">IF(AND(AS$3&gt;=CEG_Assets!$E$18,AS$3&lt;=CEG_Assets!$F$18,CEG_Assets!$H$18="Cashflow"),1,0)</f>
        <v>0</v>
      </c>
    </row>
    <row r="517" customFormat="false" ht="15" hidden="false" customHeight="false" outlineLevel="0" collapsed="false">
      <c r="A517" s="6" t="s">
        <v>427</v>
      </c>
      <c r="B517" s="6" t="s">
        <v>428</v>
      </c>
      <c r="G517" s="9" t="n">
        <f aca="false">IF(AND(G$3&gt;=CEG_Assets!$AA$18,G$3&lt;=CEG_Assets!$AB$18),MIN(CEG_Assets!$D$18,CEG_Assets!$Z$18*MIN(1,(G$3-CEG_Assets!$AA$18+1)/MAX(1,CEG_Assets!$AC$18))),0)*G516</f>
        <v>0</v>
      </c>
      <c r="H517" s="9" t="n">
        <f aca="false">IF(AND(H$3&gt;=CEG_Assets!$AA$18,H$3&lt;=CEG_Assets!$AB$18),MIN(CEG_Assets!$D$18,CEG_Assets!$Z$18*MIN(1,(H$3-CEG_Assets!$AA$18+1)/MAX(1,CEG_Assets!$AC$18))),0)*H516</f>
        <v>0</v>
      </c>
      <c r="I517" s="9" t="n">
        <f aca="false">IF(AND(I$3&gt;=CEG_Assets!$AA$18,I$3&lt;=CEG_Assets!$AB$18),MIN(CEG_Assets!$D$18,CEG_Assets!$Z$18*MIN(1,(I$3-CEG_Assets!$AA$18+1)/MAX(1,CEG_Assets!$AC$18))),0)*I516</f>
        <v>0</v>
      </c>
      <c r="J517" s="9" t="n">
        <f aca="false">IF(AND(J$3&gt;=CEG_Assets!$AA$18,J$3&lt;=CEG_Assets!$AB$18),MIN(CEG_Assets!$D$18,CEG_Assets!$Z$18*MIN(1,(J$3-CEG_Assets!$AA$18+1)/MAX(1,CEG_Assets!$AC$18))),0)*J516</f>
        <v>0</v>
      </c>
      <c r="K517" s="9" t="n">
        <f aca="false">IF(AND(K$3&gt;=CEG_Assets!$AA$18,K$3&lt;=CEG_Assets!$AB$18),MIN(CEG_Assets!$D$18,CEG_Assets!$Z$18*MIN(1,(K$3-CEG_Assets!$AA$18+1)/MAX(1,CEG_Assets!$AC$18))),0)*K516</f>
        <v>0</v>
      </c>
      <c r="L517" s="9" t="n">
        <f aca="false">IF(AND(L$3&gt;=CEG_Assets!$AA$18,L$3&lt;=CEG_Assets!$AB$18),MIN(CEG_Assets!$D$18,CEG_Assets!$Z$18*MIN(1,(L$3-CEG_Assets!$AA$18+1)/MAX(1,CEG_Assets!$AC$18))),0)*L516</f>
        <v>0</v>
      </c>
      <c r="M517" s="9" t="n">
        <f aca="false">IF(AND(M$3&gt;=CEG_Assets!$AA$18,M$3&lt;=CEG_Assets!$AB$18),MIN(CEG_Assets!$D$18,CEG_Assets!$Z$18*MIN(1,(M$3-CEG_Assets!$AA$18+1)/MAX(1,CEG_Assets!$AC$18))),0)*M516</f>
        <v>0</v>
      </c>
      <c r="N517" s="9" t="n">
        <f aca="false">IF(AND(N$3&gt;=CEG_Assets!$AA$18,N$3&lt;=CEG_Assets!$AB$18),MIN(CEG_Assets!$D$18,CEG_Assets!$Z$18*MIN(1,(N$3-CEG_Assets!$AA$18+1)/MAX(1,CEG_Assets!$AC$18))),0)*N516</f>
        <v>0</v>
      </c>
      <c r="O517" s="9" t="n">
        <f aca="false">IF(AND(O$3&gt;=CEG_Assets!$AA$18,O$3&lt;=CEG_Assets!$AB$18),MIN(CEG_Assets!$D$18,CEG_Assets!$Z$18*MIN(1,(O$3-CEG_Assets!$AA$18+1)/MAX(1,CEG_Assets!$AC$18))),0)*O516</f>
        <v>0</v>
      </c>
      <c r="P517" s="9" t="n">
        <f aca="false">IF(AND(P$3&gt;=CEG_Assets!$AA$18,P$3&lt;=CEG_Assets!$AB$18),MIN(CEG_Assets!$D$18,CEG_Assets!$Z$18*MIN(1,(P$3-CEG_Assets!$AA$18+1)/MAX(1,CEG_Assets!$AC$18))),0)*P516</f>
        <v>0</v>
      </c>
      <c r="Q517" s="9" t="n">
        <f aca="false">IF(AND(Q$3&gt;=CEG_Assets!$AA$18,Q$3&lt;=CEG_Assets!$AB$18),MIN(CEG_Assets!$D$18,CEG_Assets!$Z$18*MIN(1,(Q$3-CEG_Assets!$AA$18+1)/MAX(1,CEG_Assets!$AC$18))),0)*Q516</f>
        <v>0</v>
      </c>
      <c r="R517" s="9" t="n">
        <f aca="false">IF(AND(R$3&gt;=CEG_Assets!$AA$18,R$3&lt;=CEG_Assets!$AB$18),MIN(CEG_Assets!$D$18,CEG_Assets!$Z$18*MIN(1,(R$3-CEG_Assets!$AA$18+1)/MAX(1,CEG_Assets!$AC$18))),0)*R516</f>
        <v>0</v>
      </c>
      <c r="S517" s="9" t="n">
        <f aca="false">IF(AND(S$3&gt;=CEG_Assets!$AA$18,S$3&lt;=CEG_Assets!$AB$18),MIN(CEG_Assets!$D$18,CEG_Assets!$Z$18*MIN(1,(S$3-CEG_Assets!$AA$18+1)/MAX(1,CEG_Assets!$AC$18))),0)*S516</f>
        <v>0</v>
      </c>
      <c r="T517" s="9" t="n">
        <f aca="false">IF(AND(T$3&gt;=CEG_Assets!$AA$18,T$3&lt;=CEG_Assets!$AB$18),MIN(CEG_Assets!$D$18,CEG_Assets!$Z$18*MIN(1,(T$3-CEG_Assets!$AA$18+1)/MAX(1,CEG_Assets!$AC$18))),0)*T516</f>
        <v>0</v>
      </c>
      <c r="U517" s="9" t="n">
        <f aca="false">IF(AND(U$3&gt;=CEG_Assets!$AA$18,U$3&lt;=CEG_Assets!$AB$18),MIN(CEG_Assets!$D$18,CEG_Assets!$Z$18*MIN(1,(U$3-CEG_Assets!$AA$18+1)/MAX(1,CEG_Assets!$AC$18))),0)*U516</f>
        <v>0</v>
      </c>
      <c r="V517" s="9" t="n">
        <f aca="false">IF(AND(V$3&gt;=CEG_Assets!$AA$18,V$3&lt;=CEG_Assets!$AB$18),MIN(CEG_Assets!$D$18,CEG_Assets!$Z$18*MIN(1,(V$3-CEG_Assets!$AA$18+1)/MAX(1,CEG_Assets!$AC$18))),0)*V516</f>
        <v>0</v>
      </c>
      <c r="W517" s="9" t="n">
        <f aca="false">IF(AND(W$3&gt;=CEG_Assets!$AA$18,W$3&lt;=CEG_Assets!$AB$18),MIN(CEG_Assets!$D$18,CEG_Assets!$Z$18*MIN(1,(W$3-CEG_Assets!$AA$18+1)/MAX(1,CEG_Assets!$AC$18))),0)*W516</f>
        <v>0</v>
      </c>
      <c r="X517" s="9" t="n">
        <f aca="false">IF(AND(X$3&gt;=CEG_Assets!$AA$18,X$3&lt;=CEG_Assets!$AB$18),MIN(CEG_Assets!$D$18,CEG_Assets!$Z$18*MIN(1,(X$3-CEG_Assets!$AA$18+1)/MAX(1,CEG_Assets!$AC$18))),0)*X516</f>
        <v>0</v>
      </c>
      <c r="Y517" s="9" t="n">
        <f aca="false">IF(AND(Y$3&gt;=CEG_Assets!$AA$18,Y$3&lt;=CEG_Assets!$AB$18),MIN(CEG_Assets!$D$18,CEG_Assets!$Z$18*MIN(1,(Y$3-CEG_Assets!$AA$18+1)/MAX(1,CEG_Assets!$AC$18))),0)*Y516</f>
        <v>0</v>
      </c>
      <c r="Z517" s="9" t="n">
        <f aca="false">IF(AND(Z$3&gt;=CEG_Assets!$AA$18,Z$3&lt;=CEG_Assets!$AB$18),MIN(CEG_Assets!$D$18,CEG_Assets!$Z$18*MIN(1,(Z$3-CEG_Assets!$AA$18+1)/MAX(1,CEG_Assets!$AC$18))),0)*Z516</f>
        <v>0</v>
      </c>
      <c r="AA517" s="9" t="n">
        <f aca="false">IF(AND(AA$3&gt;=CEG_Assets!$AA$18,AA$3&lt;=CEG_Assets!$AB$18),MIN(CEG_Assets!$D$18,CEG_Assets!$Z$18*MIN(1,(AA$3-CEG_Assets!$AA$18+1)/MAX(1,CEG_Assets!$AC$18))),0)*AA516</f>
        <v>0</v>
      </c>
      <c r="AB517" s="9" t="n">
        <f aca="false">IF(AND(AB$3&gt;=CEG_Assets!$AA$18,AB$3&lt;=CEG_Assets!$AB$18),MIN(CEG_Assets!$D$18,CEG_Assets!$Z$18*MIN(1,(AB$3-CEG_Assets!$AA$18+1)/MAX(1,CEG_Assets!$AC$18))),0)*AB516</f>
        <v>0</v>
      </c>
      <c r="AC517" s="9" t="n">
        <f aca="false">IF(AND(AC$3&gt;=CEG_Assets!$AA$18,AC$3&lt;=CEG_Assets!$AB$18),MIN(CEG_Assets!$D$18,CEG_Assets!$Z$18*MIN(1,(AC$3-CEG_Assets!$AA$18+1)/MAX(1,CEG_Assets!$AC$18))),0)*AC516</f>
        <v>0</v>
      </c>
      <c r="AD517" s="9" t="n">
        <f aca="false">IF(AND(AD$3&gt;=CEG_Assets!$AA$18,AD$3&lt;=CEG_Assets!$AB$18),MIN(CEG_Assets!$D$18,CEG_Assets!$Z$18*MIN(1,(AD$3-CEG_Assets!$AA$18+1)/MAX(1,CEG_Assets!$AC$18))),0)*AD516</f>
        <v>0</v>
      </c>
      <c r="AE517" s="9" t="n">
        <f aca="false">IF(AND(AE$3&gt;=CEG_Assets!$AA$18,AE$3&lt;=CEG_Assets!$AB$18),MIN(CEG_Assets!$D$18,CEG_Assets!$Z$18*MIN(1,(AE$3-CEG_Assets!$AA$18+1)/MAX(1,CEG_Assets!$AC$18))),0)*AE516</f>
        <v>0</v>
      </c>
      <c r="AF517" s="9" t="n">
        <f aca="false">IF(AND(AF$3&gt;=CEG_Assets!$AA$18,AF$3&lt;=CEG_Assets!$AB$18),MIN(CEG_Assets!$D$18,CEG_Assets!$Z$18*MIN(1,(AF$3-CEG_Assets!$AA$18+1)/MAX(1,CEG_Assets!$AC$18))),0)*AF516</f>
        <v>0</v>
      </c>
      <c r="AG517" s="9" t="n">
        <f aca="false">IF(AND(AG$3&gt;=CEG_Assets!$AA$18,AG$3&lt;=CEG_Assets!$AB$18),MIN(CEG_Assets!$D$18,CEG_Assets!$Z$18*MIN(1,(AG$3-CEG_Assets!$AA$18+1)/MAX(1,CEG_Assets!$AC$18))),0)*AG516</f>
        <v>0</v>
      </c>
      <c r="AH517" s="9" t="n">
        <f aca="false">IF(AND(AH$3&gt;=CEG_Assets!$AA$18,AH$3&lt;=CEG_Assets!$AB$18),MIN(CEG_Assets!$D$18,CEG_Assets!$Z$18*MIN(1,(AH$3-CEG_Assets!$AA$18+1)/MAX(1,CEG_Assets!$AC$18))),0)*AH516</f>
        <v>0</v>
      </c>
      <c r="AI517" s="9" t="n">
        <f aca="false">IF(AND(AI$3&gt;=CEG_Assets!$AA$18,AI$3&lt;=CEG_Assets!$AB$18),MIN(CEG_Assets!$D$18,CEG_Assets!$Z$18*MIN(1,(AI$3-CEG_Assets!$AA$18+1)/MAX(1,CEG_Assets!$AC$18))),0)*AI516</f>
        <v>0</v>
      </c>
      <c r="AJ517" s="9" t="n">
        <f aca="false">IF(AND(AJ$3&gt;=CEG_Assets!$AA$18,AJ$3&lt;=CEG_Assets!$AB$18),MIN(CEG_Assets!$D$18,CEG_Assets!$Z$18*MIN(1,(AJ$3-CEG_Assets!$AA$18+1)/MAX(1,CEG_Assets!$AC$18))),0)*AJ516</f>
        <v>0</v>
      </c>
      <c r="AK517" s="9" t="n">
        <f aca="false">IF(AND(AK$3&gt;=CEG_Assets!$AA$18,AK$3&lt;=CEG_Assets!$AB$18),MIN(CEG_Assets!$D$18,CEG_Assets!$Z$18*MIN(1,(AK$3-CEG_Assets!$AA$18+1)/MAX(1,CEG_Assets!$AC$18))),0)*AK516</f>
        <v>0</v>
      </c>
      <c r="AL517" s="9" t="n">
        <f aca="false">IF(AND(AL$3&gt;=CEG_Assets!$AA$18,AL$3&lt;=CEG_Assets!$AB$18),MIN(CEG_Assets!$D$18,CEG_Assets!$Z$18*MIN(1,(AL$3-CEG_Assets!$AA$18+1)/MAX(1,CEG_Assets!$AC$18))),0)*AL516</f>
        <v>0</v>
      </c>
      <c r="AM517" s="9" t="n">
        <f aca="false">IF(AND(AM$3&gt;=CEG_Assets!$AA$18,AM$3&lt;=CEG_Assets!$AB$18),MIN(CEG_Assets!$D$18,CEG_Assets!$Z$18*MIN(1,(AM$3-CEG_Assets!$AA$18+1)/MAX(1,CEG_Assets!$AC$18))),0)*AM516</f>
        <v>0</v>
      </c>
      <c r="AN517" s="9" t="n">
        <f aca="false">IF(AND(AN$3&gt;=CEG_Assets!$AA$18,AN$3&lt;=CEG_Assets!$AB$18),MIN(CEG_Assets!$D$18,CEG_Assets!$Z$18*MIN(1,(AN$3-CEG_Assets!$AA$18+1)/MAX(1,CEG_Assets!$AC$18))),0)*AN516</f>
        <v>0</v>
      </c>
      <c r="AO517" s="9" t="n">
        <f aca="false">IF(AND(AO$3&gt;=CEG_Assets!$AA$18,AO$3&lt;=CEG_Assets!$AB$18),MIN(CEG_Assets!$D$18,CEG_Assets!$Z$18*MIN(1,(AO$3-CEG_Assets!$AA$18+1)/MAX(1,CEG_Assets!$AC$18))),0)*AO516</f>
        <v>0</v>
      </c>
      <c r="AP517" s="9" t="n">
        <f aca="false">IF(AND(AP$3&gt;=CEG_Assets!$AA$18,AP$3&lt;=CEG_Assets!$AB$18),MIN(CEG_Assets!$D$18,CEG_Assets!$Z$18*MIN(1,(AP$3-CEG_Assets!$AA$18+1)/MAX(1,CEG_Assets!$AC$18))),0)*AP516</f>
        <v>0</v>
      </c>
      <c r="AQ517" s="9" t="n">
        <f aca="false">IF(AND(AQ$3&gt;=CEG_Assets!$AA$18,AQ$3&lt;=CEG_Assets!$AB$18),MIN(CEG_Assets!$D$18,CEG_Assets!$Z$18*MIN(1,(AQ$3-CEG_Assets!$AA$18+1)/MAX(1,CEG_Assets!$AC$18))),0)*AQ516</f>
        <v>0</v>
      </c>
      <c r="AR517" s="9" t="n">
        <f aca="false">IF(AND(AR$3&gt;=CEG_Assets!$AA$18,AR$3&lt;=CEG_Assets!$AB$18),MIN(CEG_Assets!$D$18,CEG_Assets!$Z$18*MIN(1,(AR$3-CEG_Assets!$AA$18+1)/MAX(1,CEG_Assets!$AC$18))),0)*AR516</f>
        <v>0</v>
      </c>
      <c r="AS517" s="9" t="n">
        <f aca="false">IF(AND(AS$3&gt;=CEG_Assets!$AA$18,AS$3&lt;=CEG_Assets!$AB$18),MIN(CEG_Assets!$D$18,CEG_Assets!$Z$18*MIN(1,(AS$3-CEG_Assets!$AA$18+1)/MAX(1,CEG_Assets!$AC$18))),0)*AS516</f>
        <v>0</v>
      </c>
    </row>
    <row r="518" customFormat="false" ht="15" hidden="false" customHeight="false" outlineLevel="0" collapsed="false">
      <c r="A518" s="6" t="s">
        <v>429</v>
      </c>
      <c r="B518" s="6" t="s">
        <v>430</v>
      </c>
      <c r="G518" s="9" t="n">
        <f aca="false">(CEG_Assets!$D$18-G517)*8760*CEG_Assets!$I$18*G516</f>
        <v>11431800</v>
      </c>
      <c r="H518" s="9" t="n">
        <f aca="false">(CEG_Assets!$D$18-H517)*8760*CEG_Assets!$I$18*H516</f>
        <v>11431800</v>
      </c>
      <c r="I518" s="9" t="n">
        <f aca="false">(CEG_Assets!$D$18-I517)*8760*CEG_Assets!$I$18*I516</f>
        <v>11431800</v>
      </c>
      <c r="J518" s="9" t="n">
        <f aca="false">(CEG_Assets!$D$18-J517)*8760*CEG_Assets!$I$18*J516</f>
        <v>11431800</v>
      </c>
      <c r="K518" s="9" t="n">
        <f aca="false">(CEG_Assets!$D$18-K517)*8760*CEG_Assets!$I$18*K516</f>
        <v>11431800</v>
      </c>
      <c r="L518" s="9" t="n">
        <f aca="false">(CEG_Assets!$D$18-L517)*8760*CEG_Assets!$I$18*L516</f>
        <v>11431800</v>
      </c>
      <c r="M518" s="9" t="n">
        <f aca="false">(CEG_Assets!$D$18-M517)*8760*CEG_Assets!$I$18*M516</f>
        <v>11431800</v>
      </c>
      <c r="N518" s="9" t="n">
        <f aca="false">(CEG_Assets!$D$18-N517)*8760*CEG_Assets!$I$18*N516</f>
        <v>11431800</v>
      </c>
      <c r="O518" s="9" t="n">
        <f aca="false">(CEG_Assets!$D$18-O517)*8760*CEG_Assets!$I$18*O516</f>
        <v>11431800</v>
      </c>
      <c r="P518" s="9" t="n">
        <f aca="false">(CEG_Assets!$D$18-P517)*8760*CEG_Assets!$I$18*P516</f>
        <v>11431800</v>
      </c>
      <c r="Q518" s="9" t="n">
        <f aca="false">(CEG_Assets!$D$18-Q517)*8760*CEG_Assets!$I$18*Q516</f>
        <v>11431800</v>
      </c>
      <c r="R518" s="9" t="n">
        <f aca="false">(CEG_Assets!$D$18-R517)*8760*CEG_Assets!$I$18*R516</f>
        <v>11431800</v>
      </c>
      <c r="S518" s="9" t="n">
        <f aca="false">(CEG_Assets!$D$18-S517)*8760*CEG_Assets!$I$18*S516</f>
        <v>11431800</v>
      </c>
      <c r="T518" s="9" t="n">
        <f aca="false">(CEG_Assets!$D$18-T517)*8760*CEG_Assets!$I$18*T516</f>
        <v>11431800</v>
      </c>
      <c r="U518" s="9" t="n">
        <f aca="false">(CEG_Assets!$D$18-U517)*8760*CEG_Assets!$I$18*U516</f>
        <v>11431800</v>
      </c>
      <c r="V518" s="9" t="n">
        <f aca="false">(CEG_Assets!$D$18-V517)*8760*CEG_Assets!$I$18*V516</f>
        <v>11431800</v>
      </c>
      <c r="W518" s="9" t="n">
        <f aca="false">(CEG_Assets!$D$18-W517)*8760*CEG_Assets!$I$18*W516</f>
        <v>11431800</v>
      </c>
      <c r="X518" s="9" t="n">
        <f aca="false">(CEG_Assets!$D$18-X517)*8760*CEG_Assets!$I$18*X516</f>
        <v>11431800</v>
      </c>
      <c r="Y518" s="9" t="n">
        <f aca="false">(CEG_Assets!$D$18-Y517)*8760*CEG_Assets!$I$18*Y516</f>
        <v>11431800</v>
      </c>
      <c r="Z518" s="9" t="n">
        <f aca="false">(CEG_Assets!$D$18-Z517)*8760*CEG_Assets!$I$18*Z516</f>
        <v>0</v>
      </c>
      <c r="AA518" s="9" t="n">
        <f aca="false">(CEG_Assets!$D$18-AA517)*8760*CEG_Assets!$I$18*AA516</f>
        <v>0</v>
      </c>
      <c r="AB518" s="9" t="n">
        <f aca="false">(CEG_Assets!$D$18-AB517)*8760*CEG_Assets!$I$18*AB516</f>
        <v>0</v>
      </c>
      <c r="AC518" s="9" t="n">
        <f aca="false">(CEG_Assets!$D$18-AC517)*8760*CEG_Assets!$I$18*AC516</f>
        <v>0</v>
      </c>
      <c r="AD518" s="9" t="n">
        <f aca="false">(CEG_Assets!$D$18-AD517)*8760*CEG_Assets!$I$18*AD516</f>
        <v>0</v>
      </c>
      <c r="AE518" s="9" t="n">
        <f aca="false">(CEG_Assets!$D$18-AE517)*8760*CEG_Assets!$I$18*AE516</f>
        <v>0</v>
      </c>
      <c r="AF518" s="9" t="n">
        <f aca="false">(CEG_Assets!$D$18-AF517)*8760*CEG_Assets!$I$18*AF516</f>
        <v>0</v>
      </c>
      <c r="AG518" s="9" t="n">
        <f aca="false">(CEG_Assets!$D$18-AG517)*8760*CEG_Assets!$I$18*AG516</f>
        <v>0</v>
      </c>
      <c r="AH518" s="9" t="n">
        <f aca="false">(CEG_Assets!$D$18-AH517)*8760*CEG_Assets!$I$18*AH516</f>
        <v>0</v>
      </c>
      <c r="AI518" s="9" t="n">
        <f aca="false">(CEG_Assets!$D$18-AI517)*8760*CEG_Assets!$I$18*AI516</f>
        <v>0</v>
      </c>
      <c r="AJ518" s="9" t="n">
        <f aca="false">(CEG_Assets!$D$18-AJ517)*8760*CEG_Assets!$I$18*AJ516</f>
        <v>0</v>
      </c>
      <c r="AK518" s="9" t="n">
        <f aca="false">(CEG_Assets!$D$18-AK517)*8760*CEG_Assets!$I$18*AK516</f>
        <v>0</v>
      </c>
      <c r="AL518" s="9" t="n">
        <f aca="false">(CEG_Assets!$D$18-AL517)*8760*CEG_Assets!$I$18*AL516</f>
        <v>0</v>
      </c>
      <c r="AM518" s="9" t="n">
        <f aca="false">(CEG_Assets!$D$18-AM517)*8760*CEG_Assets!$I$18*AM516</f>
        <v>0</v>
      </c>
      <c r="AN518" s="9" t="n">
        <f aca="false">(CEG_Assets!$D$18-AN517)*8760*CEG_Assets!$I$18*AN516</f>
        <v>0</v>
      </c>
      <c r="AO518" s="9" t="n">
        <f aca="false">(CEG_Assets!$D$18-AO517)*8760*CEG_Assets!$I$18*AO516</f>
        <v>0</v>
      </c>
      <c r="AP518" s="9" t="n">
        <f aca="false">(CEG_Assets!$D$18-AP517)*8760*CEG_Assets!$I$18*AP516</f>
        <v>0</v>
      </c>
      <c r="AQ518" s="9" t="n">
        <f aca="false">(CEG_Assets!$D$18-AQ517)*8760*CEG_Assets!$I$18*AQ516</f>
        <v>0</v>
      </c>
      <c r="AR518" s="9" t="n">
        <f aca="false">(CEG_Assets!$D$18-AR517)*8760*CEG_Assets!$I$18*AR516</f>
        <v>0</v>
      </c>
      <c r="AS518" s="9" t="n">
        <f aca="false">(CEG_Assets!$D$18-AS517)*8760*CEG_Assets!$I$18*AS516</f>
        <v>0</v>
      </c>
    </row>
    <row r="519" customFormat="false" ht="15" hidden="false" customHeight="false" outlineLevel="0" collapsed="false">
      <c r="A519" s="6" t="s">
        <v>431</v>
      </c>
      <c r="B519" s="6" t="s">
        <v>432</v>
      </c>
      <c r="G519" s="9" t="n">
        <f aca="false">G517*8760*CEG_Assets!$I$18*G516</f>
        <v>0</v>
      </c>
      <c r="H519" s="9" t="n">
        <f aca="false">H517*8760*CEG_Assets!$I$18*H516</f>
        <v>0</v>
      </c>
      <c r="I519" s="9" t="n">
        <f aca="false">I517*8760*CEG_Assets!$I$18*I516</f>
        <v>0</v>
      </c>
      <c r="J519" s="9" t="n">
        <f aca="false">J517*8760*CEG_Assets!$I$18*J516</f>
        <v>0</v>
      </c>
      <c r="K519" s="9" t="n">
        <f aca="false">K517*8760*CEG_Assets!$I$18*K516</f>
        <v>0</v>
      </c>
      <c r="L519" s="9" t="n">
        <f aca="false">L517*8760*CEG_Assets!$I$18*L516</f>
        <v>0</v>
      </c>
      <c r="M519" s="9" t="n">
        <f aca="false">M517*8760*CEG_Assets!$I$18*M516</f>
        <v>0</v>
      </c>
      <c r="N519" s="9" t="n">
        <f aca="false">N517*8760*CEG_Assets!$I$18*N516</f>
        <v>0</v>
      </c>
      <c r="O519" s="9" t="n">
        <f aca="false">O517*8760*CEG_Assets!$I$18*O516</f>
        <v>0</v>
      </c>
      <c r="P519" s="9" t="n">
        <f aca="false">P517*8760*CEG_Assets!$I$18*P516</f>
        <v>0</v>
      </c>
      <c r="Q519" s="9" t="n">
        <f aca="false">Q517*8760*CEG_Assets!$I$18*Q516</f>
        <v>0</v>
      </c>
      <c r="R519" s="9" t="n">
        <f aca="false">R517*8760*CEG_Assets!$I$18*R516</f>
        <v>0</v>
      </c>
      <c r="S519" s="9" t="n">
        <f aca="false">S517*8760*CEG_Assets!$I$18*S516</f>
        <v>0</v>
      </c>
      <c r="T519" s="9" t="n">
        <f aca="false">T517*8760*CEG_Assets!$I$18*T516</f>
        <v>0</v>
      </c>
      <c r="U519" s="9" t="n">
        <f aca="false">U517*8760*CEG_Assets!$I$18*U516</f>
        <v>0</v>
      </c>
      <c r="V519" s="9" t="n">
        <f aca="false">V517*8760*CEG_Assets!$I$18*V516</f>
        <v>0</v>
      </c>
      <c r="W519" s="9" t="n">
        <f aca="false">W517*8760*CEG_Assets!$I$18*W516</f>
        <v>0</v>
      </c>
      <c r="X519" s="9" t="n">
        <f aca="false">X517*8760*CEG_Assets!$I$18*X516</f>
        <v>0</v>
      </c>
      <c r="Y519" s="9" t="n">
        <f aca="false">Y517*8760*CEG_Assets!$I$18*Y516</f>
        <v>0</v>
      </c>
      <c r="Z519" s="9" t="n">
        <f aca="false">Z517*8760*CEG_Assets!$I$18*Z516</f>
        <v>0</v>
      </c>
      <c r="AA519" s="9" t="n">
        <f aca="false">AA517*8760*CEG_Assets!$I$18*AA516</f>
        <v>0</v>
      </c>
      <c r="AB519" s="9" t="n">
        <f aca="false">AB517*8760*CEG_Assets!$I$18*AB516</f>
        <v>0</v>
      </c>
      <c r="AC519" s="9" t="n">
        <f aca="false">AC517*8760*CEG_Assets!$I$18*AC516</f>
        <v>0</v>
      </c>
      <c r="AD519" s="9" t="n">
        <f aca="false">AD517*8760*CEG_Assets!$I$18*AD516</f>
        <v>0</v>
      </c>
      <c r="AE519" s="9" t="n">
        <f aca="false">AE517*8760*CEG_Assets!$I$18*AE516</f>
        <v>0</v>
      </c>
      <c r="AF519" s="9" t="n">
        <f aca="false">AF517*8760*CEG_Assets!$I$18*AF516</f>
        <v>0</v>
      </c>
      <c r="AG519" s="9" t="n">
        <f aca="false">AG517*8760*CEG_Assets!$I$18*AG516</f>
        <v>0</v>
      </c>
      <c r="AH519" s="9" t="n">
        <f aca="false">AH517*8760*CEG_Assets!$I$18*AH516</f>
        <v>0</v>
      </c>
      <c r="AI519" s="9" t="n">
        <f aca="false">AI517*8760*CEG_Assets!$I$18*AI516</f>
        <v>0</v>
      </c>
      <c r="AJ519" s="9" t="n">
        <f aca="false">AJ517*8760*CEG_Assets!$I$18*AJ516</f>
        <v>0</v>
      </c>
      <c r="AK519" s="9" t="n">
        <f aca="false">AK517*8760*CEG_Assets!$I$18*AK516</f>
        <v>0</v>
      </c>
      <c r="AL519" s="9" t="n">
        <f aca="false">AL517*8760*CEG_Assets!$I$18*AL516</f>
        <v>0</v>
      </c>
      <c r="AM519" s="9" t="n">
        <f aca="false">AM517*8760*CEG_Assets!$I$18*AM516</f>
        <v>0</v>
      </c>
      <c r="AN519" s="9" t="n">
        <f aca="false">AN517*8760*CEG_Assets!$I$18*AN516</f>
        <v>0</v>
      </c>
      <c r="AO519" s="9" t="n">
        <f aca="false">AO517*8760*CEG_Assets!$I$18*AO516</f>
        <v>0</v>
      </c>
      <c r="AP519" s="9" t="n">
        <f aca="false">AP517*8760*CEG_Assets!$I$18*AP516</f>
        <v>0</v>
      </c>
      <c r="AQ519" s="9" t="n">
        <f aca="false">AQ517*8760*CEG_Assets!$I$18*AQ516</f>
        <v>0</v>
      </c>
      <c r="AR519" s="9" t="n">
        <f aca="false">AR517*8760*CEG_Assets!$I$18*AR516</f>
        <v>0</v>
      </c>
      <c r="AS519" s="9" t="n">
        <f aca="false">AS517*8760*CEG_Assets!$I$18*AS516</f>
        <v>0</v>
      </c>
    </row>
    <row r="520" customFormat="false" ht="15" hidden="false" customHeight="false" outlineLevel="0" collapsed="false">
      <c r="A520" s="6" t="s">
        <v>433</v>
      </c>
      <c r="B520" s="6" t="s">
        <v>434</v>
      </c>
      <c r="G520" s="7" t="n">
        <f aca="false">IF(ISNUMBER(CEG_Assets!$L$18),CEG_Assets!$L$18*G$4,INDEX(Prices!G:G,CEG_Assets!$AO$18)+FuelAdder*G$4)</f>
        <v>5.712</v>
      </c>
      <c r="H520" s="7" t="n">
        <f aca="false">IF(ISNUMBER(CEG_Assets!$L$18),CEG_Assets!$L$18*H$4,INDEX(Prices!H:H,CEG_Assets!$AO$18)+FuelAdder*H$4)</f>
        <v>5.82624</v>
      </c>
      <c r="I520" s="7" t="n">
        <f aca="false">IF(ISNUMBER(CEG_Assets!$L$18),CEG_Assets!$L$18*I$4,INDEX(Prices!I:I,CEG_Assets!$AO$18)+FuelAdder*I$4)</f>
        <v>6.0488856</v>
      </c>
      <c r="J520" s="7" t="n">
        <f aca="false">IF(ISNUMBER(CEG_Assets!$L$18),CEG_Assets!$L$18*J$4,INDEX(Prices!J:J,CEG_Assets!$AO$18)+FuelAdder*J$4)</f>
        <v>6.169863312</v>
      </c>
      <c r="K520" s="7" t="n">
        <f aca="false">IF(ISNUMBER(CEG_Assets!$L$18),CEG_Assets!$L$18*K$4,INDEX(Prices!K:K,CEG_Assets!$AO$18)+FuelAdder*K$4)</f>
        <v>6.29326057824</v>
      </c>
      <c r="L520" s="7" t="n">
        <f aca="false">IF(ISNUMBER(CEG_Assets!$L$18),CEG_Assets!$L$18*L$4,INDEX(Prices!L:L,CEG_Assets!$AO$18)+FuelAdder*L$4)</f>
        <v>6.4191257898048</v>
      </c>
      <c r="M520" s="7" t="n">
        <f aca="false">IF(ISNUMBER(CEG_Assets!$L$18),CEG_Assets!$L$18*M$4,INDEX(Prices!M:M,CEG_Assets!$AO$18)+FuelAdder*M$4)</f>
        <v>6.5475083056009</v>
      </c>
      <c r="N520" s="7" t="n">
        <f aca="false">IF(ISNUMBER(CEG_Assets!$L$18),CEG_Assets!$L$18*N$4,INDEX(Prices!N:N,CEG_Assets!$AO$18)+FuelAdder*N$4)</f>
        <v>6.67845847171292</v>
      </c>
      <c r="O520" s="7" t="n">
        <f aca="false">IF(ISNUMBER(CEG_Assets!$L$18),CEG_Assets!$L$18*O$4,INDEX(Prices!O:O,CEG_Assets!$AO$18)+FuelAdder*O$4)</f>
        <v>6.81202764114717</v>
      </c>
      <c r="P520" s="7" t="n">
        <f aca="false">IF(ISNUMBER(CEG_Assets!$L$18),CEG_Assets!$L$18*P$4,INDEX(Prices!P:P,CEG_Assets!$AO$18)+FuelAdder*P$4)</f>
        <v>6.94826819397012</v>
      </c>
      <c r="Q520" s="7" t="n">
        <f aca="false">IF(ISNUMBER(CEG_Assets!$L$18),CEG_Assets!$L$18*Q$4,INDEX(Prices!Q:Q,CEG_Assets!$AO$18)+FuelAdder*Q$4)</f>
        <v>7.08723355784952</v>
      </c>
      <c r="R520" s="7" t="n">
        <f aca="false">IF(ISNUMBER(CEG_Assets!$L$18),CEG_Assets!$L$18*R$4,INDEX(Prices!R:R,CEG_Assets!$AO$18)+FuelAdder*R$4)</f>
        <v>7.22897822900651</v>
      </c>
      <c r="S520" s="7" t="n">
        <f aca="false">IF(ISNUMBER(CEG_Assets!$L$18),CEG_Assets!$L$18*S$4,INDEX(Prices!S:S,CEG_Assets!$AO$18)+FuelAdder*S$4)</f>
        <v>7.37355779358664</v>
      </c>
      <c r="T520" s="7" t="n">
        <f aca="false">IF(ISNUMBER(CEG_Assets!$L$18),CEG_Assets!$L$18*T$4,INDEX(Prices!T:T,CEG_Assets!$AO$18)+FuelAdder*T$4)</f>
        <v>7.52102894945837</v>
      </c>
      <c r="U520" s="7" t="n">
        <f aca="false">IF(ISNUMBER(CEG_Assets!$L$18),CEG_Assets!$L$18*U$4,INDEX(Prices!U:U,CEG_Assets!$AO$18)+FuelAdder*U$4)</f>
        <v>7.67144952844754</v>
      </c>
      <c r="V520" s="7" t="n">
        <f aca="false">IF(ISNUMBER(CEG_Assets!$L$18),CEG_Assets!$L$18*V$4,INDEX(Prices!V:V,CEG_Assets!$AO$18)+FuelAdder*V$4)</f>
        <v>7.82487851901649</v>
      </c>
      <c r="W520" s="7" t="n">
        <f aca="false">IF(ISNUMBER(CEG_Assets!$L$18),CEG_Assets!$L$18*W$4,INDEX(Prices!W:W,CEG_Assets!$AO$18)+FuelAdder*W$4)</f>
        <v>7.98137608939682</v>
      </c>
      <c r="X520" s="7" t="n">
        <f aca="false">IF(ISNUMBER(CEG_Assets!$L$18),CEG_Assets!$L$18*X$4,INDEX(Prices!X:X,CEG_Assets!$AO$18)+FuelAdder*X$4)</f>
        <v>8.14100361118476</v>
      </c>
      <c r="Y520" s="7" t="n">
        <f aca="false">IF(ISNUMBER(CEG_Assets!$L$18),CEG_Assets!$L$18*Y$4,INDEX(Prices!Y:Y,CEG_Assets!$AO$18)+FuelAdder*Y$4)</f>
        <v>8.30382368340845</v>
      </c>
      <c r="Z520" s="7" t="n">
        <f aca="false">IF(ISNUMBER(CEG_Assets!$L$18),CEG_Assets!$L$18*Z$4,INDEX(Prices!Z:Z,CEG_Assets!$AO$18)+FuelAdder*Z$4)</f>
        <v>8.46990015707662</v>
      </c>
      <c r="AA520" s="7" t="n">
        <f aca="false">IF(ISNUMBER(CEG_Assets!$L$18),CEG_Assets!$L$18*AA$4,INDEX(Prices!AA:AA,CEG_Assets!$AO$18)+FuelAdder*AA$4)</f>
        <v>8.63929816021816</v>
      </c>
      <c r="AB520" s="7" t="n">
        <f aca="false">IF(ISNUMBER(CEG_Assets!$L$18),CEG_Assets!$L$18*AB$4,INDEX(Prices!AB:AB,CEG_Assets!$AO$18)+FuelAdder*AB$4)</f>
        <v>8.81208412342252</v>
      </c>
      <c r="AC520" s="7" t="n">
        <f aca="false">IF(ISNUMBER(CEG_Assets!$L$18),CEG_Assets!$L$18*AC$4,INDEX(Prices!AC:AC,CEG_Assets!$AO$18)+FuelAdder*AC$4)</f>
        <v>8.98832580589097</v>
      </c>
      <c r="AD520" s="7" t="n">
        <f aca="false">IF(ISNUMBER(CEG_Assets!$L$18),CEG_Assets!$L$18*AD$4,INDEX(Prices!AD:AD,CEG_Assets!$AO$18)+FuelAdder*AD$4)</f>
        <v>9.16809232200879</v>
      </c>
      <c r="AE520" s="7" t="n">
        <f aca="false">IF(ISNUMBER(CEG_Assets!$L$18),CEG_Assets!$L$18*AE$4,INDEX(Prices!AE:AE,CEG_Assets!$AO$18)+FuelAdder*AE$4)</f>
        <v>9.35145416844897</v>
      </c>
      <c r="AF520" s="7" t="n">
        <f aca="false">IF(ISNUMBER(CEG_Assets!$L$18),CEG_Assets!$L$18*AF$4,INDEX(Prices!AF:AF,CEG_Assets!$AO$18)+FuelAdder*AF$4)</f>
        <v>9.53848325181794</v>
      </c>
      <c r="AG520" s="7" t="n">
        <f aca="false">IF(ISNUMBER(CEG_Assets!$L$18),CEG_Assets!$L$18*AG$4,INDEX(Prices!AG:AG,CEG_Assets!$AO$18)+FuelAdder*AG$4)</f>
        <v>9.7292529168543</v>
      </c>
      <c r="AH520" s="7" t="n">
        <f aca="false">IF(ISNUMBER(CEG_Assets!$L$18),CEG_Assets!$L$18*AH$4,INDEX(Prices!AH:AH,CEG_Assets!$AO$18)+FuelAdder*AH$4)</f>
        <v>9.92383797519139</v>
      </c>
      <c r="AI520" s="7" t="n">
        <f aca="false">IF(ISNUMBER(CEG_Assets!$L$18),CEG_Assets!$L$18*AI$4,INDEX(Prices!AI:AI,CEG_Assets!$AO$18)+FuelAdder*AI$4)</f>
        <v>10.1223147346952</v>
      </c>
      <c r="AJ520" s="7" t="n">
        <f aca="false">IF(ISNUMBER(CEG_Assets!$L$18),CEG_Assets!$L$18*AJ$4,INDEX(Prices!AJ:AJ,CEG_Assets!$AO$18)+FuelAdder*AJ$4)</f>
        <v>10.3247610293891</v>
      </c>
      <c r="AK520" s="7" t="n">
        <f aca="false">IF(ISNUMBER(CEG_Assets!$L$18),CEG_Assets!$L$18*AK$4,INDEX(Prices!AK:AK,CEG_Assets!$AO$18)+FuelAdder*AK$4)</f>
        <v>10.5312562499769</v>
      </c>
      <c r="AL520" s="7" t="n">
        <f aca="false">IF(ISNUMBER(CEG_Assets!$L$18),CEG_Assets!$L$18*AL$4,INDEX(Prices!AL:AL,CEG_Assets!$AO$18)+FuelAdder*AL$4)</f>
        <v>10.7418813749764</v>
      </c>
      <c r="AM520" s="7" t="n">
        <f aca="false">IF(ISNUMBER(CEG_Assets!$L$18),CEG_Assets!$L$18*AM$4,INDEX(Prices!AM:AM,CEG_Assets!$AO$18)+FuelAdder*AM$4)</f>
        <v>10.956719002476</v>
      </c>
      <c r="AN520" s="7" t="n">
        <f aca="false">IF(ISNUMBER(CEG_Assets!$L$18),CEG_Assets!$L$18*AN$4,INDEX(Prices!AN:AN,CEG_Assets!$AO$18)+FuelAdder*AN$4)</f>
        <v>11.1758533825255</v>
      </c>
      <c r="AO520" s="7" t="n">
        <f aca="false">IF(ISNUMBER(CEG_Assets!$L$18),CEG_Assets!$L$18*AO$4,INDEX(Prices!AO:AO,CEG_Assets!$AO$18)+FuelAdder*AO$4)</f>
        <v>11.399370450176</v>
      </c>
      <c r="AP520" s="7" t="n">
        <f aca="false">IF(ISNUMBER(CEG_Assets!$L$18),CEG_Assets!$L$18*AP$4,INDEX(Prices!AP:AP,CEG_Assets!$AO$18)+FuelAdder*AP$4)</f>
        <v>11.6273578591795</v>
      </c>
      <c r="AQ520" s="7" t="n">
        <f aca="false">IF(ISNUMBER(CEG_Assets!$L$18),CEG_Assets!$L$18*AQ$4,INDEX(Prices!AQ:AQ,CEG_Assets!$AO$18)+FuelAdder*AQ$4)</f>
        <v>11.8599050163631</v>
      </c>
      <c r="AR520" s="7" t="n">
        <f aca="false">IF(ISNUMBER(CEG_Assets!$L$18),CEG_Assets!$L$18*AR$4,INDEX(Prices!AR:AR,CEG_Assets!$AO$18)+FuelAdder*AR$4)</f>
        <v>12.0971031166904</v>
      </c>
      <c r="AS520" s="7" t="n">
        <f aca="false">IF(ISNUMBER(CEG_Assets!$L$18),CEG_Assets!$L$18*AS$4,INDEX(Prices!AS:AS,CEG_Assets!$AO$18)+FuelAdder*AS$4)</f>
        <v>12.3390451790242</v>
      </c>
    </row>
    <row r="521" customFormat="false" ht="15" hidden="false" customHeight="false" outlineLevel="0" collapsed="false">
      <c r="A521" s="6" t="s">
        <v>435</v>
      </c>
      <c r="B521" s="6" t="s">
        <v>436</v>
      </c>
      <c r="G521" s="7" t="n">
        <f aca="false">INDEX(Prices!G:G,CEG_Assets!$AN$18)*CEG_Assets!$J$18-CEG_Assets!$K$18*G520-CEG_Assets!$M$18*G$4</f>
        <v>36.9516</v>
      </c>
      <c r="H521" s="7" t="n">
        <f aca="false">INDEX(Prices!H:H,CEG_Assets!$AN$18)*CEG_Assets!$J$18-CEG_Assets!$K$18*H520-CEG_Assets!$M$18*H$4</f>
        <v>37.191672</v>
      </c>
      <c r="I521" s="7" t="n">
        <f aca="false">INDEX(Prices!I:I,CEG_Assets!$AN$18)*CEG_Assets!$J$18-CEG_Assets!$K$18*I520-CEG_Assets!$M$18*I$4</f>
        <v>28.6614754506</v>
      </c>
      <c r="J521" s="7" t="n">
        <f aca="false">INDEX(Prices!J:J,CEG_Assets!$AN$18)*CEG_Assets!$J$18-CEG_Assets!$K$18*J520-CEG_Assets!$M$18*J$4</f>
        <v>25.713338325624</v>
      </c>
      <c r="K521" s="7" t="n">
        <f aca="false">INDEX(Prices!K:K,CEG_Assets!$AN$18)*CEG_Assets!$J$18-CEG_Assets!$K$18*K520-CEG_Assets!$M$18*K$4</f>
        <v>26.2276050921365</v>
      </c>
      <c r="L521" s="7" t="n">
        <f aca="false">INDEX(Prices!L:L,CEG_Assets!$AN$18)*CEG_Assets!$J$18-CEG_Assets!$K$18*L520-CEG_Assets!$M$18*L$4</f>
        <v>26.7521571939792</v>
      </c>
      <c r="M521" s="7" t="n">
        <f aca="false">INDEX(Prices!M:M,CEG_Assets!$AN$18)*CEG_Assets!$J$18-CEG_Assets!$K$18*M520-CEG_Assets!$M$18*M$4</f>
        <v>27.2872003378588</v>
      </c>
      <c r="N521" s="7" t="n">
        <f aca="false">INDEX(Prices!N:N,CEG_Assets!$AN$18)*CEG_Assets!$J$18-CEG_Assets!$K$18*N520-CEG_Assets!$M$18*N$4</f>
        <v>27.832944344616</v>
      </c>
      <c r="O521" s="7" t="n">
        <f aca="false">INDEX(Prices!O:O,CEG_Assets!$AN$18)*CEG_Assets!$J$18-CEG_Assets!$K$18*O520-CEG_Assets!$M$18*O$4</f>
        <v>28.3896032315083</v>
      </c>
      <c r="P521" s="7" t="n">
        <f aca="false">INDEX(Prices!P:P,CEG_Assets!$AN$18)*CEG_Assets!$J$18-CEG_Assets!$K$18*P520-CEG_Assets!$M$18*P$4</f>
        <v>28.9573952961385</v>
      </c>
      <c r="Q521" s="7" t="n">
        <f aca="false">INDEX(Prices!Q:Q,CEG_Assets!$AN$18)*CEG_Assets!$J$18-CEG_Assets!$K$18*Q520-CEG_Assets!$M$18*Q$4</f>
        <v>29.5365432020612</v>
      </c>
      <c r="R521" s="7" t="n">
        <f aca="false">INDEX(Prices!R:R,CEG_Assets!$AN$18)*CEG_Assets!$J$18-CEG_Assets!$K$18*R520-CEG_Assets!$M$18*R$4</f>
        <v>30.1272740661025</v>
      </c>
      <c r="S521" s="7" t="n">
        <f aca="false">INDEX(Prices!S:S,CEG_Assets!$AN$18)*CEG_Assets!$J$18-CEG_Assets!$K$18*S520-CEG_Assets!$M$18*S$4</f>
        <v>30.7298195474245</v>
      </c>
      <c r="T521" s="7" t="n">
        <f aca="false">INDEX(Prices!T:T,CEG_Assets!$AN$18)*CEG_Assets!$J$18-CEG_Assets!$K$18*T520-CEG_Assets!$M$18*T$4</f>
        <v>31.344415938373</v>
      </c>
      <c r="U521" s="7" t="n">
        <f aca="false">INDEX(Prices!U:U,CEG_Assets!$AN$18)*CEG_Assets!$J$18-CEG_Assets!$K$18*U520-CEG_Assets!$M$18*U$4</f>
        <v>31.9713042571405</v>
      </c>
      <c r="V521" s="7" t="n">
        <f aca="false">INDEX(Prices!V:V,CEG_Assets!$AN$18)*CEG_Assets!$J$18-CEG_Assets!$K$18*V520-CEG_Assets!$M$18*V$4</f>
        <v>32.6107303422833</v>
      </c>
      <c r="W521" s="7" t="n">
        <f aca="false">INDEX(Prices!W:W,CEG_Assets!$AN$18)*CEG_Assets!$J$18-CEG_Assets!$K$18*W520-CEG_Assets!$M$18*W$4</f>
        <v>33.262944949129</v>
      </c>
      <c r="X521" s="7" t="n">
        <f aca="false">INDEX(Prices!X:X,CEG_Assets!$AN$18)*CEG_Assets!$J$18-CEG_Assets!$K$18*X520-CEG_Assets!$M$18*X$4</f>
        <v>33.9282038481115</v>
      </c>
      <c r="Y521" s="7" t="n">
        <f aca="false">INDEX(Prices!Y:Y,CEG_Assets!$AN$18)*CEG_Assets!$J$18-CEG_Assets!$K$18*Y520-CEG_Assets!$M$18*Y$4</f>
        <v>34.6067679250738</v>
      </c>
      <c r="Z521" s="7" t="n">
        <f aca="false">INDEX(Prices!Z:Z,CEG_Assets!$AN$18)*CEG_Assets!$J$18-CEG_Assets!$K$18*Z520-CEG_Assets!$M$18*Z$4</f>
        <v>35.2989032835752</v>
      </c>
      <c r="AA521" s="7" t="n">
        <f aca="false">INDEX(Prices!AA:AA,CEG_Assets!$AN$18)*CEG_Assets!$J$18-CEG_Assets!$K$18*AA520-CEG_Assets!$M$18*AA$4</f>
        <v>36.0048813492467</v>
      </c>
      <c r="AB521" s="7" t="n">
        <f aca="false">INDEX(Prices!AB:AB,CEG_Assets!$AN$18)*CEG_Assets!$J$18-CEG_Assets!$K$18*AB520-CEG_Assets!$M$18*AB$4</f>
        <v>36.7249789762317</v>
      </c>
      <c r="AC521" s="7" t="n">
        <f aca="false">INDEX(Prices!AC:AC,CEG_Assets!$AN$18)*CEG_Assets!$J$18-CEG_Assets!$K$18*AC520-CEG_Assets!$M$18*AC$4</f>
        <v>37.4594785557563</v>
      </c>
      <c r="AD521" s="7" t="n">
        <f aca="false">INDEX(Prices!AD:AD,CEG_Assets!$AN$18)*CEG_Assets!$J$18-CEG_Assets!$K$18*AD520-CEG_Assets!$M$18*AD$4</f>
        <v>38.2086681268714</v>
      </c>
      <c r="AE521" s="7" t="n">
        <f aca="false">INDEX(Prices!AE:AE,CEG_Assets!$AN$18)*CEG_Assets!$J$18-CEG_Assets!$K$18*AE520-CEG_Assets!$M$18*AE$4</f>
        <v>38.9728414894089</v>
      </c>
      <c r="AF521" s="7" t="n">
        <f aca="false">INDEX(Prices!AF:AF,CEG_Assets!$AN$18)*CEG_Assets!$J$18-CEG_Assets!$K$18*AF520-CEG_Assets!$M$18*AF$4</f>
        <v>39.752298319197</v>
      </c>
      <c r="AG521" s="7" t="n">
        <f aca="false">INDEX(Prices!AG:AG,CEG_Assets!$AN$18)*CEG_Assets!$J$18-CEG_Assets!$K$18*AG520-CEG_Assets!$M$18*AG$4</f>
        <v>40.547344285581</v>
      </c>
      <c r="AH521" s="7" t="n">
        <f aca="false">INDEX(Prices!AH:AH,CEG_Assets!$AN$18)*CEG_Assets!$J$18-CEG_Assets!$K$18*AH520-CEG_Assets!$M$18*AH$4</f>
        <v>41.3582911712926</v>
      </c>
      <c r="AI521" s="7" t="n">
        <f aca="false">INDEX(Prices!AI:AI,CEG_Assets!$AN$18)*CEG_Assets!$J$18-CEG_Assets!$K$18*AI520-CEG_Assets!$M$18*AI$4</f>
        <v>42.1854569947184</v>
      </c>
      <c r="AJ521" s="7" t="n">
        <f aca="false">INDEX(Prices!AJ:AJ,CEG_Assets!$AN$18)*CEG_Assets!$J$18-CEG_Assets!$K$18*AJ520-CEG_Assets!$M$18*AJ$4</f>
        <v>43.0291661346128</v>
      </c>
      <c r="AK521" s="7" t="n">
        <f aca="false">INDEX(Prices!AK:AK,CEG_Assets!$AN$18)*CEG_Assets!$J$18-CEG_Assets!$K$18*AK520-CEG_Assets!$M$18*AK$4</f>
        <v>43.8897494573051</v>
      </c>
      <c r="AL521" s="7" t="n">
        <f aca="false">INDEX(Prices!AL:AL,CEG_Assets!$AN$18)*CEG_Assets!$J$18-CEG_Assets!$K$18*AL520-CEG_Assets!$M$18*AL$4</f>
        <v>44.7675444464512</v>
      </c>
      <c r="AM521" s="7" t="n">
        <f aca="false">INDEX(Prices!AM:AM,CEG_Assets!$AN$18)*CEG_Assets!$J$18-CEG_Assets!$K$18*AM520-CEG_Assets!$M$18*AM$4</f>
        <v>45.6628953353802</v>
      </c>
      <c r="AN521" s="7" t="n">
        <f aca="false">INDEX(Prices!AN:AN,CEG_Assets!$AN$18)*CEG_Assets!$J$18-CEG_Assets!$K$18*AN520-CEG_Assets!$M$18*AN$4</f>
        <v>46.5761532420878</v>
      </c>
      <c r="AO521" s="7" t="n">
        <f aca="false">INDEX(Prices!AO:AO,CEG_Assets!$AN$18)*CEG_Assets!$J$18-CEG_Assets!$K$18*AO520-CEG_Assets!$M$18*AO$4</f>
        <v>47.5076763069296</v>
      </c>
      <c r="AP521" s="7" t="n">
        <f aca="false">INDEX(Prices!AP:AP,CEG_Assets!$AN$18)*CEG_Assets!$J$18-CEG_Assets!$K$18*AP520-CEG_Assets!$M$18*AP$4</f>
        <v>48.4578298330681</v>
      </c>
      <c r="AQ521" s="7" t="n">
        <f aca="false">INDEX(Prices!AQ:AQ,CEG_Assets!$AN$18)*CEG_Assets!$J$18-CEG_Assets!$K$18*AQ520-CEG_Assets!$M$18*AQ$4</f>
        <v>49.4269864297295</v>
      </c>
      <c r="AR521" s="7" t="n">
        <f aca="false">INDEX(Prices!AR:AR,CEG_Assets!$AN$18)*CEG_Assets!$J$18-CEG_Assets!$K$18*AR520-CEG_Assets!$M$18*AR$4</f>
        <v>50.4155261583241</v>
      </c>
      <c r="AS521" s="7" t="n">
        <f aca="false">INDEX(Prices!AS:AS,CEG_Assets!$AN$18)*CEG_Assets!$J$18-CEG_Assets!$K$18*AS520-CEG_Assets!$M$18*AS$4</f>
        <v>51.4238366814906</v>
      </c>
    </row>
    <row r="522" customFormat="false" ht="15" hidden="false" customHeight="false" outlineLevel="0" collapsed="false">
      <c r="A522" s="6" t="s">
        <v>437</v>
      </c>
      <c r="B522" s="6" t="s">
        <v>438</v>
      </c>
      <c r="G522" s="47" t="n">
        <f aca="false">IF(CEG_Assets!$X$18=1,IF(G521&gt;0,1,0),1)</f>
        <v>1</v>
      </c>
      <c r="H522" s="47" t="n">
        <f aca="false">IF(CEG_Assets!$X$18=1,IF(H521&gt;0,1,0),1)</f>
        <v>1</v>
      </c>
      <c r="I522" s="47" t="n">
        <f aca="false">IF(CEG_Assets!$X$18=1,IF(I521&gt;0,1,0),1)</f>
        <v>1</v>
      </c>
      <c r="J522" s="47" t="n">
        <f aca="false">IF(CEG_Assets!$X$18=1,IF(J521&gt;0,1,0),1)</f>
        <v>1</v>
      </c>
      <c r="K522" s="47" t="n">
        <f aca="false">IF(CEG_Assets!$X$18=1,IF(K521&gt;0,1,0),1)</f>
        <v>1</v>
      </c>
      <c r="L522" s="47" t="n">
        <f aca="false">IF(CEG_Assets!$X$18=1,IF(L521&gt;0,1,0),1)</f>
        <v>1</v>
      </c>
      <c r="M522" s="47" t="n">
        <f aca="false">IF(CEG_Assets!$X$18=1,IF(M521&gt;0,1,0),1)</f>
        <v>1</v>
      </c>
      <c r="N522" s="47" t="n">
        <f aca="false">IF(CEG_Assets!$X$18=1,IF(N521&gt;0,1,0),1)</f>
        <v>1</v>
      </c>
      <c r="O522" s="47" t="n">
        <f aca="false">IF(CEG_Assets!$X$18=1,IF(O521&gt;0,1,0),1)</f>
        <v>1</v>
      </c>
      <c r="P522" s="47" t="n">
        <f aca="false">IF(CEG_Assets!$X$18=1,IF(P521&gt;0,1,0),1)</f>
        <v>1</v>
      </c>
      <c r="Q522" s="47" t="n">
        <f aca="false">IF(CEG_Assets!$X$18=1,IF(Q521&gt;0,1,0),1)</f>
        <v>1</v>
      </c>
      <c r="R522" s="47" t="n">
        <f aca="false">IF(CEG_Assets!$X$18=1,IF(R521&gt;0,1,0),1)</f>
        <v>1</v>
      </c>
      <c r="S522" s="47" t="n">
        <f aca="false">IF(CEG_Assets!$X$18=1,IF(S521&gt;0,1,0),1)</f>
        <v>1</v>
      </c>
      <c r="T522" s="47" t="n">
        <f aca="false">IF(CEG_Assets!$X$18=1,IF(T521&gt;0,1,0),1)</f>
        <v>1</v>
      </c>
      <c r="U522" s="47" t="n">
        <f aca="false">IF(CEG_Assets!$X$18=1,IF(U521&gt;0,1,0),1)</f>
        <v>1</v>
      </c>
      <c r="V522" s="47" t="n">
        <f aca="false">IF(CEG_Assets!$X$18=1,IF(V521&gt;0,1,0),1)</f>
        <v>1</v>
      </c>
      <c r="W522" s="47" t="n">
        <f aca="false">IF(CEG_Assets!$X$18=1,IF(W521&gt;0,1,0),1)</f>
        <v>1</v>
      </c>
      <c r="X522" s="47" t="n">
        <f aca="false">IF(CEG_Assets!$X$18=1,IF(X521&gt;0,1,0),1)</f>
        <v>1</v>
      </c>
      <c r="Y522" s="47" t="n">
        <f aca="false">IF(CEG_Assets!$X$18=1,IF(Y521&gt;0,1,0),1)</f>
        <v>1</v>
      </c>
      <c r="Z522" s="47" t="n">
        <f aca="false">IF(CEG_Assets!$X$18=1,IF(Z521&gt;0,1,0),1)</f>
        <v>1</v>
      </c>
      <c r="AA522" s="47" t="n">
        <f aca="false">IF(CEG_Assets!$X$18=1,IF(AA521&gt;0,1,0),1)</f>
        <v>1</v>
      </c>
      <c r="AB522" s="47" t="n">
        <f aca="false">IF(CEG_Assets!$X$18=1,IF(AB521&gt;0,1,0),1)</f>
        <v>1</v>
      </c>
      <c r="AC522" s="47" t="n">
        <f aca="false">IF(CEG_Assets!$X$18=1,IF(AC521&gt;0,1,0),1)</f>
        <v>1</v>
      </c>
      <c r="AD522" s="47" t="n">
        <f aca="false">IF(CEG_Assets!$X$18=1,IF(AD521&gt;0,1,0),1)</f>
        <v>1</v>
      </c>
      <c r="AE522" s="47" t="n">
        <f aca="false">IF(CEG_Assets!$X$18=1,IF(AE521&gt;0,1,0),1)</f>
        <v>1</v>
      </c>
      <c r="AF522" s="47" t="n">
        <f aca="false">IF(CEG_Assets!$X$18=1,IF(AF521&gt;0,1,0),1)</f>
        <v>1</v>
      </c>
      <c r="AG522" s="47" t="n">
        <f aca="false">IF(CEG_Assets!$X$18=1,IF(AG521&gt;0,1,0),1)</f>
        <v>1</v>
      </c>
      <c r="AH522" s="47" t="n">
        <f aca="false">IF(CEG_Assets!$X$18=1,IF(AH521&gt;0,1,0),1)</f>
        <v>1</v>
      </c>
      <c r="AI522" s="47" t="n">
        <f aca="false">IF(CEG_Assets!$X$18=1,IF(AI521&gt;0,1,0),1)</f>
        <v>1</v>
      </c>
      <c r="AJ522" s="47" t="n">
        <f aca="false">IF(CEG_Assets!$X$18=1,IF(AJ521&gt;0,1,0),1)</f>
        <v>1</v>
      </c>
      <c r="AK522" s="47" t="n">
        <f aca="false">IF(CEG_Assets!$X$18=1,IF(AK521&gt;0,1,0),1)</f>
        <v>1</v>
      </c>
      <c r="AL522" s="47" t="n">
        <f aca="false">IF(CEG_Assets!$X$18=1,IF(AL521&gt;0,1,0),1)</f>
        <v>1</v>
      </c>
      <c r="AM522" s="47" t="n">
        <f aca="false">IF(CEG_Assets!$X$18=1,IF(AM521&gt;0,1,0),1)</f>
        <v>1</v>
      </c>
      <c r="AN522" s="47" t="n">
        <f aca="false">IF(CEG_Assets!$X$18=1,IF(AN521&gt;0,1,0),1)</f>
        <v>1</v>
      </c>
      <c r="AO522" s="47" t="n">
        <f aca="false">IF(CEG_Assets!$X$18=1,IF(AO521&gt;0,1,0),1)</f>
        <v>1</v>
      </c>
      <c r="AP522" s="47" t="n">
        <f aca="false">IF(CEG_Assets!$X$18=1,IF(AP521&gt;0,1,0),1)</f>
        <v>1</v>
      </c>
      <c r="AQ522" s="47" t="n">
        <f aca="false">IF(CEG_Assets!$X$18=1,IF(AQ521&gt;0,1,0),1)</f>
        <v>1</v>
      </c>
      <c r="AR522" s="47" t="n">
        <f aca="false">IF(CEG_Assets!$X$18=1,IF(AR521&gt;0,1,0),1)</f>
        <v>1</v>
      </c>
      <c r="AS522" s="47" t="n">
        <f aca="false">IF(CEG_Assets!$X$18=1,IF(AS521&gt;0,1,0),1)</f>
        <v>1</v>
      </c>
    </row>
    <row r="523" customFormat="false" ht="15" hidden="false" customHeight="false" outlineLevel="0" collapsed="false">
      <c r="A523" s="6" t="s">
        <v>439</v>
      </c>
      <c r="B523" s="6" t="s">
        <v>440</v>
      </c>
      <c r="C523" s="9" t="n">
        <f aca="false">SUM(G523:AS523)</f>
        <v>18499.6744899788</v>
      </c>
      <c r="G523" s="8" t="n">
        <f aca="false">G518*INDEX(Prices!G:G,CEG_Assets!$AN$18)*CEG_Assets!$J$18*G522/1000000*(1+CEG_RevAdj)</f>
        <v>933.3836064</v>
      </c>
      <c r="H523" s="8" t="n">
        <f aca="false">H518*INDEX(Prices!H:H,CEG_Assets!$AN$18)*CEG_Assets!$J$18*H522/1000000*(1+CEG_RevAdj)</f>
        <v>946.3472676</v>
      </c>
      <c r="I523" s="8" t="n">
        <f aca="false">I518*INDEX(Prices!I:I,CEG_Assets!$AN$18)*CEG_Assets!$J$18*I522/1000000*(1+CEG_RevAdj)</f>
        <v>867.990049601545</v>
      </c>
      <c r="J523" s="8" t="n">
        <f aca="false">J518*INDEX(Prices!J:J,CEG_Assets!$AN$18)*CEG_Assets!$J$18*J522/1000000*(1+CEG_RevAdj)</f>
        <v>845.094291507152</v>
      </c>
      <c r="K523" s="8" t="n">
        <f aca="false">K518*INDEX(Prices!K:K,CEG_Assets!$AN$18)*CEG_Assets!$J$18*K522/1000000*(1+CEG_RevAdj)</f>
        <v>861.996177337295</v>
      </c>
      <c r="L523" s="8" t="n">
        <f aca="false">L518*INDEX(Prices!L:L,CEG_Assets!$AN$18)*CEG_Assets!$J$18*L522/1000000*(1+CEG_RevAdj)</f>
        <v>879.236100884041</v>
      </c>
      <c r="M523" s="8" t="n">
        <f aca="false">M518*INDEX(Prices!M:M,CEG_Assets!$AN$18)*CEG_Assets!$J$18*M522/1000000*(1+CEG_RevAdj)</f>
        <v>896.820822901722</v>
      </c>
      <c r="N523" s="8" t="n">
        <f aca="false">N518*INDEX(Prices!N:N,CEG_Assets!$AN$18)*CEG_Assets!$J$18*N522/1000000*(1+CEG_RevAdj)</f>
        <v>914.757239359756</v>
      </c>
      <c r="O523" s="8" t="n">
        <f aca="false">O518*INDEX(Prices!O:O,CEG_Assets!$AN$18)*CEG_Assets!$J$18*O522/1000000*(1+CEG_RevAdj)</f>
        <v>933.052384146952</v>
      </c>
      <c r="P523" s="8" t="n">
        <f aca="false">P518*INDEX(Prices!P:P,CEG_Assets!$AN$18)*CEG_Assets!$J$18*P522/1000000*(1+CEG_RevAdj)</f>
        <v>951.713431829891</v>
      </c>
      <c r="Q523" s="8" t="n">
        <f aca="false">Q518*INDEX(Prices!Q:Q,CEG_Assets!$AN$18)*CEG_Assets!$J$18*Q522/1000000*(1+CEG_RevAdj)</f>
        <v>970.747700466488</v>
      </c>
      <c r="R523" s="8" t="n">
        <f aca="false">R518*INDEX(Prices!R:R,CEG_Assets!$AN$18)*CEG_Assets!$J$18*R522/1000000*(1+CEG_RevAdj)</f>
        <v>990.162654475818</v>
      </c>
      <c r="S523" s="8" t="n">
        <f aca="false">S518*INDEX(Prices!S:S,CEG_Assets!$AN$18)*CEG_Assets!$J$18*S522/1000000*(1+CEG_RevAdj)</f>
        <v>1009.96590756533</v>
      </c>
      <c r="T523" s="8" t="n">
        <f aca="false">T518*INDEX(Prices!T:T,CEG_Assets!$AN$18)*CEG_Assets!$J$18*T522/1000000*(1+CEG_RevAdj)</f>
        <v>1030.16522571664</v>
      </c>
      <c r="U523" s="8" t="n">
        <f aca="false">U518*INDEX(Prices!U:U,CEG_Assets!$AN$18)*CEG_Assets!$J$18*U522/1000000*(1+CEG_RevAdj)</f>
        <v>1050.76853023097</v>
      </c>
      <c r="V523" s="8" t="n">
        <f aca="false">V518*INDEX(Prices!V:V,CEG_Assets!$AN$18)*CEG_Assets!$J$18*V522/1000000*(1+CEG_RevAdj)</f>
        <v>1071.78390083559</v>
      </c>
      <c r="W523" s="8" t="n">
        <f aca="false">W518*INDEX(Prices!W:W,CEG_Assets!$AN$18)*CEG_Assets!$J$18*W522/1000000*(1+CEG_RevAdj)</f>
        <v>1093.21957885231</v>
      </c>
      <c r="X523" s="8" t="n">
        <f aca="false">X518*INDEX(Prices!X:X,CEG_Assets!$AN$18)*CEG_Assets!$J$18*X522/1000000*(1+CEG_RevAdj)</f>
        <v>1115.08397042935</v>
      </c>
      <c r="Y523" s="8" t="n">
        <f aca="false">Y518*INDEX(Prices!Y:Y,CEG_Assets!$AN$18)*CEG_Assets!$J$18*Y522/1000000*(1+CEG_RevAdj)</f>
        <v>1137.38564983794</v>
      </c>
      <c r="Z523" s="8" t="n">
        <f aca="false">Z518*INDEX(Prices!Z:Z,CEG_Assets!$AN$18)*CEG_Assets!$J$18*Z522/1000000*(1+CEG_RevAdj)</f>
        <v>0</v>
      </c>
      <c r="AA523" s="8" t="n">
        <f aca="false">AA518*INDEX(Prices!AA:AA,CEG_Assets!$AN$18)*CEG_Assets!$J$18*AA522/1000000*(1+CEG_RevAdj)</f>
        <v>0</v>
      </c>
      <c r="AB523" s="8" t="n">
        <f aca="false">AB518*INDEX(Prices!AB:AB,CEG_Assets!$AN$18)*CEG_Assets!$J$18*AB522/1000000*(1+CEG_RevAdj)</f>
        <v>0</v>
      </c>
      <c r="AC523" s="8" t="n">
        <f aca="false">AC518*INDEX(Prices!AC:AC,CEG_Assets!$AN$18)*CEG_Assets!$J$18*AC522/1000000*(1+CEG_RevAdj)</f>
        <v>0</v>
      </c>
      <c r="AD523" s="8" t="n">
        <f aca="false">AD518*INDEX(Prices!AD:AD,CEG_Assets!$AN$18)*CEG_Assets!$J$18*AD522/1000000*(1+CEG_RevAdj)</f>
        <v>0</v>
      </c>
      <c r="AE523" s="8" t="n">
        <f aca="false">AE518*INDEX(Prices!AE:AE,CEG_Assets!$AN$18)*CEG_Assets!$J$18*AE522/1000000*(1+CEG_RevAdj)</f>
        <v>0</v>
      </c>
      <c r="AF523" s="8" t="n">
        <f aca="false">AF518*INDEX(Prices!AF:AF,CEG_Assets!$AN$18)*CEG_Assets!$J$18*AF522/1000000*(1+CEG_RevAdj)</f>
        <v>0</v>
      </c>
      <c r="AG523" s="8" t="n">
        <f aca="false">AG518*INDEX(Prices!AG:AG,CEG_Assets!$AN$18)*CEG_Assets!$J$18*AG522/1000000*(1+CEG_RevAdj)</f>
        <v>0</v>
      </c>
      <c r="AH523" s="8" t="n">
        <f aca="false">AH518*INDEX(Prices!AH:AH,CEG_Assets!$AN$18)*CEG_Assets!$J$18*AH522/1000000*(1+CEG_RevAdj)</f>
        <v>0</v>
      </c>
      <c r="AI523" s="8" t="n">
        <f aca="false">AI518*INDEX(Prices!AI:AI,CEG_Assets!$AN$18)*CEG_Assets!$J$18*AI522/1000000*(1+CEG_RevAdj)</f>
        <v>0</v>
      </c>
      <c r="AJ523" s="8" t="n">
        <f aca="false">AJ518*INDEX(Prices!AJ:AJ,CEG_Assets!$AN$18)*CEG_Assets!$J$18*AJ522/1000000*(1+CEG_RevAdj)</f>
        <v>0</v>
      </c>
      <c r="AK523" s="8" t="n">
        <f aca="false">AK518*INDEX(Prices!AK:AK,CEG_Assets!$AN$18)*CEG_Assets!$J$18*AK522/1000000*(1+CEG_RevAdj)</f>
        <v>0</v>
      </c>
      <c r="AL523" s="8" t="n">
        <f aca="false">AL518*INDEX(Prices!AL:AL,CEG_Assets!$AN$18)*CEG_Assets!$J$18*AL522/1000000*(1+CEG_RevAdj)</f>
        <v>0</v>
      </c>
      <c r="AM523" s="8" t="n">
        <f aca="false">AM518*INDEX(Prices!AM:AM,CEG_Assets!$AN$18)*CEG_Assets!$J$18*AM522/1000000*(1+CEG_RevAdj)</f>
        <v>0</v>
      </c>
      <c r="AN523" s="8" t="n">
        <f aca="false">AN518*INDEX(Prices!AN:AN,CEG_Assets!$AN$18)*CEG_Assets!$J$18*AN522/1000000*(1+CEG_RevAdj)</f>
        <v>0</v>
      </c>
      <c r="AO523" s="8" t="n">
        <f aca="false">AO518*INDEX(Prices!AO:AO,CEG_Assets!$AN$18)*CEG_Assets!$J$18*AO522/1000000*(1+CEG_RevAdj)</f>
        <v>0</v>
      </c>
      <c r="AP523" s="8" t="n">
        <f aca="false">AP518*INDEX(Prices!AP:AP,CEG_Assets!$AN$18)*CEG_Assets!$J$18*AP522/1000000*(1+CEG_RevAdj)</f>
        <v>0</v>
      </c>
      <c r="AQ523" s="8" t="n">
        <f aca="false">AQ518*INDEX(Prices!AQ:AQ,CEG_Assets!$AN$18)*CEG_Assets!$J$18*AQ522/1000000*(1+CEG_RevAdj)</f>
        <v>0</v>
      </c>
      <c r="AR523" s="8" t="n">
        <f aca="false">AR518*INDEX(Prices!AR:AR,CEG_Assets!$AN$18)*CEG_Assets!$J$18*AR522/1000000*(1+CEG_RevAdj)</f>
        <v>0</v>
      </c>
      <c r="AS523" s="8" t="n">
        <f aca="false">AS518*INDEX(Prices!AS:AS,CEG_Assets!$AN$18)*CEG_Assets!$J$18*AS522/1000000*(1+CEG_RevAdj)</f>
        <v>0</v>
      </c>
    </row>
    <row r="524" customFormat="false" ht="15" hidden="false" customHeight="false" outlineLevel="0" collapsed="false">
      <c r="A524" s="6" t="s">
        <v>441</v>
      </c>
      <c r="B524" s="6" t="s">
        <v>442</v>
      </c>
      <c r="C524" s="9" t="n">
        <f aca="false">SUM(G524:AS524)</f>
        <v>2115.85081697885</v>
      </c>
      <c r="G524" s="8" t="n">
        <f aca="false">(CEG_Assets!$D$18-G517)*INDEX(Prices!G:G,CEG_Assets!$AP$18)*365*CEG_Assets!$T$18*G516/1000000*(1+CEG_RevAdj)</f>
        <v>92.635686</v>
      </c>
      <c r="H524" s="8" t="n">
        <f aca="false">(CEG_Assets!$D$18-H517)*INDEX(Prices!H:H,CEG_Assets!$AP$18)*365*CEG_Assets!$T$18*H516/1000000*(1+CEG_RevAdj)</f>
        <v>94.48839972</v>
      </c>
      <c r="I524" s="8" t="n">
        <f aca="false">(CEG_Assets!$D$18-I517)*INDEX(Prices!I:I,CEG_Assets!$AP$18)*365*CEG_Assets!$T$18*I516/1000000*(1+CEG_RevAdj)</f>
        <v>96.3781677144</v>
      </c>
      <c r="J524" s="8" t="n">
        <f aca="false">(CEG_Assets!$D$18-J517)*INDEX(Prices!J:J,CEG_Assets!$AP$18)*365*CEG_Assets!$T$18*J516/1000000*(1+CEG_RevAdj)</f>
        <v>98.305731068688</v>
      </c>
      <c r="K524" s="8" t="n">
        <f aca="false">(CEG_Assets!$D$18-K517)*INDEX(Prices!K:K,CEG_Assets!$AP$18)*365*CEG_Assets!$T$18*K516/1000000*(1+CEG_RevAdj)</f>
        <v>100.271845690062</v>
      </c>
      <c r="L524" s="8" t="n">
        <f aca="false">(CEG_Assets!$D$18-L517)*INDEX(Prices!L:L,CEG_Assets!$AP$18)*365*CEG_Assets!$T$18*L516/1000000*(1+CEG_RevAdj)</f>
        <v>102.277282603863</v>
      </c>
      <c r="M524" s="8" t="n">
        <f aca="false">(CEG_Assets!$D$18-M517)*INDEX(Prices!M:M,CEG_Assets!$AP$18)*365*CEG_Assets!$T$18*M516/1000000*(1+CEG_RevAdj)</f>
        <v>104.32282825594</v>
      </c>
      <c r="N524" s="8" t="n">
        <f aca="false">(CEG_Assets!$D$18-N517)*INDEX(Prices!N:N,CEG_Assets!$AP$18)*365*CEG_Assets!$T$18*N516/1000000*(1+CEG_RevAdj)</f>
        <v>106.409284821059</v>
      </c>
      <c r="O524" s="8" t="n">
        <f aca="false">(CEG_Assets!$D$18-O517)*INDEX(Prices!O:O,CEG_Assets!$AP$18)*365*CEG_Assets!$T$18*O516/1000000*(1+CEG_RevAdj)</f>
        <v>108.53747051748</v>
      </c>
      <c r="P524" s="8" t="n">
        <f aca="false">(CEG_Assets!$D$18-P517)*INDEX(Prices!P:P,CEG_Assets!$AP$18)*365*CEG_Assets!$T$18*P516/1000000*(1+CEG_RevAdj)</f>
        <v>110.70821992783</v>
      </c>
      <c r="Q524" s="8" t="n">
        <f aca="false">(CEG_Assets!$D$18-Q517)*INDEX(Prices!Q:Q,CEG_Assets!$AP$18)*365*CEG_Assets!$T$18*Q516/1000000*(1+CEG_RevAdj)</f>
        <v>112.922384326386</v>
      </c>
      <c r="R524" s="8" t="n">
        <f aca="false">(CEG_Assets!$D$18-R517)*INDEX(Prices!R:R,CEG_Assets!$AP$18)*365*CEG_Assets!$T$18*R516/1000000*(1+CEG_RevAdj)</f>
        <v>115.180832012914</v>
      </c>
      <c r="S524" s="8" t="n">
        <f aca="false">(CEG_Assets!$D$18-S517)*INDEX(Prices!S:S,CEG_Assets!$AP$18)*365*CEG_Assets!$T$18*S516/1000000*(1+CEG_RevAdj)</f>
        <v>117.484448653172</v>
      </c>
      <c r="T524" s="8" t="n">
        <f aca="false">(CEG_Assets!$D$18-T517)*INDEX(Prices!T:T,CEG_Assets!$AP$18)*365*CEG_Assets!$T$18*T516/1000000*(1+CEG_RevAdj)</f>
        <v>119.834137626236</v>
      </c>
      <c r="U524" s="8" t="n">
        <f aca="false">(CEG_Assets!$D$18-U517)*INDEX(Prices!U:U,CEG_Assets!$AP$18)*365*CEG_Assets!$T$18*U516/1000000*(1+CEG_RevAdj)</f>
        <v>122.230820378761</v>
      </c>
      <c r="V524" s="8" t="n">
        <f aca="false">(CEG_Assets!$D$18-V517)*INDEX(Prices!V:V,CEG_Assets!$AP$18)*365*CEG_Assets!$T$18*V516/1000000*(1+CEG_RevAdj)</f>
        <v>124.675436786336</v>
      </c>
      <c r="W524" s="8" t="n">
        <f aca="false">(CEG_Assets!$D$18-W517)*INDEX(Prices!W:W,CEG_Assets!$AP$18)*365*CEG_Assets!$T$18*W516/1000000*(1+CEG_RevAdj)</f>
        <v>127.168945522063</v>
      </c>
      <c r="X524" s="8" t="n">
        <f aca="false">(CEG_Assets!$D$18-X517)*INDEX(Prices!X:X,CEG_Assets!$AP$18)*365*CEG_Assets!$T$18*X516/1000000*(1+CEG_RevAdj)</f>
        <v>129.712324432504</v>
      </c>
      <c r="Y524" s="8" t="n">
        <f aca="false">(CEG_Assets!$D$18-Y517)*INDEX(Prices!Y:Y,CEG_Assets!$AP$18)*365*CEG_Assets!$T$18*Y516/1000000*(1+CEG_RevAdj)</f>
        <v>132.306570921154</v>
      </c>
      <c r="Z524" s="8" t="n">
        <f aca="false">(CEG_Assets!$D$18-Z517)*INDEX(Prices!Z:Z,CEG_Assets!$AP$18)*365*CEG_Assets!$T$18*Z516/1000000*(1+CEG_RevAdj)</f>
        <v>0</v>
      </c>
      <c r="AA524" s="8" t="n">
        <f aca="false">(CEG_Assets!$D$18-AA517)*INDEX(Prices!AA:AA,CEG_Assets!$AP$18)*365*CEG_Assets!$T$18*AA516/1000000*(1+CEG_RevAdj)</f>
        <v>0</v>
      </c>
      <c r="AB524" s="8" t="n">
        <f aca="false">(CEG_Assets!$D$18-AB517)*INDEX(Prices!AB:AB,CEG_Assets!$AP$18)*365*CEG_Assets!$T$18*AB516/1000000*(1+CEG_RevAdj)</f>
        <v>0</v>
      </c>
      <c r="AC524" s="8" t="n">
        <f aca="false">(CEG_Assets!$D$18-AC517)*INDEX(Prices!AC:AC,CEG_Assets!$AP$18)*365*CEG_Assets!$T$18*AC516/1000000*(1+CEG_RevAdj)</f>
        <v>0</v>
      </c>
      <c r="AD524" s="8" t="n">
        <f aca="false">(CEG_Assets!$D$18-AD517)*INDEX(Prices!AD:AD,CEG_Assets!$AP$18)*365*CEG_Assets!$T$18*AD516/1000000*(1+CEG_RevAdj)</f>
        <v>0</v>
      </c>
      <c r="AE524" s="8" t="n">
        <f aca="false">(CEG_Assets!$D$18-AE517)*INDEX(Prices!AE:AE,CEG_Assets!$AP$18)*365*CEG_Assets!$T$18*AE516/1000000*(1+CEG_RevAdj)</f>
        <v>0</v>
      </c>
      <c r="AF524" s="8" t="n">
        <f aca="false">(CEG_Assets!$D$18-AF517)*INDEX(Prices!AF:AF,CEG_Assets!$AP$18)*365*CEG_Assets!$T$18*AF516/1000000*(1+CEG_RevAdj)</f>
        <v>0</v>
      </c>
      <c r="AG524" s="8" t="n">
        <f aca="false">(CEG_Assets!$D$18-AG517)*INDEX(Prices!AG:AG,CEG_Assets!$AP$18)*365*CEG_Assets!$T$18*AG516/1000000*(1+CEG_RevAdj)</f>
        <v>0</v>
      </c>
      <c r="AH524" s="8" t="n">
        <f aca="false">(CEG_Assets!$D$18-AH517)*INDEX(Prices!AH:AH,CEG_Assets!$AP$18)*365*CEG_Assets!$T$18*AH516/1000000*(1+CEG_RevAdj)</f>
        <v>0</v>
      </c>
      <c r="AI524" s="8" t="n">
        <f aca="false">(CEG_Assets!$D$18-AI517)*INDEX(Prices!AI:AI,CEG_Assets!$AP$18)*365*CEG_Assets!$T$18*AI516/1000000*(1+CEG_RevAdj)</f>
        <v>0</v>
      </c>
      <c r="AJ524" s="8" t="n">
        <f aca="false">(CEG_Assets!$D$18-AJ517)*INDEX(Prices!AJ:AJ,CEG_Assets!$AP$18)*365*CEG_Assets!$T$18*AJ516/1000000*(1+CEG_RevAdj)</f>
        <v>0</v>
      </c>
      <c r="AK524" s="8" t="n">
        <f aca="false">(CEG_Assets!$D$18-AK517)*INDEX(Prices!AK:AK,CEG_Assets!$AP$18)*365*CEG_Assets!$T$18*AK516/1000000*(1+CEG_RevAdj)</f>
        <v>0</v>
      </c>
      <c r="AL524" s="8" t="n">
        <f aca="false">(CEG_Assets!$D$18-AL517)*INDEX(Prices!AL:AL,CEG_Assets!$AP$18)*365*CEG_Assets!$T$18*AL516/1000000*(1+CEG_RevAdj)</f>
        <v>0</v>
      </c>
      <c r="AM524" s="8" t="n">
        <f aca="false">(CEG_Assets!$D$18-AM517)*INDEX(Prices!AM:AM,CEG_Assets!$AP$18)*365*CEG_Assets!$T$18*AM516/1000000*(1+CEG_RevAdj)</f>
        <v>0</v>
      </c>
      <c r="AN524" s="8" t="n">
        <f aca="false">(CEG_Assets!$D$18-AN517)*INDEX(Prices!AN:AN,CEG_Assets!$AP$18)*365*CEG_Assets!$T$18*AN516/1000000*(1+CEG_RevAdj)</f>
        <v>0</v>
      </c>
      <c r="AO524" s="8" t="n">
        <f aca="false">(CEG_Assets!$D$18-AO517)*INDEX(Prices!AO:AO,CEG_Assets!$AP$18)*365*CEG_Assets!$T$18*AO516/1000000*(1+CEG_RevAdj)</f>
        <v>0</v>
      </c>
      <c r="AP524" s="8" t="n">
        <f aca="false">(CEG_Assets!$D$18-AP517)*INDEX(Prices!AP:AP,CEG_Assets!$AP$18)*365*CEG_Assets!$T$18*AP516/1000000*(1+CEG_RevAdj)</f>
        <v>0</v>
      </c>
      <c r="AQ524" s="8" t="n">
        <f aca="false">(CEG_Assets!$D$18-AQ517)*INDEX(Prices!AQ:AQ,CEG_Assets!$AP$18)*365*CEG_Assets!$T$18*AQ516/1000000*(1+CEG_RevAdj)</f>
        <v>0</v>
      </c>
      <c r="AR524" s="8" t="n">
        <f aca="false">(CEG_Assets!$D$18-AR517)*INDEX(Prices!AR:AR,CEG_Assets!$AP$18)*365*CEG_Assets!$T$18*AR516/1000000*(1+CEG_RevAdj)</f>
        <v>0</v>
      </c>
      <c r="AS524" s="8" t="n">
        <f aca="false">(CEG_Assets!$D$18-AS517)*INDEX(Prices!AS:AS,CEG_Assets!$AP$18)*365*CEG_Assets!$T$18*AS516/1000000*(1+CEG_RevAdj)</f>
        <v>0</v>
      </c>
    </row>
    <row r="525" customFormat="false" ht="15" hidden="false" customHeight="false" outlineLevel="0" collapsed="false">
      <c r="A525" s="6" t="s">
        <v>443</v>
      </c>
      <c r="B525" s="6" t="s">
        <v>444</v>
      </c>
      <c r="C525" s="9" t="n">
        <f aca="false">SUM(G525:AS525)</f>
        <v>0</v>
      </c>
      <c r="G525" s="8" t="n">
        <f aca="false">G519*(CEG_Assets!$AD$18+CEG_PPAAdj)/1000000*(1+CEG_RevAdj)</f>
        <v>0</v>
      </c>
      <c r="H525" s="8" t="n">
        <f aca="false">H519*(CEG_Assets!$AD$18+CEG_PPAAdj)/1000000*(1+CEG_RevAdj)</f>
        <v>0</v>
      </c>
      <c r="I525" s="8" t="n">
        <f aca="false">I519*(CEG_Assets!$AD$18+CEG_PPAAdj)/1000000*(1+CEG_RevAdj)</f>
        <v>0</v>
      </c>
      <c r="J525" s="8" t="n">
        <f aca="false">J519*(CEG_Assets!$AD$18+CEG_PPAAdj)/1000000*(1+CEG_RevAdj)</f>
        <v>0</v>
      </c>
      <c r="K525" s="8" t="n">
        <f aca="false">K519*(CEG_Assets!$AD$18+CEG_PPAAdj)/1000000*(1+CEG_RevAdj)</f>
        <v>0</v>
      </c>
      <c r="L525" s="8" t="n">
        <f aca="false">L519*(CEG_Assets!$AD$18+CEG_PPAAdj)/1000000*(1+CEG_RevAdj)</f>
        <v>0</v>
      </c>
      <c r="M525" s="8" t="n">
        <f aca="false">M519*(CEG_Assets!$AD$18+CEG_PPAAdj)/1000000*(1+CEG_RevAdj)</f>
        <v>0</v>
      </c>
      <c r="N525" s="8" t="n">
        <f aca="false">N519*(CEG_Assets!$AD$18+CEG_PPAAdj)/1000000*(1+CEG_RevAdj)</f>
        <v>0</v>
      </c>
      <c r="O525" s="8" t="n">
        <f aca="false">O519*(CEG_Assets!$AD$18+CEG_PPAAdj)/1000000*(1+CEG_RevAdj)</f>
        <v>0</v>
      </c>
      <c r="P525" s="8" t="n">
        <f aca="false">P519*(CEG_Assets!$AD$18+CEG_PPAAdj)/1000000*(1+CEG_RevAdj)</f>
        <v>0</v>
      </c>
      <c r="Q525" s="8" t="n">
        <f aca="false">Q519*(CEG_Assets!$AD$18+CEG_PPAAdj)/1000000*(1+CEG_RevAdj)</f>
        <v>0</v>
      </c>
      <c r="R525" s="8" t="n">
        <f aca="false">R519*(CEG_Assets!$AD$18+CEG_PPAAdj)/1000000*(1+CEG_RevAdj)</f>
        <v>0</v>
      </c>
      <c r="S525" s="8" t="n">
        <f aca="false">S519*(CEG_Assets!$AD$18+CEG_PPAAdj)/1000000*(1+CEG_RevAdj)</f>
        <v>0</v>
      </c>
      <c r="T525" s="8" t="n">
        <f aca="false">T519*(CEG_Assets!$AD$18+CEG_PPAAdj)/1000000*(1+CEG_RevAdj)</f>
        <v>0</v>
      </c>
      <c r="U525" s="8" t="n">
        <f aca="false">U519*(CEG_Assets!$AD$18+CEG_PPAAdj)/1000000*(1+CEG_RevAdj)</f>
        <v>0</v>
      </c>
      <c r="V525" s="8" t="n">
        <f aca="false">V519*(CEG_Assets!$AD$18+CEG_PPAAdj)/1000000*(1+CEG_RevAdj)</f>
        <v>0</v>
      </c>
      <c r="W525" s="8" t="n">
        <f aca="false">W519*(CEG_Assets!$AD$18+CEG_PPAAdj)/1000000*(1+CEG_RevAdj)</f>
        <v>0</v>
      </c>
      <c r="X525" s="8" t="n">
        <f aca="false">X519*(CEG_Assets!$AD$18+CEG_PPAAdj)/1000000*(1+CEG_RevAdj)</f>
        <v>0</v>
      </c>
      <c r="Y525" s="8" t="n">
        <f aca="false">Y519*(CEG_Assets!$AD$18+CEG_PPAAdj)/1000000*(1+CEG_RevAdj)</f>
        <v>0</v>
      </c>
      <c r="Z525" s="8" t="n">
        <f aca="false">Z519*(CEG_Assets!$AD$18+CEG_PPAAdj)/1000000*(1+CEG_RevAdj)</f>
        <v>0</v>
      </c>
      <c r="AA525" s="8" t="n">
        <f aca="false">AA519*(CEG_Assets!$AD$18+CEG_PPAAdj)/1000000*(1+CEG_RevAdj)</f>
        <v>0</v>
      </c>
      <c r="AB525" s="8" t="n">
        <f aca="false">AB519*(CEG_Assets!$AD$18+CEG_PPAAdj)/1000000*(1+CEG_RevAdj)</f>
        <v>0</v>
      </c>
      <c r="AC525" s="8" t="n">
        <f aca="false">AC519*(CEG_Assets!$AD$18+CEG_PPAAdj)/1000000*(1+CEG_RevAdj)</f>
        <v>0</v>
      </c>
      <c r="AD525" s="8" t="n">
        <f aca="false">AD519*(CEG_Assets!$AD$18+CEG_PPAAdj)/1000000*(1+CEG_RevAdj)</f>
        <v>0</v>
      </c>
      <c r="AE525" s="8" t="n">
        <f aca="false">AE519*(CEG_Assets!$AD$18+CEG_PPAAdj)/1000000*(1+CEG_RevAdj)</f>
        <v>0</v>
      </c>
      <c r="AF525" s="8" t="n">
        <f aca="false">AF519*(CEG_Assets!$AD$18+CEG_PPAAdj)/1000000*(1+CEG_RevAdj)</f>
        <v>0</v>
      </c>
      <c r="AG525" s="8" t="n">
        <f aca="false">AG519*(CEG_Assets!$AD$18+CEG_PPAAdj)/1000000*(1+CEG_RevAdj)</f>
        <v>0</v>
      </c>
      <c r="AH525" s="8" t="n">
        <f aca="false">AH519*(CEG_Assets!$AD$18+CEG_PPAAdj)/1000000*(1+CEG_RevAdj)</f>
        <v>0</v>
      </c>
      <c r="AI525" s="8" t="n">
        <f aca="false">AI519*(CEG_Assets!$AD$18+CEG_PPAAdj)/1000000*(1+CEG_RevAdj)</f>
        <v>0</v>
      </c>
      <c r="AJ525" s="8" t="n">
        <f aca="false">AJ519*(CEG_Assets!$AD$18+CEG_PPAAdj)/1000000*(1+CEG_RevAdj)</f>
        <v>0</v>
      </c>
      <c r="AK525" s="8" t="n">
        <f aca="false">AK519*(CEG_Assets!$AD$18+CEG_PPAAdj)/1000000*(1+CEG_RevAdj)</f>
        <v>0</v>
      </c>
      <c r="AL525" s="8" t="n">
        <f aca="false">AL519*(CEG_Assets!$AD$18+CEG_PPAAdj)/1000000*(1+CEG_RevAdj)</f>
        <v>0</v>
      </c>
      <c r="AM525" s="8" t="n">
        <f aca="false">AM519*(CEG_Assets!$AD$18+CEG_PPAAdj)/1000000*(1+CEG_RevAdj)</f>
        <v>0</v>
      </c>
      <c r="AN525" s="8" t="n">
        <f aca="false">AN519*(CEG_Assets!$AD$18+CEG_PPAAdj)/1000000*(1+CEG_RevAdj)</f>
        <v>0</v>
      </c>
      <c r="AO525" s="8" t="n">
        <f aca="false">AO519*(CEG_Assets!$AD$18+CEG_PPAAdj)/1000000*(1+CEG_RevAdj)</f>
        <v>0</v>
      </c>
      <c r="AP525" s="8" t="n">
        <f aca="false">AP519*(CEG_Assets!$AD$18+CEG_PPAAdj)/1000000*(1+CEG_RevAdj)</f>
        <v>0</v>
      </c>
      <c r="AQ525" s="8" t="n">
        <f aca="false">AQ519*(CEG_Assets!$AD$18+CEG_PPAAdj)/1000000*(1+CEG_RevAdj)</f>
        <v>0</v>
      </c>
      <c r="AR525" s="8" t="n">
        <f aca="false">AR519*(CEG_Assets!$AD$18+CEG_PPAAdj)/1000000*(1+CEG_RevAdj)</f>
        <v>0</v>
      </c>
      <c r="AS525" s="8" t="n">
        <f aca="false">AS519*(CEG_Assets!$AD$18+CEG_PPAAdj)/1000000*(1+CEG_RevAdj)</f>
        <v>0</v>
      </c>
    </row>
    <row r="526" customFormat="false" ht="15" hidden="false" customHeight="false" outlineLevel="0" collapsed="false">
      <c r="A526" s="6" t="s">
        <v>445</v>
      </c>
      <c r="B526" s="6" t="s">
        <v>446</v>
      </c>
      <c r="C526" s="9" t="n">
        <f aca="false">SUM(G526:AS526)</f>
        <v>0</v>
      </c>
      <c r="G526" s="8" t="n">
        <f aca="false">IF(G$3&lt;=CEG_Assets!$V$18,G518*CEG_Assets!$U$18,0)/1000000*(1+CEG_RevAdj)</f>
        <v>0</v>
      </c>
      <c r="H526" s="8" t="n">
        <f aca="false">IF(H$3&lt;=CEG_Assets!$V$18,H518*CEG_Assets!$U$18,0)/1000000*(1+CEG_RevAdj)</f>
        <v>0</v>
      </c>
      <c r="I526" s="8" t="n">
        <f aca="false">IF(I$3&lt;=CEG_Assets!$V$18,I518*CEG_Assets!$U$18,0)/1000000*(1+CEG_RevAdj)</f>
        <v>0</v>
      </c>
      <c r="J526" s="8" t="n">
        <f aca="false">IF(J$3&lt;=CEG_Assets!$V$18,J518*CEG_Assets!$U$18,0)/1000000*(1+CEG_RevAdj)</f>
        <v>0</v>
      </c>
      <c r="K526" s="8" t="n">
        <f aca="false">IF(K$3&lt;=CEG_Assets!$V$18,K518*CEG_Assets!$U$18,0)/1000000*(1+CEG_RevAdj)</f>
        <v>0</v>
      </c>
      <c r="L526" s="8" t="n">
        <f aca="false">IF(L$3&lt;=CEG_Assets!$V$18,L518*CEG_Assets!$U$18,0)/1000000*(1+CEG_RevAdj)</f>
        <v>0</v>
      </c>
      <c r="M526" s="8" t="n">
        <f aca="false">IF(M$3&lt;=CEG_Assets!$V$18,M518*CEG_Assets!$U$18,0)/1000000*(1+CEG_RevAdj)</f>
        <v>0</v>
      </c>
      <c r="N526" s="8" t="n">
        <f aca="false">IF(N$3&lt;=CEG_Assets!$V$18,N518*CEG_Assets!$U$18,0)/1000000*(1+CEG_RevAdj)</f>
        <v>0</v>
      </c>
      <c r="O526" s="8" t="n">
        <f aca="false">IF(O$3&lt;=CEG_Assets!$V$18,O518*CEG_Assets!$U$18,0)/1000000*(1+CEG_RevAdj)</f>
        <v>0</v>
      </c>
      <c r="P526" s="8" t="n">
        <f aca="false">IF(P$3&lt;=CEG_Assets!$V$18,P518*CEG_Assets!$U$18,0)/1000000*(1+CEG_RevAdj)</f>
        <v>0</v>
      </c>
      <c r="Q526" s="8" t="n">
        <f aca="false">IF(Q$3&lt;=CEG_Assets!$V$18,Q518*CEG_Assets!$U$18,0)/1000000*(1+CEG_RevAdj)</f>
        <v>0</v>
      </c>
      <c r="R526" s="8" t="n">
        <f aca="false">IF(R$3&lt;=CEG_Assets!$V$18,R518*CEG_Assets!$U$18,0)/1000000*(1+CEG_RevAdj)</f>
        <v>0</v>
      </c>
      <c r="S526" s="8" t="n">
        <f aca="false">IF(S$3&lt;=CEG_Assets!$V$18,S518*CEG_Assets!$U$18,0)/1000000*(1+CEG_RevAdj)</f>
        <v>0</v>
      </c>
      <c r="T526" s="8" t="n">
        <f aca="false">IF(T$3&lt;=CEG_Assets!$V$18,T518*CEG_Assets!$U$18,0)/1000000*(1+CEG_RevAdj)</f>
        <v>0</v>
      </c>
      <c r="U526" s="8" t="n">
        <f aca="false">IF(U$3&lt;=CEG_Assets!$V$18,U518*CEG_Assets!$U$18,0)/1000000*(1+CEG_RevAdj)</f>
        <v>0</v>
      </c>
      <c r="V526" s="8" t="n">
        <f aca="false">IF(V$3&lt;=CEG_Assets!$V$18,V518*CEG_Assets!$U$18,0)/1000000*(1+CEG_RevAdj)</f>
        <v>0</v>
      </c>
      <c r="W526" s="8" t="n">
        <f aca="false">IF(W$3&lt;=CEG_Assets!$V$18,W518*CEG_Assets!$U$18,0)/1000000*(1+CEG_RevAdj)</f>
        <v>0</v>
      </c>
      <c r="X526" s="8" t="n">
        <f aca="false">IF(X$3&lt;=CEG_Assets!$V$18,X518*CEG_Assets!$U$18,0)/1000000*(1+CEG_RevAdj)</f>
        <v>0</v>
      </c>
      <c r="Y526" s="8" t="n">
        <f aca="false">IF(Y$3&lt;=CEG_Assets!$V$18,Y518*CEG_Assets!$U$18,0)/1000000*(1+CEG_RevAdj)</f>
        <v>0</v>
      </c>
      <c r="Z526" s="8" t="n">
        <f aca="false">IF(Z$3&lt;=CEG_Assets!$V$18,Z518*CEG_Assets!$U$18,0)/1000000*(1+CEG_RevAdj)</f>
        <v>0</v>
      </c>
      <c r="AA526" s="8" t="n">
        <f aca="false">IF(AA$3&lt;=CEG_Assets!$V$18,AA518*CEG_Assets!$U$18,0)/1000000*(1+CEG_RevAdj)</f>
        <v>0</v>
      </c>
      <c r="AB526" s="8" t="n">
        <f aca="false">IF(AB$3&lt;=CEG_Assets!$V$18,AB518*CEG_Assets!$U$18,0)/1000000*(1+CEG_RevAdj)</f>
        <v>0</v>
      </c>
      <c r="AC526" s="8" t="n">
        <f aca="false">IF(AC$3&lt;=CEG_Assets!$V$18,AC518*CEG_Assets!$U$18,0)/1000000*(1+CEG_RevAdj)</f>
        <v>0</v>
      </c>
      <c r="AD526" s="8" t="n">
        <f aca="false">IF(AD$3&lt;=CEG_Assets!$V$18,AD518*CEG_Assets!$U$18,0)/1000000*(1+CEG_RevAdj)</f>
        <v>0</v>
      </c>
      <c r="AE526" s="8" t="n">
        <f aca="false">IF(AE$3&lt;=CEG_Assets!$V$18,AE518*CEG_Assets!$U$18,0)/1000000*(1+CEG_RevAdj)</f>
        <v>0</v>
      </c>
      <c r="AF526" s="8" t="n">
        <f aca="false">IF(AF$3&lt;=CEG_Assets!$V$18,AF518*CEG_Assets!$U$18,0)/1000000*(1+CEG_RevAdj)</f>
        <v>0</v>
      </c>
      <c r="AG526" s="8" t="n">
        <f aca="false">IF(AG$3&lt;=CEG_Assets!$V$18,AG518*CEG_Assets!$U$18,0)/1000000*(1+CEG_RevAdj)</f>
        <v>0</v>
      </c>
      <c r="AH526" s="8" t="n">
        <f aca="false">IF(AH$3&lt;=CEG_Assets!$V$18,AH518*CEG_Assets!$U$18,0)/1000000*(1+CEG_RevAdj)</f>
        <v>0</v>
      </c>
      <c r="AI526" s="8" t="n">
        <f aca="false">IF(AI$3&lt;=CEG_Assets!$V$18,AI518*CEG_Assets!$U$18,0)/1000000*(1+CEG_RevAdj)</f>
        <v>0</v>
      </c>
      <c r="AJ526" s="8" t="n">
        <f aca="false">IF(AJ$3&lt;=CEG_Assets!$V$18,AJ518*CEG_Assets!$U$18,0)/1000000*(1+CEG_RevAdj)</f>
        <v>0</v>
      </c>
      <c r="AK526" s="8" t="n">
        <f aca="false">IF(AK$3&lt;=CEG_Assets!$V$18,AK518*CEG_Assets!$U$18,0)/1000000*(1+CEG_RevAdj)</f>
        <v>0</v>
      </c>
      <c r="AL526" s="8" t="n">
        <f aca="false">IF(AL$3&lt;=CEG_Assets!$V$18,AL518*CEG_Assets!$U$18,0)/1000000*(1+CEG_RevAdj)</f>
        <v>0</v>
      </c>
      <c r="AM526" s="8" t="n">
        <f aca="false">IF(AM$3&lt;=CEG_Assets!$V$18,AM518*CEG_Assets!$U$18,0)/1000000*(1+CEG_RevAdj)</f>
        <v>0</v>
      </c>
      <c r="AN526" s="8" t="n">
        <f aca="false">IF(AN$3&lt;=CEG_Assets!$V$18,AN518*CEG_Assets!$U$18,0)/1000000*(1+CEG_RevAdj)</f>
        <v>0</v>
      </c>
      <c r="AO526" s="8" t="n">
        <f aca="false">IF(AO$3&lt;=CEG_Assets!$V$18,AO518*CEG_Assets!$U$18,0)/1000000*(1+CEG_RevAdj)</f>
        <v>0</v>
      </c>
      <c r="AP526" s="8" t="n">
        <f aca="false">IF(AP$3&lt;=CEG_Assets!$V$18,AP518*CEG_Assets!$U$18,0)/1000000*(1+CEG_RevAdj)</f>
        <v>0</v>
      </c>
      <c r="AQ526" s="8" t="n">
        <f aca="false">IF(AQ$3&lt;=CEG_Assets!$V$18,AQ518*CEG_Assets!$U$18,0)/1000000*(1+CEG_RevAdj)</f>
        <v>0</v>
      </c>
      <c r="AR526" s="8" t="n">
        <f aca="false">IF(AR$3&lt;=CEG_Assets!$V$18,AR518*CEG_Assets!$U$18,0)/1000000*(1+CEG_RevAdj)</f>
        <v>0</v>
      </c>
      <c r="AS526" s="8" t="n">
        <f aca="false">IF(AS$3&lt;=CEG_Assets!$V$18,AS518*CEG_Assets!$U$18,0)/1000000*(1+CEG_RevAdj)</f>
        <v>0</v>
      </c>
    </row>
    <row r="527" customFormat="false" ht="15" hidden="false" customHeight="false" outlineLevel="0" collapsed="false">
      <c r="A527" s="6" t="s">
        <v>447</v>
      </c>
      <c r="B527" s="6" t="s">
        <v>448</v>
      </c>
      <c r="C527" s="9" t="n">
        <f aca="false">SUM(G527:AS527)</f>
        <v>20615.5253069577</v>
      </c>
      <c r="G527" s="8" t="n">
        <f aca="false">G523+G524+G525+G526</f>
        <v>1026.0192924</v>
      </c>
      <c r="H527" s="8" t="n">
        <f aca="false">H523+H524+H525+H526</f>
        <v>1040.83566732</v>
      </c>
      <c r="I527" s="8" t="n">
        <f aca="false">I523+I524+I525+I526</f>
        <v>964.368217315945</v>
      </c>
      <c r="J527" s="8" t="n">
        <f aca="false">J523+J524+J525+J526</f>
        <v>943.40002257584</v>
      </c>
      <c r="K527" s="8" t="n">
        <f aca="false">K523+K524+K525+K526</f>
        <v>962.268023027357</v>
      </c>
      <c r="L527" s="8" t="n">
        <f aca="false">L523+L524+L525+L526</f>
        <v>981.513383487904</v>
      </c>
      <c r="M527" s="8" t="n">
        <f aca="false">M523+M524+M525+M526</f>
        <v>1001.14365115766</v>
      </c>
      <c r="N527" s="8" t="n">
        <f aca="false">N523+N524+N525+N526</f>
        <v>1021.16652418082</v>
      </c>
      <c r="O527" s="8" t="n">
        <f aca="false">O523+O524+O525+O526</f>
        <v>1041.58985466443</v>
      </c>
      <c r="P527" s="8" t="n">
        <f aca="false">P523+P524+P525+P526</f>
        <v>1062.42165175772</v>
      </c>
      <c r="Q527" s="8" t="n">
        <f aca="false">Q523+Q524+Q525+Q526</f>
        <v>1083.67008479287</v>
      </c>
      <c r="R527" s="8" t="n">
        <f aca="false">R523+R524+R525+R526</f>
        <v>1105.34348648873</v>
      </c>
      <c r="S527" s="8" t="n">
        <f aca="false">S523+S524+S525+S526</f>
        <v>1127.45035621851</v>
      </c>
      <c r="T527" s="8" t="n">
        <f aca="false">T523+T524+T525+T526</f>
        <v>1149.99936334288</v>
      </c>
      <c r="U527" s="8" t="n">
        <f aca="false">U523+U524+U525+U526</f>
        <v>1172.99935060973</v>
      </c>
      <c r="V527" s="8" t="n">
        <f aca="false">V523+V524+V525+V526</f>
        <v>1196.45933762193</v>
      </c>
      <c r="W527" s="8" t="n">
        <f aca="false">W523+W524+W525+W526</f>
        <v>1220.38852437437</v>
      </c>
      <c r="X527" s="8" t="n">
        <f aca="false">X523+X524+X525+X526</f>
        <v>1244.79629486186</v>
      </c>
      <c r="Y527" s="8" t="n">
        <f aca="false">Y523+Y524+Y525+Y526</f>
        <v>1269.69222075909</v>
      </c>
      <c r="Z527" s="8" t="n">
        <f aca="false">Z523+Z524+Z525+Z526</f>
        <v>0</v>
      </c>
      <c r="AA527" s="8" t="n">
        <f aca="false">AA523+AA524+AA525+AA526</f>
        <v>0</v>
      </c>
      <c r="AB527" s="8" t="n">
        <f aca="false">AB523+AB524+AB525+AB526</f>
        <v>0</v>
      </c>
      <c r="AC527" s="8" t="n">
        <f aca="false">AC523+AC524+AC525+AC526</f>
        <v>0</v>
      </c>
      <c r="AD527" s="8" t="n">
        <f aca="false">AD523+AD524+AD525+AD526</f>
        <v>0</v>
      </c>
      <c r="AE527" s="8" t="n">
        <f aca="false">AE523+AE524+AE525+AE526</f>
        <v>0</v>
      </c>
      <c r="AF527" s="8" t="n">
        <f aca="false">AF523+AF524+AF525+AF526</f>
        <v>0</v>
      </c>
      <c r="AG527" s="8" t="n">
        <f aca="false">AG523+AG524+AG525+AG526</f>
        <v>0</v>
      </c>
      <c r="AH527" s="8" t="n">
        <f aca="false">AH523+AH524+AH525+AH526</f>
        <v>0</v>
      </c>
      <c r="AI527" s="8" t="n">
        <f aca="false">AI523+AI524+AI525+AI526</f>
        <v>0</v>
      </c>
      <c r="AJ527" s="8" t="n">
        <f aca="false">AJ523+AJ524+AJ525+AJ526</f>
        <v>0</v>
      </c>
      <c r="AK527" s="8" t="n">
        <f aca="false">AK523+AK524+AK525+AK526</f>
        <v>0</v>
      </c>
      <c r="AL527" s="8" t="n">
        <f aca="false">AL523+AL524+AL525+AL526</f>
        <v>0</v>
      </c>
      <c r="AM527" s="8" t="n">
        <f aca="false">AM523+AM524+AM525+AM526</f>
        <v>0</v>
      </c>
      <c r="AN527" s="8" t="n">
        <f aca="false">AN523+AN524+AN525+AN526</f>
        <v>0</v>
      </c>
      <c r="AO527" s="8" t="n">
        <f aca="false">AO523+AO524+AO525+AO526</f>
        <v>0</v>
      </c>
      <c r="AP527" s="8" t="n">
        <f aca="false">AP523+AP524+AP525+AP526</f>
        <v>0</v>
      </c>
      <c r="AQ527" s="8" t="n">
        <f aca="false">AQ523+AQ524+AQ525+AQ526</f>
        <v>0</v>
      </c>
      <c r="AR527" s="8" t="n">
        <f aca="false">AR523+AR524+AR525+AR526</f>
        <v>0</v>
      </c>
      <c r="AS527" s="8" t="n">
        <f aca="false">AS523+AS524+AS525+AS526</f>
        <v>0</v>
      </c>
    </row>
    <row r="528" customFormat="false" ht="15" hidden="false" customHeight="false" outlineLevel="0" collapsed="false">
      <c r="A528" s="6" t="s">
        <v>449</v>
      </c>
      <c r="B528" s="6" t="s">
        <v>450</v>
      </c>
      <c r="C528" s="9" t="n">
        <f aca="false">SUM(G528:AS528)</f>
        <v>11845.4181037577</v>
      </c>
      <c r="G528" s="8" t="n">
        <f aca="false">((CEG_Assets!$K$18*G520+CEG_Assets!$M$18*G$4)*G518*G522+CEG_Assets!$N$18*(1+CEG_Assets!$Q$18)^(G$3-2026)*(G518+G519))/1000000*(1+CEG_FuelAdj)</f>
        <v>510.96030552</v>
      </c>
      <c r="H528" s="8" t="n">
        <f aca="false">((CEG_Assets!$K$18*H520+CEG_Assets!$M$18*H$4)*H518*H522+CEG_Assets!$N$18*(1+CEG_Assets!$Q$18)^(H$3-2026)*(H518+H519))/1000000*(1+CEG_FuelAdj)</f>
        <v>521.1795116304</v>
      </c>
      <c r="I528" s="8" t="n">
        <f aca="false">((CEG_Assets!$K$18*I520+CEG_Assets!$M$18*I$4)*I518*I522+CEG_Assets!$N$18*(1+CEG_Assets!$Q$18)^(I$3-2026)*(I518+I519))/1000000*(1+CEG_FuelAdj)</f>
        <v>540.337794545376</v>
      </c>
      <c r="J528" s="8" t="n">
        <f aca="false">((CEG_Assets!$K$18*J520+CEG_Assets!$M$18*J$4)*J518*J522+CEG_Assets!$N$18*(1+CEG_Assets!$Q$18)^(J$3-2026)*(J518+J519))/1000000*(1+CEG_FuelAdj)</f>
        <v>551.144550436284</v>
      </c>
      <c r="K528" s="8" t="n">
        <f aca="false">((CEG_Assets!$K$18*K520+CEG_Assets!$M$18*K$4)*K518*K522+CEG_Assets!$N$18*(1+CEG_Assets!$Q$18)^(K$3-2026)*(K518+K519))/1000000*(1+CEG_FuelAdj)</f>
        <v>562.167441445009</v>
      </c>
      <c r="L528" s="8" t="n">
        <f aca="false">((CEG_Assets!$K$18*L520+CEG_Assets!$M$18*L$4)*L518*L522+CEG_Assets!$N$18*(1+CEG_Assets!$Q$18)^(L$3-2026)*(L518+L519))/1000000*(1+CEG_FuelAdj)</f>
        <v>573.410790273909</v>
      </c>
      <c r="M528" s="8" t="n">
        <f aca="false">((CEG_Assets!$K$18*M520+CEG_Assets!$M$18*M$4)*M518*M522+CEG_Assets!$N$18*(1+CEG_Assets!$Q$18)^(M$3-2026)*(M518+M519))/1000000*(1+CEG_FuelAdj)</f>
        <v>584.879006079388</v>
      </c>
      <c r="N528" s="8" t="n">
        <f aca="false">((CEG_Assets!$K$18*N520+CEG_Assets!$M$18*N$4)*N518*N522+CEG_Assets!$N$18*(1+CEG_Assets!$Q$18)^(N$3-2026)*(N518+N519))/1000000*(1+CEG_FuelAdj)</f>
        <v>596.576586200975</v>
      </c>
      <c r="O528" s="8" t="n">
        <f aca="false">((CEG_Assets!$K$18*O520+CEG_Assets!$M$18*O$4)*O518*O522+CEG_Assets!$N$18*(1+CEG_Assets!$Q$18)^(O$3-2026)*(O518+O519))/1000000*(1+CEG_FuelAdj)</f>
        <v>608.508117924995</v>
      </c>
      <c r="P528" s="8" t="n">
        <f aca="false">((CEG_Assets!$K$18*P520+CEG_Assets!$M$18*P$4)*P518*P522+CEG_Assets!$N$18*(1+CEG_Assets!$Q$18)^(P$3-2026)*(P518+P519))/1000000*(1+CEG_FuelAdj)</f>
        <v>620.678280283495</v>
      </c>
      <c r="Q528" s="8" t="n">
        <f aca="false">((CEG_Assets!$K$18*Q520+CEG_Assets!$M$18*Q$4)*Q518*Q522+CEG_Assets!$N$18*(1+CEG_Assets!$Q$18)^(Q$3-2026)*(Q518+Q519))/1000000*(1+CEG_FuelAdj)</f>
        <v>633.091845889165</v>
      </c>
      <c r="R528" s="8" t="n">
        <f aca="false">((CEG_Assets!$K$18*R520+CEG_Assets!$M$18*R$4)*R518*R522+CEG_Assets!$N$18*(1+CEG_Assets!$Q$18)^(R$3-2026)*(R518+R519))/1000000*(1+CEG_FuelAdj)</f>
        <v>645.753682806948</v>
      </c>
      <c r="S528" s="8" t="n">
        <f aca="false">((CEG_Assets!$K$18*S520+CEG_Assets!$M$18*S$4)*S518*S522+CEG_Assets!$N$18*(1+CEG_Assets!$Q$18)^(S$3-2026)*(S518+S519))/1000000*(1+CEG_FuelAdj)</f>
        <v>658.668756463087</v>
      </c>
      <c r="T528" s="8" t="n">
        <f aca="false">((CEG_Assets!$K$18*T520+CEG_Assets!$M$18*T$4)*T518*T522+CEG_Assets!$N$18*(1+CEG_Assets!$Q$18)^(T$3-2026)*(T518+T519))/1000000*(1+CEG_FuelAdj)</f>
        <v>671.842131592349</v>
      </c>
      <c r="U528" s="8" t="n">
        <f aca="false">((CEG_Assets!$K$18*U520+CEG_Assets!$M$18*U$4)*U518*U522+CEG_Assets!$N$18*(1+CEG_Assets!$Q$18)^(U$3-2026)*(U518+U519))/1000000*(1+CEG_FuelAdj)</f>
        <v>685.278974224196</v>
      </c>
      <c r="V528" s="8" t="n">
        <f aca="false">((CEG_Assets!$K$18*V520+CEG_Assets!$M$18*V$4)*V518*V522+CEG_Assets!$N$18*(1+CEG_Assets!$Q$18)^(V$3-2026)*(V518+V519))/1000000*(1+CEG_FuelAdj)</f>
        <v>698.98455370868</v>
      </c>
      <c r="W528" s="8" t="n">
        <f aca="false">((CEG_Assets!$K$18*W520+CEG_Assets!$M$18*W$4)*W518*W522+CEG_Assets!$N$18*(1+CEG_Assets!$Q$18)^(W$3-2026)*(W518+W519))/1000000*(1+CEG_FuelAdj)</f>
        <v>712.964244782853</v>
      </c>
      <c r="X528" s="8" t="n">
        <f aca="false">((CEG_Assets!$K$18*X520+CEG_Assets!$M$18*X$4)*X518*X522+CEG_Assets!$N$18*(1+CEG_Assets!$Q$18)^(X$3-2026)*(X518+X519))/1000000*(1+CEG_FuelAdj)</f>
        <v>727.22352967851</v>
      </c>
      <c r="Y528" s="8" t="n">
        <f aca="false">((CEG_Assets!$K$18*Y520+CEG_Assets!$M$18*Y$4)*Y518*Y522+CEG_Assets!$N$18*(1+CEG_Assets!$Q$18)^(Y$3-2026)*(Y518+Y519))/1000000*(1+CEG_FuelAdj)</f>
        <v>741.76800027208</v>
      </c>
      <c r="Z528" s="8" t="n">
        <f aca="false">((CEG_Assets!$K$18*Z520+CEG_Assets!$M$18*Z$4)*Z518*Z522+CEG_Assets!$N$18*(1+CEG_Assets!$Q$18)^(Z$3-2026)*(Z518+Z519))/1000000*(1+CEG_FuelAdj)</f>
        <v>0</v>
      </c>
      <c r="AA528" s="8" t="n">
        <f aca="false">((CEG_Assets!$K$18*AA520+CEG_Assets!$M$18*AA$4)*AA518*AA522+CEG_Assets!$N$18*(1+CEG_Assets!$Q$18)^(AA$3-2026)*(AA518+AA519))/1000000*(1+CEG_FuelAdj)</f>
        <v>0</v>
      </c>
      <c r="AB528" s="8" t="n">
        <f aca="false">((CEG_Assets!$K$18*AB520+CEG_Assets!$M$18*AB$4)*AB518*AB522+CEG_Assets!$N$18*(1+CEG_Assets!$Q$18)^(AB$3-2026)*(AB518+AB519))/1000000*(1+CEG_FuelAdj)</f>
        <v>0</v>
      </c>
      <c r="AC528" s="8" t="n">
        <f aca="false">((CEG_Assets!$K$18*AC520+CEG_Assets!$M$18*AC$4)*AC518*AC522+CEG_Assets!$N$18*(1+CEG_Assets!$Q$18)^(AC$3-2026)*(AC518+AC519))/1000000*(1+CEG_FuelAdj)</f>
        <v>0</v>
      </c>
      <c r="AD528" s="8" t="n">
        <f aca="false">((CEG_Assets!$K$18*AD520+CEG_Assets!$M$18*AD$4)*AD518*AD522+CEG_Assets!$N$18*(1+CEG_Assets!$Q$18)^(AD$3-2026)*(AD518+AD519))/1000000*(1+CEG_FuelAdj)</f>
        <v>0</v>
      </c>
      <c r="AE528" s="8" t="n">
        <f aca="false">((CEG_Assets!$K$18*AE520+CEG_Assets!$M$18*AE$4)*AE518*AE522+CEG_Assets!$N$18*(1+CEG_Assets!$Q$18)^(AE$3-2026)*(AE518+AE519))/1000000*(1+CEG_FuelAdj)</f>
        <v>0</v>
      </c>
      <c r="AF528" s="8" t="n">
        <f aca="false">((CEG_Assets!$K$18*AF520+CEG_Assets!$M$18*AF$4)*AF518*AF522+CEG_Assets!$N$18*(1+CEG_Assets!$Q$18)^(AF$3-2026)*(AF518+AF519))/1000000*(1+CEG_FuelAdj)</f>
        <v>0</v>
      </c>
      <c r="AG528" s="8" t="n">
        <f aca="false">((CEG_Assets!$K$18*AG520+CEG_Assets!$M$18*AG$4)*AG518*AG522+CEG_Assets!$N$18*(1+CEG_Assets!$Q$18)^(AG$3-2026)*(AG518+AG519))/1000000*(1+CEG_FuelAdj)</f>
        <v>0</v>
      </c>
      <c r="AH528" s="8" t="n">
        <f aca="false">((CEG_Assets!$K$18*AH520+CEG_Assets!$M$18*AH$4)*AH518*AH522+CEG_Assets!$N$18*(1+CEG_Assets!$Q$18)^(AH$3-2026)*(AH518+AH519))/1000000*(1+CEG_FuelAdj)</f>
        <v>0</v>
      </c>
      <c r="AI528" s="8" t="n">
        <f aca="false">((CEG_Assets!$K$18*AI520+CEG_Assets!$M$18*AI$4)*AI518*AI522+CEG_Assets!$N$18*(1+CEG_Assets!$Q$18)^(AI$3-2026)*(AI518+AI519))/1000000*(1+CEG_FuelAdj)</f>
        <v>0</v>
      </c>
      <c r="AJ528" s="8" t="n">
        <f aca="false">((CEG_Assets!$K$18*AJ520+CEG_Assets!$M$18*AJ$4)*AJ518*AJ522+CEG_Assets!$N$18*(1+CEG_Assets!$Q$18)^(AJ$3-2026)*(AJ518+AJ519))/1000000*(1+CEG_FuelAdj)</f>
        <v>0</v>
      </c>
      <c r="AK528" s="8" t="n">
        <f aca="false">((CEG_Assets!$K$18*AK520+CEG_Assets!$M$18*AK$4)*AK518*AK522+CEG_Assets!$N$18*(1+CEG_Assets!$Q$18)^(AK$3-2026)*(AK518+AK519))/1000000*(1+CEG_FuelAdj)</f>
        <v>0</v>
      </c>
      <c r="AL528" s="8" t="n">
        <f aca="false">((CEG_Assets!$K$18*AL520+CEG_Assets!$M$18*AL$4)*AL518*AL522+CEG_Assets!$N$18*(1+CEG_Assets!$Q$18)^(AL$3-2026)*(AL518+AL519))/1000000*(1+CEG_FuelAdj)</f>
        <v>0</v>
      </c>
      <c r="AM528" s="8" t="n">
        <f aca="false">((CEG_Assets!$K$18*AM520+CEG_Assets!$M$18*AM$4)*AM518*AM522+CEG_Assets!$N$18*(1+CEG_Assets!$Q$18)^(AM$3-2026)*(AM518+AM519))/1000000*(1+CEG_FuelAdj)</f>
        <v>0</v>
      </c>
      <c r="AN528" s="8" t="n">
        <f aca="false">((CEG_Assets!$K$18*AN520+CEG_Assets!$M$18*AN$4)*AN518*AN522+CEG_Assets!$N$18*(1+CEG_Assets!$Q$18)^(AN$3-2026)*(AN518+AN519))/1000000*(1+CEG_FuelAdj)</f>
        <v>0</v>
      </c>
      <c r="AO528" s="8" t="n">
        <f aca="false">((CEG_Assets!$K$18*AO520+CEG_Assets!$M$18*AO$4)*AO518*AO522+CEG_Assets!$N$18*(1+CEG_Assets!$Q$18)^(AO$3-2026)*(AO518+AO519))/1000000*(1+CEG_FuelAdj)</f>
        <v>0</v>
      </c>
      <c r="AP528" s="8" t="n">
        <f aca="false">((CEG_Assets!$K$18*AP520+CEG_Assets!$M$18*AP$4)*AP518*AP522+CEG_Assets!$N$18*(1+CEG_Assets!$Q$18)^(AP$3-2026)*(AP518+AP519))/1000000*(1+CEG_FuelAdj)</f>
        <v>0</v>
      </c>
      <c r="AQ528" s="8" t="n">
        <f aca="false">((CEG_Assets!$K$18*AQ520+CEG_Assets!$M$18*AQ$4)*AQ518*AQ522+CEG_Assets!$N$18*(1+CEG_Assets!$Q$18)^(AQ$3-2026)*(AQ518+AQ519))/1000000*(1+CEG_FuelAdj)</f>
        <v>0</v>
      </c>
      <c r="AR528" s="8" t="n">
        <f aca="false">((CEG_Assets!$K$18*AR520+CEG_Assets!$M$18*AR$4)*AR518*AR522+CEG_Assets!$N$18*(1+CEG_Assets!$Q$18)^(AR$3-2026)*(AR518+AR519))/1000000*(1+CEG_FuelAdj)</f>
        <v>0</v>
      </c>
      <c r="AS528" s="8" t="n">
        <f aca="false">((CEG_Assets!$K$18*AS520+CEG_Assets!$M$18*AS$4)*AS518*AS522+CEG_Assets!$N$18*(1+CEG_Assets!$Q$18)^(AS$3-2026)*(AS518+AS519))/1000000*(1+CEG_FuelAdj)</f>
        <v>0</v>
      </c>
    </row>
    <row r="529" customFormat="false" ht="15" hidden="false" customHeight="false" outlineLevel="0" collapsed="false">
      <c r="A529" s="6" t="s">
        <v>451</v>
      </c>
      <c r="B529" s="6" t="s">
        <v>452</v>
      </c>
      <c r="C529" s="9" t="n">
        <f aca="false">SUM(G529:AS529)</f>
        <v>8770.10720319995</v>
      </c>
      <c r="G529" s="8" t="n">
        <f aca="false">G527-G528</f>
        <v>515.05898688</v>
      </c>
      <c r="H529" s="8" t="n">
        <f aca="false">H527-H528</f>
        <v>519.6561556896</v>
      </c>
      <c r="I529" s="8" t="n">
        <f aca="false">I527-I528</f>
        <v>424.030422770569</v>
      </c>
      <c r="J529" s="8" t="n">
        <f aca="false">J527-J528</f>
        <v>392.255472139557</v>
      </c>
      <c r="K529" s="8" t="n">
        <f aca="false">K527-K528</f>
        <v>400.100581582348</v>
      </c>
      <c r="L529" s="8" t="n">
        <f aca="false">L527-L528</f>
        <v>408.102593213995</v>
      </c>
      <c r="M529" s="8" t="n">
        <f aca="false">M527-M528</f>
        <v>416.264645078275</v>
      </c>
      <c r="N529" s="8" t="n">
        <f aca="false">N527-N528</f>
        <v>424.58993797984</v>
      </c>
      <c r="O529" s="8" t="n">
        <f aca="false">O527-O528</f>
        <v>433.081736739437</v>
      </c>
      <c r="P529" s="8" t="n">
        <f aca="false">P527-P528</f>
        <v>441.743371474225</v>
      </c>
      <c r="Q529" s="8" t="n">
        <f aca="false">Q527-Q528</f>
        <v>450.57823890371</v>
      </c>
      <c r="R529" s="8" t="n">
        <f aca="false">R527-R528</f>
        <v>459.589803681784</v>
      </c>
      <c r="S529" s="8" t="n">
        <f aca="false">S527-S528</f>
        <v>468.78159975542</v>
      </c>
      <c r="T529" s="8" t="n">
        <f aca="false">T527-T528</f>
        <v>478.157231750528</v>
      </c>
      <c r="U529" s="8" t="n">
        <f aca="false">U527-U528</f>
        <v>487.720376385539</v>
      </c>
      <c r="V529" s="8" t="n">
        <f aca="false">V527-V528</f>
        <v>497.47478391325</v>
      </c>
      <c r="W529" s="8" t="n">
        <f aca="false">W527-W528</f>
        <v>507.424279591515</v>
      </c>
      <c r="X529" s="8" t="n">
        <f aca="false">X527-X528</f>
        <v>517.572765183345</v>
      </c>
      <c r="Y529" s="8" t="n">
        <f aca="false">Y527-Y528</f>
        <v>527.924220487012</v>
      </c>
      <c r="Z529" s="8" t="n">
        <f aca="false">Z527-Z528</f>
        <v>0</v>
      </c>
      <c r="AA529" s="8" t="n">
        <f aca="false">AA527-AA528</f>
        <v>0</v>
      </c>
      <c r="AB529" s="8" t="n">
        <f aca="false">AB527-AB528</f>
        <v>0</v>
      </c>
      <c r="AC529" s="8" t="n">
        <f aca="false">AC527-AC528</f>
        <v>0</v>
      </c>
      <c r="AD529" s="8" t="n">
        <f aca="false">AD527-AD528</f>
        <v>0</v>
      </c>
      <c r="AE529" s="8" t="n">
        <f aca="false">AE527-AE528</f>
        <v>0</v>
      </c>
      <c r="AF529" s="8" t="n">
        <f aca="false">AF527-AF528</f>
        <v>0</v>
      </c>
      <c r="AG529" s="8" t="n">
        <f aca="false">AG527-AG528</f>
        <v>0</v>
      </c>
      <c r="AH529" s="8" t="n">
        <f aca="false">AH527-AH528</f>
        <v>0</v>
      </c>
      <c r="AI529" s="8" t="n">
        <f aca="false">AI527-AI528</f>
        <v>0</v>
      </c>
      <c r="AJ529" s="8" t="n">
        <f aca="false">AJ527-AJ528</f>
        <v>0</v>
      </c>
      <c r="AK529" s="8" t="n">
        <f aca="false">AK527-AK528</f>
        <v>0</v>
      </c>
      <c r="AL529" s="8" t="n">
        <f aca="false">AL527-AL528</f>
        <v>0</v>
      </c>
      <c r="AM529" s="8" t="n">
        <f aca="false">AM527-AM528</f>
        <v>0</v>
      </c>
      <c r="AN529" s="8" t="n">
        <f aca="false">AN527-AN528</f>
        <v>0</v>
      </c>
      <c r="AO529" s="8" t="n">
        <f aca="false">AO527-AO528</f>
        <v>0</v>
      </c>
      <c r="AP529" s="8" t="n">
        <f aca="false">AP527-AP528</f>
        <v>0</v>
      </c>
      <c r="AQ529" s="8" t="n">
        <f aca="false">AQ527-AQ528</f>
        <v>0</v>
      </c>
      <c r="AR529" s="8" t="n">
        <f aca="false">AR527-AR528</f>
        <v>0</v>
      </c>
      <c r="AS529" s="8" t="n">
        <f aca="false">AS527-AS528</f>
        <v>0</v>
      </c>
    </row>
    <row r="530" customFormat="false" ht="15" hidden="false" customHeight="false" outlineLevel="0" collapsed="false">
      <c r="A530" s="6" t="s">
        <v>453</v>
      </c>
      <c r="B530" s="6" t="s">
        <v>454</v>
      </c>
      <c r="C530" s="9" t="n">
        <f aca="false">SUM(G530:AS530)</f>
        <v>2161.99591733956</v>
      </c>
      <c r="G530" s="8" t="n">
        <f aca="false">(CEG_Assets!$R$18*CEG_Assets!$D$18*1000*G$4*G516+CEG_Assets!$O$18*(1+CEG_Assets!$Q$18)^(G$3-2026)*(G518+G519))/1000000*(1+CEG_OMAdj)</f>
        <v>94.656</v>
      </c>
      <c r="H530" s="8" t="n">
        <f aca="false">(CEG_Assets!$R$18*CEG_Assets!$D$18*1000*H$4*H516+CEG_Assets!$O$18*(1+CEG_Assets!$Q$18)^(H$3-2026)*(H518+H519))/1000000*(1+CEG_OMAdj)</f>
        <v>96.54912</v>
      </c>
      <c r="I530" s="8" t="n">
        <f aca="false">(CEG_Assets!$R$18*CEG_Assets!$D$18*1000*I$4*I516+CEG_Assets!$O$18*(1+CEG_Assets!$Q$18)^(I$3-2026)*(I518+I519))/1000000*(1+CEG_OMAdj)</f>
        <v>98.4801024</v>
      </c>
      <c r="J530" s="8" t="n">
        <f aca="false">(CEG_Assets!$R$18*CEG_Assets!$D$18*1000*J$4*J516+CEG_Assets!$O$18*(1+CEG_Assets!$Q$18)^(J$3-2026)*(J518+J519))/1000000*(1+CEG_OMAdj)</f>
        <v>100.449704448</v>
      </c>
      <c r="K530" s="8" t="n">
        <f aca="false">(CEG_Assets!$R$18*CEG_Assets!$D$18*1000*K$4*K516+CEG_Assets!$O$18*(1+CEG_Assets!$Q$18)^(K$3-2026)*(K518+K519))/1000000*(1+CEG_OMAdj)</f>
        <v>102.45869853696</v>
      </c>
      <c r="L530" s="8" t="n">
        <f aca="false">(CEG_Assets!$R$18*CEG_Assets!$D$18*1000*L$4*L516+CEG_Assets!$O$18*(1+CEG_Assets!$Q$18)^(L$3-2026)*(L518+L519))/1000000*(1+CEG_OMAdj)</f>
        <v>104.507872507699</v>
      </c>
      <c r="M530" s="8" t="n">
        <f aca="false">(CEG_Assets!$R$18*CEG_Assets!$D$18*1000*M$4*M516+CEG_Assets!$O$18*(1+CEG_Assets!$Q$18)^(M$3-2026)*(M518+M519))/1000000*(1+CEG_OMAdj)</f>
        <v>106.598029957853</v>
      </c>
      <c r="N530" s="8" t="n">
        <f aca="false">(CEG_Assets!$R$18*CEG_Assets!$D$18*1000*N$4*N516+CEG_Assets!$O$18*(1+CEG_Assets!$Q$18)^(N$3-2026)*(N518+N519))/1000000*(1+CEG_OMAdj)</f>
        <v>108.72999055701</v>
      </c>
      <c r="O530" s="8" t="n">
        <f aca="false">(CEG_Assets!$R$18*CEG_Assets!$D$18*1000*O$4*O516+CEG_Assets!$O$18*(1+CEG_Assets!$Q$18)^(O$3-2026)*(O518+O519))/1000000*(1+CEG_OMAdj)</f>
        <v>110.90459036815</v>
      </c>
      <c r="P530" s="8" t="n">
        <f aca="false">(CEG_Assets!$R$18*CEG_Assets!$D$18*1000*P$4*P516+CEG_Assets!$O$18*(1+CEG_Assets!$Q$18)^(P$3-2026)*(P518+P519))/1000000*(1+CEG_OMAdj)</f>
        <v>113.122682175513</v>
      </c>
      <c r="Q530" s="8" t="n">
        <f aca="false">(CEG_Assets!$R$18*CEG_Assets!$D$18*1000*Q$4*Q516+CEG_Assets!$O$18*(1+CEG_Assets!$Q$18)^(Q$3-2026)*(Q518+Q519))/1000000*(1+CEG_OMAdj)</f>
        <v>115.385135819024</v>
      </c>
      <c r="R530" s="8" t="n">
        <f aca="false">(CEG_Assets!$R$18*CEG_Assets!$D$18*1000*R$4*R516+CEG_Assets!$O$18*(1+CEG_Assets!$Q$18)^(R$3-2026)*(R518+R519))/1000000*(1+CEG_OMAdj)</f>
        <v>117.692838535404</v>
      </c>
      <c r="S530" s="8" t="n">
        <f aca="false">(CEG_Assets!$R$18*CEG_Assets!$D$18*1000*S$4*S516+CEG_Assets!$O$18*(1+CEG_Assets!$Q$18)^(S$3-2026)*(S518+S519))/1000000*(1+CEG_OMAdj)</f>
        <v>120.046695306112</v>
      </c>
      <c r="T530" s="8" t="n">
        <f aca="false">(CEG_Assets!$R$18*CEG_Assets!$D$18*1000*T$4*T516+CEG_Assets!$O$18*(1+CEG_Assets!$Q$18)^(T$3-2026)*(T518+T519))/1000000*(1+CEG_OMAdj)</f>
        <v>122.447629212235</v>
      </c>
      <c r="U530" s="8" t="n">
        <f aca="false">(CEG_Assets!$R$18*CEG_Assets!$D$18*1000*U$4*U516+CEG_Assets!$O$18*(1+CEG_Assets!$Q$18)^(U$3-2026)*(U518+U519))/1000000*(1+CEG_OMAdj)</f>
        <v>124.896581796479</v>
      </c>
      <c r="V530" s="8" t="n">
        <f aca="false">(CEG_Assets!$R$18*CEG_Assets!$D$18*1000*V$4*V516+CEG_Assets!$O$18*(1+CEG_Assets!$Q$18)^(V$3-2026)*(V518+V519))/1000000*(1+CEG_OMAdj)</f>
        <v>127.394513432409</v>
      </c>
      <c r="W530" s="8" t="n">
        <f aca="false">(CEG_Assets!$R$18*CEG_Assets!$D$18*1000*W$4*W516+CEG_Assets!$O$18*(1+CEG_Assets!$Q$18)^(W$3-2026)*(W518+W519))/1000000*(1+CEG_OMAdj)</f>
        <v>129.942403701057</v>
      </c>
      <c r="X530" s="8" t="n">
        <f aca="false">(CEG_Assets!$R$18*CEG_Assets!$D$18*1000*X$4*X516+CEG_Assets!$O$18*(1+CEG_Assets!$Q$18)^(X$3-2026)*(X518+X519))/1000000*(1+CEG_OMAdj)</f>
        <v>132.541251775078</v>
      </c>
      <c r="Y530" s="8" t="n">
        <f aca="false">(CEG_Assets!$R$18*CEG_Assets!$D$18*1000*Y$4*Y516+CEG_Assets!$O$18*(1+CEG_Assets!$Q$18)^(Y$3-2026)*(Y518+Y519))/1000000*(1+CEG_OMAdj)</f>
        <v>135.19207681058</v>
      </c>
      <c r="Z530" s="8" t="n">
        <f aca="false">(CEG_Assets!$R$18*CEG_Assets!$D$18*1000*Z$4*Z516+CEG_Assets!$O$18*(1+CEG_Assets!$Q$18)^(Z$3-2026)*(Z518+Z519))/1000000*(1+CEG_OMAdj)</f>
        <v>0</v>
      </c>
      <c r="AA530" s="8" t="n">
        <f aca="false">(CEG_Assets!$R$18*CEG_Assets!$D$18*1000*AA$4*AA516+CEG_Assets!$O$18*(1+CEG_Assets!$Q$18)^(AA$3-2026)*(AA518+AA519))/1000000*(1+CEG_OMAdj)</f>
        <v>0</v>
      </c>
      <c r="AB530" s="8" t="n">
        <f aca="false">(CEG_Assets!$R$18*CEG_Assets!$D$18*1000*AB$4*AB516+CEG_Assets!$O$18*(1+CEG_Assets!$Q$18)^(AB$3-2026)*(AB518+AB519))/1000000*(1+CEG_OMAdj)</f>
        <v>0</v>
      </c>
      <c r="AC530" s="8" t="n">
        <f aca="false">(CEG_Assets!$R$18*CEG_Assets!$D$18*1000*AC$4*AC516+CEG_Assets!$O$18*(1+CEG_Assets!$Q$18)^(AC$3-2026)*(AC518+AC519))/1000000*(1+CEG_OMAdj)</f>
        <v>0</v>
      </c>
      <c r="AD530" s="8" t="n">
        <f aca="false">(CEG_Assets!$R$18*CEG_Assets!$D$18*1000*AD$4*AD516+CEG_Assets!$O$18*(1+CEG_Assets!$Q$18)^(AD$3-2026)*(AD518+AD519))/1000000*(1+CEG_OMAdj)</f>
        <v>0</v>
      </c>
      <c r="AE530" s="8" t="n">
        <f aca="false">(CEG_Assets!$R$18*CEG_Assets!$D$18*1000*AE$4*AE516+CEG_Assets!$O$18*(1+CEG_Assets!$Q$18)^(AE$3-2026)*(AE518+AE519))/1000000*(1+CEG_OMAdj)</f>
        <v>0</v>
      </c>
      <c r="AF530" s="8" t="n">
        <f aca="false">(CEG_Assets!$R$18*CEG_Assets!$D$18*1000*AF$4*AF516+CEG_Assets!$O$18*(1+CEG_Assets!$Q$18)^(AF$3-2026)*(AF518+AF519))/1000000*(1+CEG_OMAdj)</f>
        <v>0</v>
      </c>
      <c r="AG530" s="8" t="n">
        <f aca="false">(CEG_Assets!$R$18*CEG_Assets!$D$18*1000*AG$4*AG516+CEG_Assets!$O$18*(1+CEG_Assets!$Q$18)^(AG$3-2026)*(AG518+AG519))/1000000*(1+CEG_OMAdj)</f>
        <v>0</v>
      </c>
      <c r="AH530" s="8" t="n">
        <f aca="false">(CEG_Assets!$R$18*CEG_Assets!$D$18*1000*AH$4*AH516+CEG_Assets!$O$18*(1+CEG_Assets!$Q$18)^(AH$3-2026)*(AH518+AH519))/1000000*(1+CEG_OMAdj)</f>
        <v>0</v>
      </c>
      <c r="AI530" s="8" t="n">
        <f aca="false">(CEG_Assets!$R$18*CEG_Assets!$D$18*1000*AI$4*AI516+CEG_Assets!$O$18*(1+CEG_Assets!$Q$18)^(AI$3-2026)*(AI518+AI519))/1000000*(1+CEG_OMAdj)</f>
        <v>0</v>
      </c>
      <c r="AJ530" s="8" t="n">
        <f aca="false">(CEG_Assets!$R$18*CEG_Assets!$D$18*1000*AJ$4*AJ516+CEG_Assets!$O$18*(1+CEG_Assets!$Q$18)^(AJ$3-2026)*(AJ518+AJ519))/1000000*(1+CEG_OMAdj)</f>
        <v>0</v>
      </c>
      <c r="AK530" s="8" t="n">
        <f aca="false">(CEG_Assets!$R$18*CEG_Assets!$D$18*1000*AK$4*AK516+CEG_Assets!$O$18*(1+CEG_Assets!$Q$18)^(AK$3-2026)*(AK518+AK519))/1000000*(1+CEG_OMAdj)</f>
        <v>0</v>
      </c>
      <c r="AL530" s="8" t="n">
        <f aca="false">(CEG_Assets!$R$18*CEG_Assets!$D$18*1000*AL$4*AL516+CEG_Assets!$O$18*(1+CEG_Assets!$Q$18)^(AL$3-2026)*(AL518+AL519))/1000000*(1+CEG_OMAdj)</f>
        <v>0</v>
      </c>
      <c r="AM530" s="8" t="n">
        <f aca="false">(CEG_Assets!$R$18*CEG_Assets!$D$18*1000*AM$4*AM516+CEG_Assets!$O$18*(1+CEG_Assets!$Q$18)^(AM$3-2026)*(AM518+AM519))/1000000*(1+CEG_OMAdj)</f>
        <v>0</v>
      </c>
      <c r="AN530" s="8" t="n">
        <f aca="false">(CEG_Assets!$R$18*CEG_Assets!$D$18*1000*AN$4*AN516+CEG_Assets!$O$18*(1+CEG_Assets!$Q$18)^(AN$3-2026)*(AN518+AN519))/1000000*(1+CEG_OMAdj)</f>
        <v>0</v>
      </c>
      <c r="AO530" s="8" t="n">
        <f aca="false">(CEG_Assets!$R$18*CEG_Assets!$D$18*1000*AO$4*AO516+CEG_Assets!$O$18*(1+CEG_Assets!$Q$18)^(AO$3-2026)*(AO518+AO519))/1000000*(1+CEG_OMAdj)</f>
        <v>0</v>
      </c>
      <c r="AP530" s="8" t="n">
        <f aca="false">(CEG_Assets!$R$18*CEG_Assets!$D$18*1000*AP$4*AP516+CEG_Assets!$O$18*(1+CEG_Assets!$Q$18)^(AP$3-2026)*(AP518+AP519))/1000000*(1+CEG_OMAdj)</f>
        <v>0</v>
      </c>
      <c r="AQ530" s="8" t="n">
        <f aca="false">(CEG_Assets!$R$18*CEG_Assets!$D$18*1000*AQ$4*AQ516+CEG_Assets!$O$18*(1+CEG_Assets!$Q$18)^(AQ$3-2026)*(AQ518+AQ519))/1000000*(1+CEG_OMAdj)</f>
        <v>0</v>
      </c>
      <c r="AR530" s="8" t="n">
        <f aca="false">(CEG_Assets!$R$18*CEG_Assets!$D$18*1000*AR$4*AR516+CEG_Assets!$O$18*(1+CEG_Assets!$Q$18)^(AR$3-2026)*(AR518+AR519))/1000000*(1+CEG_OMAdj)</f>
        <v>0</v>
      </c>
      <c r="AS530" s="8" t="n">
        <f aca="false">(CEG_Assets!$R$18*CEG_Assets!$D$18*1000*AS$4*AS516+CEG_Assets!$O$18*(1+CEG_Assets!$Q$18)^(AS$3-2026)*(AS518+AS519))/1000000*(1+CEG_OMAdj)</f>
        <v>0</v>
      </c>
    </row>
    <row r="531" customFormat="false" ht="15" hidden="false" customHeight="false" outlineLevel="0" collapsed="false">
      <c r="A531" s="6" t="s">
        <v>455</v>
      </c>
      <c r="B531" s="6" t="s">
        <v>456</v>
      </c>
      <c r="C531" s="9" t="n">
        <f aca="false">SUM(G531:AS531)</f>
        <v>6608.11128586039</v>
      </c>
      <c r="G531" s="8" t="n">
        <f aca="false">G529-G530</f>
        <v>420.40298688</v>
      </c>
      <c r="H531" s="8" t="n">
        <f aca="false">H529-H530</f>
        <v>423.1070356896</v>
      </c>
      <c r="I531" s="8" t="n">
        <f aca="false">I529-I530</f>
        <v>325.550320370569</v>
      </c>
      <c r="J531" s="8" t="n">
        <f aca="false">J529-J530</f>
        <v>291.805767691557</v>
      </c>
      <c r="K531" s="8" t="n">
        <f aca="false">K529-K530</f>
        <v>297.641883045388</v>
      </c>
      <c r="L531" s="8" t="n">
        <f aca="false">L529-L530</f>
        <v>303.594720706296</v>
      </c>
      <c r="M531" s="8" t="n">
        <f aca="false">M529-M530</f>
        <v>309.666615120421</v>
      </c>
      <c r="N531" s="8" t="n">
        <f aca="false">N529-N530</f>
        <v>315.85994742283</v>
      </c>
      <c r="O531" s="8" t="n">
        <f aca="false">O529-O530</f>
        <v>322.177146371286</v>
      </c>
      <c r="P531" s="8" t="n">
        <f aca="false">P529-P530</f>
        <v>328.620689298712</v>
      </c>
      <c r="Q531" s="8" t="n">
        <f aca="false">Q529-Q530</f>
        <v>335.193103084686</v>
      </c>
      <c r="R531" s="8" t="n">
        <f aca="false">R529-R530</f>
        <v>341.89696514638</v>
      </c>
      <c r="S531" s="8" t="n">
        <f aca="false">S529-S530</f>
        <v>348.734904449308</v>
      </c>
      <c r="T531" s="8" t="n">
        <f aca="false">T529-T530</f>
        <v>355.709602538294</v>
      </c>
      <c r="U531" s="8" t="n">
        <f aca="false">U529-U530</f>
        <v>362.82379458906</v>
      </c>
      <c r="V531" s="8" t="n">
        <f aca="false">V529-V530</f>
        <v>370.080270480841</v>
      </c>
      <c r="W531" s="8" t="n">
        <f aca="false">W529-W530</f>
        <v>377.481875890458</v>
      </c>
      <c r="X531" s="8" t="n">
        <f aca="false">X529-X530</f>
        <v>385.031513408267</v>
      </c>
      <c r="Y531" s="8" t="n">
        <f aca="false">Y529-Y530</f>
        <v>392.732143676433</v>
      </c>
      <c r="Z531" s="8" t="n">
        <f aca="false">Z529-Z530</f>
        <v>0</v>
      </c>
      <c r="AA531" s="8" t="n">
        <f aca="false">AA529-AA530</f>
        <v>0</v>
      </c>
      <c r="AB531" s="8" t="n">
        <f aca="false">AB529-AB530</f>
        <v>0</v>
      </c>
      <c r="AC531" s="8" t="n">
        <f aca="false">AC529-AC530</f>
        <v>0</v>
      </c>
      <c r="AD531" s="8" t="n">
        <f aca="false">AD529-AD530</f>
        <v>0</v>
      </c>
      <c r="AE531" s="8" t="n">
        <f aca="false">AE529-AE530</f>
        <v>0</v>
      </c>
      <c r="AF531" s="8" t="n">
        <f aca="false">AF529-AF530</f>
        <v>0</v>
      </c>
      <c r="AG531" s="8" t="n">
        <f aca="false">AG529-AG530</f>
        <v>0</v>
      </c>
      <c r="AH531" s="8" t="n">
        <f aca="false">AH529-AH530</f>
        <v>0</v>
      </c>
      <c r="AI531" s="8" t="n">
        <f aca="false">AI529-AI530</f>
        <v>0</v>
      </c>
      <c r="AJ531" s="8" t="n">
        <f aca="false">AJ529-AJ530</f>
        <v>0</v>
      </c>
      <c r="AK531" s="8" t="n">
        <f aca="false">AK529-AK530</f>
        <v>0</v>
      </c>
      <c r="AL531" s="8" t="n">
        <f aca="false">AL529-AL530</f>
        <v>0</v>
      </c>
      <c r="AM531" s="8" t="n">
        <f aca="false">AM529-AM530</f>
        <v>0</v>
      </c>
      <c r="AN531" s="8" t="n">
        <f aca="false">AN529-AN530</f>
        <v>0</v>
      </c>
      <c r="AO531" s="8" t="n">
        <f aca="false">AO529-AO530</f>
        <v>0</v>
      </c>
      <c r="AP531" s="8" t="n">
        <f aca="false">AP529-AP530</f>
        <v>0</v>
      </c>
      <c r="AQ531" s="8" t="n">
        <f aca="false">AQ529-AQ530</f>
        <v>0</v>
      </c>
      <c r="AR531" s="8" t="n">
        <f aca="false">AR529-AR530</f>
        <v>0</v>
      </c>
      <c r="AS531" s="8" t="n">
        <f aca="false">AS529-AS530</f>
        <v>0</v>
      </c>
    </row>
    <row r="532" customFormat="false" ht="15" hidden="false" customHeight="false" outlineLevel="0" collapsed="false">
      <c r="A532" s="6" t="s">
        <v>457</v>
      </c>
      <c r="B532" s="6" t="s">
        <v>458</v>
      </c>
      <c r="C532" s="9" t="n">
        <f aca="false">SUM(G532:AS532)</f>
        <v>810.748469002337</v>
      </c>
      <c r="G532" s="8" t="n">
        <f aca="false">((CEG_Assets!$S$18*CEG_Assets!$D$18*1000*G$4*G516+CEG_Assets!$P$18*(1+CEG_Assets!$Q$18)^(G$3-2026)*(G518+G519))/1000000+IF(G$3=CEG_Assets!$AH$18,CEG_Assets!$AG$18,0))*(1+CEG_CapexAdj)</f>
        <v>35.496</v>
      </c>
      <c r="H532" s="8" t="n">
        <f aca="false">((CEG_Assets!$S$18*CEG_Assets!$D$18*1000*H$4*H516+CEG_Assets!$P$18*(1+CEG_Assets!$Q$18)^(H$3-2026)*(H518+H519))/1000000+IF(H$3=CEG_Assets!$AH$18,CEG_Assets!$AG$18,0))*(1+CEG_CapexAdj)</f>
        <v>36.20592</v>
      </c>
      <c r="I532" s="8" t="n">
        <f aca="false">((CEG_Assets!$S$18*CEG_Assets!$D$18*1000*I$4*I516+CEG_Assets!$P$18*(1+CEG_Assets!$Q$18)^(I$3-2026)*(I518+I519))/1000000+IF(I$3=CEG_Assets!$AH$18,CEG_Assets!$AG$18,0))*(1+CEG_CapexAdj)</f>
        <v>36.9300384</v>
      </c>
      <c r="J532" s="8" t="n">
        <f aca="false">((CEG_Assets!$S$18*CEG_Assets!$D$18*1000*J$4*J516+CEG_Assets!$P$18*(1+CEG_Assets!$Q$18)^(J$3-2026)*(J518+J519))/1000000+IF(J$3=CEG_Assets!$AH$18,CEG_Assets!$AG$18,0))*(1+CEG_CapexAdj)</f>
        <v>37.668639168</v>
      </c>
      <c r="K532" s="8" t="n">
        <f aca="false">((CEG_Assets!$S$18*CEG_Assets!$D$18*1000*K$4*K516+CEG_Assets!$P$18*(1+CEG_Assets!$Q$18)^(K$3-2026)*(K518+K519))/1000000+IF(K$3=CEG_Assets!$AH$18,CEG_Assets!$AG$18,0))*(1+CEG_CapexAdj)</f>
        <v>38.42201195136</v>
      </c>
      <c r="L532" s="8" t="n">
        <f aca="false">((CEG_Assets!$S$18*CEG_Assets!$D$18*1000*L$4*L516+CEG_Assets!$P$18*(1+CEG_Assets!$Q$18)^(L$3-2026)*(L518+L519))/1000000+IF(L$3=CEG_Assets!$AH$18,CEG_Assets!$AG$18,0))*(1+CEG_CapexAdj)</f>
        <v>39.1904521903872</v>
      </c>
      <c r="M532" s="8" t="n">
        <f aca="false">((CEG_Assets!$S$18*CEG_Assets!$D$18*1000*M$4*M516+CEG_Assets!$P$18*(1+CEG_Assets!$Q$18)^(M$3-2026)*(M518+M519))/1000000+IF(M$3=CEG_Assets!$AH$18,CEG_Assets!$AG$18,0))*(1+CEG_CapexAdj)</f>
        <v>39.9742612341949</v>
      </c>
      <c r="N532" s="8" t="n">
        <f aca="false">((CEG_Assets!$S$18*CEG_Assets!$D$18*1000*N$4*N516+CEG_Assets!$P$18*(1+CEG_Assets!$Q$18)^(N$3-2026)*(N518+N519))/1000000+IF(N$3=CEG_Assets!$AH$18,CEG_Assets!$AG$18,0))*(1+CEG_CapexAdj)</f>
        <v>40.7737464588789</v>
      </c>
      <c r="O532" s="8" t="n">
        <f aca="false">((CEG_Assets!$S$18*CEG_Assets!$D$18*1000*O$4*O516+CEG_Assets!$P$18*(1+CEG_Assets!$Q$18)^(O$3-2026)*(O518+O519))/1000000+IF(O$3=CEG_Assets!$AH$18,CEG_Assets!$AG$18,0))*(1+CEG_CapexAdj)</f>
        <v>41.5892213880564</v>
      </c>
      <c r="P532" s="8" t="n">
        <f aca="false">((CEG_Assets!$S$18*CEG_Assets!$D$18*1000*P$4*P516+CEG_Assets!$P$18*(1+CEG_Assets!$Q$18)^(P$3-2026)*(P518+P519))/1000000+IF(P$3=CEG_Assets!$AH$18,CEG_Assets!$AG$18,0))*(1+CEG_CapexAdj)</f>
        <v>42.4210058158176</v>
      </c>
      <c r="Q532" s="8" t="n">
        <f aca="false">((CEG_Assets!$S$18*CEG_Assets!$D$18*1000*Q$4*Q516+CEG_Assets!$P$18*(1+CEG_Assets!$Q$18)^(Q$3-2026)*(Q518+Q519))/1000000+IF(Q$3=CEG_Assets!$AH$18,CEG_Assets!$AG$18,0))*(1+CEG_CapexAdj)</f>
        <v>43.2694259321339</v>
      </c>
      <c r="R532" s="8" t="n">
        <f aca="false">((CEG_Assets!$S$18*CEG_Assets!$D$18*1000*R$4*R516+CEG_Assets!$P$18*(1+CEG_Assets!$Q$18)^(R$3-2026)*(R518+R519))/1000000+IF(R$3=CEG_Assets!$AH$18,CEG_Assets!$AG$18,0))*(1+CEG_CapexAdj)</f>
        <v>44.1348144507766</v>
      </c>
      <c r="S532" s="8" t="n">
        <f aca="false">((CEG_Assets!$S$18*CEG_Assets!$D$18*1000*S$4*S516+CEG_Assets!$P$18*(1+CEG_Assets!$Q$18)^(S$3-2026)*(S518+S519))/1000000+IF(S$3=CEG_Assets!$AH$18,CEG_Assets!$AG$18,0))*(1+CEG_CapexAdj)</f>
        <v>45.0175107397921</v>
      </c>
      <c r="T532" s="8" t="n">
        <f aca="false">((CEG_Assets!$S$18*CEG_Assets!$D$18*1000*T$4*T516+CEG_Assets!$P$18*(1+CEG_Assets!$Q$18)^(T$3-2026)*(T518+T519))/1000000+IF(T$3=CEG_Assets!$AH$18,CEG_Assets!$AG$18,0))*(1+CEG_CapexAdj)</f>
        <v>45.917860954588</v>
      </c>
      <c r="U532" s="8" t="n">
        <f aca="false">((CEG_Assets!$S$18*CEG_Assets!$D$18*1000*U$4*U516+CEG_Assets!$P$18*(1+CEG_Assets!$Q$18)^(U$3-2026)*(U518+U519))/1000000+IF(U$3=CEG_Assets!$AH$18,CEG_Assets!$AG$18,0))*(1+CEG_CapexAdj)</f>
        <v>46.8362181736797</v>
      </c>
      <c r="V532" s="8" t="n">
        <f aca="false">((CEG_Assets!$S$18*CEG_Assets!$D$18*1000*V$4*V516+CEG_Assets!$P$18*(1+CEG_Assets!$Q$18)^(V$3-2026)*(V518+V519))/1000000+IF(V$3=CEG_Assets!$AH$18,CEG_Assets!$AG$18,0))*(1+CEG_CapexAdj)</f>
        <v>47.7729425371533</v>
      </c>
      <c r="W532" s="8" t="n">
        <f aca="false">((CEG_Assets!$S$18*CEG_Assets!$D$18*1000*W$4*W516+CEG_Assets!$P$18*(1+CEG_Assets!$Q$18)^(W$3-2026)*(W518+W519))/1000000+IF(W$3=CEG_Assets!$AH$18,CEG_Assets!$AG$18,0))*(1+CEG_CapexAdj)</f>
        <v>48.7284013878964</v>
      </c>
      <c r="X532" s="8" t="n">
        <f aca="false">((CEG_Assets!$S$18*CEG_Assets!$D$18*1000*X$4*X516+CEG_Assets!$P$18*(1+CEG_Assets!$Q$18)^(X$3-2026)*(X518+X519))/1000000+IF(X$3=CEG_Assets!$AH$18,CEG_Assets!$AG$18,0))*(1+CEG_CapexAdj)</f>
        <v>49.7029694156543</v>
      </c>
      <c r="Y532" s="8" t="n">
        <f aca="false">((CEG_Assets!$S$18*CEG_Assets!$D$18*1000*Y$4*Y516+CEG_Assets!$P$18*(1+CEG_Assets!$Q$18)^(Y$3-2026)*(Y518+Y519))/1000000+IF(Y$3=CEG_Assets!$AH$18,CEG_Assets!$AG$18,0))*(1+CEG_CapexAdj)</f>
        <v>50.6970288039674</v>
      </c>
      <c r="Z532" s="8" t="n">
        <f aca="false">((CEG_Assets!$S$18*CEG_Assets!$D$18*1000*Z$4*Z516+CEG_Assets!$P$18*(1+CEG_Assets!$Q$18)^(Z$3-2026)*(Z518+Z519))/1000000+IF(Z$3=CEG_Assets!$AH$18,CEG_Assets!$AG$18,0))*(1+CEG_CapexAdj)</f>
        <v>0</v>
      </c>
      <c r="AA532" s="8" t="n">
        <f aca="false">((CEG_Assets!$S$18*CEG_Assets!$D$18*1000*AA$4*AA516+CEG_Assets!$P$18*(1+CEG_Assets!$Q$18)^(AA$3-2026)*(AA518+AA519))/1000000+IF(AA$3=CEG_Assets!$AH$18,CEG_Assets!$AG$18,0))*(1+CEG_CapexAdj)</f>
        <v>0</v>
      </c>
      <c r="AB532" s="8" t="n">
        <f aca="false">((CEG_Assets!$S$18*CEG_Assets!$D$18*1000*AB$4*AB516+CEG_Assets!$P$18*(1+CEG_Assets!$Q$18)^(AB$3-2026)*(AB518+AB519))/1000000+IF(AB$3=CEG_Assets!$AH$18,CEG_Assets!$AG$18,0))*(1+CEG_CapexAdj)</f>
        <v>0</v>
      </c>
      <c r="AC532" s="8" t="n">
        <f aca="false">((CEG_Assets!$S$18*CEG_Assets!$D$18*1000*AC$4*AC516+CEG_Assets!$P$18*(1+CEG_Assets!$Q$18)^(AC$3-2026)*(AC518+AC519))/1000000+IF(AC$3=CEG_Assets!$AH$18,CEG_Assets!$AG$18,0))*(1+CEG_CapexAdj)</f>
        <v>0</v>
      </c>
      <c r="AD532" s="8" t="n">
        <f aca="false">((CEG_Assets!$S$18*CEG_Assets!$D$18*1000*AD$4*AD516+CEG_Assets!$P$18*(1+CEG_Assets!$Q$18)^(AD$3-2026)*(AD518+AD519))/1000000+IF(AD$3=CEG_Assets!$AH$18,CEG_Assets!$AG$18,0))*(1+CEG_CapexAdj)</f>
        <v>0</v>
      </c>
      <c r="AE532" s="8" t="n">
        <f aca="false">((CEG_Assets!$S$18*CEG_Assets!$D$18*1000*AE$4*AE516+CEG_Assets!$P$18*(1+CEG_Assets!$Q$18)^(AE$3-2026)*(AE518+AE519))/1000000+IF(AE$3=CEG_Assets!$AH$18,CEG_Assets!$AG$18,0))*(1+CEG_CapexAdj)</f>
        <v>0</v>
      </c>
      <c r="AF532" s="8" t="n">
        <f aca="false">((CEG_Assets!$S$18*CEG_Assets!$D$18*1000*AF$4*AF516+CEG_Assets!$P$18*(1+CEG_Assets!$Q$18)^(AF$3-2026)*(AF518+AF519))/1000000+IF(AF$3=CEG_Assets!$AH$18,CEG_Assets!$AG$18,0))*(1+CEG_CapexAdj)</f>
        <v>0</v>
      </c>
      <c r="AG532" s="8" t="n">
        <f aca="false">((CEG_Assets!$S$18*CEG_Assets!$D$18*1000*AG$4*AG516+CEG_Assets!$P$18*(1+CEG_Assets!$Q$18)^(AG$3-2026)*(AG518+AG519))/1000000+IF(AG$3=CEG_Assets!$AH$18,CEG_Assets!$AG$18,0))*(1+CEG_CapexAdj)</f>
        <v>0</v>
      </c>
      <c r="AH532" s="8" t="n">
        <f aca="false">((CEG_Assets!$S$18*CEG_Assets!$D$18*1000*AH$4*AH516+CEG_Assets!$P$18*(1+CEG_Assets!$Q$18)^(AH$3-2026)*(AH518+AH519))/1000000+IF(AH$3=CEG_Assets!$AH$18,CEG_Assets!$AG$18,0))*(1+CEG_CapexAdj)</f>
        <v>0</v>
      </c>
      <c r="AI532" s="8" t="n">
        <f aca="false">((CEG_Assets!$S$18*CEG_Assets!$D$18*1000*AI$4*AI516+CEG_Assets!$P$18*(1+CEG_Assets!$Q$18)^(AI$3-2026)*(AI518+AI519))/1000000+IF(AI$3=CEG_Assets!$AH$18,CEG_Assets!$AG$18,0))*(1+CEG_CapexAdj)</f>
        <v>0</v>
      </c>
      <c r="AJ532" s="8" t="n">
        <f aca="false">((CEG_Assets!$S$18*CEG_Assets!$D$18*1000*AJ$4*AJ516+CEG_Assets!$P$18*(1+CEG_Assets!$Q$18)^(AJ$3-2026)*(AJ518+AJ519))/1000000+IF(AJ$3=CEG_Assets!$AH$18,CEG_Assets!$AG$18,0))*(1+CEG_CapexAdj)</f>
        <v>0</v>
      </c>
      <c r="AK532" s="8" t="n">
        <f aca="false">((CEG_Assets!$S$18*CEG_Assets!$D$18*1000*AK$4*AK516+CEG_Assets!$P$18*(1+CEG_Assets!$Q$18)^(AK$3-2026)*(AK518+AK519))/1000000+IF(AK$3=CEG_Assets!$AH$18,CEG_Assets!$AG$18,0))*(1+CEG_CapexAdj)</f>
        <v>0</v>
      </c>
      <c r="AL532" s="8" t="n">
        <f aca="false">((CEG_Assets!$S$18*CEG_Assets!$D$18*1000*AL$4*AL516+CEG_Assets!$P$18*(1+CEG_Assets!$Q$18)^(AL$3-2026)*(AL518+AL519))/1000000+IF(AL$3=CEG_Assets!$AH$18,CEG_Assets!$AG$18,0))*(1+CEG_CapexAdj)</f>
        <v>0</v>
      </c>
      <c r="AM532" s="8" t="n">
        <f aca="false">((CEG_Assets!$S$18*CEG_Assets!$D$18*1000*AM$4*AM516+CEG_Assets!$P$18*(1+CEG_Assets!$Q$18)^(AM$3-2026)*(AM518+AM519))/1000000+IF(AM$3=CEG_Assets!$AH$18,CEG_Assets!$AG$18,0))*(1+CEG_CapexAdj)</f>
        <v>0</v>
      </c>
      <c r="AN532" s="8" t="n">
        <f aca="false">((CEG_Assets!$S$18*CEG_Assets!$D$18*1000*AN$4*AN516+CEG_Assets!$P$18*(1+CEG_Assets!$Q$18)^(AN$3-2026)*(AN518+AN519))/1000000+IF(AN$3=CEG_Assets!$AH$18,CEG_Assets!$AG$18,0))*(1+CEG_CapexAdj)</f>
        <v>0</v>
      </c>
      <c r="AO532" s="8" t="n">
        <f aca="false">((CEG_Assets!$S$18*CEG_Assets!$D$18*1000*AO$4*AO516+CEG_Assets!$P$18*(1+CEG_Assets!$Q$18)^(AO$3-2026)*(AO518+AO519))/1000000+IF(AO$3=CEG_Assets!$AH$18,CEG_Assets!$AG$18,0))*(1+CEG_CapexAdj)</f>
        <v>0</v>
      </c>
      <c r="AP532" s="8" t="n">
        <f aca="false">((CEG_Assets!$S$18*CEG_Assets!$D$18*1000*AP$4*AP516+CEG_Assets!$P$18*(1+CEG_Assets!$Q$18)^(AP$3-2026)*(AP518+AP519))/1000000+IF(AP$3=CEG_Assets!$AH$18,CEG_Assets!$AG$18,0))*(1+CEG_CapexAdj)</f>
        <v>0</v>
      </c>
      <c r="AQ532" s="8" t="n">
        <f aca="false">((CEG_Assets!$S$18*CEG_Assets!$D$18*1000*AQ$4*AQ516+CEG_Assets!$P$18*(1+CEG_Assets!$Q$18)^(AQ$3-2026)*(AQ518+AQ519))/1000000+IF(AQ$3=CEG_Assets!$AH$18,CEG_Assets!$AG$18,0))*(1+CEG_CapexAdj)</f>
        <v>0</v>
      </c>
      <c r="AR532" s="8" t="n">
        <f aca="false">((CEG_Assets!$S$18*CEG_Assets!$D$18*1000*AR$4*AR516+CEG_Assets!$P$18*(1+CEG_Assets!$Q$18)^(AR$3-2026)*(AR518+AR519))/1000000+IF(AR$3=CEG_Assets!$AH$18,CEG_Assets!$AG$18,0))*(1+CEG_CapexAdj)</f>
        <v>0</v>
      </c>
      <c r="AS532" s="8" t="n">
        <f aca="false">((CEG_Assets!$S$18*CEG_Assets!$D$18*1000*AS$4*AS516+CEG_Assets!$P$18*(1+CEG_Assets!$Q$18)^(AS$3-2026)*(AS518+AS519))/1000000+IF(AS$3=CEG_Assets!$AH$18,CEG_Assets!$AG$18,0))*(1+CEG_CapexAdj)</f>
        <v>0</v>
      </c>
    </row>
    <row r="533" customFormat="false" ht="15" hidden="false" customHeight="false" outlineLevel="0" collapsed="false">
      <c r="A533" s="6" t="s">
        <v>459</v>
      </c>
      <c r="B533" s="6" t="s">
        <v>460</v>
      </c>
      <c r="C533" s="9" t="n">
        <f aca="false">SUM(G533:AS533)</f>
        <v>5797.36281685805</v>
      </c>
      <c r="G533" s="8" t="n">
        <f aca="false">IF(CEG_Assets!$Y$18=1,MAX(0,G531-G532),G531-G532)</f>
        <v>384.90698688</v>
      </c>
      <c r="H533" s="8" t="n">
        <f aca="false">IF(CEG_Assets!$Y$18=1,MAX(0,H531-H532),H531-H532)</f>
        <v>386.9011156896</v>
      </c>
      <c r="I533" s="8" t="n">
        <f aca="false">IF(CEG_Assets!$Y$18=1,MAX(0,I531-I532),I531-I532)</f>
        <v>288.620281970569</v>
      </c>
      <c r="J533" s="8" t="n">
        <f aca="false">IF(CEG_Assets!$Y$18=1,MAX(0,J531-J532),J531-J532)</f>
        <v>254.137128523557</v>
      </c>
      <c r="K533" s="8" t="n">
        <f aca="false">IF(CEG_Assets!$Y$18=1,MAX(0,K531-K532),K531-K532)</f>
        <v>259.219871094028</v>
      </c>
      <c r="L533" s="8" t="n">
        <f aca="false">IF(CEG_Assets!$Y$18=1,MAX(0,L531-L532),L531-L532)</f>
        <v>264.404268515908</v>
      </c>
      <c r="M533" s="8" t="n">
        <f aca="false">IF(CEG_Assets!$Y$18=1,MAX(0,M531-M532),M531-M532)</f>
        <v>269.692353886226</v>
      </c>
      <c r="N533" s="8" t="n">
        <f aca="false">IF(CEG_Assets!$Y$18=1,MAX(0,N531-N532),N531-N532)</f>
        <v>275.086200963951</v>
      </c>
      <c r="O533" s="8" t="n">
        <f aca="false">IF(CEG_Assets!$Y$18=1,MAX(0,O531-O532),O531-O532)</f>
        <v>280.58792498323</v>
      </c>
      <c r="P533" s="8" t="n">
        <f aca="false">IF(CEG_Assets!$Y$18=1,MAX(0,P531-P532),P531-P532)</f>
        <v>286.199683482894</v>
      </c>
      <c r="Q533" s="8" t="n">
        <f aca="false">IF(CEG_Assets!$Y$18=1,MAX(0,Q531-Q532),Q531-Q532)</f>
        <v>291.923677152553</v>
      </c>
      <c r="R533" s="8" t="n">
        <f aca="false">IF(CEG_Assets!$Y$18=1,MAX(0,R531-R532),R531-R532)</f>
        <v>297.762150695604</v>
      </c>
      <c r="S533" s="8" t="n">
        <f aca="false">IF(CEG_Assets!$Y$18=1,MAX(0,S531-S532),S531-S532)</f>
        <v>303.717393709516</v>
      </c>
      <c r="T533" s="8" t="n">
        <f aca="false">IF(CEG_Assets!$Y$18=1,MAX(0,T531-T532),T531-T532)</f>
        <v>309.791741583706</v>
      </c>
      <c r="U533" s="8" t="n">
        <f aca="false">IF(CEG_Assets!$Y$18=1,MAX(0,U531-U532),U531-U532)</f>
        <v>315.98757641538</v>
      </c>
      <c r="V533" s="8" t="n">
        <f aca="false">IF(CEG_Assets!$Y$18=1,MAX(0,V531-V532),V531-V532)</f>
        <v>322.307327943688</v>
      </c>
      <c r="W533" s="8" t="n">
        <f aca="false">IF(CEG_Assets!$Y$18=1,MAX(0,W531-W532),W531-W532)</f>
        <v>328.753474502562</v>
      </c>
      <c r="X533" s="8" t="n">
        <f aca="false">IF(CEG_Assets!$Y$18=1,MAX(0,X531-X532),X531-X532)</f>
        <v>335.328543992613</v>
      </c>
      <c r="Y533" s="8" t="n">
        <f aca="false">IF(CEG_Assets!$Y$18=1,MAX(0,Y531-Y532),Y531-Y532)</f>
        <v>342.035114872465</v>
      </c>
      <c r="Z533" s="8" t="n">
        <f aca="false">IF(CEG_Assets!$Y$18=1,MAX(0,Z531-Z532),Z531-Z532)</f>
        <v>0</v>
      </c>
      <c r="AA533" s="8" t="n">
        <f aca="false">IF(CEG_Assets!$Y$18=1,MAX(0,AA531-AA532),AA531-AA532)</f>
        <v>0</v>
      </c>
      <c r="AB533" s="8" t="n">
        <f aca="false">IF(CEG_Assets!$Y$18=1,MAX(0,AB531-AB532),AB531-AB532)</f>
        <v>0</v>
      </c>
      <c r="AC533" s="8" t="n">
        <f aca="false">IF(CEG_Assets!$Y$18=1,MAX(0,AC531-AC532),AC531-AC532)</f>
        <v>0</v>
      </c>
      <c r="AD533" s="8" t="n">
        <f aca="false">IF(CEG_Assets!$Y$18=1,MAX(0,AD531-AD532),AD531-AD532)</f>
        <v>0</v>
      </c>
      <c r="AE533" s="8" t="n">
        <f aca="false">IF(CEG_Assets!$Y$18=1,MAX(0,AE531-AE532),AE531-AE532)</f>
        <v>0</v>
      </c>
      <c r="AF533" s="8" t="n">
        <f aca="false">IF(CEG_Assets!$Y$18=1,MAX(0,AF531-AF532),AF531-AF532)</f>
        <v>0</v>
      </c>
      <c r="AG533" s="8" t="n">
        <f aca="false">IF(CEG_Assets!$Y$18=1,MAX(0,AG531-AG532),AG531-AG532)</f>
        <v>0</v>
      </c>
      <c r="AH533" s="8" t="n">
        <f aca="false">IF(CEG_Assets!$Y$18=1,MAX(0,AH531-AH532),AH531-AH532)</f>
        <v>0</v>
      </c>
      <c r="AI533" s="8" t="n">
        <f aca="false">IF(CEG_Assets!$Y$18=1,MAX(0,AI531-AI532),AI531-AI532)</f>
        <v>0</v>
      </c>
      <c r="AJ533" s="8" t="n">
        <f aca="false">IF(CEG_Assets!$Y$18=1,MAX(0,AJ531-AJ532),AJ531-AJ532)</f>
        <v>0</v>
      </c>
      <c r="AK533" s="8" t="n">
        <f aca="false">IF(CEG_Assets!$Y$18=1,MAX(0,AK531-AK532),AK531-AK532)</f>
        <v>0</v>
      </c>
      <c r="AL533" s="8" t="n">
        <f aca="false">IF(CEG_Assets!$Y$18=1,MAX(0,AL531-AL532),AL531-AL532)</f>
        <v>0</v>
      </c>
      <c r="AM533" s="8" t="n">
        <f aca="false">IF(CEG_Assets!$Y$18=1,MAX(0,AM531-AM532),AM531-AM532)</f>
        <v>0</v>
      </c>
      <c r="AN533" s="8" t="n">
        <f aca="false">IF(CEG_Assets!$Y$18=1,MAX(0,AN531-AN532),AN531-AN532)</f>
        <v>0</v>
      </c>
      <c r="AO533" s="8" t="n">
        <f aca="false">IF(CEG_Assets!$Y$18=1,MAX(0,AO531-AO532),AO531-AO532)</f>
        <v>0</v>
      </c>
      <c r="AP533" s="8" t="n">
        <f aca="false">IF(CEG_Assets!$Y$18=1,MAX(0,AP531-AP532),AP531-AP532)</f>
        <v>0</v>
      </c>
      <c r="AQ533" s="8" t="n">
        <f aca="false">IF(CEG_Assets!$Y$18=1,MAX(0,AQ531-AQ532),AQ531-AQ532)</f>
        <v>0</v>
      </c>
      <c r="AR533" s="8" t="n">
        <f aca="false">IF(CEG_Assets!$Y$18=1,MAX(0,AR531-AR532),AR531-AR532)</f>
        <v>0</v>
      </c>
      <c r="AS533" s="8" t="n">
        <f aca="false">IF(CEG_Assets!$Y$18=1,MAX(0,AS531-AS532),AS531-AS532)</f>
        <v>0</v>
      </c>
    </row>
    <row r="534" customFormat="false" ht="15" hidden="false" customHeight="false" outlineLevel="0" collapsed="false">
      <c r="A534" s="6" t="s">
        <v>461</v>
      </c>
      <c r="B534" s="6" t="s">
        <v>462</v>
      </c>
      <c r="C534" s="9" t="n">
        <f aca="false">SUM(G534:AS534)</f>
        <v>0</v>
      </c>
      <c r="G534" s="8" t="n">
        <f aca="false">IF(AND(CEG_Assets!$W$18=1,G$3&lt;=PTCLast,G518&gt;0),G518*MAX(0,PTCCredit*(1+Infl)^(G$3-PTCBase)-0.8*MAX(0,(G523+G524+G526)*1000000/MAX(1,G518)-PTCThresh*(1+Infl)^(G$3-PTCBase)))/1000000,0)</f>
        <v>0</v>
      </c>
      <c r="H534" s="8" t="n">
        <f aca="false">IF(AND(CEG_Assets!$W$18=1,H$3&lt;=PTCLast,H518&gt;0),H518*MAX(0,PTCCredit*(1+Infl)^(H$3-PTCBase)-0.8*MAX(0,(H523+H524+H526)*1000000/MAX(1,H518)-PTCThresh*(1+Infl)^(H$3-PTCBase)))/1000000,0)</f>
        <v>0</v>
      </c>
      <c r="I534" s="8" t="n">
        <f aca="false">IF(AND(CEG_Assets!$W$18=1,I$3&lt;=PTCLast,I518&gt;0),I518*MAX(0,PTCCredit*(1+Infl)^(I$3-PTCBase)-0.8*MAX(0,(I523+I524+I526)*1000000/MAX(1,I518)-PTCThresh*(1+Infl)^(I$3-PTCBase)))/1000000,0)</f>
        <v>0</v>
      </c>
      <c r="J534" s="8" t="n">
        <f aca="false">IF(AND(CEG_Assets!$W$18=1,J$3&lt;=PTCLast,J518&gt;0),J518*MAX(0,PTCCredit*(1+Infl)^(J$3-PTCBase)-0.8*MAX(0,(J523+J524+J526)*1000000/MAX(1,J518)-PTCThresh*(1+Infl)^(J$3-PTCBase)))/1000000,0)</f>
        <v>0</v>
      </c>
      <c r="K534" s="8" t="n">
        <f aca="false">IF(AND(CEG_Assets!$W$18=1,K$3&lt;=PTCLast,K518&gt;0),K518*MAX(0,PTCCredit*(1+Infl)^(K$3-PTCBase)-0.8*MAX(0,(K523+K524+K526)*1000000/MAX(1,K518)-PTCThresh*(1+Infl)^(K$3-PTCBase)))/1000000,0)</f>
        <v>0</v>
      </c>
      <c r="L534" s="8" t="n">
        <f aca="false">IF(AND(CEG_Assets!$W$18=1,L$3&lt;=PTCLast,L518&gt;0),L518*MAX(0,PTCCredit*(1+Infl)^(L$3-PTCBase)-0.8*MAX(0,(L523+L524+L526)*1000000/MAX(1,L518)-PTCThresh*(1+Infl)^(L$3-PTCBase)))/1000000,0)</f>
        <v>0</v>
      </c>
      <c r="M534" s="8" t="n">
        <f aca="false">IF(AND(CEG_Assets!$W$18=1,M$3&lt;=PTCLast,M518&gt;0),M518*MAX(0,PTCCredit*(1+Infl)^(M$3-PTCBase)-0.8*MAX(0,(M523+M524+M526)*1000000/MAX(1,M518)-PTCThresh*(1+Infl)^(M$3-PTCBase)))/1000000,0)</f>
        <v>0</v>
      </c>
      <c r="N534" s="8" t="n">
        <f aca="false">IF(AND(CEG_Assets!$W$18=1,N$3&lt;=PTCLast,N518&gt;0),N518*MAX(0,PTCCredit*(1+Infl)^(N$3-PTCBase)-0.8*MAX(0,(N523+N524+N526)*1000000/MAX(1,N518)-PTCThresh*(1+Infl)^(N$3-PTCBase)))/1000000,0)</f>
        <v>0</v>
      </c>
      <c r="O534" s="8" t="n">
        <f aca="false">IF(AND(CEG_Assets!$W$18=1,O$3&lt;=PTCLast,O518&gt;0),O518*MAX(0,PTCCredit*(1+Infl)^(O$3-PTCBase)-0.8*MAX(0,(O523+O524+O526)*1000000/MAX(1,O518)-PTCThresh*(1+Infl)^(O$3-PTCBase)))/1000000,0)</f>
        <v>0</v>
      </c>
      <c r="P534" s="8" t="n">
        <f aca="false">IF(AND(CEG_Assets!$W$18=1,P$3&lt;=PTCLast,P518&gt;0),P518*MAX(0,PTCCredit*(1+Infl)^(P$3-PTCBase)-0.8*MAX(0,(P523+P524+P526)*1000000/MAX(1,P518)-PTCThresh*(1+Infl)^(P$3-PTCBase)))/1000000,0)</f>
        <v>0</v>
      </c>
      <c r="Q534" s="8" t="n">
        <f aca="false">IF(AND(CEG_Assets!$W$18=1,Q$3&lt;=PTCLast,Q518&gt;0),Q518*MAX(0,PTCCredit*(1+Infl)^(Q$3-PTCBase)-0.8*MAX(0,(Q523+Q524+Q526)*1000000/MAX(1,Q518)-PTCThresh*(1+Infl)^(Q$3-PTCBase)))/1000000,0)</f>
        <v>0</v>
      </c>
      <c r="R534" s="8" t="n">
        <f aca="false">IF(AND(CEG_Assets!$W$18=1,R$3&lt;=PTCLast,R518&gt;0),R518*MAX(0,PTCCredit*(1+Infl)^(R$3-PTCBase)-0.8*MAX(0,(R523+R524+R526)*1000000/MAX(1,R518)-PTCThresh*(1+Infl)^(R$3-PTCBase)))/1000000,0)</f>
        <v>0</v>
      </c>
      <c r="S534" s="8" t="n">
        <f aca="false">IF(AND(CEG_Assets!$W$18=1,S$3&lt;=PTCLast,S518&gt;0),S518*MAX(0,PTCCredit*(1+Infl)^(S$3-PTCBase)-0.8*MAX(0,(S523+S524+S526)*1000000/MAX(1,S518)-PTCThresh*(1+Infl)^(S$3-PTCBase)))/1000000,0)</f>
        <v>0</v>
      </c>
      <c r="T534" s="8" t="n">
        <f aca="false">IF(AND(CEG_Assets!$W$18=1,T$3&lt;=PTCLast,T518&gt;0),T518*MAX(0,PTCCredit*(1+Infl)^(T$3-PTCBase)-0.8*MAX(0,(T523+T524+T526)*1000000/MAX(1,T518)-PTCThresh*(1+Infl)^(T$3-PTCBase)))/1000000,0)</f>
        <v>0</v>
      </c>
      <c r="U534" s="8" t="n">
        <f aca="false">IF(AND(CEG_Assets!$W$18=1,U$3&lt;=PTCLast,U518&gt;0),U518*MAX(0,PTCCredit*(1+Infl)^(U$3-PTCBase)-0.8*MAX(0,(U523+U524+U526)*1000000/MAX(1,U518)-PTCThresh*(1+Infl)^(U$3-PTCBase)))/1000000,0)</f>
        <v>0</v>
      </c>
      <c r="V534" s="8" t="n">
        <f aca="false">IF(AND(CEG_Assets!$W$18=1,V$3&lt;=PTCLast,V518&gt;0),V518*MAX(0,PTCCredit*(1+Infl)^(V$3-PTCBase)-0.8*MAX(0,(V523+V524+V526)*1000000/MAX(1,V518)-PTCThresh*(1+Infl)^(V$3-PTCBase)))/1000000,0)</f>
        <v>0</v>
      </c>
      <c r="W534" s="8" t="n">
        <f aca="false">IF(AND(CEG_Assets!$W$18=1,W$3&lt;=PTCLast,W518&gt;0),W518*MAX(0,PTCCredit*(1+Infl)^(W$3-PTCBase)-0.8*MAX(0,(W523+W524+W526)*1000000/MAX(1,W518)-PTCThresh*(1+Infl)^(W$3-PTCBase)))/1000000,0)</f>
        <v>0</v>
      </c>
      <c r="X534" s="8" t="n">
        <f aca="false">IF(AND(CEG_Assets!$W$18=1,X$3&lt;=PTCLast,X518&gt;0),X518*MAX(0,PTCCredit*(1+Infl)^(X$3-PTCBase)-0.8*MAX(0,(X523+X524+X526)*1000000/MAX(1,X518)-PTCThresh*(1+Infl)^(X$3-PTCBase)))/1000000,0)</f>
        <v>0</v>
      </c>
      <c r="Y534" s="8" t="n">
        <f aca="false">IF(AND(CEG_Assets!$W$18=1,Y$3&lt;=PTCLast,Y518&gt;0),Y518*MAX(0,PTCCredit*(1+Infl)^(Y$3-PTCBase)-0.8*MAX(0,(Y523+Y524+Y526)*1000000/MAX(1,Y518)-PTCThresh*(1+Infl)^(Y$3-PTCBase)))/1000000,0)</f>
        <v>0</v>
      </c>
      <c r="Z534" s="8" t="n">
        <f aca="false">IF(AND(CEG_Assets!$W$18=1,Z$3&lt;=PTCLast,Z518&gt;0),Z518*MAX(0,PTCCredit*(1+Infl)^(Z$3-PTCBase)-0.8*MAX(0,(Z523+Z524+Z526)*1000000/MAX(1,Z518)-PTCThresh*(1+Infl)^(Z$3-PTCBase)))/1000000,0)</f>
        <v>0</v>
      </c>
      <c r="AA534" s="8" t="n">
        <f aca="false">IF(AND(CEG_Assets!$W$18=1,AA$3&lt;=PTCLast,AA518&gt;0),AA518*MAX(0,PTCCredit*(1+Infl)^(AA$3-PTCBase)-0.8*MAX(0,(AA523+AA524+AA526)*1000000/MAX(1,AA518)-PTCThresh*(1+Infl)^(AA$3-PTCBase)))/1000000,0)</f>
        <v>0</v>
      </c>
      <c r="AB534" s="8" t="n">
        <f aca="false">IF(AND(CEG_Assets!$W$18=1,AB$3&lt;=PTCLast,AB518&gt;0),AB518*MAX(0,PTCCredit*(1+Infl)^(AB$3-PTCBase)-0.8*MAX(0,(AB523+AB524+AB526)*1000000/MAX(1,AB518)-PTCThresh*(1+Infl)^(AB$3-PTCBase)))/1000000,0)</f>
        <v>0</v>
      </c>
      <c r="AC534" s="8" t="n">
        <f aca="false">IF(AND(CEG_Assets!$W$18=1,AC$3&lt;=PTCLast,AC518&gt;0),AC518*MAX(0,PTCCredit*(1+Infl)^(AC$3-PTCBase)-0.8*MAX(0,(AC523+AC524+AC526)*1000000/MAX(1,AC518)-PTCThresh*(1+Infl)^(AC$3-PTCBase)))/1000000,0)</f>
        <v>0</v>
      </c>
      <c r="AD534" s="8" t="n">
        <f aca="false">IF(AND(CEG_Assets!$W$18=1,AD$3&lt;=PTCLast,AD518&gt;0),AD518*MAX(0,PTCCredit*(1+Infl)^(AD$3-PTCBase)-0.8*MAX(0,(AD523+AD524+AD526)*1000000/MAX(1,AD518)-PTCThresh*(1+Infl)^(AD$3-PTCBase)))/1000000,0)</f>
        <v>0</v>
      </c>
      <c r="AE534" s="8" t="n">
        <f aca="false">IF(AND(CEG_Assets!$W$18=1,AE$3&lt;=PTCLast,AE518&gt;0),AE518*MAX(0,PTCCredit*(1+Infl)^(AE$3-PTCBase)-0.8*MAX(0,(AE523+AE524+AE526)*1000000/MAX(1,AE518)-PTCThresh*(1+Infl)^(AE$3-PTCBase)))/1000000,0)</f>
        <v>0</v>
      </c>
      <c r="AF534" s="8" t="n">
        <f aca="false">IF(AND(CEG_Assets!$W$18=1,AF$3&lt;=PTCLast,AF518&gt;0),AF518*MAX(0,PTCCredit*(1+Infl)^(AF$3-PTCBase)-0.8*MAX(0,(AF523+AF524+AF526)*1000000/MAX(1,AF518)-PTCThresh*(1+Infl)^(AF$3-PTCBase)))/1000000,0)</f>
        <v>0</v>
      </c>
      <c r="AG534" s="8" t="n">
        <f aca="false">IF(AND(CEG_Assets!$W$18=1,AG$3&lt;=PTCLast,AG518&gt;0),AG518*MAX(0,PTCCredit*(1+Infl)^(AG$3-PTCBase)-0.8*MAX(0,(AG523+AG524+AG526)*1000000/MAX(1,AG518)-PTCThresh*(1+Infl)^(AG$3-PTCBase)))/1000000,0)</f>
        <v>0</v>
      </c>
      <c r="AH534" s="8" t="n">
        <f aca="false">IF(AND(CEG_Assets!$W$18=1,AH$3&lt;=PTCLast,AH518&gt;0),AH518*MAX(0,PTCCredit*(1+Infl)^(AH$3-PTCBase)-0.8*MAX(0,(AH523+AH524+AH526)*1000000/MAX(1,AH518)-PTCThresh*(1+Infl)^(AH$3-PTCBase)))/1000000,0)</f>
        <v>0</v>
      </c>
      <c r="AI534" s="8" t="n">
        <f aca="false">IF(AND(CEG_Assets!$W$18=1,AI$3&lt;=PTCLast,AI518&gt;0),AI518*MAX(0,PTCCredit*(1+Infl)^(AI$3-PTCBase)-0.8*MAX(0,(AI523+AI524+AI526)*1000000/MAX(1,AI518)-PTCThresh*(1+Infl)^(AI$3-PTCBase)))/1000000,0)</f>
        <v>0</v>
      </c>
      <c r="AJ534" s="8" t="n">
        <f aca="false">IF(AND(CEG_Assets!$W$18=1,AJ$3&lt;=PTCLast,AJ518&gt;0),AJ518*MAX(0,PTCCredit*(1+Infl)^(AJ$3-PTCBase)-0.8*MAX(0,(AJ523+AJ524+AJ526)*1000000/MAX(1,AJ518)-PTCThresh*(1+Infl)^(AJ$3-PTCBase)))/1000000,0)</f>
        <v>0</v>
      </c>
      <c r="AK534" s="8" t="n">
        <f aca="false">IF(AND(CEG_Assets!$W$18=1,AK$3&lt;=PTCLast,AK518&gt;0),AK518*MAX(0,PTCCredit*(1+Infl)^(AK$3-PTCBase)-0.8*MAX(0,(AK523+AK524+AK526)*1000000/MAX(1,AK518)-PTCThresh*(1+Infl)^(AK$3-PTCBase)))/1000000,0)</f>
        <v>0</v>
      </c>
      <c r="AL534" s="8" t="n">
        <f aca="false">IF(AND(CEG_Assets!$W$18=1,AL$3&lt;=PTCLast,AL518&gt;0),AL518*MAX(0,PTCCredit*(1+Infl)^(AL$3-PTCBase)-0.8*MAX(0,(AL523+AL524+AL526)*1000000/MAX(1,AL518)-PTCThresh*(1+Infl)^(AL$3-PTCBase)))/1000000,0)</f>
        <v>0</v>
      </c>
      <c r="AM534" s="8" t="n">
        <f aca="false">IF(AND(CEG_Assets!$W$18=1,AM$3&lt;=PTCLast,AM518&gt;0),AM518*MAX(0,PTCCredit*(1+Infl)^(AM$3-PTCBase)-0.8*MAX(0,(AM523+AM524+AM526)*1000000/MAX(1,AM518)-PTCThresh*(1+Infl)^(AM$3-PTCBase)))/1000000,0)</f>
        <v>0</v>
      </c>
      <c r="AN534" s="8" t="n">
        <f aca="false">IF(AND(CEG_Assets!$W$18=1,AN$3&lt;=PTCLast,AN518&gt;0),AN518*MAX(0,PTCCredit*(1+Infl)^(AN$3-PTCBase)-0.8*MAX(0,(AN523+AN524+AN526)*1000000/MAX(1,AN518)-PTCThresh*(1+Infl)^(AN$3-PTCBase)))/1000000,0)</f>
        <v>0</v>
      </c>
      <c r="AO534" s="8" t="n">
        <f aca="false">IF(AND(CEG_Assets!$W$18=1,AO$3&lt;=PTCLast,AO518&gt;0),AO518*MAX(0,PTCCredit*(1+Infl)^(AO$3-PTCBase)-0.8*MAX(0,(AO523+AO524+AO526)*1000000/MAX(1,AO518)-PTCThresh*(1+Infl)^(AO$3-PTCBase)))/1000000,0)</f>
        <v>0</v>
      </c>
      <c r="AP534" s="8" t="n">
        <f aca="false">IF(AND(CEG_Assets!$W$18=1,AP$3&lt;=PTCLast,AP518&gt;0),AP518*MAX(0,PTCCredit*(1+Infl)^(AP$3-PTCBase)-0.8*MAX(0,(AP523+AP524+AP526)*1000000/MAX(1,AP518)-PTCThresh*(1+Infl)^(AP$3-PTCBase)))/1000000,0)</f>
        <v>0</v>
      </c>
      <c r="AQ534" s="8" t="n">
        <f aca="false">IF(AND(CEG_Assets!$W$18=1,AQ$3&lt;=PTCLast,AQ518&gt;0),AQ518*MAX(0,PTCCredit*(1+Infl)^(AQ$3-PTCBase)-0.8*MAX(0,(AQ523+AQ524+AQ526)*1000000/MAX(1,AQ518)-PTCThresh*(1+Infl)^(AQ$3-PTCBase)))/1000000,0)</f>
        <v>0</v>
      </c>
      <c r="AR534" s="8" t="n">
        <f aca="false">IF(AND(CEG_Assets!$W$18=1,AR$3&lt;=PTCLast,AR518&gt;0),AR518*MAX(0,PTCCredit*(1+Infl)^(AR$3-PTCBase)-0.8*MAX(0,(AR523+AR524+AR526)*1000000/MAX(1,AR518)-PTCThresh*(1+Infl)^(AR$3-PTCBase)))/1000000,0)</f>
        <v>0</v>
      </c>
      <c r="AS534" s="8" t="n">
        <f aca="false">IF(AND(CEG_Assets!$W$18=1,AS$3&lt;=PTCLast,AS518&gt;0),AS518*MAX(0,PTCCredit*(1+Infl)^(AS$3-PTCBase)-0.8*MAX(0,(AS523+AS524+AS526)*1000000/MAX(1,AS518)-PTCThresh*(1+Infl)^(AS$3-PTCBase)))/1000000,0)</f>
        <v>0</v>
      </c>
    </row>
    <row r="535" customFormat="false" ht="15" hidden="false" customHeight="false" outlineLevel="0" collapsed="false">
      <c r="A535" s="6" t="s">
        <v>463</v>
      </c>
      <c r="B535" s="6" t="s">
        <v>464</v>
      </c>
      <c r="G535" s="8" t="n">
        <f aca="false">G525-G519*(CEG_Assets!$N$18*(1+CEG_FuelAdj)+CEG_Assets!$O$18*(1+CEG_OMAdj)+CEG_Assets!$P$18*(1+CEG_CapexAdj))*(1+CEG_Assets!$Q$18)^(G$3-2026)/1000000</f>
        <v>0</v>
      </c>
      <c r="H535" s="8" t="n">
        <f aca="false">H525-H519*(CEG_Assets!$N$18*(1+CEG_FuelAdj)+CEG_Assets!$O$18*(1+CEG_OMAdj)+CEG_Assets!$P$18*(1+CEG_CapexAdj))*(1+CEG_Assets!$Q$18)^(H$3-2026)/1000000</f>
        <v>0</v>
      </c>
      <c r="I535" s="8" t="n">
        <f aca="false">I525-I519*(CEG_Assets!$N$18*(1+CEG_FuelAdj)+CEG_Assets!$O$18*(1+CEG_OMAdj)+CEG_Assets!$P$18*(1+CEG_CapexAdj))*(1+CEG_Assets!$Q$18)^(I$3-2026)/1000000</f>
        <v>0</v>
      </c>
      <c r="J535" s="8" t="n">
        <f aca="false">J525-J519*(CEG_Assets!$N$18*(1+CEG_FuelAdj)+CEG_Assets!$O$18*(1+CEG_OMAdj)+CEG_Assets!$P$18*(1+CEG_CapexAdj))*(1+CEG_Assets!$Q$18)^(J$3-2026)/1000000</f>
        <v>0</v>
      </c>
      <c r="K535" s="8" t="n">
        <f aca="false">K525-K519*(CEG_Assets!$N$18*(1+CEG_FuelAdj)+CEG_Assets!$O$18*(1+CEG_OMAdj)+CEG_Assets!$P$18*(1+CEG_CapexAdj))*(1+CEG_Assets!$Q$18)^(K$3-2026)/1000000</f>
        <v>0</v>
      </c>
      <c r="L535" s="8" t="n">
        <f aca="false">L525-L519*(CEG_Assets!$N$18*(1+CEG_FuelAdj)+CEG_Assets!$O$18*(1+CEG_OMAdj)+CEG_Assets!$P$18*(1+CEG_CapexAdj))*(1+CEG_Assets!$Q$18)^(L$3-2026)/1000000</f>
        <v>0</v>
      </c>
      <c r="M535" s="8" t="n">
        <f aca="false">M525-M519*(CEG_Assets!$N$18*(1+CEG_FuelAdj)+CEG_Assets!$O$18*(1+CEG_OMAdj)+CEG_Assets!$P$18*(1+CEG_CapexAdj))*(1+CEG_Assets!$Q$18)^(M$3-2026)/1000000</f>
        <v>0</v>
      </c>
      <c r="N535" s="8" t="n">
        <f aca="false">N525-N519*(CEG_Assets!$N$18*(1+CEG_FuelAdj)+CEG_Assets!$O$18*(1+CEG_OMAdj)+CEG_Assets!$P$18*(1+CEG_CapexAdj))*(1+CEG_Assets!$Q$18)^(N$3-2026)/1000000</f>
        <v>0</v>
      </c>
      <c r="O535" s="8" t="n">
        <f aca="false">O525-O519*(CEG_Assets!$N$18*(1+CEG_FuelAdj)+CEG_Assets!$O$18*(1+CEG_OMAdj)+CEG_Assets!$P$18*(1+CEG_CapexAdj))*(1+CEG_Assets!$Q$18)^(O$3-2026)/1000000</f>
        <v>0</v>
      </c>
      <c r="P535" s="8" t="n">
        <f aca="false">P525-P519*(CEG_Assets!$N$18*(1+CEG_FuelAdj)+CEG_Assets!$O$18*(1+CEG_OMAdj)+CEG_Assets!$P$18*(1+CEG_CapexAdj))*(1+CEG_Assets!$Q$18)^(P$3-2026)/1000000</f>
        <v>0</v>
      </c>
      <c r="Q535" s="8" t="n">
        <f aca="false">Q525-Q519*(CEG_Assets!$N$18*(1+CEG_FuelAdj)+CEG_Assets!$O$18*(1+CEG_OMAdj)+CEG_Assets!$P$18*(1+CEG_CapexAdj))*(1+CEG_Assets!$Q$18)^(Q$3-2026)/1000000</f>
        <v>0</v>
      </c>
      <c r="R535" s="8" t="n">
        <f aca="false">R525-R519*(CEG_Assets!$N$18*(1+CEG_FuelAdj)+CEG_Assets!$O$18*(1+CEG_OMAdj)+CEG_Assets!$P$18*(1+CEG_CapexAdj))*(1+CEG_Assets!$Q$18)^(R$3-2026)/1000000</f>
        <v>0</v>
      </c>
      <c r="S535" s="8" t="n">
        <f aca="false">S525-S519*(CEG_Assets!$N$18*(1+CEG_FuelAdj)+CEG_Assets!$O$18*(1+CEG_OMAdj)+CEG_Assets!$P$18*(1+CEG_CapexAdj))*(1+CEG_Assets!$Q$18)^(S$3-2026)/1000000</f>
        <v>0</v>
      </c>
      <c r="T535" s="8" t="n">
        <f aca="false">T525-T519*(CEG_Assets!$N$18*(1+CEG_FuelAdj)+CEG_Assets!$O$18*(1+CEG_OMAdj)+CEG_Assets!$P$18*(1+CEG_CapexAdj))*(1+CEG_Assets!$Q$18)^(T$3-2026)/1000000</f>
        <v>0</v>
      </c>
      <c r="U535" s="8" t="n">
        <f aca="false">U525-U519*(CEG_Assets!$N$18*(1+CEG_FuelAdj)+CEG_Assets!$O$18*(1+CEG_OMAdj)+CEG_Assets!$P$18*(1+CEG_CapexAdj))*(1+CEG_Assets!$Q$18)^(U$3-2026)/1000000</f>
        <v>0</v>
      </c>
      <c r="V535" s="8" t="n">
        <f aca="false">V525-V519*(CEG_Assets!$N$18*(1+CEG_FuelAdj)+CEG_Assets!$O$18*(1+CEG_OMAdj)+CEG_Assets!$P$18*(1+CEG_CapexAdj))*(1+CEG_Assets!$Q$18)^(V$3-2026)/1000000</f>
        <v>0</v>
      </c>
      <c r="W535" s="8" t="n">
        <f aca="false">W525-W519*(CEG_Assets!$N$18*(1+CEG_FuelAdj)+CEG_Assets!$O$18*(1+CEG_OMAdj)+CEG_Assets!$P$18*(1+CEG_CapexAdj))*(1+CEG_Assets!$Q$18)^(W$3-2026)/1000000</f>
        <v>0</v>
      </c>
      <c r="X535" s="8" t="n">
        <f aca="false">X525-X519*(CEG_Assets!$N$18*(1+CEG_FuelAdj)+CEG_Assets!$O$18*(1+CEG_OMAdj)+CEG_Assets!$P$18*(1+CEG_CapexAdj))*(1+CEG_Assets!$Q$18)^(X$3-2026)/1000000</f>
        <v>0</v>
      </c>
      <c r="Y535" s="8" t="n">
        <f aca="false">Y525-Y519*(CEG_Assets!$N$18*(1+CEG_FuelAdj)+CEG_Assets!$O$18*(1+CEG_OMAdj)+CEG_Assets!$P$18*(1+CEG_CapexAdj))*(1+CEG_Assets!$Q$18)^(Y$3-2026)/1000000</f>
        <v>0</v>
      </c>
      <c r="Z535" s="8" t="n">
        <f aca="false">Z525-Z519*(CEG_Assets!$N$18*(1+CEG_FuelAdj)+CEG_Assets!$O$18*(1+CEG_OMAdj)+CEG_Assets!$P$18*(1+CEG_CapexAdj))*(1+CEG_Assets!$Q$18)^(Z$3-2026)/1000000</f>
        <v>0</v>
      </c>
      <c r="AA535" s="8" t="n">
        <f aca="false">AA525-AA519*(CEG_Assets!$N$18*(1+CEG_FuelAdj)+CEG_Assets!$O$18*(1+CEG_OMAdj)+CEG_Assets!$P$18*(1+CEG_CapexAdj))*(1+CEG_Assets!$Q$18)^(AA$3-2026)/1000000</f>
        <v>0</v>
      </c>
      <c r="AB535" s="8" t="n">
        <f aca="false">AB525-AB519*(CEG_Assets!$N$18*(1+CEG_FuelAdj)+CEG_Assets!$O$18*(1+CEG_OMAdj)+CEG_Assets!$P$18*(1+CEG_CapexAdj))*(1+CEG_Assets!$Q$18)^(AB$3-2026)/1000000</f>
        <v>0</v>
      </c>
      <c r="AC535" s="8" t="n">
        <f aca="false">AC525-AC519*(CEG_Assets!$N$18*(1+CEG_FuelAdj)+CEG_Assets!$O$18*(1+CEG_OMAdj)+CEG_Assets!$P$18*(1+CEG_CapexAdj))*(1+CEG_Assets!$Q$18)^(AC$3-2026)/1000000</f>
        <v>0</v>
      </c>
      <c r="AD535" s="8" t="n">
        <f aca="false">AD525-AD519*(CEG_Assets!$N$18*(1+CEG_FuelAdj)+CEG_Assets!$O$18*(1+CEG_OMAdj)+CEG_Assets!$P$18*(1+CEG_CapexAdj))*(1+CEG_Assets!$Q$18)^(AD$3-2026)/1000000</f>
        <v>0</v>
      </c>
      <c r="AE535" s="8" t="n">
        <f aca="false">AE525-AE519*(CEG_Assets!$N$18*(1+CEG_FuelAdj)+CEG_Assets!$O$18*(1+CEG_OMAdj)+CEG_Assets!$P$18*(1+CEG_CapexAdj))*(1+CEG_Assets!$Q$18)^(AE$3-2026)/1000000</f>
        <v>0</v>
      </c>
      <c r="AF535" s="8" t="n">
        <f aca="false">AF525-AF519*(CEG_Assets!$N$18*(1+CEG_FuelAdj)+CEG_Assets!$O$18*(1+CEG_OMAdj)+CEG_Assets!$P$18*(1+CEG_CapexAdj))*(1+CEG_Assets!$Q$18)^(AF$3-2026)/1000000</f>
        <v>0</v>
      </c>
      <c r="AG535" s="8" t="n">
        <f aca="false">AG525-AG519*(CEG_Assets!$N$18*(1+CEG_FuelAdj)+CEG_Assets!$O$18*(1+CEG_OMAdj)+CEG_Assets!$P$18*(1+CEG_CapexAdj))*(1+CEG_Assets!$Q$18)^(AG$3-2026)/1000000</f>
        <v>0</v>
      </c>
      <c r="AH535" s="8" t="n">
        <f aca="false">AH525-AH519*(CEG_Assets!$N$18*(1+CEG_FuelAdj)+CEG_Assets!$O$18*(1+CEG_OMAdj)+CEG_Assets!$P$18*(1+CEG_CapexAdj))*(1+CEG_Assets!$Q$18)^(AH$3-2026)/1000000</f>
        <v>0</v>
      </c>
      <c r="AI535" s="8" t="n">
        <f aca="false">AI525-AI519*(CEG_Assets!$N$18*(1+CEG_FuelAdj)+CEG_Assets!$O$18*(1+CEG_OMAdj)+CEG_Assets!$P$18*(1+CEG_CapexAdj))*(1+CEG_Assets!$Q$18)^(AI$3-2026)/1000000</f>
        <v>0</v>
      </c>
      <c r="AJ535" s="8" t="n">
        <f aca="false">AJ525-AJ519*(CEG_Assets!$N$18*(1+CEG_FuelAdj)+CEG_Assets!$O$18*(1+CEG_OMAdj)+CEG_Assets!$P$18*(1+CEG_CapexAdj))*(1+CEG_Assets!$Q$18)^(AJ$3-2026)/1000000</f>
        <v>0</v>
      </c>
      <c r="AK535" s="8" t="n">
        <f aca="false">AK525-AK519*(CEG_Assets!$N$18*(1+CEG_FuelAdj)+CEG_Assets!$O$18*(1+CEG_OMAdj)+CEG_Assets!$P$18*(1+CEG_CapexAdj))*(1+CEG_Assets!$Q$18)^(AK$3-2026)/1000000</f>
        <v>0</v>
      </c>
      <c r="AL535" s="8" t="n">
        <f aca="false">AL525-AL519*(CEG_Assets!$N$18*(1+CEG_FuelAdj)+CEG_Assets!$O$18*(1+CEG_OMAdj)+CEG_Assets!$P$18*(1+CEG_CapexAdj))*(1+CEG_Assets!$Q$18)^(AL$3-2026)/1000000</f>
        <v>0</v>
      </c>
      <c r="AM535" s="8" t="n">
        <f aca="false">AM525-AM519*(CEG_Assets!$N$18*(1+CEG_FuelAdj)+CEG_Assets!$O$18*(1+CEG_OMAdj)+CEG_Assets!$P$18*(1+CEG_CapexAdj))*(1+CEG_Assets!$Q$18)^(AM$3-2026)/1000000</f>
        <v>0</v>
      </c>
      <c r="AN535" s="8" t="n">
        <f aca="false">AN525-AN519*(CEG_Assets!$N$18*(1+CEG_FuelAdj)+CEG_Assets!$O$18*(1+CEG_OMAdj)+CEG_Assets!$P$18*(1+CEG_CapexAdj))*(1+CEG_Assets!$Q$18)^(AN$3-2026)/1000000</f>
        <v>0</v>
      </c>
      <c r="AO535" s="8" t="n">
        <f aca="false">AO525-AO519*(CEG_Assets!$N$18*(1+CEG_FuelAdj)+CEG_Assets!$O$18*(1+CEG_OMAdj)+CEG_Assets!$P$18*(1+CEG_CapexAdj))*(1+CEG_Assets!$Q$18)^(AO$3-2026)/1000000</f>
        <v>0</v>
      </c>
      <c r="AP535" s="8" t="n">
        <f aca="false">AP525-AP519*(CEG_Assets!$N$18*(1+CEG_FuelAdj)+CEG_Assets!$O$18*(1+CEG_OMAdj)+CEG_Assets!$P$18*(1+CEG_CapexAdj))*(1+CEG_Assets!$Q$18)^(AP$3-2026)/1000000</f>
        <v>0</v>
      </c>
      <c r="AQ535" s="8" t="n">
        <f aca="false">AQ525-AQ519*(CEG_Assets!$N$18*(1+CEG_FuelAdj)+CEG_Assets!$O$18*(1+CEG_OMAdj)+CEG_Assets!$P$18*(1+CEG_CapexAdj))*(1+CEG_Assets!$Q$18)^(AQ$3-2026)/1000000</f>
        <v>0</v>
      </c>
      <c r="AR535" s="8" t="n">
        <f aca="false">AR525-AR519*(CEG_Assets!$N$18*(1+CEG_FuelAdj)+CEG_Assets!$O$18*(1+CEG_OMAdj)+CEG_Assets!$P$18*(1+CEG_CapexAdj))*(1+CEG_Assets!$Q$18)^(AR$3-2026)/1000000</f>
        <v>0</v>
      </c>
      <c r="AS535" s="8" t="n">
        <f aca="false">AS525-AS519*(CEG_Assets!$N$18*(1+CEG_FuelAdj)+CEG_Assets!$O$18*(1+CEG_OMAdj)+CEG_Assets!$P$18*(1+CEG_CapexAdj))*(1+CEG_Assets!$Q$18)^(AS$3-2026)/1000000</f>
        <v>0</v>
      </c>
    </row>
    <row r="536" customFormat="false" ht="15" hidden="false" customHeight="false" outlineLevel="0" collapsed="false">
      <c r="A536" s="6" t="s">
        <v>465</v>
      </c>
      <c r="B536" s="6" t="s">
        <v>466</v>
      </c>
      <c r="G536" s="8" t="n">
        <f aca="false">G533-G535</f>
        <v>384.90698688</v>
      </c>
      <c r="H536" s="8" t="n">
        <f aca="false">H533-H535</f>
        <v>386.9011156896</v>
      </c>
      <c r="I536" s="8" t="n">
        <f aca="false">I533-I535</f>
        <v>288.620281970569</v>
      </c>
      <c r="J536" s="8" t="n">
        <f aca="false">J533-J535</f>
        <v>254.137128523557</v>
      </c>
      <c r="K536" s="8" t="n">
        <f aca="false">K533-K535</f>
        <v>259.219871094028</v>
      </c>
      <c r="L536" s="8" t="n">
        <f aca="false">L533-L535</f>
        <v>264.404268515908</v>
      </c>
      <c r="M536" s="8" t="n">
        <f aca="false">M533-M535</f>
        <v>269.692353886226</v>
      </c>
      <c r="N536" s="8" t="n">
        <f aca="false">N533-N535</f>
        <v>275.086200963951</v>
      </c>
      <c r="O536" s="8" t="n">
        <f aca="false">O533-O535</f>
        <v>280.58792498323</v>
      </c>
      <c r="P536" s="8" t="n">
        <f aca="false">P533-P535</f>
        <v>286.199683482894</v>
      </c>
      <c r="Q536" s="8" t="n">
        <f aca="false">Q533-Q535</f>
        <v>291.923677152553</v>
      </c>
      <c r="R536" s="8" t="n">
        <f aca="false">R533-R535</f>
        <v>297.762150695604</v>
      </c>
      <c r="S536" s="8" t="n">
        <f aca="false">S533-S535</f>
        <v>303.717393709516</v>
      </c>
      <c r="T536" s="8" t="n">
        <f aca="false">T533-T535</f>
        <v>309.791741583706</v>
      </c>
      <c r="U536" s="8" t="n">
        <f aca="false">U533-U535</f>
        <v>315.98757641538</v>
      </c>
      <c r="V536" s="8" t="n">
        <f aca="false">V533-V535</f>
        <v>322.307327943688</v>
      </c>
      <c r="W536" s="8" t="n">
        <f aca="false">W533-W535</f>
        <v>328.753474502562</v>
      </c>
      <c r="X536" s="8" t="n">
        <f aca="false">X533-X535</f>
        <v>335.328543992613</v>
      </c>
      <c r="Y536" s="8" t="n">
        <f aca="false">Y533-Y535</f>
        <v>342.035114872465</v>
      </c>
      <c r="Z536" s="8" t="n">
        <f aca="false">Z533-Z535</f>
        <v>0</v>
      </c>
      <c r="AA536" s="8" t="n">
        <f aca="false">AA533-AA535</f>
        <v>0</v>
      </c>
      <c r="AB536" s="8" t="n">
        <f aca="false">AB533-AB535</f>
        <v>0</v>
      </c>
      <c r="AC536" s="8" t="n">
        <f aca="false">AC533-AC535</f>
        <v>0</v>
      </c>
      <c r="AD536" s="8" t="n">
        <f aca="false">AD533-AD535</f>
        <v>0</v>
      </c>
      <c r="AE536" s="8" t="n">
        <f aca="false">AE533-AE535</f>
        <v>0</v>
      </c>
      <c r="AF536" s="8" t="n">
        <f aca="false">AF533-AF535</f>
        <v>0</v>
      </c>
      <c r="AG536" s="8" t="n">
        <f aca="false">AG533-AG535</f>
        <v>0</v>
      </c>
      <c r="AH536" s="8" t="n">
        <f aca="false">AH533-AH535</f>
        <v>0</v>
      </c>
      <c r="AI536" s="8" t="n">
        <f aca="false">AI533-AI535</f>
        <v>0</v>
      </c>
      <c r="AJ536" s="8" t="n">
        <f aca="false">AJ533-AJ535</f>
        <v>0</v>
      </c>
      <c r="AK536" s="8" t="n">
        <f aca="false">AK533-AK535</f>
        <v>0</v>
      </c>
      <c r="AL536" s="8" t="n">
        <f aca="false">AL533-AL535</f>
        <v>0</v>
      </c>
      <c r="AM536" s="8" t="n">
        <f aca="false">AM533-AM535</f>
        <v>0</v>
      </c>
      <c r="AN536" s="8" t="n">
        <f aca="false">AN533-AN535</f>
        <v>0</v>
      </c>
      <c r="AO536" s="8" t="n">
        <f aca="false">AO533-AO535</f>
        <v>0</v>
      </c>
      <c r="AP536" s="8" t="n">
        <f aca="false">AP533-AP535</f>
        <v>0</v>
      </c>
      <c r="AQ536" s="8" t="n">
        <f aca="false">AQ533-AQ535</f>
        <v>0</v>
      </c>
      <c r="AR536" s="8" t="n">
        <f aca="false">AR533-AR535</f>
        <v>0</v>
      </c>
      <c r="AS536" s="8" t="n">
        <f aca="false">AS533-AS535</f>
        <v>0</v>
      </c>
    </row>
    <row r="537" customFormat="false" ht="15" hidden="false" customHeight="false" outlineLevel="0" collapsed="false">
      <c r="A537" s="6" t="s">
        <v>467</v>
      </c>
      <c r="B537" s="6" t="s">
        <v>468</v>
      </c>
      <c r="G537" s="8" t="n">
        <f aca="false">G536*(1-TaxRate)+G534</f>
        <v>307.925589504</v>
      </c>
      <c r="H537" s="8" t="n">
        <f aca="false">H536*(1-TaxRate)+H534</f>
        <v>309.52089255168</v>
      </c>
      <c r="I537" s="8" t="n">
        <f aca="false">I536*(1-TaxRate)+I534</f>
        <v>230.896225576455</v>
      </c>
      <c r="J537" s="8" t="n">
        <f aca="false">J536*(1-TaxRate)+J534</f>
        <v>203.309702818845</v>
      </c>
      <c r="K537" s="8" t="n">
        <f aca="false">K536*(1-TaxRate)+K534</f>
        <v>207.375896875222</v>
      </c>
      <c r="L537" s="8" t="n">
        <f aca="false">L536*(1-TaxRate)+L534</f>
        <v>211.523414812727</v>
      </c>
      <c r="M537" s="8" t="n">
        <f aca="false">M536*(1-TaxRate)+M534</f>
        <v>215.753883108981</v>
      </c>
      <c r="N537" s="8" t="n">
        <f aca="false">N536*(1-TaxRate)+N534</f>
        <v>220.068960771161</v>
      </c>
      <c r="O537" s="8" t="n">
        <f aca="false">O536*(1-TaxRate)+O534</f>
        <v>224.470339986584</v>
      </c>
      <c r="P537" s="8" t="n">
        <f aca="false">P536*(1-TaxRate)+P534</f>
        <v>228.959746786316</v>
      </c>
      <c r="Q537" s="8" t="n">
        <f aca="false">Q536*(1-TaxRate)+Q534</f>
        <v>233.538941722042</v>
      </c>
      <c r="R537" s="8" t="n">
        <f aca="false">R536*(1-TaxRate)+R534</f>
        <v>238.209720556483</v>
      </c>
      <c r="S537" s="8" t="n">
        <f aca="false">S536*(1-TaxRate)+S534</f>
        <v>242.973914967612</v>
      </c>
      <c r="T537" s="8" t="n">
        <f aca="false">T536*(1-TaxRate)+T534</f>
        <v>247.833393266965</v>
      </c>
      <c r="U537" s="8" t="n">
        <f aca="false">U536*(1-TaxRate)+U534</f>
        <v>252.790061132304</v>
      </c>
      <c r="V537" s="8" t="n">
        <f aca="false">V536*(1-TaxRate)+V534</f>
        <v>257.84586235495</v>
      </c>
      <c r="W537" s="8" t="n">
        <f aca="false">W536*(1-TaxRate)+W534</f>
        <v>263.002779602049</v>
      </c>
      <c r="X537" s="8" t="n">
        <f aca="false">X536*(1-TaxRate)+X534</f>
        <v>268.26283519409</v>
      </c>
      <c r="Y537" s="8" t="n">
        <f aca="false">Y536*(1-TaxRate)+Y534</f>
        <v>273.628091897972</v>
      </c>
      <c r="Z537" s="8" t="n">
        <f aca="false">Z536*(1-TaxRate)+Z534</f>
        <v>0</v>
      </c>
      <c r="AA537" s="8" t="n">
        <f aca="false">AA536*(1-TaxRate)+AA534</f>
        <v>0</v>
      </c>
      <c r="AB537" s="8" t="n">
        <f aca="false">AB536*(1-TaxRate)+AB534</f>
        <v>0</v>
      </c>
      <c r="AC537" s="8" t="n">
        <f aca="false">AC536*(1-TaxRate)+AC534</f>
        <v>0</v>
      </c>
      <c r="AD537" s="8" t="n">
        <f aca="false">AD536*(1-TaxRate)+AD534</f>
        <v>0</v>
      </c>
      <c r="AE537" s="8" t="n">
        <f aca="false">AE536*(1-TaxRate)+AE534</f>
        <v>0</v>
      </c>
      <c r="AF537" s="8" t="n">
        <f aca="false">AF536*(1-TaxRate)+AF534</f>
        <v>0</v>
      </c>
      <c r="AG537" s="8" t="n">
        <f aca="false">AG536*(1-TaxRate)+AG534</f>
        <v>0</v>
      </c>
      <c r="AH537" s="8" t="n">
        <f aca="false">AH536*(1-TaxRate)+AH534</f>
        <v>0</v>
      </c>
      <c r="AI537" s="8" t="n">
        <f aca="false">AI536*(1-TaxRate)+AI534</f>
        <v>0</v>
      </c>
      <c r="AJ537" s="8" t="n">
        <f aca="false">AJ536*(1-TaxRate)+AJ534</f>
        <v>0</v>
      </c>
      <c r="AK537" s="8" t="n">
        <f aca="false">AK536*(1-TaxRate)+AK534</f>
        <v>0</v>
      </c>
      <c r="AL537" s="8" t="n">
        <f aca="false">AL536*(1-TaxRate)+AL534</f>
        <v>0</v>
      </c>
      <c r="AM537" s="8" t="n">
        <f aca="false">AM536*(1-TaxRate)+AM534</f>
        <v>0</v>
      </c>
      <c r="AN537" s="8" t="n">
        <f aca="false">AN536*(1-TaxRate)+AN534</f>
        <v>0</v>
      </c>
      <c r="AO537" s="8" t="n">
        <f aca="false">AO536*(1-TaxRate)+AO534</f>
        <v>0</v>
      </c>
      <c r="AP537" s="8" t="n">
        <f aca="false">AP536*(1-TaxRate)+AP534</f>
        <v>0</v>
      </c>
      <c r="AQ537" s="8" t="n">
        <f aca="false">AQ536*(1-TaxRate)+AQ534</f>
        <v>0</v>
      </c>
      <c r="AR537" s="8" t="n">
        <f aca="false">AR536*(1-TaxRate)+AR534</f>
        <v>0</v>
      </c>
      <c r="AS537" s="8" t="n">
        <f aca="false">AS536*(1-TaxRate)+AS534</f>
        <v>0</v>
      </c>
    </row>
    <row r="538" customFormat="false" ht="15" hidden="false" customHeight="false" outlineLevel="0" collapsed="false">
      <c r="A538" s="6" t="s">
        <v>469</v>
      </c>
      <c r="B538" s="6" t="s">
        <v>470</v>
      </c>
      <c r="G538" s="8" t="n">
        <f aca="false">G535*(1-TaxRate)</f>
        <v>0</v>
      </c>
      <c r="H538" s="8" t="n">
        <f aca="false">H535*(1-TaxRate)</f>
        <v>0</v>
      </c>
      <c r="I538" s="8" t="n">
        <f aca="false">I535*(1-TaxRate)</f>
        <v>0</v>
      </c>
      <c r="J538" s="8" t="n">
        <f aca="false">J535*(1-TaxRate)</f>
        <v>0</v>
      </c>
      <c r="K538" s="8" t="n">
        <f aca="false">K535*(1-TaxRate)</f>
        <v>0</v>
      </c>
      <c r="L538" s="8" t="n">
        <f aca="false">L535*(1-TaxRate)</f>
        <v>0</v>
      </c>
      <c r="M538" s="8" t="n">
        <f aca="false">M535*(1-TaxRate)</f>
        <v>0</v>
      </c>
      <c r="N538" s="8" t="n">
        <f aca="false">N535*(1-TaxRate)</f>
        <v>0</v>
      </c>
      <c r="O538" s="8" t="n">
        <f aca="false">O535*(1-TaxRate)</f>
        <v>0</v>
      </c>
      <c r="P538" s="8" t="n">
        <f aca="false">P535*(1-TaxRate)</f>
        <v>0</v>
      </c>
      <c r="Q538" s="8" t="n">
        <f aca="false">Q535*(1-TaxRate)</f>
        <v>0</v>
      </c>
      <c r="R538" s="8" t="n">
        <f aca="false">R535*(1-TaxRate)</f>
        <v>0</v>
      </c>
      <c r="S538" s="8" t="n">
        <f aca="false">S535*(1-TaxRate)</f>
        <v>0</v>
      </c>
      <c r="T538" s="8" t="n">
        <f aca="false">T535*(1-TaxRate)</f>
        <v>0</v>
      </c>
      <c r="U538" s="8" t="n">
        <f aca="false">U535*(1-TaxRate)</f>
        <v>0</v>
      </c>
      <c r="V538" s="8" t="n">
        <f aca="false">V535*(1-TaxRate)</f>
        <v>0</v>
      </c>
      <c r="W538" s="8" t="n">
        <f aca="false">W535*(1-TaxRate)</f>
        <v>0</v>
      </c>
      <c r="X538" s="8" t="n">
        <f aca="false">X535*(1-TaxRate)</f>
        <v>0</v>
      </c>
      <c r="Y538" s="8" t="n">
        <f aca="false">Y535*(1-TaxRate)</f>
        <v>0</v>
      </c>
      <c r="Z538" s="8" t="n">
        <f aca="false">Z535*(1-TaxRate)</f>
        <v>0</v>
      </c>
      <c r="AA538" s="8" t="n">
        <f aca="false">AA535*(1-TaxRate)</f>
        <v>0</v>
      </c>
      <c r="AB538" s="8" t="n">
        <f aca="false">AB535*(1-TaxRate)</f>
        <v>0</v>
      </c>
      <c r="AC538" s="8" t="n">
        <f aca="false">AC535*(1-TaxRate)</f>
        <v>0</v>
      </c>
      <c r="AD538" s="8" t="n">
        <f aca="false">AD535*(1-TaxRate)</f>
        <v>0</v>
      </c>
      <c r="AE538" s="8" t="n">
        <f aca="false">AE535*(1-TaxRate)</f>
        <v>0</v>
      </c>
      <c r="AF538" s="8" t="n">
        <f aca="false">AF535*(1-TaxRate)</f>
        <v>0</v>
      </c>
      <c r="AG538" s="8" t="n">
        <f aca="false">AG535*(1-TaxRate)</f>
        <v>0</v>
      </c>
      <c r="AH538" s="8" t="n">
        <f aca="false">AH535*(1-TaxRate)</f>
        <v>0</v>
      </c>
      <c r="AI538" s="8" t="n">
        <f aca="false">AI535*(1-TaxRate)</f>
        <v>0</v>
      </c>
      <c r="AJ538" s="8" t="n">
        <f aca="false">AJ535*(1-TaxRate)</f>
        <v>0</v>
      </c>
      <c r="AK538" s="8" t="n">
        <f aca="false">AK535*(1-TaxRate)</f>
        <v>0</v>
      </c>
      <c r="AL538" s="8" t="n">
        <f aca="false">AL535*(1-TaxRate)</f>
        <v>0</v>
      </c>
      <c r="AM538" s="8" t="n">
        <f aca="false">AM535*(1-TaxRate)</f>
        <v>0</v>
      </c>
      <c r="AN538" s="8" t="n">
        <f aca="false">AN535*(1-TaxRate)</f>
        <v>0</v>
      </c>
      <c r="AO538" s="8" t="n">
        <f aca="false">AO535*(1-TaxRate)</f>
        <v>0</v>
      </c>
      <c r="AP538" s="8" t="n">
        <f aca="false">AP535*(1-TaxRate)</f>
        <v>0</v>
      </c>
      <c r="AQ538" s="8" t="n">
        <f aca="false">AQ535*(1-TaxRate)</f>
        <v>0</v>
      </c>
      <c r="AR538" s="8" t="n">
        <f aca="false">AR535*(1-TaxRate)</f>
        <v>0</v>
      </c>
      <c r="AS538" s="8" t="n">
        <f aca="false">AS535*(1-TaxRate)</f>
        <v>0</v>
      </c>
    </row>
    <row r="539" customFormat="false" ht="15" hidden="false" customHeight="false" outlineLevel="0" collapsed="false">
      <c r="A539" s="6" t="s">
        <v>471</v>
      </c>
      <c r="B539" s="6" t="s">
        <v>472</v>
      </c>
      <c r="G539" s="42" t="n">
        <f aca="false">(1+CEG_Assets!$AE$18)^-(G$3+0.5-ValDate)</f>
        <v>0.934199026996437</v>
      </c>
      <c r="H539" s="42" t="n">
        <f aca="false">(1+CEG_Assets!$AE$18)^-(H$3+0.5-ValDate)</f>
        <v>0.853149796343778</v>
      </c>
      <c r="I539" s="42" t="n">
        <f aca="false">(1+CEG_Assets!$AE$18)^-(I$3+0.5-ValDate)</f>
        <v>0.779132234103907</v>
      </c>
      <c r="J539" s="42" t="n">
        <f aca="false">(1+CEG_Assets!$AE$18)^-(J$3+0.5-ValDate)</f>
        <v>0.711536286852883</v>
      </c>
      <c r="K539" s="42" t="n">
        <f aca="false">(1+CEG_Assets!$AE$18)^-(K$3+0.5-ValDate)</f>
        <v>0.649804828176149</v>
      </c>
      <c r="L539" s="42" t="n">
        <f aca="false">(1+CEG_Assets!$AE$18)^-(L$3+0.5-ValDate)</f>
        <v>0.593429066827533</v>
      </c>
      <c r="M539" s="42" t="n">
        <f aca="false">(1+CEG_Assets!$AE$18)^-(M$3+0.5-ValDate)</f>
        <v>0.541944353267154</v>
      </c>
      <c r="N539" s="42" t="n">
        <f aca="false">(1+CEG_Assets!$AE$18)^-(N$3+0.5-ValDate)</f>
        <v>0.494926350015666</v>
      </c>
      <c r="O539" s="42" t="n">
        <f aca="false">(1+CEG_Assets!$AE$18)^-(O$3+0.5-ValDate)</f>
        <v>0.451987534260882</v>
      </c>
      <c r="P539" s="42" t="n">
        <f aca="false">(1+CEG_Assets!$AE$18)^-(P$3+0.5-ValDate)</f>
        <v>0.412774003891216</v>
      </c>
      <c r="Q539" s="42" t="n">
        <f aca="false">(1+CEG_Assets!$AE$18)^-(Q$3+0.5-ValDate)</f>
        <v>0.376962560631248</v>
      </c>
      <c r="R539" s="42" t="n">
        <f aca="false">(1+CEG_Assets!$AE$18)^-(R$3+0.5-ValDate)</f>
        <v>0.344258046238582</v>
      </c>
      <c r="S539" s="42" t="n">
        <f aca="false">(1+CEG_Assets!$AE$18)^-(S$3+0.5-ValDate)</f>
        <v>0.314390909806925</v>
      </c>
      <c r="T539" s="42" t="n">
        <f aca="false">(1+CEG_Assets!$AE$18)^-(T$3+0.5-ValDate)</f>
        <v>0.287114986125045</v>
      </c>
      <c r="U539" s="42" t="n">
        <f aca="false">(1+CEG_Assets!$AE$18)^-(U$3+0.5-ValDate)</f>
        <v>0.262205466780863</v>
      </c>
      <c r="V539" s="42" t="n">
        <f aca="false">(1+CEG_Assets!$AE$18)^-(V$3+0.5-ValDate)</f>
        <v>0.23945704728846</v>
      </c>
      <c r="W539" s="42" t="n">
        <f aca="false">(1+CEG_Assets!$AE$18)^-(W$3+0.5-ValDate)</f>
        <v>0.21868223496663</v>
      </c>
      <c r="X539" s="42" t="n">
        <f aca="false">(1+CEG_Assets!$AE$18)^-(X$3+0.5-ValDate)</f>
        <v>0.199709803622493</v>
      </c>
      <c r="Y539" s="42" t="n">
        <f aca="false">(1+CEG_Assets!$AE$18)^-(Y$3+0.5-ValDate)</f>
        <v>0.182383382303647</v>
      </c>
      <c r="Z539" s="42" t="n">
        <f aca="false">(1+CEG_Assets!$AE$18)^-(Z$3+0.5-ValDate)</f>
        <v>0.166560166487348</v>
      </c>
      <c r="AA539" s="42" t="n">
        <f aca="false">(1+CEG_Assets!$AE$18)^-(AA$3+0.5-ValDate)</f>
        <v>0.152109741084336</v>
      </c>
      <c r="AB539" s="42" t="n">
        <f aca="false">(1+CEG_Assets!$AE$18)^-(AB$3+0.5-ValDate)</f>
        <v>0.138913005556472</v>
      </c>
      <c r="AC539" s="42" t="n">
        <f aca="false">(1+CEG_Assets!$AE$18)^-(AC$3+0.5-ValDate)</f>
        <v>0.126861192289015</v>
      </c>
      <c r="AD539" s="42" t="n">
        <f aca="false">(1+CEG_Assets!$AE$18)^-(AD$3+0.5-ValDate)</f>
        <v>0.115854970126955</v>
      </c>
      <c r="AE539" s="42" t="n">
        <f aca="false">(1+CEG_Assets!$AE$18)^-(AE$3+0.5-ValDate)</f>
        <v>0.105803625686716</v>
      </c>
      <c r="AF539" s="42" t="n">
        <f aca="false">(1+CEG_Assets!$AE$18)^-(AF$3+0.5-ValDate)</f>
        <v>0.0966243156956315</v>
      </c>
      <c r="AG539" s="42" t="n">
        <f aca="false">(1+CEG_Assets!$AE$18)^-(AG$3+0.5-ValDate)</f>
        <v>0.0882413841969238</v>
      </c>
      <c r="AH539" s="42" t="n">
        <f aca="false">(1+CEG_Assets!$AE$18)^-(AH$3+0.5-ValDate)</f>
        <v>0.0805857389926244</v>
      </c>
      <c r="AI539" s="42" t="n">
        <f aca="false">(1+CEG_Assets!$AE$18)^-(AI$3+0.5-ValDate)</f>
        <v>0.0735942821850451</v>
      </c>
      <c r="AJ539" s="42" t="n">
        <f aca="false">(1+CEG_Assets!$AE$18)^-(AJ$3+0.5-ValDate)</f>
        <v>0.0672093901233289</v>
      </c>
      <c r="AK539" s="42" t="n">
        <f aca="false">(1+CEG_Assets!$AE$18)^-(AK$3+0.5-ValDate)</f>
        <v>0.0613784384687935</v>
      </c>
      <c r="AL539" s="42" t="n">
        <f aca="false">(1+CEG_Assets!$AE$18)^-(AL$3+0.5-ValDate)</f>
        <v>0.0560533684646516</v>
      </c>
      <c r="AM539" s="42" t="n">
        <f aca="false">(1+CEG_Assets!$AE$18)^-(AM$3+0.5-ValDate)</f>
        <v>0.0511902908352983</v>
      </c>
      <c r="AN539" s="42" t="n">
        <f aca="false">(1+CEG_Assets!$AE$18)^-(AN$3+0.5-ValDate)</f>
        <v>0.0467491240505007</v>
      </c>
      <c r="AO539" s="42" t="n">
        <f aca="false">(1+CEG_Assets!$AE$18)^-(AO$3+0.5-ValDate)</f>
        <v>0.04269326397306</v>
      </c>
      <c r="AP539" s="42" t="n">
        <f aca="false">(1+CEG_Assets!$AE$18)^-(AP$3+0.5-ValDate)</f>
        <v>0.0389892821671781</v>
      </c>
      <c r="AQ539" s="42" t="n">
        <f aca="false">(1+CEG_Assets!$AE$18)^-(AQ$3+0.5-ValDate)</f>
        <v>0.0356066503809846</v>
      </c>
      <c r="AR539" s="42" t="n">
        <f aca="false">(1+CEG_Assets!$AE$18)^-(AR$3+0.5-ValDate)</f>
        <v>0.032517488932406</v>
      </c>
      <c r="AS539" s="42" t="n">
        <f aca="false">(1+CEG_Assets!$AE$18)^-(AS$3+0.5-ValDate)</f>
        <v>0.0296963369245717</v>
      </c>
    </row>
    <row r="540" customFormat="false" ht="15" hidden="false" customHeight="false" outlineLevel="0" collapsed="false">
      <c r="A540" s="6" t="s">
        <v>473</v>
      </c>
      <c r="B540" s="6" t="s">
        <v>474</v>
      </c>
      <c r="G540" s="42" t="n">
        <f aca="false">(1+CEG_Assets!$AF$18)^-(G$3+0.5-ValDate)</f>
        <v>0.934199026996437</v>
      </c>
      <c r="H540" s="42" t="n">
        <f aca="false">(1+CEG_Assets!$AF$18)^-(H$3+0.5-ValDate)</f>
        <v>0.853149796343778</v>
      </c>
      <c r="I540" s="42" t="n">
        <f aca="false">(1+CEG_Assets!$AF$18)^-(I$3+0.5-ValDate)</f>
        <v>0.779132234103907</v>
      </c>
      <c r="J540" s="42" t="n">
        <f aca="false">(1+CEG_Assets!$AF$18)^-(J$3+0.5-ValDate)</f>
        <v>0.711536286852883</v>
      </c>
      <c r="K540" s="42" t="n">
        <f aca="false">(1+CEG_Assets!$AF$18)^-(K$3+0.5-ValDate)</f>
        <v>0.649804828176149</v>
      </c>
      <c r="L540" s="42" t="n">
        <f aca="false">(1+CEG_Assets!$AF$18)^-(L$3+0.5-ValDate)</f>
        <v>0.593429066827533</v>
      </c>
      <c r="M540" s="42" t="n">
        <f aca="false">(1+CEG_Assets!$AF$18)^-(M$3+0.5-ValDate)</f>
        <v>0.541944353267154</v>
      </c>
      <c r="N540" s="42" t="n">
        <f aca="false">(1+CEG_Assets!$AF$18)^-(N$3+0.5-ValDate)</f>
        <v>0.494926350015666</v>
      </c>
      <c r="O540" s="42" t="n">
        <f aca="false">(1+CEG_Assets!$AF$18)^-(O$3+0.5-ValDate)</f>
        <v>0.451987534260882</v>
      </c>
      <c r="P540" s="42" t="n">
        <f aca="false">(1+CEG_Assets!$AF$18)^-(P$3+0.5-ValDate)</f>
        <v>0.412774003891216</v>
      </c>
      <c r="Q540" s="42" t="n">
        <f aca="false">(1+CEG_Assets!$AF$18)^-(Q$3+0.5-ValDate)</f>
        <v>0.376962560631248</v>
      </c>
      <c r="R540" s="42" t="n">
        <f aca="false">(1+CEG_Assets!$AF$18)^-(R$3+0.5-ValDate)</f>
        <v>0.344258046238582</v>
      </c>
      <c r="S540" s="42" t="n">
        <f aca="false">(1+CEG_Assets!$AF$18)^-(S$3+0.5-ValDate)</f>
        <v>0.314390909806925</v>
      </c>
      <c r="T540" s="42" t="n">
        <f aca="false">(1+CEG_Assets!$AF$18)^-(T$3+0.5-ValDate)</f>
        <v>0.287114986125045</v>
      </c>
      <c r="U540" s="42" t="n">
        <f aca="false">(1+CEG_Assets!$AF$18)^-(U$3+0.5-ValDate)</f>
        <v>0.262205466780863</v>
      </c>
      <c r="V540" s="42" t="n">
        <f aca="false">(1+CEG_Assets!$AF$18)^-(V$3+0.5-ValDate)</f>
        <v>0.23945704728846</v>
      </c>
      <c r="W540" s="42" t="n">
        <f aca="false">(1+CEG_Assets!$AF$18)^-(W$3+0.5-ValDate)</f>
        <v>0.21868223496663</v>
      </c>
      <c r="X540" s="42" t="n">
        <f aca="false">(1+CEG_Assets!$AF$18)^-(X$3+0.5-ValDate)</f>
        <v>0.199709803622493</v>
      </c>
      <c r="Y540" s="42" t="n">
        <f aca="false">(1+CEG_Assets!$AF$18)^-(Y$3+0.5-ValDate)</f>
        <v>0.182383382303647</v>
      </c>
      <c r="Z540" s="42" t="n">
        <f aca="false">(1+CEG_Assets!$AF$18)^-(Z$3+0.5-ValDate)</f>
        <v>0.166560166487348</v>
      </c>
      <c r="AA540" s="42" t="n">
        <f aca="false">(1+CEG_Assets!$AF$18)^-(AA$3+0.5-ValDate)</f>
        <v>0.152109741084336</v>
      </c>
      <c r="AB540" s="42" t="n">
        <f aca="false">(1+CEG_Assets!$AF$18)^-(AB$3+0.5-ValDate)</f>
        <v>0.138913005556472</v>
      </c>
      <c r="AC540" s="42" t="n">
        <f aca="false">(1+CEG_Assets!$AF$18)^-(AC$3+0.5-ValDate)</f>
        <v>0.126861192289015</v>
      </c>
      <c r="AD540" s="42" t="n">
        <f aca="false">(1+CEG_Assets!$AF$18)^-(AD$3+0.5-ValDate)</f>
        <v>0.115854970126955</v>
      </c>
      <c r="AE540" s="42" t="n">
        <f aca="false">(1+CEG_Assets!$AF$18)^-(AE$3+0.5-ValDate)</f>
        <v>0.105803625686716</v>
      </c>
      <c r="AF540" s="42" t="n">
        <f aca="false">(1+CEG_Assets!$AF$18)^-(AF$3+0.5-ValDate)</f>
        <v>0.0966243156956315</v>
      </c>
      <c r="AG540" s="42" t="n">
        <f aca="false">(1+CEG_Assets!$AF$18)^-(AG$3+0.5-ValDate)</f>
        <v>0.0882413841969238</v>
      </c>
      <c r="AH540" s="42" t="n">
        <f aca="false">(1+CEG_Assets!$AF$18)^-(AH$3+0.5-ValDate)</f>
        <v>0.0805857389926244</v>
      </c>
      <c r="AI540" s="42" t="n">
        <f aca="false">(1+CEG_Assets!$AF$18)^-(AI$3+0.5-ValDate)</f>
        <v>0.0735942821850451</v>
      </c>
      <c r="AJ540" s="42" t="n">
        <f aca="false">(1+CEG_Assets!$AF$18)^-(AJ$3+0.5-ValDate)</f>
        <v>0.0672093901233289</v>
      </c>
      <c r="AK540" s="42" t="n">
        <f aca="false">(1+CEG_Assets!$AF$18)^-(AK$3+0.5-ValDate)</f>
        <v>0.0613784384687935</v>
      </c>
      <c r="AL540" s="42" t="n">
        <f aca="false">(1+CEG_Assets!$AF$18)^-(AL$3+0.5-ValDate)</f>
        <v>0.0560533684646516</v>
      </c>
      <c r="AM540" s="42" t="n">
        <f aca="false">(1+CEG_Assets!$AF$18)^-(AM$3+0.5-ValDate)</f>
        <v>0.0511902908352983</v>
      </c>
      <c r="AN540" s="42" t="n">
        <f aca="false">(1+CEG_Assets!$AF$18)^-(AN$3+0.5-ValDate)</f>
        <v>0.0467491240505007</v>
      </c>
      <c r="AO540" s="42" t="n">
        <f aca="false">(1+CEG_Assets!$AF$18)^-(AO$3+0.5-ValDate)</f>
        <v>0.04269326397306</v>
      </c>
      <c r="AP540" s="42" t="n">
        <f aca="false">(1+CEG_Assets!$AF$18)^-(AP$3+0.5-ValDate)</f>
        <v>0.0389892821671781</v>
      </c>
      <c r="AQ540" s="42" t="n">
        <f aca="false">(1+CEG_Assets!$AF$18)^-(AQ$3+0.5-ValDate)</f>
        <v>0.0356066503809846</v>
      </c>
      <c r="AR540" s="42" t="n">
        <f aca="false">(1+CEG_Assets!$AF$18)^-(AR$3+0.5-ValDate)</f>
        <v>0.032517488932406</v>
      </c>
      <c r="AS540" s="42" t="n">
        <f aca="false">(1+CEG_Assets!$AF$18)^-(AS$3+0.5-ValDate)</f>
        <v>0.0296963369245717</v>
      </c>
    </row>
    <row r="541" customFormat="false" ht="15" hidden="false" customHeight="false" outlineLevel="0" collapsed="false">
      <c r="A541" s="6" t="s">
        <v>475</v>
      </c>
      <c r="B541" s="6" t="s">
        <v>476</v>
      </c>
      <c r="C541" s="43" t="n">
        <f aca="false">SUM(G541:AS541)</f>
        <v>2164.98778783583</v>
      </c>
      <c r="D541" s="8" t="n">
        <f aca="false">SUMIF($G$3:$AS$3,"&lt;="&amp;Horizon,G541:AS541)</f>
        <v>876.292395650979</v>
      </c>
      <c r="E541" s="8" t="n">
        <f aca="false">(C541-D541)*(1+CEG_Assets!$AE$18)^(Horizon+1-ValDate)</f>
        <v>1895.22284256888</v>
      </c>
      <c r="G541" s="8" t="n">
        <f aca="false">G537*G539</f>
        <v>287.663786101941</v>
      </c>
      <c r="H541" s="8" t="n">
        <f aca="false">H537*H539</f>
        <v>264.06768644461</v>
      </c>
      <c r="I541" s="8" t="n">
        <f aca="false">I537*I539</f>
        <v>179.898692079543</v>
      </c>
      <c r="J541" s="8" t="n">
        <f aca="false">J537*J539</f>
        <v>144.662231024884</v>
      </c>
      <c r="K541" s="8" t="n">
        <f aca="false">K537*K539</f>
        <v>134.753859036879</v>
      </c>
      <c r="L541" s="8" t="n">
        <f aca="false">L537*L539</f>
        <v>125.52414266449</v>
      </c>
      <c r="M541" s="8" t="n">
        <f aca="false">M537*M539</f>
        <v>116.926598646374</v>
      </c>
      <c r="N541" s="8" t="n">
        <f aca="false">N537*N539</f>
        <v>108.917927506211</v>
      </c>
      <c r="O541" s="8" t="n">
        <f aca="false">O537*O539</f>
        <v>101.457795485238</v>
      </c>
      <c r="P541" s="8" t="n">
        <f aca="false">P537*P539</f>
        <v>94.5086314109065</v>
      </c>
      <c r="Q541" s="8" t="n">
        <f aca="false">Q537*Q539</f>
        <v>88.0354374786527</v>
      </c>
      <c r="R541" s="8" t="n">
        <f aca="false">R537*R539</f>
        <v>82.0056129938135</v>
      </c>
      <c r="S541" s="8" t="n">
        <f aca="false">S537*S539</f>
        <v>76.388790186018</v>
      </c>
      <c r="T541" s="8" t="n">
        <f aca="false">T537*T539</f>
        <v>71.1566812691675</v>
      </c>
      <c r="U541" s="8" t="n">
        <f aca="false">U537*U539</f>
        <v>66.2829359767587</v>
      </c>
      <c r="V541" s="8" t="n">
        <f aca="false">V537*V539</f>
        <v>61.743008855063</v>
      </c>
      <c r="W541" s="8" t="n">
        <f aca="false">W537*W539</f>
        <v>57.5140356458121</v>
      </c>
      <c r="X541" s="8" t="n">
        <f aca="false">X537*X539</f>
        <v>53.5747181358249</v>
      </c>
      <c r="Y541" s="8" t="n">
        <f aca="false">Y537*Y539</f>
        <v>49.9052168936452</v>
      </c>
      <c r="Z541" s="8" t="n">
        <f aca="false">Z537*Z539</f>
        <v>0</v>
      </c>
      <c r="AA541" s="8" t="n">
        <f aca="false">AA537*AA539</f>
        <v>0</v>
      </c>
      <c r="AB541" s="8" t="n">
        <f aca="false">AB537*AB539</f>
        <v>0</v>
      </c>
      <c r="AC541" s="8" t="n">
        <f aca="false">AC537*AC539</f>
        <v>0</v>
      </c>
      <c r="AD541" s="8" t="n">
        <f aca="false">AD537*AD539</f>
        <v>0</v>
      </c>
      <c r="AE541" s="8" t="n">
        <f aca="false">AE537*AE539</f>
        <v>0</v>
      </c>
      <c r="AF541" s="8" t="n">
        <f aca="false">AF537*AF539</f>
        <v>0</v>
      </c>
      <c r="AG541" s="8" t="n">
        <f aca="false">AG537*AG539</f>
        <v>0</v>
      </c>
      <c r="AH541" s="8" t="n">
        <f aca="false">AH537*AH539</f>
        <v>0</v>
      </c>
      <c r="AI541" s="8" t="n">
        <f aca="false">AI537*AI539</f>
        <v>0</v>
      </c>
      <c r="AJ541" s="8" t="n">
        <f aca="false">AJ537*AJ539</f>
        <v>0</v>
      </c>
      <c r="AK541" s="8" t="n">
        <f aca="false">AK537*AK539</f>
        <v>0</v>
      </c>
      <c r="AL541" s="8" t="n">
        <f aca="false">AL537*AL539</f>
        <v>0</v>
      </c>
      <c r="AM541" s="8" t="n">
        <f aca="false">AM537*AM539</f>
        <v>0</v>
      </c>
      <c r="AN541" s="8" t="n">
        <f aca="false">AN537*AN539</f>
        <v>0</v>
      </c>
      <c r="AO541" s="8" t="n">
        <f aca="false">AO537*AO539</f>
        <v>0</v>
      </c>
      <c r="AP541" s="8" t="n">
        <f aca="false">AP537*AP539</f>
        <v>0</v>
      </c>
      <c r="AQ541" s="8" t="n">
        <f aca="false">AQ537*AQ539</f>
        <v>0</v>
      </c>
      <c r="AR541" s="8" t="n">
        <f aca="false">AR537*AR539</f>
        <v>0</v>
      </c>
      <c r="AS541" s="8" t="n">
        <f aca="false">AS537*AS539</f>
        <v>0</v>
      </c>
    </row>
    <row r="542" customFormat="false" ht="15" hidden="false" customHeight="false" outlineLevel="0" collapsed="false">
      <c r="A542" s="6" t="s">
        <v>477</v>
      </c>
      <c r="B542" s="6" t="s">
        <v>478</v>
      </c>
      <c r="C542" s="43" t="n">
        <f aca="false">SUM(G542:AS542)</f>
        <v>0</v>
      </c>
      <c r="D542" s="8" t="n">
        <f aca="false">SUMIF($G$3:$AS$3,"&lt;="&amp;Horizon,G542:AS542)</f>
        <v>0</v>
      </c>
      <c r="E542" s="8" t="n">
        <f aca="false">(C542-D542)*(1+CEG_Assets!$AF$18)^(Horizon+1-ValDate)</f>
        <v>0</v>
      </c>
      <c r="G542" s="8" t="n">
        <f aca="false">G538*G540</f>
        <v>0</v>
      </c>
      <c r="H542" s="8" t="n">
        <f aca="false">H538*H540</f>
        <v>0</v>
      </c>
      <c r="I542" s="8" t="n">
        <f aca="false">I538*I540</f>
        <v>0</v>
      </c>
      <c r="J542" s="8" t="n">
        <f aca="false">J538*J540</f>
        <v>0</v>
      </c>
      <c r="K542" s="8" t="n">
        <f aca="false">K538*K540</f>
        <v>0</v>
      </c>
      <c r="L542" s="8" t="n">
        <f aca="false">L538*L540</f>
        <v>0</v>
      </c>
      <c r="M542" s="8" t="n">
        <f aca="false">M538*M540</f>
        <v>0</v>
      </c>
      <c r="N542" s="8" t="n">
        <f aca="false">N538*N540</f>
        <v>0</v>
      </c>
      <c r="O542" s="8" t="n">
        <f aca="false">O538*O540</f>
        <v>0</v>
      </c>
      <c r="P542" s="8" t="n">
        <f aca="false">P538*P540</f>
        <v>0</v>
      </c>
      <c r="Q542" s="8" t="n">
        <f aca="false">Q538*Q540</f>
        <v>0</v>
      </c>
      <c r="R542" s="8" t="n">
        <f aca="false">R538*R540</f>
        <v>0</v>
      </c>
      <c r="S542" s="8" t="n">
        <f aca="false">S538*S540</f>
        <v>0</v>
      </c>
      <c r="T542" s="8" t="n">
        <f aca="false">T538*T540</f>
        <v>0</v>
      </c>
      <c r="U542" s="8" t="n">
        <f aca="false">U538*U540</f>
        <v>0</v>
      </c>
      <c r="V542" s="8" t="n">
        <f aca="false">V538*V540</f>
        <v>0</v>
      </c>
      <c r="W542" s="8" t="n">
        <f aca="false">W538*W540</f>
        <v>0</v>
      </c>
      <c r="X542" s="8" t="n">
        <f aca="false">X538*X540</f>
        <v>0</v>
      </c>
      <c r="Y542" s="8" t="n">
        <f aca="false">Y538*Y540</f>
        <v>0</v>
      </c>
      <c r="Z542" s="8" t="n">
        <f aca="false">Z538*Z540</f>
        <v>0</v>
      </c>
      <c r="AA542" s="8" t="n">
        <f aca="false">AA538*AA540</f>
        <v>0</v>
      </c>
      <c r="AB542" s="8" t="n">
        <f aca="false">AB538*AB540</f>
        <v>0</v>
      </c>
      <c r="AC542" s="8" t="n">
        <f aca="false">AC538*AC540</f>
        <v>0</v>
      </c>
      <c r="AD542" s="8" t="n">
        <f aca="false">AD538*AD540</f>
        <v>0</v>
      </c>
      <c r="AE542" s="8" t="n">
        <f aca="false">AE538*AE540</f>
        <v>0</v>
      </c>
      <c r="AF542" s="8" t="n">
        <f aca="false">AF538*AF540</f>
        <v>0</v>
      </c>
      <c r="AG542" s="8" t="n">
        <f aca="false">AG538*AG540</f>
        <v>0</v>
      </c>
      <c r="AH542" s="8" t="n">
        <f aca="false">AH538*AH540</f>
        <v>0</v>
      </c>
      <c r="AI542" s="8" t="n">
        <f aca="false">AI538*AI540</f>
        <v>0</v>
      </c>
      <c r="AJ542" s="8" t="n">
        <f aca="false">AJ538*AJ540</f>
        <v>0</v>
      </c>
      <c r="AK542" s="8" t="n">
        <f aca="false">AK538*AK540</f>
        <v>0</v>
      </c>
      <c r="AL542" s="8" t="n">
        <f aca="false">AL538*AL540</f>
        <v>0</v>
      </c>
      <c r="AM542" s="8" t="n">
        <f aca="false">AM538*AM540</f>
        <v>0</v>
      </c>
      <c r="AN542" s="8" t="n">
        <f aca="false">AN538*AN540</f>
        <v>0</v>
      </c>
      <c r="AO542" s="8" t="n">
        <f aca="false">AO538*AO540</f>
        <v>0</v>
      </c>
      <c r="AP542" s="8" t="n">
        <f aca="false">AP538*AP540</f>
        <v>0</v>
      </c>
      <c r="AQ542" s="8" t="n">
        <f aca="false">AQ538*AQ540</f>
        <v>0</v>
      </c>
      <c r="AR542" s="8" t="n">
        <f aca="false">AR538*AR540</f>
        <v>0</v>
      </c>
      <c r="AS542" s="8" t="n">
        <f aca="false">AS538*AS540</f>
        <v>0</v>
      </c>
    </row>
    <row r="543" customFormat="false" ht="15" hidden="false" customHeight="false" outlineLevel="0" collapsed="false">
      <c r="A543" s="6" t="s">
        <v>479</v>
      </c>
      <c r="B543" s="6" t="s">
        <v>480</v>
      </c>
      <c r="C543" s="43" t="n">
        <f aca="false">IF(CEG_Assets!$H$18="$/kW",CEG_Assets!$D$18*CEG_Assets!$AI$18*(1+0.4*(PJMWLR/PJMWLRBase-1))/1000,0)</f>
        <v>0</v>
      </c>
      <c r="E543" s="8" t="n">
        <f aca="false">C543</f>
        <v>0</v>
      </c>
      <c r="G543" s="8" t="n">
        <f aca="false">0</f>
        <v>0</v>
      </c>
      <c r="H543" s="8" t="n">
        <f aca="false">0</f>
        <v>0</v>
      </c>
      <c r="I543" s="8" t="n">
        <f aca="false">0</f>
        <v>0</v>
      </c>
      <c r="J543" s="8" t="n">
        <f aca="false">0</f>
        <v>0</v>
      </c>
      <c r="K543" s="8" t="n">
        <f aca="false">0</f>
        <v>0</v>
      </c>
      <c r="L543" s="8" t="n">
        <f aca="false">0</f>
        <v>0</v>
      </c>
      <c r="M543" s="8" t="n">
        <f aca="false">0</f>
        <v>0</v>
      </c>
      <c r="N543" s="8" t="n">
        <f aca="false">0</f>
        <v>0</v>
      </c>
      <c r="O543" s="8" t="n">
        <f aca="false">0</f>
        <v>0</v>
      </c>
      <c r="P543" s="8" t="n">
        <f aca="false">0</f>
        <v>0</v>
      </c>
      <c r="Q543" s="8" t="n">
        <f aca="false">0</f>
        <v>0</v>
      </c>
      <c r="R543" s="8" t="n">
        <f aca="false">0</f>
        <v>0</v>
      </c>
      <c r="S543" s="8" t="n">
        <f aca="false">0</f>
        <v>0</v>
      </c>
      <c r="T543" s="8" t="n">
        <f aca="false">0</f>
        <v>0</v>
      </c>
      <c r="U543" s="8" t="n">
        <f aca="false">0</f>
        <v>0</v>
      </c>
      <c r="V543" s="8" t="n">
        <f aca="false">0</f>
        <v>0</v>
      </c>
      <c r="W543" s="8" t="n">
        <f aca="false">0</f>
        <v>0</v>
      </c>
      <c r="X543" s="8" t="n">
        <f aca="false">0</f>
        <v>0</v>
      </c>
      <c r="Y543" s="8" t="n">
        <f aca="false">0</f>
        <v>0</v>
      </c>
      <c r="Z543" s="8" t="n">
        <f aca="false">0</f>
        <v>0</v>
      </c>
      <c r="AA543" s="8" t="n">
        <f aca="false">0</f>
        <v>0</v>
      </c>
      <c r="AB543" s="8" t="n">
        <f aca="false">0</f>
        <v>0</v>
      </c>
      <c r="AC543" s="8" t="n">
        <f aca="false">0</f>
        <v>0</v>
      </c>
      <c r="AD543" s="8" t="n">
        <f aca="false">0</f>
        <v>0</v>
      </c>
      <c r="AE543" s="8" t="n">
        <f aca="false">0</f>
        <v>0</v>
      </c>
      <c r="AF543" s="8" t="n">
        <f aca="false">0</f>
        <v>0</v>
      </c>
      <c r="AG543" s="8" t="n">
        <f aca="false">0</f>
        <v>0</v>
      </c>
      <c r="AH543" s="8" t="n">
        <f aca="false">0</f>
        <v>0</v>
      </c>
      <c r="AI543" s="8" t="n">
        <f aca="false">0</f>
        <v>0</v>
      </c>
      <c r="AJ543" s="8" t="n">
        <f aca="false">0</f>
        <v>0</v>
      </c>
      <c r="AK543" s="8" t="n">
        <f aca="false">0</f>
        <v>0</v>
      </c>
      <c r="AL543" s="8" t="n">
        <f aca="false">0</f>
        <v>0</v>
      </c>
      <c r="AM543" s="8" t="n">
        <f aca="false">0</f>
        <v>0</v>
      </c>
      <c r="AN543" s="8" t="n">
        <f aca="false">0</f>
        <v>0</v>
      </c>
      <c r="AO543" s="8" t="n">
        <f aca="false">0</f>
        <v>0</v>
      </c>
      <c r="AP543" s="8" t="n">
        <f aca="false">0</f>
        <v>0</v>
      </c>
      <c r="AQ543" s="8" t="n">
        <f aca="false">0</f>
        <v>0</v>
      </c>
      <c r="AR543" s="8" t="n">
        <f aca="false">0</f>
        <v>0</v>
      </c>
      <c r="AS543" s="8" t="n">
        <f aca="false">0</f>
        <v>0</v>
      </c>
    </row>
    <row r="545" customFormat="false" ht="15" hidden="false" customHeight="false" outlineLevel="0" collapsed="false">
      <c r="A545" s="54" t="str">
        <f aca="false">CEG_Assets!$A$19</f>
        <v>RISEC (609 MW CCGT, ISO-NE) - pending, $715mm</v>
      </c>
    </row>
    <row r="546" customFormat="false" ht="15" hidden="false" customHeight="false" outlineLevel="0" collapsed="false">
      <c r="A546" s="6" t="s">
        <v>425</v>
      </c>
      <c r="B546" s="6" t="s">
        <v>426</v>
      </c>
      <c r="G546" s="47" t="n">
        <f aca="false">IF(AND(G$3&gt;=CEG_Assets!$E$19,G$3&lt;=CEG_Assets!$F$19,CEG_Assets!$H$19="Cashflow"),1,0)</f>
        <v>1</v>
      </c>
      <c r="H546" s="47" t="n">
        <f aca="false">IF(AND(H$3&gt;=CEG_Assets!$E$19,H$3&lt;=CEG_Assets!$F$19,CEG_Assets!$H$19="Cashflow"),1,0)</f>
        <v>1</v>
      </c>
      <c r="I546" s="47" t="n">
        <f aca="false">IF(AND(I$3&gt;=CEG_Assets!$E$19,I$3&lt;=CEG_Assets!$F$19,CEG_Assets!$H$19="Cashflow"),1,0)</f>
        <v>1</v>
      </c>
      <c r="J546" s="47" t="n">
        <f aca="false">IF(AND(J$3&gt;=CEG_Assets!$E$19,J$3&lt;=CEG_Assets!$F$19,CEG_Assets!$H$19="Cashflow"),1,0)</f>
        <v>1</v>
      </c>
      <c r="K546" s="47" t="n">
        <f aca="false">IF(AND(K$3&gt;=CEG_Assets!$E$19,K$3&lt;=CEG_Assets!$F$19,CEG_Assets!$H$19="Cashflow"),1,0)</f>
        <v>1</v>
      </c>
      <c r="L546" s="47" t="n">
        <f aca="false">IF(AND(L$3&gt;=CEG_Assets!$E$19,L$3&lt;=CEG_Assets!$F$19,CEG_Assets!$H$19="Cashflow"),1,0)</f>
        <v>1</v>
      </c>
      <c r="M546" s="47" t="n">
        <f aca="false">IF(AND(M$3&gt;=CEG_Assets!$E$19,M$3&lt;=CEG_Assets!$F$19,CEG_Assets!$H$19="Cashflow"),1,0)</f>
        <v>1</v>
      </c>
      <c r="N546" s="47" t="n">
        <f aca="false">IF(AND(N$3&gt;=CEG_Assets!$E$19,N$3&lt;=CEG_Assets!$F$19,CEG_Assets!$H$19="Cashflow"),1,0)</f>
        <v>1</v>
      </c>
      <c r="O546" s="47" t="n">
        <f aca="false">IF(AND(O$3&gt;=CEG_Assets!$E$19,O$3&lt;=CEG_Assets!$F$19,CEG_Assets!$H$19="Cashflow"),1,0)</f>
        <v>1</v>
      </c>
      <c r="P546" s="47" t="n">
        <f aca="false">IF(AND(P$3&gt;=CEG_Assets!$E$19,P$3&lt;=CEG_Assets!$F$19,CEG_Assets!$H$19="Cashflow"),1,0)</f>
        <v>1</v>
      </c>
      <c r="Q546" s="47" t="n">
        <f aca="false">IF(AND(Q$3&gt;=CEG_Assets!$E$19,Q$3&lt;=CEG_Assets!$F$19,CEG_Assets!$H$19="Cashflow"),1,0)</f>
        <v>1</v>
      </c>
      <c r="R546" s="47" t="n">
        <f aca="false">IF(AND(R$3&gt;=CEG_Assets!$E$19,R$3&lt;=CEG_Assets!$F$19,CEG_Assets!$H$19="Cashflow"),1,0)</f>
        <v>1</v>
      </c>
      <c r="S546" s="47" t="n">
        <f aca="false">IF(AND(S$3&gt;=CEG_Assets!$E$19,S$3&lt;=CEG_Assets!$F$19,CEG_Assets!$H$19="Cashflow"),1,0)</f>
        <v>1</v>
      </c>
      <c r="T546" s="47" t="n">
        <f aca="false">IF(AND(T$3&gt;=CEG_Assets!$E$19,T$3&lt;=CEG_Assets!$F$19,CEG_Assets!$H$19="Cashflow"),1,0)</f>
        <v>1</v>
      </c>
      <c r="U546" s="47" t="n">
        <f aca="false">IF(AND(U$3&gt;=CEG_Assets!$E$19,U$3&lt;=CEG_Assets!$F$19,CEG_Assets!$H$19="Cashflow"),1,0)</f>
        <v>1</v>
      </c>
      <c r="V546" s="47" t="n">
        <f aca="false">IF(AND(V$3&gt;=CEG_Assets!$E$19,V$3&lt;=CEG_Assets!$F$19,CEG_Assets!$H$19="Cashflow"),1,0)</f>
        <v>1</v>
      </c>
      <c r="W546" s="47" t="n">
        <f aca="false">IF(AND(W$3&gt;=CEG_Assets!$E$19,W$3&lt;=CEG_Assets!$F$19,CEG_Assets!$H$19="Cashflow"),1,0)</f>
        <v>1</v>
      </c>
      <c r="X546" s="47" t="n">
        <f aca="false">IF(AND(X$3&gt;=CEG_Assets!$E$19,X$3&lt;=CEG_Assets!$F$19,CEG_Assets!$H$19="Cashflow"),1,0)</f>
        <v>1</v>
      </c>
      <c r="Y546" s="47" t="n">
        <f aca="false">IF(AND(Y$3&gt;=CEG_Assets!$E$19,Y$3&lt;=CEG_Assets!$F$19,CEG_Assets!$H$19="Cashflow"),1,0)</f>
        <v>1</v>
      </c>
      <c r="Z546" s="47" t="n">
        <f aca="false">IF(AND(Z$3&gt;=CEG_Assets!$E$19,Z$3&lt;=CEG_Assets!$F$19,CEG_Assets!$H$19="Cashflow"),1,0)</f>
        <v>1</v>
      </c>
      <c r="AA546" s="47" t="n">
        <f aca="false">IF(AND(AA$3&gt;=CEG_Assets!$E$19,AA$3&lt;=CEG_Assets!$F$19,CEG_Assets!$H$19="Cashflow"),1,0)</f>
        <v>1</v>
      </c>
      <c r="AB546" s="47" t="n">
        <f aca="false">IF(AND(AB$3&gt;=CEG_Assets!$E$19,AB$3&lt;=CEG_Assets!$F$19,CEG_Assets!$H$19="Cashflow"),1,0)</f>
        <v>1</v>
      </c>
      <c r="AC546" s="47" t="n">
        <f aca="false">IF(AND(AC$3&gt;=CEG_Assets!$E$19,AC$3&lt;=CEG_Assets!$F$19,CEG_Assets!$H$19="Cashflow"),1,0)</f>
        <v>1</v>
      </c>
      <c r="AD546" s="47" t="n">
        <f aca="false">IF(AND(AD$3&gt;=CEG_Assets!$E$19,AD$3&lt;=CEG_Assets!$F$19,CEG_Assets!$H$19="Cashflow"),1,0)</f>
        <v>1</v>
      </c>
      <c r="AE546" s="47" t="n">
        <f aca="false">IF(AND(AE$3&gt;=CEG_Assets!$E$19,AE$3&lt;=CEG_Assets!$F$19,CEG_Assets!$H$19="Cashflow"),1,0)</f>
        <v>0</v>
      </c>
      <c r="AF546" s="47" t="n">
        <f aca="false">IF(AND(AF$3&gt;=CEG_Assets!$E$19,AF$3&lt;=CEG_Assets!$F$19,CEG_Assets!$H$19="Cashflow"),1,0)</f>
        <v>0</v>
      </c>
      <c r="AG546" s="47" t="n">
        <f aca="false">IF(AND(AG$3&gt;=CEG_Assets!$E$19,AG$3&lt;=CEG_Assets!$F$19,CEG_Assets!$H$19="Cashflow"),1,0)</f>
        <v>0</v>
      </c>
      <c r="AH546" s="47" t="n">
        <f aca="false">IF(AND(AH$3&gt;=CEG_Assets!$E$19,AH$3&lt;=CEG_Assets!$F$19,CEG_Assets!$H$19="Cashflow"),1,0)</f>
        <v>0</v>
      </c>
      <c r="AI546" s="47" t="n">
        <f aca="false">IF(AND(AI$3&gt;=CEG_Assets!$E$19,AI$3&lt;=CEG_Assets!$F$19,CEG_Assets!$H$19="Cashflow"),1,0)</f>
        <v>0</v>
      </c>
      <c r="AJ546" s="47" t="n">
        <f aca="false">IF(AND(AJ$3&gt;=CEG_Assets!$E$19,AJ$3&lt;=CEG_Assets!$F$19,CEG_Assets!$H$19="Cashflow"),1,0)</f>
        <v>0</v>
      </c>
      <c r="AK546" s="47" t="n">
        <f aca="false">IF(AND(AK$3&gt;=CEG_Assets!$E$19,AK$3&lt;=CEG_Assets!$F$19,CEG_Assets!$H$19="Cashflow"),1,0)</f>
        <v>0</v>
      </c>
      <c r="AL546" s="47" t="n">
        <f aca="false">IF(AND(AL$3&gt;=CEG_Assets!$E$19,AL$3&lt;=CEG_Assets!$F$19,CEG_Assets!$H$19="Cashflow"),1,0)</f>
        <v>0</v>
      </c>
      <c r="AM546" s="47" t="n">
        <f aca="false">IF(AND(AM$3&gt;=CEG_Assets!$E$19,AM$3&lt;=CEG_Assets!$F$19,CEG_Assets!$H$19="Cashflow"),1,0)</f>
        <v>0</v>
      </c>
      <c r="AN546" s="47" t="n">
        <f aca="false">IF(AND(AN$3&gt;=CEG_Assets!$E$19,AN$3&lt;=CEG_Assets!$F$19,CEG_Assets!$H$19="Cashflow"),1,0)</f>
        <v>0</v>
      </c>
      <c r="AO546" s="47" t="n">
        <f aca="false">IF(AND(AO$3&gt;=CEG_Assets!$E$19,AO$3&lt;=CEG_Assets!$F$19,CEG_Assets!$H$19="Cashflow"),1,0)</f>
        <v>0</v>
      </c>
      <c r="AP546" s="47" t="n">
        <f aca="false">IF(AND(AP$3&gt;=CEG_Assets!$E$19,AP$3&lt;=CEG_Assets!$F$19,CEG_Assets!$H$19="Cashflow"),1,0)</f>
        <v>0</v>
      </c>
      <c r="AQ546" s="47" t="n">
        <f aca="false">IF(AND(AQ$3&gt;=CEG_Assets!$E$19,AQ$3&lt;=CEG_Assets!$F$19,CEG_Assets!$H$19="Cashflow"),1,0)</f>
        <v>0</v>
      </c>
      <c r="AR546" s="47" t="n">
        <f aca="false">IF(AND(AR$3&gt;=CEG_Assets!$E$19,AR$3&lt;=CEG_Assets!$F$19,CEG_Assets!$H$19="Cashflow"),1,0)</f>
        <v>0</v>
      </c>
      <c r="AS546" s="47" t="n">
        <f aca="false">IF(AND(AS$3&gt;=CEG_Assets!$E$19,AS$3&lt;=CEG_Assets!$F$19,CEG_Assets!$H$19="Cashflow"),1,0)</f>
        <v>0</v>
      </c>
    </row>
    <row r="547" customFormat="false" ht="15" hidden="false" customHeight="false" outlineLevel="0" collapsed="false">
      <c r="A547" s="6" t="s">
        <v>427</v>
      </c>
      <c r="B547" s="6" t="s">
        <v>428</v>
      </c>
      <c r="G547" s="9" t="n">
        <f aca="false">IF(AND(G$3&gt;=CEG_Assets!$AA$19,G$3&lt;=CEG_Assets!$AB$19),MIN(CEG_Assets!$D$19,CEG_Assets!$Z$19*MIN(1,(G$3-CEG_Assets!$AA$19+1)/MAX(1,CEG_Assets!$AC$19))),0)*G546</f>
        <v>0</v>
      </c>
      <c r="H547" s="9" t="n">
        <f aca="false">IF(AND(H$3&gt;=CEG_Assets!$AA$19,H$3&lt;=CEG_Assets!$AB$19),MIN(CEG_Assets!$D$19,CEG_Assets!$Z$19*MIN(1,(H$3-CEG_Assets!$AA$19+1)/MAX(1,CEG_Assets!$AC$19))),0)*H546</f>
        <v>0</v>
      </c>
      <c r="I547" s="9" t="n">
        <f aca="false">IF(AND(I$3&gt;=CEG_Assets!$AA$19,I$3&lt;=CEG_Assets!$AB$19),MIN(CEG_Assets!$D$19,CEG_Assets!$Z$19*MIN(1,(I$3-CEG_Assets!$AA$19+1)/MAX(1,CEG_Assets!$AC$19))),0)*I546</f>
        <v>0</v>
      </c>
      <c r="J547" s="9" t="n">
        <f aca="false">IF(AND(J$3&gt;=CEG_Assets!$AA$19,J$3&lt;=CEG_Assets!$AB$19),MIN(CEG_Assets!$D$19,CEG_Assets!$Z$19*MIN(1,(J$3-CEG_Assets!$AA$19+1)/MAX(1,CEG_Assets!$AC$19))),0)*J546</f>
        <v>0</v>
      </c>
      <c r="K547" s="9" t="n">
        <f aca="false">IF(AND(K$3&gt;=CEG_Assets!$AA$19,K$3&lt;=CEG_Assets!$AB$19),MIN(CEG_Assets!$D$19,CEG_Assets!$Z$19*MIN(1,(K$3-CEG_Assets!$AA$19+1)/MAX(1,CEG_Assets!$AC$19))),0)*K546</f>
        <v>0</v>
      </c>
      <c r="L547" s="9" t="n">
        <f aca="false">IF(AND(L$3&gt;=CEG_Assets!$AA$19,L$3&lt;=CEG_Assets!$AB$19),MIN(CEG_Assets!$D$19,CEG_Assets!$Z$19*MIN(1,(L$3-CEG_Assets!$AA$19+1)/MAX(1,CEG_Assets!$AC$19))),0)*L546</f>
        <v>0</v>
      </c>
      <c r="M547" s="9" t="n">
        <f aca="false">IF(AND(M$3&gt;=CEG_Assets!$AA$19,M$3&lt;=CEG_Assets!$AB$19),MIN(CEG_Assets!$D$19,CEG_Assets!$Z$19*MIN(1,(M$3-CEG_Assets!$AA$19+1)/MAX(1,CEG_Assets!$AC$19))),0)*M546</f>
        <v>0</v>
      </c>
      <c r="N547" s="9" t="n">
        <f aca="false">IF(AND(N$3&gt;=CEG_Assets!$AA$19,N$3&lt;=CEG_Assets!$AB$19),MIN(CEG_Assets!$D$19,CEG_Assets!$Z$19*MIN(1,(N$3-CEG_Assets!$AA$19+1)/MAX(1,CEG_Assets!$AC$19))),0)*N546</f>
        <v>0</v>
      </c>
      <c r="O547" s="9" t="n">
        <f aca="false">IF(AND(O$3&gt;=CEG_Assets!$AA$19,O$3&lt;=CEG_Assets!$AB$19),MIN(CEG_Assets!$D$19,CEG_Assets!$Z$19*MIN(1,(O$3-CEG_Assets!$AA$19+1)/MAX(1,CEG_Assets!$AC$19))),0)*O546</f>
        <v>0</v>
      </c>
      <c r="P547" s="9" t="n">
        <f aca="false">IF(AND(P$3&gt;=CEG_Assets!$AA$19,P$3&lt;=CEG_Assets!$AB$19),MIN(CEG_Assets!$D$19,CEG_Assets!$Z$19*MIN(1,(P$3-CEG_Assets!$AA$19+1)/MAX(1,CEG_Assets!$AC$19))),0)*P546</f>
        <v>0</v>
      </c>
      <c r="Q547" s="9" t="n">
        <f aca="false">IF(AND(Q$3&gt;=CEG_Assets!$AA$19,Q$3&lt;=CEG_Assets!$AB$19),MIN(CEG_Assets!$D$19,CEG_Assets!$Z$19*MIN(1,(Q$3-CEG_Assets!$AA$19+1)/MAX(1,CEG_Assets!$AC$19))),0)*Q546</f>
        <v>0</v>
      </c>
      <c r="R547" s="9" t="n">
        <f aca="false">IF(AND(R$3&gt;=CEG_Assets!$AA$19,R$3&lt;=CEG_Assets!$AB$19),MIN(CEG_Assets!$D$19,CEG_Assets!$Z$19*MIN(1,(R$3-CEG_Assets!$AA$19+1)/MAX(1,CEG_Assets!$AC$19))),0)*R546</f>
        <v>0</v>
      </c>
      <c r="S547" s="9" t="n">
        <f aca="false">IF(AND(S$3&gt;=CEG_Assets!$AA$19,S$3&lt;=CEG_Assets!$AB$19),MIN(CEG_Assets!$D$19,CEG_Assets!$Z$19*MIN(1,(S$3-CEG_Assets!$AA$19+1)/MAX(1,CEG_Assets!$AC$19))),0)*S546</f>
        <v>0</v>
      </c>
      <c r="T547" s="9" t="n">
        <f aca="false">IF(AND(T$3&gt;=CEG_Assets!$AA$19,T$3&lt;=CEG_Assets!$AB$19),MIN(CEG_Assets!$D$19,CEG_Assets!$Z$19*MIN(1,(T$3-CEG_Assets!$AA$19+1)/MAX(1,CEG_Assets!$AC$19))),0)*T546</f>
        <v>0</v>
      </c>
      <c r="U547" s="9" t="n">
        <f aca="false">IF(AND(U$3&gt;=CEG_Assets!$AA$19,U$3&lt;=CEG_Assets!$AB$19),MIN(CEG_Assets!$D$19,CEG_Assets!$Z$19*MIN(1,(U$3-CEG_Assets!$AA$19+1)/MAX(1,CEG_Assets!$AC$19))),0)*U546</f>
        <v>0</v>
      </c>
      <c r="V547" s="9" t="n">
        <f aca="false">IF(AND(V$3&gt;=CEG_Assets!$AA$19,V$3&lt;=CEG_Assets!$AB$19),MIN(CEG_Assets!$D$19,CEG_Assets!$Z$19*MIN(1,(V$3-CEG_Assets!$AA$19+1)/MAX(1,CEG_Assets!$AC$19))),0)*V546</f>
        <v>0</v>
      </c>
      <c r="W547" s="9" t="n">
        <f aca="false">IF(AND(W$3&gt;=CEG_Assets!$AA$19,W$3&lt;=CEG_Assets!$AB$19),MIN(CEG_Assets!$D$19,CEG_Assets!$Z$19*MIN(1,(W$3-CEG_Assets!$AA$19+1)/MAX(1,CEG_Assets!$AC$19))),0)*W546</f>
        <v>0</v>
      </c>
      <c r="X547" s="9" t="n">
        <f aca="false">IF(AND(X$3&gt;=CEG_Assets!$AA$19,X$3&lt;=CEG_Assets!$AB$19),MIN(CEG_Assets!$D$19,CEG_Assets!$Z$19*MIN(1,(X$3-CEG_Assets!$AA$19+1)/MAX(1,CEG_Assets!$AC$19))),0)*X546</f>
        <v>0</v>
      </c>
      <c r="Y547" s="9" t="n">
        <f aca="false">IF(AND(Y$3&gt;=CEG_Assets!$AA$19,Y$3&lt;=CEG_Assets!$AB$19),MIN(CEG_Assets!$D$19,CEG_Assets!$Z$19*MIN(1,(Y$3-CEG_Assets!$AA$19+1)/MAX(1,CEG_Assets!$AC$19))),0)*Y546</f>
        <v>0</v>
      </c>
      <c r="Z547" s="9" t="n">
        <f aca="false">IF(AND(Z$3&gt;=CEG_Assets!$AA$19,Z$3&lt;=CEG_Assets!$AB$19),MIN(CEG_Assets!$D$19,CEG_Assets!$Z$19*MIN(1,(Z$3-CEG_Assets!$AA$19+1)/MAX(1,CEG_Assets!$AC$19))),0)*Z546</f>
        <v>0</v>
      </c>
      <c r="AA547" s="9" t="n">
        <f aca="false">IF(AND(AA$3&gt;=CEG_Assets!$AA$19,AA$3&lt;=CEG_Assets!$AB$19),MIN(CEG_Assets!$D$19,CEG_Assets!$Z$19*MIN(1,(AA$3-CEG_Assets!$AA$19+1)/MAX(1,CEG_Assets!$AC$19))),0)*AA546</f>
        <v>0</v>
      </c>
      <c r="AB547" s="9" t="n">
        <f aca="false">IF(AND(AB$3&gt;=CEG_Assets!$AA$19,AB$3&lt;=CEG_Assets!$AB$19),MIN(CEG_Assets!$D$19,CEG_Assets!$Z$19*MIN(1,(AB$3-CEG_Assets!$AA$19+1)/MAX(1,CEG_Assets!$AC$19))),0)*AB546</f>
        <v>0</v>
      </c>
      <c r="AC547" s="9" t="n">
        <f aca="false">IF(AND(AC$3&gt;=CEG_Assets!$AA$19,AC$3&lt;=CEG_Assets!$AB$19),MIN(CEG_Assets!$D$19,CEG_Assets!$Z$19*MIN(1,(AC$3-CEG_Assets!$AA$19+1)/MAX(1,CEG_Assets!$AC$19))),0)*AC546</f>
        <v>0</v>
      </c>
      <c r="AD547" s="9" t="n">
        <f aca="false">IF(AND(AD$3&gt;=CEG_Assets!$AA$19,AD$3&lt;=CEG_Assets!$AB$19),MIN(CEG_Assets!$D$19,CEG_Assets!$Z$19*MIN(1,(AD$3-CEG_Assets!$AA$19+1)/MAX(1,CEG_Assets!$AC$19))),0)*AD546</f>
        <v>0</v>
      </c>
      <c r="AE547" s="9" t="n">
        <f aca="false">IF(AND(AE$3&gt;=CEG_Assets!$AA$19,AE$3&lt;=CEG_Assets!$AB$19),MIN(CEG_Assets!$D$19,CEG_Assets!$Z$19*MIN(1,(AE$3-CEG_Assets!$AA$19+1)/MAX(1,CEG_Assets!$AC$19))),0)*AE546</f>
        <v>0</v>
      </c>
      <c r="AF547" s="9" t="n">
        <f aca="false">IF(AND(AF$3&gt;=CEG_Assets!$AA$19,AF$3&lt;=CEG_Assets!$AB$19),MIN(CEG_Assets!$D$19,CEG_Assets!$Z$19*MIN(1,(AF$3-CEG_Assets!$AA$19+1)/MAX(1,CEG_Assets!$AC$19))),0)*AF546</f>
        <v>0</v>
      </c>
      <c r="AG547" s="9" t="n">
        <f aca="false">IF(AND(AG$3&gt;=CEG_Assets!$AA$19,AG$3&lt;=CEG_Assets!$AB$19),MIN(CEG_Assets!$D$19,CEG_Assets!$Z$19*MIN(1,(AG$3-CEG_Assets!$AA$19+1)/MAX(1,CEG_Assets!$AC$19))),0)*AG546</f>
        <v>0</v>
      </c>
      <c r="AH547" s="9" t="n">
        <f aca="false">IF(AND(AH$3&gt;=CEG_Assets!$AA$19,AH$3&lt;=CEG_Assets!$AB$19),MIN(CEG_Assets!$D$19,CEG_Assets!$Z$19*MIN(1,(AH$3-CEG_Assets!$AA$19+1)/MAX(1,CEG_Assets!$AC$19))),0)*AH546</f>
        <v>0</v>
      </c>
      <c r="AI547" s="9" t="n">
        <f aca="false">IF(AND(AI$3&gt;=CEG_Assets!$AA$19,AI$3&lt;=CEG_Assets!$AB$19),MIN(CEG_Assets!$D$19,CEG_Assets!$Z$19*MIN(1,(AI$3-CEG_Assets!$AA$19+1)/MAX(1,CEG_Assets!$AC$19))),0)*AI546</f>
        <v>0</v>
      </c>
      <c r="AJ547" s="9" t="n">
        <f aca="false">IF(AND(AJ$3&gt;=CEG_Assets!$AA$19,AJ$3&lt;=CEG_Assets!$AB$19),MIN(CEG_Assets!$D$19,CEG_Assets!$Z$19*MIN(1,(AJ$3-CEG_Assets!$AA$19+1)/MAX(1,CEG_Assets!$AC$19))),0)*AJ546</f>
        <v>0</v>
      </c>
      <c r="AK547" s="9" t="n">
        <f aca="false">IF(AND(AK$3&gt;=CEG_Assets!$AA$19,AK$3&lt;=CEG_Assets!$AB$19),MIN(CEG_Assets!$D$19,CEG_Assets!$Z$19*MIN(1,(AK$3-CEG_Assets!$AA$19+1)/MAX(1,CEG_Assets!$AC$19))),0)*AK546</f>
        <v>0</v>
      </c>
      <c r="AL547" s="9" t="n">
        <f aca="false">IF(AND(AL$3&gt;=CEG_Assets!$AA$19,AL$3&lt;=CEG_Assets!$AB$19),MIN(CEG_Assets!$D$19,CEG_Assets!$Z$19*MIN(1,(AL$3-CEG_Assets!$AA$19+1)/MAX(1,CEG_Assets!$AC$19))),0)*AL546</f>
        <v>0</v>
      </c>
      <c r="AM547" s="9" t="n">
        <f aca="false">IF(AND(AM$3&gt;=CEG_Assets!$AA$19,AM$3&lt;=CEG_Assets!$AB$19),MIN(CEG_Assets!$D$19,CEG_Assets!$Z$19*MIN(1,(AM$3-CEG_Assets!$AA$19+1)/MAX(1,CEG_Assets!$AC$19))),0)*AM546</f>
        <v>0</v>
      </c>
      <c r="AN547" s="9" t="n">
        <f aca="false">IF(AND(AN$3&gt;=CEG_Assets!$AA$19,AN$3&lt;=CEG_Assets!$AB$19),MIN(CEG_Assets!$D$19,CEG_Assets!$Z$19*MIN(1,(AN$3-CEG_Assets!$AA$19+1)/MAX(1,CEG_Assets!$AC$19))),0)*AN546</f>
        <v>0</v>
      </c>
      <c r="AO547" s="9" t="n">
        <f aca="false">IF(AND(AO$3&gt;=CEG_Assets!$AA$19,AO$3&lt;=CEG_Assets!$AB$19),MIN(CEG_Assets!$D$19,CEG_Assets!$Z$19*MIN(1,(AO$3-CEG_Assets!$AA$19+1)/MAX(1,CEG_Assets!$AC$19))),0)*AO546</f>
        <v>0</v>
      </c>
      <c r="AP547" s="9" t="n">
        <f aca="false">IF(AND(AP$3&gt;=CEG_Assets!$AA$19,AP$3&lt;=CEG_Assets!$AB$19),MIN(CEG_Assets!$D$19,CEG_Assets!$Z$19*MIN(1,(AP$3-CEG_Assets!$AA$19+1)/MAX(1,CEG_Assets!$AC$19))),0)*AP546</f>
        <v>0</v>
      </c>
      <c r="AQ547" s="9" t="n">
        <f aca="false">IF(AND(AQ$3&gt;=CEG_Assets!$AA$19,AQ$3&lt;=CEG_Assets!$AB$19),MIN(CEG_Assets!$D$19,CEG_Assets!$Z$19*MIN(1,(AQ$3-CEG_Assets!$AA$19+1)/MAX(1,CEG_Assets!$AC$19))),0)*AQ546</f>
        <v>0</v>
      </c>
      <c r="AR547" s="9" t="n">
        <f aca="false">IF(AND(AR$3&gt;=CEG_Assets!$AA$19,AR$3&lt;=CEG_Assets!$AB$19),MIN(CEG_Assets!$D$19,CEG_Assets!$Z$19*MIN(1,(AR$3-CEG_Assets!$AA$19+1)/MAX(1,CEG_Assets!$AC$19))),0)*AR546</f>
        <v>0</v>
      </c>
      <c r="AS547" s="9" t="n">
        <f aca="false">IF(AND(AS$3&gt;=CEG_Assets!$AA$19,AS$3&lt;=CEG_Assets!$AB$19),MIN(CEG_Assets!$D$19,CEG_Assets!$Z$19*MIN(1,(AS$3-CEG_Assets!$AA$19+1)/MAX(1,CEG_Assets!$AC$19))),0)*AS546</f>
        <v>0</v>
      </c>
    </row>
    <row r="548" customFormat="false" ht="15" hidden="false" customHeight="false" outlineLevel="0" collapsed="false">
      <c r="A548" s="6" t="s">
        <v>429</v>
      </c>
      <c r="B548" s="6" t="s">
        <v>430</v>
      </c>
      <c r="G548" s="9" t="n">
        <f aca="false">(CEG_Assets!$D$19-G547)*8760*CEG_Assets!$I$19*G546</f>
        <v>2400678</v>
      </c>
      <c r="H548" s="9" t="n">
        <f aca="false">(CEG_Assets!$D$19-H547)*8760*CEG_Assets!$I$19*H546</f>
        <v>2400678</v>
      </c>
      <c r="I548" s="9" t="n">
        <f aca="false">(CEG_Assets!$D$19-I547)*8760*CEG_Assets!$I$19*I546</f>
        <v>2400678</v>
      </c>
      <c r="J548" s="9" t="n">
        <f aca="false">(CEG_Assets!$D$19-J547)*8760*CEG_Assets!$I$19*J546</f>
        <v>2400678</v>
      </c>
      <c r="K548" s="9" t="n">
        <f aca="false">(CEG_Assets!$D$19-K547)*8760*CEG_Assets!$I$19*K546</f>
        <v>2400678</v>
      </c>
      <c r="L548" s="9" t="n">
        <f aca="false">(CEG_Assets!$D$19-L547)*8760*CEG_Assets!$I$19*L546</f>
        <v>2400678</v>
      </c>
      <c r="M548" s="9" t="n">
        <f aca="false">(CEG_Assets!$D$19-M547)*8760*CEG_Assets!$I$19*M546</f>
        <v>2400678</v>
      </c>
      <c r="N548" s="9" t="n">
        <f aca="false">(CEG_Assets!$D$19-N547)*8760*CEG_Assets!$I$19*N546</f>
        <v>2400678</v>
      </c>
      <c r="O548" s="9" t="n">
        <f aca="false">(CEG_Assets!$D$19-O547)*8760*CEG_Assets!$I$19*O546</f>
        <v>2400678</v>
      </c>
      <c r="P548" s="9" t="n">
        <f aca="false">(CEG_Assets!$D$19-P547)*8760*CEG_Assets!$I$19*P546</f>
        <v>2400678</v>
      </c>
      <c r="Q548" s="9" t="n">
        <f aca="false">(CEG_Assets!$D$19-Q547)*8760*CEG_Assets!$I$19*Q546</f>
        <v>2400678</v>
      </c>
      <c r="R548" s="9" t="n">
        <f aca="false">(CEG_Assets!$D$19-R547)*8760*CEG_Assets!$I$19*R546</f>
        <v>2400678</v>
      </c>
      <c r="S548" s="9" t="n">
        <f aca="false">(CEG_Assets!$D$19-S547)*8760*CEG_Assets!$I$19*S546</f>
        <v>2400678</v>
      </c>
      <c r="T548" s="9" t="n">
        <f aca="false">(CEG_Assets!$D$19-T547)*8760*CEG_Assets!$I$19*T546</f>
        <v>2400678</v>
      </c>
      <c r="U548" s="9" t="n">
        <f aca="false">(CEG_Assets!$D$19-U547)*8760*CEG_Assets!$I$19*U546</f>
        <v>2400678</v>
      </c>
      <c r="V548" s="9" t="n">
        <f aca="false">(CEG_Assets!$D$19-V547)*8760*CEG_Assets!$I$19*V546</f>
        <v>2400678</v>
      </c>
      <c r="W548" s="9" t="n">
        <f aca="false">(CEG_Assets!$D$19-W547)*8760*CEG_Assets!$I$19*W546</f>
        <v>2400678</v>
      </c>
      <c r="X548" s="9" t="n">
        <f aca="false">(CEG_Assets!$D$19-X547)*8760*CEG_Assets!$I$19*X546</f>
        <v>2400678</v>
      </c>
      <c r="Y548" s="9" t="n">
        <f aca="false">(CEG_Assets!$D$19-Y547)*8760*CEG_Assets!$I$19*Y546</f>
        <v>2400678</v>
      </c>
      <c r="Z548" s="9" t="n">
        <f aca="false">(CEG_Assets!$D$19-Z547)*8760*CEG_Assets!$I$19*Z546</f>
        <v>2400678</v>
      </c>
      <c r="AA548" s="9" t="n">
        <f aca="false">(CEG_Assets!$D$19-AA547)*8760*CEG_Assets!$I$19*AA546</f>
        <v>2400678</v>
      </c>
      <c r="AB548" s="9" t="n">
        <f aca="false">(CEG_Assets!$D$19-AB547)*8760*CEG_Assets!$I$19*AB546</f>
        <v>2400678</v>
      </c>
      <c r="AC548" s="9" t="n">
        <f aca="false">(CEG_Assets!$D$19-AC547)*8760*CEG_Assets!$I$19*AC546</f>
        <v>2400678</v>
      </c>
      <c r="AD548" s="9" t="n">
        <f aca="false">(CEG_Assets!$D$19-AD547)*8760*CEG_Assets!$I$19*AD546</f>
        <v>2400678</v>
      </c>
      <c r="AE548" s="9" t="n">
        <f aca="false">(CEG_Assets!$D$19-AE547)*8760*CEG_Assets!$I$19*AE546</f>
        <v>0</v>
      </c>
      <c r="AF548" s="9" t="n">
        <f aca="false">(CEG_Assets!$D$19-AF547)*8760*CEG_Assets!$I$19*AF546</f>
        <v>0</v>
      </c>
      <c r="AG548" s="9" t="n">
        <f aca="false">(CEG_Assets!$D$19-AG547)*8760*CEG_Assets!$I$19*AG546</f>
        <v>0</v>
      </c>
      <c r="AH548" s="9" t="n">
        <f aca="false">(CEG_Assets!$D$19-AH547)*8760*CEG_Assets!$I$19*AH546</f>
        <v>0</v>
      </c>
      <c r="AI548" s="9" t="n">
        <f aca="false">(CEG_Assets!$D$19-AI547)*8760*CEG_Assets!$I$19*AI546</f>
        <v>0</v>
      </c>
      <c r="AJ548" s="9" t="n">
        <f aca="false">(CEG_Assets!$D$19-AJ547)*8760*CEG_Assets!$I$19*AJ546</f>
        <v>0</v>
      </c>
      <c r="AK548" s="9" t="n">
        <f aca="false">(CEG_Assets!$D$19-AK547)*8760*CEG_Assets!$I$19*AK546</f>
        <v>0</v>
      </c>
      <c r="AL548" s="9" t="n">
        <f aca="false">(CEG_Assets!$D$19-AL547)*8760*CEG_Assets!$I$19*AL546</f>
        <v>0</v>
      </c>
      <c r="AM548" s="9" t="n">
        <f aca="false">(CEG_Assets!$D$19-AM547)*8760*CEG_Assets!$I$19*AM546</f>
        <v>0</v>
      </c>
      <c r="AN548" s="9" t="n">
        <f aca="false">(CEG_Assets!$D$19-AN547)*8760*CEG_Assets!$I$19*AN546</f>
        <v>0</v>
      </c>
      <c r="AO548" s="9" t="n">
        <f aca="false">(CEG_Assets!$D$19-AO547)*8760*CEG_Assets!$I$19*AO546</f>
        <v>0</v>
      </c>
      <c r="AP548" s="9" t="n">
        <f aca="false">(CEG_Assets!$D$19-AP547)*8760*CEG_Assets!$I$19*AP546</f>
        <v>0</v>
      </c>
      <c r="AQ548" s="9" t="n">
        <f aca="false">(CEG_Assets!$D$19-AQ547)*8760*CEG_Assets!$I$19*AQ546</f>
        <v>0</v>
      </c>
      <c r="AR548" s="9" t="n">
        <f aca="false">(CEG_Assets!$D$19-AR547)*8760*CEG_Assets!$I$19*AR546</f>
        <v>0</v>
      </c>
      <c r="AS548" s="9" t="n">
        <f aca="false">(CEG_Assets!$D$19-AS547)*8760*CEG_Assets!$I$19*AS546</f>
        <v>0</v>
      </c>
    </row>
    <row r="549" customFormat="false" ht="15" hidden="false" customHeight="false" outlineLevel="0" collapsed="false">
      <c r="A549" s="6" t="s">
        <v>431</v>
      </c>
      <c r="B549" s="6" t="s">
        <v>432</v>
      </c>
      <c r="G549" s="9" t="n">
        <f aca="false">G547*8760*CEG_Assets!$I$19*G546</f>
        <v>0</v>
      </c>
      <c r="H549" s="9" t="n">
        <f aca="false">H547*8760*CEG_Assets!$I$19*H546</f>
        <v>0</v>
      </c>
      <c r="I549" s="9" t="n">
        <f aca="false">I547*8760*CEG_Assets!$I$19*I546</f>
        <v>0</v>
      </c>
      <c r="J549" s="9" t="n">
        <f aca="false">J547*8760*CEG_Assets!$I$19*J546</f>
        <v>0</v>
      </c>
      <c r="K549" s="9" t="n">
        <f aca="false">K547*8760*CEG_Assets!$I$19*K546</f>
        <v>0</v>
      </c>
      <c r="L549" s="9" t="n">
        <f aca="false">L547*8760*CEG_Assets!$I$19*L546</f>
        <v>0</v>
      </c>
      <c r="M549" s="9" t="n">
        <f aca="false">M547*8760*CEG_Assets!$I$19*M546</f>
        <v>0</v>
      </c>
      <c r="N549" s="9" t="n">
        <f aca="false">N547*8760*CEG_Assets!$I$19*N546</f>
        <v>0</v>
      </c>
      <c r="O549" s="9" t="n">
        <f aca="false">O547*8760*CEG_Assets!$I$19*O546</f>
        <v>0</v>
      </c>
      <c r="P549" s="9" t="n">
        <f aca="false">P547*8760*CEG_Assets!$I$19*P546</f>
        <v>0</v>
      </c>
      <c r="Q549" s="9" t="n">
        <f aca="false">Q547*8760*CEG_Assets!$I$19*Q546</f>
        <v>0</v>
      </c>
      <c r="R549" s="9" t="n">
        <f aca="false">R547*8760*CEG_Assets!$I$19*R546</f>
        <v>0</v>
      </c>
      <c r="S549" s="9" t="n">
        <f aca="false">S547*8760*CEG_Assets!$I$19*S546</f>
        <v>0</v>
      </c>
      <c r="T549" s="9" t="n">
        <f aca="false">T547*8760*CEG_Assets!$I$19*T546</f>
        <v>0</v>
      </c>
      <c r="U549" s="9" t="n">
        <f aca="false">U547*8760*CEG_Assets!$I$19*U546</f>
        <v>0</v>
      </c>
      <c r="V549" s="9" t="n">
        <f aca="false">V547*8760*CEG_Assets!$I$19*V546</f>
        <v>0</v>
      </c>
      <c r="W549" s="9" t="n">
        <f aca="false">W547*8760*CEG_Assets!$I$19*W546</f>
        <v>0</v>
      </c>
      <c r="X549" s="9" t="n">
        <f aca="false">X547*8760*CEG_Assets!$I$19*X546</f>
        <v>0</v>
      </c>
      <c r="Y549" s="9" t="n">
        <f aca="false">Y547*8760*CEG_Assets!$I$19*Y546</f>
        <v>0</v>
      </c>
      <c r="Z549" s="9" t="n">
        <f aca="false">Z547*8760*CEG_Assets!$I$19*Z546</f>
        <v>0</v>
      </c>
      <c r="AA549" s="9" t="n">
        <f aca="false">AA547*8760*CEG_Assets!$I$19*AA546</f>
        <v>0</v>
      </c>
      <c r="AB549" s="9" t="n">
        <f aca="false">AB547*8760*CEG_Assets!$I$19*AB546</f>
        <v>0</v>
      </c>
      <c r="AC549" s="9" t="n">
        <f aca="false">AC547*8760*CEG_Assets!$I$19*AC546</f>
        <v>0</v>
      </c>
      <c r="AD549" s="9" t="n">
        <f aca="false">AD547*8760*CEG_Assets!$I$19*AD546</f>
        <v>0</v>
      </c>
      <c r="AE549" s="9" t="n">
        <f aca="false">AE547*8760*CEG_Assets!$I$19*AE546</f>
        <v>0</v>
      </c>
      <c r="AF549" s="9" t="n">
        <f aca="false">AF547*8760*CEG_Assets!$I$19*AF546</f>
        <v>0</v>
      </c>
      <c r="AG549" s="9" t="n">
        <f aca="false">AG547*8760*CEG_Assets!$I$19*AG546</f>
        <v>0</v>
      </c>
      <c r="AH549" s="9" t="n">
        <f aca="false">AH547*8760*CEG_Assets!$I$19*AH546</f>
        <v>0</v>
      </c>
      <c r="AI549" s="9" t="n">
        <f aca="false">AI547*8760*CEG_Assets!$I$19*AI546</f>
        <v>0</v>
      </c>
      <c r="AJ549" s="9" t="n">
        <f aca="false">AJ547*8760*CEG_Assets!$I$19*AJ546</f>
        <v>0</v>
      </c>
      <c r="AK549" s="9" t="n">
        <f aca="false">AK547*8760*CEG_Assets!$I$19*AK546</f>
        <v>0</v>
      </c>
      <c r="AL549" s="9" t="n">
        <f aca="false">AL547*8760*CEG_Assets!$I$19*AL546</f>
        <v>0</v>
      </c>
      <c r="AM549" s="9" t="n">
        <f aca="false">AM547*8760*CEG_Assets!$I$19*AM546</f>
        <v>0</v>
      </c>
      <c r="AN549" s="9" t="n">
        <f aca="false">AN547*8760*CEG_Assets!$I$19*AN546</f>
        <v>0</v>
      </c>
      <c r="AO549" s="9" t="n">
        <f aca="false">AO547*8760*CEG_Assets!$I$19*AO546</f>
        <v>0</v>
      </c>
      <c r="AP549" s="9" t="n">
        <f aca="false">AP547*8760*CEG_Assets!$I$19*AP546</f>
        <v>0</v>
      </c>
      <c r="AQ549" s="9" t="n">
        <f aca="false">AQ547*8760*CEG_Assets!$I$19*AQ546</f>
        <v>0</v>
      </c>
      <c r="AR549" s="9" t="n">
        <f aca="false">AR547*8760*CEG_Assets!$I$19*AR546</f>
        <v>0</v>
      </c>
      <c r="AS549" s="9" t="n">
        <f aca="false">AS547*8760*CEG_Assets!$I$19*AS546</f>
        <v>0</v>
      </c>
    </row>
    <row r="550" customFormat="false" ht="15" hidden="false" customHeight="false" outlineLevel="0" collapsed="false">
      <c r="A550" s="6" t="s">
        <v>433</v>
      </c>
      <c r="B550" s="6" t="s">
        <v>434</v>
      </c>
      <c r="G550" s="7" t="n">
        <f aca="false">IF(ISNUMBER(CEG_Assets!$L$19),CEG_Assets!$L$19*G$4,INDEX(Prices!G:G,CEG_Assets!$AO$19)+FuelAdder*G$4)</f>
        <v>5.712</v>
      </c>
      <c r="H550" s="7" t="n">
        <f aca="false">IF(ISNUMBER(CEG_Assets!$L$19),CEG_Assets!$L$19*H$4,INDEX(Prices!H:H,CEG_Assets!$AO$19)+FuelAdder*H$4)</f>
        <v>5.82624</v>
      </c>
      <c r="I550" s="7" t="n">
        <f aca="false">IF(ISNUMBER(CEG_Assets!$L$19),CEG_Assets!$L$19*I$4,INDEX(Prices!I:I,CEG_Assets!$AO$19)+FuelAdder*I$4)</f>
        <v>6.0488856</v>
      </c>
      <c r="J550" s="7" t="n">
        <f aca="false">IF(ISNUMBER(CEG_Assets!$L$19),CEG_Assets!$L$19*J$4,INDEX(Prices!J:J,CEG_Assets!$AO$19)+FuelAdder*J$4)</f>
        <v>6.169863312</v>
      </c>
      <c r="K550" s="7" t="n">
        <f aca="false">IF(ISNUMBER(CEG_Assets!$L$19),CEG_Assets!$L$19*K$4,INDEX(Prices!K:K,CEG_Assets!$AO$19)+FuelAdder*K$4)</f>
        <v>6.29326057824</v>
      </c>
      <c r="L550" s="7" t="n">
        <f aca="false">IF(ISNUMBER(CEG_Assets!$L$19),CEG_Assets!$L$19*L$4,INDEX(Prices!L:L,CEG_Assets!$AO$19)+FuelAdder*L$4)</f>
        <v>6.4191257898048</v>
      </c>
      <c r="M550" s="7" t="n">
        <f aca="false">IF(ISNUMBER(CEG_Assets!$L$19),CEG_Assets!$L$19*M$4,INDEX(Prices!M:M,CEG_Assets!$AO$19)+FuelAdder*M$4)</f>
        <v>6.5475083056009</v>
      </c>
      <c r="N550" s="7" t="n">
        <f aca="false">IF(ISNUMBER(CEG_Assets!$L$19),CEG_Assets!$L$19*N$4,INDEX(Prices!N:N,CEG_Assets!$AO$19)+FuelAdder*N$4)</f>
        <v>6.67845847171292</v>
      </c>
      <c r="O550" s="7" t="n">
        <f aca="false">IF(ISNUMBER(CEG_Assets!$L$19),CEG_Assets!$L$19*O$4,INDEX(Prices!O:O,CEG_Assets!$AO$19)+FuelAdder*O$4)</f>
        <v>6.81202764114717</v>
      </c>
      <c r="P550" s="7" t="n">
        <f aca="false">IF(ISNUMBER(CEG_Assets!$L$19),CEG_Assets!$L$19*P$4,INDEX(Prices!P:P,CEG_Assets!$AO$19)+FuelAdder*P$4)</f>
        <v>6.94826819397012</v>
      </c>
      <c r="Q550" s="7" t="n">
        <f aca="false">IF(ISNUMBER(CEG_Assets!$L$19),CEG_Assets!$L$19*Q$4,INDEX(Prices!Q:Q,CEG_Assets!$AO$19)+FuelAdder*Q$4)</f>
        <v>7.08723355784952</v>
      </c>
      <c r="R550" s="7" t="n">
        <f aca="false">IF(ISNUMBER(CEG_Assets!$L$19),CEG_Assets!$L$19*R$4,INDEX(Prices!R:R,CEG_Assets!$AO$19)+FuelAdder*R$4)</f>
        <v>7.22897822900651</v>
      </c>
      <c r="S550" s="7" t="n">
        <f aca="false">IF(ISNUMBER(CEG_Assets!$L$19),CEG_Assets!$L$19*S$4,INDEX(Prices!S:S,CEG_Assets!$AO$19)+FuelAdder*S$4)</f>
        <v>7.37355779358664</v>
      </c>
      <c r="T550" s="7" t="n">
        <f aca="false">IF(ISNUMBER(CEG_Assets!$L$19),CEG_Assets!$L$19*T$4,INDEX(Prices!T:T,CEG_Assets!$AO$19)+FuelAdder*T$4)</f>
        <v>7.52102894945837</v>
      </c>
      <c r="U550" s="7" t="n">
        <f aca="false">IF(ISNUMBER(CEG_Assets!$L$19),CEG_Assets!$L$19*U$4,INDEX(Prices!U:U,CEG_Assets!$AO$19)+FuelAdder*U$4)</f>
        <v>7.67144952844754</v>
      </c>
      <c r="V550" s="7" t="n">
        <f aca="false">IF(ISNUMBER(CEG_Assets!$L$19),CEG_Assets!$L$19*V$4,INDEX(Prices!V:V,CEG_Assets!$AO$19)+FuelAdder*V$4)</f>
        <v>7.82487851901649</v>
      </c>
      <c r="W550" s="7" t="n">
        <f aca="false">IF(ISNUMBER(CEG_Assets!$L$19),CEG_Assets!$L$19*W$4,INDEX(Prices!W:W,CEG_Assets!$AO$19)+FuelAdder*W$4)</f>
        <v>7.98137608939682</v>
      </c>
      <c r="X550" s="7" t="n">
        <f aca="false">IF(ISNUMBER(CEG_Assets!$L$19),CEG_Assets!$L$19*X$4,INDEX(Prices!X:X,CEG_Assets!$AO$19)+FuelAdder*X$4)</f>
        <v>8.14100361118476</v>
      </c>
      <c r="Y550" s="7" t="n">
        <f aca="false">IF(ISNUMBER(CEG_Assets!$L$19),CEG_Assets!$L$19*Y$4,INDEX(Prices!Y:Y,CEG_Assets!$AO$19)+FuelAdder*Y$4)</f>
        <v>8.30382368340845</v>
      </c>
      <c r="Z550" s="7" t="n">
        <f aca="false">IF(ISNUMBER(CEG_Assets!$L$19),CEG_Assets!$L$19*Z$4,INDEX(Prices!Z:Z,CEG_Assets!$AO$19)+FuelAdder*Z$4)</f>
        <v>8.46990015707662</v>
      </c>
      <c r="AA550" s="7" t="n">
        <f aca="false">IF(ISNUMBER(CEG_Assets!$L$19),CEG_Assets!$L$19*AA$4,INDEX(Prices!AA:AA,CEG_Assets!$AO$19)+FuelAdder*AA$4)</f>
        <v>8.63929816021816</v>
      </c>
      <c r="AB550" s="7" t="n">
        <f aca="false">IF(ISNUMBER(CEG_Assets!$L$19),CEG_Assets!$L$19*AB$4,INDEX(Prices!AB:AB,CEG_Assets!$AO$19)+FuelAdder*AB$4)</f>
        <v>8.81208412342252</v>
      </c>
      <c r="AC550" s="7" t="n">
        <f aca="false">IF(ISNUMBER(CEG_Assets!$L$19),CEG_Assets!$L$19*AC$4,INDEX(Prices!AC:AC,CEG_Assets!$AO$19)+FuelAdder*AC$4)</f>
        <v>8.98832580589097</v>
      </c>
      <c r="AD550" s="7" t="n">
        <f aca="false">IF(ISNUMBER(CEG_Assets!$L$19),CEG_Assets!$L$19*AD$4,INDEX(Prices!AD:AD,CEG_Assets!$AO$19)+FuelAdder*AD$4)</f>
        <v>9.16809232200879</v>
      </c>
      <c r="AE550" s="7" t="n">
        <f aca="false">IF(ISNUMBER(CEG_Assets!$L$19),CEG_Assets!$L$19*AE$4,INDEX(Prices!AE:AE,CEG_Assets!$AO$19)+FuelAdder*AE$4)</f>
        <v>9.35145416844897</v>
      </c>
      <c r="AF550" s="7" t="n">
        <f aca="false">IF(ISNUMBER(CEG_Assets!$L$19),CEG_Assets!$L$19*AF$4,INDEX(Prices!AF:AF,CEG_Assets!$AO$19)+FuelAdder*AF$4)</f>
        <v>9.53848325181794</v>
      </c>
      <c r="AG550" s="7" t="n">
        <f aca="false">IF(ISNUMBER(CEG_Assets!$L$19),CEG_Assets!$L$19*AG$4,INDEX(Prices!AG:AG,CEG_Assets!$AO$19)+FuelAdder*AG$4)</f>
        <v>9.7292529168543</v>
      </c>
      <c r="AH550" s="7" t="n">
        <f aca="false">IF(ISNUMBER(CEG_Assets!$L$19),CEG_Assets!$L$19*AH$4,INDEX(Prices!AH:AH,CEG_Assets!$AO$19)+FuelAdder*AH$4)</f>
        <v>9.92383797519139</v>
      </c>
      <c r="AI550" s="7" t="n">
        <f aca="false">IF(ISNUMBER(CEG_Assets!$L$19),CEG_Assets!$L$19*AI$4,INDEX(Prices!AI:AI,CEG_Assets!$AO$19)+FuelAdder*AI$4)</f>
        <v>10.1223147346952</v>
      </c>
      <c r="AJ550" s="7" t="n">
        <f aca="false">IF(ISNUMBER(CEG_Assets!$L$19),CEG_Assets!$L$19*AJ$4,INDEX(Prices!AJ:AJ,CEG_Assets!$AO$19)+FuelAdder*AJ$4)</f>
        <v>10.3247610293891</v>
      </c>
      <c r="AK550" s="7" t="n">
        <f aca="false">IF(ISNUMBER(CEG_Assets!$L$19),CEG_Assets!$L$19*AK$4,INDEX(Prices!AK:AK,CEG_Assets!$AO$19)+FuelAdder*AK$4)</f>
        <v>10.5312562499769</v>
      </c>
      <c r="AL550" s="7" t="n">
        <f aca="false">IF(ISNUMBER(CEG_Assets!$L$19),CEG_Assets!$L$19*AL$4,INDEX(Prices!AL:AL,CEG_Assets!$AO$19)+FuelAdder*AL$4)</f>
        <v>10.7418813749764</v>
      </c>
      <c r="AM550" s="7" t="n">
        <f aca="false">IF(ISNUMBER(CEG_Assets!$L$19),CEG_Assets!$L$19*AM$4,INDEX(Prices!AM:AM,CEG_Assets!$AO$19)+FuelAdder*AM$4)</f>
        <v>10.956719002476</v>
      </c>
      <c r="AN550" s="7" t="n">
        <f aca="false">IF(ISNUMBER(CEG_Assets!$L$19),CEG_Assets!$L$19*AN$4,INDEX(Prices!AN:AN,CEG_Assets!$AO$19)+FuelAdder*AN$4)</f>
        <v>11.1758533825255</v>
      </c>
      <c r="AO550" s="7" t="n">
        <f aca="false">IF(ISNUMBER(CEG_Assets!$L$19),CEG_Assets!$L$19*AO$4,INDEX(Prices!AO:AO,CEG_Assets!$AO$19)+FuelAdder*AO$4)</f>
        <v>11.399370450176</v>
      </c>
      <c r="AP550" s="7" t="n">
        <f aca="false">IF(ISNUMBER(CEG_Assets!$L$19),CEG_Assets!$L$19*AP$4,INDEX(Prices!AP:AP,CEG_Assets!$AO$19)+FuelAdder*AP$4)</f>
        <v>11.6273578591795</v>
      </c>
      <c r="AQ550" s="7" t="n">
        <f aca="false">IF(ISNUMBER(CEG_Assets!$L$19),CEG_Assets!$L$19*AQ$4,INDEX(Prices!AQ:AQ,CEG_Assets!$AO$19)+FuelAdder*AQ$4)</f>
        <v>11.8599050163631</v>
      </c>
      <c r="AR550" s="7" t="n">
        <f aca="false">IF(ISNUMBER(CEG_Assets!$L$19),CEG_Assets!$L$19*AR$4,INDEX(Prices!AR:AR,CEG_Assets!$AO$19)+FuelAdder*AR$4)</f>
        <v>12.0971031166904</v>
      </c>
      <c r="AS550" s="7" t="n">
        <f aca="false">IF(ISNUMBER(CEG_Assets!$L$19),CEG_Assets!$L$19*AS$4,INDEX(Prices!AS:AS,CEG_Assets!$AO$19)+FuelAdder*AS$4)</f>
        <v>12.3390451790242</v>
      </c>
    </row>
    <row r="551" customFormat="false" ht="15" hidden="false" customHeight="false" outlineLevel="0" collapsed="false">
      <c r="A551" s="6" t="s">
        <v>435</v>
      </c>
      <c r="B551" s="6" t="s">
        <v>436</v>
      </c>
      <c r="G551" s="7" t="n">
        <f aca="false">INDEX(Prices!G:G,CEG_Assets!$AN$19)*CEG_Assets!$J$19-CEG_Assets!$K$19*G550-CEG_Assets!$M$19*G$4</f>
        <v>36.9516</v>
      </c>
      <c r="H551" s="7" t="n">
        <f aca="false">INDEX(Prices!H:H,CEG_Assets!$AN$19)*CEG_Assets!$J$19-CEG_Assets!$K$19*H550-CEG_Assets!$M$19*H$4</f>
        <v>37.191672</v>
      </c>
      <c r="I551" s="7" t="n">
        <f aca="false">INDEX(Prices!I:I,CEG_Assets!$AN$19)*CEG_Assets!$J$19-CEG_Assets!$K$19*I550-CEG_Assets!$M$19*I$4</f>
        <v>28.6614754506</v>
      </c>
      <c r="J551" s="7" t="n">
        <f aca="false">INDEX(Prices!J:J,CEG_Assets!$AN$19)*CEG_Assets!$J$19-CEG_Assets!$K$19*J550-CEG_Assets!$M$19*J$4</f>
        <v>25.713338325624</v>
      </c>
      <c r="K551" s="7" t="n">
        <f aca="false">INDEX(Prices!K:K,CEG_Assets!$AN$19)*CEG_Assets!$J$19-CEG_Assets!$K$19*K550-CEG_Assets!$M$19*K$4</f>
        <v>26.2276050921365</v>
      </c>
      <c r="L551" s="7" t="n">
        <f aca="false">INDEX(Prices!L:L,CEG_Assets!$AN$19)*CEG_Assets!$J$19-CEG_Assets!$K$19*L550-CEG_Assets!$M$19*L$4</f>
        <v>26.7521571939792</v>
      </c>
      <c r="M551" s="7" t="n">
        <f aca="false">INDEX(Prices!M:M,CEG_Assets!$AN$19)*CEG_Assets!$J$19-CEG_Assets!$K$19*M550-CEG_Assets!$M$19*M$4</f>
        <v>27.2872003378588</v>
      </c>
      <c r="N551" s="7" t="n">
        <f aca="false">INDEX(Prices!N:N,CEG_Assets!$AN$19)*CEG_Assets!$J$19-CEG_Assets!$K$19*N550-CEG_Assets!$M$19*N$4</f>
        <v>27.832944344616</v>
      </c>
      <c r="O551" s="7" t="n">
        <f aca="false">INDEX(Prices!O:O,CEG_Assets!$AN$19)*CEG_Assets!$J$19-CEG_Assets!$K$19*O550-CEG_Assets!$M$19*O$4</f>
        <v>28.3896032315083</v>
      </c>
      <c r="P551" s="7" t="n">
        <f aca="false">INDEX(Prices!P:P,CEG_Assets!$AN$19)*CEG_Assets!$J$19-CEG_Assets!$K$19*P550-CEG_Assets!$M$19*P$4</f>
        <v>28.9573952961385</v>
      </c>
      <c r="Q551" s="7" t="n">
        <f aca="false">INDEX(Prices!Q:Q,CEG_Assets!$AN$19)*CEG_Assets!$J$19-CEG_Assets!$K$19*Q550-CEG_Assets!$M$19*Q$4</f>
        <v>29.5365432020612</v>
      </c>
      <c r="R551" s="7" t="n">
        <f aca="false">INDEX(Prices!R:R,CEG_Assets!$AN$19)*CEG_Assets!$J$19-CEG_Assets!$K$19*R550-CEG_Assets!$M$19*R$4</f>
        <v>30.1272740661025</v>
      </c>
      <c r="S551" s="7" t="n">
        <f aca="false">INDEX(Prices!S:S,CEG_Assets!$AN$19)*CEG_Assets!$J$19-CEG_Assets!$K$19*S550-CEG_Assets!$M$19*S$4</f>
        <v>30.7298195474245</v>
      </c>
      <c r="T551" s="7" t="n">
        <f aca="false">INDEX(Prices!T:T,CEG_Assets!$AN$19)*CEG_Assets!$J$19-CEG_Assets!$K$19*T550-CEG_Assets!$M$19*T$4</f>
        <v>31.344415938373</v>
      </c>
      <c r="U551" s="7" t="n">
        <f aca="false">INDEX(Prices!U:U,CEG_Assets!$AN$19)*CEG_Assets!$J$19-CEG_Assets!$K$19*U550-CEG_Assets!$M$19*U$4</f>
        <v>31.9713042571405</v>
      </c>
      <c r="V551" s="7" t="n">
        <f aca="false">INDEX(Prices!V:V,CEG_Assets!$AN$19)*CEG_Assets!$J$19-CEG_Assets!$K$19*V550-CEG_Assets!$M$19*V$4</f>
        <v>32.6107303422833</v>
      </c>
      <c r="W551" s="7" t="n">
        <f aca="false">INDEX(Prices!W:W,CEG_Assets!$AN$19)*CEG_Assets!$J$19-CEG_Assets!$K$19*W550-CEG_Assets!$M$19*W$4</f>
        <v>33.262944949129</v>
      </c>
      <c r="X551" s="7" t="n">
        <f aca="false">INDEX(Prices!X:X,CEG_Assets!$AN$19)*CEG_Assets!$J$19-CEG_Assets!$K$19*X550-CEG_Assets!$M$19*X$4</f>
        <v>33.9282038481115</v>
      </c>
      <c r="Y551" s="7" t="n">
        <f aca="false">INDEX(Prices!Y:Y,CEG_Assets!$AN$19)*CEG_Assets!$J$19-CEG_Assets!$K$19*Y550-CEG_Assets!$M$19*Y$4</f>
        <v>34.6067679250738</v>
      </c>
      <c r="Z551" s="7" t="n">
        <f aca="false">INDEX(Prices!Z:Z,CEG_Assets!$AN$19)*CEG_Assets!$J$19-CEG_Assets!$K$19*Z550-CEG_Assets!$M$19*Z$4</f>
        <v>35.2989032835752</v>
      </c>
      <c r="AA551" s="7" t="n">
        <f aca="false">INDEX(Prices!AA:AA,CEG_Assets!$AN$19)*CEG_Assets!$J$19-CEG_Assets!$K$19*AA550-CEG_Assets!$M$19*AA$4</f>
        <v>36.0048813492467</v>
      </c>
      <c r="AB551" s="7" t="n">
        <f aca="false">INDEX(Prices!AB:AB,CEG_Assets!$AN$19)*CEG_Assets!$J$19-CEG_Assets!$K$19*AB550-CEG_Assets!$M$19*AB$4</f>
        <v>36.7249789762317</v>
      </c>
      <c r="AC551" s="7" t="n">
        <f aca="false">INDEX(Prices!AC:AC,CEG_Assets!$AN$19)*CEG_Assets!$J$19-CEG_Assets!$K$19*AC550-CEG_Assets!$M$19*AC$4</f>
        <v>37.4594785557563</v>
      </c>
      <c r="AD551" s="7" t="n">
        <f aca="false">INDEX(Prices!AD:AD,CEG_Assets!$AN$19)*CEG_Assets!$J$19-CEG_Assets!$K$19*AD550-CEG_Assets!$M$19*AD$4</f>
        <v>38.2086681268714</v>
      </c>
      <c r="AE551" s="7" t="n">
        <f aca="false">INDEX(Prices!AE:AE,CEG_Assets!$AN$19)*CEG_Assets!$J$19-CEG_Assets!$K$19*AE550-CEG_Assets!$M$19*AE$4</f>
        <v>38.9728414894089</v>
      </c>
      <c r="AF551" s="7" t="n">
        <f aca="false">INDEX(Prices!AF:AF,CEG_Assets!$AN$19)*CEG_Assets!$J$19-CEG_Assets!$K$19*AF550-CEG_Assets!$M$19*AF$4</f>
        <v>39.752298319197</v>
      </c>
      <c r="AG551" s="7" t="n">
        <f aca="false">INDEX(Prices!AG:AG,CEG_Assets!$AN$19)*CEG_Assets!$J$19-CEG_Assets!$K$19*AG550-CEG_Assets!$M$19*AG$4</f>
        <v>40.547344285581</v>
      </c>
      <c r="AH551" s="7" t="n">
        <f aca="false">INDEX(Prices!AH:AH,CEG_Assets!$AN$19)*CEG_Assets!$J$19-CEG_Assets!$K$19*AH550-CEG_Assets!$M$19*AH$4</f>
        <v>41.3582911712926</v>
      </c>
      <c r="AI551" s="7" t="n">
        <f aca="false">INDEX(Prices!AI:AI,CEG_Assets!$AN$19)*CEG_Assets!$J$19-CEG_Assets!$K$19*AI550-CEG_Assets!$M$19*AI$4</f>
        <v>42.1854569947184</v>
      </c>
      <c r="AJ551" s="7" t="n">
        <f aca="false">INDEX(Prices!AJ:AJ,CEG_Assets!$AN$19)*CEG_Assets!$J$19-CEG_Assets!$K$19*AJ550-CEG_Assets!$M$19*AJ$4</f>
        <v>43.0291661346128</v>
      </c>
      <c r="AK551" s="7" t="n">
        <f aca="false">INDEX(Prices!AK:AK,CEG_Assets!$AN$19)*CEG_Assets!$J$19-CEG_Assets!$K$19*AK550-CEG_Assets!$M$19*AK$4</f>
        <v>43.8897494573051</v>
      </c>
      <c r="AL551" s="7" t="n">
        <f aca="false">INDEX(Prices!AL:AL,CEG_Assets!$AN$19)*CEG_Assets!$J$19-CEG_Assets!$K$19*AL550-CEG_Assets!$M$19*AL$4</f>
        <v>44.7675444464512</v>
      </c>
      <c r="AM551" s="7" t="n">
        <f aca="false">INDEX(Prices!AM:AM,CEG_Assets!$AN$19)*CEG_Assets!$J$19-CEG_Assets!$K$19*AM550-CEG_Assets!$M$19*AM$4</f>
        <v>45.6628953353802</v>
      </c>
      <c r="AN551" s="7" t="n">
        <f aca="false">INDEX(Prices!AN:AN,CEG_Assets!$AN$19)*CEG_Assets!$J$19-CEG_Assets!$K$19*AN550-CEG_Assets!$M$19*AN$4</f>
        <v>46.5761532420878</v>
      </c>
      <c r="AO551" s="7" t="n">
        <f aca="false">INDEX(Prices!AO:AO,CEG_Assets!$AN$19)*CEG_Assets!$J$19-CEG_Assets!$K$19*AO550-CEG_Assets!$M$19*AO$4</f>
        <v>47.5076763069296</v>
      </c>
      <c r="AP551" s="7" t="n">
        <f aca="false">INDEX(Prices!AP:AP,CEG_Assets!$AN$19)*CEG_Assets!$J$19-CEG_Assets!$K$19*AP550-CEG_Assets!$M$19*AP$4</f>
        <v>48.4578298330681</v>
      </c>
      <c r="AQ551" s="7" t="n">
        <f aca="false">INDEX(Prices!AQ:AQ,CEG_Assets!$AN$19)*CEG_Assets!$J$19-CEG_Assets!$K$19*AQ550-CEG_Assets!$M$19*AQ$4</f>
        <v>49.4269864297295</v>
      </c>
      <c r="AR551" s="7" t="n">
        <f aca="false">INDEX(Prices!AR:AR,CEG_Assets!$AN$19)*CEG_Assets!$J$19-CEG_Assets!$K$19*AR550-CEG_Assets!$M$19*AR$4</f>
        <v>50.4155261583241</v>
      </c>
      <c r="AS551" s="7" t="n">
        <f aca="false">INDEX(Prices!AS:AS,CEG_Assets!$AN$19)*CEG_Assets!$J$19-CEG_Assets!$K$19*AS550-CEG_Assets!$M$19*AS$4</f>
        <v>51.4238366814906</v>
      </c>
    </row>
    <row r="552" customFormat="false" ht="15" hidden="false" customHeight="false" outlineLevel="0" collapsed="false">
      <c r="A552" s="6" t="s">
        <v>437</v>
      </c>
      <c r="B552" s="6" t="s">
        <v>438</v>
      </c>
      <c r="G552" s="47" t="n">
        <f aca="false">IF(CEG_Assets!$X$19=1,IF(G551&gt;0,1,0),1)</f>
        <v>1</v>
      </c>
      <c r="H552" s="47" t="n">
        <f aca="false">IF(CEG_Assets!$X$19=1,IF(H551&gt;0,1,0),1)</f>
        <v>1</v>
      </c>
      <c r="I552" s="47" t="n">
        <f aca="false">IF(CEG_Assets!$X$19=1,IF(I551&gt;0,1,0),1)</f>
        <v>1</v>
      </c>
      <c r="J552" s="47" t="n">
        <f aca="false">IF(CEG_Assets!$X$19=1,IF(J551&gt;0,1,0),1)</f>
        <v>1</v>
      </c>
      <c r="K552" s="47" t="n">
        <f aca="false">IF(CEG_Assets!$X$19=1,IF(K551&gt;0,1,0),1)</f>
        <v>1</v>
      </c>
      <c r="L552" s="47" t="n">
        <f aca="false">IF(CEG_Assets!$X$19=1,IF(L551&gt;0,1,0),1)</f>
        <v>1</v>
      </c>
      <c r="M552" s="47" t="n">
        <f aca="false">IF(CEG_Assets!$X$19=1,IF(M551&gt;0,1,0),1)</f>
        <v>1</v>
      </c>
      <c r="N552" s="47" t="n">
        <f aca="false">IF(CEG_Assets!$X$19=1,IF(N551&gt;0,1,0),1)</f>
        <v>1</v>
      </c>
      <c r="O552" s="47" t="n">
        <f aca="false">IF(CEG_Assets!$X$19=1,IF(O551&gt;0,1,0),1)</f>
        <v>1</v>
      </c>
      <c r="P552" s="47" t="n">
        <f aca="false">IF(CEG_Assets!$X$19=1,IF(P551&gt;0,1,0),1)</f>
        <v>1</v>
      </c>
      <c r="Q552" s="47" t="n">
        <f aca="false">IF(CEG_Assets!$X$19=1,IF(Q551&gt;0,1,0),1)</f>
        <v>1</v>
      </c>
      <c r="R552" s="47" t="n">
        <f aca="false">IF(CEG_Assets!$X$19=1,IF(R551&gt;0,1,0),1)</f>
        <v>1</v>
      </c>
      <c r="S552" s="47" t="n">
        <f aca="false">IF(CEG_Assets!$X$19=1,IF(S551&gt;0,1,0),1)</f>
        <v>1</v>
      </c>
      <c r="T552" s="47" t="n">
        <f aca="false">IF(CEG_Assets!$X$19=1,IF(T551&gt;0,1,0),1)</f>
        <v>1</v>
      </c>
      <c r="U552" s="47" t="n">
        <f aca="false">IF(CEG_Assets!$X$19=1,IF(U551&gt;0,1,0),1)</f>
        <v>1</v>
      </c>
      <c r="V552" s="47" t="n">
        <f aca="false">IF(CEG_Assets!$X$19=1,IF(V551&gt;0,1,0),1)</f>
        <v>1</v>
      </c>
      <c r="W552" s="47" t="n">
        <f aca="false">IF(CEG_Assets!$X$19=1,IF(W551&gt;0,1,0),1)</f>
        <v>1</v>
      </c>
      <c r="X552" s="47" t="n">
        <f aca="false">IF(CEG_Assets!$X$19=1,IF(X551&gt;0,1,0),1)</f>
        <v>1</v>
      </c>
      <c r="Y552" s="47" t="n">
        <f aca="false">IF(CEG_Assets!$X$19=1,IF(Y551&gt;0,1,0),1)</f>
        <v>1</v>
      </c>
      <c r="Z552" s="47" t="n">
        <f aca="false">IF(CEG_Assets!$X$19=1,IF(Z551&gt;0,1,0),1)</f>
        <v>1</v>
      </c>
      <c r="AA552" s="47" t="n">
        <f aca="false">IF(CEG_Assets!$X$19=1,IF(AA551&gt;0,1,0),1)</f>
        <v>1</v>
      </c>
      <c r="AB552" s="47" t="n">
        <f aca="false">IF(CEG_Assets!$X$19=1,IF(AB551&gt;0,1,0),1)</f>
        <v>1</v>
      </c>
      <c r="AC552" s="47" t="n">
        <f aca="false">IF(CEG_Assets!$X$19=1,IF(AC551&gt;0,1,0),1)</f>
        <v>1</v>
      </c>
      <c r="AD552" s="47" t="n">
        <f aca="false">IF(CEG_Assets!$X$19=1,IF(AD551&gt;0,1,0),1)</f>
        <v>1</v>
      </c>
      <c r="AE552" s="47" t="n">
        <f aca="false">IF(CEG_Assets!$X$19=1,IF(AE551&gt;0,1,0),1)</f>
        <v>1</v>
      </c>
      <c r="AF552" s="47" t="n">
        <f aca="false">IF(CEG_Assets!$X$19=1,IF(AF551&gt;0,1,0),1)</f>
        <v>1</v>
      </c>
      <c r="AG552" s="47" t="n">
        <f aca="false">IF(CEG_Assets!$X$19=1,IF(AG551&gt;0,1,0),1)</f>
        <v>1</v>
      </c>
      <c r="AH552" s="47" t="n">
        <f aca="false">IF(CEG_Assets!$X$19=1,IF(AH551&gt;0,1,0),1)</f>
        <v>1</v>
      </c>
      <c r="AI552" s="47" t="n">
        <f aca="false">IF(CEG_Assets!$X$19=1,IF(AI551&gt;0,1,0),1)</f>
        <v>1</v>
      </c>
      <c r="AJ552" s="47" t="n">
        <f aca="false">IF(CEG_Assets!$X$19=1,IF(AJ551&gt;0,1,0),1)</f>
        <v>1</v>
      </c>
      <c r="AK552" s="47" t="n">
        <f aca="false">IF(CEG_Assets!$X$19=1,IF(AK551&gt;0,1,0),1)</f>
        <v>1</v>
      </c>
      <c r="AL552" s="47" t="n">
        <f aca="false">IF(CEG_Assets!$X$19=1,IF(AL551&gt;0,1,0),1)</f>
        <v>1</v>
      </c>
      <c r="AM552" s="47" t="n">
        <f aca="false">IF(CEG_Assets!$X$19=1,IF(AM551&gt;0,1,0),1)</f>
        <v>1</v>
      </c>
      <c r="AN552" s="47" t="n">
        <f aca="false">IF(CEG_Assets!$X$19=1,IF(AN551&gt;0,1,0),1)</f>
        <v>1</v>
      </c>
      <c r="AO552" s="47" t="n">
        <f aca="false">IF(CEG_Assets!$X$19=1,IF(AO551&gt;0,1,0),1)</f>
        <v>1</v>
      </c>
      <c r="AP552" s="47" t="n">
        <f aca="false">IF(CEG_Assets!$X$19=1,IF(AP551&gt;0,1,0),1)</f>
        <v>1</v>
      </c>
      <c r="AQ552" s="47" t="n">
        <f aca="false">IF(CEG_Assets!$X$19=1,IF(AQ551&gt;0,1,0),1)</f>
        <v>1</v>
      </c>
      <c r="AR552" s="47" t="n">
        <f aca="false">IF(CEG_Assets!$X$19=1,IF(AR551&gt;0,1,0),1)</f>
        <v>1</v>
      </c>
      <c r="AS552" s="47" t="n">
        <f aca="false">IF(CEG_Assets!$X$19=1,IF(AS551&gt;0,1,0),1)</f>
        <v>1</v>
      </c>
    </row>
    <row r="553" customFormat="false" ht="15" hidden="false" customHeight="false" outlineLevel="0" collapsed="false">
      <c r="A553" s="6" t="s">
        <v>439</v>
      </c>
      <c r="B553" s="6" t="s">
        <v>440</v>
      </c>
      <c r="C553" s="9" t="n">
        <f aca="false">SUM(G553:AS553)</f>
        <v>5152.78157123655</v>
      </c>
      <c r="G553" s="8" t="n">
        <f aca="false">G548*INDEX(Prices!G:G,CEG_Assets!$AN$19)*CEG_Assets!$J$19*G552/1000000*(1+CEG_RevAdj)</f>
        <v>196.010557344</v>
      </c>
      <c r="H553" s="8" t="n">
        <f aca="false">H548*INDEX(Prices!H:H,CEG_Assets!$AN$19)*CEG_Assets!$J$19*H552/1000000*(1+CEG_RevAdj)</f>
        <v>198.732926196</v>
      </c>
      <c r="I553" s="8" t="n">
        <f aca="false">I548*INDEX(Prices!I:I,CEG_Assets!$AN$19)*CEG_Assets!$J$19*I552/1000000*(1+CEG_RevAdj)</f>
        <v>182.277910416324</v>
      </c>
      <c r="J553" s="8" t="n">
        <f aca="false">J548*INDEX(Prices!J:J,CEG_Assets!$AN$19)*CEG_Assets!$J$19*J552/1000000*(1+CEG_RevAdj)</f>
        <v>177.469801216502</v>
      </c>
      <c r="K553" s="8" t="n">
        <f aca="false">K548*INDEX(Prices!K:K,CEG_Assets!$AN$19)*CEG_Assets!$J$19*K552/1000000*(1+CEG_RevAdj)</f>
        <v>181.019197240832</v>
      </c>
      <c r="L553" s="8" t="n">
        <f aca="false">L548*INDEX(Prices!L:L,CEG_Assets!$AN$19)*CEG_Assets!$J$19*L552/1000000*(1+CEG_RevAdj)</f>
        <v>184.639581185649</v>
      </c>
      <c r="M553" s="8" t="n">
        <f aca="false">M548*INDEX(Prices!M:M,CEG_Assets!$AN$19)*CEG_Assets!$J$19*M552/1000000*(1+CEG_RevAdj)</f>
        <v>188.332372809362</v>
      </c>
      <c r="N553" s="8" t="n">
        <f aca="false">N548*INDEX(Prices!N:N,CEG_Assets!$AN$19)*CEG_Assets!$J$19*N552/1000000*(1+CEG_RevAdj)</f>
        <v>192.099020265549</v>
      </c>
      <c r="O553" s="8" t="n">
        <f aca="false">O548*INDEX(Prices!O:O,CEG_Assets!$AN$19)*CEG_Assets!$J$19*O552/1000000*(1+CEG_RevAdj)</f>
        <v>195.94100067086</v>
      </c>
      <c r="P553" s="8" t="n">
        <f aca="false">P548*INDEX(Prices!P:P,CEG_Assets!$AN$19)*CEG_Assets!$J$19*P552/1000000*(1+CEG_RevAdj)</f>
        <v>199.859820684277</v>
      </c>
      <c r="Q553" s="8" t="n">
        <f aca="false">Q548*INDEX(Prices!Q:Q,CEG_Assets!$AN$19)*CEG_Assets!$J$19*Q552/1000000*(1+CEG_RevAdj)</f>
        <v>203.857017097963</v>
      </c>
      <c r="R553" s="8" t="n">
        <f aca="false">R548*INDEX(Prices!R:R,CEG_Assets!$AN$19)*CEG_Assets!$J$19*R552/1000000*(1+CEG_RevAdj)</f>
        <v>207.934157439922</v>
      </c>
      <c r="S553" s="8" t="n">
        <f aca="false">S548*INDEX(Prices!S:S,CEG_Assets!$AN$19)*CEG_Assets!$J$19*S552/1000000*(1+CEG_RevAdj)</f>
        <v>212.09284058872</v>
      </c>
      <c r="T553" s="8" t="n">
        <f aca="false">T548*INDEX(Prices!T:T,CEG_Assets!$AN$19)*CEG_Assets!$J$19*T552/1000000*(1+CEG_RevAdj)</f>
        <v>216.334697400495</v>
      </c>
      <c r="U553" s="8" t="n">
        <f aca="false">U548*INDEX(Prices!U:U,CEG_Assets!$AN$19)*CEG_Assets!$J$19*U552/1000000*(1+CEG_RevAdj)</f>
        <v>220.661391348505</v>
      </c>
      <c r="V553" s="8" t="n">
        <f aca="false">V548*INDEX(Prices!V:V,CEG_Assets!$AN$19)*CEG_Assets!$J$19*V552/1000000*(1+CEG_RevAdj)</f>
        <v>225.074619175475</v>
      </c>
      <c r="W553" s="8" t="n">
        <f aca="false">W548*INDEX(Prices!W:W,CEG_Assets!$AN$19)*CEG_Assets!$J$19*W552/1000000*(1+CEG_RevAdj)</f>
        <v>229.576111558984</v>
      </c>
      <c r="X553" s="8" t="n">
        <f aca="false">X548*INDEX(Prices!X:X,CEG_Assets!$AN$19)*CEG_Assets!$J$19*X552/1000000*(1+CEG_RevAdj)</f>
        <v>234.167633790164</v>
      </c>
      <c r="Y553" s="8" t="n">
        <f aca="false">Y548*INDEX(Prices!Y:Y,CEG_Assets!$AN$19)*CEG_Assets!$J$19*Y552/1000000*(1+CEG_RevAdj)</f>
        <v>238.850986465967</v>
      </c>
      <c r="Z553" s="8" t="n">
        <f aca="false">Z548*INDEX(Prices!Z:Z,CEG_Assets!$AN$19)*CEG_Assets!$J$19*Z552/1000000*(1+CEG_RevAdj)</f>
        <v>243.628006195286</v>
      </c>
      <c r="AA553" s="8" t="n">
        <f aca="false">AA548*INDEX(Prices!AA:AA,CEG_Assets!$AN$19)*CEG_Assets!$J$19*AA552/1000000*(1+CEG_RevAdj)</f>
        <v>248.500566319192</v>
      </c>
      <c r="AB553" s="8" t="n">
        <f aca="false">AB548*INDEX(Prices!AB:AB,CEG_Assets!$AN$19)*CEG_Assets!$J$19*AB552/1000000*(1+CEG_RevAdj)</f>
        <v>253.470577645576</v>
      </c>
      <c r="AC553" s="8" t="n">
        <f aca="false">AC548*INDEX(Prices!AC:AC,CEG_Assets!$AN$19)*CEG_Assets!$J$19*AC552/1000000*(1+CEG_RevAdj)</f>
        <v>258.539989198488</v>
      </c>
      <c r="AD553" s="8" t="n">
        <f aca="false">AD548*INDEX(Prices!AD:AD,CEG_Assets!$AN$19)*CEG_Assets!$J$19*AD552/1000000*(1+CEG_RevAdj)</f>
        <v>263.710788982457</v>
      </c>
      <c r="AE553" s="8" t="n">
        <f aca="false">AE548*INDEX(Prices!AE:AE,CEG_Assets!$AN$19)*CEG_Assets!$J$19*AE552/1000000*(1+CEG_RevAdj)</f>
        <v>0</v>
      </c>
      <c r="AF553" s="8" t="n">
        <f aca="false">AF548*INDEX(Prices!AF:AF,CEG_Assets!$AN$19)*CEG_Assets!$J$19*AF552/1000000*(1+CEG_RevAdj)</f>
        <v>0</v>
      </c>
      <c r="AG553" s="8" t="n">
        <f aca="false">AG548*INDEX(Prices!AG:AG,CEG_Assets!$AN$19)*CEG_Assets!$J$19*AG552/1000000*(1+CEG_RevAdj)</f>
        <v>0</v>
      </c>
      <c r="AH553" s="8" t="n">
        <f aca="false">AH548*INDEX(Prices!AH:AH,CEG_Assets!$AN$19)*CEG_Assets!$J$19*AH552/1000000*(1+CEG_RevAdj)</f>
        <v>0</v>
      </c>
      <c r="AI553" s="8" t="n">
        <f aca="false">AI548*INDEX(Prices!AI:AI,CEG_Assets!$AN$19)*CEG_Assets!$J$19*AI552/1000000*(1+CEG_RevAdj)</f>
        <v>0</v>
      </c>
      <c r="AJ553" s="8" t="n">
        <f aca="false">AJ548*INDEX(Prices!AJ:AJ,CEG_Assets!$AN$19)*CEG_Assets!$J$19*AJ552/1000000*(1+CEG_RevAdj)</f>
        <v>0</v>
      </c>
      <c r="AK553" s="8" t="n">
        <f aca="false">AK548*INDEX(Prices!AK:AK,CEG_Assets!$AN$19)*CEG_Assets!$J$19*AK552/1000000*(1+CEG_RevAdj)</f>
        <v>0</v>
      </c>
      <c r="AL553" s="8" t="n">
        <f aca="false">AL548*INDEX(Prices!AL:AL,CEG_Assets!$AN$19)*CEG_Assets!$J$19*AL552/1000000*(1+CEG_RevAdj)</f>
        <v>0</v>
      </c>
      <c r="AM553" s="8" t="n">
        <f aca="false">AM548*INDEX(Prices!AM:AM,CEG_Assets!$AN$19)*CEG_Assets!$J$19*AM552/1000000*(1+CEG_RevAdj)</f>
        <v>0</v>
      </c>
      <c r="AN553" s="8" t="n">
        <f aca="false">AN548*INDEX(Prices!AN:AN,CEG_Assets!$AN$19)*CEG_Assets!$J$19*AN552/1000000*(1+CEG_RevAdj)</f>
        <v>0</v>
      </c>
      <c r="AO553" s="8" t="n">
        <f aca="false">AO548*INDEX(Prices!AO:AO,CEG_Assets!$AN$19)*CEG_Assets!$J$19*AO552/1000000*(1+CEG_RevAdj)</f>
        <v>0</v>
      </c>
      <c r="AP553" s="8" t="n">
        <f aca="false">AP548*INDEX(Prices!AP:AP,CEG_Assets!$AN$19)*CEG_Assets!$J$19*AP552/1000000*(1+CEG_RevAdj)</f>
        <v>0</v>
      </c>
      <c r="AQ553" s="8" t="n">
        <f aca="false">AQ548*INDEX(Prices!AQ:AQ,CEG_Assets!$AN$19)*CEG_Assets!$J$19*AQ552/1000000*(1+CEG_RevAdj)</f>
        <v>0</v>
      </c>
      <c r="AR553" s="8" t="n">
        <f aca="false">AR548*INDEX(Prices!AR:AR,CEG_Assets!$AN$19)*CEG_Assets!$J$19*AR552/1000000*(1+CEG_RevAdj)</f>
        <v>0</v>
      </c>
      <c r="AS553" s="8" t="n">
        <f aca="false">AS548*INDEX(Prices!AS:AS,CEG_Assets!$AN$19)*CEG_Assets!$J$19*AS552/1000000*(1+CEG_RevAdj)</f>
        <v>0</v>
      </c>
    </row>
    <row r="554" customFormat="false" ht="15" hidden="false" customHeight="false" outlineLevel="0" collapsed="false">
      <c r="A554" s="6" t="s">
        <v>441</v>
      </c>
      <c r="B554" s="6" t="s">
        <v>442</v>
      </c>
      <c r="C554" s="9" t="n">
        <f aca="false">SUM(G554:AS554)</f>
        <v>591.811520927452</v>
      </c>
      <c r="G554" s="8" t="n">
        <f aca="false">(CEG_Assets!$D$19-G547)*INDEX(Prices!G:G,CEG_Assets!$AP$19)*365*CEG_Assets!$T$19*G546/1000000*(1+CEG_RevAdj)</f>
        <v>19.45349406</v>
      </c>
      <c r="H554" s="8" t="n">
        <f aca="false">(CEG_Assets!$D$19-H547)*INDEX(Prices!H:H,CEG_Assets!$AP$19)*365*CEG_Assets!$T$19*H546/1000000*(1+CEG_RevAdj)</f>
        <v>19.8425639412</v>
      </c>
      <c r="I554" s="8" t="n">
        <f aca="false">(CEG_Assets!$D$19-I547)*INDEX(Prices!I:I,CEG_Assets!$AP$19)*365*CEG_Assets!$T$19*I546/1000000*(1+CEG_RevAdj)</f>
        <v>20.239415220024</v>
      </c>
      <c r="J554" s="8" t="n">
        <f aca="false">(CEG_Assets!$D$19-J547)*INDEX(Prices!J:J,CEG_Assets!$AP$19)*365*CEG_Assets!$T$19*J546/1000000*(1+CEG_RevAdj)</f>
        <v>20.6442035244245</v>
      </c>
      <c r="K554" s="8" t="n">
        <f aca="false">(CEG_Assets!$D$19-K547)*INDEX(Prices!K:K,CEG_Assets!$AP$19)*365*CEG_Assets!$T$19*K546/1000000*(1+CEG_RevAdj)</f>
        <v>21.057087594913</v>
      </c>
      <c r="L554" s="8" t="n">
        <f aca="false">(CEG_Assets!$D$19-L547)*INDEX(Prices!L:L,CEG_Assets!$AP$19)*365*CEG_Assets!$T$19*L546/1000000*(1+CEG_RevAdj)</f>
        <v>21.4782293468112</v>
      </c>
      <c r="M554" s="8" t="n">
        <f aca="false">(CEG_Assets!$D$19-M547)*INDEX(Prices!M:M,CEG_Assets!$AP$19)*365*CEG_Assets!$T$19*M546/1000000*(1+CEG_RevAdj)</f>
        <v>21.9077939337475</v>
      </c>
      <c r="N554" s="8" t="n">
        <f aca="false">(CEG_Assets!$D$19-N547)*INDEX(Prices!N:N,CEG_Assets!$AP$19)*365*CEG_Assets!$T$19*N546/1000000*(1+CEG_RevAdj)</f>
        <v>22.3459498124224</v>
      </c>
      <c r="O554" s="8" t="n">
        <f aca="false">(CEG_Assets!$D$19-O547)*INDEX(Prices!O:O,CEG_Assets!$AP$19)*365*CEG_Assets!$T$19*O546/1000000*(1+CEG_RevAdj)</f>
        <v>22.7928688086709</v>
      </c>
      <c r="P554" s="8" t="n">
        <f aca="false">(CEG_Assets!$D$19-P547)*INDEX(Prices!P:P,CEG_Assets!$AP$19)*365*CEG_Assets!$T$19*P546/1000000*(1+CEG_RevAdj)</f>
        <v>23.2487261848443</v>
      </c>
      <c r="Q554" s="8" t="n">
        <f aca="false">(CEG_Assets!$D$19-Q547)*INDEX(Prices!Q:Q,CEG_Assets!$AP$19)*365*CEG_Assets!$T$19*Q546/1000000*(1+CEG_RevAdj)</f>
        <v>23.7137007085412</v>
      </c>
      <c r="R554" s="8" t="n">
        <f aca="false">(CEG_Assets!$D$19-R547)*INDEX(Prices!R:R,CEG_Assets!$AP$19)*365*CEG_Assets!$T$19*R546/1000000*(1+CEG_RevAdj)</f>
        <v>24.187974722712</v>
      </c>
      <c r="S554" s="8" t="n">
        <f aca="false">(CEG_Assets!$D$19-S547)*INDEX(Prices!S:S,CEG_Assets!$AP$19)*365*CEG_Assets!$T$19*S546/1000000*(1+CEG_RevAdj)</f>
        <v>24.6717342171662</v>
      </c>
      <c r="T554" s="8" t="n">
        <f aca="false">(CEG_Assets!$D$19-T547)*INDEX(Prices!T:T,CEG_Assets!$AP$19)*365*CEG_Assets!$T$19*T546/1000000*(1+CEG_RevAdj)</f>
        <v>25.1651689015095</v>
      </c>
      <c r="U554" s="8" t="n">
        <f aca="false">(CEG_Assets!$D$19-U547)*INDEX(Prices!U:U,CEG_Assets!$AP$19)*365*CEG_Assets!$T$19*U546/1000000*(1+CEG_RevAdj)</f>
        <v>25.6684722795397</v>
      </c>
      <c r="V554" s="8" t="n">
        <f aca="false">(CEG_Assets!$D$19-V547)*INDEX(Prices!V:V,CEG_Assets!$AP$19)*365*CEG_Assets!$T$19*V546/1000000*(1+CEG_RevAdj)</f>
        <v>26.1818417251305</v>
      </c>
      <c r="W554" s="8" t="n">
        <f aca="false">(CEG_Assets!$D$19-W547)*INDEX(Prices!W:W,CEG_Assets!$AP$19)*365*CEG_Assets!$T$19*W546/1000000*(1+CEG_RevAdj)</f>
        <v>26.7054785596331</v>
      </c>
      <c r="X554" s="8" t="n">
        <f aca="false">(CEG_Assets!$D$19-X547)*INDEX(Prices!X:X,CEG_Assets!$AP$19)*365*CEG_Assets!$T$19*X546/1000000*(1+CEG_RevAdj)</f>
        <v>27.2395881308258</v>
      </c>
      <c r="Y554" s="8" t="n">
        <f aca="false">(CEG_Assets!$D$19-Y547)*INDEX(Prices!Y:Y,CEG_Assets!$AP$19)*365*CEG_Assets!$T$19*Y546/1000000*(1+CEG_RevAdj)</f>
        <v>27.7843798934423</v>
      </c>
      <c r="Z554" s="8" t="n">
        <f aca="false">(CEG_Assets!$D$19-Z547)*INDEX(Prices!Z:Z,CEG_Assets!$AP$19)*365*CEG_Assets!$T$19*Z546/1000000*(1+CEG_RevAdj)</f>
        <v>28.3400674913112</v>
      </c>
      <c r="AA554" s="8" t="n">
        <f aca="false">(CEG_Assets!$D$19-AA547)*INDEX(Prices!AA:AA,CEG_Assets!$AP$19)*365*CEG_Assets!$T$19*AA546/1000000*(1+CEG_RevAdj)</f>
        <v>28.9068688411374</v>
      </c>
      <c r="AB554" s="8" t="n">
        <f aca="false">(CEG_Assets!$D$19-AB547)*INDEX(Prices!AB:AB,CEG_Assets!$AP$19)*365*CEG_Assets!$T$19*AB546/1000000*(1+CEG_RevAdj)</f>
        <v>29.4850062179601</v>
      </c>
      <c r="AC554" s="8" t="n">
        <f aca="false">(CEG_Assets!$D$19-AC547)*INDEX(Prices!AC:AC,CEG_Assets!$AP$19)*365*CEG_Assets!$T$19*AC546/1000000*(1+CEG_RevAdj)</f>
        <v>30.0747063423193</v>
      </c>
      <c r="AD554" s="8" t="n">
        <f aca="false">(CEG_Assets!$D$19-AD547)*INDEX(Prices!AD:AD,CEG_Assets!$AP$19)*365*CEG_Assets!$T$19*AD546/1000000*(1+CEG_RevAdj)</f>
        <v>30.6762004691657</v>
      </c>
      <c r="AE554" s="8" t="n">
        <f aca="false">(CEG_Assets!$D$19-AE547)*INDEX(Prices!AE:AE,CEG_Assets!$AP$19)*365*CEG_Assets!$T$19*AE546/1000000*(1+CEG_RevAdj)</f>
        <v>0</v>
      </c>
      <c r="AF554" s="8" t="n">
        <f aca="false">(CEG_Assets!$D$19-AF547)*INDEX(Prices!AF:AF,CEG_Assets!$AP$19)*365*CEG_Assets!$T$19*AF546/1000000*(1+CEG_RevAdj)</f>
        <v>0</v>
      </c>
      <c r="AG554" s="8" t="n">
        <f aca="false">(CEG_Assets!$D$19-AG547)*INDEX(Prices!AG:AG,CEG_Assets!$AP$19)*365*CEG_Assets!$T$19*AG546/1000000*(1+CEG_RevAdj)</f>
        <v>0</v>
      </c>
      <c r="AH554" s="8" t="n">
        <f aca="false">(CEG_Assets!$D$19-AH547)*INDEX(Prices!AH:AH,CEG_Assets!$AP$19)*365*CEG_Assets!$T$19*AH546/1000000*(1+CEG_RevAdj)</f>
        <v>0</v>
      </c>
      <c r="AI554" s="8" t="n">
        <f aca="false">(CEG_Assets!$D$19-AI547)*INDEX(Prices!AI:AI,CEG_Assets!$AP$19)*365*CEG_Assets!$T$19*AI546/1000000*(1+CEG_RevAdj)</f>
        <v>0</v>
      </c>
      <c r="AJ554" s="8" t="n">
        <f aca="false">(CEG_Assets!$D$19-AJ547)*INDEX(Prices!AJ:AJ,CEG_Assets!$AP$19)*365*CEG_Assets!$T$19*AJ546/1000000*(1+CEG_RevAdj)</f>
        <v>0</v>
      </c>
      <c r="AK554" s="8" t="n">
        <f aca="false">(CEG_Assets!$D$19-AK547)*INDEX(Prices!AK:AK,CEG_Assets!$AP$19)*365*CEG_Assets!$T$19*AK546/1000000*(1+CEG_RevAdj)</f>
        <v>0</v>
      </c>
      <c r="AL554" s="8" t="n">
        <f aca="false">(CEG_Assets!$D$19-AL547)*INDEX(Prices!AL:AL,CEG_Assets!$AP$19)*365*CEG_Assets!$T$19*AL546/1000000*(1+CEG_RevAdj)</f>
        <v>0</v>
      </c>
      <c r="AM554" s="8" t="n">
        <f aca="false">(CEG_Assets!$D$19-AM547)*INDEX(Prices!AM:AM,CEG_Assets!$AP$19)*365*CEG_Assets!$T$19*AM546/1000000*(1+CEG_RevAdj)</f>
        <v>0</v>
      </c>
      <c r="AN554" s="8" t="n">
        <f aca="false">(CEG_Assets!$D$19-AN547)*INDEX(Prices!AN:AN,CEG_Assets!$AP$19)*365*CEG_Assets!$T$19*AN546/1000000*(1+CEG_RevAdj)</f>
        <v>0</v>
      </c>
      <c r="AO554" s="8" t="n">
        <f aca="false">(CEG_Assets!$D$19-AO547)*INDEX(Prices!AO:AO,CEG_Assets!$AP$19)*365*CEG_Assets!$T$19*AO546/1000000*(1+CEG_RevAdj)</f>
        <v>0</v>
      </c>
      <c r="AP554" s="8" t="n">
        <f aca="false">(CEG_Assets!$D$19-AP547)*INDEX(Prices!AP:AP,CEG_Assets!$AP$19)*365*CEG_Assets!$T$19*AP546/1000000*(1+CEG_RevAdj)</f>
        <v>0</v>
      </c>
      <c r="AQ554" s="8" t="n">
        <f aca="false">(CEG_Assets!$D$19-AQ547)*INDEX(Prices!AQ:AQ,CEG_Assets!$AP$19)*365*CEG_Assets!$T$19*AQ546/1000000*(1+CEG_RevAdj)</f>
        <v>0</v>
      </c>
      <c r="AR554" s="8" t="n">
        <f aca="false">(CEG_Assets!$D$19-AR547)*INDEX(Prices!AR:AR,CEG_Assets!$AP$19)*365*CEG_Assets!$T$19*AR546/1000000*(1+CEG_RevAdj)</f>
        <v>0</v>
      </c>
      <c r="AS554" s="8" t="n">
        <f aca="false">(CEG_Assets!$D$19-AS547)*INDEX(Prices!AS:AS,CEG_Assets!$AP$19)*365*CEG_Assets!$T$19*AS546/1000000*(1+CEG_RevAdj)</f>
        <v>0</v>
      </c>
    </row>
    <row r="555" customFormat="false" ht="15" hidden="false" customHeight="false" outlineLevel="0" collapsed="false">
      <c r="A555" s="6" t="s">
        <v>443</v>
      </c>
      <c r="B555" s="6" t="s">
        <v>444</v>
      </c>
      <c r="C555" s="9" t="n">
        <f aca="false">SUM(G555:AS555)</f>
        <v>0</v>
      </c>
      <c r="G555" s="8" t="n">
        <f aca="false">G549*(CEG_Assets!$AD$19+CEG_PPAAdj)/1000000*(1+CEG_RevAdj)</f>
        <v>0</v>
      </c>
      <c r="H555" s="8" t="n">
        <f aca="false">H549*(CEG_Assets!$AD$19+CEG_PPAAdj)/1000000*(1+CEG_RevAdj)</f>
        <v>0</v>
      </c>
      <c r="I555" s="8" t="n">
        <f aca="false">I549*(CEG_Assets!$AD$19+CEG_PPAAdj)/1000000*(1+CEG_RevAdj)</f>
        <v>0</v>
      </c>
      <c r="J555" s="8" t="n">
        <f aca="false">J549*(CEG_Assets!$AD$19+CEG_PPAAdj)/1000000*(1+CEG_RevAdj)</f>
        <v>0</v>
      </c>
      <c r="K555" s="8" t="n">
        <f aca="false">K549*(CEG_Assets!$AD$19+CEG_PPAAdj)/1000000*(1+CEG_RevAdj)</f>
        <v>0</v>
      </c>
      <c r="L555" s="8" t="n">
        <f aca="false">L549*(CEG_Assets!$AD$19+CEG_PPAAdj)/1000000*(1+CEG_RevAdj)</f>
        <v>0</v>
      </c>
      <c r="M555" s="8" t="n">
        <f aca="false">M549*(CEG_Assets!$AD$19+CEG_PPAAdj)/1000000*(1+CEG_RevAdj)</f>
        <v>0</v>
      </c>
      <c r="N555" s="8" t="n">
        <f aca="false">N549*(CEG_Assets!$AD$19+CEG_PPAAdj)/1000000*(1+CEG_RevAdj)</f>
        <v>0</v>
      </c>
      <c r="O555" s="8" t="n">
        <f aca="false">O549*(CEG_Assets!$AD$19+CEG_PPAAdj)/1000000*(1+CEG_RevAdj)</f>
        <v>0</v>
      </c>
      <c r="P555" s="8" t="n">
        <f aca="false">P549*(CEG_Assets!$AD$19+CEG_PPAAdj)/1000000*(1+CEG_RevAdj)</f>
        <v>0</v>
      </c>
      <c r="Q555" s="8" t="n">
        <f aca="false">Q549*(CEG_Assets!$AD$19+CEG_PPAAdj)/1000000*(1+CEG_RevAdj)</f>
        <v>0</v>
      </c>
      <c r="R555" s="8" t="n">
        <f aca="false">R549*(CEG_Assets!$AD$19+CEG_PPAAdj)/1000000*(1+CEG_RevAdj)</f>
        <v>0</v>
      </c>
      <c r="S555" s="8" t="n">
        <f aca="false">S549*(CEG_Assets!$AD$19+CEG_PPAAdj)/1000000*(1+CEG_RevAdj)</f>
        <v>0</v>
      </c>
      <c r="T555" s="8" t="n">
        <f aca="false">T549*(CEG_Assets!$AD$19+CEG_PPAAdj)/1000000*(1+CEG_RevAdj)</f>
        <v>0</v>
      </c>
      <c r="U555" s="8" t="n">
        <f aca="false">U549*(CEG_Assets!$AD$19+CEG_PPAAdj)/1000000*(1+CEG_RevAdj)</f>
        <v>0</v>
      </c>
      <c r="V555" s="8" t="n">
        <f aca="false">V549*(CEG_Assets!$AD$19+CEG_PPAAdj)/1000000*(1+CEG_RevAdj)</f>
        <v>0</v>
      </c>
      <c r="W555" s="8" t="n">
        <f aca="false">W549*(CEG_Assets!$AD$19+CEG_PPAAdj)/1000000*(1+CEG_RevAdj)</f>
        <v>0</v>
      </c>
      <c r="X555" s="8" t="n">
        <f aca="false">X549*(CEG_Assets!$AD$19+CEG_PPAAdj)/1000000*(1+CEG_RevAdj)</f>
        <v>0</v>
      </c>
      <c r="Y555" s="8" t="n">
        <f aca="false">Y549*(CEG_Assets!$AD$19+CEG_PPAAdj)/1000000*(1+CEG_RevAdj)</f>
        <v>0</v>
      </c>
      <c r="Z555" s="8" t="n">
        <f aca="false">Z549*(CEG_Assets!$AD$19+CEG_PPAAdj)/1000000*(1+CEG_RevAdj)</f>
        <v>0</v>
      </c>
      <c r="AA555" s="8" t="n">
        <f aca="false">AA549*(CEG_Assets!$AD$19+CEG_PPAAdj)/1000000*(1+CEG_RevAdj)</f>
        <v>0</v>
      </c>
      <c r="AB555" s="8" t="n">
        <f aca="false">AB549*(CEG_Assets!$AD$19+CEG_PPAAdj)/1000000*(1+CEG_RevAdj)</f>
        <v>0</v>
      </c>
      <c r="AC555" s="8" t="n">
        <f aca="false">AC549*(CEG_Assets!$AD$19+CEG_PPAAdj)/1000000*(1+CEG_RevAdj)</f>
        <v>0</v>
      </c>
      <c r="AD555" s="8" t="n">
        <f aca="false">AD549*(CEG_Assets!$AD$19+CEG_PPAAdj)/1000000*(1+CEG_RevAdj)</f>
        <v>0</v>
      </c>
      <c r="AE555" s="8" t="n">
        <f aca="false">AE549*(CEG_Assets!$AD$19+CEG_PPAAdj)/1000000*(1+CEG_RevAdj)</f>
        <v>0</v>
      </c>
      <c r="AF555" s="8" t="n">
        <f aca="false">AF549*(CEG_Assets!$AD$19+CEG_PPAAdj)/1000000*(1+CEG_RevAdj)</f>
        <v>0</v>
      </c>
      <c r="AG555" s="8" t="n">
        <f aca="false">AG549*(CEG_Assets!$AD$19+CEG_PPAAdj)/1000000*(1+CEG_RevAdj)</f>
        <v>0</v>
      </c>
      <c r="AH555" s="8" t="n">
        <f aca="false">AH549*(CEG_Assets!$AD$19+CEG_PPAAdj)/1000000*(1+CEG_RevAdj)</f>
        <v>0</v>
      </c>
      <c r="AI555" s="8" t="n">
        <f aca="false">AI549*(CEG_Assets!$AD$19+CEG_PPAAdj)/1000000*(1+CEG_RevAdj)</f>
        <v>0</v>
      </c>
      <c r="AJ555" s="8" t="n">
        <f aca="false">AJ549*(CEG_Assets!$AD$19+CEG_PPAAdj)/1000000*(1+CEG_RevAdj)</f>
        <v>0</v>
      </c>
      <c r="AK555" s="8" t="n">
        <f aca="false">AK549*(CEG_Assets!$AD$19+CEG_PPAAdj)/1000000*(1+CEG_RevAdj)</f>
        <v>0</v>
      </c>
      <c r="AL555" s="8" t="n">
        <f aca="false">AL549*(CEG_Assets!$AD$19+CEG_PPAAdj)/1000000*(1+CEG_RevAdj)</f>
        <v>0</v>
      </c>
      <c r="AM555" s="8" t="n">
        <f aca="false">AM549*(CEG_Assets!$AD$19+CEG_PPAAdj)/1000000*(1+CEG_RevAdj)</f>
        <v>0</v>
      </c>
      <c r="AN555" s="8" t="n">
        <f aca="false">AN549*(CEG_Assets!$AD$19+CEG_PPAAdj)/1000000*(1+CEG_RevAdj)</f>
        <v>0</v>
      </c>
      <c r="AO555" s="8" t="n">
        <f aca="false">AO549*(CEG_Assets!$AD$19+CEG_PPAAdj)/1000000*(1+CEG_RevAdj)</f>
        <v>0</v>
      </c>
      <c r="AP555" s="8" t="n">
        <f aca="false">AP549*(CEG_Assets!$AD$19+CEG_PPAAdj)/1000000*(1+CEG_RevAdj)</f>
        <v>0</v>
      </c>
      <c r="AQ555" s="8" t="n">
        <f aca="false">AQ549*(CEG_Assets!$AD$19+CEG_PPAAdj)/1000000*(1+CEG_RevAdj)</f>
        <v>0</v>
      </c>
      <c r="AR555" s="8" t="n">
        <f aca="false">AR549*(CEG_Assets!$AD$19+CEG_PPAAdj)/1000000*(1+CEG_RevAdj)</f>
        <v>0</v>
      </c>
      <c r="AS555" s="8" t="n">
        <f aca="false">AS549*(CEG_Assets!$AD$19+CEG_PPAAdj)/1000000*(1+CEG_RevAdj)</f>
        <v>0</v>
      </c>
    </row>
    <row r="556" customFormat="false" ht="15" hidden="false" customHeight="false" outlineLevel="0" collapsed="false">
      <c r="A556" s="6" t="s">
        <v>445</v>
      </c>
      <c r="B556" s="6" t="s">
        <v>446</v>
      </c>
      <c r="C556" s="9" t="n">
        <f aca="false">SUM(G556:AS556)</f>
        <v>0</v>
      </c>
      <c r="G556" s="8" t="n">
        <f aca="false">IF(G$3&lt;=CEG_Assets!$V$19,G548*CEG_Assets!$U$19,0)/1000000*(1+CEG_RevAdj)</f>
        <v>0</v>
      </c>
      <c r="H556" s="8" t="n">
        <f aca="false">IF(H$3&lt;=CEG_Assets!$V$19,H548*CEG_Assets!$U$19,0)/1000000*(1+CEG_RevAdj)</f>
        <v>0</v>
      </c>
      <c r="I556" s="8" t="n">
        <f aca="false">IF(I$3&lt;=CEG_Assets!$V$19,I548*CEG_Assets!$U$19,0)/1000000*(1+CEG_RevAdj)</f>
        <v>0</v>
      </c>
      <c r="J556" s="8" t="n">
        <f aca="false">IF(J$3&lt;=CEG_Assets!$V$19,J548*CEG_Assets!$U$19,0)/1000000*(1+CEG_RevAdj)</f>
        <v>0</v>
      </c>
      <c r="K556" s="8" t="n">
        <f aca="false">IF(K$3&lt;=CEG_Assets!$V$19,K548*CEG_Assets!$U$19,0)/1000000*(1+CEG_RevAdj)</f>
        <v>0</v>
      </c>
      <c r="L556" s="8" t="n">
        <f aca="false">IF(L$3&lt;=CEG_Assets!$V$19,L548*CEG_Assets!$U$19,0)/1000000*(1+CEG_RevAdj)</f>
        <v>0</v>
      </c>
      <c r="M556" s="8" t="n">
        <f aca="false">IF(M$3&lt;=CEG_Assets!$V$19,M548*CEG_Assets!$U$19,0)/1000000*(1+CEG_RevAdj)</f>
        <v>0</v>
      </c>
      <c r="N556" s="8" t="n">
        <f aca="false">IF(N$3&lt;=CEG_Assets!$V$19,N548*CEG_Assets!$U$19,0)/1000000*(1+CEG_RevAdj)</f>
        <v>0</v>
      </c>
      <c r="O556" s="8" t="n">
        <f aca="false">IF(O$3&lt;=CEG_Assets!$V$19,O548*CEG_Assets!$U$19,0)/1000000*(1+CEG_RevAdj)</f>
        <v>0</v>
      </c>
      <c r="P556" s="8" t="n">
        <f aca="false">IF(P$3&lt;=CEG_Assets!$V$19,P548*CEG_Assets!$U$19,0)/1000000*(1+CEG_RevAdj)</f>
        <v>0</v>
      </c>
      <c r="Q556" s="8" t="n">
        <f aca="false">IF(Q$3&lt;=CEG_Assets!$V$19,Q548*CEG_Assets!$U$19,0)/1000000*(1+CEG_RevAdj)</f>
        <v>0</v>
      </c>
      <c r="R556" s="8" t="n">
        <f aca="false">IF(R$3&lt;=CEG_Assets!$V$19,R548*CEG_Assets!$U$19,0)/1000000*(1+CEG_RevAdj)</f>
        <v>0</v>
      </c>
      <c r="S556" s="8" t="n">
        <f aca="false">IF(S$3&lt;=CEG_Assets!$V$19,S548*CEG_Assets!$U$19,0)/1000000*(1+CEG_RevAdj)</f>
        <v>0</v>
      </c>
      <c r="T556" s="8" t="n">
        <f aca="false">IF(T$3&lt;=CEG_Assets!$V$19,T548*CEG_Assets!$U$19,0)/1000000*(1+CEG_RevAdj)</f>
        <v>0</v>
      </c>
      <c r="U556" s="8" t="n">
        <f aca="false">IF(U$3&lt;=CEG_Assets!$V$19,U548*CEG_Assets!$U$19,0)/1000000*(1+CEG_RevAdj)</f>
        <v>0</v>
      </c>
      <c r="V556" s="8" t="n">
        <f aca="false">IF(V$3&lt;=CEG_Assets!$V$19,V548*CEG_Assets!$U$19,0)/1000000*(1+CEG_RevAdj)</f>
        <v>0</v>
      </c>
      <c r="W556" s="8" t="n">
        <f aca="false">IF(W$3&lt;=CEG_Assets!$V$19,W548*CEG_Assets!$U$19,0)/1000000*(1+CEG_RevAdj)</f>
        <v>0</v>
      </c>
      <c r="X556" s="8" t="n">
        <f aca="false">IF(X$3&lt;=CEG_Assets!$V$19,X548*CEG_Assets!$U$19,0)/1000000*(1+CEG_RevAdj)</f>
        <v>0</v>
      </c>
      <c r="Y556" s="8" t="n">
        <f aca="false">IF(Y$3&lt;=CEG_Assets!$V$19,Y548*CEG_Assets!$U$19,0)/1000000*(1+CEG_RevAdj)</f>
        <v>0</v>
      </c>
      <c r="Z556" s="8" t="n">
        <f aca="false">IF(Z$3&lt;=CEG_Assets!$V$19,Z548*CEG_Assets!$U$19,0)/1000000*(1+CEG_RevAdj)</f>
        <v>0</v>
      </c>
      <c r="AA556" s="8" t="n">
        <f aca="false">IF(AA$3&lt;=CEG_Assets!$V$19,AA548*CEG_Assets!$U$19,0)/1000000*(1+CEG_RevAdj)</f>
        <v>0</v>
      </c>
      <c r="AB556" s="8" t="n">
        <f aca="false">IF(AB$3&lt;=CEG_Assets!$V$19,AB548*CEG_Assets!$U$19,0)/1000000*(1+CEG_RevAdj)</f>
        <v>0</v>
      </c>
      <c r="AC556" s="8" t="n">
        <f aca="false">IF(AC$3&lt;=CEG_Assets!$V$19,AC548*CEG_Assets!$U$19,0)/1000000*(1+CEG_RevAdj)</f>
        <v>0</v>
      </c>
      <c r="AD556" s="8" t="n">
        <f aca="false">IF(AD$3&lt;=CEG_Assets!$V$19,AD548*CEG_Assets!$U$19,0)/1000000*(1+CEG_RevAdj)</f>
        <v>0</v>
      </c>
      <c r="AE556" s="8" t="n">
        <f aca="false">IF(AE$3&lt;=CEG_Assets!$V$19,AE548*CEG_Assets!$U$19,0)/1000000*(1+CEG_RevAdj)</f>
        <v>0</v>
      </c>
      <c r="AF556" s="8" t="n">
        <f aca="false">IF(AF$3&lt;=CEG_Assets!$V$19,AF548*CEG_Assets!$U$19,0)/1000000*(1+CEG_RevAdj)</f>
        <v>0</v>
      </c>
      <c r="AG556" s="8" t="n">
        <f aca="false">IF(AG$3&lt;=CEG_Assets!$V$19,AG548*CEG_Assets!$U$19,0)/1000000*(1+CEG_RevAdj)</f>
        <v>0</v>
      </c>
      <c r="AH556" s="8" t="n">
        <f aca="false">IF(AH$3&lt;=CEG_Assets!$V$19,AH548*CEG_Assets!$U$19,0)/1000000*(1+CEG_RevAdj)</f>
        <v>0</v>
      </c>
      <c r="AI556" s="8" t="n">
        <f aca="false">IF(AI$3&lt;=CEG_Assets!$V$19,AI548*CEG_Assets!$U$19,0)/1000000*(1+CEG_RevAdj)</f>
        <v>0</v>
      </c>
      <c r="AJ556" s="8" t="n">
        <f aca="false">IF(AJ$3&lt;=CEG_Assets!$V$19,AJ548*CEG_Assets!$U$19,0)/1000000*(1+CEG_RevAdj)</f>
        <v>0</v>
      </c>
      <c r="AK556" s="8" t="n">
        <f aca="false">IF(AK$3&lt;=CEG_Assets!$V$19,AK548*CEG_Assets!$U$19,0)/1000000*(1+CEG_RevAdj)</f>
        <v>0</v>
      </c>
      <c r="AL556" s="8" t="n">
        <f aca="false">IF(AL$3&lt;=CEG_Assets!$V$19,AL548*CEG_Assets!$U$19,0)/1000000*(1+CEG_RevAdj)</f>
        <v>0</v>
      </c>
      <c r="AM556" s="8" t="n">
        <f aca="false">IF(AM$3&lt;=CEG_Assets!$V$19,AM548*CEG_Assets!$U$19,0)/1000000*(1+CEG_RevAdj)</f>
        <v>0</v>
      </c>
      <c r="AN556" s="8" t="n">
        <f aca="false">IF(AN$3&lt;=CEG_Assets!$V$19,AN548*CEG_Assets!$U$19,0)/1000000*(1+CEG_RevAdj)</f>
        <v>0</v>
      </c>
      <c r="AO556" s="8" t="n">
        <f aca="false">IF(AO$3&lt;=CEG_Assets!$V$19,AO548*CEG_Assets!$U$19,0)/1000000*(1+CEG_RevAdj)</f>
        <v>0</v>
      </c>
      <c r="AP556" s="8" t="n">
        <f aca="false">IF(AP$3&lt;=CEG_Assets!$V$19,AP548*CEG_Assets!$U$19,0)/1000000*(1+CEG_RevAdj)</f>
        <v>0</v>
      </c>
      <c r="AQ556" s="8" t="n">
        <f aca="false">IF(AQ$3&lt;=CEG_Assets!$V$19,AQ548*CEG_Assets!$U$19,0)/1000000*(1+CEG_RevAdj)</f>
        <v>0</v>
      </c>
      <c r="AR556" s="8" t="n">
        <f aca="false">IF(AR$3&lt;=CEG_Assets!$V$19,AR548*CEG_Assets!$U$19,0)/1000000*(1+CEG_RevAdj)</f>
        <v>0</v>
      </c>
      <c r="AS556" s="8" t="n">
        <f aca="false">IF(AS$3&lt;=CEG_Assets!$V$19,AS548*CEG_Assets!$U$19,0)/1000000*(1+CEG_RevAdj)</f>
        <v>0</v>
      </c>
    </row>
    <row r="557" customFormat="false" ht="15" hidden="false" customHeight="false" outlineLevel="0" collapsed="false">
      <c r="A557" s="6" t="s">
        <v>447</v>
      </c>
      <c r="B557" s="6" t="s">
        <v>448</v>
      </c>
      <c r="C557" s="9" t="n">
        <f aca="false">SUM(G557:AS557)</f>
        <v>5744.593092164</v>
      </c>
      <c r="G557" s="8" t="n">
        <f aca="false">G553+G554+G555+G556</f>
        <v>215.464051404</v>
      </c>
      <c r="H557" s="8" t="n">
        <f aca="false">H553+H554+H555+H556</f>
        <v>218.5754901372</v>
      </c>
      <c r="I557" s="8" t="n">
        <f aca="false">I553+I554+I555+I556</f>
        <v>202.517325636348</v>
      </c>
      <c r="J557" s="8" t="n">
        <f aca="false">J553+J554+J555+J556</f>
        <v>198.114004740926</v>
      </c>
      <c r="K557" s="8" t="n">
        <f aca="false">K553+K554+K555+K556</f>
        <v>202.076284835745</v>
      </c>
      <c r="L557" s="8" t="n">
        <f aca="false">L553+L554+L555+L556</f>
        <v>206.11781053246</v>
      </c>
      <c r="M557" s="8" t="n">
        <f aca="false">M553+M554+M555+M556</f>
        <v>210.240166743109</v>
      </c>
      <c r="N557" s="8" t="n">
        <f aca="false">N553+N554+N555+N556</f>
        <v>214.444970077971</v>
      </c>
      <c r="O557" s="8" t="n">
        <f aca="false">O553+O554+O555+O556</f>
        <v>218.733869479531</v>
      </c>
      <c r="P557" s="8" t="n">
        <f aca="false">P553+P554+P555+P556</f>
        <v>223.108546869121</v>
      </c>
      <c r="Q557" s="8" t="n">
        <f aca="false">Q553+Q554+Q555+Q556</f>
        <v>227.570717806504</v>
      </c>
      <c r="R557" s="8" t="n">
        <f aca="false">R553+R554+R555+R556</f>
        <v>232.122132162634</v>
      </c>
      <c r="S557" s="8" t="n">
        <f aca="false">S553+S554+S555+S556</f>
        <v>236.764574805887</v>
      </c>
      <c r="T557" s="8" t="n">
        <f aca="false">T553+T554+T555+T556</f>
        <v>241.499866302004</v>
      </c>
      <c r="U557" s="8" t="n">
        <f aca="false">U553+U554+U555+U556</f>
        <v>246.329863628044</v>
      </c>
      <c r="V557" s="8" t="n">
        <f aca="false">V553+V554+V555+V556</f>
        <v>251.256460900605</v>
      </c>
      <c r="W557" s="8" t="n">
        <f aca="false">W553+W554+W555+W556</f>
        <v>256.281590118617</v>
      </c>
      <c r="X557" s="8" t="n">
        <f aca="false">X553+X554+X555+X556</f>
        <v>261.40722192099</v>
      </c>
      <c r="Y557" s="8" t="n">
        <f aca="false">Y553+Y554+Y555+Y556</f>
        <v>266.635366359409</v>
      </c>
      <c r="Z557" s="8" t="n">
        <f aca="false">Z553+Z554+Z555+Z556</f>
        <v>271.968073686598</v>
      </c>
      <c r="AA557" s="8" t="n">
        <f aca="false">AA553+AA554+AA555+AA556</f>
        <v>277.40743516033</v>
      </c>
      <c r="AB557" s="8" t="n">
        <f aca="false">AB553+AB554+AB555+AB556</f>
        <v>282.955583863536</v>
      </c>
      <c r="AC557" s="8" t="n">
        <f aca="false">AC553+AC554+AC555+AC556</f>
        <v>288.614695540807</v>
      </c>
      <c r="AD557" s="8" t="n">
        <f aca="false">AD553+AD554+AD555+AD556</f>
        <v>294.386989451623</v>
      </c>
      <c r="AE557" s="8" t="n">
        <f aca="false">AE553+AE554+AE555+AE556</f>
        <v>0</v>
      </c>
      <c r="AF557" s="8" t="n">
        <f aca="false">AF553+AF554+AF555+AF556</f>
        <v>0</v>
      </c>
      <c r="AG557" s="8" t="n">
        <f aca="false">AG553+AG554+AG555+AG556</f>
        <v>0</v>
      </c>
      <c r="AH557" s="8" t="n">
        <f aca="false">AH553+AH554+AH555+AH556</f>
        <v>0</v>
      </c>
      <c r="AI557" s="8" t="n">
        <f aca="false">AI553+AI554+AI555+AI556</f>
        <v>0</v>
      </c>
      <c r="AJ557" s="8" t="n">
        <f aca="false">AJ553+AJ554+AJ555+AJ556</f>
        <v>0</v>
      </c>
      <c r="AK557" s="8" t="n">
        <f aca="false">AK553+AK554+AK555+AK556</f>
        <v>0</v>
      </c>
      <c r="AL557" s="8" t="n">
        <f aca="false">AL553+AL554+AL555+AL556</f>
        <v>0</v>
      </c>
      <c r="AM557" s="8" t="n">
        <f aca="false">AM553+AM554+AM555+AM556</f>
        <v>0</v>
      </c>
      <c r="AN557" s="8" t="n">
        <f aca="false">AN553+AN554+AN555+AN556</f>
        <v>0</v>
      </c>
      <c r="AO557" s="8" t="n">
        <f aca="false">AO553+AO554+AO555+AO556</f>
        <v>0</v>
      </c>
      <c r="AP557" s="8" t="n">
        <f aca="false">AP553+AP554+AP555+AP556</f>
        <v>0</v>
      </c>
      <c r="AQ557" s="8" t="n">
        <f aca="false">AQ553+AQ554+AQ555+AQ556</f>
        <v>0</v>
      </c>
      <c r="AR557" s="8" t="n">
        <f aca="false">AR553+AR554+AR555+AR556</f>
        <v>0</v>
      </c>
      <c r="AS557" s="8" t="n">
        <f aca="false">AS553+AS554+AS555+AS556</f>
        <v>0</v>
      </c>
    </row>
    <row r="558" customFormat="false" ht="15" hidden="false" customHeight="false" outlineLevel="0" collapsed="false">
      <c r="A558" s="6" t="s">
        <v>449</v>
      </c>
      <c r="B558" s="6" t="s">
        <v>450</v>
      </c>
      <c r="C558" s="9" t="n">
        <f aca="false">SUM(G558:AS558)</f>
        <v>3314.3905989249</v>
      </c>
      <c r="G558" s="8" t="n">
        <f aca="false">((CEG_Assets!$K$19*G550+CEG_Assets!$M$19*G$4)*G548*G552+CEG_Assets!$N$19*(1+CEG_Assets!$Q$19)^(G$3-2026)*(G548+G549))/1000000*(1+CEG_FuelAdj)</f>
        <v>107.3016641592</v>
      </c>
      <c r="H558" s="8" t="n">
        <f aca="false">((CEG_Assets!$K$19*H550+CEG_Assets!$M$19*H$4)*H548*H552+CEG_Assets!$N$19*(1+CEG_Assets!$Q$19)^(H$3-2026)*(H548+H549))/1000000*(1+CEG_FuelAdj)</f>
        <v>109.447697442384</v>
      </c>
      <c r="I558" s="8" t="n">
        <f aca="false">((CEG_Assets!$K$19*I550+CEG_Assets!$M$19*I$4)*I548*I552+CEG_Assets!$N$19*(1+CEG_Assets!$Q$19)^(I$3-2026)*(I548+I549))/1000000*(1+CEG_FuelAdj)</f>
        <v>113.470936854529</v>
      </c>
      <c r="J558" s="8" t="n">
        <f aca="false">((CEG_Assets!$K$19*J550+CEG_Assets!$M$19*J$4)*J548*J552+CEG_Assets!$N$19*(1+CEG_Assets!$Q$19)^(J$3-2026)*(J548+J549))/1000000*(1+CEG_FuelAdj)</f>
        <v>115.74035559162</v>
      </c>
      <c r="K558" s="8" t="n">
        <f aca="false">((CEG_Assets!$K$19*K550+CEG_Assets!$M$19*K$4)*K548*K552+CEG_Assets!$N$19*(1+CEG_Assets!$Q$19)^(K$3-2026)*(K548+K549))/1000000*(1+CEG_FuelAdj)</f>
        <v>118.055162703452</v>
      </c>
      <c r="L558" s="8" t="n">
        <f aca="false">((CEG_Assets!$K$19*L550+CEG_Assets!$M$19*L$4)*L548*L552+CEG_Assets!$N$19*(1+CEG_Assets!$Q$19)^(L$3-2026)*(L548+L549))/1000000*(1+CEG_FuelAdj)</f>
        <v>120.416265957521</v>
      </c>
      <c r="M558" s="8" t="n">
        <f aca="false">((CEG_Assets!$K$19*M550+CEG_Assets!$M$19*M$4)*M548*M552+CEG_Assets!$N$19*(1+CEG_Assets!$Q$19)^(M$3-2026)*(M548+M549))/1000000*(1+CEG_FuelAdj)</f>
        <v>122.824591276671</v>
      </c>
      <c r="N558" s="8" t="n">
        <f aca="false">((CEG_Assets!$K$19*N550+CEG_Assets!$M$19*N$4)*N548*N552+CEG_Assets!$N$19*(1+CEG_Assets!$Q$19)^(N$3-2026)*(N548+N549))/1000000*(1+CEG_FuelAdj)</f>
        <v>125.281083102205</v>
      </c>
      <c r="O558" s="8" t="n">
        <f aca="false">((CEG_Assets!$K$19*O550+CEG_Assets!$M$19*O$4)*O548*O552+CEG_Assets!$N$19*(1+CEG_Assets!$Q$19)^(O$3-2026)*(O548+O549))/1000000*(1+CEG_FuelAdj)</f>
        <v>127.786704764249</v>
      </c>
      <c r="P558" s="8" t="n">
        <f aca="false">((CEG_Assets!$K$19*P550+CEG_Assets!$M$19*P$4)*P548*P552+CEG_Assets!$N$19*(1+CEG_Assets!$Q$19)^(P$3-2026)*(P548+P549))/1000000*(1+CEG_FuelAdj)</f>
        <v>130.342438859534</v>
      </c>
      <c r="Q558" s="8" t="n">
        <f aca="false">((CEG_Assets!$K$19*Q550+CEG_Assets!$M$19*Q$4)*Q548*Q552+CEG_Assets!$N$19*(1+CEG_Assets!$Q$19)^(Q$3-2026)*(Q548+Q549))/1000000*(1+CEG_FuelAdj)</f>
        <v>132.949287636725</v>
      </c>
      <c r="R558" s="8" t="n">
        <f aca="false">((CEG_Assets!$K$19*R550+CEG_Assets!$M$19*R$4)*R548*R552+CEG_Assets!$N$19*(1+CEG_Assets!$Q$19)^(R$3-2026)*(R548+R549))/1000000*(1+CEG_FuelAdj)</f>
        <v>135.608273389459</v>
      </c>
      <c r="S558" s="8" t="n">
        <f aca="false">((CEG_Assets!$K$19*S550+CEG_Assets!$M$19*S$4)*S548*S552+CEG_Assets!$N$19*(1+CEG_Assets!$Q$19)^(S$3-2026)*(S548+S549))/1000000*(1+CEG_FuelAdj)</f>
        <v>138.320438857248</v>
      </c>
      <c r="T558" s="8" t="n">
        <f aca="false">((CEG_Assets!$K$19*T550+CEG_Assets!$M$19*T$4)*T548*T552+CEG_Assets!$N$19*(1+CEG_Assets!$Q$19)^(T$3-2026)*(T548+T549))/1000000*(1+CEG_FuelAdj)</f>
        <v>141.086847634393</v>
      </c>
      <c r="U558" s="8" t="n">
        <f aca="false">((CEG_Assets!$K$19*U550+CEG_Assets!$M$19*U$4)*U548*U552+CEG_Assets!$N$19*(1+CEG_Assets!$Q$19)^(U$3-2026)*(U548+U549))/1000000*(1+CEG_FuelAdj)</f>
        <v>143.908584587081</v>
      </c>
      <c r="V558" s="8" t="n">
        <f aca="false">((CEG_Assets!$K$19*V550+CEG_Assets!$M$19*V$4)*V548*V552+CEG_Assets!$N$19*(1+CEG_Assets!$Q$19)^(V$3-2026)*(V548+V549))/1000000*(1+CEG_FuelAdj)</f>
        <v>146.786756278823</v>
      </c>
      <c r="W558" s="8" t="n">
        <f aca="false">((CEG_Assets!$K$19*W550+CEG_Assets!$M$19*W$4)*W548*W552+CEG_Assets!$N$19*(1+CEG_Assets!$Q$19)^(W$3-2026)*(W548+W549))/1000000*(1+CEG_FuelAdj)</f>
        <v>149.722491404399</v>
      </c>
      <c r="X558" s="8" t="n">
        <f aca="false">((CEG_Assets!$K$19*X550+CEG_Assets!$M$19*X$4)*X548*X552+CEG_Assets!$N$19*(1+CEG_Assets!$Q$19)^(X$3-2026)*(X548+X549))/1000000*(1+CEG_FuelAdj)</f>
        <v>152.716941232487</v>
      </c>
      <c r="Y558" s="8" t="n">
        <f aca="false">((CEG_Assets!$K$19*Y550+CEG_Assets!$M$19*Y$4)*Y548*Y552+CEG_Assets!$N$19*(1+CEG_Assets!$Q$19)^(Y$3-2026)*(Y548+Y549))/1000000*(1+CEG_FuelAdj)</f>
        <v>155.771280057137</v>
      </c>
      <c r="Z558" s="8" t="n">
        <f aca="false">((CEG_Assets!$K$19*Z550+CEG_Assets!$M$19*Z$4)*Z548*Z552+CEG_Assets!$N$19*(1+CEG_Assets!$Q$19)^(Z$3-2026)*(Z548+Z549))/1000000*(1+CEG_FuelAdj)</f>
        <v>158.88670565828</v>
      </c>
      <c r="AA558" s="8" t="n">
        <f aca="false">((CEG_Assets!$K$19*AA550+CEG_Assets!$M$19*AA$4)*AA548*AA552+CEG_Assets!$N$19*(1+CEG_Assets!$Q$19)^(AA$3-2026)*(AA548+AA549))/1000000*(1+CEG_FuelAdj)</f>
        <v>162.064439771445</v>
      </c>
      <c r="AB558" s="8" t="n">
        <f aca="false">((CEG_Assets!$K$19*AB550+CEG_Assets!$M$19*AB$4)*AB548*AB552+CEG_Assets!$N$19*(1+CEG_Assets!$Q$19)^(AB$3-2026)*(AB548+AB549))/1000000*(1+CEG_FuelAdj)</f>
        <v>165.305728566874</v>
      </c>
      <c r="AC558" s="8" t="n">
        <f aca="false">((CEG_Assets!$K$19*AC550+CEG_Assets!$M$19*AC$4)*AC548*AC552+CEG_Assets!$N$19*(1+CEG_Assets!$Q$19)^(AC$3-2026)*(AC548+AC549))/1000000*(1+CEG_FuelAdj)</f>
        <v>168.611843138212</v>
      </c>
      <c r="AD558" s="8" t="n">
        <f aca="false">((CEG_Assets!$K$19*AD550+CEG_Assets!$M$19*AD$4)*AD548*AD552+CEG_Assets!$N$19*(1+CEG_Assets!$Q$19)^(AD$3-2026)*(AD548+AD549))/1000000*(1+CEG_FuelAdj)</f>
        <v>171.984080000976</v>
      </c>
      <c r="AE558" s="8" t="n">
        <f aca="false">((CEG_Assets!$K$19*AE550+CEG_Assets!$M$19*AE$4)*AE548*AE552+CEG_Assets!$N$19*(1+CEG_Assets!$Q$19)^(AE$3-2026)*(AE548+AE549))/1000000*(1+CEG_FuelAdj)</f>
        <v>0</v>
      </c>
      <c r="AF558" s="8" t="n">
        <f aca="false">((CEG_Assets!$K$19*AF550+CEG_Assets!$M$19*AF$4)*AF548*AF552+CEG_Assets!$N$19*(1+CEG_Assets!$Q$19)^(AF$3-2026)*(AF548+AF549))/1000000*(1+CEG_FuelAdj)</f>
        <v>0</v>
      </c>
      <c r="AG558" s="8" t="n">
        <f aca="false">((CEG_Assets!$K$19*AG550+CEG_Assets!$M$19*AG$4)*AG548*AG552+CEG_Assets!$N$19*(1+CEG_Assets!$Q$19)^(AG$3-2026)*(AG548+AG549))/1000000*(1+CEG_FuelAdj)</f>
        <v>0</v>
      </c>
      <c r="AH558" s="8" t="n">
        <f aca="false">((CEG_Assets!$K$19*AH550+CEG_Assets!$M$19*AH$4)*AH548*AH552+CEG_Assets!$N$19*(1+CEG_Assets!$Q$19)^(AH$3-2026)*(AH548+AH549))/1000000*(1+CEG_FuelAdj)</f>
        <v>0</v>
      </c>
      <c r="AI558" s="8" t="n">
        <f aca="false">((CEG_Assets!$K$19*AI550+CEG_Assets!$M$19*AI$4)*AI548*AI552+CEG_Assets!$N$19*(1+CEG_Assets!$Q$19)^(AI$3-2026)*(AI548+AI549))/1000000*(1+CEG_FuelAdj)</f>
        <v>0</v>
      </c>
      <c r="AJ558" s="8" t="n">
        <f aca="false">((CEG_Assets!$K$19*AJ550+CEG_Assets!$M$19*AJ$4)*AJ548*AJ552+CEG_Assets!$N$19*(1+CEG_Assets!$Q$19)^(AJ$3-2026)*(AJ548+AJ549))/1000000*(1+CEG_FuelAdj)</f>
        <v>0</v>
      </c>
      <c r="AK558" s="8" t="n">
        <f aca="false">((CEG_Assets!$K$19*AK550+CEG_Assets!$M$19*AK$4)*AK548*AK552+CEG_Assets!$N$19*(1+CEG_Assets!$Q$19)^(AK$3-2026)*(AK548+AK549))/1000000*(1+CEG_FuelAdj)</f>
        <v>0</v>
      </c>
      <c r="AL558" s="8" t="n">
        <f aca="false">((CEG_Assets!$K$19*AL550+CEG_Assets!$M$19*AL$4)*AL548*AL552+CEG_Assets!$N$19*(1+CEG_Assets!$Q$19)^(AL$3-2026)*(AL548+AL549))/1000000*(1+CEG_FuelAdj)</f>
        <v>0</v>
      </c>
      <c r="AM558" s="8" t="n">
        <f aca="false">((CEG_Assets!$K$19*AM550+CEG_Assets!$M$19*AM$4)*AM548*AM552+CEG_Assets!$N$19*(1+CEG_Assets!$Q$19)^(AM$3-2026)*(AM548+AM549))/1000000*(1+CEG_FuelAdj)</f>
        <v>0</v>
      </c>
      <c r="AN558" s="8" t="n">
        <f aca="false">((CEG_Assets!$K$19*AN550+CEG_Assets!$M$19*AN$4)*AN548*AN552+CEG_Assets!$N$19*(1+CEG_Assets!$Q$19)^(AN$3-2026)*(AN548+AN549))/1000000*(1+CEG_FuelAdj)</f>
        <v>0</v>
      </c>
      <c r="AO558" s="8" t="n">
        <f aca="false">((CEG_Assets!$K$19*AO550+CEG_Assets!$M$19*AO$4)*AO548*AO552+CEG_Assets!$N$19*(1+CEG_Assets!$Q$19)^(AO$3-2026)*(AO548+AO549))/1000000*(1+CEG_FuelAdj)</f>
        <v>0</v>
      </c>
      <c r="AP558" s="8" t="n">
        <f aca="false">((CEG_Assets!$K$19*AP550+CEG_Assets!$M$19*AP$4)*AP548*AP552+CEG_Assets!$N$19*(1+CEG_Assets!$Q$19)^(AP$3-2026)*(AP548+AP549))/1000000*(1+CEG_FuelAdj)</f>
        <v>0</v>
      </c>
      <c r="AQ558" s="8" t="n">
        <f aca="false">((CEG_Assets!$K$19*AQ550+CEG_Assets!$M$19*AQ$4)*AQ548*AQ552+CEG_Assets!$N$19*(1+CEG_Assets!$Q$19)^(AQ$3-2026)*(AQ548+AQ549))/1000000*(1+CEG_FuelAdj)</f>
        <v>0</v>
      </c>
      <c r="AR558" s="8" t="n">
        <f aca="false">((CEG_Assets!$K$19*AR550+CEG_Assets!$M$19*AR$4)*AR548*AR552+CEG_Assets!$N$19*(1+CEG_Assets!$Q$19)^(AR$3-2026)*(AR548+AR549))/1000000*(1+CEG_FuelAdj)</f>
        <v>0</v>
      </c>
      <c r="AS558" s="8" t="n">
        <f aca="false">((CEG_Assets!$K$19*AS550+CEG_Assets!$M$19*AS$4)*AS548*AS552+CEG_Assets!$N$19*(1+CEG_Assets!$Q$19)^(AS$3-2026)*(AS548+AS549))/1000000*(1+CEG_FuelAdj)</f>
        <v>0</v>
      </c>
    </row>
    <row r="559" customFormat="false" ht="15" hidden="false" customHeight="false" outlineLevel="0" collapsed="false">
      <c r="A559" s="6" t="s">
        <v>451</v>
      </c>
      <c r="B559" s="6" t="s">
        <v>452</v>
      </c>
      <c r="C559" s="9" t="n">
        <f aca="false">SUM(G559:AS559)</f>
        <v>2430.2024932391</v>
      </c>
      <c r="G559" s="8" t="n">
        <f aca="false">G557-G558</f>
        <v>108.1623872448</v>
      </c>
      <c r="H559" s="8" t="n">
        <f aca="false">H557-H558</f>
        <v>109.127792694816</v>
      </c>
      <c r="I559" s="8" t="n">
        <f aca="false">I557-I558</f>
        <v>89.0463887818195</v>
      </c>
      <c r="J559" s="8" t="n">
        <f aca="false">J557-J558</f>
        <v>82.3736491493069</v>
      </c>
      <c r="K559" s="8" t="n">
        <f aca="false">K557-K558</f>
        <v>84.021122132293</v>
      </c>
      <c r="L559" s="8" t="n">
        <f aca="false">L557-L558</f>
        <v>85.7015445749389</v>
      </c>
      <c r="M559" s="8" t="n">
        <f aca="false">M557-M558</f>
        <v>87.4155754664376</v>
      </c>
      <c r="N559" s="8" t="n">
        <f aca="false">N557-N558</f>
        <v>89.1638869757664</v>
      </c>
      <c r="O559" s="8" t="n">
        <f aca="false">O557-O558</f>
        <v>90.9471647152817</v>
      </c>
      <c r="P559" s="8" t="n">
        <f aca="false">P557-P558</f>
        <v>92.7661080095874</v>
      </c>
      <c r="Q559" s="8" t="n">
        <f aca="false">Q557-Q558</f>
        <v>94.6214301697792</v>
      </c>
      <c r="R559" s="8" t="n">
        <f aca="false">R557-R558</f>
        <v>96.5138587731747</v>
      </c>
      <c r="S559" s="8" t="n">
        <f aca="false">S557-S558</f>
        <v>98.4441359486382</v>
      </c>
      <c r="T559" s="8" t="n">
        <f aca="false">T557-T558</f>
        <v>100.413018667611</v>
      </c>
      <c r="U559" s="8" t="n">
        <f aca="false">U557-U558</f>
        <v>102.421279040963</v>
      </c>
      <c r="V559" s="8" t="n">
        <f aca="false">V557-V558</f>
        <v>104.469704621782</v>
      </c>
      <c r="W559" s="8" t="n">
        <f aca="false">W557-W558</f>
        <v>106.559098714218</v>
      </c>
      <c r="X559" s="8" t="n">
        <f aca="false">X557-X558</f>
        <v>108.690280688502</v>
      </c>
      <c r="Y559" s="8" t="n">
        <f aca="false">Y557-Y558</f>
        <v>110.864086302273</v>
      </c>
      <c r="Z559" s="8" t="n">
        <f aca="false">Z557-Z558</f>
        <v>113.081368028318</v>
      </c>
      <c r="AA559" s="8" t="n">
        <f aca="false">AA557-AA558</f>
        <v>115.342995388884</v>
      </c>
      <c r="AB559" s="8" t="n">
        <f aca="false">AB557-AB558</f>
        <v>117.649855296662</v>
      </c>
      <c r="AC559" s="8" t="n">
        <f aca="false">AC557-AC558</f>
        <v>120.002852402595</v>
      </c>
      <c r="AD559" s="8" t="n">
        <f aca="false">AD557-AD558</f>
        <v>122.402909450647</v>
      </c>
      <c r="AE559" s="8" t="n">
        <f aca="false">AE557-AE558</f>
        <v>0</v>
      </c>
      <c r="AF559" s="8" t="n">
        <f aca="false">AF557-AF558</f>
        <v>0</v>
      </c>
      <c r="AG559" s="8" t="n">
        <f aca="false">AG557-AG558</f>
        <v>0</v>
      </c>
      <c r="AH559" s="8" t="n">
        <f aca="false">AH557-AH558</f>
        <v>0</v>
      </c>
      <c r="AI559" s="8" t="n">
        <f aca="false">AI557-AI558</f>
        <v>0</v>
      </c>
      <c r="AJ559" s="8" t="n">
        <f aca="false">AJ557-AJ558</f>
        <v>0</v>
      </c>
      <c r="AK559" s="8" t="n">
        <f aca="false">AK557-AK558</f>
        <v>0</v>
      </c>
      <c r="AL559" s="8" t="n">
        <f aca="false">AL557-AL558</f>
        <v>0</v>
      </c>
      <c r="AM559" s="8" t="n">
        <f aca="false">AM557-AM558</f>
        <v>0</v>
      </c>
      <c r="AN559" s="8" t="n">
        <f aca="false">AN557-AN558</f>
        <v>0</v>
      </c>
      <c r="AO559" s="8" t="n">
        <f aca="false">AO557-AO558</f>
        <v>0</v>
      </c>
      <c r="AP559" s="8" t="n">
        <f aca="false">AP557-AP558</f>
        <v>0</v>
      </c>
      <c r="AQ559" s="8" t="n">
        <f aca="false">AQ557-AQ558</f>
        <v>0</v>
      </c>
      <c r="AR559" s="8" t="n">
        <f aca="false">AR557-AR558</f>
        <v>0</v>
      </c>
      <c r="AS559" s="8" t="n">
        <f aca="false">AS557-AS558</f>
        <v>0</v>
      </c>
    </row>
    <row r="560" customFormat="false" ht="15" hidden="false" customHeight="false" outlineLevel="0" collapsed="false">
      <c r="A560" s="6" t="s">
        <v>453</v>
      </c>
      <c r="B560" s="6" t="s">
        <v>454</v>
      </c>
      <c r="C560" s="9" t="n">
        <f aca="false">SUM(G560:AS560)</f>
        <v>604.718481006433</v>
      </c>
      <c r="G560" s="8" t="n">
        <f aca="false">(CEG_Assets!$R$19*CEG_Assets!$D$19*1000*G$4*G546+CEG_Assets!$O$19*(1+CEG_Assets!$Q$19)^(G$3-2026)*(G548+G549))/1000000*(1+CEG_OMAdj)</f>
        <v>19.87776</v>
      </c>
      <c r="H560" s="8" t="n">
        <f aca="false">(CEG_Assets!$R$19*CEG_Assets!$D$19*1000*H$4*H546+CEG_Assets!$O$19*(1+CEG_Assets!$Q$19)^(H$3-2026)*(H548+H549))/1000000*(1+CEG_OMAdj)</f>
        <v>20.2753152</v>
      </c>
      <c r="I560" s="8" t="n">
        <f aca="false">(CEG_Assets!$R$19*CEG_Assets!$D$19*1000*I$4*I546+CEG_Assets!$O$19*(1+CEG_Assets!$Q$19)^(I$3-2026)*(I548+I549))/1000000*(1+CEG_OMAdj)</f>
        <v>20.680821504</v>
      </c>
      <c r="J560" s="8" t="n">
        <f aca="false">(CEG_Assets!$R$19*CEG_Assets!$D$19*1000*J$4*J546+CEG_Assets!$O$19*(1+CEG_Assets!$Q$19)^(J$3-2026)*(J548+J549))/1000000*(1+CEG_OMAdj)</f>
        <v>21.09443793408</v>
      </c>
      <c r="K560" s="8" t="n">
        <f aca="false">(CEG_Assets!$R$19*CEG_Assets!$D$19*1000*K$4*K546+CEG_Assets!$O$19*(1+CEG_Assets!$Q$19)^(K$3-2026)*(K548+K549))/1000000*(1+CEG_OMAdj)</f>
        <v>21.5163266927616</v>
      </c>
      <c r="L560" s="8" t="n">
        <f aca="false">(CEG_Assets!$R$19*CEG_Assets!$D$19*1000*L$4*L546+CEG_Assets!$O$19*(1+CEG_Assets!$Q$19)^(L$3-2026)*(L548+L549))/1000000*(1+CEG_OMAdj)</f>
        <v>21.9466532266168</v>
      </c>
      <c r="M560" s="8" t="n">
        <f aca="false">(CEG_Assets!$R$19*CEG_Assets!$D$19*1000*M$4*M546+CEG_Assets!$O$19*(1+CEG_Assets!$Q$19)^(M$3-2026)*(M548+M549))/1000000*(1+CEG_OMAdj)</f>
        <v>22.3855862911492</v>
      </c>
      <c r="N560" s="8" t="n">
        <f aca="false">(CEG_Assets!$R$19*CEG_Assets!$D$19*1000*N$4*N546+CEG_Assets!$O$19*(1+CEG_Assets!$Q$19)^(N$3-2026)*(N548+N549))/1000000*(1+CEG_OMAdj)</f>
        <v>22.8332980169722</v>
      </c>
      <c r="O560" s="8" t="n">
        <f aca="false">(CEG_Assets!$R$19*CEG_Assets!$D$19*1000*O$4*O546+CEG_Assets!$O$19*(1+CEG_Assets!$Q$19)^(O$3-2026)*(O548+O549))/1000000*(1+CEG_OMAdj)</f>
        <v>23.2899639773116</v>
      </c>
      <c r="P560" s="8" t="n">
        <f aca="false">(CEG_Assets!$R$19*CEG_Assets!$D$19*1000*P$4*P546+CEG_Assets!$O$19*(1+CEG_Assets!$Q$19)^(P$3-2026)*(P548+P549))/1000000*(1+CEG_OMAdj)</f>
        <v>23.7557632568578</v>
      </c>
      <c r="Q560" s="8" t="n">
        <f aca="false">(CEG_Assets!$R$19*CEG_Assets!$D$19*1000*Q$4*Q546+CEG_Assets!$O$19*(1+CEG_Assets!$Q$19)^(Q$3-2026)*(Q548+Q549))/1000000*(1+CEG_OMAdj)</f>
        <v>24.230878521995</v>
      </c>
      <c r="R560" s="8" t="n">
        <f aca="false">(CEG_Assets!$R$19*CEG_Assets!$D$19*1000*R$4*R546+CEG_Assets!$O$19*(1+CEG_Assets!$Q$19)^(R$3-2026)*(R548+R549))/1000000*(1+CEG_OMAdj)</f>
        <v>24.7154960924349</v>
      </c>
      <c r="S560" s="8" t="n">
        <f aca="false">(CEG_Assets!$R$19*CEG_Assets!$D$19*1000*S$4*S546+CEG_Assets!$O$19*(1+CEG_Assets!$Q$19)^(S$3-2026)*(S548+S549))/1000000*(1+CEG_OMAdj)</f>
        <v>25.2098060142836</v>
      </c>
      <c r="T560" s="8" t="n">
        <f aca="false">(CEG_Assets!$R$19*CEG_Assets!$D$19*1000*T$4*T546+CEG_Assets!$O$19*(1+CEG_Assets!$Q$19)^(T$3-2026)*(T548+T549))/1000000*(1+CEG_OMAdj)</f>
        <v>25.7140021345693</v>
      </c>
      <c r="U560" s="8" t="n">
        <f aca="false">(CEG_Assets!$R$19*CEG_Assets!$D$19*1000*U$4*U546+CEG_Assets!$O$19*(1+CEG_Assets!$Q$19)^(U$3-2026)*(U548+U549))/1000000*(1+CEG_OMAdj)</f>
        <v>26.2282821772606</v>
      </c>
      <c r="V560" s="8" t="n">
        <f aca="false">(CEG_Assets!$R$19*CEG_Assets!$D$19*1000*V$4*V546+CEG_Assets!$O$19*(1+CEG_Assets!$Q$19)^(V$3-2026)*(V548+V549))/1000000*(1+CEG_OMAdj)</f>
        <v>26.7528478208059</v>
      </c>
      <c r="W560" s="8" t="n">
        <f aca="false">(CEG_Assets!$R$19*CEG_Assets!$D$19*1000*W$4*W546+CEG_Assets!$O$19*(1+CEG_Assets!$Q$19)^(W$3-2026)*(W548+W549))/1000000*(1+CEG_OMAdj)</f>
        <v>27.287904777222</v>
      </c>
      <c r="X560" s="8" t="n">
        <f aca="false">(CEG_Assets!$R$19*CEG_Assets!$D$19*1000*X$4*X546+CEG_Assets!$O$19*(1+CEG_Assets!$Q$19)^(X$3-2026)*(X548+X549))/1000000*(1+CEG_OMAdj)</f>
        <v>27.8336628727664</v>
      </c>
      <c r="Y560" s="8" t="n">
        <f aca="false">(CEG_Assets!$R$19*CEG_Assets!$D$19*1000*Y$4*Y546+CEG_Assets!$O$19*(1+CEG_Assets!$Q$19)^(Y$3-2026)*(Y548+Y549))/1000000*(1+CEG_OMAdj)</f>
        <v>28.3903361302217</v>
      </c>
      <c r="Z560" s="8" t="n">
        <f aca="false">(CEG_Assets!$R$19*CEG_Assets!$D$19*1000*Z$4*Z546+CEG_Assets!$O$19*(1+CEG_Assets!$Q$19)^(Z$3-2026)*(Z548+Z549))/1000000*(1+CEG_OMAdj)</f>
        <v>28.9581428528262</v>
      </c>
      <c r="AA560" s="8" t="n">
        <f aca="false">(CEG_Assets!$R$19*CEG_Assets!$D$19*1000*AA$4*AA546+CEG_Assets!$O$19*(1+CEG_Assets!$Q$19)^(AA$3-2026)*(AA548+AA549))/1000000*(1+CEG_OMAdj)</f>
        <v>29.5373057098827</v>
      </c>
      <c r="AB560" s="8" t="n">
        <f aca="false">(CEG_Assets!$R$19*CEG_Assets!$D$19*1000*AB$4*AB546+CEG_Assets!$O$19*(1+CEG_Assets!$Q$19)^(AB$3-2026)*(AB548+AB549))/1000000*(1+CEG_OMAdj)</f>
        <v>30.1280518240804</v>
      </c>
      <c r="AC560" s="8" t="n">
        <f aca="false">(CEG_Assets!$R$19*CEG_Assets!$D$19*1000*AC$4*AC546+CEG_Assets!$O$19*(1+CEG_Assets!$Q$19)^(AC$3-2026)*(AC548+AC549))/1000000*(1+CEG_OMAdj)</f>
        <v>30.730612860562</v>
      </c>
      <c r="AD560" s="8" t="n">
        <f aca="false">(CEG_Assets!$R$19*CEG_Assets!$D$19*1000*AD$4*AD546+CEG_Assets!$O$19*(1+CEG_Assets!$Q$19)^(AD$3-2026)*(AD548+AD549))/1000000*(1+CEG_OMAdj)</f>
        <v>31.3452251177732</v>
      </c>
      <c r="AE560" s="8" t="n">
        <f aca="false">(CEG_Assets!$R$19*CEG_Assets!$D$19*1000*AE$4*AE546+CEG_Assets!$O$19*(1+CEG_Assets!$Q$19)^(AE$3-2026)*(AE548+AE549))/1000000*(1+CEG_OMAdj)</f>
        <v>0</v>
      </c>
      <c r="AF560" s="8" t="n">
        <f aca="false">(CEG_Assets!$R$19*CEG_Assets!$D$19*1000*AF$4*AF546+CEG_Assets!$O$19*(1+CEG_Assets!$Q$19)^(AF$3-2026)*(AF548+AF549))/1000000*(1+CEG_OMAdj)</f>
        <v>0</v>
      </c>
      <c r="AG560" s="8" t="n">
        <f aca="false">(CEG_Assets!$R$19*CEG_Assets!$D$19*1000*AG$4*AG546+CEG_Assets!$O$19*(1+CEG_Assets!$Q$19)^(AG$3-2026)*(AG548+AG549))/1000000*(1+CEG_OMAdj)</f>
        <v>0</v>
      </c>
      <c r="AH560" s="8" t="n">
        <f aca="false">(CEG_Assets!$R$19*CEG_Assets!$D$19*1000*AH$4*AH546+CEG_Assets!$O$19*(1+CEG_Assets!$Q$19)^(AH$3-2026)*(AH548+AH549))/1000000*(1+CEG_OMAdj)</f>
        <v>0</v>
      </c>
      <c r="AI560" s="8" t="n">
        <f aca="false">(CEG_Assets!$R$19*CEG_Assets!$D$19*1000*AI$4*AI546+CEG_Assets!$O$19*(1+CEG_Assets!$Q$19)^(AI$3-2026)*(AI548+AI549))/1000000*(1+CEG_OMAdj)</f>
        <v>0</v>
      </c>
      <c r="AJ560" s="8" t="n">
        <f aca="false">(CEG_Assets!$R$19*CEG_Assets!$D$19*1000*AJ$4*AJ546+CEG_Assets!$O$19*(1+CEG_Assets!$Q$19)^(AJ$3-2026)*(AJ548+AJ549))/1000000*(1+CEG_OMAdj)</f>
        <v>0</v>
      </c>
      <c r="AK560" s="8" t="n">
        <f aca="false">(CEG_Assets!$R$19*CEG_Assets!$D$19*1000*AK$4*AK546+CEG_Assets!$O$19*(1+CEG_Assets!$Q$19)^(AK$3-2026)*(AK548+AK549))/1000000*(1+CEG_OMAdj)</f>
        <v>0</v>
      </c>
      <c r="AL560" s="8" t="n">
        <f aca="false">(CEG_Assets!$R$19*CEG_Assets!$D$19*1000*AL$4*AL546+CEG_Assets!$O$19*(1+CEG_Assets!$Q$19)^(AL$3-2026)*(AL548+AL549))/1000000*(1+CEG_OMAdj)</f>
        <v>0</v>
      </c>
      <c r="AM560" s="8" t="n">
        <f aca="false">(CEG_Assets!$R$19*CEG_Assets!$D$19*1000*AM$4*AM546+CEG_Assets!$O$19*(1+CEG_Assets!$Q$19)^(AM$3-2026)*(AM548+AM549))/1000000*(1+CEG_OMAdj)</f>
        <v>0</v>
      </c>
      <c r="AN560" s="8" t="n">
        <f aca="false">(CEG_Assets!$R$19*CEG_Assets!$D$19*1000*AN$4*AN546+CEG_Assets!$O$19*(1+CEG_Assets!$Q$19)^(AN$3-2026)*(AN548+AN549))/1000000*(1+CEG_OMAdj)</f>
        <v>0</v>
      </c>
      <c r="AO560" s="8" t="n">
        <f aca="false">(CEG_Assets!$R$19*CEG_Assets!$D$19*1000*AO$4*AO546+CEG_Assets!$O$19*(1+CEG_Assets!$Q$19)^(AO$3-2026)*(AO548+AO549))/1000000*(1+CEG_OMAdj)</f>
        <v>0</v>
      </c>
      <c r="AP560" s="8" t="n">
        <f aca="false">(CEG_Assets!$R$19*CEG_Assets!$D$19*1000*AP$4*AP546+CEG_Assets!$O$19*(1+CEG_Assets!$Q$19)^(AP$3-2026)*(AP548+AP549))/1000000*(1+CEG_OMAdj)</f>
        <v>0</v>
      </c>
      <c r="AQ560" s="8" t="n">
        <f aca="false">(CEG_Assets!$R$19*CEG_Assets!$D$19*1000*AQ$4*AQ546+CEG_Assets!$O$19*(1+CEG_Assets!$Q$19)^(AQ$3-2026)*(AQ548+AQ549))/1000000*(1+CEG_OMAdj)</f>
        <v>0</v>
      </c>
      <c r="AR560" s="8" t="n">
        <f aca="false">(CEG_Assets!$R$19*CEG_Assets!$D$19*1000*AR$4*AR546+CEG_Assets!$O$19*(1+CEG_Assets!$Q$19)^(AR$3-2026)*(AR548+AR549))/1000000*(1+CEG_OMAdj)</f>
        <v>0</v>
      </c>
      <c r="AS560" s="8" t="n">
        <f aca="false">(CEG_Assets!$R$19*CEG_Assets!$D$19*1000*AS$4*AS546+CEG_Assets!$O$19*(1+CEG_Assets!$Q$19)^(AS$3-2026)*(AS548+AS549))/1000000*(1+CEG_OMAdj)</f>
        <v>0</v>
      </c>
    </row>
    <row r="561" customFormat="false" ht="15" hidden="false" customHeight="false" outlineLevel="0" collapsed="false">
      <c r="A561" s="6" t="s">
        <v>455</v>
      </c>
      <c r="B561" s="6" t="s">
        <v>456</v>
      </c>
      <c r="C561" s="9" t="n">
        <f aca="false">SUM(G561:AS561)</f>
        <v>1825.48401223266</v>
      </c>
      <c r="G561" s="8" t="n">
        <f aca="false">G559-G560</f>
        <v>88.2846272448</v>
      </c>
      <c r="H561" s="8" t="n">
        <f aca="false">H559-H560</f>
        <v>88.852477494816</v>
      </c>
      <c r="I561" s="8" t="n">
        <f aca="false">I559-I560</f>
        <v>68.3655672778195</v>
      </c>
      <c r="J561" s="8" t="n">
        <f aca="false">J559-J560</f>
        <v>61.2792112152269</v>
      </c>
      <c r="K561" s="8" t="n">
        <f aca="false">K559-K560</f>
        <v>62.5047954395314</v>
      </c>
      <c r="L561" s="8" t="n">
        <f aca="false">L559-L560</f>
        <v>63.754891348322</v>
      </c>
      <c r="M561" s="8" t="n">
        <f aca="false">M559-M560</f>
        <v>65.0299891752885</v>
      </c>
      <c r="N561" s="8" t="n">
        <f aca="false">N559-N560</f>
        <v>66.3305889587943</v>
      </c>
      <c r="O561" s="8" t="n">
        <f aca="false">O559-O560</f>
        <v>67.6572007379701</v>
      </c>
      <c r="P561" s="8" t="n">
        <f aca="false">P559-P560</f>
        <v>69.0103447527296</v>
      </c>
      <c r="Q561" s="8" t="n">
        <f aca="false">Q559-Q560</f>
        <v>70.3905516477842</v>
      </c>
      <c r="R561" s="8" t="n">
        <f aca="false">R559-R560</f>
        <v>71.7983626807398</v>
      </c>
      <c r="S561" s="8" t="n">
        <f aca="false">S559-S560</f>
        <v>73.2343299343547</v>
      </c>
      <c r="T561" s="8" t="n">
        <f aca="false">T559-T560</f>
        <v>74.6990165330417</v>
      </c>
      <c r="U561" s="8" t="n">
        <f aca="false">U559-U560</f>
        <v>76.1929968637026</v>
      </c>
      <c r="V561" s="8" t="n">
        <f aca="false">V559-V560</f>
        <v>77.7168568009766</v>
      </c>
      <c r="W561" s="8" t="n">
        <f aca="false">W559-W560</f>
        <v>79.2711939369962</v>
      </c>
      <c r="X561" s="8" t="n">
        <f aca="false">X559-X560</f>
        <v>80.856617815736</v>
      </c>
      <c r="Y561" s="8" t="n">
        <f aca="false">Y559-Y560</f>
        <v>82.4737501720508</v>
      </c>
      <c r="Z561" s="8" t="n">
        <f aca="false">Z559-Z560</f>
        <v>84.1232251754918</v>
      </c>
      <c r="AA561" s="8" t="n">
        <f aca="false">AA559-AA560</f>
        <v>85.8056896790016</v>
      </c>
      <c r="AB561" s="8" t="n">
        <f aca="false">AB559-AB560</f>
        <v>87.5218034725817</v>
      </c>
      <c r="AC561" s="8" t="n">
        <f aca="false">AC559-AC560</f>
        <v>89.2722395420333</v>
      </c>
      <c r="AD561" s="8" t="n">
        <f aca="false">AD559-AD560</f>
        <v>91.057684332874</v>
      </c>
      <c r="AE561" s="8" t="n">
        <f aca="false">AE559-AE560</f>
        <v>0</v>
      </c>
      <c r="AF561" s="8" t="n">
        <f aca="false">AF559-AF560</f>
        <v>0</v>
      </c>
      <c r="AG561" s="8" t="n">
        <f aca="false">AG559-AG560</f>
        <v>0</v>
      </c>
      <c r="AH561" s="8" t="n">
        <f aca="false">AH559-AH560</f>
        <v>0</v>
      </c>
      <c r="AI561" s="8" t="n">
        <f aca="false">AI559-AI560</f>
        <v>0</v>
      </c>
      <c r="AJ561" s="8" t="n">
        <f aca="false">AJ559-AJ560</f>
        <v>0</v>
      </c>
      <c r="AK561" s="8" t="n">
        <f aca="false">AK559-AK560</f>
        <v>0</v>
      </c>
      <c r="AL561" s="8" t="n">
        <f aca="false">AL559-AL560</f>
        <v>0</v>
      </c>
      <c r="AM561" s="8" t="n">
        <f aca="false">AM559-AM560</f>
        <v>0</v>
      </c>
      <c r="AN561" s="8" t="n">
        <f aca="false">AN559-AN560</f>
        <v>0</v>
      </c>
      <c r="AO561" s="8" t="n">
        <f aca="false">AO559-AO560</f>
        <v>0</v>
      </c>
      <c r="AP561" s="8" t="n">
        <f aca="false">AP559-AP560</f>
        <v>0</v>
      </c>
      <c r="AQ561" s="8" t="n">
        <f aca="false">AQ559-AQ560</f>
        <v>0</v>
      </c>
      <c r="AR561" s="8" t="n">
        <f aca="false">AR559-AR560</f>
        <v>0</v>
      </c>
      <c r="AS561" s="8" t="n">
        <f aca="false">AS559-AS560</f>
        <v>0</v>
      </c>
    </row>
    <row r="562" customFormat="false" ht="15" hidden="false" customHeight="false" outlineLevel="0" collapsed="false">
      <c r="A562" s="6" t="s">
        <v>457</v>
      </c>
      <c r="B562" s="6" t="s">
        <v>458</v>
      </c>
      <c r="C562" s="9" t="n">
        <f aca="false">SUM(G562:AS562)</f>
        <v>226.769430377412</v>
      </c>
      <c r="G562" s="8" t="n">
        <f aca="false">((CEG_Assets!$S$19*CEG_Assets!$D$19*1000*G$4*G546+CEG_Assets!$P$19*(1+CEG_Assets!$Q$19)^(G$3-2026)*(G548+G549))/1000000+IF(G$3=CEG_Assets!$AH$19,CEG_Assets!$AG$19,0))*(1+CEG_CapexAdj)</f>
        <v>7.45416</v>
      </c>
      <c r="H562" s="8" t="n">
        <f aca="false">((CEG_Assets!$S$19*CEG_Assets!$D$19*1000*H$4*H546+CEG_Assets!$P$19*(1+CEG_Assets!$Q$19)^(H$3-2026)*(H548+H549))/1000000+IF(H$3=CEG_Assets!$AH$19,CEG_Assets!$AG$19,0))*(1+CEG_CapexAdj)</f>
        <v>7.6032432</v>
      </c>
      <c r="I562" s="8" t="n">
        <f aca="false">((CEG_Assets!$S$19*CEG_Assets!$D$19*1000*I$4*I546+CEG_Assets!$P$19*(1+CEG_Assets!$Q$19)^(I$3-2026)*(I548+I549))/1000000+IF(I$3=CEG_Assets!$AH$19,CEG_Assets!$AG$19,0))*(1+CEG_CapexAdj)</f>
        <v>7.755308064</v>
      </c>
      <c r="J562" s="8" t="n">
        <f aca="false">((CEG_Assets!$S$19*CEG_Assets!$D$19*1000*J$4*J546+CEG_Assets!$P$19*(1+CEG_Assets!$Q$19)^(J$3-2026)*(J548+J549))/1000000+IF(J$3=CEG_Assets!$AH$19,CEG_Assets!$AG$19,0))*(1+CEG_CapexAdj)</f>
        <v>7.91041422528</v>
      </c>
      <c r="K562" s="8" t="n">
        <f aca="false">((CEG_Assets!$S$19*CEG_Assets!$D$19*1000*K$4*K546+CEG_Assets!$P$19*(1+CEG_Assets!$Q$19)^(K$3-2026)*(K548+K549))/1000000+IF(K$3=CEG_Assets!$AH$19,CEG_Assets!$AG$19,0))*(1+CEG_CapexAdj)</f>
        <v>8.0686225097856</v>
      </c>
      <c r="L562" s="8" t="n">
        <f aca="false">((CEG_Assets!$S$19*CEG_Assets!$D$19*1000*L$4*L546+CEG_Assets!$P$19*(1+CEG_Assets!$Q$19)^(L$3-2026)*(L548+L549))/1000000+IF(L$3=CEG_Assets!$AH$19,CEG_Assets!$AG$19,0))*(1+CEG_CapexAdj)</f>
        <v>8.22999495998131</v>
      </c>
      <c r="M562" s="8" t="n">
        <f aca="false">((CEG_Assets!$S$19*CEG_Assets!$D$19*1000*M$4*M546+CEG_Assets!$P$19*(1+CEG_Assets!$Q$19)^(M$3-2026)*(M548+M549))/1000000+IF(M$3=CEG_Assets!$AH$19,CEG_Assets!$AG$19,0))*(1+CEG_CapexAdj)</f>
        <v>8.39459485918094</v>
      </c>
      <c r="N562" s="8" t="n">
        <f aca="false">((CEG_Assets!$S$19*CEG_Assets!$D$19*1000*N$4*N546+CEG_Assets!$P$19*(1+CEG_Assets!$Q$19)^(N$3-2026)*(N548+N549))/1000000+IF(N$3=CEG_Assets!$AH$19,CEG_Assets!$AG$19,0))*(1+CEG_CapexAdj)</f>
        <v>8.56248675636456</v>
      </c>
      <c r="O562" s="8" t="n">
        <f aca="false">((CEG_Assets!$S$19*CEG_Assets!$D$19*1000*O$4*O546+CEG_Assets!$P$19*(1+CEG_Assets!$Q$19)^(O$3-2026)*(O548+O549))/1000000+IF(O$3=CEG_Assets!$AH$19,CEG_Assets!$AG$19,0))*(1+CEG_CapexAdj)</f>
        <v>8.73373649149185</v>
      </c>
      <c r="P562" s="8" t="n">
        <f aca="false">((CEG_Assets!$S$19*CEG_Assets!$D$19*1000*P$4*P546+CEG_Assets!$P$19*(1+CEG_Assets!$Q$19)^(P$3-2026)*(P548+P549))/1000000+IF(P$3=CEG_Assets!$AH$19,CEG_Assets!$AG$19,0))*(1+CEG_CapexAdj)</f>
        <v>8.90841122132169</v>
      </c>
      <c r="Q562" s="8" t="n">
        <f aca="false">((CEG_Assets!$S$19*CEG_Assets!$D$19*1000*Q$4*Q546+CEG_Assets!$P$19*(1+CEG_Assets!$Q$19)^(Q$3-2026)*(Q548+Q549))/1000000+IF(Q$3=CEG_Assets!$AH$19,CEG_Assets!$AG$19,0))*(1+CEG_CapexAdj)</f>
        <v>9.08657944574812</v>
      </c>
      <c r="R562" s="8" t="n">
        <f aca="false">((CEG_Assets!$S$19*CEG_Assets!$D$19*1000*R$4*R546+CEG_Assets!$P$19*(1+CEG_Assets!$Q$19)^(R$3-2026)*(R548+R549))/1000000+IF(R$3=CEG_Assets!$AH$19,CEG_Assets!$AG$19,0))*(1+CEG_CapexAdj)</f>
        <v>9.26831103466308</v>
      </c>
      <c r="S562" s="8" t="n">
        <f aca="false">((CEG_Assets!$S$19*CEG_Assets!$D$19*1000*S$4*S546+CEG_Assets!$P$19*(1+CEG_Assets!$Q$19)^(S$3-2026)*(S548+S549))/1000000+IF(S$3=CEG_Assets!$AH$19,CEG_Assets!$AG$19,0))*(1+CEG_CapexAdj)</f>
        <v>9.45367725535635</v>
      </c>
      <c r="T562" s="8" t="n">
        <f aca="false">((CEG_Assets!$S$19*CEG_Assets!$D$19*1000*T$4*T546+CEG_Assets!$P$19*(1+CEG_Assets!$Q$19)^(T$3-2026)*(T548+T549))/1000000+IF(T$3=CEG_Assets!$AH$19,CEG_Assets!$AG$19,0))*(1+CEG_CapexAdj)</f>
        <v>9.64275080046347</v>
      </c>
      <c r="U562" s="8" t="n">
        <f aca="false">((CEG_Assets!$S$19*CEG_Assets!$D$19*1000*U$4*U546+CEG_Assets!$P$19*(1+CEG_Assets!$Q$19)^(U$3-2026)*(U548+U549))/1000000+IF(U$3=CEG_Assets!$AH$19,CEG_Assets!$AG$19,0))*(1+CEG_CapexAdj)</f>
        <v>9.83560581647274</v>
      </c>
      <c r="V562" s="8" t="n">
        <f aca="false">((CEG_Assets!$S$19*CEG_Assets!$D$19*1000*V$4*V546+CEG_Assets!$P$19*(1+CEG_Assets!$Q$19)^(V$3-2026)*(V548+V549))/1000000+IF(V$3=CEG_Assets!$AH$19,CEG_Assets!$AG$19,0))*(1+CEG_CapexAdj)</f>
        <v>10.0323179328022</v>
      </c>
      <c r="W562" s="8" t="n">
        <f aca="false">((CEG_Assets!$S$19*CEG_Assets!$D$19*1000*W$4*W546+CEG_Assets!$P$19*(1+CEG_Assets!$Q$19)^(W$3-2026)*(W548+W549))/1000000+IF(W$3=CEG_Assets!$AH$19,CEG_Assets!$AG$19,0))*(1+CEG_CapexAdj)</f>
        <v>10.2329642914582</v>
      </c>
      <c r="X562" s="8" t="n">
        <f aca="false">((CEG_Assets!$S$19*CEG_Assets!$D$19*1000*X$4*X546+CEG_Assets!$P$19*(1+CEG_Assets!$Q$19)^(X$3-2026)*(X548+X549))/1000000+IF(X$3=CEG_Assets!$AH$19,CEG_Assets!$AG$19,0))*(1+CEG_CapexAdj)</f>
        <v>10.4376235772874</v>
      </c>
      <c r="Y562" s="8" t="n">
        <f aca="false">((CEG_Assets!$S$19*CEG_Assets!$D$19*1000*Y$4*Y546+CEG_Assets!$P$19*(1+CEG_Assets!$Q$19)^(Y$3-2026)*(Y548+Y549))/1000000+IF(Y$3=CEG_Assets!$AH$19,CEG_Assets!$AG$19,0))*(1+CEG_CapexAdj)</f>
        <v>10.6463760488332</v>
      </c>
      <c r="Z562" s="8" t="n">
        <f aca="false">((CEG_Assets!$S$19*CEG_Assets!$D$19*1000*Z$4*Z546+CEG_Assets!$P$19*(1+CEG_Assets!$Q$19)^(Z$3-2026)*(Z548+Z549))/1000000+IF(Z$3=CEG_Assets!$AH$19,CEG_Assets!$AG$19,0))*(1+CEG_CapexAdj)</f>
        <v>10.8593035698098</v>
      </c>
      <c r="AA562" s="8" t="n">
        <f aca="false">((CEG_Assets!$S$19*CEG_Assets!$D$19*1000*AA$4*AA546+CEG_Assets!$P$19*(1+CEG_Assets!$Q$19)^(AA$3-2026)*(AA548+AA549))/1000000+IF(AA$3=CEG_Assets!$AH$19,CEG_Assets!$AG$19,0))*(1+CEG_CapexAdj)</f>
        <v>11.076489641206</v>
      </c>
      <c r="AB562" s="8" t="n">
        <f aca="false">((CEG_Assets!$S$19*CEG_Assets!$D$19*1000*AB$4*AB546+CEG_Assets!$P$19*(1+CEG_Assets!$Q$19)^(AB$3-2026)*(AB548+AB549))/1000000+IF(AB$3=CEG_Assets!$AH$19,CEG_Assets!$AG$19,0))*(1+CEG_CapexAdj)</f>
        <v>11.2980194340301</v>
      </c>
      <c r="AC562" s="8" t="n">
        <f aca="false">((CEG_Assets!$S$19*CEG_Assets!$D$19*1000*AC$4*AC546+CEG_Assets!$P$19*(1+CEG_Assets!$Q$19)^(AC$3-2026)*(AC548+AC549))/1000000+IF(AC$3=CEG_Assets!$AH$19,CEG_Assets!$AG$19,0))*(1+CEG_CapexAdj)</f>
        <v>11.5239798227107</v>
      </c>
      <c r="AD562" s="8" t="n">
        <f aca="false">((CEG_Assets!$S$19*CEG_Assets!$D$19*1000*AD$4*AD546+CEG_Assets!$P$19*(1+CEG_Assets!$Q$19)^(AD$3-2026)*(AD548+AD549))/1000000+IF(AD$3=CEG_Assets!$AH$19,CEG_Assets!$AG$19,0))*(1+CEG_CapexAdj)</f>
        <v>11.754459419165</v>
      </c>
      <c r="AE562" s="8" t="n">
        <f aca="false">((CEG_Assets!$S$19*CEG_Assets!$D$19*1000*AE$4*AE546+CEG_Assets!$P$19*(1+CEG_Assets!$Q$19)^(AE$3-2026)*(AE548+AE549))/1000000+IF(AE$3=CEG_Assets!$AH$19,CEG_Assets!$AG$19,0))*(1+CEG_CapexAdj)</f>
        <v>0</v>
      </c>
      <c r="AF562" s="8" t="n">
        <f aca="false">((CEG_Assets!$S$19*CEG_Assets!$D$19*1000*AF$4*AF546+CEG_Assets!$P$19*(1+CEG_Assets!$Q$19)^(AF$3-2026)*(AF548+AF549))/1000000+IF(AF$3=CEG_Assets!$AH$19,CEG_Assets!$AG$19,0))*(1+CEG_CapexAdj)</f>
        <v>0</v>
      </c>
      <c r="AG562" s="8" t="n">
        <f aca="false">((CEG_Assets!$S$19*CEG_Assets!$D$19*1000*AG$4*AG546+CEG_Assets!$P$19*(1+CEG_Assets!$Q$19)^(AG$3-2026)*(AG548+AG549))/1000000+IF(AG$3=CEG_Assets!$AH$19,CEG_Assets!$AG$19,0))*(1+CEG_CapexAdj)</f>
        <v>0</v>
      </c>
      <c r="AH562" s="8" t="n">
        <f aca="false">((CEG_Assets!$S$19*CEG_Assets!$D$19*1000*AH$4*AH546+CEG_Assets!$P$19*(1+CEG_Assets!$Q$19)^(AH$3-2026)*(AH548+AH549))/1000000+IF(AH$3=CEG_Assets!$AH$19,CEG_Assets!$AG$19,0))*(1+CEG_CapexAdj)</f>
        <v>0</v>
      </c>
      <c r="AI562" s="8" t="n">
        <f aca="false">((CEG_Assets!$S$19*CEG_Assets!$D$19*1000*AI$4*AI546+CEG_Assets!$P$19*(1+CEG_Assets!$Q$19)^(AI$3-2026)*(AI548+AI549))/1000000+IF(AI$3=CEG_Assets!$AH$19,CEG_Assets!$AG$19,0))*(1+CEG_CapexAdj)</f>
        <v>0</v>
      </c>
      <c r="AJ562" s="8" t="n">
        <f aca="false">((CEG_Assets!$S$19*CEG_Assets!$D$19*1000*AJ$4*AJ546+CEG_Assets!$P$19*(1+CEG_Assets!$Q$19)^(AJ$3-2026)*(AJ548+AJ549))/1000000+IF(AJ$3=CEG_Assets!$AH$19,CEG_Assets!$AG$19,0))*(1+CEG_CapexAdj)</f>
        <v>0</v>
      </c>
      <c r="AK562" s="8" t="n">
        <f aca="false">((CEG_Assets!$S$19*CEG_Assets!$D$19*1000*AK$4*AK546+CEG_Assets!$P$19*(1+CEG_Assets!$Q$19)^(AK$3-2026)*(AK548+AK549))/1000000+IF(AK$3=CEG_Assets!$AH$19,CEG_Assets!$AG$19,0))*(1+CEG_CapexAdj)</f>
        <v>0</v>
      </c>
      <c r="AL562" s="8" t="n">
        <f aca="false">((CEG_Assets!$S$19*CEG_Assets!$D$19*1000*AL$4*AL546+CEG_Assets!$P$19*(1+CEG_Assets!$Q$19)^(AL$3-2026)*(AL548+AL549))/1000000+IF(AL$3=CEG_Assets!$AH$19,CEG_Assets!$AG$19,0))*(1+CEG_CapexAdj)</f>
        <v>0</v>
      </c>
      <c r="AM562" s="8" t="n">
        <f aca="false">((CEG_Assets!$S$19*CEG_Assets!$D$19*1000*AM$4*AM546+CEG_Assets!$P$19*(1+CEG_Assets!$Q$19)^(AM$3-2026)*(AM548+AM549))/1000000+IF(AM$3=CEG_Assets!$AH$19,CEG_Assets!$AG$19,0))*(1+CEG_CapexAdj)</f>
        <v>0</v>
      </c>
      <c r="AN562" s="8" t="n">
        <f aca="false">((CEG_Assets!$S$19*CEG_Assets!$D$19*1000*AN$4*AN546+CEG_Assets!$P$19*(1+CEG_Assets!$Q$19)^(AN$3-2026)*(AN548+AN549))/1000000+IF(AN$3=CEG_Assets!$AH$19,CEG_Assets!$AG$19,0))*(1+CEG_CapexAdj)</f>
        <v>0</v>
      </c>
      <c r="AO562" s="8" t="n">
        <f aca="false">((CEG_Assets!$S$19*CEG_Assets!$D$19*1000*AO$4*AO546+CEG_Assets!$P$19*(1+CEG_Assets!$Q$19)^(AO$3-2026)*(AO548+AO549))/1000000+IF(AO$3=CEG_Assets!$AH$19,CEG_Assets!$AG$19,0))*(1+CEG_CapexAdj)</f>
        <v>0</v>
      </c>
      <c r="AP562" s="8" t="n">
        <f aca="false">((CEG_Assets!$S$19*CEG_Assets!$D$19*1000*AP$4*AP546+CEG_Assets!$P$19*(1+CEG_Assets!$Q$19)^(AP$3-2026)*(AP548+AP549))/1000000+IF(AP$3=CEG_Assets!$AH$19,CEG_Assets!$AG$19,0))*(1+CEG_CapexAdj)</f>
        <v>0</v>
      </c>
      <c r="AQ562" s="8" t="n">
        <f aca="false">((CEG_Assets!$S$19*CEG_Assets!$D$19*1000*AQ$4*AQ546+CEG_Assets!$P$19*(1+CEG_Assets!$Q$19)^(AQ$3-2026)*(AQ548+AQ549))/1000000+IF(AQ$3=CEG_Assets!$AH$19,CEG_Assets!$AG$19,0))*(1+CEG_CapexAdj)</f>
        <v>0</v>
      </c>
      <c r="AR562" s="8" t="n">
        <f aca="false">((CEG_Assets!$S$19*CEG_Assets!$D$19*1000*AR$4*AR546+CEG_Assets!$P$19*(1+CEG_Assets!$Q$19)^(AR$3-2026)*(AR548+AR549))/1000000+IF(AR$3=CEG_Assets!$AH$19,CEG_Assets!$AG$19,0))*(1+CEG_CapexAdj)</f>
        <v>0</v>
      </c>
      <c r="AS562" s="8" t="n">
        <f aca="false">((CEG_Assets!$S$19*CEG_Assets!$D$19*1000*AS$4*AS546+CEG_Assets!$P$19*(1+CEG_Assets!$Q$19)^(AS$3-2026)*(AS548+AS549))/1000000+IF(AS$3=CEG_Assets!$AH$19,CEG_Assets!$AG$19,0))*(1+CEG_CapexAdj)</f>
        <v>0</v>
      </c>
    </row>
    <row r="563" customFormat="false" ht="15" hidden="false" customHeight="false" outlineLevel="0" collapsed="false">
      <c r="A563" s="6" t="s">
        <v>459</v>
      </c>
      <c r="B563" s="6" t="s">
        <v>460</v>
      </c>
      <c r="C563" s="9" t="n">
        <f aca="false">SUM(G563:AS563)</f>
        <v>1598.71458185525</v>
      </c>
      <c r="G563" s="8" t="n">
        <f aca="false">IF(CEG_Assets!$Y$19=1,MAX(0,G561-G562),G561-G562)</f>
        <v>80.8304672448</v>
      </c>
      <c r="H563" s="8" t="n">
        <f aca="false">IF(CEG_Assets!$Y$19=1,MAX(0,H561-H562),H561-H562)</f>
        <v>81.2492342948161</v>
      </c>
      <c r="I563" s="8" t="n">
        <f aca="false">IF(CEG_Assets!$Y$19=1,MAX(0,I561-I562),I561-I562)</f>
        <v>60.6102592138195</v>
      </c>
      <c r="J563" s="8" t="n">
        <f aca="false">IF(CEG_Assets!$Y$19=1,MAX(0,J561-J562),J561-J562)</f>
        <v>53.3687969899469</v>
      </c>
      <c r="K563" s="8" t="n">
        <f aca="false">IF(CEG_Assets!$Y$19=1,MAX(0,K561-K562),K561-K562)</f>
        <v>54.4361729297458</v>
      </c>
      <c r="L563" s="8" t="n">
        <f aca="false">IF(CEG_Assets!$Y$19=1,MAX(0,L561-L562),L561-L562)</f>
        <v>55.5248963883407</v>
      </c>
      <c r="M563" s="8" t="n">
        <f aca="false">IF(CEG_Assets!$Y$19=1,MAX(0,M561-M562),M561-M562)</f>
        <v>56.6353943161075</v>
      </c>
      <c r="N563" s="8" t="n">
        <f aca="false">IF(CEG_Assets!$Y$19=1,MAX(0,N561-N562),N561-N562)</f>
        <v>57.7681022024297</v>
      </c>
      <c r="O563" s="8" t="n">
        <f aca="false">IF(CEG_Assets!$Y$19=1,MAX(0,O561-O562),O561-O562)</f>
        <v>58.9234642464783</v>
      </c>
      <c r="P563" s="8" t="n">
        <f aca="false">IF(CEG_Assets!$Y$19=1,MAX(0,P561-P562),P561-P562)</f>
        <v>60.1019335314079</v>
      </c>
      <c r="Q563" s="8" t="n">
        <f aca="false">IF(CEG_Assets!$Y$19=1,MAX(0,Q561-Q562),Q561-Q562)</f>
        <v>61.3039722020361</v>
      </c>
      <c r="R563" s="8" t="n">
        <f aca="false">IF(CEG_Assets!$Y$19=1,MAX(0,R561-R562),R561-R562)</f>
        <v>62.5300516460767</v>
      </c>
      <c r="S563" s="8" t="n">
        <f aca="false">IF(CEG_Assets!$Y$19=1,MAX(0,S561-S562),S561-S562)</f>
        <v>63.7806526789983</v>
      </c>
      <c r="T563" s="8" t="n">
        <f aca="false">IF(CEG_Assets!$Y$19=1,MAX(0,T561-T562),T561-T562)</f>
        <v>65.0562657325782</v>
      </c>
      <c r="U563" s="8" t="n">
        <f aca="false">IF(CEG_Assets!$Y$19=1,MAX(0,U561-U562),U561-U562)</f>
        <v>66.3573910472298</v>
      </c>
      <c r="V563" s="8" t="n">
        <f aca="false">IF(CEG_Assets!$Y$19=1,MAX(0,V561-V562),V561-V562)</f>
        <v>67.6845388681744</v>
      </c>
      <c r="W563" s="8" t="n">
        <f aca="false">IF(CEG_Assets!$Y$19=1,MAX(0,W561-W562),W561-W562)</f>
        <v>69.0382296455379</v>
      </c>
      <c r="X563" s="8" t="n">
        <f aca="false">IF(CEG_Assets!$Y$19=1,MAX(0,X561-X562),X561-X562)</f>
        <v>70.4189942384486</v>
      </c>
      <c r="Y563" s="8" t="n">
        <f aca="false">IF(CEG_Assets!$Y$19=1,MAX(0,Y561-Y562),Y561-Y562)</f>
        <v>71.8273741232177</v>
      </c>
      <c r="Z563" s="8" t="n">
        <f aca="false">IF(CEG_Assets!$Y$19=1,MAX(0,Z561-Z562),Z561-Z562)</f>
        <v>73.263921605682</v>
      </c>
      <c r="AA563" s="8" t="n">
        <f aca="false">IF(CEG_Assets!$Y$19=1,MAX(0,AA561-AA562),AA561-AA562)</f>
        <v>74.7292000377956</v>
      </c>
      <c r="AB563" s="8" t="n">
        <f aca="false">IF(CEG_Assets!$Y$19=1,MAX(0,AB561-AB562),AB561-AB562)</f>
        <v>76.2237840385516</v>
      </c>
      <c r="AC563" s="8" t="n">
        <f aca="false">IF(CEG_Assets!$Y$19=1,MAX(0,AC561-AC562),AC561-AC562)</f>
        <v>77.7482597193226</v>
      </c>
      <c r="AD563" s="8" t="n">
        <f aca="false">IF(CEG_Assets!$Y$19=1,MAX(0,AD561-AD562),AD561-AD562)</f>
        <v>79.303224913709</v>
      </c>
      <c r="AE563" s="8" t="n">
        <f aca="false">IF(CEG_Assets!$Y$19=1,MAX(0,AE561-AE562),AE561-AE562)</f>
        <v>0</v>
      </c>
      <c r="AF563" s="8" t="n">
        <f aca="false">IF(CEG_Assets!$Y$19=1,MAX(0,AF561-AF562),AF561-AF562)</f>
        <v>0</v>
      </c>
      <c r="AG563" s="8" t="n">
        <f aca="false">IF(CEG_Assets!$Y$19=1,MAX(0,AG561-AG562),AG561-AG562)</f>
        <v>0</v>
      </c>
      <c r="AH563" s="8" t="n">
        <f aca="false">IF(CEG_Assets!$Y$19=1,MAX(0,AH561-AH562),AH561-AH562)</f>
        <v>0</v>
      </c>
      <c r="AI563" s="8" t="n">
        <f aca="false">IF(CEG_Assets!$Y$19=1,MAX(0,AI561-AI562),AI561-AI562)</f>
        <v>0</v>
      </c>
      <c r="AJ563" s="8" t="n">
        <f aca="false">IF(CEG_Assets!$Y$19=1,MAX(0,AJ561-AJ562),AJ561-AJ562)</f>
        <v>0</v>
      </c>
      <c r="AK563" s="8" t="n">
        <f aca="false">IF(CEG_Assets!$Y$19=1,MAX(0,AK561-AK562),AK561-AK562)</f>
        <v>0</v>
      </c>
      <c r="AL563" s="8" t="n">
        <f aca="false">IF(CEG_Assets!$Y$19=1,MAX(0,AL561-AL562),AL561-AL562)</f>
        <v>0</v>
      </c>
      <c r="AM563" s="8" t="n">
        <f aca="false">IF(CEG_Assets!$Y$19=1,MAX(0,AM561-AM562),AM561-AM562)</f>
        <v>0</v>
      </c>
      <c r="AN563" s="8" t="n">
        <f aca="false">IF(CEG_Assets!$Y$19=1,MAX(0,AN561-AN562),AN561-AN562)</f>
        <v>0</v>
      </c>
      <c r="AO563" s="8" t="n">
        <f aca="false">IF(CEG_Assets!$Y$19=1,MAX(0,AO561-AO562),AO561-AO562)</f>
        <v>0</v>
      </c>
      <c r="AP563" s="8" t="n">
        <f aca="false">IF(CEG_Assets!$Y$19=1,MAX(0,AP561-AP562),AP561-AP562)</f>
        <v>0</v>
      </c>
      <c r="AQ563" s="8" t="n">
        <f aca="false">IF(CEG_Assets!$Y$19=1,MAX(0,AQ561-AQ562),AQ561-AQ562)</f>
        <v>0</v>
      </c>
      <c r="AR563" s="8" t="n">
        <f aca="false">IF(CEG_Assets!$Y$19=1,MAX(0,AR561-AR562),AR561-AR562)</f>
        <v>0</v>
      </c>
      <c r="AS563" s="8" t="n">
        <f aca="false">IF(CEG_Assets!$Y$19=1,MAX(0,AS561-AS562),AS561-AS562)</f>
        <v>0</v>
      </c>
    </row>
    <row r="564" customFormat="false" ht="15" hidden="false" customHeight="false" outlineLevel="0" collapsed="false">
      <c r="A564" s="6" t="s">
        <v>461</v>
      </c>
      <c r="B564" s="6" t="s">
        <v>462</v>
      </c>
      <c r="C564" s="9" t="n">
        <f aca="false">SUM(G564:AS564)</f>
        <v>0</v>
      </c>
      <c r="G564" s="8" t="n">
        <f aca="false">IF(AND(CEG_Assets!$W$19=1,G$3&lt;=PTCLast,G548&gt;0),G548*MAX(0,PTCCredit*(1+Infl)^(G$3-PTCBase)-0.8*MAX(0,(G553+G554+G556)*1000000/MAX(1,G548)-PTCThresh*(1+Infl)^(G$3-PTCBase)))/1000000,0)</f>
        <v>0</v>
      </c>
      <c r="H564" s="8" t="n">
        <f aca="false">IF(AND(CEG_Assets!$W$19=1,H$3&lt;=PTCLast,H548&gt;0),H548*MAX(0,PTCCredit*(1+Infl)^(H$3-PTCBase)-0.8*MAX(0,(H553+H554+H556)*1000000/MAX(1,H548)-PTCThresh*(1+Infl)^(H$3-PTCBase)))/1000000,0)</f>
        <v>0</v>
      </c>
      <c r="I564" s="8" t="n">
        <f aca="false">IF(AND(CEG_Assets!$W$19=1,I$3&lt;=PTCLast,I548&gt;0),I548*MAX(0,PTCCredit*(1+Infl)^(I$3-PTCBase)-0.8*MAX(0,(I553+I554+I556)*1000000/MAX(1,I548)-PTCThresh*(1+Infl)^(I$3-PTCBase)))/1000000,0)</f>
        <v>0</v>
      </c>
      <c r="J564" s="8" t="n">
        <f aca="false">IF(AND(CEG_Assets!$W$19=1,J$3&lt;=PTCLast,J548&gt;0),J548*MAX(0,PTCCredit*(1+Infl)^(J$3-PTCBase)-0.8*MAX(0,(J553+J554+J556)*1000000/MAX(1,J548)-PTCThresh*(1+Infl)^(J$3-PTCBase)))/1000000,0)</f>
        <v>0</v>
      </c>
      <c r="K564" s="8" t="n">
        <f aca="false">IF(AND(CEG_Assets!$W$19=1,K$3&lt;=PTCLast,K548&gt;0),K548*MAX(0,PTCCredit*(1+Infl)^(K$3-PTCBase)-0.8*MAX(0,(K553+K554+K556)*1000000/MAX(1,K548)-PTCThresh*(1+Infl)^(K$3-PTCBase)))/1000000,0)</f>
        <v>0</v>
      </c>
      <c r="L564" s="8" t="n">
        <f aca="false">IF(AND(CEG_Assets!$W$19=1,L$3&lt;=PTCLast,L548&gt;0),L548*MAX(0,PTCCredit*(1+Infl)^(L$3-PTCBase)-0.8*MAX(0,(L553+L554+L556)*1000000/MAX(1,L548)-PTCThresh*(1+Infl)^(L$3-PTCBase)))/1000000,0)</f>
        <v>0</v>
      </c>
      <c r="M564" s="8" t="n">
        <f aca="false">IF(AND(CEG_Assets!$W$19=1,M$3&lt;=PTCLast,M548&gt;0),M548*MAX(0,PTCCredit*(1+Infl)^(M$3-PTCBase)-0.8*MAX(0,(M553+M554+M556)*1000000/MAX(1,M548)-PTCThresh*(1+Infl)^(M$3-PTCBase)))/1000000,0)</f>
        <v>0</v>
      </c>
      <c r="N564" s="8" t="n">
        <f aca="false">IF(AND(CEG_Assets!$W$19=1,N$3&lt;=PTCLast,N548&gt;0),N548*MAX(0,PTCCredit*(1+Infl)^(N$3-PTCBase)-0.8*MAX(0,(N553+N554+N556)*1000000/MAX(1,N548)-PTCThresh*(1+Infl)^(N$3-PTCBase)))/1000000,0)</f>
        <v>0</v>
      </c>
      <c r="O564" s="8" t="n">
        <f aca="false">IF(AND(CEG_Assets!$W$19=1,O$3&lt;=PTCLast,O548&gt;0),O548*MAX(0,PTCCredit*(1+Infl)^(O$3-PTCBase)-0.8*MAX(0,(O553+O554+O556)*1000000/MAX(1,O548)-PTCThresh*(1+Infl)^(O$3-PTCBase)))/1000000,0)</f>
        <v>0</v>
      </c>
      <c r="P564" s="8" t="n">
        <f aca="false">IF(AND(CEG_Assets!$W$19=1,P$3&lt;=PTCLast,P548&gt;0),P548*MAX(0,PTCCredit*(1+Infl)^(P$3-PTCBase)-0.8*MAX(0,(P553+P554+P556)*1000000/MAX(1,P548)-PTCThresh*(1+Infl)^(P$3-PTCBase)))/1000000,0)</f>
        <v>0</v>
      </c>
      <c r="Q564" s="8" t="n">
        <f aca="false">IF(AND(CEG_Assets!$W$19=1,Q$3&lt;=PTCLast,Q548&gt;0),Q548*MAX(0,PTCCredit*(1+Infl)^(Q$3-PTCBase)-0.8*MAX(0,(Q553+Q554+Q556)*1000000/MAX(1,Q548)-PTCThresh*(1+Infl)^(Q$3-PTCBase)))/1000000,0)</f>
        <v>0</v>
      </c>
      <c r="R564" s="8" t="n">
        <f aca="false">IF(AND(CEG_Assets!$W$19=1,R$3&lt;=PTCLast,R548&gt;0),R548*MAX(0,PTCCredit*(1+Infl)^(R$3-PTCBase)-0.8*MAX(0,(R553+R554+R556)*1000000/MAX(1,R548)-PTCThresh*(1+Infl)^(R$3-PTCBase)))/1000000,0)</f>
        <v>0</v>
      </c>
      <c r="S564" s="8" t="n">
        <f aca="false">IF(AND(CEG_Assets!$W$19=1,S$3&lt;=PTCLast,S548&gt;0),S548*MAX(0,PTCCredit*(1+Infl)^(S$3-PTCBase)-0.8*MAX(0,(S553+S554+S556)*1000000/MAX(1,S548)-PTCThresh*(1+Infl)^(S$3-PTCBase)))/1000000,0)</f>
        <v>0</v>
      </c>
      <c r="T564" s="8" t="n">
        <f aca="false">IF(AND(CEG_Assets!$W$19=1,T$3&lt;=PTCLast,T548&gt;0),T548*MAX(0,PTCCredit*(1+Infl)^(T$3-PTCBase)-0.8*MAX(0,(T553+T554+T556)*1000000/MAX(1,T548)-PTCThresh*(1+Infl)^(T$3-PTCBase)))/1000000,0)</f>
        <v>0</v>
      </c>
      <c r="U564" s="8" t="n">
        <f aca="false">IF(AND(CEG_Assets!$W$19=1,U$3&lt;=PTCLast,U548&gt;0),U548*MAX(0,PTCCredit*(1+Infl)^(U$3-PTCBase)-0.8*MAX(0,(U553+U554+U556)*1000000/MAX(1,U548)-PTCThresh*(1+Infl)^(U$3-PTCBase)))/1000000,0)</f>
        <v>0</v>
      </c>
      <c r="V564" s="8" t="n">
        <f aca="false">IF(AND(CEG_Assets!$W$19=1,V$3&lt;=PTCLast,V548&gt;0),V548*MAX(0,PTCCredit*(1+Infl)^(V$3-PTCBase)-0.8*MAX(0,(V553+V554+V556)*1000000/MAX(1,V548)-PTCThresh*(1+Infl)^(V$3-PTCBase)))/1000000,0)</f>
        <v>0</v>
      </c>
      <c r="W564" s="8" t="n">
        <f aca="false">IF(AND(CEG_Assets!$W$19=1,W$3&lt;=PTCLast,W548&gt;0),W548*MAX(0,PTCCredit*(1+Infl)^(W$3-PTCBase)-0.8*MAX(0,(W553+W554+W556)*1000000/MAX(1,W548)-PTCThresh*(1+Infl)^(W$3-PTCBase)))/1000000,0)</f>
        <v>0</v>
      </c>
      <c r="X564" s="8" t="n">
        <f aca="false">IF(AND(CEG_Assets!$W$19=1,X$3&lt;=PTCLast,X548&gt;0),X548*MAX(0,PTCCredit*(1+Infl)^(X$3-PTCBase)-0.8*MAX(0,(X553+X554+X556)*1000000/MAX(1,X548)-PTCThresh*(1+Infl)^(X$3-PTCBase)))/1000000,0)</f>
        <v>0</v>
      </c>
      <c r="Y564" s="8" t="n">
        <f aca="false">IF(AND(CEG_Assets!$W$19=1,Y$3&lt;=PTCLast,Y548&gt;0),Y548*MAX(0,PTCCredit*(1+Infl)^(Y$3-PTCBase)-0.8*MAX(0,(Y553+Y554+Y556)*1000000/MAX(1,Y548)-PTCThresh*(1+Infl)^(Y$3-PTCBase)))/1000000,0)</f>
        <v>0</v>
      </c>
      <c r="Z564" s="8" t="n">
        <f aca="false">IF(AND(CEG_Assets!$W$19=1,Z$3&lt;=PTCLast,Z548&gt;0),Z548*MAX(0,PTCCredit*(1+Infl)^(Z$3-PTCBase)-0.8*MAX(0,(Z553+Z554+Z556)*1000000/MAX(1,Z548)-PTCThresh*(1+Infl)^(Z$3-PTCBase)))/1000000,0)</f>
        <v>0</v>
      </c>
      <c r="AA564" s="8" t="n">
        <f aca="false">IF(AND(CEG_Assets!$W$19=1,AA$3&lt;=PTCLast,AA548&gt;0),AA548*MAX(0,PTCCredit*(1+Infl)^(AA$3-PTCBase)-0.8*MAX(0,(AA553+AA554+AA556)*1000000/MAX(1,AA548)-PTCThresh*(1+Infl)^(AA$3-PTCBase)))/1000000,0)</f>
        <v>0</v>
      </c>
      <c r="AB564" s="8" t="n">
        <f aca="false">IF(AND(CEG_Assets!$W$19=1,AB$3&lt;=PTCLast,AB548&gt;0),AB548*MAX(0,PTCCredit*(1+Infl)^(AB$3-PTCBase)-0.8*MAX(0,(AB553+AB554+AB556)*1000000/MAX(1,AB548)-PTCThresh*(1+Infl)^(AB$3-PTCBase)))/1000000,0)</f>
        <v>0</v>
      </c>
      <c r="AC564" s="8" t="n">
        <f aca="false">IF(AND(CEG_Assets!$W$19=1,AC$3&lt;=PTCLast,AC548&gt;0),AC548*MAX(0,PTCCredit*(1+Infl)^(AC$3-PTCBase)-0.8*MAX(0,(AC553+AC554+AC556)*1000000/MAX(1,AC548)-PTCThresh*(1+Infl)^(AC$3-PTCBase)))/1000000,0)</f>
        <v>0</v>
      </c>
      <c r="AD564" s="8" t="n">
        <f aca="false">IF(AND(CEG_Assets!$W$19=1,AD$3&lt;=PTCLast,AD548&gt;0),AD548*MAX(0,PTCCredit*(1+Infl)^(AD$3-PTCBase)-0.8*MAX(0,(AD553+AD554+AD556)*1000000/MAX(1,AD548)-PTCThresh*(1+Infl)^(AD$3-PTCBase)))/1000000,0)</f>
        <v>0</v>
      </c>
      <c r="AE564" s="8" t="n">
        <f aca="false">IF(AND(CEG_Assets!$W$19=1,AE$3&lt;=PTCLast,AE548&gt;0),AE548*MAX(0,PTCCredit*(1+Infl)^(AE$3-PTCBase)-0.8*MAX(0,(AE553+AE554+AE556)*1000000/MAX(1,AE548)-PTCThresh*(1+Infl)^(AE$3-PTCBase)))/1000000,0)</f>
        <v>0</v>
      </c>
      <c r="AF564" s="8" t="n">
        <f aca="false">IF(AND(CEG_Assets!$W$19=1,AF$3&lt;=PTCLast,AF548&gt;0),AF548*MAX(0,PTCCredit*(1+Infl)^(AF$3-PTCBase)-0.8*MAX(0,(AF553+AF554+AF556)*1000000/MAX(1,AF548)-PTCThresh*(1+Infl)^(AF$3-PTCBase)))/1000000,0)</f>
        <v>0</v>
      </c>
      <c r="AG564" s="8" t="n">
        <f aca="false">IF(AND(CEG_Assets!$W$19=1,AG$3&lt;=PTCLast,AG548&gt;0),AG548*MAX(0,PTCCredit*(1+Infl)^(AG$3-PTCBase)-0.8*MAX(0,(AG553+AG554+AG556)*1000000/MAX(1,AG548)-PTCThresh*(1+Infl)^(AG$3-PTCBase)))/1000000,0)</f>
        <v>0</v>
      </c>
      <c r="AH564" s="8" t="n">
        <f aca="false">IF(AND(CEG_Assets!$W$19=1,AH$3&lt;=PTCLast,AH548&gt;0),AH548*MAX(0,PTCCredit*(1+Infl)^(AH$3-PTCBase)-0.8*MAX(0,(AH553+AH554+AH556)*1000000/MAX(1,AH548)-PTCThresh*(1+Infl)^(AH$3-PTCBase)))/1000000,0)</f>
        <v>0</v>
      </c>
      <c r="AI564" s="8" t="n">
        <f aca="false">IF(AND(CEG_Assets!$W$19=1,AI$3&lt;=PTCLast,AI548&gt;0),AI548*MAX(0,PTCCredit*(1+Infl)^(AI$3-PTCBase)-0.8*MAX(0,(AI553+AI554+AI556)*1000000/MAX(1,AI548)-PTCThresh*(1+Infl)^(AI$3-PTCBase)))/1000000,0)</f>
        <v>0</v>
      </c>
      <c r="AJ564" s="8" t="n">
        <f aca="false">IF(AND(CEG_Assets!$W$19=1,AJ$3&lt;=PTCLast,AJ548&gt;0),AJ548*MAX(0,PTCCredit*(1+Infl)^(AJ$3-PTCBase)-0.8*MAX(0,(AJ553+AJ554+AJ556)*1000000/MAX(1,AJ548)-PTCThresh*(1+Infl)^(AJ$3-PTCBase)))/1000000,0)</f>
        <v>0</v>
      </c>
      <c r="AK564" s="8" t="n">
        <f aca="false">IF(AND(CEG_Assets!$W$19=1,AK$3&lt;=PTCLast,AK548&gt;0),AK548*MAX(0,PTCCredit*(1+Infl)^(AK$3-PTCBase)-0.8*MAX(0,(AK553+AK554+AK556)*1000000/MAX(1,AK548)-PTCThresh*(1+Infl)^(AK$3-PTCBase)))/1000000,0)</f>
        <v>0</v>
      </c>
      <c r="AL564" s="8" t="n">
        <f aca="false">IF(AND(CEG_Assets!$W$19=1,AL$3&lt;=PTCLast,AL548&gt;0),AL548*MAX(0,PTCCredit*(1+Infl)^(AL$3-PTCBase)-0.8*MAX(0,(AL553+AL554+AL556)*1000000/MAX(1,AL548)-PTCThresh*(1+Infl)^(AL$3-PTCBase)))/1000000,0)</f>
        <v>0</v>
      </c>
      <c r="AM564" s="8" t="n">
        <f aca="false">IF(AND(CEG_Assets!$W$19=1,AM$3&lt;=PTCLast,AM548&gt;0),AM548*MAX(0,PTCCredit*(1+Infl)^(AM$3-PTCBase)-0.8*MAX(0,(AM553+AM554+AM556)*1000000/MAX(1,AM548)-PTCThresh*(1+Infl)^(AM$3-PTCBase)))/1000000,0)</f>
        <v>0</v>
      </c>
      <c r="AN564" s="8" t="n">
        <f aca="false">IF(AND(CEG_Assets!$W$19=1,AN$3&lt;=PTCLast,AN548&gt;0),AN548*MAX(0,PTCCredit*(1+Infl)^(AN$3-PTCBase)-0.8*MAX(0,(AN553+AN554+AN556)*1000000/MAX(1,AN548)-PTCThresh*(1+Infl)^(AN$3-PTCBase)))/1000000,0)</f>
        <v>0</v>
      </c>
      <c r="AO564" s="8" t="n">
        <f aca="false">IF(AND(CEG_Assets!$W$19=1,AO$3&lt;=PTCLast,AO548&gt;0),AO548*MAX(0,PTCCredit*(1+Infl)^(AO$3-PTCBase)-0.8*MAX(0,(AO553+AO554+AO556)*1000000/MAX(1,AO548)-PTCThresh*(1+Infl)^(AO$3-PTCBase)))/1000000,0)</f>
        <v>0</v>
      </c>
      <c r="AP564" s="8" t="n">
        <f aca="false">IF(AND(CEG_Assets!$W$19=1,AP$3&lt;=PTCLast,AP548&gt;0),AP548*MAX(0,PTCCredit*(1+Infl)^(AP$3-PTCBase)-0.8*MAX(0,(AP553+AP554+AP556)*1000000/MAX(1,AP548)-PTCThresh*(1+Infl)^(AP$3-PTCBase)))/1000000,0)</f>
        <v>0</v>
      </c>
      <c r="AQ564" s="8" t="n">
        <f aca="false">IF(AND(CEG_Assets!$W$19=1,AQ$3&lt;=PTCLast,AQ548&gt;0),AQ548*MAX(0,PTCCredit*(1+Infl)^(AQ$3-PTCBase)-0.8*MAX(0,(AQ553+AQ554+AQ556)*1000000/MAX(1,AQ548)-PTCThresh*(1+Infl)^(AQ$3-PTCBase)))/1000000,0)</f>
        <v>0</v>
      </c>
      <c r="AR564" s="8" t="n">
        <f aca="false">IF(AND(CEG_Assets!$W$19=1,AR$3&lt;=PTCLast,AR548&gt;0),AR548*MAX(0,PTCCredit*(1+Infl)^(AR$3-PTCBase)-0.8*MAX(0,(AR553+AR554+AR556)*1000000/MAX(1,AR548)-PTCThresh*(1+Infl)^(AR$3-PTCBase)))/1000000,0)</f>
        <v>0</v>
      </c>
      <c r="AS564" s="8" t="n">
        <f aca="false">IF(AND(CEG_Assets!$W$19=1,AS$3&lt;=PTCLast,AS548&gt;0),AS548*MAX(0,PTCCredit*(1+Infl)^(AS$3-PTCBase)-0.8*MAX(0,(AS553+AS554+AS556)*1000000/MAX(1,AS548)-PTCThresh*(1+Infl)^(AS$3-PTCBase)))/1000000,0)</f>
        <v>0</v>
      </c>
    </row>
    <row r="565" customFormat="false" ht="15" hidden="false" customHeight="false" outlineLevel="0" collapsed="false">
      <c r="A565" s="6" t="s">
        <v>463</v>
      </c>
      <c r="B565" s="6" t="s">
        <v>464</v>
      </c>
      <c r="G565" s="8" t="n">
        <f aca="false">G555-G549*(CEG_Assets!$N$19*(1+CEG_FuelAdj)+CEG_Assets!$O$19*(1+CEG_OMAdj)+CEG_Assets!$P$19*(1+CEG_CapexAdj))*(1+CEG_Assets!$Q$19)^(G$3-2026)/1000000</f>
        <v>0</v>
      </c>
      <c r="H565" s="8" t="n">
        <f aca="false">H555-H549*(CEG_Assets!$N$19*(1+CEG_FuelAdj)+CEG_Assets!$O$19*(1+CEG_OMAdj)+CEG_Assets!$P$19*(1+CEG_CapexAdj))*(1+CEG_Assets!$Q$19)^(H$3-2026)/1000000</f>
        <v>0</v>
      </c>
      <c r="I565" s="8" t="n">
        <f aca="false">I555-I549*(CEG_Assets!$N$19*(1+CEG_FuelAdj)+CEG_Assets!$O$19*(1+CEG_OMAdj)+CEG_Assets!$P$19*(1+CEG_CapexAdj))*(1+CEG_Assets!$Q$19)^(I$3-2026)/1000000</f>
        <v>0</v>
      </c>
      <c r="J565" s="8" t="n">
        <f aca="false">J555-J549*(CEG_Assets!$N$19*(1+CEG_FuelAdj)+CEG_Assets!$O$19*(1+CEG_OMAdj)+CEG_Assets!$P$19*(1+CEG_CapexAdj))*(1+CEG_Assets!$Q$19)^(J$3-2026)/1000000</f>
        <v>0</v>
      </c>
      <c r="K565" s="8" t="n">
        <f aca="false">K555-K549*(CEG_Assets!$N$19*(1+CEG_FuelAdj)+CEG_Assets!$O$19*(1+CEG_OMAdj)+CEG_Assets!$P$19*(1+CEG_CapexAdj))*(1+CEG_Assets!$Q$19)^(K$3-2026)/1000000</f>
        <v>0</v>
      </c>
      <c r="L565" s="8" t="n">
        <f aca="false">L555-L549*(CEG_Assets!$N$19*(1+CEG_FuelAdj)+CEG_Assets!$O$19*(1+CEG_OMAdj)+CEG_Assets!$P$19*(1+CEG_CapexAdj))*(1+CEG_Assets!$Q$19)^(L$3-2026)/1000000</f>
        <v>0</v>
      </c>
      <c r="M565" s="8" t="n">
        <f aca="false">M555-M549*(CEG_Assets!$N$19*(1+CEG_FuelAdj)+CEG_Assets!$O$19*(1+CEG_OMAdj)+CEG_Assets!$P$19*(1+CEG_CapexAdj))*(1+CEG_Assets!$Q$19)^(M$3-2026)/1000000</f>
        <v>0</v>
      </c>
      <c r="N565" s="8" t="n">
        <f aca="false">N555-N549*(CEG_Assets!$N$19*(1+CEG_FuelAdj)+CEG_Assets!$O$19*(1+CEG_OMAdj)+CEG_Assets!$P$19*(1+CEG_CapexAdj))*(1+CEG_Assets!$Q$19)^(N$3-2026)/1000000</f>
        <v>0</v>
      </c>
      <c r="O565" s="8" t="n">
        <f aca="false">O555-O549*(CEG_Assets!$N$19*(1+CEG_FuelAdj)+CEG_Assets!$O$19*(1+CEG_OMAdj)+CEG_Assets!$P$19*(1+CEG_CapexAdj))*(1+CEG_Assets!$Q$19)^(O$3-2026)/1000000</f>
        <v>0</v>
      </c>
      <c r="P565" s="8" t="n">
        <f aca="false">P555-P549*(CEG_Assets!$N$19*(1+CEG_FuelAdj)+CEG_Assets!$O$19*(1+CEG_OMAdj)+CEG_Assets!$P$19*(1+CEG_CapexAdj))*(1+CEG_Assets!$Q$19)^(P$3-2026)/1000000</f>
        <v>0</v>
      </c>
      <c r="Q565" s="8" t="n">
        <f aca="false">Q555-Q549*(CEG_Assets!$N$19*(1+CEG_FuelAdj)+CEG_Assets!$O$19*(1+CEG_OMAdj)+CEG_Assets!$P$19*(1+CEG_CapexAdj))*(1+CEG_Assets!$Q$19)^(Q$3-2026)/1000000</f>
        <v>0</v>
      </c>
      <c r="R565" s="8" t="n">
        <f aca="false">R555-R549*(CEG_Assets!$N$19*(1+CEG_FuelAdj)+CEG_Assets!$O$19*(1+CEG_OMAdj)+CEG_Assets!$P$19*(1+CEG_CapexAdj))*(1+CEG_Assets!$Q$19)^(R$3-2026)/1000000</f>
        <v>0</v>
      </c>
      <c r="S565" s="8" t="n">
        <f aca="false">S555-S549*(CEG_Assets!$N$19*(1+CEG_FuelAdj)+CEG_Assets!$O$19*(1+CEG_OMAdj)+CEG_Assets!$P$19*(1+CEG_CapexAdj))*(1+CEG_Assets!$Q$19)^(S$3-2026)/1000000</f>
        <v>0</v>
      </c>
      <c r="T565" s="8" t="n">
        <f aca="false">T555-T549*(CEG_Assets!$N$19*(1+CEG_FuelAdj)+CEG_Assets!$O$19*(1+CEG_OMAdj)+CEG_Assets!$P$19*(1+CEG_CapexAdj))*(1+CEG_Assets!$Q$19)^(T$3-2026)/1000000</f>
        <v>0</v>
      </c>
      <c r="U565" s="8" t="n">
        <f aca="false">U555-U549*(CEG_Assets!$N$19*(1+CEG_FuelAdj)+CEG_Assets!$O$19*(1+CEG_OMAdj)+CEG_Assets!$P$19*(1+CEG_CapexAdj))*(1+CEG_Assets!$Q$19)^(U$3-2026)/1000000</f>
        <v>0</v>
      </c>
      <c r="V565" s="8" t="n">
        <f aca="false">V555-V549*(CEG_Assets!$N$19*(1+CEG_FuelAdj)+CEG_Assets!$O$19*(1+CEG_OMAdj)+CEG_Assets!$P$19*(1+CEG_CapexAdj))*(1+CEG_Assets!$Q$19)^(V$3-2026)/1000000</f>
        <v>0</v>
      </c>
      <c r="W565" s="8" t="n">
        <f aca="false">W555-W549*(CEG_Assets!$N$19*(1+CEG_FuelAdj)+CEG_Assets!$O$19*(1+CEG_OMAdj)+CEG_Assets!$P$19*(1+CEG_CapexAdj))*(1+CEG_Assets!$Q$19)^(W$3-2026)/1000000</f>
        <v>0</v>
      </c>
      <c r="X565" s="8" t="n">
        <f aca="false">X555-X549*(CEG_Assets!$N$19*(1+CEG_FuelAdj)+CEG_Assets!$O$19*(1+CEG_OMAdj)+CEG_Assets!$P$19*(1+CEG_CapexAdj))*(1+CEG_Assets!$Q$19)^(X$3-2026)/1000000</f>
        <v>0</v>
      </c>
      <c r="Y565" s="8" t="n">
        <f aca="false">Y555-Y549*(CEG_Assets!$N$19*(1+CEG_FuelAdj)+CEG_Assets!$O$19*(1+CEG_OMAdj)+CEG_Assets!$P$19*(1+CEG_CapexAdj))*(1+CEG_Assets!$Q$19)^(Y$3-2026)/1000000</f>
        <v>0</v>
      </c>
      <c r="Z565" s="8" t="n">
        <f aca="false">Z555-Z549*(CEG_Assets!$N$19*(1+CEG_FuelAdj)+CEG_Assets!$O$19*(1+CEG_OMAdj)+CEG_Assets!$P$19*(1+CEG_CapexAdj))*(1+CEG_Assets!$Q$19)^(Z$3-2026)/1000000</f>
        <v>0</v>
      </c>
      <c r="AA565" s="8" t="n">
        <f aca="false">AA555-AA549*(CEG_Assets!$N$19*(1+CEG_FuelAdj)+CEG_Assets!$O$19*(1+CEG_OMAdj)+CEG_Assets!$P$19*(1+CEG_CapexAdj))*(1+CEG_Assets!$Q$19)^(AA$3-2026)/1000000</f>
        <v>0</v>
      </c>
      <c r="AB565" s="8" t="n">
        <f aca="false">AB555-AB549*(CEG_Assets!$N$19*(1+CEG_FuelAdj)+CEG_Assets!$O$19*(1+CEG_OMAdj)+CEG_Assets!$P$19*(1+CEG_CapexAdj))*(1+CEG_Assets!$Q$19)^(AB$3-2026)/1000000</f>
        <v>0</v>
      </c>
      <c r="AC565" s="8" t="n">
        <f aca="false">AC555-AC549*(CEG_Assets!$N$19*(1+CEG_FuelAdj)+CEG_Assets!$O$19*(1+CEG_OMAdj)+CEG_Assets!$P$19*(1+CEG_CapexAdj))*(1+CEG_Assets!$Q$19)^(AC$3-2026)/1000000</f>
        <v>0</v>
      </c>
      <c r="AD565" s="8" t="n">
        <f aca="false">AD555-AD549*(CEG_Assets!$N$19*(1+CEG_FuelAdj)+CEG_Assets!$O$19*(1+CEG_OMAdj)+CEG_Assets!$P$19*(1+CEG_CapexAdj))*(1+CEG_Assets!$Q$19)^(AD$3-2026)/1000000</f>
        <v>0</v>
      </c>
      <c r="AE565" s="8" t="n">
        <f aca="false">AE555-AE549*(CEG_Assets!$N$19*(1+CEG_FuelAdj)+CEG_Assets!$O$19*(1+CEG_OMAdj)+CEG_Assets!$P$19*(1+CEG_CapexAdj))*(1+CEG_Assets!$Q$19)^(AE$3-2026)/1000000</f>
        <v>0</v>
      </c>
      <c r="AF565" s="8" t="n">
        <f aca="false">AF555-AF549*(CEG_Assets!$N$19*(1+CEG_FuelAdj)+CEG_Assets!$O$19*(1+CEG_OMAdj)+CEG_Assets!$P$19*(1+CEG_CapexAdj))*(1+CEG_Assets!$Q$19)^(AF$3-2026)/1000000</f>
        <v>0</v>
      </c>
      <c r="AG565" s="8" t="n">
        <f aca="false">AG555-AG549*(CEG_Assets!$N$19*(1+CEG_FuelAdj)+CEG_Assets!$O$19*(1+CEG_OMAdj)+CEG_Assets!$P$19*(1+CEG_CapexAdj))*(1+CEG_Assets!$Q$19)^(AG$3-2026)/1000000</f>
        <v>0</v>
      </c>
      <c r="AH565" s="8" t="n">
        <f aca="false">AH555-AH549*(CEG_Assets!$N$19*(1+CEG_FuelAdj)+CEG_Assets!$O$19*(1+CEG_OMAdj)+CEG_Assets!$P$19*(1+CEG_CapexAdj))*(1+CEG_Assets!$Q$19)^(AH$3-2026)/1000000</f>
        <v>0</v>
      </c>
      <c r="AI565" s="8" t="n">
        <f aca="false">AI555-AI549*(CEG_Assets!$N$19*(1+CEG_FuelAdj)+CEG_Assets!$O$19*(1+CEG_OMAdj)+CEG_Assets!$P$19*(1+CEG_CapexAdj))*(1+CEG_Assets!$Q$19)^(AI$3-2026)/1000000</f>
        <v>0</v>
      </c>
      <c r="AJ565" s="8" t="n">
        <f aca="false">AJ555-AJ549*(CEG_Assets!$N$19*(1+CEG_FuelAdj)+CEG_Assets!$O$19*(1+CEG_OMAdj)+CEG_Assets!$P$19*(1+CEG_CapexAdj))*(1+CEG_Assets!$Q$19)^(AJ$3-2026)/1000000</f>
        <v>0</v>
      </c>
      <c r="AK565" s="8" t="n">
        <f aca="false">AK555-AK549*(CEG_Assets!$N$19*(1+CEG_FuelAdj)+CEG_Assets!$O$19*(1+CEG_OMAdj)+CEG_Assets!$P$19*(1+CEG_CapexAdj))*(1+CEG_Assets!$Q$19)^(AK$3-2026)/1000000</f>
        <v>0</v>
      </c>
      <c r="AL565" s="8" t="n">
        <f aca="false">AL555-AL549*(CEG_Assets!$N$19*(1+CEG_FuelAdj)+CEG_Assets!$O$19*(1+CEG_OMAdj)+CEG_Assets!$P$19*(1+CEG_CapexAdj))*(1+CEG_Assets!$Q$19)^(AL$3-2026)/1000000</f>
        <v>0</v>
      </c>
      <c r="AM565" s="8" t="n">
        <f aca="false">AM555-AM549*(CEG_Assets!$N$19*(1+CEG_FuelAdj)+CEG_Assets!$O$19*(1+CEG_OMAdj)+CEG_Assets!$P$19*(1+CEG_CapexAdj))*(1+CEG_Assets!$Q$19)^(AM$3-2026)/1000000</f>
        <v>0</v>
      </c>
      <c r="AN565" s="8" t="n">
        <f aca="false">AN555-AN549*(CEG_Assets!$N$19*(1+CEG_FuelAdj)+CEG_Assets!$O$19*(1+CEG_OMAdj)+CEG_Assets!$P$19*(1+CEG_CapexAdj))*(1+CEG_Assets!$Q$19)^(AN$3-2026)/1000000</f>
        <v>0</v>
      </c>
      <c r="AO565" s="8" t="n">
        <f aca="false">AO555-AO549*(CEG_Assets!$N$19*(1+CEG_FuelAdj)+CEG_Assets!$O$19*(1+CEG_OMAdj)+CEG_Assets!$P$19*(1+CEG_CapexAdj))*(1+CEG_Assets!$Q$19)^(AO$3-2026)/1000000</f>
        <v>0</v>
      </c>
      <c r="AP565" s="8" t="n">
        <f aca="false">AP555-AP549*(CEG_Assets!$N$19*(1+CEG_FuelAdj)+CEG_Assets!$O$19*(1+CEG_OMAdj)+CEG_Assets!$P$19*(1+CEG_CapexAdj))*(1+CEG_Assets!$Q$19)^(AP$3-2026)/1000000</f>
        <v>0</v>
      </c>
      <c r="AQ565" s="8" t="n">
        <f aca="false">AQ555-AQ549*(CEG_Assets!$N$19*(1+CEG_FuelAdj)+CEG_Assets!$O$19*(1+CEG_OMAdj)+CEG_Assets!$P$19*(1+CEG_CapexAdj))*(1+CEG_Assets!$Q$19)^(AQ$3-2026)/1000000</f>
        <v>0</v>
      </c>
      <c r="AR565" s="8" t="n">
        <f aca="false">AR555-AR549*(CEG_Assets!$N$19*(1+CEG_FuelAdj)+CEG_Assets!$O$19*(1+CEG_OMAdj)+CEG_Assets!$P$19*(1+CEG_CapexAdj))*(1+CEG_Assets!$Q$19)^(AR$3-2026)/1000000</f>
        <v>0</v>
      </c>
      <c r="AS565" s="8" t="n">
        <f aca="false">AS555-AS549*(CEG_Assets!$N$19*(1+CEG_FuelAdj)+CEG_Assets!$O$19*(1+CEG_OMAdj)+CEG_Assets!$P$19*(1+CEG_CapexAdj))*(1+CEG_Assets!$Q$19)^(AS$3-2026)/1000000</f>
        <v>0</v>
      </c>
    </row>
    <row r="566" customFormat="false" ht="15" hidden="false" customHeight="false" outlineLevel="0" collapsed="false">
      <c r="A566" s="6" t="s">
        <v>465</v>
      </c>
      <c r="B566" s="6" t="s">
        <v>466</v>
      </c>
      <c r="G566" s="8" t="n">
        <f aca="false">G563-G565</f>
        <v>80.8304672448</v>
      </c>
      <c r="H566" s="8" t="n">
        <f aca="false">H563-H565</f>
        <v>81.2492342948161</v>
      </c>
      <c r="I566" s="8" t="n">
        <f aca="false">I563-I565</f>
        <v>60.6102592138195</v>
      </c>
      <c r="J566" s="8" t="n">
        <f aca="false">J563-J565</f>
        <v>53.3687969899469</v>
      </c>
      <c r="K566" s="8" t="n">
        <f aca="false">K563-K565</f>
        <v>54.4361729297458</v>
      </c>
      <c r="L566" s="8" t="n">
        <f aca="false">L563-L565</f>
        <v>55.5248963883407</v>
      </c>
      <c r="M566" s="8" t="n">
        <f aca="false">M563-M565</f>
        <v>56.6353943161075</v>
      </c>
      <c r="N566" s="8" t="n">
        <f aca="false">N563-N565</f>
        <v>57.7681022024297</v>
      </c>
      <c r="O566" s="8" t="n">
        <f aca="false">O563-O565</f>
        <v>58.9234642464783</v>
      </c>
      <c r="P566" s="8" t="n">
        <f aca="false">P563-P565</f>
        <v>60.1019335314079</v>
      </c>
      <c r="Q566" s="8" t="n">
        <f aca="false">Q563-Q565</f>
        <v>61.3039722020361</v>
      </c>
      <c r="R566" s="8" t="n">
        <f aca="false">R563-R565</f>
        <v>62.5300516460767</v>
      </c>
      <c r="S566" s="8" t="n">
        <f aca="false">S563-S565</f>
        <v>63.7806526789983</v>
      </c>
      <c r="T566" s="8" t="n">
        <f aca="false">T563-T565</f>
        <v>65.0562657325782</v>
      </c>
      <c r="U566" s="8" t="n">
        <f aca="false">U563-U565</f>
        <v>66.3573910472298</v>
      </c>
      <c r="V566" s="8" t="n">
        <f aca="false">V563-V565</f>
        <v>67.6845388681744</v>
      </c>
      <c r="W566" s="8" t="n">
        <f aca="false">W563-W565</f>
        <v>69.0382296455379</v>
      </c>
      <c r="X566" s="8" t="n">
        <f aca="false">X563-X565</f>
        <v>70.4189942384486</v>
      </c>
      <c r="Y566" s="8" t="n">
        <f aca="false">Y563-Y565</f>
        <v>71.8273741232177</v>
      </c>
      <c r="Z566" s="8" t="n">
        <f aca="false">Z563-Z565</f>
        <v>73.263921605682</v>
      </c>
      <c r="AA566" s="8" t="n">
        <f aca="false">AA563-AA565</f>
        <v>74.7292000377956</v>
      </c>
      <c r="AB566" s="8" t="n">
        <f aca="false">AB563-AB565</f>
        <v>76.2237840385516</v>
      </c>
      <c r="AC566" s="8" t="n">
        <f aca="false">AC563-AC565</f>
        <v>77.7482597193226</v>
      </c>
      <c r="AD566" s="8" t="n">
        <f aca="false">AD563-AD565</f>
        <v>79.303224913709</v>
      </c>
      <c r="AE566" s="8" t="n">
        <f aca="false">AE563-AE565</f>
        <v>0</v>
      </c>
      <c r="AF566" s="8" t="n">
        <f aca="false">AF563-AF565</f>
        <v>0</v>
      </c>
      <c r="AG566" s="8" t="n">
        <f aca="false">AG563-AG565</f>
        <v>0</v>
      </c>
      <c r="AH566" s="8" t="n">
        <f aca="false">AH563-AH565</f>
        <v>0</v>
      </c>
      <c r="AI566" s="8" t="n">
        <f aca="false">AI563-AI565</f>
        <v>0</v>
      </c>
      <c r="AJ566" s="8" t="n">
        <f aca="false">AJ563-AJ565</f>
        <v>0</v>
      </c>
      <c r="AK566" s="8" t="n">
        <f aca="false">AK563-AK565</f>
        <v>0</v>
      </c>
      <c r="AL566" s="8" t="n">
        <f aca="false">AL563-AL565</f>
        <v>0</v>
      </c>
      <c r="AM566" s="8" t="n">
        <f aca="false">AM563-AM565</f>
        <v>0</v>
      </c>
      <c r="AN566" s="8" t="n">
        <f aca="false">AN563-AN565</f>
        <v>0</v>
      </c>
      <c r="AO566" s="8" t="n">
        <f aca="false">AO563-AO565</f>
        <v>0</v>
      </c>
      <c r="AP566" s="8" t="n">
        <f aca="false">AP563-AP565</f>
        <v>0</v>
      </c>
      <c r="AQ566" s="8" t="n">
        <f aca="false">AQ563-AQ565</f>
        <v>0</v>
      </c>
      <c r="AR566" s="8" t="n">
        <f aca="false">AR563-AR565</f>
        <v>0</v>
      </c>
      <c r="AS566" s="8" t="n">
        <f aca="false">AS563-AS565</f>
        <v>0</v>
      </c>
    </row>
    <row r="567" customFormat="false" ht="15" hidden="false" customHeight="false" outlineLevel="0" collapsed="false">
      <c r="A567" s="6" t="s">
        <v>467</v>
      </c>
      <c r="B567" s="6" t="s">
        <v>468</v>
      </c>
      <c r="G567" s="8" t="n">
        <f aca="false">G566*(1-TaxRate)+G564</f>
        <v>64.66437379584</v>
      </c>
      <c r="H567" s="8" t="n">
        <f aca="false">H566*(1-TaxRate)+H564</f>
        <v>64.9993874358528</v>
      </c>
      <c r="I567" s="8" t="n">
        <f aca="false">I566*(1-TaxRate)+I564</f>
        <v>48.4882073710556</v>
      </c>
      <c r="J567" s="8" t="n">
        <f aca="false">J566*(1-TaxRate)+J564</f>
        <v>42.6950375919575</v>
      </c>
      <c r="K567" s="8" t="n">
        <f aca="false">K566*(1-TaxRate)+K564</f>
        <v>43.5489383437966</v>
      </c>
      <c r="L567" s="8" t="n">
        <f aca="false">L566*(1-TaxRate)+L564</f>
        <v>44.4199171106726</v>
      </c>
      <c r="M567" s="8" t="n">
        <f aca="false">M566*(1-TaxRate)+M564</f>
        <v>45.308315452886</v>
      </c>
      <c r="N567" s="8" t="n">
        <f aca="false">N566*(1-TaxRate)+N564</f>
        <v>46.2144817619438</v>
      </c>
      <c r="O567" s="8" t="n">
        <f aca="false">O566*(1-TaxRate)+O564</f>
        <v>47.1387713971826</v>
      </c>
      <c r="P567" s="8" t="n">
        <f aca="false">P566*(1-TaxRate)+P564</f>
        <v>48.0815468251263</v>
      </c>
      <c r="Q567" s="8" t="n">
        <f aca="false">Q566*(1-TaxRate)+Q564</f>
        <v>49.0431777616289</v>
      </c>
      <c r="R567" s="8" t="n">
        <f aca="false">R566*(1-TaxRate)+R564</f>
        <v>50.0240413168614</v>
      </c>
      <c r="S567" s="8" t="n">
        <f aca="false">S566*(1-TaxRate)+S564</f>
        <v>51.0245221431986</v>
      </c>
      <c r="T567" s="8" t="n">
        <f aca="false">T566*(1-TaxRate)+T564</f>
        <v>52.0450125860626</v>
      </c>
      <c r="U567" s="8" t="n">
        <f aca="false">U566*(1-TaxRate)+U564</f>
        <v>53.0859128377839</v>
      </c>
      <c r="V567" s="8" t="n">
        <f aca="false">V566*(1-TaxRate)+V564</f>
        <v>54.1476310945396</v>
      </c>
      <c r="W567" s="8" t="n">
        <f aca="false">W566*(1-TaxRate)+W564</f>
        <v>55.2305837164303</v>
      </c>
      <c r="X567" s="8" t="n">
        <f aca="false">X566*(1-TaxRate)+X564</f>
        <v>56.3351953907589</v>
      </c>
      <c r="Y567" s="8" t="n">
        <f aca="false">Y566*(1-TaxRate)+Y564</f>
        <v>57.4618992985741</v>
      </c>
      <c r="Z567" s="8" t="n">
        <f aca="false">Z566*(1-TaxRate)+Z564</f>
        <v>58.6111372845456</v>
      </c>
      <c r="AA567" s="8" t="n">
        <f aca="false">AA566*(1-TaxRate)+AA564</f>
        <v>59.7833600302365</v>
      </c>
      <c r="AB567" s="8" t="n">
        <f aca="false">AB566*(1-TaxRate)+AB564</f>
        <v>60.9790272308413</v>
      </c>
      <c r="AC567" s="8" t="n">
        <f aca="false">AC566*(1-TaxRate)+AC564</f>
        <v>62.1986077754581</v>
      </c>
      <c r="AD567" s="8" t="n">
        <f aca="false">AD566*(1-TaxRate)+AD564</f>
        <v>63.4425799309672</v>
      </c>
      <c r="AE567" s="8" t="n">
        <f aca="false">AE566*(1-TaxRate)+AE564</f>
        <v>0</v>
      </c>
      <c r="AF567" s="8" t="n">
        <f aca="false">AF566*(1-TaxRate)+AF564</f>
        <v>0</v>
      </c>
      <c r="AG567" s="8" t="n">
        <f aca="false">AG566*(1-TaxRate)+AG564</f>
        <v>0</v>
      </c>
      <c r="AH567" s="8" t="n">
        <f aca="false">AH566*(1-TaxRate)+AH564</f>
        <v>0</v>
      </c>
      <c r="AI567" s="8" t="n">
        <f aca="false">AI566*(1-TaxRate)+AI564</f>
        <v>0</v>
      </c>
      <c r="AJ567" s="8" t="n">
        <f aca="false">AJ566*(1-TaxRate)+AJ564</f>
        <v>0</v>
      </c>
      <c r="AK567" s="8" t="n">
        <f aca="false">AK566*(1-TaxRate)+AK564</f>
        <v>0</v>
      </c>
      <c r="AL567" s="8" t="n">
        <f aca="false">AL566*(1-TaxRate)+AL564</f>
        <v>0</v>
      </c>
      <c r="AM567" s="8" t="n">
        <f aca="false">AM566*(1-TaxRate)+AM564</f>
        <v>0</v>
      </c>
      <c r="AN567" s="8" t="n">
        <f aca="false">AN566*(1-TaxRate)+AN564</f>
        <v>0</v>
      </c>
      <c r="AO567" s="8" t="n">
        <f aca="false">AO566*(1-TaxRate)+AO564</f>
        <v>0</v>
      </c>
      <c r="AP567" s="8" t="n">
        <f aca="false">AP566*(1-TaxRate)+AP564</f>
        <v>0</v>
      </c>
      <c r="AQ567" s="8" t="n">
        <f aca="false">AQ566*(1-TaxRate)+AQ564</f>
        <v>0</v>
      </c>
      <c r="AR567" s="8" t="n">
        <f aca="false">AR566*(1-TaxRate)+AR564</f>
        <v>0</v>
      </c>
      <c r="AS567" s="8" t="n">
        <f aca="false">AS566*(1-TaxRate)+AS564</f>
        <v>0</v>
      </c>
    </row>
    <row r="568" customFormat="false" ht="15" hidden="false" customHeight="false" outlineLevel="0" collapsed="false">
      <c r="A568" s="6" t="s">
        <v>469</v>
      </c>
      <c r="B568" s="6" t="s">
        <v>470</v>
      </c>
      <c r="G568" s="8" t="n">
        <f aca="false">G565*(1-TaxRate)</f>
        <v>0</v>
      </c>
      <c r="H568" s="8" t="n">
        <f aca="false">H565*(1-TaxRate)</f>
        <v>0</v>
      </c>
      <c r="I568" s="8" t="n">
        <f aca="false">I565*(1-TaxRate)</f>
        <v>0</v>
      </c>
      <c r="J568" s="8" t="n">
        <f aca="false">J565*(1-TaxRate)</f>
        <v>0</v>
      </c>
      <c r="K568" s="8" t="n">
        <f aca="false">K565*(1-TaxRate)</f>
        <v>0</v>
      </c>
      <c r="L568" s="8" t="n">
        <f aca="false">L565*(1-TaxRate)</f>
        <v>0</v>
      </c>
      <c r="M568" s="8" t="n">
        <f aca="false">M565*(1-TaxRate)</f>
        <v>0</v>
      </c>
      <c r="N568" s="8" t="n">
        <f aca="false">N565*(1-TaxRate)</f>
        <v>0</v>
      </c>
      <c r="O568" s="8" t="n">
        <f aca="false">O565*(1-TaxRate)</f>
        <v>0</v>
      </c>
      <c r="P568" s="8" t="n">
        <f aca="false">P565*(1-TaxRate)</f>
        <v>0</v>
      </c>
      <c r="Q568" s="8" t="n">
        <f aca="false">Q565*(1-TaxRate)</f>
        <v>0</v>
      </c>
      <c r="R568" s="8" t="n">
        <f aca="false">R565*(1-TaxRate)</f>
        <v>0</v>
      </c>
      <c r="S568" s="8" t="n">
        <f aca="false">S565*(1-TaxRate)</f>
        <v>0</v>
      </c>
      <c r="T568" s="8" t="n">
        <f aca="false">T565*(1-TaxRate)</f>
        <v>0</v>
      </c>
      <c r="U568" s="8" t="n">
        <f aca="false">U565*(1-TaxRate)</f>
        <v>0</v>
      </c>
      <c r="V568" s="8" t="n">
        <f aca="false">V565*(1-TaxRate)</f>
        <v>0</v>
      </c>
      <c r="W568" s="8" t="n">
        <f aca="false">W565*(1-TaxRate)</f>
        <v>0</v>
      </c>
      <c r="X568" s="8" t="n">
        <f aca="false">X565*(1-TaxRate)</f>
        <v>0</v>
      </c>
      <c r="Y568" s="8" t="n">
        <f aca="false">Y565*(1-TaxRate)</f>
        <v>0</v>
      </c>
      <c r="Z568" s="8" t="n">
        <f aca="false">Z565*(1-TaxRate)</f>
        <v>0</v>
      </c>
      <c r="AA568" s="8" t="n">
        <f aca="false">AA565*(1-TaxRate)</f>
        <v>0</v>
      </c>
      <c r="AB568" s="8" t="n">
        <f aca="false">AB565*(1-TaxRate)</f>
        <v>0</v>
      </c>
      <c r="AC568" s="8" t="n">
        <f aca="false">AC565*(1-TaxRate)</f>
        <v>0</v>
      </c>
      <c r="AD568" s="8" t="n">
        <f aca="false">AD565*(1-TaxRate)</f>
        <v>0</v>
      </c>
      <c r="AE568" s="8" t="n">
        <f aca="false">AE565*(1-TaxRate)</f>
        <v>0</v>
      </c>
      <c r="AF568" s="8" t="n">
        <f aca="false">AF565*(1-TaxRate)</f>
        <v>0</v>
      </c>
      <c r="AG568" s="8" t="n">
        <f aca="false">AG565*(1-TaxRate)</f>
        <v>0</v>
      </c>
      <c r="AH568" s="8" t="n">
        <f aca="false">AH565*(1-TaxRate)</f>
        <v>0</v>
      </c>
      <c r="AI568" s="8" t="n">
        <f aca="false">AI565*(1-TaxRate)</f>
        <v>0</v>
      </c>
      <c r="AJ568" s="8" t="n">
        <f aca="false">AJ565*(1-TaxRate)</f>
        <v>0</v>
      </c>
      <c r="AK568" s="8" t="n">
        <f aca="false">AK565*(1-TaxRate)</f>
        <v>0</v>
      </c>
      <c r="AL568" s="8" t="n">
        <f aca="false">AL565*(1-TaxRate)</f>
        <v>0</v>
      </c>
      <c r="AM568" s="8" t="n">
        <f aca="false">AM565*(1-TaxRate)</f>
        <v>0</v>
      </c>
      <c r="AN568" s="8" t="n">
        <f aca="false">AN565*(1-TaxRate)</f>
        <v>0</v>
      </c>
      <c r="AO568" s="8" t="n">
        <f aca="false">AO565*(1-TaxRate)</f>
        <v>0</v>
      </c>
      <c r="AP568" s="8" t="n">
        <f aca="false">AP565*(1-TaxRate)</f>
        <v>0</v>
      </c>
      <c r="AQ568" s="8" t="n">
        <f aca="false">AQ565*(1-TaxRate)</f>
        <v>0</v>
      </c>
      <c r="AR568" s="8" t="n">
        <f aca="false">AR565*(1-TaxRate)</f>
        <v>0</v>
      </c>
      <c r="AS568" s="8" t="n">
        <f aca="false">AS565*(1-TaxRate)</f>
        <v>0</v>
      </c>
    </row>
    <row r="569" customFormat="false" ht="15" hidden="false" customHeight="false" outlineLevel="0" collapsed="false">
      <c r="A569" s="6" t="s">
        <v>471</v>
      </c>
      <c r="B569" s="6" t="s">
        <v>472</v>
      </c>
      <c r="G569" s="42" t="n">
        <f aca="false">(1+CEG_Assets!$AE$19)^-(G$3+0.5-ValDate)</f>
        <v>0.934199026996437</v>
      </c>
      <c r="H569" s="42" t="n">
        <f aca="false">(1+CEG_Assets!$AE$19)^-(H$3+0.5-ValDate)</f>
        <v>0.853149796343778</v>
      </c>
      <c r="I569" s="42" t="n">
        <f aca="false">(1+CEG_Assets!$AE$19)^-(I$3+0.5-ValDate)</f>
        <v>0.779132234103907</v>
      </c>
      <c r="J569" s="42" t="n">
        <f aca="false">(1+CEG_Assets!$AE$19)^-(J$3+0.5-ValDate)</f>
        <v>0.711536286852883</v>
      </c>
      <c r="K569" s="42" t="n">
        <f aca="false">(1+CEG_Assets!$AE$19)^-(K$3+0.5-ValDate)</f>
        <v>0.649804828176149</v>
      </c>
      <c r="L569" s="42" t="n">
        <f aca="false">(1+CEG_Assets!$AE$19)^-(L$3+0.5-ValDate)</f>
        <v>0.593429066827533</v>
      </c>
      <c r="M569" s="42" t="n">
        <f aca="false">(1+CEG_Assets!$AE$19)^-(M$3+0.5-ValDate)</f>
        <v>0.541944353267154</v>
      </c>
      <c r="N569" s="42" t="n">
        <f aca="false">(1+CEG_Assets!$AE$19)^-(N$3+0.5-ValDate)</f>
        <v>0.494926350015666</v>
      </c>
      <c r="O569" s="42" t="n">
        <f aca="false">(1+CEG_Assets!$AE$19)^-(O$3+0.5-ValDate)</f>
        <v>0.451987534260882</v>
      </c>
      <c r="P569" s="42" t="n">
        <f aca="false">(1+CEG_Assets!$AE$19)^-(P$3+0.5-ValDate)</f>
        <v>0.412774003891216</v>
      </c>
      <c r="Q569" s="42" t="n">
        <f aca="false">(1+CEG_Assets!$AE$19)^-(Q$3+0.5-ValDate)</f>
        <v>0.376962560631248</v>
      </c>
      <c r="R569" s="42" t="n">
        <f aca="false">(1+CEG_Assets!$AE$19)^-(R$3+0.5-ValDate)</f>
        <v>0.344258046238582</v>
      </c>
      <c r="S569" s="42" t="n">
        <f aca="false">(1+CEG_Assets!$AE$19)^-(S$3+0.5-ValDate)</f>
        <v>0.314390909806925</v>
      </c>
      <c r="T569" s="42" t="n">
        <f aca="false">(1+CEG_Assets!$AE$19)^-(T$3+0.5-ValDate)</f>
        <v>0.287114986125045</v>
      </c>
      <c r="U569" s="42" t="n">
        <f aca="false">(1+CEG_Assets!$AE$19)^-(U$3+0.5-ValDate)</f>
        <v>0.262205466780863</v>
      </c>
      <c r="V569" s="42" t="n">
        <f aca="false">(1+CEG_Assets!$AE$19)^-(V$3+0.5-ValDate)</f>
        <v>0.23945704728846</v>
      </c>
      <c r="W569" s="42" t="n">
        <f aca="false">(1+CEG_Assets!$AE$19)^-(W$3+0.5-ValDate)</f>
        <v>0.21868223496663</v>
      </c>
      <c r="X569" s="42" t="n">
        <f aca="false">(1+CEG_Assets!$AE$19)^-(X$3+0.5-ValDate)</f>
        <v>0.199709803622493</v>
      </c>
      <c r="Y569" s="42" t="n">
        <f aca="false">(1+CEG_Assets!$AE$19)^-(Y$3+0.5-ValDate)</f>
        <v>0.182383382303647</v>
      </c>
      <c r="Z569" s="42" t="n">
        <f aca="false">(1+CEG_Assets!$AE$19)^-(Z$3+0.5-ValDate)</f>
        <v>0.166560166487348</v>
      </c>
      <c r="AA569" s="42" t="n">
        <f aca="false">(1+CEG_Assets!$AE$19)^-(AA$3+0.5-ValDate)</f>
        <v>0.152109741084336</v>
      </c>
      <c r="AB569" s="42" t="n">
        <f aca="false">(1+CEG_Assets!$AE$19)^-(AB$3+0.5-ValDate)</f>
        <v>0.138913005556472</v>
      </c>
      <c r="AC569" s="42" t="n">
        <f aca="false">(1+CEG_Assets!$AE$19)^-(AC$3+0.5-ValDate)</f>
        <v>0.126861192289015</v>
      </c>
      <c r="AD569" s="42" t="n">
        <f aca="false">(1+CEG_Assets!$AE$19)^-(AD$3+0.5-ValDate)</f>
        <v>0.115854970126955</v>
      </c>
      <c r="AE569" s="42" t="n">
        <f aca="false">(1+CEG_Assets!$AE$19)^-(AE$3+0.5-ValDate)</f>
        <v>0.105803625686716</v>
      </c>
      <c r="AF569" s="42" t="n">
        <f aca="false">(1+CEG_Assets!$AE$19)^-(AF$3+0.5-ValDate)</f>
        <v>0.0966243156956315</v>
      </c>
      <c r="AG569" s="42" t="n">
        <f aca="false">(1+CEG_Assets!$AE$19)^-(AG$3+0.5-ValDate)</f>
        <v>0.0882413841969238</v>
      </c>
      <c r="AH569" s="42" t="n">
        <f aca="false">(1+CEG_Assets!$AE$19)^-(AH$3+0.5-ValDate)</f>
        <v>0.0805857389926244</v>
      </c>
      <c r="AI569" s="42" t="n">
        <f aca="false">(1+CEG_Assets!$AE$19)^-(AI$3+0.5-ValDate)</f>
        <v>0.0735942821850451</v>
      </c>
      <c r="AJ569" s="42" t="n">
        <f aca="false">(1+CEG_Assets!$AE$19)^-(AJ$3+0.5-ValDate)</f>
        <v>0.0672093901233289</v>
      </c>
      <c r="AK569" s="42" t="n">
        <f aca="false">(1+CEG_Assets!$AE$19)^-(AK$3+0.5-ValDate)</f>
        <v>0.0613784384687935</v>
      </c>
      <c r="AL569" s="42" t="n">
        <f aca="false">(1+CEG_Assets!$AE$19)^-(AL$3+0.5-ValDate)</f>
        <v>0.0560533684646516</v>
      </c>
      <c r="AM569" s="42" t="n">
        <f aca="false">(1+CEG_Assets!$AE$19)^-(AM$3+0.5-ValDate)</f>
        <v>0.0511902908352983</v>
      </c>
      <c r="AN569" s="42" t="n">
        <f aca="false">(1+CEG_Assets!$AE$19)^-(AN$3+0.5-ValDate)</f>
        <v>0.0467491240505007</v>
      </c>
      <c r="AO569" s="42" t="n">
        <f aca="false">(1+CEG_Assets!$AE$19)^-(AO$3+0.5-ValDate)</f>
        <v>0.04269326397306</v>
      </c>
      <c r="AP569" s="42" t="n">
        <f aca="false">(1+CEG_Assets!$AE$19)^-(AP$3+0.5-ValDate)</f>
        <v>0.0389892821671781</v>
      </c>
      <c r="AQ569" s="42" t="n">
        <f aca="false">(1+CEG_Assets!$AE$19)^-(AQ$3+0.5-ValDate)</f>
        <v>0.0356066503809846</v>
      </c>
      <c r="AR569" s="42" t="n">
        <f aca="false">(1+CEG_Assets!$AE$19)^-(AR$3+0.5-ValDate)</f>
        <v>0.032517488932406</v>
      </c>
      <c r="AS569" s="42" t="n">
        <f aca="false">(1+CEG_Assets!$AE$19)^-(AS$3+0.5-ValDate)</f>
        <v>0.0296963369245717</v>
      </c>
    </row>
    <row r="570" customFormat="false" ht="15" hidden="false" customHeight="false" outlineLevel="0" collapsed="false">
      <c r="A570" s="6" t="s">
        <v>473</v>
      </c>
      <c r="B570" s="6" t="s">
        <v>474</v>
      </c>
      <c r="G570" s="42" t="n">
        <f aca="false">(1+CEG_Assets!$AF$19)^-(G$3+0.5-ValDate)</f>
        <v>0.934199026996437</v>
      </c>
      <c r="H570" s="42" t="n">
        <f aca="false">(1+CEG_Assets!$AF$19)^-(H$3+0.5-ValDate)</f>
        <v>0.853149796343778</v>
      </c>
      <c r="I570" s="42" t="n">
        <f aca="false">(1+CEG_Assets!$AF$19)^-(I$3+0.5-ValDate)</f>
        <v>0.779132234103907</v>
      </c>
      <c r="J570" s="42" t="n">
        <f aca="false">(1+CEG_Assets!$AF$19)^-(J$3+0.5-ValDate)</f>
        <v>0.711536286852883</v>
      </c>
      <c r="K570" s="42" t="n">
        <f aca="false">(1+CEG_Assets!$AF$19)^-(K$3+0.5-ValDate)</f>
        <v>0.649804828176149</v>
      </c>
      <c r="L570" s="42" t="n">
        <f aca="false">(1+CEG_Assets!$AF$19)^-(L$3+0.5-ValDate)</f>
        <v>0.593429066827533</v>
      </c>
      <c r="M570" s="42" t="n">
        <f aca="false">(1+CEG_Assets!$AF$19)^-(M$3+0.5-ValDate)</f>
        <v>0.541944353267154</v>
      </c>
      <c r="N570" s="42" t="n">
        <f aca="false">(1+CEG_Assets!$AF$19)^-(N$3+0.5-ValDate)</f>
        <v>0.494926350015666</v>
      </c>
      <c r="O570" s="42" t="n">
        <f aca="false">(1+CEG_Assets!$AF$19)^-(O$3+0.5-ValDate)</f>
        <v>0.451987534260882</v>
      </c>
      <c r="P570" s="42" t="n">
        <f aca="false">(1+CEG_Assets!$AF$19)^-(P$3+0.5-ValDate)</f>
        <v>0.412774003891216</v>
      </c>
      <c r="Q570" s="42" t="n">
        <f aca="false">(1+CEG_Assets!$AF$19)^-(Q$3+0.5-ValDate)</f>
        <v>0.376962560631248</v>
      </c>
      <c r="R570" s="42" t="n">
        <f aca="false">(1+CEG_Assets!$AF$19)^-(R$3+0.5-ValDate)</f>
        <v>0.344258046238582</v>
      </c>
      <c r="S570" s="42" t="n">
        <f aca="false">(1+CEG_Assets!$AF$19)^-(S$3+0.5-ValDate)</f>
        <v>0.314390909806925</v>
      </c>
      <c r="T570" s="42" t="n">
        <f aca="false">(1+CEG_Assets!$AF$19)^-(T$3+0.5-ValDate)</f>
        <v>0.287114986125045</v>
      </c>
      <c r="U570" s="42" t="n">
        <f aca="false">(1+CEG_Assets!$AF$19)^-(U$3+0.5-ValDate)</f>
        <v>0.262205466780863</v>
      </c>
      <c r="V570" s="42" t="n">
        <f aca="false">(1+CEG_Assets!$AF$19)^-(V$3+0.5-ValDate)</f>
        <v>0.23945704728846</v>
      </c>
      <c r="W570" s="42" t="n">
        <f aca="false">(1+CEG_Assets!$AF$19)^-(W$3+0.5-ValDate)</f>
        <v>0.21868223496663</v>
      </c>
      <c r="X570" s="42" t="n">
        <f aca="false">(1+CEG_Assets!$AF$19)^-(X$3+0.5-ValDate)</f>
        <v>0.199709803622493</v>
      </c>
      <c r="Y570" s="42" t="n">
        <f aca="false">(1+CEG_Assets!$AF$19)^-(Y$3+0.5-ValDate)</f>
        <v>0.182383382303647</v>
      </c>
      <c r="Z570" s="42" t="n">
        <f aca="false">(1+CEG_Assets!$AF$19)^-(Z$3+0.5-ValDate)</f>
        <v>0.166560166487348</v>
      </c>
      <c r="AA570" s="42" t="n">
        <f aca="false">(1+CEG_Assets!$AF$19)^-(AA$3+0.5-ValDate)</f>
        <v>0.152109741084336</v>
      </c>
      <c r="AB570" s="42" t="n">
        <f aca="false">(1+CEG_Assets!$AF$19)^-(AB$3+0.5-ValDate)</f>
        <v>0.138913005556472</v>
      </c>
      <c r="AC570" s="42" t="n">
        <f aca="false">(1+CEG_Assets!$AF$19)^-(AC$3+0.5-ValDate)</f>
        <v>0.126861192289015</v>
      </c>
      <c r="AD570" s="42" t="n">
        <f aca="false">(1+CEG_Assets!$AF$19)^-(AD$3+0.5-ValDate)</f>
        <v>0.115854970126955</v>
      </c>
      <c r="AE570" s="42" t="n">
        <f aca="false">(1+CEG_Assets!$AF$19)^-(AE$3+0.5-ValDate)</f>
        <v>0.105803625686716</v>
      </c>
      <c r="AF570" s="42" t="n">
        <f aca="false">(1+CEG_Assets!$AF$19)^-(AF$3+0.5-ValDate)</f>
        <v>0.0966243156956315</v>
      </c>
      <c r="AG570" s="42" t="n">
        <f aca="false">(1+CEG_Assets!$AF$19)^-(AG$3+0.5-ValDate)</f>
        <v>0.0882413841969238</v>
      </c>
      <c r="AH570" s="42" t="n">
        <f aca="false">(1+CEG_Assets!$AF$19)^-(AH$3+0.5-ValDate)</f>
        <v>0.0805857389926244</v>
      </c>
      <c r="AI570" s="42" t="n">
        <f aca="false">(1+CEG_Assets!$AF$19)^-(AI$3+0.5-ValDate)</f>
        <v>0.0735942821850451</v>
      </c>
      <c r="AJ570" s="42" t="n">
        <f aca="false">(1+CEG_Assets!$AF$19)^-(AJ$3+0.5-ValDate)</f>
        <v>0.0672093901233289</v>
      </c>
      <c r="AK570" s="42" t="n">
        <f aca="false">(1+CEG_Assets!$AF$19)^-(AK$3+0.5-ValDate)</f>
        <v>0.0613784384687935</v>
      </c>
      <c r="AL570" s="42" t="n">
        <f aca="false">(1+CEG_Assets!$AF$19)^-(AL$3+0.5-ValDate)</f>
        <v>0.0560533684646516</v>
      </c>
      <c r="AM570" s="42" t="n">
        <f aca="false">(1+CEG_Assets!$AF$19)^-(AM$3+0.5-ValDate)</f>
        <v>0.0511902908352983</v>
      </c>
      <c r="AN570" s="42" t="n">
        <f aca="false">(1+CEG_Assets!$AF$19)^-(AN$3+0.5-ValDate)</f>
        <v>0.0467491240505007</v>
      </c>
      <c r="AO570" s="42" t="n">
        <f aca="false">(1+CEG_Assets!$AF$19)^-(AO$3+0.5-ValDate)</f>
        <v>0.04269326397306</v>
      </c>
      <c r="AP570" s="42" t="n">
        <f aca="false">(1+CEG_Assets!$AF$19)^-(AP$3+0.5-ValDate)</f>
        <v>0.0389892821671781</v>
      </c>
      <c r="AQ570" s="42" t="n">
        <f aca="false">(1+CEG_Assets!$AF$19)^-(AQ$3+0.5-ValDate)</f>
        <v>0.0356066503809846</v>
      </c>
      <c r="AR570" s="42" t="n">
        <f aca="false">(1+CEG_Assets!$AF$19)^-(AR$3+0.5-ValDate)</f>
        <v>0.032517488932406</v>
      </c>
      <c r="AS570" s="42" t="n">
        <f aca="false">(1+CEG_Assets!$AF$19)^-(AS$3+0.5-ValDate)</f>
        <v>0.0296963369245717</v>
      </c>
    </row>
    <row r="571" customFormat="false" ht="15" hidden="false" customHeight="false" outlineLevel="0" collapsed="false">
      <c r="A571" s="6" t="s">
        <v>475</v>
      </c>
      <c r="B571" s="6" t="s">
        <v>476</v>
      </c>
      <c r="C571" s="43" t="n">
        <f aca="false">SUM(G571:AS571)</f>
        <v>497.214855337339</v>
      </c>
      <c r="D571" s="8" t="n">
        <f aca="false">SUMIF($G$3:$AS$3,"&lt;="&amp;Horizon,G571:AS571)</f>
        <v>184.021403086706</v>
      </c>
      <c r="E571" s="8" t="n">
        <f aca="false">(C571-D571)*(1+CEG_Assets!$AE$19)^(Horizon+1-ValDate)</f>
        <v>460.598670910172</v>
      </c>
      <c r="G571" s="8" t="n">
        <f aca="false">G567*G569</f>
        <v>60.4093950814076</v>
      </c>
      <c r="H571" s="8" t="n">
        <f aca="false">H567*H569</f>
        <v>55.4542141533682</v>
      </c>
      <c r="I571" s="8" t="n">
        <f aca="false">I567*I569</f>
        <v>37.7787253367041</v>
      </c>
      <c r="J571" s="8" t="n">
        <f aca="false">J567*J569</f>
        <v>30.3790685152257</v>
      </c>
      <c r="K571" s="8" t="n">
        <f aca="false">K567*K569</f>
        <v>28.2983103977445</v>
      </c>
      <c r="L571" s="8" t="n">
        <f aca="false">L567*L569</f>
        <v>26.3600699595428</v>
      </c>
      <c r="M571" s="8" t="n">
        <f aca="false">M567*M569</f>
        <v>24.5545857157385</v>
      </c>
      <c r="N571" s="8" t="n">
        <f aca="false">N567*N569</f>
        <v>22.8727647763044</v>
      </c>
      <c r="O571" s="8" t="n">
        <f aca="false">O567*O569</f>
        <v>21.3061370519</v>
      </c>
      <c r="P571" s="8" t="n">
        <f aca="false">P567*P569</f>
        <v>19.8468125962904</v>
      </c>
      <c r="Q571" s="8" t="n">
        <f aca="false">Q567*Q569</f>
        <v>18.4874418705171</v>
      </c>
      <c r="R571" s="8" t="n">
        <f aca="false">R567*R569</f>
        <v>17.2211787287008</v>
      </c>
      <c r="S571" s="8" t="n">
        <f aca="false">S567*S569</f>
        <v>16.0416459390638</v>
      </c>
      <c r="T571" s="8" t="n">
        <f aca="false">T567*T569</f>
        <v>14.9429030665252</v>
      </c>
      <c r="U571" s="8" t="n">
        <f aca="false">U567*U569</f>
        <v>13.9194165551193</v>
      </c>
      <c r="V571" s="8" t="n">
        <f aca="false">V567*V569</f>
        <v>12.9660318595632</v>
      </c>
      <c r="W571" s="8" t="n">
        <f aca="false">W567*W569</f>
        <v>12.0779474856205</v>
      </c>
      <c r="X571" s="8" t="n">
        <f aca="false">X567*X569</f>
        <v>11.2506908085232</v>
      </c>
      <c r="Y571" s="8" t="n">
        <f aca="false">Y567*Y569</f>
        <v>10.4800955476655</v>
      </c>
      <c r="Z571" s="8" t="n">
        <f aca="false">Z567*Z569</f>
        <v>9.76228078412675</v>
      </c>
      <c r="AA571" s="8" t="n">
        <f aca="false">AA567*AA569</f>
        <v>9.09363141535094</v>
      </c>
      <c r="AB571" s="8" t="n">
        <f aca="false">AB567*AB569</f>
        <v>8.47077994854609</v>
      </c>
      <c r="AC571" s="8" t="n">
        <f aca="false">AC567*AC569</f>
        <v>7.89058954111142</v>
      </c>
      <c r="AD571" s="8" t="n">
        <f aca="false">AD567*AD569</f>
        <v>7.35013820267914</v>
      </c>
      <c r="AE571" s="8" t="n">
        <f aca="false">AE567*AE569</f>
        <v>0</v>
      </c>
      <c r="AF571" s="8" t="n">
        <f aca="false">AF567*AF569</f>
        <v>0</v>
      </c>
      <c r="AG571" s="8" t="n">
        <f aca="false">AG567*AG569</f>
        <v>0</v>
      </c>
      <c r="AH571" s="8" t="n">
        <f aca="false">AH567*AH569</f>
        <v>0</v>
      </c>
      <c r="AI571" s="8" t="n">
        <f aca="false">AI567*AI569</f>
        <v>0</v>
      </c>
      <c r="AJ571" s="8" t="n">
        <f aca="false">AJ567*AJ569</f>
        <v>0</v>
      </c>
      <c r="AK571" s="8" t="n">
        <f aca="false">AK567*AK569</f>
        <v>0</v>
      </c>
      <c r="AL571" s="8" t="n">
        <f aca="false">AL567*AL569</f>
        <v>0</v>
      </c>
      <c r="AM571" s="8" t="n">
        <f aca="false">AM567*AM569</f>
        <v>0</v>
      </c>
      <c r="AN571" s="8" t="n">
        <f aca="false">AN567*AN569</f>
        <v>0</v>
      </c>
      <c r="AO571" s="8" t="n">
        <f aca="false">AO567*AO569</f>
        <v>0</v>
      </c>
      <c r="AP571" s="8" t="n">
        <f aca="false">AP567*AP569</f>
        <v>0</v>
      </c>
      <c r="AQ571" s="8" t="n">
        <f aca="false">AQ567*AQ569</f>
        <v>0</v>
      </c>
      <c r="AR571" s="8" t="n">
        <f aca="false">AR567*AR569</f>
        <v>0</v>
      </c>
      <c r="AS571" s="8" t="n">
        <f aca="false">AS567*AS569</f>
        <v>0</v>
      </c>
    </row>
    <row r="572" customFormat="false" ht="15" hidden="false" customHeight="false" outlineLevel="0" collapsed="false">
      <c r="A572" s="6" t="s">
        <v>477</v>
      </c>
      <c r="B572" s="6" t="s">
        <v>478</v>
      </c>
      <c r="C572" s="43" t="n">
        <f aca="false">SUM(G572:AS572)</f>
        <v>0</v>
      </c>
      <c r="D572" s="8" t="n">
        <f aca="false">SUMIF($G$3:$AS$3,"&lt;="&amp;Horizon,G572:AS572)</f>
        <v>0</v>
      </c>
      <c r="E572" s="8" t="n">
        <f aca="false">(C572-D572)*(1+CEG_Assets!$AF$19)^(Horizon+1-ValDate)</f>
        <v>0</v>
      </c>
      <c r="G572" s="8" t="n">
        <f aca="false">G568*G570</f>
        <v>0</v>
      </c>
      <c r="H572" s="8" t="n">
        <f aca="false">H568*H570</f>
        <v>0</v>
      </c>
      <c r="I572" s="8" t="n">
        <f aca="false">I568*I570</f>
        <v>0</v>
      </c>
      <c r="J572" s="8" t="n">
        <f aca="false">J568*J570</f>
        <v>0</v>
      </c>
      <c r="K572" s="8" t="n">
        <f aca="false">K568*K570</f>
        <v>0</v>
      </c>
      <c r="L572" s="8" t="n">
        <f aca="false">L568*L570</f>
        <v>0</v>
      </c>
      <c r="M572" s="8" t="n">
        <f aca="false">M568*M570</f>
        <v>0</v>
      </c>
      <c r="N572" s="8" t="n">
        <f aca="false">N568*N570</f>
        <v>0</v>
      </c>
      <c r="O572" s="8" t="n">
        <f aca="false">O568*O570</f>
        <v>0</v>
      </c>
      <c r="P572" s="8" t="n">
        <f aca="false">P568*P570</f>
        <v>0</v>
      </c>
      <c r="Q572" s="8" t="n">
        <f aca="false">Q568*Q570</f>
        <v>0</v>
      </c>
      <c r="R572" s="8" t="n">
        <f aca="false">R568*R570</f>
        <v>0</v>
      </c>
      <c r="S572" s="8" t="n">
        <f aca="false">S568*S570</f>
        <v>0</v>
      </c>
      <c r="T572" s="8" t="n">
        <f aca="false">T568*T570</f>
        <v>0</v>
      </c>
      <c r="U572" s="8" t="n">
        <f aca="false">U568*U570</f>
        <v>0</v>
      </c>
      <c r="V572" s="8" t="n">
        <f aca="false">V568*V570</f>
        <v>0</v>
      </c>
      <c r="W572" s="8" t="n">
        <f aca="false">W568*W570</f>
        <v>0</v>
      </c>
      <c r="X572" s="8" t="n">
        <f aca="false">X568*X570</f>
        <v>0</v>
      </c>
      <c r="Y572" s="8" t="n">
        <f aca="false">Y568*Y570</f>
        <v>0</v>
      </c>
      <c r="Z572" s="8" t="n">
        <f aca="false">Z568*Z570</f>
        <v>0</v>
      </c>
      <c r="AA572" s="8" t="n">
        <f aca="false">AA568*AA570</f>
        <v>0</v>
      </c>
      <c r="AB572" s="8" t="n">
        <f aca="false">AB568*AB570</f>
        <v>0</v>
      </c>
      <c r="AC572" s="8" t="n">
        <f aca="false">AC568*AC570</f>
        <v>0</v>
      </c>
      <c r="AD572" s="8" t="n">
        <f aca="false">AD568*AD570</f>
        <v>0</v>
      </c>
      <c r="AE572" s="8" t="n">
        <f aca="false">AE568*AE570</f>
        <v>0</v>
      </c>
      <c r="AF572" s="8" t="n">
        <f aca="false">AF568*AF570</f>
        <v>0</v>
      </c>
      <c r="AG572" s="8" t="n">
        <f aca="false">AG568*AG570</f>
        <v>0</v>
      </c>
      <c r="AH572" s="8" t="n">
        <f aca="false">AH568*AH570</f>
        <v>0</v>
      </c>
      <c r="AI572" s="8" t="n">
        <f aca="false">AI568*AI570</f>
        <v>0</v>
      </c>
      <c r="AJ572" s="8" t="n">
        <f aca="false">AJ568*AJ570</f>
        <v>0</v>
      </c>
      <c r="AK572" s="8" t="n">
        <f aca="false">AK568*AK570</f>
        <v>0</v>
      </c>
      <c r="AL572" s="8" t="n">
        <f aca="false">AL568*AL570</f>
        <v>0</v>
      </c>
      <c r="AM572" s="8" t="n">
        <f aca="false">AM568*AM570</f>
        <v>0</v>
      </c>
      <c r="AN572" s="8" t="n">
        <f aca="false">AN568*AN570</f>
        <v>0</v>
      </c>
      <c r="AO572" s="8" t="n">
        <f aca="false">AO568*AO570</f>
        <v>0</v>
      </c>
      <c r="AP572" s="8" t="n">
        <f aca="false">AP568*AP570</f>
        <v>0</v>
      </c>
      <c r="AQ572" s="8" t="n">
        <f aca="false">AQ568*AQ570</f>
        <v>0</v>
      </c>
      <c r="AR572" s="8" t="n">
        <f aca="false">AR568*AR570</f>
        <v>0</v>
      </c>
      <c r="AS572" s="8" t="n">
        <f aca="false">AS568*AS570</f>
        <v>0</v>
      </c>
    </row>
    <row r="573" customFormat="false" ht="15" hidden="false" customHeight="false" outlineLevel="0" collapsed="false">
      <c r="A573" s="6" t="s">
        <v>479</v>
      </c>
      <c r="B573" s="6" t="s">
        <v>480</v>
      </c>
      <c r="C573" s="43" t="n">
        <f aca="false">IF(CEG_Assets!$H$19="$/kW",CEG_Assets!$D$19*CEG_Assets!$AI$19*(1+0.4*(PJMWLR/PJMWLRBase-1))/1000,0)</f>
        <v>0</v>
      </c>
      <c r="E573" s="8" t="n">
        <f aca="false">C573</f>
        <v>0</v>
      </c>
      <c r="G573" s="8" t="n">
        <f aca="false">0</f>
        <v>0</v>
      </c>
      <c r="H573" s="8" t="n">
        <f aca="false">0</f>
        <v>0</v>
      </c>
      <c r="I573" s="8" t="n">
        <f aca="false">0</f>
        <v>0</v>
      </c>
      <c r="J573" s="8" t="n">
        <f aca="false">0</f>
        <v>0</v>
      </c>
      <c r="K573" s="8" t="n">
        <f aca="false">0</f>
        <v>0</v>
      </c>
      <c r="L573" s="8" t="n">
        <f aca="false">0</f>
        <v>0</v>
      </c>
      <c r="M573" s="8" t="n">
        <f aca="false">0</f>
        <v>0</v>
      </c>
      <c r="N573" s="8" t="n">
        <f aca="false">0</f>
        <v>0</v>
      </c>
      <c r="O573" s="8" t="n">
        <f aca="false">0</f>
        <v>0</v>
      </c>
      <c r="P573" s="8" t="n">
        <f aca="false">0</f>
        <v>0</v>
      </c>
      <c r="Q573" s="8" t="n">
        <f aca="false">0</f>
        <v>0</v>
      </c>
      <c r="R573" s="8" t="n">
        <f aca="false">0</f>
        <v>0</v>
      </c>
      <c r="S573" s="8" t="n">
        <f aca="false">0</f>
        <v>0</v>
      </c>
      <c r="T573" s="8" t="n">
        <f aca="false">0</f>
        <v>0</v>
      </c>
      <c r="U573" s="8" t="n">
        <f aca="false">0</f>
        <v>0</v>
      </c>
      <c r="V573" s="8" t="n">
        <f aca="false">0</f>
        <v>0</v>
      </c>
      <c r="W573" s="8" t="n">
        <f aca="false">0</f>
        <v>0</v>
      </c>
      <c r="X573" s="8" t="n">
        <f aca="false">0</f>
        <v>0</v>
      </c>
      <c r="Y573" s="8" t="n">
        <f aca="false">0</f>
        <v>0</v>
      </c>
      <c r="Z573" s="8" t="n">
        <f aca="false">0</f>
        <v>0</v>
      </c>
      <c r="AA573" s="8" t="n">
        <f aca="false">0</f>
        <v>0</v>
      </c>
      <c r="AB573" s="8" t="n">
        <f aca="false">0</f>
        <v>0</v>
      </c>
      <c r="AC573" s="8" t="n">
        <f aca="false">0</f>
        <v>0</v>
      </c>
      <c r="AD573" s="8" t="n">
        <f aca="false">0</f>
        <v>0</v>
      </c>
      <c r="AE573" s="8" t="n">
        <f aca="false">0</f>
        <v>0</v>
      </c>
      <c r="AF573" s="8" t="n">
        <f aca="false">0</f>
        <v>0</v>
      </c>
      <c r="AG573" s="8" t="n">
        <f aca="false">0</f>
        <v>0</v>
      </c>
      <c r="AH573" s="8" t="n">
        <f aca="false">0</f>
        <v>0</v>
      </c>
      <c r="AI573" s="8" t="n">
        <f aca="false">0</f>
        <v>0</v>
      </c>
      <c r="AJ573" s="8" t="n">
        <f aca="false">0</f>
        <v>0</v>
      </c>
      <c r="AK573" s="8" t="n">
        <f aca="false">0</f>
        <v>0</v>
      </c>
      <c r="AL573" s="8" t="n">
        <f aca="false">0</f>
        <v>0</v>
      </c>
      <c r="AM573" s="8" t="n">
        <f aca="false">0</f>
        <v>0</v>
      </c>
      <c r="AN573" s="8" t="n">
        <f aca="false">0</f>
        <v>0</v>
      </c>
      <c r="AO573" s="8" t="n">
        <f aca="false">0</f>
        <v>0</v>
      </c>
      <c r="AP573" s="8" t="n">
        <f aca="false">0</f>
        <v>0</v>
      </c>
      <c r="AQ573" s="8" t="n">
        <f aca="false">0</f>
        <v>0</v>
      </c>
      <c r="AR573" s="8" t="n">
        <f aca="false">0</f>
        <v>0</v>
      </c>
      <c r="AS573" s="8" t="n">
        <f aca="false">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4" min="2" style="0" width="11"/>
  </cols>
  <sheetData>
    <row r="1" customFormat="false" ht="60" hidden="false" customHeight="true" outlineLevel="0" collapsed="false">
      <c r="A1" s="3" t="s">
        <v>318</v>
      </c>
      <c r="B1" s="3" t="s">
        <v>151</v>
      </c>
      <c r="C1" s="3" t="s">
        <v>135</v>
      </c>
      <c r="D1" s="3" t="s">
        <v>319</v>
      </c>
      <c r="E1" s="3" t="s">
        <v>320</v>
      </c>
      <c r="F1" s="3" t="s">
        <v>321</v>
      </c>
      <c r="G1" s="3" t="s">
        <v>322</v>
      </c>
      <c r="H1" s="3" t="s">
        <v>323</v>
      </c>
      <c r="I1" s="3" t="s">
        <v>152</v>
      </c>
      <c r="J1" s="3" t="s">
        <v>153</v>
      </c>
      <c r="K1" s="3" t="s">
        <v>154</v>
      </c>
      <c r="L1" s="3" t="s">
        <v>155</v>
      </c>
      <c r="M1" s="3" t="s">
        <v>156</v>
      </c>
      <c r="N1" s="3" t="s">
        <v>157</v>
      </c>
      <c r="O1" s="3" t="s">
        <v>158</v>
      </c>
      <c r="P1" s="3" t="s">
        <v>159</v>
      </c>
      <c r="Q1" s="3" t="s">
        <v>160</v>
      </c>
      <c r="R1" s="3" t="s">
        <v>161</v>
      </c>
      <c r="S1" s="3" t="s">
        <v>162</v>
      </c>
      <c r="T1" s="3" t="s">
        <v>163</v>
      </c>
      <c r="U1" s="3" t="s">
        <v>324</v>
      </c>
      <c r="V1" s="3" t="s">
        <v>325</v>
      </c>
      <c r="W1" s="3" t="s">
        <v>326</v>
      </c>
      <c r="X1" s="3" t="s">
        <v>327</v>
      </c>
      <c r="Y1" s="3" t="s">
        <v>328</v>
      </c>
      <c r="Z1" s="3" t="s">
        <v>329</v>
      </c>
      <c r="AA1" s="3" t="s">
        <v>330</v>
      </c>
      <c r="AB1" s="3" t="s">
        <v>331</v>
      </c>
      <c r="AC1" s="3" t="s">
        <v>332</v>
      </c>
      <c r="AD1" s="3" t="s">
        <v>333</v>
      </c>
      <c r="AE1" s="3" t="s">
        <v>164</v>
      </c>
      <c r="AF1" s="3" t="s">
        <v>165</v>
      </c>
      <c r="AG1" s="3" t="s">
        <v>334</v>
      </c>
      <c r="AH1" s="3" t="s">
        <v>335</v>
      </c>
      <c r="AI1" s="3" t="s">
        <v>336</v>
      </c>
      <c r="AJ1" s="3" t="s">
        <v>169</v>
      </c>
      <c r="AK1" s="3" t="s">
        <v>337</v>
      </c>
      <c r="AL1" s="3" t="s">
        <v>338</v>
      </c>
      <c r="AM1" s="3" t="s">
        <v>339</v>
      </c>
      <c r="AN1" s="3" t="s">
        <v>340</v>
      </c>
      <c r="AO1" s="3" t="s">
        <v>341</v>
      </c>
      <c r="AP1" s="3" t="s">
        <v>342</v>
      </c>
      <c r="AQ1" s="3" t="s">
        <v>343</v>
      </c>
      <c r="AR1" s="3" t="s">
        <v>344</v>
      </c>
    </row>
    <row r="2" customFormat="false" ht="15" hidden="false" customHeight="false" outlineLevel="0" collapsed="false">
      <c r="A2" s="39" t="s">
        <v>481</v>
      </c>
      <c r="B2" s="39" t="s">
        <v>170</v>
      </c>
      <c r="C2" s="39" t="s">
        <v>148</v>
      </c>
      <c r="D2" s="38" t="n">
        <v>2400</v>
      </c>
      <c r="E2" s="36" t="n">
        <v>2027</v>
      </c>
      <c r="F2" s="36" t="n">
        <v>2053</v>
      </c>
      <c r="G2" s="36" t="n">
        <v>1991</v>
      </c>
      <c r="H2" s="39" t="s">
        <v>346</v>
      </c>
      <c r="I2" s="19" t="n">
        <f aca="false">Inputs!$B$61</f>
        <v>0.935</v>
      </c>
      <c r="J2" s="44" t="n">
        <f aca="false">Inputs!$F$57</f>
        <v>0.95</v>
      </c>
      <c r="K2" s="44" t="n">
        <f aca="false">Inputs!$D$61</f>
        <v>0</v>
      </c>
      <c r="M2" s="44" t="n">
        <f aca="false">Inputs!$F$61</f>
        <v>0</v>
      </c>
      <c r="N2" s="44" t="n">
        <f aca="false">Inputs!$G$61</f>
        <v>5.5</v>
      </c>
      <c r="O2" s="44" t="n">
        <f aca="false">Inputs!$H$61</f>
        <v>22.3</v>
      </c>
      <c r="P2" s="44" t="n">
        <f aca="false">Inputs!$I$61</f>
        <v>7.7</v>
      </c>
      <c r="Q2" s="19" t="n">
        <f aca="false">Inputs!$J$61</f>
        <v>0.025</v>
      </c>
      <c r="R2" s="45" t="n">
        <f aca="false">Inputs!$K$61</f>
        <v>0</v>
      </c>
      <c r="S2" s="45" t="n">
        <f aca="false">Inputs!$L$61</f>
        <v>0</v>
      </c>
      <c r="T2" s="19" t="n">
        <f aca="false">Inputs!$M$61</f>
        <v>0.95</v>
      </c>
      <c r="U2" s="35" t="n">
        <v>0</v>
      </c>
      <c r="V2" s="36" t="n">
        <v>2026</v>
      </c>
      <c r="W2" s="46" t="n">
        <f aca="false">Inputs!$R$61</f>
        <v>1</v>
      </c>
      <c r="X2" s="46" t="n">
        <f aca="false">Inputs!$P$61</f>
        <v>0</v>
      </c>
      <c r="Y2" s="46" t="n">
        <f aca="false">Inputs!$Q$61</f>
        <v>0</v>
      </c>
      <c r="Z2" s="38" t="n">
        <v>1200</v>
      </c>
      <c r="AA2" s="36" t="n">
        <v>2028</v>
      </c>
      <c r="AB2" s="36" t="n">
        <v>2047</v>
      </c>
      <c r="AC2" s="36" t="n">
        <v>5</v>
      </c>
      <c r="AD2" s="35" t="n">
        <v>80</v>
      </c>
      <c r="AE2" s="19" t="n">
        <f aca="false">Inputs!$N$61</f>
        <v>0.08</v>
      </c>
      <c r="AF2" s="19" t="n">
        <f aca="false">Inputs!$O$61</f>
        <v>0.0675</v>
      </c>
      <c r="AG2" s="38" t="n">
        <v>0</v>
      </c>
      <c r="AH2" s="36" t="n">
        <v>2026</v>
      </c>
      <c r="AJ2" s="18" t="n">
        <f aca="false">NucRC</f>
        <v>4500</v>
      </c>
      <c r="AL2" s="20" t="n">
        <f aca="false">IF(ISNUMBER(AK2),AK2,MAX(0,MIN(1,(F2+1-ValDate)/(F2+1-G2))))</f>
        <v>0.432539682539683</v>
      </c>
      <c r="AM2" s="9" t="n">
        <f aca="false">D2*AJ2*AL2/1000</f>
        <v>4671.42857142857</v>
      </c>
      <c r="AN2" s="47" t="n">
        <f aca="false">MATCH("ATC|"&amp;C2,Prices!$A:$A,0)</f>
        <v>41</v>
      </c>
      <c r="AO2" s="47" t="n">
        <f aca="false">MATCH("GAS|"&amp;C2,Prices!$A:$A,0)</f>
        <v>40</v>
      </c>
      <c r="AP2" s="47" t="n">
        <f aca="false">MATCH("CAP|"&amp;C2,Prices!$A:$A,0)</f>
        <v>42</v>
      </c>
      <c r="AQ2" s="18" t="n">
        <f aca="false">VST_Model!C61+VST_Model!C62+VST_Model!C63</f>
        <v>3638.70363767412</v>
      </c>
      <c r="AR2" s="9" t="n">
        <f aca="false">IF(D2=0,0,AQ2/D2*1000)</f>
        <v>1516.12651569755</v>
      </c>
    </row>
    <row r="3" customFormat="false" ht="15" hidden="false" customHeight="false" outlineLevel="0" collapsed="false">
      <c r="A3" s="39" t="s">
        <v>482</v>
      </c>
      <c r="B3" s="39" t="s">
        <v>170</v>
      </c>
      <c r="C3" s="39" t="s">
        <v>142</v>
      </c>
      <c r="D3" s="38" t="n">
        <v>2176</v>
      </c>
      <c r="E3" s="36" t="n">
        <v>2027</v>
      </c>
      <c r="F3" s="36" t="n">
        <v>2055</v>
      </c>
      <c r="G3" s="36" t="n">
        <v>1983</v>
      </c>
      <c r="H3" s="39" t="s">
        <v>346</v>
      </c>
      <c r="I3" s="19" t="n">
        <f aca="false">Inputs!$B$61</f>
        <v>0.935</v>
      </c>
      <c r="J3" s="44" t="n">
        <f aca="false">Inputs!$F$51</f>
        <v>0.99</v>
      </c>
      <c r="K3" s="44" t="n">
        <f aca="false">Inputs!$D$61</f>
        <v>0</v>
      </c>
      <c r="M3" s="44" t="n">
        <f aca="false">Inputs!$F$61</f>
        <v>0</v>
      </c>
      <c r="N3" s="44" t="n">
        <f aca="false">Inputs!$G$61</f>
        <v>5.5</v>
      </c>
      <c r="O3" s="44" t="n">
        <f aca="false">Inputs!$H$61</f>
        <v>22.3</v>
      </c>
      <c r="P3" s="44" t="n">
        <f aca="false">Inputs!$I$61</f>
        <v>7.7</v>
      </c>
      <c r="Q3" s="19" t="n">
        <f aca="false">Inputs!$J$61</f>
        <v>0.025</v>
      </c>
      <c r="R3" s="45" t="n">
        <f aca="false">Inputs!$K$61</f>
        <v>0</v>
      </c>
      <c r="S3" s="45" t="n">
        <f aca="false">Inputs!$L$61</f>
        <v>0</v>
      </c>
      <c r="T3" s="19" t="n">
        <f aca="false">Inputs!$M$61</f>
        <v>0.95</v>
      </c>
      <c r="U3" s="35" t="n">
        <v>0</v>
      </c>
      <c r="V3" s="36" t="n">
        <v>2026</v>
      </c>
      <c r="W3" s="46" t="n">
        <f aca="false">Inputs!$R$61</f>
        <v>1</v>
      </c>
      <c r="X3" s="46" t="n">
        <f aca="false">Inputs!$P$61</f>
        <v>0</v>
      </c>
      <c r="Y3" s="46" t="n">
        <f aca="false">Inputs!$Q$61</f>
        <v>0</v>
      </c>
      <c r="Z3" s="38" t="n">
        <v>2176</v>
      </c>
      <c r="AA3" s="36" t="n">
        <v>2027</v>
      </c>
      <c r="AB3" s="36" t="n">
        <v>2047</v>
      </c>
      <c r="AC3" s="36" t="n">
        <v>2</v>
      </c>
      <c r="AD3" s="35" t="n">
        <v>85</v>
      </c>
      <c r="AE3" s="19" t="n">
        <f aca="false">Inputs!$N$61</f>
        <v>0.08</v>
      </c>
      <c r="AF3" s="19" t="n">
        <f aca="false">Inputs!$O$61</f>
        <v>0.0675</v>
      </c>
      <c r="AG3" s="38" t="n">
        <v>0</v>
      </c>
      <c r="AH3" s="36" t="n">
        <v>2026</v>
      </c>
      <c r="AJ3" s="18" t="n">
        <f aca="false">NucRC</f>
        <v>4500</v>
      </c>
      <c r="AL3" s="20" t="n">
        <f aca="false">IF(ISNUMBER(AK3),AK3,MAX(0,MIN(1,(F3+1-ValDate)/(F3+1-G3))))</f>
        <v>0.400684931506849</v>
      </c>
      <c r="AM3" s="9" t="n">
        <f aca="false">D3*AJ3*AL3/1000</f>
        <v>3923.50684931507</v>
      </c>
      <c r="AN3" s="47" t="n">
        <f aca="false">MATCH("ATC|"&amp;C3,Prices!$A:$A,0)</f>
        <v>23</v>
      </c>
      <c r="AO3" s="47" t="n">
        <f aca="false">MATCH("GAS|"&amp;C3,Prices!$A:$A,0)</f>
        <v>22</v>
      </c>
      <c r="AP3" s="47" t="n">
        <f aca="false">MATCH("CAP|"&amp;C3,Prices!$A:$A,0)</f>
        <v>24</v>
      </c>
      <c r="AQ3" s="18" t="n">
        <f aca="false">VST_Model!C91+VST_Model!C92+VST_Model!C93</f>
        <v>7232.44293670775</v>
      </c>
      <c r="AR3" s="9" t="n">
        <f aca="false">IF(D3=0,0,AQ3/D3*1000)</f>
        <v>3323.73296723702</v>
      </c>
    </row>
    <row r="4" customFormat="false" ht="15" hidden="false" customHeight="false" outlineLevel="0" collapsed="false">
      <c r="A4" s="39" t="s">
        <v>483</v>
      </c>
      <c r="B4" s="39" t="s">
        <v>170</v>
      </c>
      <c r="C4" s="39" t="s">
        <v>141</v>
      </c>
      <c r="D4" s="38" t="n">
        <v>1872</v>
      </c>
      <c r="E4" s="36" t="n">
        <v>2027</v>
      </c>
      <c r="F4" s="36" t="n">
        <v>2055</v>
      </c>
      <c r="G4" s="36" t="n">
        <v>1981</v>
      </c>
      <c r="H4" s="39" t="s">
        <v>346</v>
      </c>
      <c r="I4" s="19" t="n">
        <f aca="false">Inputs!$B$61</f>
        <v>0.935</v>
      </c>
      <c r="J4" s="44" t="n">
        <f aca="false">Inputs!$F$50</f>
        <v>0.99</v>
      </c>
      <c r="K4" s="44" t="n">
        <f aca="false">Inputs!$D$61</f>
        <v>0</v>
      </c>
      <c r="M4" s="44" t="n">
        <f aca="false">Inputs!$F$61</f>
        <v>0</v>
      </c>
      <c r="N4" s="44" t="n">
        <f aca="false">Inputs!$G$61</f>
        <v>5.5</v>
      </c>
      <c r="O4" s="44" t="n">
        <f aca="false">Inputs!$H$61</f>
        <v>22.3</v>
      </c>
      <c r="P4" s="44" t="n">
        <f aca="false">Inputs!$I$61</f>
        <v>7.7</v>
      </c>
      <c r="Q4" s="19" t="n">
        <f aca="false">Inputs!$J$61</f>
        <v>0.025</v>
      </c>
      <c r="R4" s="45" t="n">
        <f aca="false">Inputs!$K$61</f>
        <v>0</v>
      </c>
      <c r="S4" s="45" t="n">
        <f aca="false">Inputs!$L$61</f>
        <v>0</v>
      </c>
      <c r="T4" s="19" t="n">
        <f aca="false">Inputs!$M$61</f>
        <v>0.95</v>
      </c>
      <c r="U4" s="35" t="n">
        <v>0</v>
      </c>
      <c r="V4" s="36" t="n">
        <v>2026</v>
      </c>
      <c r="W4" s="46" t="n">
        <f aca="false">Inputs!$R$61</f>
        <v>1</v>
      </c>
      <c r="X4" s="46" t="n">
        <f aca="false">Inputs!$P$61</f>
        <v>0</v>
      </c>
      <c r="Y4" s="46" t="n">
        <f aca="false">Inputs!$Q$61</f>
        <v>0</v>
      </c>
      <c r="Z4" s="38" t="n">
        <v>0</v>
      </c>
      <c r="AA4" s="36" t="n">
        <v>2026</v>
      </c>
      <c r="AB4" s="36" t="n">
        <v>2026</v>
      </c>
      <c r="AC4" s="36" t="n">
        <v>1</v>
      </c>
      <c r="AD4" s="35" t="n">
        <v>0</v>
      </c>
      <c r="AE4" s="19" t="n">
        <f aca="false">Inputs!$N$61</f>
        <v>0.08</v>
      </c>
      <c r="AF4" s="19" t="n">
        <f aca="false">Inputs!$O$61</f>
        <v>0.0675</v>
      </c>
      <c r="AG4" s="38" t="n">
        <v>0</v>
      </c>
      <c r="AH4" s="36" t="n">
        <v>2026</v>
      </c>
      <c r="AJ4" s="18" t="n">
        <f aca="false">NucRC</f>
        <v>4500</v>
      </c>
      <c r="AL4" s="20" t="n">
        <f aca="false">IF(ISNUMBER(AK4),AK4,MAX(0,MIN(1,(F4+1-ValDate)/(F4+1-G4))))</f>
        <v>0.39</v>
      </c>
      <c r="AM4" s="9" t="n">
        <f aca="false">D4*AJ4*AL4/1000</f>
        <v>3285.36</v>
      </c>
      <c r="AN4" s="47" t="n">
        <f aca="false">MATCH("ATC|"&amp;C4,Prices!$A:$A,0)</f>
        <v>20</v>
      </c>
      <c r="AO4" s="47" t="n">
        <f aca="false">MATCH("GAS|"&amp;C4,Prices!$A:$A,0)</f>
        <v>19</v>
      </c>
      <c r="AP4" s="47" t="n">
        <f aca="false">MATCH("CAP|"&amp;C4,Prices!$A:$A,0)</f>
        <v>21</v>
      </c>
      <c r="AQ4" s="18" t="n">
        <f aca="false">VST_Model!C121+VST_Model!C122+VST_Model!C123</f>
        <v>5841.31097527873</v>
      </c>
      <c r="AR4" s="9" t="n">
        <f aca="false">IF(D4=0,0,AQ4/D4*1000)</f>
        <v>3120.35842696513</v>
      </c>
    </row>
    <row r="5" customFormat="false" ht="15" hidden="false" customHeight="false" outlineLevel="0" collapsed="false">
      <c r="A5" s="39" t="s">
        <v>484</v>
      </c>
      <c r="B5" s="39" t="s">
        <v>171</v>
      </c>
      <c r="C5" s="39" t="s">
        <v>148</v>
      </c>
      <c r="D5" s="38" t="n">
        <v>9500</v>
      </c>
      <c r="E5" s="36" t="n">
        <v>2027</v>
      </c>
      <c r="F5" s="36" t="n">
        <v>2045</v>
      </c>
      <c r="G5" s="36" t="n">
        <v>2003</v>
      </c>
      <c r="H5" s="39" t="s">
        <v>346</v>
      </c>
      <c r="I5" s="19" t="n">
        <f aca="false">Inputs!$D$57</f>
        <v>0.55</v>
      </c>
      <c r="J5" s="44" t="n">
        <f aca="false">Inputs!$E$57</f>
        <v>1.2</v>
      </c>
      <c r="K5" s="44" t="n">
        <f aca="false">Inputs!$D$62</f>
        <v>7.2</v>
      </c>
      <c r="M5" s="44" t="n">
        <f aca="false">Inputs!$F$62</f>
        <v>3.5</v>
      </c>
      <c r="N5" s="44" t="n">
        <f aca="false">Inputs!$G$62</f>
        <v>0</v>
      </c>
      <c r="O5" s="44" t="n">
        <f aca="false">Inputs!$H$62</f>
        <v>0</v>
      </c>
      <c r="P5" s="44" t="n">
        <f aca="false">Inputs!$I$62</f>
        <v>0</v>
      </c>
      <c r="Q5" s="19" t="n">
        <f aca="false">Inputs!$J$62</f>
        <v>0</v>
      </c>
      <c r="R5" s="45" t="n">
        <f aca="false">Inputs!$K$62</f>
        <v>32</v>
      </c>
      <c r="S5" s="45" t="n">
        <f aca="false">Inputs!$L$62</f>
        <v>12</v>
      </c>
      <c r="T5" s="19" t="n">
        <f aca="false">Inputs!$M$62</f>
        <v>0.78</v>
      </c>
      <c r="U5" s="35" t="n">
        <v>0</v>
      </c>
      <c r="V5" s="36" t="n">
        <v>2026</v>
      </c>
      <c r="W5" s="46" t="n">
        <f aca="false">Inputs!$R$62</f>
        <v>0</v>
      </c>
      <c r="X5" s="46" t="n">
        <f aca="false">Inputs!$P$62</f>
        <v>1</v>
      </c>
      <c r="Y5" s="46" t="n">
        <f aca="false">Inputs!$Q$62</f>
        <v>1</v>
      </c>
      <c r="Z5" s="38" t="n">
        <v>0</v>
      </c>
      <c r="AA5" s="36" t="n">
        <v>2026</v>
      </c>
      <c r="AB5" s="36" t="n">
        <v>2026</v>
      </c>
      <c r="AC5" s="36" t="n">
        <v>1</v>
      </c>
      <c r="AD5" s="35" t="n">
        <v>0</v>
      </c>
      <c r="AE5" s="19" t="n">
        <f aca="false">Inputs!$N$62</f>
        <v>0.095</v>
      </c>
      <c r="AF5" s="19" t="n">
        <f aca="false">Inputs!$O$62</f>
        <v>0.095</v>
      </c>
      <c r="AG5" s="38" t="n">
        <v>0</v>
      </c>
      <c r="AH5" s="36" t="n">
        <v>2026</v>
      </c>
      <c r="AJ5" s="18" t="n">
        <f aca="false">Inputs!$S$62</f>
        <v>2350</v>
      </c>
      <c r="AL5" s="20" t="n">
        <f aca="false">IF(ISNUMBER(AK5),AK5,MAX(0,MIN(1,(F5+1-ValDate)/(F5+1-G5))))</f>
        <v>0.447674418604651</v>
      </c>
      <c r="AM5" s="9" t="n">
        <f aca="false">D5*AJ5*AL5/1000</f>
        <v>9994.33139534884</v>
      </c>
      <c r="AN5" s="47" t="n">
        <f aca="false">MATCH("ATC|"&amp;C5,Prices!$A:$A,0)</f>
        <v>41</v>
      </c>
      <c r="AO5" s="47" t="n">
        <f aca="false">MATCH("GAS|"&amp;C5,Prices!$A:$A,0)</f>
        <v>40</v>
      </c>
      <c r="AP5" s="47" t="n">
        <f aca="false">MATCH("CAP|"&amp;C5,Prices!$A:$A,0)</f>
        <v>42</v>
      </c>
      <c r="AQ5" s="18" t="n">
        <f aca="false">VST_Model!C151+VST_Model!C152+VST_Model!C153</f>
        <v>6522.3064434811</v>
      </c>
      <c r="AR5" s="9" t="n">
        <f aca="false">IF(D5=0,0,AQ5/D5*1000)</f>
        <v>686.558572998011</v>
      </c>
    </row>
    <row r="6" customFormat="false" ht="15" hidden="false" customHeight="false" outlineLevel="0" collapsed="false">
      <c r="A6" s="39" t="s">
        <v>485</v>
      </c>
      <c r="B6" s="39" t="s">
        <v>172</v>
      </c>
      <c r="C6" s="39" t="s">
        <v>148</v>
      </c>
      <c r="D6" s="38" t="n">
        <v>2300</v>
      </c>
      <c r="E6" s="36" t="n">
        <v>2027</v>
      </c>
      <c r="F6" s="36" t="n">
        <v>2040</v>
      </c>
      <c r="G6" s="36" t="n">
        <v>2000</v>
      </c>
      <c r="H6" s="39" t="s">
        <v>346</v>
      </c>
      <c r="I6" s="19" t="n">
        <f aca="false">Inputs!$B$63</f>
        <v>0.06</v>
      </c>
      <c r="J6" s="44" t="n">
        <f aca="false">ScarcityERC</f>
        <v>2.5</v>
      </c>
      <c r="K6" s="44" t="n">
        <f aca="false">Inputs!$D$63</f>
        <v>10.5</v>
      </c>
      <c r="M6" s="44" t="n">
        <f aca="false">Inputs!$F$63</f>
        <v>5</v>
      </c>
      <c r="N6" s="44" t="n">
        <f aca="false">Inputs!$G$63</f>
        <v>0</v>
      </c>
      <c r="O6" s="44" t="n">
        <f aca="false">Inputs!$H$63</f>
        <v>0</v>
      </c>
      <c r="P6" s="44" t="n">
        <f aca="false">Inputs!$I$63</f>
        <v>0</v>
      </c>
      <c r="Q6" s="19" t="n">
        <f aca="false">Inputs!$J$63</f>
        <v>0</v>
      </c>
      <c r="R6" s="45" t="n">
        <f aca="false">Inputs!$K$63</f>
        <v>18</v>
      </c>
      <c r="S6" s="45" t="n">
        <f aca="false">Inputs!$L$63</f>
        <v>5</v>
      </c>
      <c r="T6" s="19" t="n">
        <f aca="false">Inputs!$M$63</f>
        <v>0.6</v>
      </c>
      <c r="U6" s="35" t="n">
        <v>0</v>
      </c>
      <c r="V6" s="36" t="n">
        <v>2026</v>
      </c>
      <c r="W6" s="46" t="n">
        <f aca="false">Inputs!$R$63</f>
        <v>0</v>
      </c>
      <c r="X6" s="46" t="n">
        <f aca="false">Inputs!$P$63</f>
        <v>1</v>
      </c>
      <c r="Y6" s="46" t="n">
        <f aca="false">Inputs!$Q$63</f>
        <v>1</v>
      </c>
      <c r="Z6" s="38" t="n">
        <v>0</v>
      </c>
      <c r="AA6" s="36" t="n">
        <v>2026</v>
      </c>
      <c r="AB6" s="36" t="n">
        <v>2026</v>
      </c>
      <c r="AC6" s="36" t="n">
        <v>1</v>
      </c>
      <c r="AD6" s="35" t="n">
        <v>0</v>
      </c>
      <c r="AE6" s="19" t="n">
        <f aca="false">Inputs!$N$63</f>
        <v>0.1</v>
      </c>
      <c r="AF6" s="19" t="n">
        <f aca="false">Inputs!$O$63</f>
        <v>0.1</v>
      </c>
      <c r="AG6" s="38" t="n">
        <v>0</v>
      </c>
      <c r="AH6" s="36" t="n">
        <v>2026</v>
      </c>
      <c r="AJ6" s="18" t="n">
        <f aca="false">Inputs!$S$63</f>
        <v>1970</v>
      </c>
      <c r="AL6" s="20" t="n">
        <f aca="false">IF(ISNUMBER(AK6),AK6,MAX(0,MIN(1,(F6+1-ValDate)/(F6+1-G6))))</f>
        <v>0.347560975609756</v>
      </c>
      <c r="AM6" s="9" t="n">
        <f aca="false">D6*AJ6*AL6/1000</f>
        <v>1574.7987804878</v>
      </c>
      <c r="AN6" s="47" t="n">
        <f aca="false">MATCH("ATC|"&amp;C6,Prices!$A:$A,0)</f>
        <v>41</v>
      </c>
      <c r="AO6" s="47" t="n">
        <f aca="false">MATCH("GAS|"&amp;C6,Prices!$A:$A,0)</f>
        <v>40</v>
      </c>
      <c r="AP6" s="47" t="n">
        <f aca="false">MATCH("CAP|"&amp;C6,Prices!$A:$A,0)</f>
        <v>42</v>
      </c>
      <c r="AQ6" s="18" t="n">
        <f aca="false">VST_Model!C181+VST_Model!C182+VST_Model!C183</f>
        <v>264.213117684139</v>
      </c>
      <c r="AR6" s="9" t="n">
        <f aca="false">IF(D6=0,0,AQ6/D6*1000)</f>
        <v>114.875268558321</v>
      </c>
    </row>
    <row r="7" customFormat="false" ht="15" hidden="false" customHeight="false" outlineLevel="0" collapsed="false">
      <c r="A7" s="39" t="s">
        <v>486</v>
      </c>
      <c r="B7" s="39" t="s">
        <v>171</v>
      </c>
      <c r="C7" s="39" t="s">
        <v>141</v>
      </c>
      <c r="D7" s="38" t="n">
        <v>8500</v>
      </c>
      <c r="E7" s="36" t="n">
        <v>2027</v>
      </c>
      <c r="F7" s="36" t="n">
        <v>2045</v>
      </c>
      <c r="G7" s="36" t="n">
        <v>2004</v>
      </c>
      <c r="H7" s="39" t="s">
        <v>346</v>
      </c>
      <c r="I7" s="19" t="n">
        <f aca="false">Inputs!$D$50</f>
        <v>0.5</v>
      </c>
      <c r="J7" s="44" t="n">
        <f aca="false">Inputs!$E$50</f>
        <v>1.02</v>
      </c>
      <c r="K7" s="44" t="n">
        <f aca="false">Inputs!$D$62</f>
        <v>7.2</v>
      </c>
      <c r="M7" s="44" t="n">
        <f aca="false">Inputs!$F$62</f>
        <v>3.5</v>
      </c>
      <c r="N7" s="44" t="n">
        <f aca="false">Inputs!$G$62</f>
        <v>0</v>
      </c>
      <c r="O7" s="44" t="n">
        <f aca="false">Inputs!$H$62</f>
        <v>0</v>
      </c>
      <c r="P7" s="44" t="n">
        <f aca="false">Inputs!$I$62</f>
        <v>0</v>
      </c>
      <c r="Q7" s="19" t="n">
        <f aca="false">Inputs!$J$62</f>
        <v>0</v>
      </c>
      <c r="R7" s="45" t="n">
        <f aca="false">Inputs!$K$62</f>
        <v>32</v>
      </c>
      <c r="S7" s="45" t="n">
        <f aca="false">Inputs!$L$62</f>
        <v>12</v>
      </c>
      <c r="T7" s="19" t="n">
        <f aca="false">Inputs!$M$62</f>
        <v>0.78</v>
      </c>
      <c r="U7" s="35" t="n">
        <v>0</v>
      </c>
      <c r="V7" s="36" t="n">
        <v>2026</v>
      </c>
      <c r="W7" s="46" t="n">
        <f aca="false">Inputs!$R$62</f>
        <v>0</v>
      </c>
      <c r="X7" s="46" t="n">
        <f aca="false">Inputs!$P$62</f>
        <v>1</v>
      </c>
      <c r="Y7" s="46" t="n">
        <f aca="false">Inputs!$Q$62</f>
        <v>1</v>
      </c>
      <c r="Z7" s="38" t="n">
        <v>0</v>
      </c>
      <c r="AA7" s="36" t="n">
        <v>2026</v>
      </c>
      <c r="AB7" s="36" t="n">
        <v>2026</v>
      </c>
      <c r="AC7" s="36" t="n">
        <v>1</v>
      </c>
      <c r="AD7" s="35" t="n">
        <v>0</v>
      </c>
      <c r="AE7" s="19" t="n">
        <f aca="false">Inputs!$N$62</f>
        <v>0.095</v>
      </c>
      <c r="AF7" s="19" t="n">
        <f aca="false">Inputs!$O$62</f>
        <v>0.095</v>
      </c>
      <c r="AG7" s="38" t="n">
        <v>0</v>
      </c>
      <c r="AH7" s="36" t="n">
        <v>2026</v>
      </c>
      <c r="AJ7" s="18" t="n">
        <f aca="false">Inputs!$S$62</f>
        <v>2350</v>
      </c>
      <c r="AL7" s="20" t="n">
        <f aca="false">IF(ISNUMBER(AK7),AK7,MAX(0,MIN(1,(F7+1-ValDate)/(F7+1-G7))))</f>
        <v>0.458333333333333</v>
      </c>
      <c r="AM7" s="9" t="n">
        <f aca="false">D7*AJ7*AL7/1000</f>
        <v>9155.20833333333</v>
      </c>
      <c r="AN7" s="47" t="n">
        <f aca="false">MATCH("ATC|"&amp;C7,Prices!$A:$A,0)</f>
        <v>20</v>
      </c>
      <c r="AO7" s="47" t="n">
        <f aca="false">MATCH("GAS|"&amp;C7,Prices!$A:$A,0)</f>
        <v>19</v>
      </c>
      <c r="AP7" s="47" t="n">
        <f aca="false">MATCH("CAP|"&amp;C7,Prices!$A:$A,0)</f>
        <v>21</v>
      </c>
      <c r="AQ7" s="18" t="n">
        <f aca="false">VST_Model!C211+VST_Model!C212+VST_Model!C213</f>
        <v>11603.084603046</v>
      </c>
      <c r="AR7" s="9" t="n">
        <f aca="false">IF(D7=0,0,AQ7/D7*1000)</f>
        <v>1365.06877682894</v>
      </c>
    </row>
    <row r="8" customFormat="false" ht="15" hidden="false" customHeight="false" outlineLevel="0" collapsed="false">
      <c r="A8" s="39" t="s">
        <v>487</v>
      </c>
      <c r="B8" s="39" t="s">
        <v>171</v>
      </c>
      <c r="C8" s="39" t="s">
        <v>146</v>
      </c>
      <c r="D8" s="38" t="n">
        <v>3167</v>
      </c>
      <c r="E8" s="36" t="n">
        <v>2027</v>
      </c>
      <c r="F8" s="36" t="n">
        <v>2045</v>
      </c>
      <c r="G8" s="36" t="n">
        <v>2002</v>
      </c>
      <c r="H8" s="39" t="s">
        <v>346</v>
      </c>
      <c r="I8" s="19" t="n">
        <f aca="false">Inputs!$D$55</f>
        <v>0.45</v>
      </c>
      <c r="J8" s="44" t="n">
        <f aca="false">Inputs!$E$55</f>
        <v>1.05</v>
      </c>
      <c r="K8" s="44" t="n">
        <f aca="false">Inputs!$D$62</f>
        <v>7.2</v>
      </c>
      <c r="M8" s="44" t="n">
        <f aca="false">Inputs!$F$62</f>
        <v>3.5</v>
      </c>
      <c r="N8" s="44" t="n">
        <f aca="false">Inputs!$G$62</f>
        <v>0</v>
      </c>
      <c r="O8" s="44" t="n">
        <f aca="false">Inputs!$H$62</f>
        <v>0</v>
      </c>
      <c r="P8" s="44" t="n">
        <f aca="false">Inputs!$I$62</f>
        <v>0</v>
      </c>
      <c r="Q8" s="19" t="n">
        <f aca="false">Inputs!$J$62</f>
        <v>0</v>
      </c>
      <c r="R8" s="45" t="n">
        <f aca="false">Inputs!$K$62</f>
        <v>32</v>
      </c>
      <c r="S8" s="45" t="n">
        <f aca="false">Inputs!$L$62</f>
        <v>12</v>
      </c>
      <c r="T8" s="19" t="n">
        <f aca="false">Inputs!$M$62</f>
        <v>0.78</v>
      </c>
      <c r="U8" s="35" t="n">
        <v>0</v>
      </c>
      <c r="V8" s="36" t="n">
        <v>2026</v>
      </c>
      <c r="W8" s="46" t="n">
        <f aca="false">Inputs!$R$62</f>
        <v>0</v>
      </c>
      <c r="X8" s="46" t="n">
        <f aca="false">Inputs!$P$62</f>
        <v>1</v>
      </c>
      <c r="Y8" s="46" t="n">
        <f aca="false">Inputs!$Q$62</f>
        <v>1</v>
      </c>
      <c r="Z8" s="38" t="n">
        <v>0</v>
      </c>
      <c r="AA8" s="36" t="n">
        <v>2026</v>
      </c>
      <c r="AB8" s="36" t="n">
        <v>2026</v>
      </c>
      <c r="AC8" s="36" t="n">
        <v>1</v>
      </c>
      <c r="AD8" s="35" t="n">
        <v>0</v>
      </c>
      <c r="AE8" s="19" t="n">
        <f aca="false">Inputs!$N$62</f>
        <v>0.095</v>
      </c>
      <c r="AF8" s="19" t="n">
        <f aca="false">Inputs!$O$62</f>
        <v>0.095</v>
      </c>
      <c r="AG8" s="38" t="n">
        <v>0</v>
      </c>
      <c r="AH8" s="36" t="n">
        <v>2026</v>
      </c>
      <c r="AJ8" s="18" t="n">
        <f aca="false">Inputs!$S$62</f>
        <v>2350</v>
      </c>
      <c r="AL8" s="20" t="n">
        <f aca="false">IF(ISNUMBER(AK8),AK8,MAX(0,MIN(1,(F8+1-ValDate)/(F8+1-G8))))</f>
        <v>0.4375</v>
      </c>
      <c r="AM8" s="9" t="n">
        <f aca="false">D8*AJ8*AL8/1000</f>
        <v>3256.071875</v>
      </c>
      <c r="AN8" s="47" t="n">
        <f aca="false">MATCH("ATC|"&amp;C8,Prices!$A:$A,0)</f>
        <v>35</v>
      </c>
      <c r="AO8" s="47" t="n">
        <f aca="false">MATCH("GAS|"&amp;C8,Prices!$A:$A,0)</f>
        <v>34</v>
      </c>
      <c r="AP8" s="47" t="n">
        <f aca="false">MATCH("CAP|"&amp;C8,Prices!$A:$A,0)</f>
        <v>36</v>
      </c>
      <c r="AQ8" s="18" t="n">
        <f aca="false">VST_Model!C241+VST_Model!C242+VST_Model!C243</f>
        <v>2364.31597381934</v>
      </c>
      <c r="AR8" s="9" t="n">
        <f aca="false">IF(D8=0,0,AQ8/D8*1000)</f>
        <v>746.547513046839</v>
      </c>
    </row>
    <row r="9" customFormat="false" ht="15" hidden="false" customHeight="false" outlineLevel="0" collapsed="false">
      <c r="A9" s="39" t="s">
        <v>488</v>
      </c>
      <c r="B9" s="39" t="s">
        <v>171</v>
      </c>
      <c r="C9" s="39" t="s">
        <v>147</v>
      </c>
      <c r="D9" s="38" t="n">
        <v>1000</v>
      </c>
      <c r="E9" s="36" t="n">
        <v>2027</v>
      </c>
      <c r="F9" s="36" t="n">
        <v>2040</v>
      </c>
      <c r="G9" s="36" t="n">
        <v>2002</v>
      </c>
      <c r="H9" s="39" t="s">
        <v>346</v>
      </c>
      <c r="I9" s="19" t="n">
        <f aca="false">Inputs!$D$56</f>
        <v>0.45</v>
      </c>
      <c r="J9" s="44" t="n">
        <f aca="false">Inputs!$E$56</f>
        <v>1.15</v>
      </c>
      <c r="K9" s="44" t="n">
        <f aca="false">Inputs!$D$62</f>
        <v>7.2</v>
      </c>
      <c r="M9" s="44" t="n">
        <f aca="false">Inputs!$F$62</f>
        <v>3.5</v>
      </c>
      <c r="N9" s="44" t="n">
        <f aca="false">Inputs!$G$62</f>
        <v>0</v>
      </c>
      <c r="O9" s="44" t="n">
        <f aca="false">Inputs!$H$62</f>
        <v>0</v>
      </c>
      <c r="P9" s="44" t="n">
        <f aca="false">Inputs!$I$62</f>
        <v>0</v>
      </c>
      <c r="Q9" s="19" t="n">
        <f aca="false">Inputs!$J$62</f>
        <v>0</v>
      </c>
      <c r="R9" s="45" t="n">
        <f aca="false">Inputs!$K$62</f>
        <v>32</v>
      </c>
      <c r="S9" s="45" t="n">
        <f aca="false">Inputs!$L$62</f>
        <v>12</v>
      </c>
      <c r="T9" s="19" t="n">
        <f aca="false">Inputs!$M$62</f>
        <v>0.78</v>
      </c>
      <c r="U9" s="35" t="n">
        <v>0</v>
      </c>
      <c r="V9" s="36" t="n">
        <v>2026</v>
      </c>
      <c r="W9" s="46" t="n">
        <f aca="false">Inputs!$R$62</f>
        <v>0</v>
      </c>
      <c r="X9" s="46" t="n">
        <f aca="false">Inputs!$P$62</f>
        <v>1</v>
      </c>
      <c r="Y9" s="46" t="n">
        <f aca="false">Inputs!$Q$62</f>
        <v>1</v>
      </c>
      <c r="Z9" s="38" t="n">
        <v>0</v>
      </c>
      <c r="AA9" s="36" t="n">
        <v>2026</v>
      </c>
      <c r="AB9" s="36" t="n">
        <v>2026</v>
      </c>
      <c r="AC9" s="36" t="n">
        <v>1</v>
      </c>
      <c r="AD9" s="35" t="n">
        <v>0</v>
      </c>
      <c r="AE9" s="19" t="n">
        <f aca="false">Inputs!$N$62</f>
        <v>0.095</v>
      </c>
      <c r="AF9" s="19" t="n">
        <f aca="false">Inputs!$O$62</f>
        <v>0.095</v>
      </c>
      <c r="AG9" s="38" t="n">
        <v>0</v>
      </c>
      <c r="AH9" s="36" t="n">
        <v>2026</v>
      </c>
      <c r="AJ9" s="18" t="n">
        <f aca="false">Inputs!$S$62</f>
        <v>2350</v>
      </c>
      <c r="AL9" s="20" t="n">
        <f aca="false">IF(ISNUMBER(AK9),AK9,MAX(0,MIN(1,(F9+1-ValDate)/(F9+1-G9))))</f>
        <v>0.365384615384615</v>
      </c>
      <c r="AM9" s="9" t="n">
        <f aca="false">D9*AJ9*AL9/1000</f>
        <v>858.653846153846</v>
      </c>
      <c r="AN9" s="47" t="n">
        <f aca="false">MATCH("ATC|"&amp;C9,Prices!$A:$A,0)</f>
        <v>38</v>
      </c>
      <c r="AO9" s="47" t="n">
        <f aca="false">MATCH("GAS|"&amp;C9,Prices!$A:$A,0)</f>
        <v>37</v>
      </c>
      <c r="AP9" s="47" t="n">
        <f aca="false">MATCH("CAP|"&amp;C9,Prices!$A:$A,0)</f>
        <v>39</v>
      </c>
      <c r="AQ9" s="18" t="n">
        <f aca="false">VST_Model!C271+VST_Model!C272+VST_Model!C273</f>
        <v>893.978669806604</v>
      </c>
      <c r="AR9" s="9" t="n">
        <f aca="false">IF(D9=0,0,AQ9/D9*1000)</f>
        <v>893.978669806604</v>
      </c>
    </row>
    <row r="10" customFormat="false" ht="15" hidden="false" customHeight="false" outlineLevel="0" collapsed="false">
      <c r="A10" s="39" t="s">
        <v>489</v>
      </c>
      <c r="B10" s="39" t="s">
        <v>172</v>
      </c>
      <c r="C10" s="39" t="s">
        <v>141</v>
      </c>
      <c r="D10" s="38" t="n">
        <v>2709</v>
      </c>
      <c r="E10" s="36" t="n">
        <v>2027</v>
      </c>
      <c r="F10" s="36" t="n">
        <v>2038</v>
      </c>
      <c r="G10" s="36" t="n">
        <v>1998</v>
      </c>
      <c r="H10" s="39" t="s">
        <v>346</v>
      </c>
      <c r="I10" s="19" t="n">
        <f aca="false">Inputs!$B$63</f>
        <v>0.06</v>
      </c>
      <c r="J10" s="44" t="n">
        <f aca="false">Scarcity</f>
        <v>2.5</v>
      </c>
      <c r="K10" s="44" t="n">
        <f aca="false">Inputs!$D$63</f>
        <v>10.5</v>
      </c>
      <c r="M10" s="44" t="n">
        <f aca="false">Inputs!$F$63</f>
        <v>5</v>
      </c>
      <c r="N10" s="44" t="n">
        <f aca="false">Inputs!$G$63</f>
        <v>0</v>
      </c>
      <c r="O10" s="44" t="n">
        <f aca="false">Inputs!$H$63</f>
        <v>0</v>
      </c>
      <c r="P10" s="44" t="n">
        <f aca="false">Inputs!$I$63</f>
        <v>0</v>
      </c>
      <c r="Q10" s="19" t="n">
        <f aca="false">Inputs!$J$63</f>
        <v>0</v>
      </c>
      <c r="R10" s="45" t="n">
        <f aca="false">Inputs!$K$63</f>
        <v>18</v>
      </c>
      <c r="S10" s="45" t="n">
        <f aca="false">Inputs!$L$63</f>
        <v>5</v>
      </c>
      <c r="T10" s="19" t="n">
        <f aca="false">Inputs!$M$63</f>
        <v>0.6</v>
      </c>
      <c r="U10" s="35" t="n">
        <v>0</v>
      </c>
      <c r="V10" s="36" t="n">
        <v>2026</v>
      </c>
      <c r="W10" s="46" t="n">
        <f aca="false">Inputs!$R$63</f>
        <v>0</v>
      </c>
      <c r="X10" s="46" t="n">
        <f aca="false">Inputs!$P$63</f>
        <v>1</v>
      </c>
      <c r="Y10" s="46" t="n">
        <f aca="false">Inputs!$Q$63</f>
        <v>1</v>
      </c>
      <c r="Z10" s="38" t="n">
        <v>0</v>
      </c>
      <c r="AA10" s="36" t="n">
        <v>2026</v>
      </c>
      <c r="AB10" s="36" t="n">
        <v>2026</v>
      </c>
      <c r="AC10" s="36" t="n">
        <v>1</v>
      </c>
      <c r="AD10" s="35" t="n">
        <v>0</v>
      </c>
      <c r="AE10" s="19" t="n">
        <f aca="false">Inputs!$N$63</f>
        <v>0.1</v>
      </c>
      <c r="AF10" s="19" t="n">
        <f aca="false">Inputs!$O$63</f>
        <v>0.1</v>
      </c>
      <c r="AG10" s="38" t="n">
        <v>0</v>
      </c>
      <c r="AH10" s="36" t="n">
        <v>2026</v>
      </c>
      <c r="AJ10" s="18" t="n">
        <f aca="false">Inputs!$S$63</f>
        <v>1970</v>
      </c>
      <c r="AL10" s="20" t="n">
        <f aca="false">IF(ISNUMBER(AK10),AK10,MAX(0,MIN(1,(F10+1-ValDate)/(F10+1-G10))))</f>
        <v>0.298780487804878</v>
      </c>
      <c r="AM10" s="9" t="n">
        <f aca="false">D10*AJ10*AL10/1000</f>
        <v>1594.51079268293</v>
      </c>
      <c r="AN10" s="47" t="n">
        <f aca="false">MATCH("ATC|"&amp;C10,Prices!$A:$A,0)</f>
        <v>20</v>
      </c>
      <c r="AO10" s="47" t="n">
        <f aca="false">MATCH("GAS|"&amp;C10,Prices!$A:$A,0)</f>
        <v>19</v>
      </c>
      <c r="AP10" s="47" t="n">
        <f aca="false">MATCH("CAP|"&amp;C10,Prices!$A:$A,0)</f>
        <v>21</v>
      </c>
      <c r="AQ10" s="18" t="n">
        <f aca="false">VST_Model!C301+VST_Model!C302+VST_Model!C303</f>
        <v>1536.92818886745</v>
      </c>
      <c r="AR10" s="9" t="n">
        <f aca="false">IF(D10=0,0,AQ10/D10*1000)</f>
        <v>567.341524129736</v>
      </c>
    </row>
    <row r="11" customFormat="false" ht="15" hidden="false" customHeight="false" outlineLevel="0" collapsed="false">
      <c r="A11" s="39" t="s">
        <v>490</v>
      </c>
      <c r="B11" s="39" t="s">
        <v>173</v>
      </c>
      <c r="C11" s="39" t="s">
        <v>148</v>
      </c>
      <c r="D11" s="38" t="n">
        <v>4500</v>
      </c>
      <c r="E11" s="36" t="n">
        <v>2027</v>
      </c>
      <c r="F11" s="36" t="n">
        <v>2035</v>
      </c>
      <c r="G11" s="36" t="n">
        <v>1980</v>
      </c>
      <c r="H11" s="39" t="s">
        <v>346</v>
      </c>
      <c r="I11" s="19" t="n">
        <f aca="false">Inputs!$B$64</f>
        <v>0.5</v>
      </c>
      <c r="J11" s="44" t="n">
        <f aca="false">Inputs!$C$64</f>
        <v>1.02</v>
      </c>
      <c r="K11" s="44" t="n">
        <f aca="false">Inputs!$D$64</f>
        <v>10.4</v>
      </c>
      <c r="L11" s="44" t="n">
        <f aca="false">Inputs!$E$64</f>
        <v>2.3</v>
      </c>
      <c r="M11" s="44" t="n">
        <f aca="false">Inputs!$F$64</f>
        <v>4.5</v>
      </c>
      <c r="N11" s="44" t="n">
        <f aca="false">Inputs!$G$64</f>
        <v>0</v>
      </c>
      <c r="O11" s="44" t="n">
        <f aca="false">Inputs!$H$64</f>
        <v>0</v>
      </c>
      <c r="P11" s="44" t="n">
        <f aca="false">Inputs!$I$64</f>
        <v>0</v>
      </c>
      <c r="Q11" s="19" t="n">
        <f aca="false">Inputs!$J$64</f>
        <v>0</v>
      </c>
      <c r="R11" s="45" t="n">
        <f aca="false">Inputs!$K$64</f>
        <v>50</v>
      </c>
      <c r="S11" s="45" t="n">
        <f aca="false">Inputs!$L$64</f>
        <v>15</v>
      </c>
      <c r="T11" s="19" t="n">
        <f aca="false">Inputs!$M$64</f>
        <v>0.83</v>
      </c>
      <c r="U11" s="35" t="n">
        <v>0</v>
      </c>
      <c r="V11" s="36" t="n">
        <v>2026</v>
      </c>
      <c r="W11" s="46" t="n">
        <f aca="false">Inputs!$R$64</f>
        <v>0</v>
      </c>
      <c r="X11" s="46" t="n">
        <f aca="false">Inputs!$P$64</f>
        <v>1</v>
      </c>
      <c r="Y11" s="46" t="n">
        <f aca="false">Inputs!$Q$64</f>
        <v>1</v>
      </c>
      <c r="Z11" s="38" t="n">
        <v>0</v>
      </c>
      <c r="AA11" s="36" t="n">
        <v>2026</v>
      </c>
      <c r="AB11" s="36" t="n">
        <v>2026</v>
      </c>
      <c r="AC11" s="36" t="n">
        <v>1</v>
      </c>
      <c r="AD11" s="35" t="n">
        <v>0</v>
      </c>
      <c r="AE11" s="19" t="n">
        <f aca="false">Inputs!$N$64</f>
        <v>0.12</v>
      </c>
      <c r="AF11" s="19" t="n">
        <f aca="false">Inputs!$O$64</f>
        <v>0.12</v>
      </c>
      <c r="AG11" s="38" t="n">
        <v>0</v>
      </c>
      <c r="AH11" s="36" t="n">
        <v>2026</v>
      </c>
      <c r="AJ11" s="18" t="n">
        <f aca="false">Inputs!$S$64</f>
        <v>2350</v>
      </c>
      <c r="AL11" s="20" t="n">
        <f aca="false">IF(ISNUMBER(AK11),AK11,MAX(0,MIN(1,(F11+1-ValDate)/(F11+1-G11))))</f>
        <v>0.165178571428571</v>
      </c>
      <c r="AM11" s="9" t="n">
        <f aca="false">D11*AJ11*AL11/1000</f>
        <v>1746.76339285714</v>
      </c>
      <c r="AN11" s="47" t="n">
        <f aca="false">MATCH("ATC|"&amp;C11,Prices!$A:$A,0)</f>
        <v>41</v>
      </c>
      <c r="AO11" s="47" t="n">
        <f aca="false">MATCH("GAS|"&amp;C11,Prices!$A:$A,0)</f>
        <v>40</v>
      </c>
      <c r="AP11" s="47" t="n">
        <f aca="false">MATCH("CAP|"&amp;C11,Prices!$A:$A,0)</f>
        <v>42</v>
      </c>
      <c r="AQ11" s="18" t="n">
        <f aca="false">VST_Model!C331+VST_Model!C332+VST_Model!C333</f>
        <v>682.513259337722</v>
      </c>
      <c r="AR11" s="9" t="n">
        <f aca="false">IF(D11=0,0,AQ11/D11*1000)</f>
        <v>151.66961318616</v>
      </c>
    </row>
    <row r="12" customFormat="false" ht="15" hidden="false" customHeight="false" outlineLevel="0" collapsed="false">
      <c r="A12" s="39" t="s">
        <v>491</v>
      </c>
      <c r="B12" s="39" t="s">
        <v>173</v>
      </c>
      <c r="C12" s="39" t="s">
        <v>141</v>
      </c>
      <c r="D12" s="38" t="n">
        <v>4243</v>
      </c>
      <c r="E12" s="36" t="n">
        <v>2027</v>
      </c>
      <c r="F12" s="36" t="n">
        <v>2027</v>
      </c>
      <c r="G12" s="36" t="n">
        <v>1975</v>
      </c>
      <c r="H12" s="39" t="s">
        <v>346</v>
      </c>
      <c r="I12" s="19" t="n">
        <f aca="false">Inputs!$B$64</f>
        <v>0.5</v>
      </c>
      <c r="J12" s="44" t="n">
        <f aca="false">Inputs!$C$64</f>
        <v>1.02</v>
      </c>
      <c r="K12" s="44" t="n">
        <f aca="false">Inputs!$D$64</f>
        <v>10.4</v>
      </c>
      <c r="L12" s="44" t="n">
        <f aca="false">Inputs!$E$64</f>
        <v>2.3</v>
      </c>
      <c r="M12" s="44" t="n">
        <f aca="false">Inputs!$F$64</f>
        <v>4.5</v>
      </c>
      <c r="N12" s="44" t="n">
        <f aca="false">Inputs!$G$64</f>
        <v>0</v>
      </c>
      <c r="O12" s="44" t="n">
        <f aca="false">Inputs!$H$64</f>
        <v>0</v>
      </c>
      <c r="P12" s="44" t="n">
        <f aca="false">Inputs!$I$64</f>
        <v>0</v>
      </c>
      <c r="Q12" s="19" t="n">
        <f aca="false">Inputs!$J$64</f>
        <v>0</v>
      </c>
      <c r="R12" s="45" t="n">
        <f aca="false">Inputs!$K$64</f>
        <v>50</v>
      </c>
      <c r="S12" s="45" t="n">
        <f aca="false">Inputs!$L$64</f>
        <v>15</v>
      </c>
      <c r="T12" s="19" t="n">
        <f aca="false">Inputs!$M$64</f>
        <v>0.83</v>
      </c>
      <c r="U12" s="35" t="n">
        <v>0</v>
      </c>
      <c r="V12" s="36" t="n">
        <v>2026</v>
      </c>
      <c r="W12" s="46" t="n">
        <f aca="false">Inputs!$R$64</f>
        <v>0</v>
      </c>
      <c r="X12" s="46" t="n">
        <f aca="false">Inputs!$P$64</f>
        <v>1</v>
      </c>
      <c r="Y12" s="46" t="n">
        <f aca="false">Inputs!$Q$64</f>
        <v>1</v>
      </c>
      <c r="Z12" s="38" t="n">
        <v>0</v>
      </c>
      <c r="AA12" s="36" t="n">
        <v>2026</v>
      </c>
      <c r="AB12" s="36" t="n">
        <v>2026</v>
      </c>
      <c r="AC12" s="36" t="n">
        <v>1</v>
      </c>
      <c r="AD12" s="35" t="n">
        <v>0</v>
      </c>
      <c r="AE12" s="19" t="n">
        <f aca="false">Inputs!$N$64</f>
        <v>0.12</v>
      </c>
      <c r="AF12" s="19" t="n">
        <f aca="false">Inputs!$O$64</f>
        <v>0.12</v>
      </c>
      <c r="AG12" s="38" t="n">
        <v>0</v>
      </c>
      <c r="AH12" s="36" t="n">
        <v>2026</v>
      </c>
      <c r="AJ12" s="18" t="n">
        <f aca="false">Inputs!$S$64</f>
        <v>2350</v>
      </c>
      <c r="AL12" s="20" t="n">
        <f aca="false">IF(ISNUMBER(AK12),AK12,MAX(0,MIN(1,(F12+1-ValDate)/(F12+1-G12))))</f>
        <v>0.0235849056603774</v>
      </c>
      <c r="AM12" s="9" t="n">
        <f aca="false">D12*AJ12*AL12/1000</f>
        <v>235.166273584906</v>
      </c>
      <c r="AN12" s="47" t="n">
        <f aca="false">MATCH("ATC|"&amp;C12,Prices!$A:$A,0)</f>
        <v>20</v>
      </c>
      <c r="AO12" s="47" t="n">
        <f aca="false">MATCH("GAS|"&amp;C12,Prices!$A:$A,0)</f>
        <v>19</v>
      </c>
      <c r="AP12" s="47" t="n">
        <f aca="false">MATCH("CAP|"&amp;C12,Prices!$A:$A,0)</f>
        <v>21</v>
      </c>
      <c r="AQ12" s="18" t="n">
        <f aca="false">VST_Model!C361+VST_Model!C362+VST_Model!C363</f>
        <v>713.586672202213</v>
      </c>
      <c r="AR12" s="9" t="n">
        <f aca="false">IF(D12=0,0,AQ12/D12*1000)</f>
        <v>168.179748338961</v>
      </c>
    </row>
    <row r="13" customFormat="false" ht="15" hidden="false" customHeight="false" outlineLevel="0" collapsed="false">
      <c r="A13" s="39" t="s">
        <v>492</v>
      </c>
      <c r="B13" s="39" t="s">
        <v>176</v>
      </c>
      <c r="C13" s="39" t="s">
        <v>148</v>
      </c>
      <c r="D13" s="38" t="n">
        <v>1274</v>
      </c>
      <c r="E13" s="36" t="n">
        <v>2027</v>
      </c>
      <c r="F13" s="36" t="n">
        <v>2026</v>
      </c>
      <c r="G13" s="36"/>
      <c r="H13" s="39" t="s">
        <v>181</v>
      </c>
      <c r="I13" s="39" t="n">
        <v>0</v>
      </c>
      <c r="J13" s="39" t="n">
        <v>0</v>
      </c>
      <c r="K13" s="39" t="n">
        <v>0</v>
      </c>
      <c r="M13" s="39" t="n">
        <v>0</v>
      </c>
      <c r="N13" s="39" t="n">
        <v>0</v>
      </c>
      <c r="O13" s="39" t="n">
        <v>0</v>
      </c>
      <c r="P13" s="39" t="n">
        <v>0</v>
      </c>
      <c r="Q13" s="39" t="n">
        <v>0</v>
      </c>
      <c r="R13" s="39" t="n">
        <v>0</v>
      </c>
      <c r="S13" s="39" t="n">
        <v>0</v>
      </c>
      <c r="T13" s="39" t="n">
        <v>0</v>
      </c>
      <c r="U13" s="39" t="n">
        <v>0</v>
      </c>
      <c r="V13" s="36" t="n">
        <v>2026</v>
      </c>
      <c r="W13" s="39" t="n">
        <v>0</v>
      </c>
      <c r="X13" s="39" t="n">
        <v>0</v>
      </c>
      <c r="Y13" s="39" t="n">
        <v>0</v>
      </c>
      <c r="Z13" s="39" t="n">
        <v>0</v>
      </c>
      <c r="AA13" s="36" t="n">
        <v>2026</v>
      </c>
      <c r="AB13" s="36" t="n">
        <v>2026</v>
      </c>
      <c r="AC13" s="39" t="n">
        <v>1</v>
      </c>
      <c r="AD13" s="39" t="n">
        <v>0</v>
      </c>
      <c r="AE13" s="33" t="n">
        <v>0.08</v>
      </c>
      <c r="AF13" s="33" t="n">
        <v>0.08</v>
      </c>
      <c r="AG13" s="39" t="n">
        <v>0</v>
      </c>
      <c r="AH13" s="36" t="n">
        <v>2026</v>
      </c>
      <c r="AI13" s="38" t="n">
        <v>700</v>
      </c>
      <c r="AJ13" s="18" t="n">
        <f aca="false">Inputs!$S$67</f>
        <v>1600</v>
      </c>
      <c r="AK13" s="33" t="n">
        <v>0.55</v>
      </c>
      <c r="AL13" s="20" t="n">
        <f aca="false">IF(ISNUMBER(AK13),AK13,MAX(0,MIN(1,(F13+1-ValDate)/(F13+1-G13))))</f>
        <v>0.55</v>
      </c>
      <c r="AM13" s="9" t="n">
        <f aca="false">D13*AJ13*AL13/1000</f>
        <v>1121.12</v>
      </c>
      <c r="AN13" s="47" t="n">
        <f aca="false">MATCH("ATC|"&amp;C13,Prices!$A:$A,0)</f>
        <v>41</v>
      </c>
      <c r="AO13" s="47" t="n">
        <f aca="false">MATCH("GAS|"&amp;C13,Prices!$A:$A,0)</f>
        <v>40</v>
      </c>
      <c r="AP13" s="47" t="n">
        <f aca="false">MATCH("CAP|"&amp;C13,Prices!$A:$A,0)</f>
        <v>42</v>
      </c>
      <c r="AQ13" s="18" t="n">
        <f aca="false">VST_Model!C391+VST_Model!C392+VST_Model!C393</f>
        <v>891.8</v>
      </c>
      <c r="AR13" s="9" t="n">
        <f aca="false">IF(D13=0,0,AQ13/D13*1000)</f>
        <v>700</v>
      </c>
    </row>
    <row r="14" customFormat="false" ht="15" hidden="false" customHeight="false" outlineLevel="0" collapsed="false">
      <c r="A14" s="39" t="s">
        <v>493</v>
      </c>
      <c r="B14" s="39" t="s">
        <v>171</v>
      </c>
      <c r="C14" s="39" t="s">
        <v>141</v>
      </c>
      <c r="D14" s="38" t="n">
        <v>3850</v>
      </c>
      <c r="E14" s="36" t="n">
        <v>2027</v>
      </c>
      <c r="F14" s="36" t="n">
        <v>2050</v>
      </c>
      <c r="G14" s="36" t="n">
        <v>2012</v>
      </c>
      <c r="H14" s="39" t="s">
        <v>346</v>
      </c>
      <c r="I14" s="19" t="n">
        <f aca="false">Inputs!$D$50</f>
        <v>0.5</v>
      </c>
      <c r="J14" s="44" t="n">
        <f aca="false">Inputs!$E$50</f>
        <v>1.02</v>
      </c>
      <c r="K14" s="35" t="n">
        <v>6.9</v>
      </c>
      <c r="M14" s="44" t="n">
        <f aca="false">Inputs!$F$62</f>
        <v>3.5</v>
      </c>
      <c r="N14" s="44" t="n">
        <f aca="false">Inputs!$G$62</f>
        <v>0</v>
      </c>
      <c r="O14" s="44" t="n">
        <f aca="false">Inputs!$H$62</f>
        <v>0</v>
      </c>
      <c r="P14" s="44" t="n">
        <f aca="false">Inputs!$I$62</f>
        <v>0</v>
      </c>
      <c r="Q14" s="19" t="n">
        <f aca="false">Inputs!$J$62</f>
        <v>0</v>
      </c>
      <c r="R14" s="45" t="n">
        <f aca="false">Inputs!$K$62</f>
        <v>32</v>
      </c>
      <c r="S14" s="45" t="n">
        <f aca="false">Inputs!$L$62</f>
        <v>12</v>
      </c>
      <c r="T14" s="19" t="n">
        <f aca="false">Inputs!$M$62</f>
        <v>0.78</v>
      </c>
      <c r="U14" s="35" t="n">
        <v>0</v>
      </c>
      <c r="V14" s="36" t="n">
        <v>2026</v>
      </c>
      <c r="W14" s="46" t="n">
        <f aca="false">Inputs!$R$62</f>
        <v>0</v>
      </c>
      <c r="X14" s="46" t="n">
        <f aca="false">Inputs!$P$62</f>
        <v>1</v>
      </c>
      <c r="Y14" s="46" t="n">
        <f aca="false">Inputs!$Q$62</f>
        <v>1</v>
      </c>
      <c r="Z14" s="38" t="n">
        <v>0</v>
      </c>
      <c r="AA14" s="36" t="n">
        <v>2026</v>
      </c>
      <c r="AB14" s="36" t="n">
        <v>2026</v>
      </c>
      <c r="AC14" s="36" t="n">
        <v>1</v>
      </c>
      <c r="AD14" s="35" t="n">
        <v>0</v>
      </c>
      <c r="AE14" s="19" t="n">
        <f aca="false">Inputs!$N$62</f>
        <v>0.095</v>
      </c>
      <c r="AF14" s="19" t="n">
        <f aca="false">Inputs!$O$62</f>
        <v>0.095</v>
      </c>
      <c r="AG14" s="38" t="n">
        <v>0</v>
      </c>
      <c r="AH14" s="36" t="n">
        <v>2026</v>
      </c>
      <c r="AJ14" s="18" t="n">
        <f aca="false">Inputs!$S$62</f>
        <v>2350</v>
      </c>
      <c r="AL14" s="20" t="n">
        <f aca="false">IF(ISNUMBER(AK14),AK14,MAX(0,MIN(1,(F14+1-ValDate)/(F14+1-G14))))</f>
        <v>0.621794871794872</v>
      </c>
      <c r="AM14" s="9" t="n">
        <f aca="false">D14*AJ14*AL14/1000</f>
        <v>5625.6891025641</v>
      </c>
      <c r="AN14" s="47" t="n">
        <f aca="false">MATCH("ATC|"&amp;C14,Prices!$A:$A,0)</f>
        <v>20</v>
      </c>
      <c r="AO14" s="47" t="n">
        <f aca="false">MATCH("GAS|"&amp;C14,Prices!$A:$A,0)</f>
        <v>19</v>
      </c>
      <c r="AP14" s="47" t="n">
        <f aca="false">MATCH("CAP|"&amp;C14,Prices!$A:$A,0)</f>
        <v>21</v>
      </c>
      <c r="AQ14" s="18" t="n">
        <f aca="false">VST_Model!C421+VST_Model!C422+VST_Model!C423</f>
        <v>5937.38958796258</v>
      </c>
      <c r="AR14" s="9" t="n">
        <f aca="false">IF(D14=0,0,AQ14/D14*1000)</f>
        <v>1542.17911375652</v>
      </c>
    </row>
    <row r="15" customFormat="false" ht="15" hidden="false" customHeight="false" outlineLevel="0" collapsed="false">
      <c r="A15" s="39" t="s">
        <v>494</v>
      </c>
      <c r="B15" s="39" t="s">
        <v>171</v>
      </c>
      <c r="C15" s="39" t="s">
        <v>146</v>
      </c>
      <c r="D15" s="38" t="n">
        <v>1650</v>
      </c>
      <c r="E15" s="36" t="n">
        <v>2027</v>
      </c>
      <c r="F15" s="36" t="n">
        <v>2050</v>
      </c>
      <c r="G15" s="36" t="n">
        <v>2012</v>
      </c>
      <c r="H15" s="39" t="s">
        <v>346</v>
      </c>
      <c r="I15" s="19" t="n">
        <f aca="false">Inputs!$D$55</f>
        <v>0.45</v>
      </c>
      <c r="J15" s="44" t="n">
        <f aca="false">Inputs!$E$55</f>
        <v>1.05</v>
      </c>
      <c r="K15" s="35" t="n">
        <v>6.9</v>
      </c>
      <c r="M15" s="44" t="n">
        <f aca="false">Inputs!$F$62</f>
        <v>3.5</v>
      </c>
      <c r="N15" s="44" t="n">
        <f aca="false">Inputs!$G$62</f>
        <v>0</v>
      </c>
      <c r="O15" s="44" t="n">
        <f aca="false">Inputs!$H$62</f>
        <v>0</v>
      </c>
      <c r="P15" s="44" t="n">
        <f aca="false">Inputs!$I$62</f>
        <v>0</v>
      </c>
      <c r="Q15" s="19" t="n">
        <f aca="false">Inputs!$J$62</f>
        <v>0</v>
      </c>
      <c r="R15" s="45" t="n">
        <f aca="false">Inputs!$K$62</f>
        <v>32</v>
      </c>
      <c r="S15" s="45" t="n">
        <f aca="false">Inputs!$L$62</f>
        <v>12</v>
      </c>
      <c r="T15" s="19" t="n">
        <f aca="false">Inputs!$M$62</f>
        <v>0.78</v>
      </c>
      <c r="U15" s="35" t="n">
        <v>0</v>
      </c>
      <c r="V15" s="36" t="n">
        <v>2026</v>
      </c>
      <c r="W15" s="46" t="n">
        <f aca="false">Inputs!$R$62</f>
        <v>0</v>
      </c>
      <c r="X15" s="46" t="n">
        <f aca="false">Inputs!$P$62</f>
        <v>1</v>
      </c>
      <c r="Y15" s="46" t="n">
        <f aca="false">Inputs!$Q$62</f>
        <v>1</v>
      </c>
      <c r="Z15" s="38" t="n">
        <v>0</v>
      </c>
      <c r="AA15" s="36" t="n">
        <v>2026</v>
      </c>
      <c r="AB15" s="36" t="n">
        <v>2026</v>
      </c>
      <c r="AC15" s="36" t="n">
        <v>1</v>
      </c>
      <c r="AD15" s="35" t="n">
        <v>0</v>
      </c>
      <c r="AE15" s="19" t="n">
        <f aca="false">Inputs!$N$62</f>
        <v>0.095</v>
      </c>
      <c r="AF15" s="19" t="n">
        <f aca="false">Inputs!$O$62</f>
        <v>0.095</v>
      </c>
      <c r="AG15" s="38" t="n">
        <v>0</v>
      </c>
      <c r="AH15" s="36" t="n">
        <v>2026</v>
      </c>
      <c r="AJ15" s="18" t="n">
        <f aca="false">Inputs!$S$62</f>
        <v>2350</v>
      </c>
      <c r="AL15" s="20" t="n">
        <f aca="false">IF(ISNUMBER(AK15),AK15,MAX(0,MIN(1,(F15+1-ValDate)/(F15+1-G15))))</f>
        <v>0.621794871794872</v>
      </c>
      <c r="AM15" s="9" t="n">
        <f aca="false">D15*AJ15*AL15/1000</f>
        <v>2411.00961538462</v>
      </c>
      <c r="AN15" s="47" t="n">
        <f aca="false">MATCH("ATC|"&amp;C15,Prices!$A:$A,0)</f>
        <v>35</v>
      </c>
      <c r="AO15" s="47" t="n">
        <f aca="false">MATCH("GAS|"&amp;C15,Prices!$A:$A,0)</f>
        <v>34</v>
      </c>
      <c r="AP15" s="47" t="n">
        <f aca="false">MATCH("CAP|"&amp;C15,Prices!$A:$A,0)</f>
        <v>36</v>
      </c>
      <c r="AQ15" s="18" t="n">
        <f aca="false">VST_Model!C451+VST_Model!C452+VST_Model!C453</f>
        <v>1448.08480773872</v>
      </c>
      <c r="AR15" s="9" t="n">
        <f aca="false">IF(D15=0,0,AQ15/D15*1000)</f>
        <v>877.627156205287</v>
      </c>
    </row>
    <row r="16" customFormat="false" ht="15" hidden="false" customHeight="false" outlineLevel="0" collapsed="false">
      <c r="A16" s="1" t="s">
        <v>364</v>
      </c>
      <c r="D16" s="10" t="n">
        <f aca="false">SUM(D2:D15)</f>
        <v>49141</v>
      </c>
      <c r="AM16" s="10" t="n">
        <f aca="false">SUM(AM2:AM15)</f>
        <v>49453.6188281412</v>
      </c>
      <c r="AQ16" s="10" t="n">
        <f aca="false">SUM(AQ2:AQ15)</f>
        <v>49570.6588736065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0"/>
  </cols>
  <sheetData>
    <row r="1" customFormat="false" ht="15" hidden="false" customHeight="false" outlineLevel="0" collapsed="false">
      <c r="A1" s="55" t="s">
        <v>495</v>
      </c>
    </row>
    <row r="2" customFormat="false" ht="15" hidden="false" customHeight="false" outlineLevel="0" collapsed="false">
      <c r="A2" s="6"/>
    </row>
    <row r="3" customFormat="false" ht="15" hidden="false" customHeight="false" outlineLevel="0" collapsed="false">
      <c r="A3" s="1" t="s">
        <v>496</v>
      </c>
    </row>
    <row r="4" customFormat="false" ht="15" hidden="false" customHeight="false" outlineLevel="0" collapsed="false">
      <c r="A4" s="6" t="s">
        <v>497</v>
      </c>
    </row>
    <row r="5" customFormat="false" ht="15" hidden="false" customHeight="false" outlineLevel="0" collapsed="false">
      <c r="A5" s="6" t="s">
        <v>498</v>
      </c>
    </row>
    <row r="6" customFormat="false" ht="15" hidden="false" customHeight="false" outlineLevel="0" collapsed="false">
      <c r="A6" s="6" t="s">
        <v>499</v>
      </c>
    </row>
    <row r="7" customFormat="false" ht="15" hidden="false" customHeight="false" outlineLevel="0" collapsed="false">
      <c r="A7" s="6"/>
    </row>
    <row r="8" customFormat="false" ht="15" hidden="false" customHeight="false" outlineLevel="0" collapsed="false">
      <c r="A8" s="1" t="s">
        <v>500</v>
      </c>
    </row>
    <row r="9" customFormat="false" ht="15" hidden="false" customHeight="false" outlineLevel="0" collapsed="false">
      <c r="A9" s="39" t="s">
        <v>501</v>
      </c>
    </row>
    <row r="10" customFormat="false" ht="15" hidden="false" customHeight="false" outlineLevel="0" collapsed="false">
      <c r="A10" s="56" t="s">
        <v>502</v>
      </c>
    </row>
    <row r="11" customFormat="false" ht="15" hidden="false" customHeight="false" outlineLevel="0" collapsed="false">
      <c r="A11" s="57" t="s">
        <v>503</v>
      </c>
    </row>
    <row r="12" customFormat="false" ht="15" hidden="false" customHeight="false" outlineLevel="0" collapsed="false">
      <c r="A12" s="6" t="s">
        <v>504</v>
      </c>
    </row>
    <row r="13" customFormat="false" ht="15" hidden="false" customHeight="false" outlineLevel="0" collapsed="false">
      <c r="A13" s="6"/>
    </row>
    <row r="14" customFormat="false" ht="15" hidden="false" customHeight="false" outlineLevel="0" collapsed="false">
      <c r="A14" s="1" t="s">
        <v>505</v>
      </c>
    </row>
    <row r="15" customFormat="false" ht="15" hidden="false" customHeight="false" outlineLevel="0" collapsed="false">
      <c r="A15" s="6" t="s">
        <v>506</v>
      </c>
    </row>
    <row r="16" customFormat="false" ht="15" hidden="false" customHeight="false" outlineLevel="0" collapsed="false">
      <c r="A16" s="6" t="s">
        <v>507</v>
      </c>
    </row>
    <row r="17" customFormat="false" ht="15" hidden="false" customHeight="false" outlineLevel="0" collapsed="false">
      <c r="A17" s="6" t="s">
        <v>508</v>
      </c>
    </row>
    <row r="18" customFormat="false" ht="15" hidden="false" customHeight="false" outlineLevel="0" collapsed="false">
      <c r="A18" s="6" t="s">
        <v>509</v>
      </c>
    </row>
    <row r="19" customFormat="false" ht="15" hidden="false" customHeight="false" outlineLevel="0" collapsed="false">
      <c r="A19" s="6" t="s">
        <v>510</v>
      </c>
    </row>
    <row r="20" customFormat="false" ht="15" hidden="false" customHeight="false" outlineLevel="0" collapsed="false">
      <c r="A20" s="6" t="s">
        <v>511</v>
      </c>
    </row>
    <row r="21" customFormat="false" ht="15" hidden="false" customHeight="false" outlineLevel="0" collapsed="false">
      <c r="A21" s="6"/>
    </row>
    <row r="22" customFormat="false" ht="15" hidden="false" customHeight="false" outlineLevel="0" collapsed="false">
      <c r="A22" s="1" t="s">
        <v>512</v>
      </c>
    </row>
    <row r="23" customFormat="false" ht="15" hidden="false" customHeight="false" outlineLevel="0" collapsed="false">
      <c r="A23" s="6" t="s">
        <v>513</v>
      </c>
    </row>
    <row r="24" customFormat="false" ht="15" hidden="false" customHeight="false" outlineLevel="0" collapsed="false">
      <c r="A24" s="6"/>
    </row>
    <row r="25" customFormat="false" ht="15" hidden="false" customHeight="false" outlineLevel="0" collapsed="false">
      <c r="A25" s="1" t="s">
        <v>514</v>
      </c>
    </row>
    <row r="26" customFormat="false" ht="15" hidden="false" customHeight="false" outlineLevel="0" collapsed="false">
      <c r="A26" s="6" t="s">
        <v>515</v>
      </c>
    </row>
    <row r="27" customFormat="false" ht="15" hidden="false" customHeight="false" outlineLevel="0" collapsed="false">
      <c r="A27" s="6" t="s">
        <v>516</v>
      </c>
    </row>
    <row r="28" customFormat="false" ht="15" hidden="false" customHeight="false" outlineLevel="0" collapsed="false">
      <c r="A28" s="6" t="s">
        <v>517</v>
      </c>
    </row>
    <row r="29" customFormat="false" ht="15" hidden="false" customHeight="false" outlineLevel="0" collapsed="false">
      <c r="A29" s="6" t="s">
        <v>518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4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3" topLeftCell="G4" activePane="bottomRight" state="frozen"/>
      <selection pane="topLeft" activeCell="A1" activeCellId="0" sqref="A1"/>
      <selection pane="topRight" activeCell="G1" activeCellId="0" sqref="G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5" min="3" style="0" width="13"/>
    <col collapsed="false" customWidth="true" hidden="false" outlineLevel="0" max="6" min="6" style="0" width="2"/>
    <col collapsed="false" customWidth="true" hidden="false" outlineLevel="0" max="45" min="7" style="0" width="10"/>
  </cols>
  <sheetData>
    <row r="1" customFormat="false" ht="15" hidden="false" customHeight="false" outlineLevel="0" collapsed="false">
      <c r="A1" s="1" t="s">
        <v>519</v>
      </c>
    </row>
    <row r="3" customFormat="false" ht="15" hidden="false" customHeight="false" outlineLevel="0" collapsed="false">
      <c r="A3" s="1" t="s">
        <v>48</v>
      </c>
      <c r="B3" s="1" t="s">
        <v>244</v>
      </c>
      <c r="C3" s="1" t="s">
        <v>366</v>
      </c>
      <c r="D3" s="1" t="s">
        <v>367</v>
      </c>
      <c r="E3" s="1" t="s">
        <v>368</v>
      </c>
      <c r="G3" s="17" t="n">
        <v>2027</v>
      </c>
      <c r="H3" s="17" t="n">
        <v>2028</v>
      </c>
      <c r="I3" s="17" t="n">
        <v>2029</v>
      </c>
      <c r="J3" s="17" t="n">
        <v>2030</v>
      </c>
      <c r="K3" s="17" t="n">
        <v>2031</v>
      </c>
      <c r="L3" s="17" t="n">
        <v>2032</v>
      </c>
      <c r="M3" s="17" t="n">
        <v>2033</v>
      </c>
      <c r="N3" s="17" t="n">
        <v>2034</v>
      </c>
      <c r="O3" s="17" t="n">
        <v>2035</v>
      </c>
      <c r="P3" s="17" t="n">
        <v>2036</v>
      </c>
      <c r="Q3" s="17" t="n">
        <v>2037</v>
      </c>
      <c r="R3" s="17" t="n">
        <v>2038</v>
      </c>
      <c r="S3" s="17" t="n">
        <v>2039</v>
      </c>
      <c r="T3" s="17" t="n">
        <v>2040</v>
      </c>
      <c r="U3" s="17" t="n">
        <v>2041</v>
      </c>
      <c r="V3" s="17" t="n">
        <v>2042</v>
      </c>
      <c r="W3" s="17" t="n">
        <v>2043</v>
      </c>
      <c r="X3" s="17" t="n">
        <v>2044</v>
      </c>
      <c r="Y3" s="17" t="n">
        <v>2045</v>
      </c>
      <c r="Z3" s="17" t="n">
        <v>2046</v>
      </c>
      <c r="AA3" s="17" t="n">
        <v>2047</v>
      </c>
      <c r="AB3" s="17" t="n">
        <v>2048</v>
      </c>
      <c r="AC3" s="17" t="n">
        <v>2049</v>
      </c>
      <c r="AD3" s="17" t="n">
        <v>2050</v>
      </c>
      <c r="AE3" s="17" t="n">
        <v>2051</v>
      </c>
      <c r="AF3" s="17" t="n">
        <v>2052</v>
      </c>
      <c r="AG3" s="17" t="n">
        <v>2053</v>
      </c>
      <c r="AH3" s="17" t="n">
        <v>2054</v>
      </c>
      <c r="AI3" s="17" t="n">
        <v>2055</v>
      </c>
      <c r="AJ3" s="17" t="n">
        <v>2056</v>
      </c>
      <c r="AK3" s="17" t="n">
        <v>2057</v>
      </c>
      <c r="AL3" s="17" t="n">
        <v>2058</v>
      </c>
      <c r="AM3" s="17" t="n">
        <v>2059</v>
      </c>
      <c r="AN3" s="17" t="n">
        <v>2060</v>
      </c>
      <c r="AO3" s="17" t="n">
        <v>2061</v>
      </c>
      <c r="AP3" s="17" t="n">
        <v>2062</v>
      </c>
      <c r="AQ3" s="17" t="n">
        <v>2063</v>
      </c>
      <c r="AR3" s="17" t="n">
        <v>2064</v>
      </c>
      <c r="AS3" s="17" t="n">
        <v>2065</v>
      </c>
    </row>
    <row r="4" customFormat="false" ht="15" hidden="false" customHeight="false" outlineLevel="0" collapsed="false">
      <c r="A4" s="6" t="s">
        <v>369</v>
      </c>
      <c r="G4" s="48" t="n">
        <f aca="false">Prices!G$4</f>
        <v>1.02</v>
      </c>
      <c r="H4" s="48" t="n">
        <f aca="false">Prices!H$4</f>
        <v>1.0404</v>
      </c>
      <c r="I4" s="48" t="n">
        <f aca="false">Prices!I$4</f>
        <v>1.061208</v>
      </c>
      <c r="J4" s="48" t="n">
        <f aca="false">Prices!J$4</f>
        <v>1.08243216</v>
      </c>
      <c r="K4" s="48" t="n">
        <f aca="false">Prices!K$4</f>
        <v>1.1040808032</v>
      </c>
      <c r="L4" s="48" t="n">
        <f aca="false">Prices!L$4</f>
        <v>1.126162419264</v>
      </c>
      <c r="M4" s="48" t="n">
        <f aca="false">Prices!M$4</f>
        <v>1.14868566764928</v>
      </c>
      <c r="N4" s="48" t="n">
        <f aca="false">Prices!N$4</f>
        <v>1.17165938100227</v>
      </c>
      <c r="O4" s="48" t="n">
        <f aca="false">Prices!O$4</f>
        <v>1.19509256862231</v>
      </c>
      <c r="P4" s="48" t="n">
        <f aca="false">Prices!P$4</f>
        <v>1.21899441999476</v>
      </c>
      <c r="Q4" s="48" t="n">
        <f aca="false">Prices!Q$4</f>
        <v>1.24337430839465</v>
      </c>
      <c r="R4" s="48" t="n">
        <f aca="false">Prices!R$4</f>
        <v>1.26824179456255</v>
      </c>
      <c r="S4" s="48" t="n">
        <f aca="false">Prices!S$4</f>
        <v>1.2936066304538</v>
      </c>
      <c r="T4" s="48" t="n">
        <f aca="false">Prices!T$4</f>
        <v>1.31947876306287</v>
      </c>
      <c r="U4" s="48" t="n">
        <f aca="false">Prices!U$4</f>
        <v>1.34586833832413</v>
      </c>
      <c r="V4" s="48" t="n">
        <f aca="false">Prices!V$4</f>
        <v>1.37278570509061</v>
      </c>
      <c r="W4" s="48" t="n">
        <f aca="false">Prices!W$4</f>
        <v>1.40024141919242</v>
      </c>
      <c r="X4" s="48" t="n">
        <f aca="false">Prices!X$4</f>
        <v>1.42824624757627</v>
      </c>
      <c r="Y4" s="48" t="n">
        <f aca="false">Prices!Y$4</f>
        <v>1.4568111725278</v>
      </c>
      <c r="Z4" s="48" t="n">
        <f aca="false">Prices!Z$4</f>
        <v>1.48594739597836</v>
      </c>
      <c r="AA4" s="48" t="n">
        <f aca="false">Prices!AA$4</f>
        <v>1.51566634389792</v>
      </c>
      <c r="AB4" s="48" t="n">
        <f aca="false">Prices!AB$4</f>
        <v>1.54597967077588</v>
      </c>
      <c r="AC4" s="48" t="n">
        <f aca="false">Prices!AC$4</f>
        <v>1.5768992641914</v>
      </c>
      <c r="AD4" s="48" t="n">
        <f aca="false">Prices!AD$4</f>
        <v>1.60843724947523</v>
      </c>
      <c r="AE4" s="48" t="n">
        <f aca="false">Prices!AE$4</f>
        <v>1.64060599446473</v>
      </c>
      <c r="AF4" s="48" t="n">
        <f aca="false">Prices!AF$4</f>
        <v>1.67341811435403</v>
      </c>
      <c r="AG4" s="48" t="n">
        <f aca="false">Prices!AG$4</f>
        <v>1.70688647664111</v>
      </c>
      <c r="AH4" s="48" t="n">
        <f aca="false">Prices!AH$4</f>
        <v>1.74102420617393</v>
      </c>
      <c r="AI4" s="48" t="n">
        <f aca="false">Prices!AI$4</f>
        <v>1.77584469029741</v>
      </c>
      <c r="AJ4" s="48" t="n">
        <f aca="false">Prices!AJ$4</f>
        <v>1.81136158410335</v>
      </c>
      <c r="AK4" s="48" t="n">
        <f aca="false">Prices!AK$4</f>
        <v>1.84758881578542</v>
      </c>
      <c r="AL4" s="48" t="n">
        <f aca="false">Prices!AL$4</f>
        <v>1.88454059210113</v>
      </c>
      <c r="AM4" s="48" t="n">
        <f aca="false">Prices!AM$4</f>
        <v>1.92223140394315</v>
      </c>
      <c r="AN4" s="48" t="n">
        <f aca="false">Prices!AN$4</f>
        <v>1.96067603202202</v>
      </c>
      <c r="AO4" s="48" t="n">
        <f aca="false">Prices!AO$4</f>
        <v>1.99988955266246</v>
      </c>
      <c r="AP4" s="48" t="n">
        <f aca="false">Prices!AP$4</f>
        <v>2.03988734371571</v>
      </c>
      <c r="AQ4" s="48" t="n">
        <f aca="false">Prices!AQ$4</f>
        <v>2.08068509059002</v>
      </c>
      <c r="AR4" s="48" t="n">
        <f aca="false">Prices!AR$4</f>
        <v>2.12229879240182</v>
      </c>
      <c r="AS4" s="48" t="n">
        <f aca="false">Prices!AS$4</f>
        <v>2.16474476824986</v>
      </c>
    </row>
    <row r="5" customFormat="false" ht="15" hidden="false" customHeight="false" outlineLevel="0" collapsed="false">
      <c r="A5" s="1" t="s">
        <v>370</v>
      </c>
    </row>
    <row r="6" customFormat="false" ht="15" hidden="false" customHeight="false" outlineLevel="0" collapsed="false">
      <c r="A6" s="6" t="s">
        <v>371</v>
      </c>
      <c r="B6" s="6" t="s">
        <v>372</v>
      </c>
      <c r="C6" s="9" t="n">
        <f aca="false">SUM(G6:AS6)</f>
        <v>279358.76858123</v>
      </c>
      <c r="G6" s="9" t="n">
        <f aca="false">SUMIF($B$35:$B$454,"energy",G$35:G$454)</f>
        <v>13893.0360871565</v>
      </c>
      <c r="H6" s="9" t="n">
        <f aca="false">SUMIF($B$35:$B$454,"energy",H$35:H$454)</f>
        <v>12109.885308612</v>
      </c>
      <c r="I6" s="9" t="n">
        <f aca="false">SUMIF($B$35:$B$454,"energy",I$35:I$454)</f>
        <v>11557.2807480727</v>
      </c>
      <c r="J6" s="9" t="n">
        <f aca="false">SUMIF($B$35:$B$454,"energy",J$35:J$454)</f>
        <v>11430.7230173393</v>
      </c>
      <c r="K6" s="9" t="n">
        <f aca="false">SUMIF($B$35:$B$454,"energy",K$35:K$454)</f>
        <v>11556.1432263416</v>
      </c>
      <c r="L6" s="9" t="n">
        <f aca="false">SUMIF($B$35:$B$454,"energy",L$35:L$454)</f>
        <v>11682.0079544971</v>
      </c>
      <c r="M6" s="9" t="n">
        <f aca="false">SUMIF($B$35:$B$454,"energy",M$35:M$454)</f>
        <v>11915.6481135871</v>
      </c>
      <c r="N6" s="9" t="n">
        <f aca="false">SUMIF($B$35:$B$454,"energy",N$35:N$454)</f>
        <v>12153.9610758588</v>
      </c>
      <c r="O6" s="9" t="n">
        <f aca="false">SUMIF($B$35:$B$454,"energy",O$35:O$454)</f>
        <v>12397.040297376</v>
      </c>
      <c r="P6" s="9" t="n">
        <f aca="false">SUMIF($B$35:$B$454,"energy",P$35:P$454)</f>
        <v>11418.4103770197</v>
      </c>
      <c r="Q6" s="9" t="n">
        <f aca="false">SUMIF($B$35:$B$454,"energy",Q$35:Q$454)</f>
        <v>11646.77858456</v>
      </c>
      <c r="R6" s="9" t="n">
        <f aca="false">SUMIF($B$35:$B$454,"energy",R$35:R$454)</f>
        <v>11879.7141562512</v>
      </c>
      <c r="S6" s="9" t="n">
        <f aca="false">SUMIF($B$35:$B$454,"energy",S$35:S$454)</f>
        <v>11839.9870215901</v>
      </c>
      <c r="T6" s="9" t="n">
        <f aca="false">SUMIF($B$35:$B$454,"energy",T$35:T$454)</f>
        <v>12076.7867620219</v>
      </c>
      <c r="U6" s="9" t="n">
        <f aca="false">SUMIF($B$35:$B$454,"energy",U$35:U$454)</f>
        <v>11776.6943883469</v>
      </c>
      <c r="V6" s="9" t="n">
        <f aca="false">SUMIF($B$35:$B$454,"energy",V$35:V$454)</f>
        <v>12012.2282761139</v>
      </c>
      <c r="W6" s="9" t="n">
        <f aca="false">SUMIF($B$35:$B$454,"energy",W$35:W$454)</f>
        <v>12252.4728416361</v>
      </c>
      <c r="X6" s="9" t="n">
        <f aca="false">SUMIF($B$35:$B$454,"energy",X$35:X$454)</f>
        <v>12497.5222984689</v>
      </c>
      <c r="Y6" s="9" t="n">
        <f aca="false">SUMIF($B$35:$B$454,"energy",Y$35:Y$454)</f>
        <v>12747.4727444382</v>
      </c>
      <c r="Z6" s="9" t="n">
        <f aca="false">SUMIF($B$35:$B$454,"energy",Z$35:Z$454)</f>
        <v>4252.20602729347</v>
      </c>
      <c r="AA6" s="9" t="n">
        <f aca="false">SUMIF($B$35:$B$454,"energy",AA$35:AA$454)</f>
        <v>4337.25014783933</v>
      </c>
      <c r="AB6" s="9" t="n">
        <f aca="false">SUMIF($B$35:$B$454,"energy",AB$35:AB$454)</f>
        <v>6740.01637519588</v>
      </c>
      <c r="AC6" s="9" t="n">
        <f aca="false">SUMIF($B$35:$B$454,"energy",AC$35:AC$454)</f>
        <v>6874.8167026998</v>
      </c>
      <c r="AD6" s="9" t="n">
        <f aca="false">SUMIF($B$35:$B$454,"energy",AD$35:AD$454)</f>
        <v>7012.3130367538</v>
      </c>
      <c r="AE6" s="9" t="n">
        <f aca="false">SUMIF($B$35:$B$454,"energy",AE$35:AE$454)</f>
        <v>4724.30197007541</v>
      </c>
      <c r="AF6" s="9" t="n">
        <f aca="false">SUMIF($B$35:$B$454,"energy",AF$35:AF$454)</f>
        <v>4818.78800947692</v>
      </c>
      <c r="AG6" s="9" t="n">
        <f aca="false">SUMIF($B$35:$B$454,"energy",AG$35:AG$454)</f>
        <v>4915.16376966646</v>
      </c>
      <c r="AH6" s="9" t="n">
        <f aca="false">SUMIF($B$35:$B$454,"energy",AH$35:AH$454)</f>
        <v>3386.19765492134</v>
      </c>
      <c r="AI6" s="9" t="n">
        <f aca="false">SUMIF($B$35:$B$454,"energy",AI$35:AI$454)</f>
        <v>3453.92160801977</v>
      </c>
      <c r="AJ6" s="9" t="n">
        <f aca="false">SUMIF($B$35:$B$454,"energy",AJ$35:AJ$454)</f>
        <v>0</v>
      </c>
      <c r="AK6" s="9" t="n">
        <f aca="false">SUMIF($B$35:$B$454,"energy",AK$35:AK$454)</f>
        <v>0</v>
      </c>
      <c r="AL6" s="9" t="n">
        <f aca="false">SUMIF($B$35:$B$454,"energy",AL$35:AL$454)</f>
        <v>0</v>
      </c>
      <c r="AM6" s="9" t="n">
        <f aca="false">SUMIF($B$35:$B$454,"energy",AM$35:AM$454)</f>
        <v>0</v>
      </c>
      <c r="AN6" s="9" t="n">
        <f aca="false">SUMIF($B$35:$B$454,"energy",AN$35:AN$454)</f>
        <v>0</v>
      </c>
      <c r="AO6" s="9" t="n">
        <f aca="false">SUMIF($B$35:$B$454,"energy",AO$35:AO$454)</f>
        <v>0</v>
      </c>
      <c r="AP6" s="9" t="n">
        <f aca="false">SUMIF($B$35:$B$454,"energy",AP$35:AP$454)</f>
        <v>0</v>
      </c>
      <c r="AQ6" s="9" t="n">
        <f aca="false">SUMIF($B$35:$B$454,"energy",AQ$35:AQ$454)</f>
        <v>0</v>
      </c>
      <c r="AR6" s="9" t="n">
        <f aca="false">SUMIF($B$35:$B$454,"energy",AR$35:AR$454)</f>
        <v>0</v>
      </c>
      <c r="AS6" s="9" t="n">
        <f aca="false">SUMIF($B$35:$B$454,"energy",AS$35:AS$454)</f>
        <v>0</v>
      </c>
    </row>
    <row r="7" customFormat="false" ht="15" hidden="false" customHeight="false" outlineLevel="0" collapsed="false">
      <c r="A7" s="6" t="s">
        <v>373</v>
      </c>
      <c r="B7" s="6" t="s">
        <v>374</v>
      </c>
      <c r="C7" s="9" t="n">
        <f aca="false">SUM(G7:AS7)</f>
        <v>37399.6113932458</v>
      </c>
      <c r="G7" s="9" t="n">
        <f aca="false">SUMIF($B$35:$B$454,"capacity",G$35:G$454)</f>
        <v>2347.384036611</v>
      </c>
      <c r="H7" s="9" t="n">
        <f aca="false">SUMIF($B$35:$B$454,"capacity",H$35:H$454)</f>
        <v>1785.3529843956</v>
      </c>
      <c r="I7" s="9" t="n">
        <f aca="false">SUMIF($B$35:$B$454,"capacity",I$35:I$454)</f>
        <v>1548.42571436639</v>
      </c>
      <c r="J7" s="9" t="n">
        <f aca="false">SUMIF($B$35:$B$454,"capacity",J$35:J$454)</f>
        <v>1415.74262550114</v>
      </c>
      <c r="K7" s="9" t="n">
        <f aca="false">SUMIF($B$35:$B$454,"capacity",K$35:K$454)</f>
        <v>1444.05747801117</v>
      </c>
      <c r="L7" s="9" t="n">
        <f aca="false">SUMIF($B$35:$B$454,"capacity",L$35:L$454)</f>
        <v>1472.93862757139</v>
      </c>
      <c r="M7" s="9" t="n">
        <f aca="false">SUMIF($B$35:$B$454,"capacity",M$35:M$454)</f>
        <v>1502.39740012282</v>
      </c>
      <c r="N7" s="9" t="n">
        <f aca="false">SUMIF($B$35:$B$454,"capacity",N$35:N$454)</f>
        <v>1532.44534812527</v>
      </c>
      <c r="O7" s="9" t="n">
        <f aca="false">SUMIF($B$35:$B$454,"capacity",O$35:O$454)</f>
        <v>1563.09425508778</v>
      </c>
      <c r="P7" s="9" t="n">
        <f aca="false">SUMIF($B$35:$B$454,"capacity",P$35:P$454)</f>
        <v>1594.35614018954</v>
      </c>
      <c r="Q7" s="9" t="n">
        <f aca="false">SUMIF($B$35:$B$454,"capacity",Q$35:Q$454)</f>
        <v>1626.24326299333</v>
      </c>
      <c r="R7" s="9" t="n">
        <f aca="false">SUMIF($B$35:$B$454,"capacity",R$35:R$454)</f>
        <v>1658.76812825319</v>
      </c>
      <c r="S7" s="9" t="n">
        <f aca="false">SUMIF($B$35:$B$454,"capacity",S$35:S$454)</f>
        <v>1515.42785198939</v>
      </c>
      <c r="T7" s="9" t="n">
        <f aca="false">SUMIF($B$35:$B$454,"capacity",T$35:T$454)</f>
        <v>1545.73640902917</v>
      </c>
      <c r="U7" s="9" t="n">
        <f aca="false">SUMIF($B$35:$B$454,"capacity",U$35:U$454)</f>
        <v>1492.35401970717</v>
      </c>
      <c r="V7" s="9" t="n">
        <f aca="false">SUMIF($B$35:$B$454,"capacity",V$35:V$454)</f>
        <v>1522.20110010131</v>
      </c>
      <c r="W7" s="9" t="n">
        <f aca="false">SUMIF($B$35:$B$454,"capacity",W$35:W$454)</f>
        <v>1552.64512210333</v>
      </c>
      <c r="X7" s="9" t="n">
        <f aca="false">SUMIF($B$35:$B$454,"capacity",X$35:X$454)</f>
        <v>1583.6980245454</v>
      </c>
      <c r="Y7" s="9" t="n">
        <f aca="false">SUMIF($B$35:$B$454,"capacity",Y$35:Y$454)</f>
        <v>1615.37198503631</v>
      </c>
      <c r="Z7" s="9" t="n">
        <f aca="false">SUMIF($B$35:$B$454,"capacity",Z$35:Z$454)</f>
        <v>673.240534492799</v>
      </c>
      <c r="AA7" s="9" t="n">
        <f aca="false">SUMIF($B$35:$B$454,"capacity",AA$35:AA$454)</f>
        <v>686.705345182655</v>
      </c>
      <c r="AB7" s="9" t="n">
        <f aca="false">SUMIF($B$35:$B$454,"capacity",AB$35:AB$454)</f>
        <v>968.73099036348</v>
      </c>
      <c r="AC7" s="9" t="n">
        <f aca="false">SUMIF($B$35:$B$454,"capacity",AC$35:AC$454)</f>
        <v>988.10561017075</v>
      </c>
      <c r="AD7" s="9" t="n">
        <f aca="false">SUMIF($B$35:$B$454,"capacity",AD$35:AD$454)</f>
        <v>1007.86772237416</v>
      </c>
      <c r="AE7" s="9" t="n">
        <f aca="false">SUMIF($B$35:$B$454,"capacity",AE$35:AE$454)</f>
        <v>529.650154913724</v>
      </c>
      <c r="AF7" s="9" t="n">
        <f aca="false">SUMIF($B$35:$B$454,"capacity",AF$35:AF$454)</f>
        <v>540.243158011999</v>
      </c>
      <c r="AG7" s="9" t="n">
        <f aca="false">SUMIF($B$35:$B$454,"capacity",AG$35:AG$454)</f>
        <v>551.048021172239</v>
      </c>
      <c r="AH7" s="9" t="n">
        <f aca="false">SUMIF($B$35:$B$454,"capacity",AH$35:AH$454)</f>
        <v>562.068981595683</v>
      </c>
      <c r="AI7" s="9" t="n">
        <f aca="false">SUMIF($B$35:$B$454,"capacity",AI$35:AI$454)</f>
        <v>573.310361227597</v>
      </c>
      <c r="AJ7" s="9" t="n">
        <f aca="false">SUMIF($B$35:$B$454,"capacity",AJ$35:AJ$454)</f>
        <v>0</v>
      </c>
      <c r="AK7" s="9" t="n">
        <f aca="false">SUMIF($B$35:$B$454,"capacity",AK$35:AK$454)</f>
        <v>0</v>
      </c>
      <c r="AL7" s="9" t="n">
        <f aca="false">SUMIF($B$35:$B$454,"capacity",AL$35:AL$454)</f>
        <v>0</v>
      </c>
      <c r="AM7" s="9" t="n">
        <f aca="false">SUMIF($B$35:$B$454,"capacity",AM$35:AM$454)</f>
        <v>0</v>
      </c>
      <c r="AN7" s="9" t="n">
        <f aca="false">SUMIF($B$35:$B$454,"capacity",AN$35:AN$454)</f>
        <v>0</v>
      </c>
      <c r="AO7" s="9" t="n">
        <f aca="false">SUMIF($B$35:$B$454,"capacity",AO$35:AO$454)</f>
        <v>0</v>
      </c>
      <c r="AP7" s="9" t="n">
        <f aca="false">SUMIF($B$35:$B$454,"capacity",AP$35:AP$454)</f>
        <v>0</v>
      </c>
      <c r="AQ7" s="9" t="n">
        <f aca="false">SUMIF($B$35:$B$454,"capacity",AQ$35:AQ$454)</f>
        <v>0</v>
      </c>
      <c r="AR7" s="9" t="n">
        <f aca="false">SUMIF($B$35:$B$454,"capacity",AR$35:AR$454)</f>
        <v>0</v>
      </c>
      <c r="AS7" s="9" t="n">
        <f aca="false">SUMIF($B$35:$B$454,"capacity",AS$35:AS$454)</f>
        <v>0</v>
      </c>
    </row>
    <row r="8" customFormat="false" ht="15" hidden="false" customHeight="false" outlineLevel="0" collapsed="false">
      <c r="A8" s="6" t="s">
        <v>375</v>
      </c>
      <c r="B8" s="6" t="s">
        <v>376</v>
      </c>
      <c r="C8" s="9" t="n">
        <f aca="false">SUM(G8:AS8)</f>
        <v>45209.491008</v>
      </c>
      <c r="G8" s="9" t="n">
        <f aca="false">SUMIF($B$35:$B$454,"ppa",G$35:G$454)</f>
        <v>757.466688</v>
      </c>
      <c r="H8" s="9" t="n">
        <f aca="false">SUMIF($B$35:$B$454,"ppa",H$35:H$454)</f>
        <v>1672.192896</v>
      </c>
      <c r="I8" s="9" t="n">
        <f aca="false">SUMIF($B$35:$B$454,"ppa",I$35:I$454)</f>
        <v>1829.452416</v>
      </c>
      <c r="J8" s="9" t="n">
        <f aca="false">SUMIF($B$35:$B$454,"ppa",J$35:J$454)</f>
        <v>1986.711936</v>
      </c>
      <c r="K8" s="9" t="n">
        <f aca="false">SUMIF($B$35:$B$454,"ppa",K$35:K$454)</f>
        <v>2143.971456</v>
      </c>
      <c r="L8" s="9" t="n">
        <f aca="false">SUMIF($B$35:$B$454,"ppa",L$35:L$454)</f>
        <v>2301.230976</v>
      </c>
      <c r="M8" s="9" t="n">
        <f aca="false">SUMIF($B$35:$B$454,"ppa",M$35:M$454)</f>
        <v>2301.230976</v>
      </c>
      <c r="N8" s="9" t="n">
        <f aca="false">SUMIF($B$35:$B$454,"ppa",N$35:N$454)</f>
        <v>2301.230976</v>
      </c>
      <c r="O8" s="9" t="n">
        <f aca="false">SUMIF($B$35:$B$454,"ppa",O$35:O$454)</f>
        <v>2301.230976</v>
      </c>
      <c r="P8" s="9" t="n">
        <f aca="false">SUMIF($B$35:$B$454,"ppa",P$35:P$454)</f>
        <v>2301.230976</v>
      </c>
      <c r="Q8" s="9" t="n">
        <f aca="false">SUMIF($B$35:$B$454,"ppa",Q$35:Q$454)</f>
        <v>2301.230976</v>
      </c>
      <c r="R8" s="9" t="n">
        <f aca="false">SUMIF($B$35:$B$454,"ppa",R$35:R$454)</f>
        <v>2301.230976</v>
      </c>
      <c r="S8" s="9" t="n">
        <f aca="false">SUMIF($B$35:$B$454,"ppa",S$35:S$454)</f>
        <v>2301.230976</v>
      </c>
      <c r="T8" s="9" t="n">
        <f aca="false">SUMIF($B$35:$B$454,"ppa",T$35:T$454)</f>
        <v>2301.230976</v>
      </c>
      <c r="U8" s="9" t="n">
        <f aca="false">SUMIF($B$35:$B$454,"ppa",U$35:U$454)</f>
        <v>2301.230976</v>
      </c>
      <c r="V8" s="9" t="n">
        <f aca="false">SUMIF($B$35:$B$454,"ppa",V$35:V$454)</f>
        <v>2301.230976</v>
      </c>
      <c r="W8" s="9" t="n">
        <f aca="false">SUMIF($B$35:$B$454,"ppa",W$35:W$454)</f>
        <v>2301.230976</v>
      </c>
      <c r="X8" s="9" t="n">
        <f aca="false">SUMIF($B$35:$B$454,"ppa",X$35:X$454)</f>
        <v>2301.230976</v>
      </c>
      <c r="Y8" s="9" t="n">
        <f aca="false">SUMIF($B$35:$B$454,"ppa",Y$35:Y$454)</f>
        <v>2301.230976</v>
      </c>
      <c r="Z8" s="9" t="n">
        <f aca="false">SUMIF($B$35:$B$454,"ppa",Z$35:Z$454)</f>
        <v>2301.230976</v>
      </c>
      <c r="AA8" s="9" t="n">
        <f aca="false">SUMIF($B$35:$B$454,"ppa",AA$35:AA$454)</f>
        <v>2301.230976</v>
      </c>
      <c r="AB8" s="9" t="n">
        <f aca="false">SUMIF($B$35:$B$454,"ppa",AB$35:AB$454)</f>
        <v>0</v>
      </c>
      <c r="AC8" s="9" t="n">
        <f aca="false">SUMIF($B$35:$B$454,"ppa",AC$35:AC$454)</f>
        <v>0</v>
      </c>
      <c r="AD8" s="9" t="n">
        <f aca="false">SUMIF($B$35:$B$454,"ppa",AD$35:AD$454)</f>
        <v>0</v>
      </c>
      <c r="AE8" s="9" t="n">
        <f aca="false">SUMIF($B$35:$B$454,"ppa",AE$35:AE$454)</f>
        <v>0</v>
      </c>
      <c r="AF8" s="9" t="n">
        <f aca="false">SUMIF($B$35:$B$454,"ppa",AF$35:AF$454)</f>
        <v>0</v>
      </c>
      <c r="AG8" s="9" t="n">
        <f aca="false">SUMIF($B$35:$B$454,"ppa",AG$35:AG$454)</f>
        <v>0</v>
      </c>
      <c r="AH8" s="9" t="n">
        <f aca="false">SUMIF($B$35:$B$454,"ppa",AH$35:AH$454)</f>
        <v>0</v>
      </c>
      <c r="AI8" s="9" t="n">
        <f aca="false">SUMIF($B$35:$B$454,"ppa",AI$35:AI$454)</f>
        <v>0</v>
      </c>
      <c r="AJ8" s="9" t="n">
        <f aca="false">SUMIF($B$35:$B$454,"ppa",AJ$35:AJ$454)</f>
        <v>0</v>
      </c>
      <c r="AK8" s="9" t="n">
        <f aca="false">SUMIF($B$35:$B$454,"ppa",AK$35:AK$454)</f>
        <v>0</v>
      </c>
      <c r="AL8" s="9" t="n">
        <f aca="false">SUMIF($B$35:$B$454,"ppa",AL$35:AL$454)</f>
        <v>0</v>
      </c>
      <c r="AM8" s="9" t="n">
        <f aca="false">SUMIF($B$35:$B$454,"ppa",AM$35:AM$454)</f>
        <v>0</v>
      </c>
      <c r="AN8" s="9" t="n">
        <f aca="false">SUMIF($B$35:$B$454,"ppa",AN$35:AN$454)</f>
        <v>0</v>
      </c>
      <c r="AO8" s="9" t="n">
        <f aca="false">SUMIF($B$35:$B$454,"ppa",AO$35:AO$454)</f>
        <v>0</v>
      </c>
      <c r="AP8" s="9" t="n">
        <f aca="false">SUMIF($B$35:$B$454,"ppa",AP$35:AP$454)</f>
        <v>0</v>
      </c>
      <c r="AQ8" s="9" t="n">
        <f aca="false">SUMIF($B$35:$B$454,"ppa",AQ$35:AQ$454)</f>
        <v>0</v>
      </c>
      <c r="AR8" s="9" t="n">
        <f aca="false">SUMIF($B$35:$B$454,"ppa",AR$35:AR$454)</f>
        <v>0</v>
      </c>
      <c r="AS8" s="9" t="n">
        <f aca="false">SUMIF($B$35:$B$454,"ppa",AS$35:AS$454)</f>
        <v>0</v>
      </c>
    </row>
    <row r="9" customFormat="false" ht="15" hidden="false" customHeight="false" outlineLevel="0" collapsed="false">
      <c r="A9" s="6" t="s">
        <v>377</v>
      </c>
      <c r="B9" s="6" t="s">
        <v>378</v>
      </c>
      <c r="C9" s="9" t="n">
        <f aca="false">SUM(G9:AS9)</f>
        <v>0</v>
      </c>
      <c r="G9" s="9" t="n">
        <f aca="false">SUMIF($B$35:$B$454,"zec",G$35:G$454)</f>
        <v>0</v>
      </c>
      <c r="H9" s="9" t="n">
        <f aca="false">SUMIF($B$35:$B$454,"zec",H$35:H$454)</f>
        <v>0</v>
      </c>
      <c r="I9" s="9" t="n">
        <f aca="false">SUMIF($B$35:$B$454,"zec",I$35:I$454)</f>
        <v>0</v>
      </c>
      <c r="J9" s="9" t="n">
        <f aca="false">SUMIF($B$35:$B$454,"zec",J$35:J$454)</f>
        <v>0</v>
      </c>
      <c r="K9" s="9" t="n">
        <f aca="false">SUMIF($B$35:$B$454,"zec",K$35:K$454)</f>
        <v>0</v>
      </c>
      <c r="L9" s="9" t="n">
        <f aca="false">SUMIF($B$35:$B$454,"zec",L$35:L$454)</f>
        <v>0</v>
      </c>
      <c r="M9" s="9" t="n">
        <f aca="false">SUMIF($B$35:$B$454,"zec",M$35:M$454)</f>
        <v>0</v>
      </c>
      <c r="N9" s="9" t="n">
        <f aca="false">SUMIF($B$35:$B$454,"zec",N$35:N$454)</f>
        <v>0</v>
      </c>
      <c r="O9" s="9" t="n">
        <f aca="false">SUMIF($B$35:$B$454,"zec",O$35:O$454)</f>
        <v>0</v>
      </c>
      <c r="P9" s="9" t="n">
        <f aca="false">SUMIF($B$35:$B$454,"zec",P$35:P$454)</f>
        <v>0</v>
      </c>
      <c r="Q9" s="9" t="n">
        <f aca="false">SUMIF($B$35:$B$454,"zec",Q$35:Q$454)</f>
        <v>0</v>
      </c>
      <c r="R9" s="9" t="n">
        <f aca="false">SUMIF($B$35:$B$454,"zec",R$35:R$454)</f>
        <v>0</v>
      </c>
      <c r="S9" s="9" t="n">
        <f aca="false">SUMIF($B$35:$B$454,"zec",S$35:S$454)</f>
        <v>0</v>
      </c>
      <c r="T9" s="9" t="n">
        <f aca="false">SUMIF($B$35:$B$454,"zec",T$35:T$454)</f>
        <v>0</v>
      </c>
      <c r="U9" s="9" t="n">
        <f aca="false">SUMIF($B$35:$B$454,"zec",U$35:U$454)</f>
        <v>0</v>
      </c>
      <c r="V9" s="9" t="n">
        <f aca="false">SUMIF($B$35:$B$454,"zec",V$35:V$454)</f>
        <v>0</v>
      </c>
      <c r="W9" s="9" t="n">
        <f aca="false">SUMIF($B$35:$B$454,"zec",W$35:W$454)</f>
        <v>0</v>
      </c>
      <c r="X9" s="9" t="n">
        <f aca="false">SUMIF($B$35:$B$454,"zec",X$35:X$454)</f>
        <v>0</v>
      </c>
      <c r="Y9" s="9" t="n">
        <f aca="false">SUMIF($B$35:$B$454,"zec",Y$35:Y$454)</f>
        <v>0</v>
      </c>
      <c r="Z9" s="9" t="n">
        <f aca="false">SUMIF($B$35:$B$454,"zec",Z$35:Z$454)</f>
        <v>0</v>
      </c>
      <c r="AA9" s="9" t="n">
        <f aca="false">SUMIF($B$35:$B$454,"zec",AA$35:AA$454)</f>
        <v>0</v>
      </c>
      <c r="AB9" s="9" t="n">
        <f aca="false">SUMIF($B$35:$B$454,"zec",AB$35:AB$454)</f>
        <v>0</v>
      </c>
      <c r="AC9" s="9" t="n">
        <f aca="false">SUMIF($B$35:$B$454,"zec",AC$35:AC$454)</f>
        <v>0</v>
      </c>
      <c r="AD9" s="9" t="n">
        <f aca="false">SUMIF($B$35:$B$454,"zec",AD$35:AD$454)</f>
        <v>0</v>
      </c>
      <c r="AE9" s="9" t="n">
        <f aca="false">SUMIF($B$35:$B$454,"zec",AE$35:AE$454)</f>
        <v>0</v>
      </c>
      <c r="AF9" s="9" t="n">
        <f aca="false">SUMIF($B$35:$B$454,"zec",AF$35:AF$454)</f>
        <v>0</v>
      </c>
      <c r="AG9" s="9" t="n">
        <f aca="false">SUMIF($B$35:$B$454,"zec",AG$35:AG$454)</f>
        <v>0</v>
      </c>
      <c r="AH9" s="9" t="n">
        <f aca="false">SUMIF($B$35:$B$454,"zec",AH$35:AH$454)</f>
        <v>0</v>
      </c>
      <c r="AI9" s="9" t="n">
        <f aca="false">SUMIF($B$35:$B$454,"zec",AI$35:AI$454)</f>
        <v>0</v>
      </c>
      <c r="AJ9" s="9" t="n">
        <f aca="false">SUMIF($B$35:$B$454,"zec",AJ$35:AJ$454)</f>
        <v>0</v>
      </c>
      <c r="AK9" s="9" t="n">
        <f aca="false">SUMIF($B$35:$B$454,"zec",AK$35:AK$454)</f>
        <v>0</v>
      </c>
      <c r="AL9" s="9" t="n">
        <f aca="false">SUMIF($B$35:$B$454,"zec",AL$35:AL$454)</f>
        <v>0</v>
      </c>
      <c r="AM9" s="9" t="n">
        <f aca="false">SUMIF($B$35:$B$454,"zec",AM$35:AM$454)</f>
        <v>0</v>
      </c>
      <c r="AN9" s="9" t="n">
        <f aca="false">SUMIF($B$35:$B$454,"zec",AN$35:AN$454)</f>
        <v>0</v>
      </c>
      <c r="AO9" s="9" t="n">
        <f aca="false">SUMIF($B$35:$B$454,"zec",AO$35:AO$454)</f>
        <v>0</v>
      </c>
      <c r="AP9" s="9" t="n">
        <f aca="false">SUMIF($B$35:$B$454,"zec",AP$35:AP$454)</f>
        <v>0</v>
      </c>
      <c r="AQ9" s="9" t="n">
        <f aca="false">SUMIF($B$35:$B$454,"zec",AQ$35:AQ$454)</f>
        <v>0</v>
      </c>
      <c r="AR9" s="9" t="n">
        <f aca="false">SUMIF($B$35:$B$454,"zec",AR$35:AR$454)</f>
        <v>0</v>
      </c>
      <c r="AS9" s="9" t="n">
        <f aca="false">SUMIF($B$35:$B$454,"zec",AS$35:AS$454)</f>
        <v>0</v>
      </c>
    </row>
    <row r="10" customFormat="false" ht="15" hidden="false" customHeight="false" outlineLevel="0" collapsed="false">
      <c r="A10" s="49" t="s">
        <v>379</v>
      </c>
      <c r="B10" s="50" t="s">
        <v>380</v>
      </c>
      <c r="C10" s="51" t="n">
        <f aca="false">SUM(G10:AS10)</f>
        <v>361967.870982476</v>
      </c>
      <c r="D10" s="52"/>
      <c r="E10" s="52"/>
      <c r="F10" s="52"/>
      <c r="G10" s="51" t="n">
        <f aca="false">SUMIF($B$35:$B$454,"revenue",G$35:G$454)</f>
        <v>16997.8868117675</v>
      </c>
      <c r="H10" s="51" t="n">
        <f aca="false">SUMIF($B$35:$B$454,"revenue",H$35:H$454)</f>
        <v>15567.4311890076</v>
      </c>
      <c r="I10" s="51" t="n">
        <f aca="false">SUMIF($B$35:$B$454,"revenue",I$35:I$454)</f>
        <v>14935.1588784391</v>
      </c>
      <c r="J10" s="51" t="n">
        <f aca="false">SUMIF($B$35:$B$454,"revenue",J$35:J$454)</f>
        <v>14833.1775788404</v>
      </c>
      <c r="K10" s="51" t="n">
        <f aca="false">SUMIF($B$35:$B$454,"revenue",K$35:K$454)</f>
        <v>15144.1721603528</v>
      </c>
      <c r="L10" s="51" t="n">
        <f aca="false">SUMIF($B$35:$B$454,"revenue",L$35:L$454)</f>
        <v>15456.1775580685</v>
      </c>
      <c r="M10" s="51" t="n">
        <f aca="false">SUMIF($B$35:$B$454,"revenue",M$35:M$454)</f>
        <v>15719.2764897099</v>
      </c>
      <c r="N10" s="51" t="n">
        <f aca="false">SUMIF($B$35:$B$454,"revenue",N$35:N$454)</f>
        <v>15987.6373999841</v>
      </c>
      <c r="O10" s="51" t="n">
        <f aca="false">SUMIF($B$35:$B$454,"revenue",O$35:O$454)</f>
        <v>16261.3655284638</v>
      </c>
      <c r="P10" s="51" t="n">
        <f aca="false">SUMIF($B$35:$B$454,"revenue",P$35:P$454)</f>
        <v>15313.9974932092</v>
      </c>
      <c r="Q10" s="51" t="n">
        <f aca="false">SUMIF($B$35:$B$454,"revenue",Q$35:Q$454)</f>
        <v>15574.2528235534</v>
      </c>
      <c r="R10" s="51" t="n">
        <f aca="false">SUMIF($B$35:$B$454,"revenue",R$35:R$454)</f>
        <v>15839.7132605044</v>
      </c>
      <c r="S10" s="51" t="n">
        <f aca="false">SUMIF($B$35:$B$454,"revenue",S$35:S$454)</f>
        <v>15656.6458495795</v>
      </c>
      <c r="T10" s="51" t="n">
        <f aca="false">SUMIF($B$35:$B$454,"revenue",T$35:T$454)</f>
        <v>15923.7541470511</v>
      </c>
      <c r="U10" s="51" t="n">
        <f aca="false">SUMIF($B$35:$B$454,"revenue",U$35:U$454)</f>
        <v>15570.2793840541</v>
      </c>
      <c r="V10" s="51" t="n">
        <f aca="false">SUMIF($B$35:$B$454,"revenue",V$35:V$454)</f>
        <v>15835.6603522152</v>
      </c>
      <c r="W10" s="51" t="n">
        <f aca="false">SUMIF($B$35:$B$454,"revenue",W$35:W$454)</f>
        <v>16106.3489397395</v>
      </c>
      <c r="X10" s="51" t="n">
        <f aca="false">SUMIF($B$35:$B$454,"revenue",X$35:X$454)</f>
        <v>16382.4512990143</v>
      </c>
      <c r="Y10" s="51" t="n">
        <f aca="false">SUMIF($B$35:$B$454,"revenue",Y$35:Y$454)</f>
        <v>16664.0757054746</v>
      </c>
      <c r="Z10" s="51" t="n">
        <f aca="false">SUMIF($B$35:$B$454,"revenue",Z$35:Z$454)</f>
        <v>7226.67753778627</v>
      </c>
      <c r="AA10" s="51" t="n">
        <f aca="false">SUMIF($B$35:$B$454,"revenue",AA$35:AA$454)</f>
        <v>7325.18646902199</v>
      </c>
      <c r="AB10" s="51" t="n">
        <f aca="false">SUMIF($B$35:$B$454,"revenue",AB$35:AB$454)</f>
        <v>7708.74736555936</v>
      </c>
      <c r="AC10" s="51" t="n">
        <f aca="false">SUMIF($B$35:$B$454,"revenue",AC$35:AC$454)</f>
        <v>7862.92231287055</v>
      </c>
      <c r="AD10" s="51" t="n">
        <f aca="false">SUMIF($B$35:$B$454,"revenue",AD$35:AD$454)</f>
        <v>8020.18075912796</v>
      </c>
      <c r="AE10" s="51" t="n">
        <f aca="false">SUMIF($B$35:$B$454,"revenue",AE$35:AE$454)</f>
        <v>5253.95212498914</v>
      </c>
      <c r="AF10" s="51" t="n">
        <f aca="false">SUMIF($B$35:$B$454,"revenue",AF$35:AF$454)</f>
        <v>5359.03116748892</v>
      </c>
      <c r="AG10" s="51" t="n">
        <f aca="false">SUMIF($B$35:$B$454,"revenue",AG$35:AG$454)</f>
        <v>5466.2117908387</v>
      </c>
      <c r="AH10" s="51" t="n">
        <f aca="false">SUMIF($B$35:$B$454,"revenue",AH$35:AH$454)</f>
        <v>3948.26663651703</v>
      </c>
      <c r="AI10" s="51" t="n">
        <f aca="false">SUMIF($B$35:$B$454,"revenue",AI$35:AI$454)</f>
        <v>4027.23196924737</v>
      </c>
      <c r="AJ10" s="51" t="n">
        <f aca="false">SUMIF($B$35:$B$454,"revenue",AJ$35:AJ$454)</f>
        <v>0</v>
      </c>
      <c r="AK10" s="51" t="n">
        <f aca="false">SUMIF($B$35:$B$454,"revenue",AK$35:AK$454)</f>
        <v>0</v>
      </c>
      <c r="AL10" s="51" t="n">
        <f aca="false">SUMIF($B$35:$B$454,"revenue",AL$35:AL$454)</f>
        <v>0</v>
      </c>
      <c r="AM10" s="51" t="n">
        <f aca="false">SUMIF($B$35:$B$454,"revenue",AM$35:AM$454)</f>
        <v>0</v>
      </c>
      <c r="AN10" s="51" t="n">
        <f aca="false">SUMIF($B$35:$B$454,"revenue",AN$35:AN$454)</f>
        <v>0</v>
      </c>
      <c r="AO10" s="51" t="n">
        <f aca="false">SUMIF($B$35:$B$454,"revenue",AO$35:AO$454)</f>
        <v>0</v>
      </c>
      <c r="AP10" s="51" t="n">
        <f aca="false">SUMIF($B$35:$B$454,"revenue",AP$35:AP$454)</f>
        <v>0</v>
      </c>
      <c r="AQ10" s="51" t="n">
        <f aca="false">SUMIF($B$35:$B$454,"revenue",AQ$35:AQ$454)</f>
        <v>0</v>
      </c>
      <c r="AR10" s="51" t="n">
        <f aca="false">SUMIF($B$35:$B$454,"revenue",AR$35:AR$454)</f>
        <v>0</v>
      </c>
      <c r="AS10" s="51" t="n">
        <f aca="false">SUMIF($B$35:$B$454,"revenue",AS$35:AS$454)</f>
        <v>0</v>
      </c>
    </row>
    <row r="11" customFormat="false" ht="15" hidden="false" customHeight="false" outlineLevel="0" collapsed="false">
      <c r="A11" s="6" t="s">
        <v>381</v>
      </c>
      <c r="B11" s="6" t="s">
        <v>382</v>
      </c>
      <c r="C11" s="9" t="n">
        <f aca="false">SUM(G11:AS11)</f>
        <v>123293.457488499</v>
      </c>
      <c r="G11" s="9" t="n">
        <f aca="false">SUMIF($B$35:$B$454,"fuelvar",G$35:G$454)</f>
        <v>5750.479299774</v>
      </c>
      <c r="H11" s="9" t="n">
        <f aca="false">SUMIF($B$35:$B$454,"fuelvar",H$35:H$454)</f>
        <v>5317.47266460216</v>
      </c>
      <c r="I11" s="9" t="n">
        <f aca="false">SUMIF($B$35:$B$454,"fuelvar",I$35:I$454)</f>
        <v>5521.36129323681</v>
      </c>
      <c r="J11" s="9" t="n">
        <f aca="false">SUMIF($B$35:$B$454,"fuelvar",J$35:J$454)</f>
        <v>5633.35254894576</v>
      </c>
      <c r="K11" s="9" t="n">
        <f aca="false">SUMIF($B$35:$B$454,"fuelvar",K$35:K$454)</f>
        <v>5747.622730515</v>
      </c>
      <c r="L11" s="9" t="n">
        <f aca="false">SUMIF($B$35:$B$454,"fuelvar",L$35:L$454)</f>
        <v>5864.21839398038</v>
      </c>
      <c r="M11" s="9" t="n">
        <f aca="false">SUMIF($B$35:$B$454,"fuelvar",M$35:M$454)</f>
        <v>5983.18705093644</v>
      </c>
      <c r="N11" s="9" t="n">
        <f aca="false">SUMIF($B$35:$B$454,"fuelvar",N$35:N$454)</f>
        <v>6104.57718825854</v>
      </c>
      <c r="O11" s="9" t="n">
        <f aca="false">SUMIF($B$35:$B$454,"fuelvar",O$35:O$454)</f>
        <v>6228.43828823466</v>
      </c>
      <c r="P11" s="9" t="n">
        <f aca="false">SUMIF($B$35:$B$454,"fuelvar",P$35:P$454)</f>
        <v>5671.99112900127</v>
      </c>
      <c r="Q11" s="9" t="n">
        <f aca="false">SUMIF($B$35:$B$454,"fuelvar",Q$35:Q$454)</f>
        <v>5787.29009157543</v>
      </c>
      <c r="R11" s="9" t="n">
        <f aca="false">SUMIF($B$35:$B$454,"fuelvar",R$35:R$454)</f>
        <v>5904.94151190092</v>
      </c>
      <c r="S11" s="9" t="n">
        <f aca="false">SUMIF($B$35:$B$454,"fuelvar",S$35:S$454)</f>
        <v>5939.39119085627</v>
      </c>
      <c r="T11" s="9" t="n">
        <f aca="false">SUMIF($B$35:$B$454,"fuelvar",T$35:T$454)</f>
        <v>6060.18110510364</v>
      </c>
      <c r="U11" s="9" t="n">
        <f aca="false">SUMIF($B$35:$B$454,"fuelvar",U$35:U$454)</f>
        <v>5898.66175379199</v>
      </c>
      <c r="V11" s="9" t="n">
        <f aca="false">SUMIF($B$35:$B$454,"fuelvar",V$35:V$454)</f>
        <v>6018.7384351261</v>
      </c>
      <c r="W11" s="9" t="n">
        <f aca="false">SUMIF($B$35:$B$454,"fuelvar",W$35:W$454)</f>
        <v>6141.26923624335</v>
      </c>
      <c r="X11" s="9" t="n">
        <f aca="false">SUMIF($B$35:$B$454,"fuelvar",X$35:X$454)</f>
        <v>6266.30455419332</v>
      </c>
      <c r="Y11" s="9" t="n">
        <f aca="false">SUMIF($B$35:$B$454,"fuelvar",Y$35:Y$454)</f>
        <v>6393.89582683291</v>
      </c>
      <c r="Z11" s="9" t="n">
        <f aca="false">SUMIF($B$35:$B$454,"fuelvar",Z$35:Z$454)</f>
        <v>1660.56962915637</v>
      </c>
      <c r="AA11" s="9" t="n">
        <f aca="false">SUMIF($B$35:$B$454,"fuelvar",AA$35:AA$454)</f>
        <v>1696.16087811148</v>
      </c>
      <c r="AB11" s="9" t="n">
        <f aca="false">SUMIF($B$35:$B$454,"fuelvar",AB$35:AB$454)</f>
        <v>1732.523448455</v>
      </c>
      <c r="AC11" s="9" t="n">
        <f aca="false">SUMIF($B$35:$B$454,"fuelvar",AC$35:AC$454)</f>
        <v>1769.67425402492</v>
      </c>
      <c r="AD11" s="9" t="n">
        <f aca="false">SUMIF($B$35:$B$454,"fuelvar",AD$35:AD$454)</f>
        <v>1807.63058412125</v>
      </c>
      <c r="AE11" s="9" t="n">
        <f aca="false">SUMIF($B$35:$B$454,"fuelvar",AE$35:AE$454)</f>
        <v>538.517808952827</v>
      </c>
      <c r="AF11" s="9" t="n">
        <f aca="false">SUMIF($B$35:$B$454,"fuelvar",AF$35:AF$454)</f>
        <v>551.980754176647</v>
      </c>
      <c r="AG11" s="9" t="n">
        <f aca="false">SUMIF($B$35:$B$454,"fuelvar",AG$35:AG$454)</f>
        <v>565.780273031063</v>
      </c>
      <c r="AH11" s="9" t="n">
        <f aca="false">SUMIF($B$35:$B$454,"fuelvar",AH$35:AH$454)</f>
        <v>364.071884128488</v>
      </c>
      <c r="AI11" s="9" t="n">
        <f aca="false">SUMIF($B$35:$B$454,"fuelvar",AI$35:AI$454)</f>
        <v>373.1736812317</v>
      </c>
      <c r="AJ11" s="9" t="n">
        <f aca="false">SUMIF($B$35:$B$454,"fuelvar",AJ$35:AJ$454)</f>
        <v>0</v>
      </c>
      <c r="AK11" s="9" t="n">
        <f aca="false">SUMIF($B$35:$B$454,"fuelvar",AK$35:AK$454)</f>
        <v>0</v>
      </c>
      <c r="AL11" s="9" t="n">
        <f aca="false">SUMIF($B$35:$B$454,"fuelvar",AL$35:AL$454)</f>
        <v>0</v>
      </c>
      <c r="AM11" s="9" t="n">
        <f aca="false">SUMIF($B$35:$B$454,"fuelvar",AM$35:AM$454)</f>
        <v>0</v>
      </c>
      <c r="AN11" s="9" t="n">
        <f aca="false">SUMIF($B$35:$B$454,"fuelvar",AN$35:AN$454)</f>
        <v>0</v>
      </c>
      <c r="AO11" s="9" t="n">
        <f aca="false">SUMIF($B$35:$B$454,"fuelvar",AO$35:AO$454)</f>
        <v>0</v>
      </c>
      <c r="AP11" s="9" t="n">
        <f aca="false">SUMIF($B$35:$B$454,"fuelvar",AP$35:AP$454)</f>
        <v>0</v>
      </c>
      <c r="AQ11" s="9" t="n">
        <f aca="false">SUMIF($B$35:$B$454,"fuelvar",AQ$35:AQ$454)</f>
        <v>0</v>
      </c>
      <c r="AR11" s="9" t="n">
        <f aca="false">SUMIF($B$35:$B$454,"fuelvar",AR$35:AR$454)</f>
        <v>0</v>
      </c>
      <c r="AS11" s="9" t="n">
        <f aca="false">SUMIF($B$35:$B$454,"fuelvar",AS$35:AS$454)</f>
        <v>0</v>
      </c>
    </row>
    <row r="12" customFormat="false" ht="15" hidden="false" customHeight="false" outlineLevel="0" collapsed="false">
      <c r="A12" s="49" t="s">
        <v>383</v>
      </c>
      <c r="B12" s="50" t="s">
        <v>384</v>
      </c>
      <c r="C12" s="51" t="n">
        <f aca="false">SUM(G12:AS12)</f>
        <v>238674.413493977</v>
      </c>
      <c r="D12" s="52"/>
      <c r="E12" s="52"/>
      <c r="F12" s="52"/>
      <c r="G12" s="51" t="n">
        <f aca="false">SUMIF($B$35:$B$454,"gm",G$35:G$454)</f>
        <v>11247.4075119935</v>
      </c>
      <c r="H12" s="51" t="n">
        <f aca="false">SUMIF($B$35:$B$454,"gm",H$35:H$454)</f>
        <v>10249.9585244054</v>
      </c>
      <c r="I12" s="51" t="n">
        <f aca="false">SUMIF($B$35:$B$454,"gm",I$35:I$454)</f>
        <v>9413.79758520229</v>
      </c>
      <c r="J12" s="51" t="n">
        <f aca="false">SUMIF($B$35:$B$454,"gm",J$35:J$454)</f>
        <v>9199.82502989468</v>
      </c>
      <c r="K12" s="51" t="n">
        <f aca="false">SUMIF($B$35:$B$454,"gm",K$35:K$454)</f>
        <v>9396.5494298378</v>
      </c>
      <c r="L12" s="51" t="n">
        <f aca="false">SUMIF($B$35:$B$454,"gm",L$35:L$454)</f>
        <v>9591.95916408814</v>
      </c>
      <c r="M12" s="51" t="n">
        <f aca="false">SUMIF($B$35:$B$454,"gm",M$35:M$454)</f>
        <v>9736.08943877344</v>
      </c>
      <c r="N12" s="51" t="n">
        <f aca="false">SUMIF($B$35:$B$454,"gm",N$35:N$454)</f>
        <v>9883.06021172554</v>
      </c>
      <c r="O12" s="51" t="n">
        <f aca="false">SUMIF($B$35:$B$454,"gm",O$35:O$454)</f>
        <v>10032.9272402291</v>
      </c>
      <c r="P12" s="51" t="n">
        <f aca="false">SUMIF($B$35:$B$454,"gm",P$35:P$454)</f>
        <v>9642.00636420791</v>
      </c>
      <c r="Q12" s="51" t="n">
        <f aca="false">SUMIF($B$35:$B$454,"gm",Q$35:Q$454)</f>
        <v>9786.96273197794</v>
      </c>
      <c r="R12" s="51" t="n">
        <f aca="false">SUMIF($B$35:$B$454,"gm",R$35:R$454)</f>
        <v>9934.77174860351</v>
      </c>
      <c r="S12" s="51" t="n">
        <f aca="false">SUMIF($B$35:$B$454,"gm",S$35:S$454)</f>
        <v>9717.25465872325</v>
      </c>
      <c r="T12" s="51" t="n">
        <f aca="false">SUMIF($B$35:$B$454,"gm",T$35:T$454)</f>
        <v>9863.57304194747</v>
      </c>
      <c r="U12" s="51" t="n">
        <f aca="false">SUMIF($B$35:$B$454,"gm",U$35:U$454)</f>
        <v>9671.61763026211</v>
      </c>
      <c r="V12" s="51" t="n">
        <f aca="false">SUMIF($B$35:$B$454,"gm",V$35:V$454)</f>
        <v>9816.92191708908</v>
      </c>
      <c r="W12" s="51" t="n">
        <f aca="false">SUMIF($B$35:$B$454,"gm",W$35:W$454)</f>
        <v>9965.07970349613</v>
      </c>
      <c r="X12" s="51" t="n">
        <f aca="false">SUMIF($B$35:$B$454,"gm",X$35:X$454)</f>
        <v>10116.146744821</v>
      </c>
      <c r="Y12" s="51" t="n">
        <f aca="false">SUMIF($B$35:$B$454,"gm",Y$35:Y$454)</f>
        <v>10270.1798786416</v>
      </c>
      <c r="Z12" s="51" t="n">
        <f aca="false">SUMIF($B$35:$B$454,"gm",Z$35:Z$454)</f>
        <v>5566.10790862989</v>
      </c>
      <c r="AA12" s="51" t="n">
        <f aca="false">SUMIF($B$35:$B$454,"gm",AA$35:AA$454)</f>
        <v>5629.0255909105</v>
      </c>
      <c r="AB12" s="51" t="n">
        <f aca="false">SUMIF($B$35:$B$454,"gm",AB$35:AB$454)</f>
        <v>5976.22391710436</v>
      </c>
      <c r="AC12" s="51" t="n">
        <f aca="false">SUMIF($B$35:$B$454,"gm",AC$35:AC$454)</f>
        <v>6093.24805884564</v>
      </c>
      <c r="AD12" s="51" t="n">
        <f aca="false">SUMIF($B$35:$B$454,"gm",AD$35:AD$454)</f>
        <v>6212.55017500671</v>
      </c>
      <c r="AE12" s="51" t="n">
        <f aca="false">SUMIF($B$35:$B$454,"gm",AE$35:AE$454)</f>
        <v>4715.43431603631</v>
      </c>
      <c r="AF12" s="51" t="n">
        <f aca="false">SUMIF($B$35:$B$454,"gm",AF$35:AF$454)</f>
        <v>4807.05041331227</v>
      </c>
      <c r="AG12" s="51" t="n">
        <f aca="false">SUMIF($B$35:$B$454,"gm",AG$35:AG$454)</f>
        <v>4900.43151780763</v>
      </c>
      <c r="AH12" s="51" t="n">
        <f aca="false">SUMIF($B$35:$B$454,"gm",AH$35:AH$454)</f>
        <v>3584.19475238854</v>
      </c>
      <c r="AI12" s="51" t="n">
        <f aca="false">SUMIF($B$35:$B$454,"gm",AI$35:AI$454)</f>
        <v>3654.05828801567</v>
      </c>
      <c r="AJ12" s="51" t="n">
        <f aca="false">SUMIF($B$35:$B$454,"gm",AJ$35:AJ$454)</f>
        <v>0</v>
      </c>
      <c r="AK12" s="51" t="n">
        <f aca="false">SUMIF($B$35:$B$454,"gm",AK$35:AK$454)</f>
        <v>0</v>
      </c>
      <c r="AL12" s="51" t="n">
        <f aca="false">SUMIF($B$35:$B$454,"gm",AL$35:AL$454)</f>
        <v>0</v>
      </c>
      <c r="AM12" s="51" t="n">
        <f aca="false">SUMIF($B$35:$B$454,"gm",AM$35:AM$454)</f>
        <v>0</v>
      </c>
      <c r="AN12" s="51" t="n">
        <f aca="false">SUMIF($B$35:$B$454,"gm",AN$35:AN$454)</f>
        <v>0</v>
      </c>
      <c r="AO12" s="51" t="n">
        <f aca="false">SUMIF($B$35:$B$454,"gm",AO$35:AO$454)</f>
        <v>0</v>
      </c>
      <c r="AP12" s="51" t="n">
        <f aca="false">SUMIF($B$35:$B$454,"gm",AP$35:AP$454)</f>
        <v>0</v>
      </c>
      <c r="AQ12" s="51" t="n">
        <f aca="false">SUMIF($B$35:$B$454,"gm",AQ$35:AQ$454)</f>
        <v>0</v>
      </c>
      <c r="AR12" s="51" t="n">
        <f aca="false">SUMIF($B$35:$B$454,"gm",AR$35:AR$454)</f>
        <v>0</v>
      </c>
      <c r="AS12" s="51" t="n">
        <f aca="false">SUMIF($B$35:$B$454,"gm",AS$35:AS$454)</f>
        <v>0</v>
      </c>
    </row>
    <row r="13" customFormat="false" ht="15" hidden="false" customHeight="false" outlineLevel="0" collapsed="false">
      <c r="A13" s="6" t="s">
        <v>385</v>
      </c>
      <c r="B13" s="6" t="s">
        <v>386</v>
      </c>
      <c r="G13" s="20" t="n">
        <f aca="false">IF(G10=0,0,G12/G10)</f>
        <v>0.661694458643354</v>
      </c>
      <c r="H13" s="20" t="n">
        <f aca="false">IF(H10=0,0,H12/H10)</f>
        <v>0.658423242727618</v>
      </c>
      <c r="I13" s="20" t="n">
        <f aca="false">IF(I10=0,0,I12/I10)</f>
        <v>0.630311177927432</v>
      </c>
      <c r="J13" s="20" t="n">
        <f aca="false">IF(J10=0,0,J12/J10)</f>
        <v>0.620219435855622</v>
      </c>
      <c r="K13" s="20" t="n">
        <f aca="false">IF(K10=0,0,K12/K10)</f>
        <v>0.620472966785059</v>
      </c>
      <c r="L13" s="20" t="n">
        <f aca="false">IF(L10=0,0,L12/L10)</f>
        <v>0.620590642676778</v>
      </c>
      <c r="M13" s="20" t="n">
        <f aca="false">IF(M10=0,0,M12/M10)</f>
        <v>0.619372618399254</v>
      </c>
      <c r="N13" s="20" t="n">
        <f aca="false">IF(N10=0,0,N12/N10)</f>
        <v>0.618168899160509</v>
      </c>
      <c r="O13" s="20" t="n">
        <f aca="false">IF(O10=0,0,O12/O10)</f>
        <v>0.616979381139151</v>
      </c>
      <c r="P13" s="20" t="n">
        <f aca="false">IF(P10=0,0,P12/P10)</f>
        <v>0.629620474241526</v>
      </c>
      <c r="Q13" s="20" t="n">
        <f aca="false">IF(Q10=0,0,Q12/Q10)</f>
        <v>0.628406565814628</v>
      </c>
      <c r="R13" s="20" t="n">
        <f aca="false">IF(R10=0,0,R12/R10)</f>
        <v>0.627206539993081</v>
      </c>
      <c r="S13" s="20" t="n">
        <f aca="false">IF(S10=0,0,S12/S10)</f>
        <v>0.620647279888765</v>
      </c>
      <c r="T13" s="20" t="n">
        <f aca="false">IF(T10=0,0,T12/T10)</f>
        <v>0.619425102325766</v>
      </c>
      <c r="U13" s="20" t="n">
        <f aca="false">IF(U10=0,0,U12/U10)</f>
        <v>0.621158900987162</v>
      </c>
      <c r="V13" s="20" t="n">
        <f aca="false">IF(V10=0,0,V12/V10)</f>
        <v>0.619925010939998</v>
      </c>
      <c r="W13" s="20" t="n">
        <f aca="false">IF(W10=0,0,W12/W10)</f>
        <v>0.618705067224088</v>
      </c>
      <c r="X13" s="20" t="n">
        <f aca="false">IF(X10=0,0,X12/X10)</f>
        <v>0.617498966435483</v>
      </c>
      <c r="Y13" s="20" t="n">
        <f aca="false">IF(Y10=0,0,Y12/Y10)</f>
        <v>0.61630660230784</v>
      </c>
      <c r="Z13" s="20" t="n">
        <f aca="false">IF(Z10=0,0,Z12/Z10)</f>
        <v>0.770216725393693</v>
      </c>
      <c r="AA13" s="20" t="n">
        <f aca="false">IF(AA10=0,0,AA12/AA10)</f>
        <v>0.768448095446512</v>
      </c>
      <c r="AB13" s="20" t="n">
        <f aca="false">IF(AB10=0,0,AB12/AB10)</f>
        <v>0.77525227299633</v>
      </c>
      <c r="AC13" s="20" t="n">
        <f aca="false">IF(AC10=0,0,AC12/AC10)</f>
        <v>0.774934282241579</v>
      </c>
      <c r="AD13" s="20" t="n">
        <f aca="false">IF(AD10=0,0,AD12/AD10)</f>
        <v>0.774614732708619</v>
      </c>
      <c r="AE13" s="20" t="n">
        <f aca="false">IF(AE10=0,0,AE12/AE10)</f>
        <v>0.897502338022553</v>
      </c>
      <c r="AF13" s="20" t="n">
        <f aca="false">IF(AF10=0,0,AF12/AF10)</f>
        <v>0.896999898503056</v>
      </c>
      <c r="AG13" s="20" t="n">
        <f aca="false">IF(AG10=0,0,AG12/AG10)</f>
        <v>0.896494996044737</v>
      </c>
      <c r="AH13" s="20" t="n">
        <f aca="false">IF(AH10=0,0,AH12/AH10)</f>
        <v>0.907789438342074</v>
      </c>
      <c r="AI13" s="20" t="n">
        <f aca="false">IF(AI10=0,0,AI12/AI10)</f>
        <v>0.907337425784927</v>
      </c>
      <c r="AJ13" s="20" t="n">
        <f aca="false">IF(AJ10=0,0,AJ12/AJ10)</f>
        <v>0</v>
      </c>
      <c r="AK13" s="20" t="n">
        <f aca="false">IF(AK10=0,0,AK12/AK10)</f>
        <v>0</v>
      </c>
      <c r="AL13" s="20" t="n">
        <f aca="false">IF(AL10=0,0,AL12/AL10)</f>
        <v>0</v>
      </c>
      <c r="AM13" s="20" t="n">
        <f aca="false">IF(AM10=0,0,AM12/AM10)</f>
        <v>0</v>
      </c>
      <c r="AN13" s="20" t="n">
        <f aca="false">IF(AN10=0,0,AN12/AN10)</f>
        <v>0</v>
      </c>
      <c r="AO13" s="20" t="n">
        <f aca="false">IF(AO10=0,0,AO12/AO10)</f>
        <v>0</v>
      </c>
      <c r="AP13" s="20" t="n">
        <f aca="false">IF(AP10=0,0,AP12/AP10)</f>
        <v>0</v>
      </c>
      <c r="AQ13" s="20" t="n">
        <f aca="false">IF(AQ10=0,0,AQ12/AQ10)</f>
        <v>0</v>
      </c>
      <c r="AR13" s="20" t="n">
        <f aca="false">IF(AR10=0,0,AR12/AR10)</f>
        <v>0</v>
      </c>
      <c r="AS13" s="20" t="n">
        <f aca="false">IF(AS10=0,0,AS12/AS10)</f>
        <v>0</v>
      </c>
    </row>
    <row r="14" customFormat="false" ht="15" hidden="false" customHeight="false" outlineLevel="0" collapsed="false">
      <c r="A14" s="6" t="s">
        <v>387</v>
      </c>
      <c r="B14" s="6" t="s">
        <v>388</v>
      </c>
      <c r="C14" s="9" t="n">
        <f aca="false">SUM(G14:AS14)</f>
        <v>74315.2989546158</v>
      </c>
      <c r="G14" s="9" t="n">
        <f aca="false">SUMIF($B$35:$B$454,"fom",G$35:G$454)</f>
        <v>2648.082011496</v>
      </c>
      <c r="H14" s="9" t="n">
        <f aca="false">SUMIF($B$35:$B$454,"fom",H$35:H$454)</f>
        <v>2486.3586561834</v>
      </c>
      <c r="I14" s="9" t="n">
        <f aca="false">SUMIF($B$35:$B$454,"fom",I$35:I$454)</f>
        <v>2542.27259037598</v>
      </c>
      <c r="J14" s="9" t="n">
        <f aca="false">SUMIF($B$35:$B$454,"fom",J$35:J$454)</f>
        <v>2599.45947227914</v>
      </c>
      <c r="K14" s="9" t="n">
        <f aca="false">SUMIF($B$35:$B$454,"fom",K$35:K$454)</f>
        <v>2657.94862757276</v>
      </c>
      <c r="L14" s="9" t="n">
        <f aca="false">SUMIF($B$35:$B$454,"fom",L$35:L$454)</f>
        <v>2717.77006511844</v>
      </c>
      <c r="M14" s="9" t="n">
        <f aca="false">SUMIF($B$35:$B$454,"fom",M$35:M$454)</f>
        <v>2778.9544930399</v>
      </c>
      <c r="N14" s="9" t="n">
        <f aca="false">SUMIF($B$35:$B$454,"fom",N$35:N$454)</f>
        <v>2841.53333518526</v>
      </c>
      <c r="O14" s="9" t="n">
        <f aca="false">SUMIF($B$35:$B$454,"fom",O$35:O$454)</f>
        <v>2905.53874798065</v>
      </c>
      <c r="P14" s="9" t="n">
        <f aca="false">SUMIF($B$35:$B$454,"fom",P$35:P$454)</f>
        <v>2696.72989318541</v>
      </c>
      <c r="Q14" s="9" t="n">
        <f aca="false">SUMIF($B$35:$B$454,"fom",Q$35:Q$454)</f>
        <v>2758.20245866169</v>
      </c>
      <c r="R14" s="9" t="n">
        <f aca="false">SUMIF($B$35:$B$454,"fom",R$35:R$454)</f>
        <v>2821.09292463781</v>
      </c>
      <c r="S14" s="9" t="n">
        <f aca="false">SUMIF($B$35:$B$454,"fom",S$35:S$454)</f>
        <v>2822.35551383933</v>
      </c>
      <c r="T14" s="9" t="n">
        <f aca="false">SUMIF($B$35:$B$454,"fom",T$35:T$454)</f>
        <v>2886.92019076965</v>
      </c>
      <c r="U14" s="9" t="n">
        <f aca="false">SUMIF($B$35:$B$454,"fom",U$35:U$454)</f>
        <v>2854.19236437192</v>
      </c>
      <c r="V14" s="9" t="n">
        <f aca="false">SUMIF($B$35:$B$454,"fom",V$35:V$454)</f>
        <v>2919.80473012472</v>
      </c>
      <c r="W14" s="9" t="n">
        <f aca="false">SUMIF($B$35:$B$454,"fom",W$35:W$454)</f>
        <v>2986.94255615422</v>
      </c>
      <c r="X14" s="9" t="n">
        <f aca="false">SUMIF($B$35:$B$454,"fom",X$35:X$454)</f>
        <v>3055.64168198997</v>
      </c>
      <c r="Y14" s="9" t="n">
        <f aca="false">SUMIF($B$35:$B$454,"fom",Y$35:Y$454)</f>
        <v>3125.93879721026</v>
      </c>
      <c r="Z14" s="9" t="n">
        <f aca="false">SUMIF($B$35:$B$454,"fom",Z$35:Z$454)</f>
        <v>2191.37390879291</v>
      </c>
      <c r="AA14" s="9" t="n">
        <f aca="false">SUMIF($B$35:$B$454,"fom",AA$35:AA$454)</f>
        <v>2244.85062280427</v>
      </c>
      <c r="AB14" s="9" t="n">
        <f aca="false">SUMIF($B$35:$B$454,"fom",AB$35:AB$454)</f>
        <v>2299.63810199175</v>
      </c>
      <c r="AC14" s="9" t="n">
        <f aca="false">SUMIF($B$35:$B$454,"fom",AC$35:AC$454)</f>
        <v>2355.76859243126</v>
      </c>
      <c r="AD14" s="9" t="n">
        <f aca="false">SUMIF($B$35:$B$454,"fom",AD$35:AD$454)</f>
        <v>2413.27513588955</v>
      </c>
      <c r="AE14" s="9" t="n">
        <f aca="false">SUMIF($B$35:$B$454,"fom",AE$35:AE$454)</f>
        <v>2183.44493448146</v>
      </c>
      <c r="AF14" s="9" t="n">
        <f aca="false">SUMIF($B$35:$B$454,"fom",AF$35:AF$454)</f>
        <v>2238.0310578435</v>
      </c>
      <c r="AG14" s="9" t="n">
        <f aca="false">SUMIF($B$35:$B$454,"fom",AG$35:AG$454)</f>
        <v>2293.98183428958</v>
      </c>
      <c r="AH14" s="9" t="n">
        <f aca="false">SUMIF($B$35:$B$454,"fom",AH$35:AH$454)</f>
        <v>1476.14600292096</v>
      </c>
      <c r="AI14" s="9" t="n">
        <f aca="false">SUMIF($B$35:$B$454,"fom",AI$35:AI$454)</f>
        <v>1513.04965299398</v>
      </c>
      <c r="AJ14" s="9" t="n">
        <f aca="false">SUMIF($B$35:$B$454,"fom",AJ$35:AJ$454)</f>
        <v>0</v>
      </c>
      <c r="AK14" s="9" t="n">
        <f aca="false">SUMIF($B$35:$B$454,"fom",AK$35:AK$454)</f>
        <v>0</v>
      </c>
      <c r="AL14" s="9" t="n">
        <f aca="false">SUMIF($B$35:$B$454,"fom",AL$35:AL$454)</f>
        <v>0</v>
      </c>
      <c r="AM14" s="9" t="n">
        <f aca="false">SUMIF($B$35:$B$454,"fom",AM$35:AM$454)</f>
        <v>0</v>
      </c>
      <c r="AN14" s="9" t="n">
        <f aca="false">SUMIF($B$35:$B$454,"fom",AN$35:AN$454)</f>
        <v>0</v>
      </c>
      <c r="AO14" s="9" t="n">
        <f aca="false">SUMIF($B$35:$B$454,"fom",AO$35:AO$454)</f>
        <v>0</v>
      </c>
      <c r="AP14" s="9" t="n">
        <f aca="false">SUMIF($B$35:$B$454,"fom",AP$35:AP$454)</f>
        <v>0</v>
      </c>
      <c r="AQ14" s="9" t="n">
        <f aca="false">SUMIF($B$35:$B$454,"fom",AQ$35:AQ$454)</f>
        <v>0</v>
      </c>
      <c r="AR14" s="9" t="n">
        <f aca="false">SUMIF($B$35:$B$454,"fom",AR$35:AR$454)</f>
        <v>0</v>
      </c>
      <c r="AS14" s="9" t="n">
        <f aca="false">SUMIF($B$35:$B$454,"fom",AS$35:AS$454)</f>
        <v>0</v>
      </c>
    </row>
    <row r="15" customFormat="false" ht="15" hidden="false" customHeight="false" outlineLevel="0" collapsed="false">
      <c r="A15" s="49" t="s">
        <v>389</v>
      </c>
      <c r="B15" s="50" t="s">
        <v>390</v>
      </c>
      <c r="C15" s="51" t="n">
        <f aca="false">SUM(G15:AS15)</f>
        <v>164359.114539362</v>
      </c>
      <c r="D15" s="52"/>
      <c r="E15" s="52"/>
      <c r="F15" s="52"/>
      <c r="G15" s="51" t="n">
        <f aca="false">SUMIF($B$35:$B$454,"ebitda",G$35:G$454)</f>
        <v>8599.32550049748</v>
      </c>
      <c r="H15" s="51" t="n">
        <f aca="false">SUMIF($B$35:$B$454,"ebitda",H$35:H$454)</f>
        <v>7763.59986822204</v>
      </c>
      <c r="I15" s="51" t="n">
        <f aca="false">SUMIF($B$35:$B$454,"ebitda",I$35:I$454)</f>
        <v>6871.5249948263</v>
      </c>
      <c r="J15" s="51" t="n">
        <f aca="false">SUMIF($B$35:$B$454,"ebitda",J$35:J$454)</f>
        <v>6600.36555761553</v>
      </c>
      <c r="K15" s="51" t="n">
        <f aca="false">SUMIF($B$35:$B$454,"ebitda",K$35:K$454)</f>
        <v>6738.60080226504</v>
      </c>
      <c r="L15" s="51" t="n">
        <f aca="false">SUMIF($B$35:$B$454,"ebitda",L$35:L$454)</f>
        <v>6874.18909896969</v>
      </c>
      <c r="M15" s="51" t="n">
        <f aca="false">SUMIF($B$35:$B$454,"ebitda",M$35:M$454)</f>
        <v>6957.13494573354</v>
      </c>
      <c r="N15" s="51" t="n">
        <f aca="false">SUMIF($B$35:$B$454,"ebitda",N$35:N$454)</f>
        <v>7041.52687654028</v>
      </c>
      <c r="O15" s="51" t="n">
        <f aca="false">SUMIF($B$35:$B$454,"ebitda",O$35:O$454)</f>
        <v>7127.38849224845</v>
      </c>
      <c r="P15" s="51" t="n">
        <f aca="false">SUMIF($B$35:$B$454,"ebitda",P$35:P$454)</f>
        <v>6945.2764710225</v>
      </c>
      <c r="Q15" s="51" t="n">
        <f aca="false">SUMIF($B$35:$B$454,"ebitda",Q$35:Q$454)</f>
        <v>7028.76027331625</v>
      </c>
      <c r="R15" s="51" t="n">
        <f aca="false">SUMIF($B$35:$B$454,"ebitda",R$35:R$454)</f>
        <v>7113.67882396571</v>
      </c>
      <c r="S15" s="51" t="n">
        <f aca="false">SUMIF($B$35:$B$454,"ebitda",S$35:S$454)</f>
        <v>6894.89914488392</v>
      </c>
      <c r="T15" s="51" t="n">
        <f aca="false">SUMIF($B$35:$B$454,"ebitda",T$35:T$454)</f>
        <v>6976.65285117782</v>
      </c>
      <c r="U15" s="51" t="n">
        <f aca="false">SUMIF($B$35:$B$454,"ebitda",U$35:U$454)</f>
        <v>6817.42526589019</v>
      </c>
      <c r="V15" s="51" t="n">
        <f aca="false">SUMIF($B$35:$B$454,"ebitda",V$35:V$454)</f>
        <v>6897.11718696436</v>
      </c>
      <c r="W15" s="51" t="n">
        <f aca="false">SUMIF($B$35:$B$454,"ebitda",W$35:W$454)</f>
        <v>6978.13714734192</v>
      </c>
      <c r="X15" s="51" t="n">
        <f aca="false">SUMIF($B$35:$B$454,"ebitda",X$35:X$454)</f>
        <v>7060.50506283098</v>
      </c>
      <c r="Y15" s="51" t="n">
        <f aca="false">SUMIF($B$35:$B$454,"ebitda",Y$35:Y$454)</f>
        <v>7144.24108143138</v>
      </c>
      <c r="Z15" s="51" t="n">
        <f aca="false">SUMIF($B$35:$B$454,"ebitda",Z$35:Z$454)</f>
        <v>3374.73399983698</v>
      </c>
      <c r="AA15" s="51" t="n">
        <f aca="false">SUMIF($B$35:$B$454,"ebitda",AA$35:AA$454)</f>
        <v>3384.17496810623</v>
      </c>
      <c r="AB15" s="51" t="n">
        <f aca="false">SUMIF($B$35:$B$454,"ebitda",AB$35:AB$454)</f>
        <v>3676.58581511262</v>
      </c>
      <c r="AC15" s="51" t="n">
        <f aca="false">SUMIF($B$35:$B$454,"ebitda",AC$35:AC$454)</f>
        <v>3737.47946641438</v>
      </c>
      <c r="AD15" s="51" t="n">
        <f aca="false">SUMIF($B$35:$B$454,"ebitda",AD$35:AD$454)</f>
        <v>3799.27503911716</v>
      </c>
      <c r="AE15" s="51" t="n">
        <f aca="false">SUMIF($B$35:$B$454,"ebitda",AE$35:AE$454)</f>
        <v>2531.98938155485</v>
      </c>
      <c r="AF15" s="51" t="n">
        <f aca="false">SUMIF($B$35:$B$454,"ebitda",AF$35:AF$454)</f>
        <v>2569.01935546877</v>
      </c>
      <c r="AG15" s="51" t="n">
        <f aca="false">SUMIF($B$35:$B$454,"ebitda",AG$35:AG$454)</f>
        <v>2606.44968351805</v>
      </c>
      <c r="AH15" s="51" t="n">
        <f aca="false">SUMIF($B$35:$B$454,"ebitda",AH$35:AH$454)</f>
        <v>2108.04874946758</v>
      </c>
      <c r="AI15" s="51" t="n">
        <f aca="false">SUMIF($B$35:$B$454,"ebitda",AI$35:AI$454)</f>
        <v>2141.00863502168</v>
      </c>
      <c r="AJ15" s="51" t="n">
        <f aca="false">SUMIF($B$35:$B$454,"ebitda",AJ$35:AJ$454)</f>
        <v>0</v>
      </c>
      <c r="AK15" s="51" t="n">
        <f aca="false">SUMIF($B$35:$B$454,"ebitda",AK$35:AK$454)</f>
        <v>0</v>
      </c>
      <c r="AL15" s="51" t="n">
        <f aca="false">SUMIF($B$35:$B$454,"ebitda",AL$35:AL$454)</f>
        <v>0</v>
      </c>
      <c r="AM15" s="51" t="n">
        <f aca="false">SUMIF($B$35:$B$454,"ebitda",AM$35:AM$454)</f>
        <v>0</v>
      </c>
      <c r="AN15" s="51" t="n">
        <f aca="false">SUMIF($B$35:$B$454,"ebitda",AN$35:AN$454)</f>
        <v>0</v>
      </c>
      <c r="AO15" s="51" t="n">
        <f aca="false">SUMIF($B$35:$B$454,"ebitda",AO$35:AO$454)</f>
        <v>0</v>
      </c>
      <c r="AP15" s="51" t="n">
        <f aca="false">SUMIF($B$35:$B$454,"ebitda",AP$35:AP$454)</f>
        <v>0</v>
      </c>
      <c r="AQ15" s="51" t="n">
        <f aca="false">SUMIF($B$35:$B$454,"ebitda",AQ$35:AQ$454)</f>
        <v>0</v>
      </c>
      <c r="AR15" s="51" t="n">
        <f aca="false">SUMIF($B$35:$B$454,"ebitda",AR$35:AR$454)</f>
        <v>0</v>
      </c>
      <c r="AS15" s="51" t="n">
        <f aca="false">SUMIF($B$35:$B$454,"ebitda",AS$35:AS$454)</f>
        <v>0</v>
      </c>
    </row>
    <row r="16" customFormat="false" ht="15" hidden="false" customHeight="false" outlineLevel="0" collapsed="false">
      <c r="A16" s="6" t="s">
        <v>391</v>
      </c>
      <c r="B16" s="6" t="s">
        <v>392</v>
      </c>
      <c r="G16" s="20" t="n">
        <f aca="false">IF(G10=0,0,G15/G10)</f>
        <v>0.505905563187081</v>
      </c>
      <c r="H16" s="20" t="n">
        <f aca="false">IF(H10=0,0,H15/H10)</f>
        <v>0.498707832651545</v>
      </c>
      <c r="I16" s="20" t="n">
        <f aca="false">IF(I10=0,0,I15/I10)</f>
        <v>0.460090518671768</v>
      </c>
      <c r="J16" s="20" t="n">
        <f aca="false">IF(J10=0,0,J15/J10)</f>
        <v>0.444973136911067</v>
      </c>
      <c r="K16" s="20" t="n">
        <f aca="false">IF(K10=0,0,K15/K10)</f>
        <v>0.444963298813163</v>
      </c>
      <c r="L16" s="20" t="n">
        <f aca="false">IF(L10=0,0,L15/L10)</f>
        <v>0.444753502160772</v>
      </c>
      <c r="M16" s="20" t="n">
        <f aca="false">IF(M10=0,0,M15/M10)</f>
        <v>0.442586206196437</v>
      </c>
      <c r="N16" s="20" t="n">
        <f aca="false">IF(N10=0,0,N15/N10)</f>
        <v>0.440435737962589</v>
      </c>
      <c r="O16" s="20" t="n">
        <f aca="false">IF(O10=0,0,O15/O10)</f>
        <v>0.438301966693555</v>
      </c>
      <c r="P16" s="20" t="n">
        <f aca="false">IF(P10=0,0,P15/P10)</f>
        <v>0.453524722992955</v>
      </c>
      <c r="Q16" s="20" t="n">
        <f aca="false">IF(Q10=0,0,Q15/Q10)</f>
        <v>0.451306419187344</v>
      </c>
      <c r="R16" s="20" t="n">
        <f aca="false">IF(R10=0,0,R15/R10)</f>
        <v>0.449104015140433</v>
      </c>
      <c r="S16" s="20" t="n">
        <f aca="false">IF(S10=0,0,S15/S10)</f>
        <v>0.440381625229716</v>
      </c>
      <c r="T16" s="20" t="n">
        <f aca="false">IF(T10=0,0,T15/T10)</f>
        <v>0.438128646470582</v>
      </c>
      <c r="U16" s="20" t="n">
        <f aca="false">IF(U10=0,0,U15/U10)</f>
        <v>0.437848615155364</v>
      </c>
      <c r="V16" s="20" t="n">
        <f aca="false">IF(V10=0,0,V15/V10)</f>
        <v>0.435543389638283</v>
      </c>
      <c r="W16" s="20" t="n">
        <f aca="false">IF(W10=0,0,W15/W10)</f>
        <v>0.433253816457722</v>
      </c>
      <c r="X16" s="20" t="n">
        <f aca="false">IF(X10=0,0,X15/X10)</f>
        <v>0.430979768165452</v>
      </c>
      <c r="Y16" s="20" t="n">
        <f aca="false">IF(Y10=0,0,Y15/Y10)</f>
        <v>0.428721112871824</v>
      </c>
      <c r="Z16" s="20" t="n">
        <f aca="false">IF(Z10=0,0,Z15/Z10)</f>
        <v>0.466982784577207</v>
      </c>
      <c r="AA16" s="20" t="n">
        <f aca="false">IF(AA10=0,0,AA15/AA10)</f>
        <v>0.461991647914741</v>
      </c>
      <c r="AB16" s="20" t="n">
        <f aca="false">IF(AB10=0,0,AB15/AB10)</f>
        <v>0.476936866752</v>
      </c>
      <c r="AC16" s="20" t="n">
        <f aca="false">IF(AC10=0,0,AC15/AC10)</f>
        <v>0.475329568027987</v>
      </c>
      <c r="AD16" s="20" t="n">
        <f aca="false">IF(AD10=0,0,AD15/AD10)</f>
        <v>0.47371439038866</v>
      </c>
      <c r="AE16" s="20" t="n">
        <f aca="false">IF(AE10=0,0,AE15/AE10)</f>
        <v>0.481920908550358</v>
      </c>
      <c r="AF16" s="20" t="n">
        <f aca="false">IF(AF10=0,0,AF15/AF10)</f>
        <v>0.479381305160899</v>
      </c>
      <c r="AG16" s="20" t="n">
        <f aca="false">IF(AG10=0,0,AG15/AG10)</f>
        <v>0.476829252735217</v>
      </c>
      <c r="AH16" s="20" t="n">
        <f aca="false">IF(AH10=0,0,AH15/AH10)</f>
        <v>0.533917524710844</v>
      </c>
      <c r="AI16" s="20" t="n">
        <f aca="false">IF(AI10=0,0,AI15/AI10)</f>
        <v>0.531632806694721</v>
      </c>
      <c r="AJ16" s="20" t="n">
        <f aca="false">IF(AJ10=0,0,AJ15/AJ10)</f>
        <v>0</v>
      </c>
      <c r="AK16" s="20" t="n">
        <f aca="false">IF(AK10=0,0,AK15/AK10)</f>
        <v>0</v>
      </c>
      <c r="AL16" s="20" t="n">
        <f aca="false">IF(AL10=0,0,AL15/AL10)</f>
        <v>0</v>
      </c>
      <c r="AM16" s="20" t="n">
        <f aca="false">IF(AM10=0,0,AM15/AM10)</f>
        <v>0</v>
      </c>
      <c r="AN16" s="20" t="n">
        <f aca="false">IF(AN10=0,0,AN15/AN10)</f>
        <v>0</v>
      </c>
      <c r="AO16" s="20" t="n">
        <f aca="false">IF(AO10=0,0,AO15/AO10)</f>
        <v>0</v>
      </c>
      <c r="AP16" s="20" t="n">
        <f aca="false">IF(AP10=0,0,AP15/AP10)</f>
        <v>0</v>
      </c>
      <c r="AQ16" s="20" t="n">
        <f aca="false">IF(AQ10=0,0,AQ15/AQ10)</f>
        <v>0</v>
      </c>
      <c r="AR16" s="20" t="n">
        <f aca="false">IF(AR10=0,0,AR15/AR10)</f>
        <v>0</v>
      </c>
      <c r="AS16" s="20" t="n">
        <f aca="false">IF(AS10=0,0,AS15/AS10)</f>
        <v>0</v>
      </c>
    </row>
    <row r="17" customFormat="false" ht="15" hidden="false" customHeight="false" outlineLevel="0" collapsed="false">
      <c r="A17" s="6" t="s">
        <v>393</v>
      </c>
      <c r="B17" s="6" t="s">
        <v>394</v>
      </c>
      <c r="C17" s="9" t="n">
        <f aca="false">SUM(G17:AS17)</f>
        <v>26105.2152549532</v>
      </c>
      <c r="G17" s="9" t="n">
        <f aca="false">SUMIF($B$35:$B$454,"capex",G$35:G$454)</f>
        <v>914.784394104</v>
      </c>
      <c r="H17" s="9" t="n">
        <f aca="false">SUMIF($B$35:$B$454,"capex",H$35:H$454)</f>
        <v>868.9479565566</v>
      </c>
      <c r="I17" s="9" t="n">
        <f aca="false">SUMIF($B$35:$B$454,"capex",I$35:I$454)</f>
        <v>888.463151572515</v>
      </c>
      <c r="J17" s="9" t="n">
        <f aca="false">SUMIF($B$35:$B$454,"capex",J$35:J$454)</f>
        <v>908.422056385868</v>
      </c>
      <c r="K17" s="9" t="n">
        <f aca="false">SUMIF($B$35:$B$454,"capex",K$35:K$454)</f>
        <v>928.834880340035</v>
      </c>
      <c r="L17" s="9" t="n">
        <f aca="false">SUMIF($B$35:$B$454,"capex",L$35:L$454)</f>
        <v>949.712070343947</v>
      </c>
      <c r="M17" s="9" t="n">
        <f aca="false">SUMIF($B$35:$B$454,"capex",M$35:M$454)</f>
        <v>971.064316457865</v>
      </c>
      <c r="N17" s="9" t="n">
        <f aca="false">SUMIF($B$35:$B$454,"capex",N$35:N$454)</f>
        <v>992.902557611738</v>
      </c>
      <c r="O17" s="9" t="n">
        <f aca="false">SUMIF($B$35:$B$454,"capex",O$35:O$454)</f>
        <v>1015.23798745931</v>
      </c>
      <c r="P17" s="9" t="n">
        <f aca="false">SUMIF($B$35:$B$454,"capex",P$35:P$454)</f>
        <v>955.799937021562</v>
      </c>
      <c r="Q17" s="9" t="n">
        <f aca="false">SUMIF($B$35:$B$454,"capex",Q$35:Q$454)</f>
        <v>977.518731753777</v>
      </c>
      <c r="R17" s="9" t="n">
        <f aca="false">SUMIF($B$35:$B$454,"capex",R$35:R$454)</f>
        <v>999.736972280432</v>
      </c>
      <c r="S17" s="9" t="n">
        <f aca="false">SUMIF($B$35:$B$454,"capex",S$35:S$454)</f>
        <v>1004.94437245541</v>
      </c>
      <c r="T17" s="9" t="n">
        <f aca="false">SUMIF($B$35:$B$454,"capex",T$35:T$454)</f>
        <v>1027.84618650686</v>
      </c>
      <c r="U17" s="9" t="n">
        <f aca="false">SUMIF($B$35:$B$454,"capex",U$35:U$454)</f>
        <v>1019.64820405378</v>
      </c>
      <c r="V17" s="9" t="n">
        <f aca="false">SUMIF($B$35:$B$454,"capex",V$35:V$454)</f>
        <v>1042.98599289644</v>
      </c>
      <c r="W17" s="9" t="n">
        <f aca="false">SUMIF($B$35:$B$454,"capex",W$35:W$454)</f>
        <v>1066.86415813499</v>
      </c>
      <c r="X17" s="9" t="n">
        <f aca="false">SUMIF($B$35:$B$454,"capex",X$35:X$454)</f>
        <v>1091.29534781283</v>
      </c>
      <c r="Y17" s="9" t="n">
        <f aca="false">SUMIF($B$35:$B$454,"capex",Y$35:Y$454)</f>
        <v>1116.2925089471</v>
      </c>
      <c r="Z17" s="9" t="n">
        <f aca="false">SUMIF($B$35:$B$454,"capex",Z$35:Z$454)</f>
        <v>764.432312290425</v>
      </c>
      <c r="AA17" s="9" t="n">
        <f aca="false">SUMIF($B$35:$B$454,"capex",AA$35:AA$454)</f>
        <v>783.052757457013</v>
      </c>
      <c r="AB17" s="9" t="n">
        <f aca="false">SUMIF($B$35:$B$454,"capex",AB$35:AB$454)</f>
        <v>802.128906499952</v>
      </c>
      <c r="AC17" s="9" t="n">
        <f aca="false">SUMIF($B$35:$B$454,"capex",AC$35:AC$454)</f>
        <v>821.671955871095</v>
      </c>
      <c r="AD17" s="9" t="n">
        <f aca="false">SUMIF($B$35:$B$454,"capex",AD$35:AD$454)</f>
        <v>841.693378010689</v>
      </c>
      <c r="AE17" s="9" t="n">
        <f aca="false">SUMIF($B$35:$B$454,"capex",AE$35:AE$454)</f>
        <v>753.924932533957</v>
      </c>
      <c r="AF17" s="9" t="n">
        <f aca="false">SUMIF($B$35:$B$454,"capex",AF$35:AF$454)</f>
        <v>772.773055847306</v>
      </c>
      <c r="AG17" s="9" t="n">
        <f aca="false">SUMIF($B$35:$B$454,"capex",AG$35:AG$454)</f>
        <v>792.092382243488</v>
      </c>
      <c r="AH17" s="9" t="n">
        <f aca="false">SUMIF($B$35:$B$454,"capex",AH$35:AH$454)</f>
        <v>509.700637779883</v>
      </c>
      <c r="AI17" s="9" t="n">
        <f aca="false">SUMIF($B$35:$B$454,"capex",AI$35:AI$454)</f>
        <v>522.44315372438</v>
      </c>
      <c r="AJ17" s="9" t="n">
        <f aca="false">SUMIF($B$35:$B$454,"capex",AJ$35:AJ$454)</f>
        <v>0</v>
      </c>
      <c r="AK17" s="9" t="n">
        <f aca="false">SUMIF($B$35:$B$454,"capex",AK$35:AK$454)</f>
        <v>0</v>
      </c>
      <c r="AL17" s="9" t="n">
        <f aca="false">SUMIF($B$35:$B$454,"capex",AL$35:AL$454)</f>
        <v>0</v>
      </c>
      <c r="AM17" s="9" t="n">
        <f aca="false">SUMIF($B$35:$B$454,"capex",AM$35:AM$454)</f>
        <v>0</v>
      </c>
      <c r="AN17" s="9" t="n">
        <f aca="false">SUMIF($B$35:$B$454,"capex",AN$35:AN$454)</f>
        <v>0</v>
      </c>
      <c r="AO17" s="9" t="n">
        <f aca="false">SUMIF($B$35:$B$454,"capex",AO$35:AO$454)</f>
        <v>0</v>
      </c>
      <c r="AP17" s="9" t="n">
        <f aca="false">SUMIF($B$35:$B$454,"capex",AP$35:AP$454)</f>
        <v>0</v>
      </c>
      <c r="AQ17" s="9" t="n">
        <f aca="false">SUMIF($B$35:$B$454,"capex",AQ$35:AQ$454)</f>
        <v>0</v>
      </c>
      <c r="AR17" s="9" t="n">
        <f aca="false">SUMIF($B$35:$B$454,"capex",AR$35:AR$454)</f>
        <v>0</v>
      </c>
      <c r="AS17" s="9" t="n">
        <f aca="false">SUMIF($B$35:$B$454,"capex",AS$35:AS$454)</f>
        <v>0</v>
      </c>
    </row>
    <row r="18" customFormat="false" ht="15" hidden="false" customHeight="false" outlineLevel="0" collapsed="false">
      <c r="A18" s="6" t="s">
        <v>395</v>
      </c>
      <c r="B18" s="6" t="s">
        <v>396</v>
      </c>
      <c r="C18" s="9" t="n">
        <f aca="false">SUM(G18:AS18)</f>
        <v>138253.899284408</v>
      </c>
      <c r="G18" s="9" t="n">
        <f aca="false">SUMIF($B$35:$B$454,"pretax",G$35:G$454)</f>
        <v>7684.54110639348</v>
      </c>
      <c r="H18" s="9" t="n">
        <f aca="false">SUMIF($B$35:$B$454,"pretax",H$35:H$454)</f>
        <v>6894.65191166544</v>
      </c>
      <c r="I18" s="9" t="n">
        <f aca="false">SUMIF($B$35:$B$454,"pretax",I$35:I$454)</f>
        <v>5983.06184325379</v>
      </c>
      <c r="J18" s="9" t="n">
        <f aca="false">SUMIF($B$35:$B$454,"pretax",J$35:J$454)</f>
        <v>5691.94350122966</v>
      </c>
      <c r="K18" s="9" t="n">
        <f aca="false">SUMIF($B$35:$B$454,"pretax",K$35:K$454)</f>
        <v>5809.76592192501</v>
      </c>
      <c r="L18" s="9" t="n">
        <f aca="false">SUMIF($B$35:$B$454,"pretax",L$35:L$454)</f>
        <v>5924.47702862575</v>
      </c>
      <c r="M18" s="9" t="n">
        <f aca="false">SUMIF($B$35:$B$454,"pretax",M$35:M$454)</f>
        <v>5986.07062927568</v>
      </c>
      <c r="N18" s="9" t="n">
        <f aca="false">SUMIF($B$35:$B$454,"pretax",N$35:N$454)</f>
        <v>6048.62431892854</v>
      </c>
      <c r="O18" s="9" t="n">
        <f aca="false">SUMIF($B$35:$B$454,"pretax",O$35:O$454)</f>
        <v>6112.15050478915</v>
      </c>
      <c r="P18" s="9" t="n">
        <f aca="false">SUMIF($B$35:$B$454,"pretax",P$35:P$454)</f>
        <v>5989.47653400094</v>
      </c>
      <c r="Q18" s="9" t="n">
        <f aca="false">SUMIF($B$35:$B$454,"pretax",Q$35:Q$454)</f>
        <v>6051.24154156248</v>
      </c>
      <c r="R18" s="9" t="n">
        <f aca="false">SUMIF($B$35:$B$454,"pretax",R$35:R$454)</f>
        <v>6113.94185168528</v>
      </c>
      <c r="S18" s="9" t="n">
        <f aca="false">SUMIF($B$35:$B$454,"pretax",S$35:S$454)</f>
        <v>5889.95477242851</v>
      </c>
      <c r="T18" s="9" t="n">
        <f aca="false">SUMIF($B$35:$B$454,"pretax",T$35:T$454)</f>
        <v>5948.80666467096</v>
      </c>
      <c r="U18" s="9" t="n">
        <f aca="false">SUMIF($B$35:$B$454,"pretax",U$35:U$454)</f>
        <v>5797.77706183641</v>
      </c>
      <c r="V18" s="9" t="n">
        <f aca="false">SUMIF($B$35:$B$454,"pretax",V$35:V$454)</f>
        <v>5854.13119406792</v>
      </c>
      <c r="W18" s="9" t="n">
        <f aca="false">SUMIF($B$35:$B$454,"pretax",W$35:W$454)</f>
        <v>5911.27298920693</v>
      </c>
      <c r="X18" s="9" t="n">
        <f aca="false">SUMIF($B$35:$B$454,"pretax",X$35:X$454)</f>
        <v>5969.20971501815</v>
      </c>
      <c r="Y18" s="9" t="n">
        <f aca="false">SUMIF($B$35:$B$454,"pretax",Y$35:Y$454)</f>
        <v>6027.94857248428</v>
      </c>
      <c r="Z18" s="9" t="n">
        <f aca="false">SUMIF($B$35:$B$454,"pretax",Z$35:Z$454)</f>
        <v>2610.30168754656</v>
      </c>
      <c r="AA18" s="9" t="n">
        <f aca="false">SUMIF($B$35:$B$454,"pretax",AA$35:AA$454)</f>
        <v>2601.12221064922</v>
      </c>
      <c r="AB18" s="9" t="n">
        <f aca="false">SUMIF($B$35:$B$454,"pretax",AB$35:AB$454)</f>
        <v>2874.45690861266</v>
      </c>
      <c r="AC18" s="9" t="n">
        <f aca="false">SUMIF($B$35:$B$454,"pretax",AC$35:AC$454)</f>
        <v>2915.80751054328</v>
      </c>
      <c r="AD18" s="9" t="n">
        <f aca="false">SUMIF($B$35:$B$454,"pretax",AD$35:AD$454)</f>
        <v>2957.58166110647</v>
      </c>
      <c r="AE18" s="9" t="n">
        <f aca="false">SUMIF($B$35:$B$454,"pretax",AE$35:AE$454)</f>
        <v>1778.06444902089</v>
      </c>
      <c r="AF18" s="9" t="n">
        <f aca="false">SUMIF($B$35:$B$454,"pretax",AF$35:AF$454)</f>
        <v>1796.24629962147</v>
      </c>
      <c r="AG18" s="9" t="n">
        <f aca="false">SUMIF($B$35:$B$454,"pretax",AG$35:AG$454)</f>
        <v>1814.35730127456</v>
      </c>
      <c r="AH18" s="9" t="n">
        <f aca="false">SUMIF($B$35:$B$454,"pretax",AH$35:AH$454)</f>
        <v>1598.3481116877</v>
      </c>
      <c r="AI18" s="9" t="n">
        <f aca="false">SUMIF($B$35:$B$454,"pretax",AI$35:AI$454)</f>
        <v>1618.56548129731</v>
      </c>
      <c r="AJ18" s="9" t="n">
        <f aca="false">SUMIF($B$35:$B$454,"pretax",AJ$35:AJ$454)</f>
        <v>0</v>
      </c>
      <c r="AK18" s="9" t="n">
        <f aca="false">SUMIF($B$35:$B$454,"pretax",AK$35:AK$454)</f>
        <v>0</v>
      </c>
      <c r="AL18" s="9" t="n">
        <f aca="false">SUMIF($B$35:$B$454,"pretax",AL$35:AL$454)</f>
        <v>0</v>
      </c>
      <c r="AM18" s="9" t="n">
        <f aca="false">SUMIF($B$35:$B$454,"pretax",AM$35:AM$454)</f>
        <v>0</v>
      </c>
      <c r="AN18" s="9" t="n">
        <f aca="false">SUMIF($B$35:$B$454,"pretax",AN$35:AN$454)</f>
        <v>0</v>
      </c>
      <c r="AO18" s="9" t="n">
        <f aca="false">SUMIF($B$35:$B$454,"pretax",AO$35:AO$454)</f>
        <v>0</v>
      </c>
      <c r="AP18" s="9" t="n">
        <f aca="false">SUMIF($B$35:$B$454,"pretax",AP$35:AP$454)</f>
        <v>0</v>
      </c>
      <c r="AQ18" s="9" t="n">
        <f aca="false">SUMIF($B$35:$B$454,"pretax",AQ$35:AQ$454)</f>
        <v>0</v>
      </c>
      <c r="AR18" s="9" t="n">
        <f aca="false">SUMIF($B$35:$B$454,"pretax",AR$35:AR$454)</f>
        <v>0</v>
      </c>
      <c r="AS18" s="9" t="n">
        <f aca="false">SUMIF($B$35:$B$454,"pretax",AS$35:AS$454)</f>
        <v>0</v>
      </c>
    </row>
    <row r="19" customFormat="false" ht="15" hidden="false" customHeight="false" outlineLevel="0" collapsed="false">
      <c r="A19" s="6" t="s">
        <v>397</v>
      </c>
      <c r="B19" s="6" t="s">
        <v>398</v>
      </c>
      <c r="C19" s="9" t="n">
        <f aca="false">SUM(G19:AS19)</f>
        <v>0</v>
      </c>
      <c r="G19" s="9" t="n">
        <f aca="false">SUMIF($B$35:$B$454,"ptc",G$35:G$454)</f>
        <v>0</v>
      </c>
      <c r="H19" s="9" t="n">
        <f aca="false">SUMIF($B$35:$B$454,"ptc",H$35:H$454)</f>
        <v>0</v>
      </c>
      <c r="I19" s="9" t="n">
        <f aca="false">SUMIF($B$35:$B$454,"ptc",I$35:I$454)</f>
        <v>0</v>
      </c>
      <c r="J19" s="9" t="n">
        <f aca="false">SUMIF($B$35:$B$454,"ptc",J$35:J$454)</f>
        <v>0</v>
      </c>
      <c r="K19" s="9" t="n">
        <f aca="false">SUMIF($B$35:$B$454,"ptc",K$35:K$454)</f>
        <v>0</v>
      </c>
      <c r="L19" s="9" t="n">
        <f aca="false">SUMIF($B$35:$B$454,"ptc",L$35:L$454)</f>
        <v>0</v>
      </c>
      <c r="M19" s="9" t="n">
        <f aca="false">SUMIF($B$35:$B$454,"ptc",M$35:M$454)</f>
        <v>0</v>
      </c>
      <c r="N19" s="9" t="n">
        <f aca="false">SUMIF($B$35:$B$454,"ptc",N$35:N$454)</f>
        <v>0</v>
      </c>
      <c r="O19" s="9" t="n">
        <f aca="false">SUMIF($B$35:$B$454,"ptc",O$35:O$454)</f>
        <v>0</v>
      </c>
      <c r="P19" s="9" t="n">
        <f aca="false">SUMIF($B$35:$B$454,"ptc",P$35:P$454)</f>
        <v>0</v>
      </c>
      <c r="Q19" s="9" t="n">
        <f aca="false">SUMIF($B$35:$B$454,"ptc",Q$35:Q$454)</f>
        <v>0</v>
      </c>
      <c r="R19" s="9" t="n">
        <f aca="false">SUMIF($B$35:$B$454,"ptc",R$35:R$454)</f>
        <v>0</v>
      </c>
      <c r="S19" s="9" t="n">
        <f aca="false">SUMIF($B$35:$B$454,"ptc",S$35:S$454)</f>
        <v>0</v>
      </c>
      <c r="T19" s="9" t="n">
        <f aca="false">SUMIF($B$35:$B$454,"ptc",T$35:T$454)</f>
        <v>0</v>
      </c>
      <c r="U19" s="9" t="n">
        <f aca="false">SUMIF($B$35:$B$454,"ptc",U$35:U$454)</f>
        <v>0</v>
      </c>
      <c r="V19" s="9" t="n">
        <f aca="false">SUMIF($B$35:$B$454,"ptc",V$35:V$454)</f>
        <v>0</v>
      </c>
      <c r="W19" s="9" t="n">
        <f aca="false">SUMIF($B$35:$B$454,"ptc",W$35:W$454)</f>
        <v>0</v>
      </c>
      <c r="X19" s="9" t="n">
        <f aca="false">SUMIF($B$35:$B$454,"ptc",X$35:X$454)</f>
        <v>0</v>
      </c>
      <c r="Y19" s="9" t="n">
        <f aca="false">SUMIF($B$35:$B$454,"ptc",Y$35:Y$454)</f>
        <v>0</v>
      </c>
      <c r="Z19" s="9" t="n">
        <f aca="false">SUMIF($B$35:$B$454,"ptc",Z$35:Z$454)</f>
        <v>0</v>
      </c>
      <c r="AA19" s="9" t="n">
        <f aca="false">SUMIF($B$35:$B$454,"ptc",AA$35:AA$454)</f>
        <v>0</v>
      </c>
      <c r="AB19" s="9" t="n">
        <f aca="false">SUMIF($B$35:$B$454,"ptc",AB$35:AB$454)</f>
        <v>0</v>
      </c>
      <c r="AC19" s="9" t="n">
        <f aca="false">SUMIF($B$35:$B$454,"ptc",AC$35:AC$454)</f>
        <v>0</v>
      </c>
      <c r="AD19" s="9" t="n">
        <f aca="false">SUMIF($B$35:$B$454,"ptc",AD$35:AD$454)</f>
        <v>0</v>
      </c>
      <c r="AE19" s="9" t="n">
        <f aca="false">SUMIF($B$35:$B$454,"ptc",AE$35:AE$454)</f>
        <v>0</v>
      </c>
      <c r="AF19" s="9" t="n">
        <f aca="false">SUMIF($B$35:$B$454,"ptc",AF$35:AF$454)</f>
        <v>0</v>
      </c>
      <c r="AG19" s="9" t="n">
        <f aca="false">SUMIF($B$35:$B$454,"ptc",AG$35:AG$454)</f>
        <v>0</v>
      </c>
      <c r="AH19" s="9" t="n">
        <f aca="false">SUMIF($B$35:$B$454,"ptc",AH$35:AH$454)</f>
        <v>0</v>
      </c>
      <c r="AI19" s="9" t="n">
        <f aca="false">SUMIF($B$35:$B$454,"ptc",AI$35:AI$454)</f>
        <v>0</v>
      </c>
      <c r="AJ19" s="9" t="n">
        <f aca="false">SUMIF($B$35:$B$454,"ptc",AJ$35:AJ$454)</f>
        <v>0</v>
      </c>
      <c r="AK19" s="9" t="n">
        <f aca="false">SUMIF($B$35:$B$454,"ptc",AK$35:AK$454)</f>
        <v>0</v>
      </c>
      <c r="AL19" s="9" t="n">
        <f aca="false">SUMIF($B$35:$B$454,"ptc",AL$35:AL$454)</f>
        <v>0</v>
      </c>
      <c r="AM19" s="9" t="n">
        <f aca="false">SUMIF($B$35:$B$454,"ptc",AM$35:AM$454)</f>
        <v>0</v>
      </c>
      <c r="AN19" s="9" t="n">
        <f aca="false">SUMIF($B$35:$B$454,"ptc",AN$35:AN$454)</f>
        <v>0</v>
      </c>
      <c r="AO19" s="9" t="n">
        <f aca="false">SUMIF($B$35:$B$454,"ptc",AO$35:AO$454)</f>
        <v>0</v>
      </c>
      <c r="AP19" s="9" t="n">
        <f aca="false">SUMIF($B$35:$B$454,"ptc",AP$35:AP$454)</f>
        <v>0</v>
      </c>
      <c r="AQ19" s="9" t="n">
        <f aca="false">SUMIF($B$35:$B$454,"ptc",AQ$35:AQ$454)</f>
        <v>0</v>
      </c>
      <c r="AR19" s="9" t="n">
        <f aca="false">SUMIF($B$35:$B$454,"ptc",AR$35:AR$454)</f>
        <v>0</v>
      </c>
      <c r="AS19" s="9" t="n">
        <f aca="false">SUMIF($B$35:$B$454,"ptc",AS$35:AS$454)</f>
        <v>0</v>
      </c>
    </row>
    <row r="20" customFormat="false" ht="15" hidden="false" customHeight="false" outlineLevel="0" collapsed="false">
      <c r="A20" s="6" t="s">
        <v>399</v>
      </c>
      <c r="B20" s="6" t="s">
        <v>400</v>
      </c>
      <c r="C20" s="9" t="n">
        <f aca="false">SUM(G20:AS20)</f>
        <v>3130.218</v>
      </c>
      <c r="G20" s="9" t="n">
        <f aca="false">SUMIF($B$35:$B$454,"fixedval",$C$35:$C$454)*VST_RenYield</f>
        <v>80.262</v>
      </c>
      <c r="H20" s="9" t="n">
        <f aca="false">SUMIF($B$35:$B$454,"fixedval",$C$35:$C$454)*VST_RenYield</f>
        <v>80.262</v>
      </c>
      <c r="I20" s="9" t="n">
        <f aca="false">SUMIF($B$35:$B$454,"fixedval",$C$35:$C$454)*VST_RenYield</f>
        <v>80.262</v>
      </c>
      <c r="J20" s="9" t="n">
        <f aca="false">SUMIF($B$35:$B$454,"fixedval",$C$35:$C$454)*VST_RenYield</f>
        <v>80.262</v>
      </c>
      <c r="K20" s="9" t="n">
        <f aca="false">SUMIF($B$35:$B$454,"fixedval",$C$35:$C$454)*VST_RenYield</f>
        <v>80.262</v>
      </c>
      <c r="L20" s="9" t="n">
        <f aca="false">SUMIF($B$35:$B$454,"fixedval",$C$35:$C$454)*VST_RenYield</f>
        <v>80.262</v>
      </c>
      <c r="M20" s="9" t="n">
        <f aca="false">SUMIF($B$35:$B$454,"fixedval",$C$35:$C$454)*VST_RenYield</f>
        <v>80.262</v>
      </c>
      <c r="N20" s="9" t="n">
        <f aca="false">SUMIF($B$35:$B$454,"fixedval",$C$35:$C$454)*VST_RenYield</f>
        <v>80.262</v>
      </c>
      <c r="O20" s="9" t="n">
        <f aca="false">SUMIF($B$35:$B$454,"fixedval",$C$35:$C$454)*VST_RenYield</f>
        <v>80.262</v>
      </c>
      <c r="P20" s="9" t="n">
        <f aca="false">SUMIF($B$35:$B$454,"fixedval",$C$35:$C$454)*VST_RenYield</f>
        <v>80.262</v>
      </c>
      <c r="Q20" s="9" t="n">
        <f aca="false">SUMIF($B$35:$B$454,"fixedval",$C$35:$C$454)*VST_RenYield</f>
        <v>80.262</v>
      </c>
      <c r="R20" s="9" t="n">
        <f aca="false">SUMIF($B$35:$B$454,"fixedval",$C$35:$C$454)*VST_RenYield</f>
        <v>80.262</v>
      </c>
      <c r="S20" s="9" t="n">
        <f aca="false">SUMIF($B$35:$B$454,"fixedval",$C$35:$C$454)*VST_RenYield</f>
        <v>80.262</v>
      </c>
      <c r="T20" s="9" t="n">
        <f aca="false">SUMIF($B$35:$B$454,"fixedval",$C$35:$C$454)*VST_RenYield</f>
        <v>80.262</v>
      </c>
      <c r="U20" s="9" t="n">
        <f aca="false">SUMIF($B$35:$B$454,"fixedval",$C$35:$C$454)*VST_RenYield</f>
        <v>80.262</v>
      </c>
      <c r="V20" s="9" t="n">
        <f aca="false">SUMIF($B$35:$B$454,"fixedval",$C$35:$C$454)*VST_RenYield</f>
        <v>80.262</v>
      </c>
      <c r="W20" s="9" t="n">
        <f aca="false">SUMIF($B$35:$B$454,"fixedval",$C$35:$C$454)*VST_RenYield</f>
        <v>80.262</v>
      </c>
      <c r="X20" s="9" t="n">
        <f aca="false">SUMIF($B$35:$B$454,"fixedval",$C$35:$C$454)*VST_RenYield</f>
        <v>80.262</v>
      </c>
      <c r="Y20" s="9" t="n">
        <f aca="false">SUMIF($B$35:$B$454,"fixedval",$C$35:$C$454)*VST_RenYield</f>
        <v>80.262</v>
      </c>
      <c r="Z20" s="9" t="n">
        <f aca="false">SUMIF($B$35:$B$454,"fixedval",$C$35:$C$454)*VST_RenYield</f>
        <v>80.262</v>
      </c>
      <c r="AA20" s="9" t="n">
        <f aca="false">SUMIF($B$35:$B$454,"fixedval",$C$35:$C$454)*VST_RenYield</f>
        <v>80.262</v>
      </c>
      <c r="AB20" s="9" t="n">
        <f aca="false">SUMIF($B$35:$B$454,"fixedval",$C$35:$C$454)*VST_RenYield</f>
        <v>80.262</v>
      </c>
      <c r="AC20" s="9" t="n">
        <f aca="false">SUMIF($B$35:$B$454,"fixedval",$C$35:$C$454)*VST_RenYield</f>
        <v>80.262</v>
      </c>
      <c r="AD20" s="9" t="n">
        <f aca="false">SUMIF($B$35:$B$454,"fixedval",$C$35:$C$454)*VST_RenYield</f>
        <v>80.262</v>
      </c>
      <c r="AE20" s="9" t="n">
        <f aca="false">SUMIF($B$35:$B$454,"fixedval",$C$35:$C$454)*VST_RenYield</f>
        <v>80.262</v>
      </c>
      <c r="AF20" s="9" t="n">
        <f aca="false">SUMIF($B$35:$B$454,"fixedval",$C$35:$C$454)*VST_RenYield</f>
        <v>80.262</v>
      </c>
      <c r="AG20" s="9" t="n">
        <f aca="false">SUMIF($B$35:$B$454,"fixedval",$C$35:$C$454)*VST_RenYield</f>
        <v>80.262</v>
      </c>
      <c r="AH20" s="9" t="n">
        <f aca="false">SUMIF($B$35:$B$454,"fixedval",$C$35:$C$454)*VST_RenYield</f>
        <v>80.262</v>
      </c>
      <c r="AI20" s="9" t="n">
        <f aca="false">SUMIF($B$35:$B$454,"fixedval",$C$35:$C$454)*VST_RenYield</f>
        <v>80.262</v>
      </c>
      <c r="AJ20" s="9" t="n">
        <f aca="false">SUMIF($B$35:$B$454,"fixedval",$C$35:$C$454)*VST_RenYield</f>
        <v>80.262</v>
      </c>
      <c r="AK20" s="9" t="n">
        <f aca="false">SUMIF($B$35:$B$454,"fixedval",$C$35:$C$454)*VST_RenYield</f>
        <v>80.262</v>
      </c>
      <c r="AL20" s="9" t="n">
        <f aca="false">SUMIF($B$35:$B$454,"fixedval",$C$35:$C$454)*VST_RenYield</f>
        <v>80.262</v>
      </c>
      <c r="AM20" s="9" t="n">
        <f aca="false">SUMIF($B$35:$B$454,"fixedval",$C$35:$C$454)*VST_RenYield</f>
        <v>80.262</v>
      </c>
      <c r="AN20" s="9" t="n">
        <f aca="false">SUMIF($B$35:$B$454,"fixedval",$C$35:$C$454)*VST_RenYield</f>
        <v>80.262</v>
      </c>
      <c r="AO20" s="9" t="n">
        <f aca="false">SUMIF($B$35:$B$454,"fixedval",$C$35:$C$454)*VST_RenYield</f>
        <v>80.262</v>
      </c>
      <c r="AP20" s="9" t="n">
        <f aca="false">SUMIF($B$35:$B$454,"fixedval",$C$35:$C$454)*VST_RenYield</f>
        <v>80.262</v>
      </c>
      <c r="AQ20" s="9" t="n">
        <f aca="false">SUMIF($B$35:$B$454,"fixedval",$C$35:$C$454)*VST_RenYield</f>
        <v>80.262</v>
      </c>
      <c r="AR20" s="9" t="n">
        <f aca="false">SUMIF($B$35:$B$454,"fixedval",$C$35:$C$454)*VST_RenYield</f>
        <v>80.262</v>
      </c>
      <c r="AS20" s="9" t="n">
        <f aca="false">SUMIF($B$35:$B$454,"fixedval",$C$35:$C$454)*VST_RenYield</f>
        <v>80.262</v>
      </c>
    </row>
    <row r="21" customFormat="false" ht="15" hidden="false" customHeight="false" outlineLevel="0" collapsed="false">
      <c r="A21" s="49" t="s">
        <v>401</v>
      </c>
      <c r="B21" s="50" t="s">
        <v>402</v>
      </c>
      <c r="C21" s="51" t="n">
        <f aca="false">SUM(G21:AS21)</f>
        <v>141384.117284408</v>
      </c>
      <c r="D21" s="52"/>
      <c r="E21" s="52"/>
      <c r="F21" s="52"/>
      <c r="G21" s="51" t="n">
        <f aca="false">G18+G19+G20</f>
        <v>7764.80310639348</v>
      </c>
      <c r="H21" s="51" t="n">
        <f aca="false">H18+H19+H20</f>
        <v>6974.91391166544</v>
      </c>
      <c r="I21" s="51" t="n">
        <f aca="false">I18+I19+I20</f>
        <v>6063.32384325379</v>
      </c>
      <c r="J21" s="51" t="n">
        <f aca="false">J18+J19+J20</f>
        <v>5772.20550122966</v>
      </c>
      <c r="K21" s="51" t="n">
        <f aca="false">K18+K19+K20</f>
        <v>5890.02792192501</v>
      </c>
      <c r="L21" s="51" t="n">
        <f aca="false">L18+L19+L20</f>
        <v>6004.73902862575</v>
      </c>
      <c r="M21" s="51" t="n">
        <f aca="false">M18+M19+M20</f>
        <v>6066.33262927568</v>
      </c>
      <c r="N21" s="51" t="n">
        <f aca="false">N18+N19+N20</f>
        <v>6128.88631892854</v>
      </c>
      <c r="O21" s="51" t="n">
        <f aca="false">O18+O19+O20</f>
        <v>6192.41250478915</v>
      </c>
      <c r="P21" s="51" t="n">
        <f aca="false">P18+P19+P20</f>
        <v>6069.73853400094</v>
      </c>
      <c r="Q21" s="51" t="n">
        <f aca="false">Q18+Q19+Q20</f>
        <v>6131.50354156248</v>
      </c>
      <c r="R21" s="51" t="n">
        <f aca="false">R18+R19+R20</f>
        <v>6194.20385168528</v>
      </c>
      <c r="S21" s="51" t="n">
        <f aca="false">S18+S19+S20</f>
        <v>5970.21677242851</v>
      </c>
      <c r="T21" s="51" t="n">
        <f aca="false">T18+T19+T20</f>
        <v>6029.06866467096</v>
      </c>
      <c r="U21" s="51" t="n">
        <f aca="false">U18+U19+U20</f>
        <v>5878.03906183641</v>
      </c>
      <c r="V21" s="51" t="n">
        <f aca="false">V18+V19+V20</f>
        <v>5934.39319406792</v>
      </c>
      <c r="W21" s="51" t="n">
        <f aca="false">W18+W19+W20</f>
        <v>5991.53498920693</v>
      </c>
      <c r="X21" s="51" t="n">
        <f aca="false">X18+X19+X20</f>
        <v>6049.47171501815</v>
      </c>
      <c r="Y21" s="51" t="n">
        <f aca="false">Y18+Y19+Y20</f>
        <v>6108.21057248428</v>
      </c>
      <c r="Z21" s="51" t="n">
        <f aca="false">Z18+Z19+Z20</f>
        <v>2690.56368754656</v>
      </c>
      <c r="AA21" s="51" t="n">
        <f aca="false">AA18+AA19+AA20</f>
        <v>2681.38421064922</v>
      </c>
      <c r="AB21" s="51" t="n">
        <f aca="false">AB18+AB19+AB20</f>
        <v>2954.71890861266</v>
      </c>
      <c r="AC21" s="51" t="n">
        <f aca="false">AC18+AC19+AC20</f>
        <v>2996.06951054328</v>
      </c>
      <c r="AD21" s="51" t="n">
        <f aca="false">AD18+AD19+AD20</f>
        <v>3037.84366110647</v>
      </c>
      <c r="AE21" s="51" t="n">
        <f aca="false">AE18+AE19+AE20</f>
        <v>1858.32644902089</v>
      </c>
      <c r="AF21" s="51" t="n">
        <f aca="false">AF18+AF19+AF20</f>
        <v>1876.50829962147</v>
      </c>
      <c r="AG21" s="51" t="n">
        <f aca="false">AG18+AG19+AG20</f>
        <v>1894.61930127456</v>
      </c>
      <c r="AH21" s="51" t="n">
        <f aca="false">AH18+AH19+AH20</f>
        <v>1678.6101116877</v>
      </c>
      <c r="AI21" s="51" t="n">
        <f aca="false">AI18+AI19+AI20</f>
        <v>1698.82748129731</v>
      </c>
      <c r="AJ21" s="51" t="n">
        <f aca="false">AJ18+AJ19+AJ20</f>
        <v>80.262</v>
      </c>
      <c r="AK21" s="51" t="n">
        <f aca="false">AK18+AK19+AK20</f>
        <v>80.262</v>
      </c>
      <c r="AL21" s="51" t="n">
        <f aca="false">AL18+AL19+AL20</f>
        <v>80.262</v>
      </c>
      <c r="AM21" s="51" t="n">
        <f aca="false">AM18+AM19+AM20</f>
        <v>80.262</v>
      </c>
      <c r="AN21" s="51" t="n">
        <f aca="false">AN18+AN19+AN20</f>
        <v>80.262</v>
      </c>
      <c r="AO21" s="51" t="n">
        <f aca="false">AO18+AO19+AO20</f>
        <v>80.262</v>
      </c>
      <c r="AP21" s="51" t="n">
        <f aca="false">AP18+AP19+AP20</f>
        <v>80.262</v>
      </c>
      <c r="AQ21" s="51" t="n">
        <f aca="false">AQ18+AQ19+AQ20</f>
        <v>80.262</v>
      </c>
      <c r="AR21" s="51" t="n">
        <f aca="false">AR18+AR19+AR20</f>
        <v>80.262</v>
      </c>
      <c r="AS21" s="51" t="n">
        <f aca="false">AS18+AS19+AS20</f>
        <v>80.262</v>
      </c>
    </row>
    <row r="22" customFormat="false" ht="15" hidden="false" customHeight="false" outlineLevel="0" collapsed="false">
      <c r="A22" s="6" t="s">
        <v>403</v>
      </c>
      <c r="B22" s="6" t="s">
        <v>404</v>
      </c>
      <c r="C22" s="9" t="n">
        <f aca="false">SUM(G22:AS22)</f>
        <v>86905.1013934265</v>
      </c>
      <c r="G22" s="9" t="n">
        <f aca="false">VST_PlatEBITDA*G$4</f>
        <v>1492.26</v>
      </c>
      <c r="H22" s="9" t="n">
        <f aca="false">VST_PlatEBITDA*H$4</f>
        <v>1522.1052</v>
      </c>
      <c r="I22" s="9" t="n">
        <f aca="false">VST_PlatEBITDA*I$4</f>
        <v>1552.547304</v>
      </c>
      <c r="J22" s="9" t="n">
        <f aca="false">VST_PlatEBITDA*J$4</f>
        <v>1583.59825008</v>
      </c>
      <c r="K22" s="9" t="n">
        <f aca="false">VST_PlatEBITDA*K$4</f>
        <v>1615.2702150816</v>
      </c>
      <c r="L22" s="9" t="n">
        <f aca="false">VST_PlatEBITDA*L$4</f>
        <v>1647.57561938323</v>
      </c>
      <c r="M22" s="9" t="n">
        <f aca="false">VST_PlatEBITDA*M$4</f>
        <v>1680.5271317709</v>
      </c>
      <c r="N22" s="9" t="n">
        <f aca="false">VST_PlatEBITDA*N$4</f>
        <v>1714.13767440631</v>
      </c>
      <c r="O22" s="9" t="n">
        <f aca="false">VST_PlatEBITDA*O$4</f>
        <v>1748.42042789444</v>
      </c>
      <c r="P22" s="9" t="n">
        <f aca="false">VST_PlatEBITDA*P$4</f>
        <v>1783.38883645233</v>
      </c>
      <c r="Q22" s="9" t="n">
        <f aca="false">VST_PlatEBITDA*Q$4</f>
        <v>1819.05661318138</v>
      </c>
      <c r="R22" s="9" t="n">
        <f aca="false">VST_PlatEBITDA*R$4</f>
        <v>1855.437745445</v>
      </c>
      <c r="S22" s="9" t="n">
        <f aca="false">VST_PlatEBITDA*S$4</f>
        <v>1892.5465003539</v>
      </c>
      <c r="T22" s="9" t="n">
        <f aca="false">VST_PlatEBITDA*T$4</f>
        <v>1930.39743036098</v>
      </c>
      <c r="U22" s="9" t="n">
        <f aca="false">VST_PlatEBITDA*U$4</f>
        <v>1969.0053789682</v>
      </c>
      <c r="V22" s="9" t="n">
        <f aca="false">VST_PlatEBITDA*V$4</f>
        <v>2008.38548654757</v>
      </c>
      <c r="W22" s="9" t="n">
        <f aca="false">VST_PlatEBITDA*W$4</f>
        <v>2048.55319627852</v>
      </c>
      <c r="X22" s="9" t="n">
        <f aca="false">VST_PlatEBITDA*X$4</f>
        <v>2089.52426020409</v>
      </c>
      <c r="Y22" s="9" t="n">
        <f aca="false">VST_PlatEBITDA*Y$4</f>
        <v>2131.31474540817</v>
      </c>
      <c r="Z22" s="9" t="n">
        <f aca="false">VST_PlatEBITDA*Z$4</f>
        <v>2173.94104031633</v>
      </c>
      <c r="AA22" s="9" t="n">
        <f aca="false">VST_PlatEBITDA*AA$4</f>
        <v>2217.41986112266</v>
      </c>
      <c r="AB22" s="9" t="n">
        <f aca="false">VST_PlatEBITDA*AB$4</f>
        <v>2261.76825834511</v>
      </c>
      <c r="AC22" s="9" t="n">
        <f aca="false">VST_PlatEBITDA*AC$4</f>
        <v>2307.00362351202</v>
      </c>
      <c r="AD22" s="9" t="n">
        <f aca="false">VST_PlatEBITDA*AD$4</f>
        <v>2353.14369598226</v>
      </c>
      <c r="AE22" s="9" t="n">
        <f aca="false">VST_PlatEBITDA*AE$4</f>
        <v>2400.2065699019</v>
      </c>
      <c r="AF22" s="9" t="n">
        <f aca="false">VST_PlatEBITDA*AF$4</f>
        <v>2448.21070129994</v>
      </c>
      <c r="AG22" s="9" t="n">
        <f aca="false">VST_PlatEBITDA*AG$4</f>
        <v>2497.17491532594</v>
      </c>
      <c r="AH22" s="9" t="n">
        <f aca="false">VST_PlatEBITDA*AH$4</f>
        <v>2547.11841363246</v>
      </c>
      <c r="AI22" s="9" t="n">
        <f aca="false">VST_PlatEBITDA*AI$4</f>
        <v>2598.06078190511</v>
      </c>
      <c r="AJ22" s="9" t="n">
        <f aca="false">VST_PlatEBITDA*AJ$4</f>
        <v>2650.02199754321</v>
      </c>
      <c r="AK22" s="9" t="n">
        <f aca="false">VST_PlatEBITDA*AK$4</f>
        <v>2703.02243749407</v>
      </c>
      <c r="AL22" s="9" t="n">
        <f aca="false">VST_PlatEBITDA*AL$4</f>
        <v>2757.08288624395</v>
      </c>
      <c r="AM22" s="9" t="n">
        <f aca="false">VST_PlatEBITDA*AM$4</f>
        <v>2812.22454396883</v>
      </c>
      <c r="AN22" s="9" t="n">
        <f aca="false">VST_PlatEBITDA*AN$4</f>
        <v>2868.46903484821</v>
      </c>
      <c r="AO22" s="9" t="n">
        <f aca="false">VST_PlatEBITDA*AO$4</f>
        <v>2925.83841554517</v>
      </c>
      <c r="AP22" s="9" t="n">
        <f aca="false">VST_PlatEBITDA*AP$4</f>
        <v>2984.35518385608</v>
      </c>
      <c r="AQ22" s="9" t="n">
        <f aca="false">VST_PlatEBITDA*AQ$4</f>
        <v>3044.0422875332</v>
      </c>
      <c r="AR22" s="9" t="n">
        <f aca="false">VST_PlatEBITDA*AR$4</f>
        <v>3104.92313328386</v>
      </c>
      <c r="AS22" s="9" t="n">
        <f aca="false">VST_PlatEBITDA*AS$4</f>
        <v>3167.02159594954</v>
      </c>
    </row>
    <row r="23" customFormat="false" ht="15" hidden="false" customHeight="false" outlineLevel="0" collapsed="false">
      <c r="A23" s="6" t="s">
        <v>405</v>
      </c>
      <c r="B23" s="6" t="s">
        <v>406</v>
      </c>
      <c r="C23" s="9" t="n">
        <f aca="false">SUM(G23:AS23)</f>
        <v>20790.6941132599</v>
      </c>
      <c r="G23" s="9" t="n">
        <f aca="false">VST_OH*G$4</f>
        <v>357</v>
      </c>
      <c r="H23" s="9" t="n">
        <f aca="false">VST_OH*H$4</f>
        <v>364.14</v>
      </c>
      <c r="I23" s="9" t="n">
        <f aca="false">VST_OH*I$4</f>
        <v>371.4228</v>
      </c>
      <c r="J23" s="9" t="n">
        <f aca="false">VST_OH*J$4</f>
        <v>378.851256</v>
      </c>
      <c r="K23" s="9" t="n">
        <f aca="false">VST_OH*K$4</f>
        <v>386.42828112</v>
      </c>
      <c r="L23" s="9" t="n">
        <f aca="false">VST_OH*L$4</f>
        <v>394.1568467424</v>
      </c>
      <c r="M23" s="9" t="n">
        <f aca="false">VST_OH*M$4</f>
        <v>402.039983677248</v>
      </c>
      <c r="N23" s="9" t="n">
        <f aca="false">VST_OH*N$4</f>
        <v>410.080783350793</v>
      </c>
      <c r="O23" s="9" t="n">
        <f aca="false">VST_OH*O$4</f>
        <v>418.282399017809</v>
      </c>
      <c r="P23" s="9" t="n">
        <f aca="false">VST_OH*P$4</f>
        <v>426.648046998165</v>
      </c>
      <c r="Q23" s="9" t="n">
        <f aca="false">VST_OH*Q$4</f>
        <v>435.181007938128</v>
      </c>
      <c r="R23" s="9" t="n">
        <f aca="false">VST_OH*R$4</f>
        <v>443.884628096891</v>
      </c>
      <c r="S23" s="9" t="n">
        <f aca="false">VST_OH*S$4</f>
        <v>452.762320658829</v>
      </c>
      <c r="T23" s="9" t="n">
        <f aca="false">VST_OH*T$4</f>
        <v>461.817567072005</v>
      </c>
      <c r="U23" s="9" t="n">
        <f aca="false">VST_OH*U$4</f>
        <v>471.053918413445</v>
      </c>
      <c r="V23" s="9" t="n">
        <f aca="false">VST_OH*V$4</f>
        <v>480.474996781714</v>
      </c>
      <c r="W23" s="9" t="n">
        <f aca="false">VST_OH*W$4</f>
        <v>490.084496717349</v>
      </c>
      <c r="X23" s="9" t="n">
        <f aca="false">VST_OH*X$4</f>
        <v>499.886186651696</v>
      </c>
      <c r="Y23" s="9" t="n">
        <f aca="false">VST_OH*Y$4</f>
        <v>509.88391038473</v>
      </c>
      <c r="Z23" s="9" t="n">
        <f aca="false">VST_OH*Z$4</f>
        <v>520.081588592424</v>
      </c>
      <c r="AA23" s="9" t="n">
        <f aca="false">VST_OH*AA$4</f>
        <v>530.483220364273</v>
      </c>
      <c r="AB23" s="9" t="n">
        <f aca="false">VST_OH*AB$4</f>
        <v>541.092884771558</v>
      </c>
      <c r="AC23" s="9" t="n">
        <f aca="false">VST_OH*AC$4</f>
        <v>551.914742466989</v>
      </c>
      <c r="AD23" s="9" t="n">
        <f aca="false">VST_OH*AD$4</f>
        <v>562.953037316329</v>
      </c>
      <c r="AE23" s="9" t="n">
        <f aca="false">VST_OH*AE$4</f>
        <v>574.212098062656</v>
      </c>
      <c r="AF23" s="9" t="n">
        <f aca="false">VST_OH*AF$4</f>
        <v>585.696340023909</v>
      </c>
      <c r="AG23" s="9" t="n">
        <f aca="false">VST_OH*AG$4</f>
        <v>597.410266824387</v>
      </c>
      <c r="AH23" s="9" t="n">
        <f aca="false">VST_OH*AH$4</f>
        <v>609.358472160875</v>
      </c>
      <c r="AI23" s="9" t="n">
        <f aca="false">VST_OH*AI$4</f>
        <v>621.545641604092</v>
      </c>
      <c r="AJ23" s="9" t="n">
        <f aca="false">VST_OH*AJ$4</f>
        <v>633.976554436174</v>
      </c>
      <c r="AK23" s="9" t="n">
        <f aca="false">VST_OH*AK$4</f>
        <v>646.656085524898</v>
      </c>
      <c r="AL23" s="9" t="n">
        <f aca="false">VST_OH*AL$4</f>
        <v>659.589207235396</v>
      </c>
      <c r="AM23" s="9" t="n">
        <f aca="false">VST_OH*AM$4</f>
        <v>672.780991380104</v>
      </c>
      <c r="AN23" s="9" t="n">
        <f aca="false">VST_OH*AN$4</f>
        <v>686.236611207706</v>
      </c>
      <c r="AO23" s="9" t="n">
        <f aca="false">VST_OH*AO$4</f>
        <v>699.96134343186</v>
      </c>
      <c r="AP23" s="9" t="n">
        <f aca="false">VST_OH*AP$4</f>
        <v>713.960570300497</v>
      </c>
      <c r="AQ23" s="9" t="n">
        <f aca="false">VST_OH*AQ$4</f>
        <v>728.239781706507</v>
      </c>
      <c r="AR23" s="9" t="n">
        <f aca="false">VST_OH*AR$4</f>
        <v>742.804577340637</v>
      </c>
      <c r="AS23" s="9" t="n">
        <f aca="false">VST_OH*AS$4</f>
        <v>757.66066888745</v>
      </c>
    </row>
    <row r="24" customFormat="false" ht="15" hidden="false" customHeight="false" outlineLevel="0" collapsed="false">
      <c r="A24" s="6" t="s">
        <v>407</v>
      </c>
      <c r="B24" s="6" t="s">
        <v>408</v>
      </c>
      <c r="C24" s="9" t="n">
        <f aca="false">SUM(G24:AS24)</f>
        <v>50144.64</v>
      </c>
      <c r="G24" s="9" t="n">
        <f aca="false">VST_NetDebt*1000*VST_CoD</f>
        <v>1285.76</v>
      </c>
      <c r="H24" s="9" t="n">
        <f aca="false">VST_NetDebt*1000*VST_CoD</f>
        <v>1285.76</v>
      </c>
      <c r="I24" s="9" t="n">
        <f aca="false">VST_NetDebt*1000*VST_CoD</f>
        <v>1285.76</v>
      </c>
      <c r="J24" s="9" t="n">
        <f aca="false">VST_NetDebt*1000*VST_CoD</f>
        <v>1285.76</v>
      </c>
      <c r="K24" s="9" t="n">
        <f aca="false">VST_NetDebt*1000*VST_CoD</f>
        <v>1285.76</v>
      </c>
      <c r="L24" s="9" t="n">
        <f aca="false">VST_NetDebt*1000*VST_CoD</f>
        <v>1285.76</v>
      </c>
      <c r="M24" s="9" t="n">
        <f aca="false">VST_NetDebt*1000*VST_CoD</f>
        <v>1285.76</v>
      </c>
      <c r="N24" s="9" t="n">
        <f aca="false">VST_NetDebt*1000*VST_CoD</f>
        <v>1285.76</v>
      </c>
      <c r="O24" s="9" t="n">
        <f aca="false">VST_NetDebt*1000*VST_CoD</f>
        <v>1285.76</v>
      </c>
      <c r="P24" s="9" t="n">
        <f aca="false">VST_NetDebt*1000*VST_CoD</f>
        <v>1285.76</v>
      </c>
      <c r="Q24" s="9" t="n">
        <f aca="false">VST_NetDebt*1000*VST_CoD</f>
        <v>1285.76</v>
      </c>
      <c r="R24" s="9" t="n">
        <f aca="false">VST_NetDebt*1000*VST_CoD</f>
        <v>1285.76</v>
      </c>
      <c r="S24" s="9" t="n">
        <f aca="false">VST_NetDebt*1000*VST_CoD</f>
        <v>1285.76</v>
      </c>
      <c r="T24" s="9" t="n">
        <f aca="false">VST_NetDebt*1000*VST_CoD</f>
        <v>1285.76</v>
      </c>
      <c r="U24" s="9" t="n">
        <f aca="false">VST_NetDebt*1000*VST_CoD</f>
        <v>1285.76</v>
      </c>
      <c r="V24" s="9" t="n">
        <f aca="false">VST_NetDebt*1000*VST_CoD</f>
        <v>1285.76</v>
      </c>
      <c r="W24" s="9" t="n">
        <f aca="false">VST_NetDebt*1000*VST_CoD</f>
        <v>1285.76</v>
      </c>
      <c r="X24" s="9" t="n">
        <f aca="false">VST_NetDebt*1000*VST_CoD</f>
        <v>1285.76</v>
      </c>
      <c r="Y24" s="9" t="n">
        <f aca="false">VST_NetDebt*1000*VST_CoD</f>
        <v>1285.76</v>
      </c>
      <c r="Z24" s="9" t="n">
        <f aca="false">VST_NetDebt*1000*VST_CoD</f>
        <v>1285.76</v>
      </c>
      <c r="AA24" s="9" t="n">
        <f aca="false">VST_NetDebt*1000*VST_CoD</f>
        <v>1285.76</v>
      </c>
      <c r="AB24" s="9" t="n">
        <f aca="false">VST_NetDebt*1000*VST_CoD</f>
        <v>1285.76</v>
      </c>
      <c r="AC24" s="9" t="n">
        <f aca="false">VST_NetDebt*1000*VST_CoD</f>
        <v>1285.76</v>
      </c>
      <c r="AD24" s="9" t="n">
        <f aca="false">VST_NetDebt*1000*VST_CoD</f>
        <v>1285.76</v>
      </c>
      <c r="AE24" s="9" t="n">
        <f aca="false">VST_NetDebt*1000*VST_CoD</f>
        <v>1285.76</v>
      </c>
      <c r="AF24" s="9" t="n">
        <f aca="false">VST_NetDebt*1000*VST_CoD</f>
        <v>1285.76</v>
      </c>
      <c r="AG24" s="9" t="n">
        <f aca="false">VST_NetDebt*1000*VST_CoD</f>
        <v>1285.76</v>
      </c>
      <c r="AH24" s="9" t="n">
        <f aca="false">VST_NetDebt*1000*VST_CoD</f>
        <v>1285.76</v>
      </c>
      <c r="AI24" s="9" t="n">
        <f aca="false">VST_NetDebt*1000*VST_CoD</f>
        <v>1285.76</v>
      </c>
      <c r="AJ24" s="9" t="n">
        <f aca="false">VST_NetDebt*1000*VST_CoD</f>
        <v>1285.76</v>
      </c>
      <c r="AK24" s="9" t="n">
        <f aca="false">VST_NetDebt*1000*VST_CoD</f>
        <v>1285.76</v>
      </c>
      <c r="AL24" s="9" t="n">
        <f aca="false">VST_NetDebt*1000*VST_CoD</f>
        <v>1285.76</v>
      </c>
      <c r="AM24" s="9" t="n">
        <f aca="false">VST_NetDebt*1000*VST_CoD</f>
        <v>1285.76</v>
      </c>
      <c r="AN24" s="9" t="n">
        <f aca="false">VST_NetDebt*1000*VST_CoD</f>
        <v>1285.76</v>
      </c>
      <c r="AO24" s="9" t="n">
        <f aca="false">VST_NetDebt*1000*VST_CoD</f>
        <v>1285.76</v>
      </c>
      <c r="AP24" s="9" t="n">
        <f aca="false">VST_NetDebt*1000*VST_CoD</f>
        <v>1285.76</v>
      </c>
      <c r="AQ24" s="9" t="n">
        <f aca="false">VST_NetDebt*1000*VST_CoD</f>
        <v>1285.76</v>
      </c>
      <c r="AR24" s="9" t="n">
        <f aca="false">VST_NetDebt*1000*VST_CoD</f>
        <v>1285.76</v>
      </c>
      <c r="AS24" s="9" t="n">
        <f aca="false">VST_NetDebt*1000*VST_CoD</f>
        <v>1285.76</v>
      </c>
    </row>
    <row r="25" customFormat="false" ht="15" hidden="false" customHeight="false" outlineLevel="0" collapsed="false">
      <c r="A25" s="6" t="s">
        <v>409</v>
      </c>
      <c r="B25" s="6" t="s">
        <v>410</v>
      </c>
      <c r="C25" s="9" t="n">
        <f aca="false">SUM(G25:AS25)</f>
        <v>157353.884564575</v>
      </c>
      <c r="G25" s="9" t="n">
        <f aca="false">G21-G19+G22-G23-G24</f>
        <v>7614.30310639348</v>
      </c>
      <c r="H25" s="9" t="n">
        <f aca="false">H21-H19+H22-H23-H24</f>
        <v>6847.11911166544</v>
      </c>
      <c r="I25" s="9" t="n">
        <f aca="false">I21-I19+I22-I23-I24</f>
        <v>5958.68834725379</v>
      </c>
      <c r="J25" s="9" t="n">
        <f aca="false">J21-J19+J22-J23-J24</f>
        <v>5691.19249530966</v>
      </c>
      <c r="K25" s="9" t="n">
        <f aca="false">K21-K19+K22-K23-K24</f>
        <v>5833.10985588661</v>
      </c>
      <c r="L25" s="9" t="n">
        <f aca="false">L21-L19+L22-L23-L24</f>
        <v>5972.39780126658</v>
      </c>
      <c r="M25" s="9" t="n">
        <f aca="false">M21-M19+M22-M23-M24</f>
        <v>6059.05977736932</v>
      </c>
      <c r="N25" s="9" t="n">
        <f aca="false">N21-N19+N22-N23-N24</f>
        <v>6147.18320998406</v>
      </c>
      <c r="O25" s="9" t="n">
        <f aca="false">O21-O19+O22-O23-O24</f>
        <v>6236.79053366578</v>
      </c>
      <c r="P25" s="9" t="n">
        <f aca="false">P21-P19+P22-P23-P24</f>
        <v>6140.71932345511</v>
      </c>
      <c r="Q25" s="9" t="n">
        <f aca="false">Q21-Q19+Q22-Q23-Q24</f>
        <v>6229.61914680572</v>
      </c>
      <c r="R25" s="9" t="n">
        <f aca="false">R21-R19+R22-R23-R24</f>
        <v>6319.99696903339</v>
      </c>
      <c r="S25" s="9" t="n">
        <f aca="false">S21-S19+S22-S23-S24</f>
        <v>6124.24095212358</v>
      </c>
      <c r="T25" s="9" t="n">
        <f aca="false">T21-T19+T22-T23-T24</f>
        <v>6211.88852795994</v>
      </c>
      <c r="U25" s="9" t="n">
        <f aca="false">U21-U19+U22-U23-U24</f>
        <v>6090.23052239117</v>
      </c>
      <c r="V25" s="9" t="n">
        <f aca="false">V21-V19+V22-V23-V24</f>
        <v>6176.54368383377</v>
      </c>
      <c r="W25" s="9" t="n">
        <f aca="false">W21-W19+W22-W23-W24</f>
        <v>6264.2436887681</v>
      </c>
      <c r="X25" s="9" t="n">
        <f aca="false">X21-X19+X22-X23-X24</f>
        <v>6353.34978857055</v>
      </c>
      <c r="Y25" s="9" t="n">
        <f aca="false">Y21-Y19+Y22-Y23-Y24</f>
        <v>6443.88140750772</v>
      </c>
      <c r="Z25" s="9" t="n">
        <f aca="false">Z21-Z19+Z22-Z23-Z24</f>
        <v>3058.66313927047</v>
      </c>
      <c r="AA25" s="9" t="n">
        <f aca="false">AA21-AA19+AA22-AA23-AA24</f>
        <v>3082.56085140761</v>
      </c>
      <c r="AB25" s="9" t="n">
        <f aca="false">AB21-AB19+AB22-AB23-AB24</f>
        <v>3389.63428218622</v>
      </c>
      <c r="AC25" s="9" t="n">
        <f aca="false">AC21-AC19+AC22-AC23-AC24</f>
        <v>3465.39839158831</v>
      </c>
      <c r="AD25" s="9" t="n">
        <f aca="false">AD21-AD19+AD22-AD23-AD24</f>
        <v>3542.2743197724</v>
      </c>
      <c r="AE25" s="9" t="n">
        <f aca="false">AE21-AE19+AE22-AE23-AE24</f>
        <v>2398.56092086014</v>
      </c>
      <c r="AF25" s="9" t="n">
        <f aca="false">AF21-AF19+AF22-AF23-AF24</f>
        <v>2453.2626608975</v>
      </c>
      <c r="AG25" s="9" t="n">
        <f aca="false">AG21-AG19+AG22-AG23-AG24</f>
        <v>2508.62394977611</v>
      </c>
      <c r="AH25" s="9" t="n">
        <f aca="false">AH21-AH19+AH22-AH23-AH24</f>
        <v>2330.61005315928</v>
      </c>
      <c r="AI25" s="9" t="n">
        <f aca="false">AI21-AI19+AI22-AI23-AI24</f>
        <v>2389.58262159832</v>
      </c>
      <c r="AJ25" s="9" t="n">
        <f aca="false">AJ21-AJ19+AJ22-AJ23-AJ24</f>
        <v>810.547443107035</v>
      </c>
      <c r="AK25" s="9" t="n">
        <f aca="false">AK21-AK19+AK22-AK23-AK24</f>
        <v>850.868351969175</v>
      </c>
      <c r="AL25" s="9" t="n">
        <f aca="false">AL21-AL19+AL22-AL23-AL24</f>
        <v>891.995679008558</v>
      </c>
      <c r="AM25" s="9" t="n">
        <f aca="false">AM21-AM19+AM22-AM23-AM24</f>
        <v>933.94555258873</v>
      </c>
      <c r="AN25" s="9" t="n">
        <f aca="false">AN21-AN19+AN22-AN23-AN24</f>
        <v>976.734423640504</v>
      </c>
      <c r="AO25" s="9" t="n">
        <f aca="false">AO21-AO19+AO22-AO23-AO24</f>
        <v>1020.37907211331</v>
      </c>
      <c r="AP25" s="9" t="n">
        <f aca="false">AP21-AP19+AP22-AP23-AP24</f>
        <v>1064.89661355558</v>
      </c>
      <c r="AQ25" s="9" t="n">
        <f aca="false">AQ21-AQ19+AQ22-AQ23-AQ24</f>
        <v>1110.30450582669</v>
      </c>
      <c r="AR25" s="9" t="n">
        <f aca="false">AR21-AR19+AR22-AR23-AR24</f>
        <v>1156.62055594323</v>
      </c>
      <c r="AS25" s="9" t="n">
        <f aca="false">AS21-AS19+AS22-AS23-AS24</f>
        <v>1203.86292706209</v>
      </c>
    </row>
    <row r="26" customFormat="false" ht="15" hidden="false" customHeight="false" outlineLevel="0" collapsed="false">
      <c r="A26" s="6" t="s">
        <v>411</v>
      </c>
      <c r="B26" s="6" t="s">
        <v>412</v>
      </c>
      <c r="C26" s="9" t="n">
        <f aca="false">SUM(G26:AS26)</f>
        <v>31470.776912915</v>
      </c>
      <c r="G26" s="9" t="n">
        <f aca="false">TaxRate*MAX(0,G25)</f>
        <v>1522.8606212787</v>
      </c>
      <c r="H26" s="9" t="n">
        <f aca="false">TaxRate*MAX(0,H25)</f>
        <v>1369.42382233309</v>
      </c>
      <c r="I26" s="9" t="n">
        <f aca="false">TaxRate*MAX(0,I25)</f>
        <v>1191.73766945076</v>
      </c>
      <c r="J26" s="9" t="n">
        <f aca="false">TaxRate*MAX(0,J25)</f>
        <v>1138.23849906193</v>
      </c>
      <c r="K26" s="9" t="n">
        <f aca="false">TaxRate*MAX(0,K25)</f>
        <v>1166.62197117732</v>
      </c>
      <c r="L26" s="9" t="n">
        <f aca="false">TaxRate*MAX(0,L25)</f>
        <v>1194.47956025332</v>
      </c>
      <c r="M26" s="9" t="n">
        <f aca="false">TaxRate*MAX(0,M25)</f>
        <v>1211.81195547386</v>
      </c>
      <c r="N26" s="9" t="n">
        <f aca="false">TaxRate*MAX(0,N25)</f>
        <v>1229.43664199681</v>
      </c>
      <c r="O26" s="9" t="n">
        <f aca="false">TaxRate*MAX(0,O25)</f>
        <v>1247.35810673316</v>
      </c>
      <c r="P26" s="9" t="n">
        <f aca="false">TaxRate*MAX(0,P25)</f>
        <v>1228.14386469102</v>
      </c>
      <c r="Q26" s="9" t="n">
        <f aca="false">TaxRate*MAX(0,Q25)</f>
        <v>1245.92382936115</v>
      </c>
      <c r="R26" s="9" t="n">
        <f aca="false">TaxRate*MAX(0,R25)</f>
        <v>1263.99939380668</v>
      </c>
      <c r="S26" s="9" t="n">
        <f aca="false">TaxRate*MAX(0,S25)</f>
        <v>1224.84819042472</v>
      </c>
      <c r="T26" s="9" t="n">
        <f aca="false">TaxRate*MAX(0,T25)</f>
        <v>1242.37770559199</v>
      </c>
      <c r="U26" s="9" t="n">
        <f aca="false">TaxRate*MAX(0,U25)</f>
        <v>1218.04610447823</v>
      </c>
      <c r="V26" s="9" t="n">
        <f aca="false">TaxRate*MAX(0,V25)</f>
        <v>1235.30873676675</v>
      </c>
      <c r="W26" s="9" t="n">
        <f aca="false">TaxRate*MAX(0,W25)</f>
        <v>1252.84873775362</v>
      </c>
      <c r="X26" s="9" t="n">
        <f aca="false">TaxRate*MAX(0,X25)</f>
        <v>1270.66995771411</v>
      </c>
      <c r="Y26" s="9" t="n">
        <f aca="false">TaxRate*MAX(0,Y25)</f>
        <v>1288.77628150154</v>
      </c>
      <c r="Z26" s="9" t="n">
        <f aca="false">TaxRate*MAX(0,Z25)</f>
        <v>611.732627854093</v>
      </c>
      <c r="AA26" s="9" t="n">
        <f aca="false">TaxRate*MAX(0,AA25)</f>
        <v>616.512170281521</v>
      </c>
      <c r="AB26" s="9" t="n">
        <f aca="false">TaxRate*MAX(0,AB25)</f>
        <v>677.926856437244</v>
      </c>
      <c r="AC26" s="9" t="n">
        <f aca="false">TaxRate*MAX(0,AC25)</f>
        <v>693.079678317662</v>
      </c>
      <c r="AD26" s="9" t="n">
        <f aca="false">TaxRate*MAX(0,AD25)</f>
        <v>708.45486395448</v>
      </c>
      <c r="AE26" s="9" t="n">
        <f aca="false">TaxRate*MAX(0,AE25)</f>
        <v>479.712184172027</v>
      </c>
      <c r="AF26" s="9" t="n">
        <f aca="false">TaxRate*MAX(0,AF25)</f>
        <v>490.6525321795</v>
      </c>
      <c r="AG26" s="9" t="n">
        <f aca="false">TaxRate*MAX(0,AG25)</f>
        <v>501.724789955222</v>
      </c>
      <c r="AH26" s="9" t="n">
        <f aca="false">TaxRate*MAX(0,AH25)</f>
        <v>466.122010631856</v>
      </c>
      <c r="AI26" s="9" t="n">
        <f aca="false">TaxRate*MAX(0,AI25)</f>
        <v>477.916524319664</v>
      </c>
      <c r="AJ26" s="9" t="n">
        <f aca="false">TaxRate*MAX(0,AJ25)</f>
        <v>162.109488621407</v>
      </c>
      <c r="AK26" s="9" t="n">
        <f aca="false">TaxRate*MAX(0,AK25)</f>
        <v>170.173670393835</v>
      </c>
      <c r="AL26" s="9" t="n">
        <f aca="false">TaxRate*MAX(0,AL25)</f>
        <v>178.399135801712</v>
      </c>
      <c r="AM26" s="9" t="n">
        <f aca="false">TaxRate*MAX(0,AM25)</f>
        <v>186.789110517746</v>
      </c>
      <c r="AN26" s="9" t="n">
        <f aca="false">TaxRate*MAX(0,AN25)</f>
        <v>195.346884728101</v>
      </c>
      <c r="AO26" s="9" t="n">
        <f aca="false">TaxRate*MAX(0,AO25)</f>
        <v>204.075814422663</v>
      </c>
      <c r="AP26" s="9" t="n">
        <f aca="false">TaxRate*MAX(0,AP25)</f>
        <v>212.979322711116</v>
      </c>
      <c r="AQ26" s="9" t="n">
        <f aca="false">TaxRate*MAX(0,AQ25)</f>
        <v>222.060901165338</v>
      </c>
      <c r="AR26" s="9" t="n">
        <f aca="false">TaxRate*MAX(0,AR25)</f>
        <v>231.324111188645</v>
      </c>
      <c r="AS26" s="9" t="n">
        <f aca="false">TaxRate*MAX(0,AS25)</f>
        <v>240.772585412418</v>
      </c>
    </row>
    <row r="27" customFormat="false" ht="15" hidden="false" customHeight="false" outlineLevel="0" collapsed="false">
      <c r="A27" s="6" t="s">
        <v>413</v>
      </c>
      <c r="B27" s="6" t="s">
        <v>414</v>
      </c>
      <c r="C27" s="9" t="n">
        <f aca="false">SUM(G27:AS27)</f>
        <v>7242.3</v>
      </c>
      <c r="G27" s="9" t="n">
        <f aca="false">VST_Pref*1000*VST_PrefRate</f>
        <v>185.7</v>
      </c>
      <c r="H27" s="9" t="n">
        <f aca="false">VST_Pref*1000*VST_PrefRate</f>
        <v>185.7</v>
      </c>
      <c r="I27" s="9" t="n">
        <f aca="false">VST_Pref*1000*VST_PrefRate</f>
        <v>185.7</v>
      </c>
      <c r="J27" s="9" t="n">
        <f aca="false">VST_Pref*1000*VST_PrefRate</f>
        <v>185.7</v>
      </c>
      <c r="K27" s="9" t="n">
        <f aca="false">VST_Pref*1000*VST_PrefRate</f>
        <v>185.7</v>
      </c>
      <c r="L27" s="9" t="n">
        <f aca="false">VST_Pref*1000*VST_PrefRate</f>
        <v>185.7</v>
      </c>
      <c r="M27" s="9" t="n">
        <f aca="false">VST_Pref*1000*VST_PrefRate</f>
        <v>185.7</v>
      </c>
      <c r="N27" s="9" t="n">
        <f aca="false">VST_Pref*1000*VST_PrefRate</f>
        <v>185.7</v>
      </c>
      <c r="O27" s="9" t="n">
        <f aca="false">VST_Pref*1000*VST_PrefRate</f>
        <v>185.7</v>
      </c>
      <c r="P27" s="9" t="n">
        <f aca="false">VST_Pref*1000*VST_PrefRate</f>
        <v>185.7</v>
      </c>
      <c r="Q27" s="9" t="n">
        <f aca="false">VST_Pref*1000*VST_PrefRate</f>
        <v>185.7</v>
      </c>
      <c r="R27" s="9" t="n">
        <f aca="false">VST_Pref*1000*VST_PrefRate</f>
        <v>185.7</v>
      </c>
      <c r="S27" s="9" t="n">
        <f aca="false">VST_Pref*1000*VST_PrefRate</f>
        <v>185.7</v>
      </c>
      <c r="T27" s="9" t="n">
        <f aca="false">VST_Pref*1000*VST_PrefRate</f>
        <v>185.7</v>
      </c>
      <c r="U27" s="9" t="n">
        <f aca="false">VST_Pref*1000*VST_PrefRate</f>
        <v>185.7</v>
      </c>
      <c r="V27" s="9" t="n">
        <f aca="false">VST_Pref*1000*VST_PrefRate</f>
        <v>185.7</v>
      </c>
      <c r="W27" s="9" t="n">
        <f aca="false">VST_Pref*1000*VST_PrefRate</f>
        <v>185.7</v>
      </c>
      <c r="X27" s="9" t="n">
        <f aca="false">VST_Pref*1000*VST_PrefRate</f>
        <v>185.7</v>
      </c>
      <c r="Y27" s="9" t="n">
        <f aca="false">VST_Pref*1000*VST_PrefRate</f>
        <v>185.7</v>
      </c>
      <c r="Z27" s="9" t="n">
        <f aca="false">VST_Pref*1000*VST_PrefRate</f>
        <v>185.7</v>
      </c>
      <c r="AA27" s="9" t="n">
        <f aca="false">VST_Pref*1000*VST_PrefRate</f>
        <v>185.7</v>
      </c>
      <c r="AB27" s="9" t="n">
        <f aca="false">VST_Pref*1000*VST_PrefRate</f>
        <v>185.7</v>
      </c>
      <c r="AC27" s="9" t="n">
        <f aca="false">VST_Pref*1000*VST_PrefRate</f>
        <v>185.7</v>
      </c>
      <c r="AD27" s="9" t="n">
        <f aca="false">VST_Pref*1000*VST_PrefRate</f>
        <v>185.7</v>
      </c>
      <c r="AE27" s="9" t="n">
        <f aca="false">VST_Pref*1000*VST_PrefRate</f>
        <v>185.7</v>
      </c>
      <c r="AF27" s="9" t="n">
        <f aca="false">VST_Pref*1000*VST_PrefRate</f>
        <v>185.7</v>
      </c>
      <c r="AG27" s="9" t="n">
        <f aca="false">VST_Pref*1000*VST_PrefRate</f>
        <v>185.7</v>
      </c>
      <c r="AH27" s="9" t="n">
        <f aca="false">VST_Pref*1000*VST_PrefRate</f>
        <v>185.7</v>
      </c>
      <c r="AI27" s="9" t="n">
        <f aca="false">VST_Pref*1000*VST_PrefRate</f>
        <v>185.7</v>
      </c>
      <c r="AJ27" s="9" t="n">
        <f aca="false">VST_Pref*1000*VST_PrefRate</f>
        <v>185.7</v>
      </c>
      <c r="AK27" s="9" t="n">
        <f aca="false">VST_Pref*1000*VST_PrefRate</f>
        <v>185.7</v>
      </c>
      <c r="AL27" s="9" t="n">
        <f aca="false">VST_Pref*1000*VST_PrefRate</f>
        <v>185.7</v>
      </c>
      <c r="AM27" s="9" t="n">
        <f aca="false">VST_Pref*1000*VST_PrefRate</f>
        <v>185.7</v>
      </c>
      <c r="AN27" s="9" t="n">
        <f aca="false">VST_Pref*1000*VST_PrefRate</f>
        <v>185.7</v>
      </c>
      <c r="AO27" s="9" t="n">
        <f aca="false">VST_Pref*1000*VST_PrefRate</f>
        <v>185.7</v>
      </c>
      <c r="AP27" s="9" t="n">
        <f aca="false">VST_Pref*1000*VST_PrefRate</f>
        <v>185.7</v>
      </c>
      <c r="AQ27" s="9" t="n">
        <f aca="false">VST_Pref*1000*VST_PrefRate</f>
        <v>185.7</v>
      </c>
      <c r="AR27" s="9" t="n">
        <f aca="false">VST_Pref*1000*VST_PrefRate</f>
        <v>185.7</v>
      </c>
      <c r="AS27" s="9" t="n">
        <f aca="false">VST_Pref*1000*VST_PrefRate</f>
        <v>185.7</v>
      </c>
    </row>
    <row r="28" customFormat="false" ht="15" hidden="false" customHeight="false" outlineLevel="0" collapsed="false">
      <c r="A28" s="50" t="s">
        <v>415</v>
      </c>
      <c r="B28" s="50" t="s">
        <v>416</v>
      </c>
      <c r="C28" s="53" t="n">
        <f aca="false">SUM(G28:AS28)</f>
        <v>118640.80765166</v>
      </c>
      <c r="D28" s="52"/>
      <c r="E28" s="52"/>
      <c r="F28" s="52"/>
      <c r="G28" s="53" t="n">
        <f aca="false">G21+G22-G23-G24-G26-G27</f>
        <v>5905.74248511479</v>
      </c>
      <c r="H28" s="53" t="n">
        <f aca="false">H21+H22-H23-H24-H26-H27</f>
        <v>5291.99528933235</v>
      </c>
      <c r="I28" s="53" t="n">
        <f aca="false">I21+I22-I23-I24-I26-I27</f>
        <v>4581.25067780303</v>
      </c>
      <c r="J28" s="53" t="n">
        <f aca="false">J21+J22-J23-J24-J26-J27</f>
        <v>4367.25399624773</v>
      </c>
      <c r="K28" s="53" t="n">
        <f aca="false">K21+K22-K23-K24-K26-K27</f>
        <v>4480.78788470928</v>
      </c>
      <c r="L28" s="53" t="n">
        <f aca="false">L21+L22-L23-L24-L26-L27</f>
        <v>4592.21824101326</v>
      </c>
      <c r="M28" s="53" t="n">
        <f aca="false">M21+M22-M23-M24-M26-M27</f>
        <v>4661.54782189546</v>
      </c>
      <c r="N28" s="53" t="n">
        <f aca="false">N21+N22-N23-N24-N26-N27</f>
        <v>4732.04656798725</v>
      </c>
      <c r="O28" s="53" t="n">
        <f aca="false">O21+O22-O23-O24-O26-O27</f>
        <v>4803.73242693263</v>
      </c>
      <c r="P28" s="53" t="n">
        <f aca="false">P21+P22-P23-P24-P26-P27</f>
        <v>4726.87545876408</v>
      </c>
      <c r="Q28" s="53" t="n">
        <f aca="false">Q21+Q22-Q23-Q24-Q26-Q27</f>
        <v>4797.99531744458</v>
      </c>
      <c r="R28" s="53" t="n">
        <f aca="false">R21+R22-R23-R24-R26-R27</f>
        <v>4870.29757522671</v>
      </c>
      <c r="S28" s="53" t="n">
        <f aca="false">S21+S22-S23-S24-S26-S27</f>
        <v>4713.69276169887</v>
      </c>
      <c r="T28" s="53" t="n">
        <f aca="false">T21+T22-T23-T24-T26-T27</f>
        <v>4783.81082236795</v>
      </c>
      <c r="U28" s="53" t="n">
        <f aca="false">U21+U22-U23-U24-U26-U27</f>
        <v>4686.48441791294</v>
      </c>
      <c r="V28" s="53" t="n">
        <f aca="false">V21+V22-V23-V24-V26-V27</f>
        <v>4755.53494706702</v>
      </c>
      <c r="W28" s="53" t="n">
        <f aca="false">W21+W22-W23-W24-W26-W27</f>
        <v>4825.69495101448</v>
      </c>
      <c r="X28" s="53" t="n">
        <f aca="false">X21+X22-X23-X24-X26-X27</f>
        <v>4896.97983085644</v>
      </c>
      <c r="Y28" s="53" t="n">
        <f aca="false">Y21+Y22-Y23-Y24-Y26-Y27</f>
        <v>4969.40512600618</v>
      </c>
      <c r="Z28" s="53" t="n">
        <f aca="false">Z21+Z22-Z23-Z24-Z26-Z27</f>
        <v>2261.23051141637</v>
      </c>
      <c r="AA28" s="53" t="n">
        <f aca="false">AA21+AA22-AA23-AA24-AA26-AA27</f>
        <v>2280.34868112608</v>
      </c>
      <c r="AB28" s="53" t="n">
        <f aca="false">AB21+AB22-AB23-AB24-AB26-AB27</f>
        <v>2526.00742574897</v>
      </c>
      <c r="AC28" s="53" t="n">
        <f aca="false">AC21+AC22-AC23-AC24-AC26-AC27</f>
        <v>2586.61871327065</v>
      </c>
      <c r="AD28" s="53" t="n">
        <f aca="false">AD21+AD22-AD23-AD24-AD26-AD27</f>
        <v>2648.11945581792</v>
      </c>
      <c r="AE28" s="53" t="n">
        <f aca="false">AE21+AE22-AE23-AE24-AE26-AE27</f>
        <v>1733.14873668811</v>
      </c>
      <c r="AF28" s="53" t="n">
        <f aca="false">AF21+AF22-AF23-AF24-AF26-AF27</f>
        <v>1776.910128718</v>
      </c>
      <c r="AG28" s="53" t="n">
        <f aca="false">AG21+AG22-AG23-AG24-AG26-AG27</f>
        <v>1821.19915982089</v>
      </c>
      <c r="AH28" s="53" t="n">
        <f aca="false">AH21+AH22-AH23-AH24-AH26-AH27</f>
        <v>1678.78804252742</v>
      </c>
      <c r="AI28" s="53" t="n">
        <f aca="false">AI21+AI22-AI23-AI24-AI26-AI27</f>
        <v>1725.96609727865</v>
      </c>
      <c r="AJ28" s="53" t="n">
        <f aca="false">AJ21+AJ22-AJ23-AJ24-AJ26-AJ27</f>
        <v>462.737954485628</v>
      </c>
      <c r="AK28" s="53" t="n">
        <f aca="false">AK21+AK22-AK23-AK24-AK26-AK27</f>
        <v>494.99468157534</v>
      </c>
      <c r="AL28" s="53" t="n">
        <f aca="false">AL21+AL22-AL23-AL24-AL26-AL27</f>
        <v>527.896543206847</v>
      </c>
      <c r="AM28" s="53" t="n">
        <f aca="false">AM21+AM22-AM23-AM24-AM26-AM27</f>
        <v>561.456442070984</v>
      </c>
      <c r="AN28" s="53" t="n">
        <f aca="false">AN21+AN22-AN23-AN24-AN26-AN27</f>
        <v>595.687538912403</v>
      </c>
      <c r="AO28" s="53" t="n">
        <f aca="false">AO21+AO22-AO23-AO24-AO26-AO27</f>
        <v>630.603257690651</v>
      </c>
      <c r="AP28" s="53" t="n">
        <f aca="false">AP21+AP22-AP23-AP24-AP26-AP27</f>
        <v>666.217290844464</v>
      </c>
      <c r="AQ28" s="53" t="n">
        <f aca="false">AQ21+AQ22-AQ23-AQ24-AQ26-AQ27</f>
        <v>702.543604661354</v>
      </c>
      <c r="AR28" s="53" t="n">
        <f aca="false">AR21+AR22-AR23-AR24-AR26-AR27</f>
        <v>739.596444754581</v>
      </c>
      <c r="AS28" s="53" t="n">
        <f aca="false">AS21+AS22-AS23-AS24-AS26-AS27</f>
        <v>777.390341649672</v>
      </c>
    </row>
    <row r="29" customFormat="false" ht="15" hidden="false" customHeight="false" outlineLevel="0" collapsed="false">
      <c r="A29" s="50" t="s">
        <v>417</v>
      </c>
      <c r="B29" s="50" t="s">
        <v>418</v>
      </c>
      <c r="C29" s="53" t="n">
        <f aca="false">SUM(G29:AS29)</f>
        <v>118640.80765166</v>
      </c>
      <c r="D29" s="52"/>
      <c r="E29" s="52"/>
      <c r="F29" s="52"/>
      <c r="G29" s="53" t="n">
        <f aca="false">G28*(1-IF(G$3&lt;=Horizon,VST_Haircut,0))</f>
        <v>5905.74248511479</v>
      </c>
      <c r="H29" s="53" t="n">
        <f aca="false">H28*(1-IF(H$3&lt;=Horizon,VST_Haircut,0))</f>
        <v>5291.99528933235</v>
      </c>
      <c r="I29" s="53" t="n">
        <f aca="false">I28*(1-IF(I$3&lt;=Horizon,VST_Haircut,0))</f>
        <v>4581.25067780303</v>
      </c>
      <c r="J29" s="53" t="n">
        <f aca="false">J28*(1-IF(J$3&lt;=Horizon,VST_Haircut,0))</f>
        <v>4367.25399624773</v>
      </c>
      <c r="K29" s="53" t="n">
        <f aca="false">K28*(1-IF(K$3&lt;=Horizon,VST_Haircut,0))</f>
        <v>4480.78788470928</v>
      </c>
      <c r="L29" s="53" t="n">
        <f aca="false">L28*(1-IF(L$3&lt;=Horizon,VST_Haircut,0))</f>
        <v>4592.21824101326</v>
      </c>
      <c r="M29" s="53" t="n">
        <f aca="false">M28*(1-IF(M$3&lt;=Horizon,VST_Haircut,0))</f>
        <v>4661.54782189546</v>
      </c>
      <c r="N29" s="53" t="n">
        <f aca="false">N28*(1-IF(N$3&lt;=Horizon,VST_Haircut,0))</f>
        <v>4732.04656798725</v>
      </c>
      <c r="O29" s="53" t="n">
        <f aca="false">O28*(1-IF(O$3&lt;=Horizon,VST_Haircut,0))</f>
        <v>4803.73242693263</v>
      </c>
      <c r="P29" s="53" t="n">
        <f aca="false">P28*(1-IF(P$3&lt;=Horizon,VST_Haircut,0))</f>
        <v>4726.87545876408</v>
      </c>
      <c r="Q29" s="53" t="n">
        <f aca="false">Q28*(1-IF(Q$3&lt;=Horizon,VST_Haircut,0))</f>
        <v>4797.99531744458</v>
      </c>
      <c r="R29" s="53" t="n">
        <f aca="false">R28*(1-IF(R$3&lt;=Horizon,VST_Haircut,0))</f>
        <v>4870.29757522671</v>
      </c>
      <c r="S29" s="53" t="n">
        <f aca="false">S28*(1-IF(S$3&lt;=Horizon,VST_Haircut,0))</f>
        <v>4713.69276169887</v>
      </c>
      <c r="T29" s="53" t="n">
        <f aca="false">T28*(1-IF(T$3&lt;=Horizon,VST_Haircut,0))</f>
        <v>4783.81082236795</v>
      </c>
      <c r="U29" s="53" t="n">
        <f aca="false">U28*(1-IF(U$3&lt;=Horizon,VST_Haircut,0))</f>
        <v>4686.48441791294</v>
      </c>
      <c r="V29" s="53" t="n">
        <f aca="false">V28*(1-IF(V$3&lt;=Horizon,VST_Haircut,0))</f>
        <v>4755.53494706702</v>
      </c>
      <c r="W29" s="53" t="n">
        <f aca="false">W28*(1-IF(W$3&lt;=Horizon,VST_Haircut,0))</f>
        <v>4825.69495101448</v>
      </c>
      <c r="X29" s="53" t="n">
        <f aca="false">X28*(1-IF(X$3&lt;=Horizon,VST_Haircut,0))</f>
        <v>4896.97983085644</v>
      </c>
      <c r="Y29" s="53" t="n">
        <f aca="false">Y28*(1-IF(Y$3&lt;=Horizon,VST_Haircut,0))</f>
        <v>4969.40512600618</v>
      </c>
      <c r="Z29" s="53" t="n">
        <f aca="false">Z28*(1-IF(Z$3&lt;=Horizon,VST_Haircut,0))</f>
        <v>2261.23051141637</v>
      </c>
      <c r="AA29" s="53" t="n">
        <f aca="false">AA28*(1-IF(AA$3&lt;=Horizon,VST_Haircut,0))</f>
        <v>2280.34868112608</v>
      </c>
      <c r="AB29" s="53" t="n">
        <f aca="false">AB28*(1-IF(AB$3&lt;=Horizon,VST_Haircut,0))</f>
        <v>2526.00742574897</v>
      </c>
      <c r="AC29" s="53" t="n">
        <f aca="false">AC28*(1-IF(AC$3&lt;=Horizon,VST_Haircut,0))</f>
        <v>2586.61871327065</v>
      </c>
      <c r="AD29" s="53" t="n">
        <f aca="false">AD28*(1-IF(AD$3&lt;=Horizon,VST_Haircut,0))</f>
        <v>2648.11945581792</v>
      </c>
      <c r="AE29" s="53" t="n">
        <f aca="false">AE28*(1-IF(AE$3&lt;=Horizon,VST_Haircut,0))</f>
        <v>1733.14873668811</v>
      </c>
      <c r="AF29" s="53" t="n">
        <f aca="false">AF28*(1-IF(AF$3&lt;=Horizon,VST_Haircut,0))</f>
        <v>1776.910128718</v>
      </c>
      <c r="AG29" s="53" t="n">
        <f aca="false">AG28*(1-IF(AG$3&lt;=Horizon,VST_Haircut,0))</f>
        <v>1821.19915982089</v>
      </c>
      <c r="AH29" s="53" t="n">
        <f aca="false">AH28*(1-IF(AH$3&lt;=Horizon,VST_Haircut,0))</f>
        <v>1678.78804252742</v>
      </c>
      <c r="AI29" s="53" t="n">
        <f aca="false">AI28*(1-IF(AI$3&lt;=Horizon,VST_Haircut,0))</f>
        <v>1725.96609727865</v>
      </c>
      <c r="AJ29" s="53" t="n">
        <f aca="false">AJ28*(1-IF(AJ$3&lt;=Horizon,VST_Haircut,0))</f>
        <v>462.737954485628</v>
      </c>
      <c r="AK29" s="53" t="n">
        <f aca="false">AK28*(1-IF(AK$3&lt;=Horizon,VST_Haircut,0))</f>
        <v>494.99468157534</v>
      </c>
      <c r="AL29" s="53" t="n">
        <f aca="false">AL28*(1-IF(AL$3&lt;=Horizon,VST_Haircut,0))</f>
        <v>527.896543206847</v>
      </c>
      <c r="AM29" s="53" t="n">
        <f aca="false">AM28*(1-IF(AM$3&lt;=Horizon,VST_Haircut,0))</f>
        <v>561.456442070984</v>
      </c>
      <c r="AN29" s="53" t="n">
        <f aca="false">AN28*(1-IF(AN$3&lt;=Horizon,VST_Haircut,0))</f>
        <v>595.687538912403</v>
      </c>
      <c r="AO29" s="53" t="n">
        <f aca="false">AO28*(1-IF(AO$3&lt;=Horizon,VST_Haircut,0))</f>
        <v>630.603257690651</v>
      </c>
      <c r="AP29" s="53" t="n">
        <f aca="false">AP28*(1-IF(AP$3&lt;=Horizon,VST_Haircut,0))</f>
        <v>666.217290844464</v>
      </c>
      <c r="AQ29" s="53" t="n">
        <f aca="false">AQ28*(1-IF(AQ$3&lt;=Horizon,VST_Haircut,0))</f>
        <v>702.543604661354</v>
      </c>
      <c r="AR29" s="53" t="n">
        <f aca="false">AR28*(1-IF(AR$3&lt;=Horizon,VST_Haircut,0))</f>
        <v>739.596444754581</v>
      </c>
      <c r="AS29" s="53" t="n">
        <f aca="false">AS28*(1-IF(AS$3&lt;=Horizon,VST_Haircut,0))</f>
        <v>777.390341649672</v>
      </c>
    </row>
    <row r="30" customFormat="false" ht="15" hidden="false" customHeight="false" outlineLevel="0" collapsed="false">
      <c r="A30" s="6" t="s">
        <v>419</v>
      </c>
      <c r="B30" s="6" t="s">
        <v>420</v>
      </c>
      <c r="C30" s="9" t="n">
        <f aca="false">SUM(G30:AS30)</f>
        <v>3781.60534251858</v>
      </c>
      <c r="G30" s="9" t="n">
        <f aca="false">IF(G$3&lt;=2026+OHYears,VST_OH*G$4*(1-TaxRate)*(1+OHDisc)^-(G$3+0.5-ValDate),0)</f>
        <v>268.64941516202</v>
      </c>
      <c r="H30" s="9" t="n">
        <f aca="false">IF(H$3&lt;=2026+OHYears,VST_OH*H$4*(1-TaxRate)*(1+OHDisc)^-(H$3+0.5-ValDate),0)</f>
        <v>252.55521056706</v>
      </c>
      <c r="I30" s="9" t="n">
        <f aca="false">IF(I$3&lt;=2026+OHYears,VST_OH*I$4*(1-TaxRate)*(1+OHDisc)^-(I$3+0.5-ValDate),0)</f>
        <v>237.425174910969</v>
      </c>
      <c r="J30" s="9" t="n">
        <f aca="false">IF(J$3&lt;=2026+OHYears,VST_OH*J$4*(1-TaxRate)*(1+OHDisc)^-(J$3+0.5-ValDate),0)</f>
        <v>223.201546920911</v>
      </c>
      <c r="K30" s="9" t="n">
        <f aca="false">IF(K$3&lt;=2026+OHYears,VST_OH*K$4*(1-TaxRate)*(1+OHDisc)^-(K$3+0.5-ValDate),0)</f>
        <v>209.830025676801</v>
      </c>
      <c r="L30" s="9" t="n">
        <f aca="false">IF(L$3&lt;=2026+OHYears,VST_OH*L$4*(1-TaxRate)*(1+OHDisc)^-(L$3+0.5-ValDate),0)</f>
        <v>197.259563309067</v>
      </c>
      <c r="M30" s="9" t="n">
        <f aca="false">IF(M$3&lt;=2026+OHYears,VST_OH*M$4*(1-TaxRate)*(1+OHDisc)^-(M$3+0.5-ValDate),0)</f>
        <v>185.442170115436</v>
      </c>
      <c r="N30" s="9" t="n">
        <f aca="false">IF(N$3&lt;=2026+OHYears,VST_OH*N$4*(1-TaxRate)*(1+OHDisc)^-(N$3+0.5-ValDate),0)</f>
        <v>174.33273135276</v>
      </c>
      <c r="O30" s="9" t="n">
        <f aca="false">IF(O$3&lt;=2026+OHYears,VST_OH*O$4*(1-TaxRate)*(1+OHDisc)^-(O$3+0.5-ValDate),0)</f>
        <v>163.888835004438</v>
      </c>
      <c r="P30" s="9" t="n">
        <f aca="false">IF(P$3&lt;=2026+OHYears,VST_OH*P$4*(1-TaxRate)*(1+OHDisc)^-(P$3+0.5-ValDate),0)</f>
        <v>154.070609865923</v>
      </c>
      <c r="Q30" s="9" t="n">
        <f aca="false">IF(Q$3&lt;=2026+OHYears,VST_OH*Q$4*(1-TaxRate)*(1+OHDisc)^-(Q$3+0.5-ValDate),0)</f>
        <v>144.840573330177</v>
      </c>
      <c r="R30" s="9" t="n">
        <f aca="false">IF(R$3&lt;=2026+OHYears,VST_OH*R$4*(1-TaxRate)*(1+OHDisc)^-(R$3+0.5-ValDate),0)</f>
        <v>136.163488291963</v>
      </c>
      <c r="S30" s="9" t="n">
        <f aca="false">IF(S$3&lt;=2026+OHYears,VST_OH*S$4*(1-TaxRate)*(1+OHDisc)^-(S$3+0.5-ValDate),0)</f>
        <v>128.006228624703</v>
      </c>
      <c r="T30" s="9" t="n">
        <f aca="false">IF(T$3&lt;=2026+OHYears,VST_OH*T$4*(1-TaxRate)*(1+OHDisc)^-(T$3+0.5-ValDate),0)</f>
        <v>120.337652716311</v>
      </c>
      <c r="U30" s="9" t="n">
        <f aca="false">IF(U$3&lt;=2026+OHYears,VST_OH*U$4*(1-TaxRate)*(1+OHDisc)^-(U$3+0.5-ValDate),0)</f>
        <v>113.128484581232</v>
      </c>
      <c r="V30" s="9" t="n">
        <f aca="false">IF(V$3&lt;=2026+OHYears,VST_OH*V$4*(1-TaxRate)*(1+OHDisc)^-(V$3+0.5-ValDate),0)</f>
        <v>106.351202094799</v>
      </c>
      <c r="W30" s="9" t="n">
        <f aca="false">IF(W$3&lt;=2026+OHYears,VST_OH*W$4*(1-TaxRate)*(1+OHDisc)^-(W$3+0.5-ValDate),0)</f>
        <v>99.9799319232211</v>
      </c>
      <c r="X30" s="9" t="n">
        <f aca="false">IF(X$3&lt;=2026+OHYears,VST_OH*X$4*(1-TaxRate)*(1+OHDisc)^-(X$3+0.5-ValDate),0)</f>
        <v>93.9903507480972</v>
      </c>
      <c r="Y30" s="9" t="n">
        <f aca="false">IF(Y$3&lt;=2026+OHYears,VST_OH*Y$4*(1-TaxRate)*(1+OHDisc)^-(Y$3+0.5-ValDate),0)</f>
        <v>88.3595924083495</v>
      </c>
      <c r="Z30" s="9" t="n">
        <f aca="false">IF(Z$3&lt;=2026+OHYears,VST_OH*Z$4*(1-TaxRate)*(1+OHDisc)^-(Z$3+0.5-ValDate),0)</f>
        <v>83.0661606050843</v>
      </c>
      <c r="AA30" s="9" t="n">
        <f aca="false">IF(AA$3&lt;=2026+OHYears,VST_OH*AA$4*(1-TaxRate)*(1+OHDisc)^-(AA$3+0.5-ValDate),0)</f>
        <v>78.0898468361161</v>
      </c>
      <c r="AB30" s="9" t="n">
        <f aca="false">IF(AB$3&lt;=2026+OHYears,VST_OH*AB$4*(1-TaxRate)*(1+OHDisc)^-(AB$3+0.5-ValDate),0)</f>
        <v>73.4116532468557</v>
      </c>
      <c r="AC30" s="9" t="n">
        <f aca="false">IF(AC$3&lt;=2026+OHYears,VST_OH*AC$4*(1-TaxRate)*(1+OHDisc)^-(AC$3+0.5-ValDate),0)</f>
        <v>69.0137201030349</v>
      </c>
      <c r="AD30" s="9" t="n">
        <f aca="false">IF(AD$3&lt;=2026+OHYears,VST_OH*AD$4*(1-TaxRate)*(1+OHDisc)^-(AD$3+0.5-ValDate),0)</f>
        <v>64.879257608383</v>
      </c>
      <c r="AE30" s="9" t="n">
        <f aca="false">IF(AE$3&lt;=2026+OHYears,VST_OH*AE$4*(1-TaxRate)*(1+OHDisc)^-(AE$3+0.5-ValDate),0)</f>
        <v>60.9924818069592</v>
      </c>
      <c r="AF30" s="9" t="n">
        <f aca="false">IF(AF$3&lt;=2026+OHYears,VST_OH*AF$4*(1-TaxRate)*(1+OHDisc)^-(AF$3+0.5-ValDate),0)</f>
        <v>57.3385543254363</v>
      </c>
      <c r="AG30" s="9" t="n">
        <f aca="false">IF(AG$3&lt;=2026+OHYears,VST_OH*AG$4*(1-TaxRate)*(1+OHDisc)^-(AG$3+0.5-ValDate),0)</f>
        <v>53.9035257252949</v>
      </c>
      <c r="AH30" s="9" t="n">
        <f aca="false">IF(AH$3&lt;=2026+OHYears,VST_OH*AH$4*(1-TaxRate)*(1+OHDisc)^-(AH$3+0.5-ValDate),0)</f>
        <v>50.6742822486644</v>
      </c>
      <c r="AI30" s="9" t="n">
        <f aca="false">IF(AI$3&lt;=2026+OHYears,VST_OH*AI$4*(1-TaxRate)*(1+OHDisc)^-(AI$3+0.5-ValDate),0)</f>
        <v>47.6384957545047</v>
      </c>
      <c r="AJ30" s="9" t="n">
        <f aca="false">IF(AJ$3&lt;=2026+OHYears,VST_OH*AJ$4*(1-TaxRate)*(1+OHDisc)^-(AJ$3+0.5-ValDate),0)</f>
        <v>44.7845766540045</v>
      </c>
      <c r="AK30" s="9" t="n">
        <f aca="false">IF(AK$3&lt;=2026+OHYears,VST_OH*AK$4*(1-TaxRate)*(1+OHDisc)^-(AK$3+0.5-ValDate),0)</f>
        <v>0</v>
      </c>
      <c r="AL30" s="9" t="n">
        <f aca="false">IF(AL$3&lt;=2026+OHYears,VST_OH*AL$4*(1-TaxRate)*(1+OHDisc)^-(AL$3+0.5-ValDate),0)</f>
        <v>0</v>
      </c>
      <c r="AM30" s="9" t="n">
        <f aca="false">IF(AM$3&lt;=2026+OHYears,VST_OH*AM$4*(1-TaxRate)*(1+OHDisc)^-(AM$3+0.5-ValDate),0)</f>
        <v>0</v>
      </c>
      <c r="AN30" s="9" t="n">
        <f aca="false">IF(AN$3&lt;=2026+OHYears,VST_OH*AN$4*(1-TaxRate)*(1+OHDisc)^-(AN$3+0.5-ValDate),0)</f>
        <v>0</v>
      </c>
      <c r="AO30" s="9" t="n">
        <f aca="false">IF(AO$3&lt;=2026+OHYears,VST_OH*AO$4*(1-TaxRate)*(1+OHDisc)^-(AO$3+0.5-ValDate),0)</f>
        <v>0</v>
      </c>
      <c r="AP30" s="9" t="n">
        <f aca="false">IF(AP$3&lt;=2026+OHYears,VST_OH*AP$4*(1-TaxRate)*(1+OHDisc)^-(AP$3+0.5-ValDate),0)</f>
        <v>0</v>
      </c>
      <c r="AQ30" s="9" t="n">
        <f aca="false">IF(AQ$3&lt;=2026+OHYears,VST_OH*AQ$4*(1-TaxRate)*(1+OHDisc)^-(AQ$3+0.5-ValDate),0)</f>
        <v>0</v>
      </c>
      <c r="AR30" s="9" t="n">
        <f aca="false">IF(AR$3&lt;=2026+OHYears,VST_OH*AR$4*(1-TaxRate)*(1+OHDisc)^-(AR$3+0.5-ValDate),0)</f>
        <v>0</v>
      </c>
      <c r="AS30" s="9" t="n">
        <f aca="false">IF(AS$3&lt;=2026+OHYears,VST_OH*AS$4*(1-TaxRate)*(1+OHDisc)^-(AS$3+0.5-ValDate),0)</f>
        <v>0</v>
      </c>
    </row>
    <row r="31" customFormat="false" ht="15" hidden="false" customHeight="false" outlineLevel="0" collapsed="false">
      <c r="A31" s="6" t="s">
        <v>421</v>
      </c>
      <c r="B31" s="6" t="s">
        <v>422</v>
      </c>
      <c r="C31" s="9" t="n">
        <f aca="false">SUM(G31:AS31)</f>
        <v>4177.67185631008</v>
      </c>
      <c r="G31" s="9" t="n">
        <f aca="false">IF(AND(G$3&gt;Horizon,G$3&lt;=Horizon+OHYears),VST_OH*G$4*(1-TaxRate)*(1+OHDisc)^-(G$3+0.5-(Horizon+1)),0)</f>
        <v>0</v>
      </c>
      <c r="H31" s="9" t="n">
        <f aca="false">IF(AND(H$3&gt;Horizon,H$3&lt;=Horizon+OHYears),VST_OH*H$4*(1-TaxRate)*(1+OHDisc)^-(H$3+0.5-(Horizon+1)),0)</f>
        <v>0</v>
      </c>
      <c r="I31" s="9" t="n">
        <f aca="false">IF(AND(I$3&gt;Horizon,I$3&lt;=Horizon+OHYears),VST_OH*I$4*(1-TaxRate)*(1+OHDisc)^-(I$3+0.5-(Horizon+1)),0)</f>
        <v>0</v>
      </c>
      <c r="J31" s="9" t="n">
        <f aca="false">IF(AND(J$3&gt;Horizon,J$3&lt;=Horizon+OHYears),VST_OH*J$4*(1-TaxRate)*(1+OHDisc)^-(J$3+0.5-(Horizon+1)),0)</f>
        <v>0</v>
      </c>
      <c r="K31" s="9" t="n">
        <f aca="false">IF(AND(K$3&gt;Horizon,K$3&lt;=Horizon+OHYears),VST_OH*K$4*(1-TaxRate)*(1+OHDisc)^-(K$3+0.5-(Horizon+1)),0)</f>
        <v>296.786417217471</v>
      </c>
      <c r="L31" s="9" t="n">
        <f aca="false">IF(AND(L$3&gt;Horizon,L$3&lt;=Horizon+OHYears),VST_OH*L$4*(1-TaxRate)*(1+OHDisc)^-(L$3+0.5-(Horizon+1)),0)</f>
        <v>279.006585771263</v>
      </c>
      <c r="M31" s="9" t="n">
        <f aca="false">IF(AND(M$3&gt;Horizon,M$3&lt;=Horizon+OHYears),VST_OH*M$4*(1-TaxRate)*(1+OHDisc)^-(M$3+0.5-(Horizon+1)),0)</f>
        <v>262.291905517685</v>
      </c>
      <c r="N31" s="9" t="n">
        <f aca="false">IF(AND(N$3&gt;Horizon,N$3&lt;=Horizon+OHYears),VST_OH*N$4*(1-TaxRate)*(1+OHDisc)^-(N$3+0.5-(Horizon+1)),0)</f>
        <v>246.578565555796</v>
      </c>
      <c r="O31" s="9" t="n">
        <f aca="false">IF(AND(O$3&gt;Horizon,O$3&lt;=Horizon+OHYears),VST_OH*O$4*(1-TaxRate)*(1+OHDisc)^-(O$3+0.5-(Horizon+1)),0)</f>
        <v>231.806577757522</v>
      </c>
      <c r="P31" s="9" t="n">
        <f aca="false">IF(AND(P$3&gt;Horizon,P$3&lt;=Horizon+OHYears),VST_OH*P$4*(1-TaxRate)*(1+OHDisc)^-(P$3+0.5-(Horizon+1)),0)</f>
        <v>217.919547753615</v>
      </c>
      <c r="Q31" s="9" t="n">
        <f aca="false">IF(AND(Q$3&gt;Horizon,Q$3&lt;=Horizon+OHYears),VST_OH*Q$4*(1-TaxRate)*(1+OHDisc)^-(Q$3+0.5-(Horizon+1)),0)</f>
        <v>204.864459639344</v>
      </c>
      <c r="R31" s="9" t="n">
        <f aca="false">IF(AND(R$3&gt;Horizon,R$3&lt;=Horizon+OHYears),VST_OH*R$4*(1-TaxRate)*(1+OHDisc)^-(R$3+0.5-(Horizon+1)),0)</f>
        <v>192.591473578</v>
      </c>
      <c r="S31" s="9" t="n">
        <f aca="false">IF(AND(S$3&gt;Horizon,S$3&lt;=Horizon+OHYears),VST_OH*S$4*(1-TaxRate)*(1+OHDisc)^-(S$3+0.5-(Horizon+1)),0)</f>
        <v>181.053735529549</v>
      </c>
      <c r="T31" s="9" t="n">
        <f aca="false">IF(AND(T$3&gt;Horizon,T$3&lt;=Horizon+OHYears),VST_OH*T$4*(1-TaxRate)*(1+OHDisc)^-(T$3+0.5-(Horizon+1)),0)</f>
        <v>170.207198378009</v>
      </c>
      <c r="U31" s="9" t="n">
        <f aca="false">IF(AND(U$3&gt;Horizon,U$3&lt;=Horizon+OHYears),VST_OH*U$4*(1-TaxRate)*(1+OHDisc)^-(U$3+0.5-(Horizon+1)),0)</f>
        <v>160.010453774718</v>
      </c>
      <c r="V31" s="9" t="n">
        <f aca="false">IF(AND(V$3&gt;Horizon,V$3&lt;=Horizon+OHYears),VST_OH*V$4*(1-TaxRate)*(1+OHDisc)^-(V$3+0.5-(Horizon+1)),0)</f>
        <v>150.424574055495</v>
      </c>
      <c r="W31" s="9" t="n">
        <f aca="false">IF(AND(W$3&gt;Horizon,W$3&lt;=Horizon+OHYears),VST_OH*W$4*(1-TaxRate)*(1+OHDisc)^-(W$3+0.5-(Horizon+1)),0)</f>
        <v>141.412963628208</v>
      </c>
      <c r="X31" s="9" t="n">
        <f aca="false">IF(AND(X$3&gt;Horizon,X$3&lt;=Horizon+OHYears),VST_OH*X$4*(1-TaxRate)*(1+OHDisc)^-(X$3+0.5-(Horizon+1)),0)</f>
        <v>132.941219263384</v>
      </c>
      <c r="Y31" s="9" t="n">
        <f aca="false">IF(AND(Y$3&gt;Horizon,Y$3&lt;=Horizon+OHYears),VST_OH*Y$4*(1-TaxRate)*(1+OHDisc)^-(Y$3+0.5-(Horizon+1)),0)</f>
        <v>124.976998754518</v>
      </c>
      <c r="Z31" s="9" t="n">
        <f aca="false">IF(AND(Z$3&gt;Horizon,Z$3&lt;=Horizon+OHYears),VST_OH*Z$4*(1-TaxRate)*(1+OHDisc)^-(Z$3+0.5-(Horizon+1)),0)</f>
        <v>117.489897446644</v>
      </c>
      <c r="AA31" s="9" t="n">
        <f aca="false">IF(AND(AA$3&gt;Horizon,AA$3&lt;=Horizon+OHYears),VST_OH*AA$4*(1-TaxRate)*(1+OHDisc)^-(AA$3+0.5-(Horizon+1)),0)</f>
        <v>110.451332161822</v>
      </c>
      <c r="AB31" s="9" t="n">
        <f aca="false">IF(AND(AB$3&gt;Horizon,AB$3&lt;=Horizon+OHYears),VST_OH*AB$4*(1-TaxRate)*(1+OHDisc)^-(AB$3+0.5-(Horizon+1)),0)</f>
        <v>103.834432078394</v>
      </c>
      <c r="AC31" s="9" t="n">
        <f aca="false">IF(AND(AC$3&gt;Horizon,AC$3&lt;=Horizon+OHYears),VST_OH*AC$4*(1-TaxRate)*(1+OHDisc)^-(AC$3+0.5-(Horizon+1)),0)</f>
        <v>97.6139361474307</v>
      </c>
      <c r="AD31" s="9" t="n">
        <f aca="false">IF(AND(AD$3&gt;Horizon,AD$3&lt;=Horizon+OHYears),VST_OH*AD$4*(1-TaxRate)*(1+OHDisc)^-(AD$3+0.5-(Horizon+1)),0)</f>
        <v>91.7660966547275</v>
      </c>
      <c r="AE31" s="9" t="n">
        <f aca="false">IF(AND(AE$3&gt;Horizon,AE$3&lt;=Horizon+OHYears),VST_OH*AE$4*(1-TaxRate)*(1+OHDisc)^-(AE$3+0.5-(Horizon+1)),0)</f>
        <v>86.2685885602047</v>
      </c>
      <c r="AF31" s="9" t="n">
        <f aca="false">IF(AND(AF$3&gt;Horizon,AF$3&lt;=Horizon+OHYears),VST_OH*AF$4*(1-TaxRate)*(1+OHDisc)^-(AF$3+0.5-(Horizon+1)),0)</f>
        <v>81.1004242685795</v>
      </c>
      <c r="AG31" s="9" t="n">
        <f aca="false">IF(AND(AG$3&gt;Horizon,AG$3&lt;=Horizon+OHYears),VST_OH*AG$4*(1-TaxRate)*(1+OHDisc)^-(AG$3+0.5-(Horizon+1)),0)</f>
        <v>76.2418735059457</v>
      </c>
      <c r="AH31" s="9" t="n">
        <f aca="false">IF(AND(AH$3&gt;Horizon,AH$3&lt;=Horizon+OHYears),VST_OH*AH$4*(1-TaxRate)*(1+OHDisc)^-(AH$3+0.5-(Horizon+1)),0)</f>
        <v>71.674387996373</v>
      </c>
      <c r="AI31" s="9" t="n">
        <f aca="false">IF(AND(AI$3&gt;Horizon,AI$3&lt;=Horizon+OHYears),VST_OH*AI$4*(1-TaxRate)*(1+OHDisc)^-(AI$3+0.5-(Horizon+1)),0)</f>
        <v>67.3805306509681</v>
      </c>
      <c r="AJ31" s="9" t="n">
        <f aca="false">IF(AND(AJ$3&gt;Horizon,AJ$3&lt;=Horizon+OHYears),VST_OH*AJ$4*(1-TaxRate)*(1+OHDisc)^-(AJ$3+0.5-(Horizon+1)),0)</f>
        <v>63.3439089990668</v>
      </c>
      <c r="AK31" s="9" t="n">
        <f aca="false">IF(AND(AK$3&gt;Horizon,AK$3&lt;=Horizon+OHYears),VST_OH*AK$4*(1-TaxRate)*(1+OHDisc)^-(AK$3+0.5-(Horizon+1)),0)</f>
        <v>59.5491126074177</v>
      </c>
      <c r="AL31" s="9" t="n">
        <f aca="false">IF(AND(AL$3&gt;Horizon,AL$3&lt;=Horizon+OHYears),VST_OH*AL$4*(1-TaxRate)*(1+OHDisc)^-(AL$3+0.5-(Horizon+1)),0)</f>
        <v>55.9816542484479</v>
      </c>
      <c r="AM31" s="9" t="n">
        <f aca="false">IF(AND(AM$3&gt;Horizon,AM$3&lt;=Horizon+OHYears),VST_OH*AM$4*(1-TaxRate)*(1+OHDisc)^-(AM$3+0.5-(Horizon+1)),0)</f>
        <v>52.627914593011</v>
      </c>
      <c r="AN31" s="9" t="n">
        <f aca="false">IF(AND(AN$3&gt;Horizon,AN$3&lt;=Horizon+OHYears),VST_OH*AN$4*(1-TaxRate)*(1+OHDisc)^-(AN$3+0.5-(Horizon+1)),0)</f>
        <v>49.4750902164711</v>
      </c>
      <c r="AO31" s="9" t="n">
        <f aca="false">IF(AND(AO$3&gt;Horizon,AO$3&lt;=Horizon+OHYears),VST_OH*AO$4*(1-TaxRate)*(1+OHDisc)^-(AO$3+0.5-(Horizon+1)),0)</f>
        <v>0</v>
      </c>
      <c r="AP31" s="9" t="n">
        <f aca="false">IF(AND(AP$3&gt;Horizon,AP$3&lt;=Horizon+OHYears),VST_OH*AP$4*(1-TaxRate)*(1+OHDisc)^-(AP$3+0.5-(Horizon+1)),0)</f>
        <v>0</v>
      </c>
      <c r="AQ31" s="9" t="n">
        <f aca="false">IF(AND(AQ$3&gt;Horizon,AQ$3&lt;=Horizon+OHYears),VST_OH*AQ$4*(1-TaxRate)*(1+OHDisc)^-(AQ$3+0.5-(Horizon+1)),0)</f>
        <v>0</v>
      </c>
      <c r="AR31" s="9" t="n">
        <f aca="false">IF(AND(AR$3&gt;Horizon,AR$3&lt;=Horizon+OHYears),VST_OH*AR$4*(1-TaxRate)*(1+OHDisc)^-(AR$3+0.5-(Horizon+1)),0)</f>
        <v>0</v>
      </c>
      <c r="AS31" s="9" t="n">
        <f aca="false">IF(AND(AS$3&gt;Horizon,AS$3&lt;=Horizon+OHYears),VST_OH*AS$4*(1-TaxRate)*(1+OHDisc)^-(AS$3+0.5-(Horizon+1)),0)</f>
        <v>0</v>
      </c>
    </row>
    <row r="32" customFormat="false" ht="15" hidden="false" customHeight="false" outlineLevel="0" collapsed="false">
      <c r="A32" s="6" t="s">
        <v>423</v>
      </c>
      <c r="B32" s="6" t="s">
        <v>424</v>
      </c>
      <c r="G32" s="42" t="n">
        <f aca="false">(1+EquityDisc)^-(G$3+0.5-ValDate)</f>
        <v>0.937411175105175</v>
      </c>
      <c r="H32" s="42" t="n">
        <f aca="false">(1+EquityDisc)^-(H$3+0.5-ValDate)</f>
        <v>0.860010252390069</v>
      </c>
      <c r="I32" s="42" t="n">
        <f aca="false">(1+EquityDisc)^-(I$3+0.5-ValDate)</f>
        <v>0.789000231550522</v>
      </c>
      <c r="J32" s="42" t="n">
        <f aca="false">(1+EquityDisc)^-(J$3+0.5-ValDate)</f>
        <v>0.723853423440846</v>
      </c>
      <c r="K32" s="42" t="n">
        <f aca="false">(1+EquityDisc)^-(K$3+0.5-ValDate)</f>
        <v>0.664085709578758</v>
      </c>
      <c r="L32" s="42" t="n">
        <f aca="false">(1+EquityDisc)^-(L$3+0.5-ValDate)</f>
        <v>0.609252944567667</v>
      </c>
      <c r="M32" s="42" t="n">
        <f aca="false">(1+EquityDisc)^-(M$3+0.5-ValDate)</f>
        <v>0.558947655566667</v>
      </c>
      <c r="N32" s="42" t="n">
        <f aca="false">(1+EquityDisc)^-(N$3+0.5-ValDate)</f>
        <v>0.512796014281346</v>
      </c>
      <c r="O32" s="42" t="n">
        <f aca="false">(1+EquityDisc)^-(O$3+0.5-ValDate)</f>
        <v>0.470455058973712</v>
      </c>
      <c r="P32" s="42" t="n">
        <f aca="false">(1+EquityDisc)^-(P$3+0.5-ValDate)</f>
        <v>0.431610145847442</v>
      </c>
      <c r="Q32" s="42" t="n">
        <f aca="false">(1+EquityDisc)^-(Q$3+0.5-ValDate)</f>
        <v>0.395972610869213</v>
      </c>
      <c r="R32" s="42" t="n">
        <f aca="false">(1+EquityDisc)^-(R$3+0.5-ValDate)</f>
        <v>0.363277624650654</v>
      </c>
      <c r="S32" s="42" t="n">
        <f aca="false">(1+EquityDisc)^-(S$3+0.5-ValDate)</f>
        <v>0.333282224450141</v>
      </c>
      <c r="T32" s="42" t="n">
        <f aca="false">(1+EquityDisc)^-(T$3+0.5-ValDate)</f>
        <v>0.305763508669854</v>
      </c>
      <c r="U32" s="42" t="n">
        <f aca="false">(1+EquityDisc)^-(U$3+0.5-ValDate)</f>
        <v>0.280516980431059</v>
      </c>
      <c r="V32" s="42" t="n">
        <f aca="false">(1+EquityDisc)^-(V$3+0.5-ValDate)</f>
        <v>0.257355027918403</v>
      </c>
      <c r="W32" s="42" t="n">
        <f aca="false">(1+EquityDisc)^-(W$3+0.5-ValDate)</f>
        <v>0.23610553020037</v>
      </c>
      <c r="X32" s="42" t="n">
        <f aca="false">(1+EquityDisc)^-(X$3+0.5-ValDate)</f>
        <v>0.216610578165477</v>
      </c>
      <c r="Y32" s="42" t="n">
        <f aca="false">(1+EquityDisc)^-(Y$3+0.5-ValDate)</f>
        <v>0.198725301069245</v>
      </c>
      <c r="Z32" s="42" t="n">
        <f aca="false">(1+EquityDisc)^-(Z$3+0.5-ValDate)</f>
        <v>0.182316789971784</v>
      </c>
      <c r="AA32" s="42" t="n">
        <f aca="false">(1+EquityDisc)^-(AA$3+0.5-ValDate)</f>
        <v>0.167263110065857</v>
      </c>
      <c r="AB32" s="42" t="n">
        <f aca="false">(1+EquityDisc)^-(AB$3+0.5-ValDate)</f>
        <v>0.153452394555832</v>
      </c>
      <c r="AC32" s="42" t="n">
        <f aca="false">(1+EquityDisc)^-(AC$3+0.5-ValDate)</f>
        <v>0.140782013353974</v>
      </c>
      <c r="AD32" s="42" t="n">
        <f aca="false">(1+EquityDisc)^-(AD$3+0.5-ValDate)</f>
        <v>0.12915781041649</v>
      </c>
      <c r="AE32" s="42" t="n">
        <f aca="false">(1+EquityDisc)^-(AE$3+0.5-ValDate)</f>
        <v>0.118493404051826</v>
      </c>
      <c r="AF32" s="42" t="n">
        <f aca="false">(1+EquityDisc)^-(AF$3+0.5-ValDate)</f>
        <v>0.108709545001675</v>
      </c>
      <c r="AG32" s="42" t="n">
        <f aca="false">(1+EquityDisc)^-(AG$3+0.5-ValDate)</f>
        <v>0.0997335275244725</v>
      </c>
      <c r="AH32" s="42" t="n">
        <f aca="false">(1+EquityDisc)^-(AH$3+0.5-ValDate)</f>
        <v>0.0914986491050207</v>
      </c>
      <c r="AI32" s="42" t="n">
        <f aca="false">(1+EquityDisc)^-(AI$3+0.5-ValDate)</f>
        <v>0.0839437147752483</v>
      </c>
      <c r="AJ32" s="42" t="n">
        <f aca="false">(1+EquityDisc)^-(AJ$3+0.5-ValDate)</f>
        <v>0.0770125823626131</v>
      </c>
      <c r="AK32" s="42" t="n">
        <f aca="false">(1+EquityDisc)^-(AK$3+0.5-ValDate)</f>
        <v>0.070653745286801</v>
      </c>
      <c r="AL32" s="42" t="n">
        <f aca="false">(1+EquityDisc)^-(AL$3+0.5-ValDate)</f>
        <v>0.0648199498044046</v>
      </c>
      <c r="AM32" s="42" t="n">
        <f aca="false">(1+EquityDisc)^-(AM$3+0.5-ValDate)</f>
        <v>0.0594678438572519</v>
      </c>
      <c r="AN32" s="42" t="n">
        <f aca="false">(1+EquityDisc)^-(AN$3+0.5-ValDate)</f>
        <v>0.05455765491491</v>
      </c>
      <c r="AO32" s="42" t="n">
        <f aca="false">(1+EquityDisc)^-(AO$3+0.5-ValDate)</f>
        <v>0.0500528944173486</v>
      </c>
      <c r="AP32" s="42" t="n">
        <f aca="false">(1+EquityDisc)^-(AP$3+0.5-ValDate)</f>
        <v>0.0459200866214208</v>
      </c>
      <c r="AQ32" s="42" t="n">
        <f aca="false">(1+EquityDisc)^-(AQ$3+0.5-ValDate)</f>
        <v>0.0421285198361658</v>
      </c>
      <c r="AR32" s="42" t="n">
        <f aca="false">(1+EquityDisc)^-(AR$3+0.5-ValDate)</f>
        <v>0.0386500181983173</v>
      </c>
      <c r="AS32" s="42" t="n">
        <f aca="false">(1+EquityDisc)^-(AS$3+0.5-ValDate)</f>
        <v>0.0354587322920342</v>
      </c>
    </row>
    <row r="35" customFormat="false" ht="15" hidden="false" customHeight="false" outlineLevel="0" collapsed="false">
      <c r="A35" s="54" t="str">
        <f aca="false">VST_Assets!$A$2</f>
        <v>Nuclear - Comanche Peak (ERCOT) - 1,200 MW 20-yr PPA</v>
      </c>
    </row>
    <row r="36" customFormat="false" ht="15" hidden="false" customHeight="false" outlineLevel="0" collapsed="false">
      <c r="A36" s="6" t="s">
        <v>425</v>
      </c>
      <c r="B36" s="6" t="s">
        <v>426</v>
      </c>
      <c r="G36" s="47" t="n">
        <f aca="false">IF(AND(G$3&gt;=VST_Assets!$E$2,G$3&lt;=VST_Assets!$F$2,VST_Assets!$H$2="Cashflow"),1,0)</f>
        <v>1</v>
      </c>
      <c r="H36" s="47" t="n">
        <f aca="false">IF(AND(H$3&gt;=VST_Assets!$E$2,H$3&lt;=VST_Assets!$F$2,VST_Assets!$H$2="Cashflow"),1,0)</f>
        <v>1</v>
      </c>
      <c r="I36" s="47" t="n">
        <f aca="false">IF(AND(I$3&gt;=VST_Assets!$E$2,I$3&lt;=VST_Assets!$F$2,VST_Assets!$H$2="Cashflow"),1,0)</f>
        <v>1</v>
      </c>
      <c r="J36" s="47" t="n">
        <f aca="false">IF(AND(J$3&gt;=VST_Assets!$E$2,J$3&lt;=VST_Assets!$F$2,VST_Assets!$H$2="Cashflow"),1,0)</f>
        <v>1</v>
      </c>
      <c r="K36" s="47" t="n">
        <f aca="false">IF(AND(K$3&gt;=VST_Assets!$E$2,K$3&lt;=VST_Assets!$F$2,VST_Assets!$H$2="Cashflow"),1,0)</f>
        <v>1</v>
      </c>
      <c r="L36" s="47" t="n">
        <f aca="false">IF(AND(L$3&gt;=VST_Assets!$E$2,L$3&lt;=VST_Assets!$F$2,VST_Assets!$H$2="Cashflow"),1,0)</f>
        <v>1</v>
      </c>
      <c r="M36" s="47" t="n">
        <f aca="false">IF(AND(M$3&gt;=VST_Assets!$E$2,M$3&lt;=VST_Assets!$F$2,VST_Assets!$H$2="Cashflow"),1,0)</f>
        <v>1</v>
      </c>
      <c r="N36" s="47" t="n">
        <f aca="false">IF(AND(N$3&gt;=VST_Assets!$E$2,N$3&lt;=VST_Assets!$F$2,VST_Assets!$H$2="Cashflow"),1,0)</f>
        <v>1</v>
      </c>
      <c r="O36" s="47" t="n">
        <f aca="false">IF(AND(O$3&gt;=VST_Assets!$E$2,O$3&lt;=VST_Assets!$F$2,VST_Assets!$H$2="Cashflow"),1,0)</f>
        <v>1</v>
      </c>
      <c r="P36" s="47" t="n">
        <f aca="false">IF(AND(P$3&gt;=VST_Assets!$E$2,P$3&lt;=VST_Assets!$F$2,VST_Assets!$H$2="Cashflow"),1,0)</f>
        <v>1</v>
      </c>
      <c r="Q36" s="47" t="n">
        <f aca="false">IF(AND(Q$3&gt;=VST_Assets!$E$2,Q$3&lt;=VST_Assets!$F$2,VST_Assets!$H$2="Cashflow"),1,0)</f>
        <v>1</v>
      </c>
      <c r="R36" s="47" t="n">
        <f aca="false">IF(AND(R$3&gt;=VST_Assets!$E$2,R$3&lt;=VST_Assets!$F$2,VST_Assets!$H$2="Cashflow"),1,0)</f>
        <v>1</v>
      </c>
      <c r="S36" s="47" t="n">
        <f aca="false">IF(AND(S$3&gt;=VST_Assets!$E$2,S$3&lt;=VST_Assets!$F$2,VST_Assets!$H$2="Cashflow"),1,0)</f>
        <v>1</v>
      </c>
      <c r="T36" s="47" t="n">
        <f aca="false">IF(AND(T$3&gt;=VST_Assets!$E$2,T$3&lt;=VST_Assets!$F$2,VST_Assets!$H$2="Cashflow"),1,0)</f>
        <v>1</v>
      </c>
      <c r="U36" s="47" t="n">
        <f aca="false">IF(AND(U$3&gt;=VST_Assets!$E$2,U$3&lt;=VST_Assets!$F$2,VST_Assets!$H$2="Cashflow"),1,0)</f>
        <v>1</v>
      </c>
      <c r="V36" s="47" t="n">
        <f aca="false">IF(AND(V$3&gt;=VST_Assets!$E$2,V$3&lt;=VST_Assets!$F$2,VST_Assets!$H$2="Cashflow"),1,0)</f>
        <v>1</v>
      </c>
      <c r="W36" s="47" t="n">
        <f aca="false">IF(AND(W$3&gt;=VST_Assets!$E$2,W$3&lt;=VST_Assets!$F$2,VST_Assets!$H$2="Cashflow"),1,0)</f>
        <v>1</v>
      </c>
      <c r="X36" s="47" t="n">
        <f aca="false">IF(AND(X$3&gt;=VST_Assets!$E$2,X$3&lt;=VST_Assets!$F$2,VST_Assets!$H$2="Cashflow"),1,0)</f>
        <v>1</v>
      </c>
      <c r="Y36" s="47" t="n">
        <f aca="false">IF(AND(Y$3&gt;=VST_Assets!$E$2,Y$3&lt;=VST_Assets!$F$2,VST_Assets!$H$2="Cashflow"),1,0)</f>
        <v>1</v>
      </c>
      <c r="Z36" s="47" t="n">
        <f aca="false">IF(AND(Z$3&gt;=VST_Assets!$E$2,Z$3&lt;=VST_Assets!$F$2,VST_Assets!$H$2="Cashflow"),1,0)</f>
        <v>1</v>
      </c>
      <c r="AA36" s="47" t="n">
        <f aca="false">IF(AND(AA$3&gt;=VST_Assets!$E$2,AA$3&lt;=VST_Assets!$F$2,VST_Assets!$H$2="Cashflow"),1,0)</f>
        <v>1</v>
      </c>
      <c r="AB36" s="47" t="n">
        <f aca="false">IF(AND(AB$3&gt;=VST_Assets!$E$2,AB$3&lt;=VST_Assets!$F$2,VST_Assets!$H$2="Cashflow"),1,0)</f>
        <v>1</v>
      </c>
      <c r="AC36" s="47" t="n">
        <f aca="false">IF(AND(AC$3&gt;=VST_Assets!$E$2,AC$3&lt;=VST_Assets!$F$2,VST_Assets!$H$2="Cashflow"),1,0)</f>
        <v>1</v>
      </c>
      <c r="AD36" s="47" t="n">
        <f aca="false">IF(AND(AD$3&gt;=VST_Assets!$E$2,AD$3&lt;=VST_Assets!$F$2,VST_Assets!$H$2="Cashflow"),1,0)</f>
        <v>1</v>
      </c>
      <c r="AE36" s="47" t="n">
        <f aca="false">IF(AND(AE$3&gt;=VST_Assets!$E$2,AE$3&lt;=VST_Assets!$F$2,VST_Assets!$H$2="Cashflow"),1,0)</f>
        <v>1</v>
      </c>
      <c r="AF36" s="47" t="n">
        <f aca="false">IF(AND(AF$3&gt;=VST_Assets!$E$2,AF$3&lt;=VST_Assets!$F$2,VST_Assets!$H$2="Cashflow"),1,0)</f>
        <v>1</v>
      </c>
      <c r="AG36" s="47" t="n">
        <f aca="false">IF(AND(AG$3&gt;=VST_Assets!$E$2,AG$3&lt;=VST_Assets!$F$2,VST_Assets!$H$2="Cashflow"),1,0)</f>
        <v>1</v>
      </c>
      <c r="AH36" s="47" t="n">
        <f aca="false">IF(AND(AH$3&gt;=VST_Assets!$E$2,AH$3&lt;=VST_Assets!$F$2,VST_Assets!$H$2="Cashflow"),1,0)</f>
        <v>0</v>
      </c>
      <c r="AI36" s="47" t="n">
        <f aca="false">IF(AND(AI$3&gt;=VST_Assets!$E$2,AI$3&lt;=VST_Assets!$F$2,VST_Assets!$H$2="Cashflow"),1,0)</f>
        <v>0</v>
      </c>
      <c r="AJ36" s="47" t="n">
        <f aca="false">IF(AND(AJ$3&gt;=VST_Assets!$E$2,AJ$3&lt;=VST_Assets!$F$2,VST_Assets!$H$2="Cashflow"),1,0)</f>
        <v>0</v>
      </c>
      <c r="AK36" s="47" t="n">
        <f aca="false">IF(AND(AK$3&gt;=VST_Assets!$E$2,AK$3&lt;=VST_Assets!$F$2,VST_Assets!$H$2="Cashflow"),1,0)</f>
        <v>0</v>
      </c>
      <c r="AL36" s="47" t="n">
        <f aca="false">IF(AND(AL$3&gt;=VST_Assets!$E$2,AL$3&lt;=VST_Assets!$F$2,VST_Assets!$H$2="Cashflow"),1,0)</f>
        <v>0</v>
      </c>
      <c r="AM36" s="47" t="n">
        <f aca="false">IF(AND(AM$3&gt;=VST_Assets!$E$2,AM$3&lt;=VST_Assets!$F$2,VST_Assets!$H$2="Cashflow"),1,0)</f>
        <v>0</v>
      </c>
      <c r="AN36" s="47" t="n">
        <f aca="false">IF(AND(AN$3&gt;=VST_Assets!$E$2,AN$3&lt;=VST_Assets!$F$2,VST_Assets!$H$2="Cashflow"),1,0)</f>
        <v>0</v>
      </c>
      <c r="AO36" s="47" t="n">
        <f aca="false">IF(AND(AO$3&gt;=VST_Assets!$E$2,AO$3&lt;=VST_Assets!$F$2,VST_Assets!$H$2="Cashflow"),1,0)</f>
        <v>0</v>
      </c>
      <c r="AP36" s="47" t="n">
        <f aca="false">IF(AND(AP$3&gt;=VST_Assets!$E$2,AP$3&lt;=VST_Assets!$F$2,VST_Assets!$H$2="Cashflow"),1,0)</f>
        <v>0</v>
      </c>
      <c r="AQ36" s="47" t="n">
        <f aca="false">IF(AND(AQ$3&gt;=VST_Assets!$E$2,AQ$3&lt;=VST_Assets!$F$2,VST_Assets!$H$2="Cashflow"),1,0)</f>
        <v>0</v>
      </c>
      <c r="AR36" s="47" t="n">
        <f aca="false">IF(AND(AR$3&gt;=VST_Assets!$E$2,AR$3&lt;=VST_Assets!$F$2,VST_Assets!$H$2="Cashflow"),1,0)</f>
        <v>0</v>
      </c>
      <c r="AS36" s="47" t="n">
        <f aca="false">IF(AND(AS$3&gt;=VST_Assets!$E$2,AS$3&lt;=VST_Assets!$F$2,VST_Assets!$H$2="Cashflow"),1,0)</f>
        <v>0</v>
      </c>
    </row>
    <row r="37" customFormat="false" ht="15" hidden="false" customHeight="false" outlineLevel="0" collapsed="false">
      <c r="A37" s="6" t="s">
        <v>427</v>
      </c>
      <c r="B37" s="6" t="s">
        <v>428</v>
      </c>
      <c r="G37" s="9" t="n">
        <f aca="false">IF(AND(G$3&gt;=VST_Assets!$AA$2,G$3&lt;=VST_Assets!$AB$2),MIN(VST_Assets!$D$2,VST_Assets!$Z$2*MIN(1,(G$3-VST_Assets!$AA$2+1)/MAX(1,VST_Assets!$AC$2))),0)*G36</f>
        <v>0</v>
      </c>
      <c r="H37" s="9" t="n">
        <f aca="false">IF(AND(H$3&gt;=VST_Assets!$AA$2,H$3&lt;=VST_Assets!$AB$2),MIN(VST_Assets!$D$2,VST_Assets!$Z$2*MIN(1,(H$3-VST_Assets!$AA$2+1)/MAX(1,VST_Assets!$AC$2))),0)*H36</f>
        <v>240</v>
      </c>
      <c r="I37" s="9" t="n">
        <f aca="false">IF(AND(I$3&gt;=VST_Assets!$AA$2,I$3&lt;=VST_Assets!$AB$2),MIN(VST_Assets!$D$2,VST_Assets!$Z$2*MIN(1,(I$3-VST_Assets!$AA$2+1)/MAX(1,VST_Assets!$AC$2))),0)*I36</f>
        <v>480</v>
      </c>
      <c r="J37" s="9" t="n">
        <f aca="false">IF(AND(J$3&gt;=VST_Assets!$AA$2,J$3&lt;=VST_Assets!$AB$2),MIN(VST_Assets!$D$2,VST_Assets!$Z$2*MIN(1,(J$3-VST_Assets!$AA$2+1)/MAX(1,VST_Assets!$AC$2))),0)*J36</f>
        <v>720</v>
      </c>
      <c r="K37" s="9" t="n">
        <f aca="false">IF(AND(K$3&gt;=VST_Assets!$AA$2,K$3&lt;=VST_Assets!$AB$2),MIN(VST_Assets!$D$2,VST_Assets!$Z$2*MIN(1,(K$3-VST_Assets!$AA$2+1)/MAX(1,VST_Assets!$AC$2))),0)*K36</f>
        <v>960</v>
      </c>
      <c r="L37" s="9" t="n">
        <f aca="false">IF(AND(L$3&gt;=VST_Assets!$AA$2,L$3&lt;=VST_Assets!$AB$2),MIN(VST_Assets!$D$2,VST_Assets!$Z$2*MIN(1,(L$3-VST_Assets!$AA$2+1)/MAX(1,VST_Assets!$AC$2))),0)*L36</f>
        <v>1200</v>
      </c>
      <c r="M37" s="9" t="n">
        <f aca="false">IF(AND(M$3&gt;=VST_Assets!$AA$2,M$3&lt;=VST_Assets!$AB$2),MIN(VST_Assets!$D$2,VST_Assets!$Z$2*MIN(1,(M$3-VST_Assets!$AA$2+1)/MAX(1,VST_Assets!$AC$2))),0)*M36</f>
        <v>1200</v>
      </c>
      <c r="N37" s="9" t="n">
        <f aca="false">IF(AND(N$3&gt;=VST_Assets!$AA$2,N$3&lt;=VST_Assets!$AB$2),MIN(VST_Assets!$D$2,VST_Assets!$Z$2*MIN(1,(N$3-VST_Assets!$AA$2+1)/MAX(1,VST_Assets!$AC$2))),0)*N36</f>
        <v>1200</v>
      </c>
      <c r="O37" s="9" t="n">
        <f aca="false">IF(AND(O$3&gt;=VST_Assets!$AA$2,O$3&lt;=VST_Assets!$AB$2),MIN(VST_Assets!$D$2,VST_Assets!$Z$2*MIN(1,(O$3-VST_Assets!$AA$2+1)/MAX(1,VST_Assets!$AC$2))),0)*O36</f>
        <v>1200</v>
      </c>
      <c r="P37" s="9" t="n">
        <f aca="false">IF(AND(P$3&gt;=VST_Assets!$AA$2,P$3&lt;=VST_Assets!$AB$2),MIN(VST_Assets!$D$2,VST_Assets!$Z$2*MIN(1,(P$3-VST_Assets!$AA$2+1)/MAX(1,VST_Assets!$AC$2))),0)*P36</f>
        <v>1200</v>
      </c>
      <c r="Q37" s="9" t="n">
        <f aca="false">IF(AND(Q$3&gt;=VST_Assets!$AA$2,Q$3&lt;=VST_Assets!$AB$2),MIN(VST_Assets!$D$2,VST_Assets!$Z$2*MIN(1,(Q$3-VST_Assets!$AA$2+1)/MAX(1,VST_Assets!$AC$2))),0)*Q36</f>
        <v>1200</v>
      </c>
      <c r="R37" s="9" t="n">
        <f aca="false">IF(AND(R$3&gt;=VST_Assets!$AA$2,R$3&lt;=VST_Assets!$AB$2),MIN(VST_Assets!$D$2,VST_Assets!$Z$2*MIN(1,(R$3-VST_Assets!$AA$2+1)/MAX(1,VST_Assets!$AC$2))),0)*R36</f>
        <v>1200</v>
      </c>
      <c r="S37" s="9" t="n">
        <f aca="false">IF(AND(S$3&gt;=VST_Assets!$AA$2,S$3&lt;=VST_Assets!$AB$2),MIN(VST_Assets!$D$2,VST_Assets!$Z$2*MIN(1,(S$3-VST_Assets!$AA$2+1)/MAX(1,VST_Assets!$AC$2))),0)*S36</f>
        <v>1200</v>
      </c>
      <c r="T37" s="9" t="n">
        <f aca="false">IF(AND(T$3&gt;=VST_Assets!$AA$2,T$3&lt;=VST_Assets!$AB$2),MIN(VST_Assets!$D$2,VST_Assets!$Z$2*MIN(1,(T$3-VST_Assets!$AA$2+1)/MAX(1,VST_Assets!$AC$2))),0)*T36</f>
        <v>1200</v>
      </c>
      <c r="U37" s="9" t="n">
        <f aca="false">IF(AND(U$3&gt;=VST_Assets!$AA$2,U$3&lt;=VST_Assets!$AB$2),MIN(VST_Assets!$D$2,VST_Assets!$Z$2*MIN(1,(U$3-VST_Assets!$AA$2+1)/MAX(1,VST_Assets!$AC$2))),0)*U36</f>
        <v>1200</v>
      </c>
      <c r="V37" s="9" t="n">
        <f aca="false">IF(AND(V$3&gt;=VST_Assets!$AA$2,V$3&lt;=VST_Assets!$AB$2),MIN(VST_Assets!$D$2,VST_Assets!$Z$2*MIN(1,(V$3-VST_Assets!$AA$2+1)/MAX(1,VST_Assets!$AC$2))),0)*V36</f>
        <v>1200</v>
      </c>
      <c r="W37" s="9" t="n">
        <f aca="false">IF(AND(W$3&gt;=VST_Assets!$AA$2,W$3&lt;=VST_Assets!$AB$2),MIN(VST_Assets!$D$2,VST_Assets!$Z$2*MIN(1,(W$3-VST_Assets!$AA$2+1)/MAX(1,VST_Assets!$AC$2))),0)*W36</f>
        <v>1200</v>
      </c>
      <c r="X37" s="9" t="n">
        <f aca="false">IF(AND(X$3&gt;=VST_Assets!$AA$2,X$3&lt;=VST_Assets!$AB$2),MIN(VST_Assets!$D$2,VST_Assets!$Z$2*MIN(1,(X$3-VST_Assets!$AA$2+1)/MAX(1,VST_Assets!$AC$2))),0)*X36</f>
        <v>1200</v>
      </c>
      <c r="Y37" s="9" t="n">
        <f aca="false">IF(AND(Y$3&gt;=VST_Assets!$AA$2,Y$3&lt;=VST_Assets!$AB$2),MIN(VST_Assets!$D$2,VST_Assets!$Z$2*MIN(1,(Y$3-VST_Assets!$AA$2+1)/MAX(1,VST_Assets!$AC$2))),0)*Y36</f>
        <v>1200</v>
      </c>
      <c r="Z37" s="9" t="n">
        <f aca="false">IF(AND(Z$3&gt;=VST_Assets!$AA$2,Z$3&lt;=VST_Assets!$AB$2),MIN(VST_Assets!$D$2,VST_Assets!$Z$2*MIN(1,(Z$3-VST_Assets!$AA$2+1)/MAX(1,VST_Assets!$AC$2))),0)*Z36</f>
        <v>1200</v>
      </c>
      <c r="AA37" s="9" t="n">
        <f aca="false">IF(AND(AA$3&gt;=VST_Assets!$AA$2,AA$3&lt;=VST_Assets!$AB$2),MIN(VST_Assets!$D$2,VST_Assets!$Z$2*MIN(1,(AA$3-VST_Assets!$AA$2+1)/MAX(1,VST_Assets!$AC$2))),0)*AA36</f>
        <v>1200</v>
      </c>
      <c r="AB37" s="9" t="n">
        <f aca="false">IF(AND(AB$3&gt;=VST_Assets!$AA$2,AB$3&lt;=VST_Assets!$AB$2),MIN(VST_Assets!$D$2,VST_Assets!$Z$2*MIN(1,(AB$3-VST_Assets!$AA$2+1)/MAX(1,VST_Assets!$AC$2))),0)*AB36</f>
        <v>0</v>
      </c>
      <c r="AC37" s="9" t="n">
        <f aca="false">IF(AND(AC$3&gt;=VST_Assets!$AA$2,AC$3&lt;=VST_Assets!$AB$2),MIN(VST_Assets!$D$2,VST_Assets!$Z$2*MIN(1,(AC$3-VST_Assets!$AA$2+1)/MAX(1,VST_Assets!$AC$2))),0)*AC36</f>
        <v>0</v>
      </c>
      <c r="AD37" s="9" t="n">
        <f aca="false">IF(AND(AD$3&gt;=VST_Assets!$AA$2,AD$3&lt;=VST_Assets!$AB$2),MIN(VST_Assets!$D$2,VST_Assets!$Z$2*MIN(1,(AD$3-VST_Assets!$AA$2+1)/MAX(1,VST_Assets!$AC$2))),0)*AD36</f>
        <v>0</v>
      </c>
      <c r="AE37" s="9" t="n">
        <f aca="false">IF(AND(AE$3&gt;=VST_Assets!$AA$2,AE$3&lt;=VST_Assets!$AB$2),MIN(VST_Assets!$D$2,VST_Assets!$Z$2*MIN(1,(AE$3-VST_Assets!$AA$2+1)/MAX(1,VST_Assets!$AC$2))),0)*AE36</f>
        <v>0</v>
      </c>
      <c r="AF37" s="9" t="n">
        <f aca="false">IF(AND(AF$3&gt;=VST_Assets!$AA$2,AF$3&lt;=VST_Assets!$AB$2),MIN(VST_Assets!$D$2,VST_Assets!$Z$2*MIN(1,(AF$3-VST_Assets!$AA$2+1)/MAX(1,VST_Assets!$AC$2))),0)*AF36</f>
        <v>0</v>
      </c>
      <c r="AG37" s="9" t="n">
        <f aca="false">IF(AND(AG$3&gt;=VST_Assets!$AA$2,AG$3&lt;=VST_Assets!$AB$2),MIN(VST_Assets!$D$2,VST_Assets!$Z$2*MIN(1,(AG$3-VST_Assets!$AA$2+1)/MAX(1,VST_Assets!$AC$2))),0)*AG36</f>
        <v>0</v>
      </c>
      <c r="AH37" s="9" t="n">
        <f aca="false">IF(AND(AH$3&gt;=VST_Assets!$AA$2,AH$3&lt;=VST_Assets!$AB$2),MIN(VST_Assets!$D$2,VST_Assets!$Z$2*MIN(1,(AH$3-VST_Assets!$AA$2+1)/MAX(1,VST_Assets!$AC$2))),0)*AH36</f>
        <v>0</v>
      </c>
      <c r="AI37" s="9" t="n">
        <f aca="false">IF(AND(AI$3&gt;=VST_Assets!$AA$2,AI$3&lt;=VST_Assets!$AB$2),MIN(VST_Assets!$D$2,VST_Assets!$Z$2*MIN(1,(AI$3-VST_Assets!$AA$2+1)/MAX(1,VST_Assets!$AC$2))),0)*AI36</f>
        <v>0</v>
      </c>
      <c r="AJ37" s="9" t="n">
        <f aca="false">IF(AND(AJ$3&gt;=VST_Assets!$AA$2,AJ$3&lt;=VST_Assets!$AB$2),MIN(VST_Assets!$D$2,VST_Assets!$Z$2*MIN(1,(AJ$3-VST_Assets!$AA$2+1)/MAX(1,VST_Assets!$AC$2))),0)*AJ36</f>
        <v>0</v>
      </c>
      <c r="AK37" s="9" t="n">
        <f aca="false">IF(AND(AK$3&gt;=VST_Assets!$AA$2,AK$3&lt;=VST_Assets!$AB$2),MIN(VST_Assets!$D$2,VST_Assets!$Z$2*MIN(1,(AK$3-VST_Assets!$AA$2+1)/MAX(1,VST_Assets!$AC$2))),0)*AK36</f>
        <v>0</v>
      </c>
      <c r="AL37" s="9" t="n">
        <f aca="false">IF(AND(AL$3&gt;=VST_Assets!$AA$2,AL$3&lt;=VST_Assets!$AB$2),MIN(VST_Assets!$D$2,VST_Assets!$Z$2*MIN(1,(AL$3-VST_Assets!$AA$2+1)/MAX(1,VST_Assets!$AC$2))),0)*AL36</f>
        <v>0</v>
      </c>
      <c r="AM37" s="9" t="n">
        <f aca="false">IF(AND(AM$3&gt;=VST_Assets!$AA$2,AM$3&lt;=VST_Assets!$AB$2),MIN(VST_Assets!$D$2,VST_Assets!$Z$2*MIN(1,(AM$3-VST_Assets!$AA$2+1)/MAX(1,VST_Assets!$AC$2))),0)*AM36</f>
        <v>0</v>
      </c>
      <c r="AN37" s="9" t="n">
        <f aca="false">IF(AND(AN$3&gt;=VST_Assets!$AA$2,AN$3&lt;=VST_Assets!$AB$2),MIN(VST_Assets!$D$2,VST_Assets!$Z$2*MIN(1,(AN$3-VST_Assets!$AA$2+1)/MAX(1,VST_Assets!$AC$2))),0)*AN36</f>
        <v>0</v>
      </c>
      <c r="AO37" s="9" t="n">
        <f aca="false">IF(AND(AO$3&gt;=VST_Assets!$AA$2,AO$3&lt;=VST_Assets!$AB$2),MIN(VST_Assets!$D$2,VST_Assets!$Z$2*MIN(1,(AO$3-VST_Assets!$AA$2+1)/MAX(1,VST_Assets!$AC$2))),0)*AO36</f>
        <v>0</v>
      </c>
      <c r="AP37" s="9" t="n">
        <f aca="false">IF(AND(AP$3&gt;=VST_Assets!$AA$2,AP$3&lt;=VST_Assets!$AB$2),MIN(VST_Assets!$D$2,VST_Assets!$Z$2*MIN(1,(AP$3-VST_Assets!$AA$2+1)/MAX(1,VST_Assets!$AC$2))),0)*AP36</f>
        <v>0</v>
      </c>
      <c r="AQ37" s="9" t="n">
        <f aca="false">IF(AND(AQ$3&gt;=VST_Assets!$AA$2,AQ$3&lt;=VST_Assets!$AB$2),MIN(VST_Assets!$D$2,VST_Assets!$Z$2*MIN(1,(AQ$3-VST_Assets!$AA$2+1)/MAX(1,VST_Assets!$AC$2))),0)*AQ36</f>
        <v>0</v>
      </c>
      <c r="AR37" s="9" t="n">
        <f aca="false">IF(AND(AR$3&gt;=VST_Assets!$AA$2,AR$3&lt;=VST_Assets!$AB$2),MIN(VST_Assets!$D$2,VST_Assets!$Z$2*MIN(1,(AR$3-VST_Assets!$AA$2+1)/MAX(1,VST_Assets!$AC$2))),0)*AR36</f>
        <v>0</v>
      </c>
      <c r="AS37" s="9" t="n">
        <f aca="false">IF(AND(AS$3&gt;=VST_Assets!$AA$2,AS$3&lt;=VST_Assets!$AB$2),MIN(VST_Assets!$D$2,VST_Assets!$Z$2*MIN(1,(AS$3-VST_Assets!$AA$2+1)/MAX(1,VST_Assets!$AC$2))),0)*AS36</f>
        <v>0</v>
      </c>
    </row>
    <row r="38" customFormat="false" ht="15" hidden="false" customHeight="false" outlineLevel="0" collapsed="false">
      <c r="A38" s="6" t="s">
        <v>429</v>
      </c>
      <c r="B38" s="6" t="s">
        <v>430</v>
      </c>
      <c r="G38" s="9" t="n">
        <f aca="false">(VST_Assets!$D$2-G37)*8760*VST_Assets!$I$2*G36</f>
        <v>19657440</v>
      </c>
      <c r="H38" s="9" t="n">
        <f aca="false">(VST_Assets!$D$2-H37)*8760*VST_Assets!$I$2*H36</f>
        <v>17691696</v>
      </c>
      <c r="I38" s="9" t="n">
        <f aca="false">(VST_Assets!$D$2-I37)*8760*VST_Assets!$I$2*I36</f>
        <v>15725952</v>
      </c>
      <c r="J38" s="9" t="n">
        <f aca="false">(VST_Assets!$D$2-J37)*8760*VST_Assets!$I$2*J36</f>
        <v>13760208</v>
      </c>
      <c r="K38" s="9" t="n">
        <f aca="false">(VST_Assets!$D$2-K37)*8760*VST_Assets!$I$2*K36</f>
        <v>11794464</v>
      </c>
      <c r="L38" s="9" t="n">
        <f aca="false">(VST_Assets!$D$2-L37)*8760*VST_Assets!$I$2*L36</f>
        <v>9828720</v>
      </c>
      <c r="M38" s="9" t="n">
        <f aca="false">(VST_Assets!$D$2-M37)*8760*VST_Assets!$I$2*M36</f>
        <v>9828720</v>
      </c>
      <c r="N38" s="9" t="n">
        <f aca="false">(VST_Assets!$D$2-N37)*8760*VST_Assets!$I$2*N36</f>
        <v>9828720</v>
      </c>
      <c r="O38" s="9" t="n">
        <f aca="false">(VST_Assets!$D$2-O37)*8760*VST_Assets!$I$2*O36</f>
        <v>9828720</v>
      </c>
      <c r="P38" s="9" t="n">
        <f aca="false">(VST_Assets!$D$2-P37)*8760*VST_Assets!$I$2*P36</f>
        <v>9828720</v>
      </c>
      <c r="Q38" s="9" t="n">
        <f aca="false">(VST_Assets!$D$2-Q37)*8760*VST_Assets!$I$2*Q36</f>
        <v>9828720</v>
      </c>
      <c r="R38" s="9" t="n">
        <f aca="false">(VST_Assets!$D$2-R37)*8760*VST_Assets!$I$2*R36</f>
        <v>9828720</v>
      </c>
      <c r="S38" s="9" t="n">
        <f aca="false">(VST_Assets!$D$2-S37)*8760*VST_Assets!$I$2*S36</f>
        <v>9828720</v>
      </c>
      <c r="T38" s="9" t="n">
        <f aca="false">(VST_Assets!$D$2-T37)*8760*VST_Assets!$I$2*T36</f>
        <v>9828720</v>
      </c>
      <c r="U38" s="9" t="n">
        <f aca="false">(VST_Assets!$D$2-U37)*8760*VST_Assets!$I$2*U36</f>
        <v>9828720</v>
      </c>
      <c r="V38" s="9" t="n">
        <f aca="false">(VST_Assets!$D$2-V37)*8760*VST_Assets!$I$2*V36</f>
        <v>9828720</v>
      </c>
      <c r="W38" s="9" t="n">
        <f aca="false">(VST_Assets!$D$2-W37)*8760*VST_Assets!$I$2*W36</f>
        <v>9828720</v>
      </c>
      <c r="X38" s="9" t="n">
        <f aca="false">(VST_Assets!$D$2-X37)*8760*VST_Assets!$I$2*X36</f>
        <v>9828720</v>
      </c>
      <c r="Y38" s="9" t="n">
        <f aca="false">(VST_Assets!$D$2-Y37)*8760*VST_Assets!$I$2*Y36</f>
        <v>9828720</v>
      </c>
      <c r="Z38" s="9" t="n">
        <f aca="false">(VST_Assets!$D$2-Z37)*8760*VST_Assets!$I$2*Z36</f>
        <v>9828720</v>
      </c>
      <c r="AA38" s="9" t="n">
        <f aca="false">(VST_Assets!$D$2-AA37)*8760*VST_Assets!$I$2*AA36</f>
        <v>9828720</v>
      </c>
      <c r="AB38" s="9" t="n">
        <f aca="false">(VST_Assets!$D$2-AB37)*8760*VST_Assets!$I$2*AB36</f>
        <v>19657440</v>
      </c>
      <c r="AC38" s="9" t="n">
        <f aca="false">(VST_Assets!$D$2-AC37)*8760*VST_Assets!$I$2*AC36</f>
        <v>19657440</v>
      </c>
      <c r="AD38" s="9" t="n">
        <f aca="false">(VST_Assets!$D$2-AD37)*8760*VST_Assets!$I$2*AD36</f>
        <v>19657440</v>
      </c>
      <c r="AE38" s="9" t="n">
        <f aca="false">(VST_Assets!$D$2-AE37)*8760*VST_Assets!$I$2*AE36</f>
        <v>19657440</v>
      </c>
      <c r="AF38" s="9" t="n">
        <f aca="false">(VST_Assets!$D$2-AF37)*8760*VST_Assets!$I$2*AF36</f>
        <v>19657440</v>
      </c>
      <c r="AG38" s="9" t="n">
        <f aca="false">(VST_Assets!$D$2-AG37)*8760*VST_Assets!$I$2*AG36</f>
        <v>19657440</v>
      </c>
      <c r="AH38" s="9" t="n">
        <f aca="false">(VST_Assets!$D$2-AH37)*8760*VST_Assets!$I$2*AH36</f>
        <v>0</v>
      </c>
      <c r="AI38" s="9" t="n">
        <f aca="false">(VST_Assets!$D$2-AI37)*8760*VST_Assets!$I$2*AI36</f>
        <v>0</v>
      </c>
      <c r="AJ38" s="9" t="n">
        <f aca="false">(VST_Assets!$D$2-AJ37)*8760*VST_Assets!$I$2*AJ36</f>
        <v>0</v>
      </c>
      <c r="AK38" s="9" t="n">
        <f aca="false">(VST_Assets!$D$2-AK37)*8760*VST_Assets!$I$2*AK36</f>
        <v>0</v>
      </c>
      <c r="AL38" s="9" t="n">
        <f aca="false">(VST_Assets!$D$2-AL37)*8760*VST_Assets!$I$2*AL36</f>
        <v>0</v>
      </c>
      <c r="AM38" s="9" t="n">
        <f aca="false">(VST_Assets!$D$2-AM37)*8760*VST_Assets!$I$2*AM36</f>
        <v>0</v>
      </c>
      <c r="AN38" s="9" t="n">
        <f aca="false">(VST_Assets!$D$2-AN37)*8760*VST_Assets!$I$2*AN36</f>
        <v>0</v>
      </c>
      <c r="AO38" s="9" t="n">
        <f aca="false">(VST_Assets!$D$2-AO37)*8760*VST_Assets!$I$2*AO36</f>
        <v>0</v>
      </c>
      <c r="AP38" s="9" t="n">
        <f aca="false">(VST_Assets!$D$2-AP37)*8760*VST_Assets!$I$2*AP36</f>
        <v>0</v>
      </c>
      <c r="AQ38" s="9" t="n">
        <f aca="false">(VST_Assets!$D$2-AQ37)*8760*VST_Assets!$I$2*AQ36</f>
        <v>0</v>
      </c>
      <c r="AR38" s="9" t="n">
        <f aca="false">(VST_Assets!$D$2-AR37)*8760*VST_Assets!$I$2*AR36</f>
        <v>0</v>
      </c>
      <c r="AS38" s="9" t="n">
        <f aca="false">(VST_Assets!$D$2-AS37)*8760*VST_Assets!$I$2*AS36</f>
        <v>0</v>
      </c>
    </row>
    <row r="39" customFormat="false" ht="15" hidden="false" customHeight="false" outlineLevel="0" collapsed="false">
      <c r="A39" s="6" t="s">
        <v>431</v>
      </c>
      <c r="B39" s="6" t="s">
        <v>432</v>
      </c>
      <c r="G39" s="9" t="n">
        <f aca="false">G37*8760*VST_Assets!$I$2*G36</f>
        <v>0</v>
      </c>
      <c r="H39" s="9" t="n">
        <f aca="false">H37*8760*VST_Assets!$I$2*H36</f>
        <v>1965744</v>
      </c>
      <c r="I39" s="9" t="n">
        <f aca="false">I37*8760*VST_Assets!$I$2*I36</f>
        <v>3931488</v>
      </c>
      <c r="J39" s="9" t="n">
        <f aca="false">J37*8760*VST_Assets!$I$2*J36</f>
        <v>5897232</v>
      </c>
      <c r="K39" s="9" t="n">
        <f aca="false">K37*8760*VST_Assets!$I$2*K36</f>
        <v>7862976</v>
      </c>
      <c r="L39" s="9" t="n">
        <f aca="false">L37*8760*VST_Assets!$I$2*L36</f>
        <v>9828720</v>
      </c>
      <c r="M39" s="9" t="n">
        <f aca="false">M37*8760*VST_Assets!$I$2*M36</f>
        <v>9828720</v>
      </c>
      <c r="N39" s="9" t="n">
        <f aca="false">N37*8760*VST_Assets!$I$2*N36</f>
        <v>9828720</v>
      </c>
      <c r="O39" s="9" t="n">
        <f aca="false">O37*8760*VST_Assets!$I$2*O36</f>
        <v>9828720</v>
      </c>
      <c r="P39" s="9" t="n">
        <f aca="false">P37*8760*VST_Assets!$I$2*P36</f>
        <v>9828720</v>
      </c>
      <c r="Q39" s="9" t="n">
        <f aca="false">Q37*8760*VST_Assets!$I$2*Q36</f>
        <v>9828720</v>
      </c>
      <c r="R39" s="9" t="n">
        <f aca="false">R37*8760*VST_Assets!$I$2*R36</f>
        <v>9828720</v>
      </c>
      <c r="S39" s="9" t="n">
        <f aca="false">S37*8760*VST_Assets!$I$2*S36</f>
        <v>9828720</v>
      </c>
      <c r="T39" s="9" t="n">
        <f aca="false">T37*8760*VST_Assets!$I$2*T36</f>
        <v>9828720</v>
      </c>
      <c r="U39" s="9" t="n">
        <f aca="false">U37*8760*VST_Assets!$I$2*U36</f>
        <v>9828720</v>
      </c>
      <c r="V39" s="9" t="n">
        <f aca="false">V37*8760*VST_Assets!$I$2*V36</f>
        <v>9828720</v>
      </c>
      <c r="W39" s="9" t="n">
        <f aca="false">W37*8760*VST_Assets!$I$2*W36</f>
        <v>9828720</v>
      </c>
      <c r="X39" s="9" t="n">
        <f aca="false">X37*8760*VST_Assets!$I$2*X36</f>
        <v>9828720</v>
      </c>
      <c r="Y39" s="9" t="n">
        <f aca="false">Y37*8760*VST_Assets!$I$2*Y36</f>
        <v>9828720</v>
      </c>
      <c r="Z39" s="9" t="n">
        <f aca="false">Z37*8760*VST_Assets!$I$2*Z36</f>
        <v>9828720</v>
      </c>
      <c r="AA39" s="9" t="n">
        <f aca="false">AA37*8760*VST_Assets!$I$2*AA36</f>
        <v>9828720</v>
      </c>
      <c r="AB39" s="9" t="n">
        <f aca="false">AB37*8760*VST_Assets!$I$2*AB36</f>
        <v>0</v>
      </c>
      <c r="AC39" s="9" t="n">
        <f aca="false">AC37*8760*VST_Assets!$I$2*AC36</f>
        <v>0</v>
      </c>
      <c r="AD39" s="9" t="n">
        <f aca="false">AD37*8760*VST_Assets!$I$2*AD36</f>
        <v>0</v>
      </c>
      <c r="AE39" s="9" t="n">
        <f aca="false">AE37*8760*VST_Assets!$I$2*AE36</f>
        <v>0</v>
      </c>
      <c r="AF39" s="9" t="n">
        <f aca="false">AF37*8760*VST_Assets!$I$2*AF36</f>
        <v>0</v>
      </c>
      <c r="AG39" s="9" t="n">
        <f aca="false">AG37*8760*VST_Assets!$I$2*AG36</f>
        <v>0</v>
      </c>
      <c r="AH39" s="9" t="n">
        <f aca="false">AH37*8760*VST_Assets!$I$2*AH36</f>
        <v>0</v>
      </c>
      <c r="AI39" s="9" t="n">
        <f aca="false">AI37*8760*VST_Assets!$I$2*AI36</f>
        <v>0</v>
      </c>
      <c r="AJ39" s="9" t="n">
        <f aca="false">AJ37*8760*VST_Assets!$I$2*AJ36</f>
        <v>0</v>
      </c>
      <c r="AK39" s="9" t="n">
        <f aca="false">AK37*8760*VST_Assets!$I$2*AK36</f>
        <v>0</v>
      </c>
      <c r="AL39" s="9" t="n">
        <f aca="false">AL37*8760*VST_Assets!$I$2*AL36</f>
        <v>0</v>
      </c>
      <c r="AM39" s="9" t="n">
        <f aca="false">AM37*8760*VST_Assets!$I$2*AM36</f>
        <v>0</v>
      </c>
      <c r="AN39" s="9" t="n">
        <f aca="false">AN37*8760*VST_Assets!$I$2*AN36</f>
        <v>0</v>
      </c>
      <c r="AO39" s="9" t="n">
        <f aca="false">AO37*8760*VST_Assets!$I$2*AO36</f>
        <v>0</v>
      </c>
      <c r="AP39" s="9" t="n">
        <f aca="false">AP37*8760*VST_Assets!$I$2*AP36</f>
        <v>0</v>
      </c>
      <c r="AQ39" s="9" t="n">
        <f aca="false">AQ37*8760*VST_Assets!$I$2*AQ36</f>
        <v>0</v>
      </c>
      <c r="AR39" s="9" t="n">
        <f aca="false">AR37*8760*VST_Assets!$I$2*AR36</f>
        <v>0</v>
      </c>
      <c r="AS39" s="9" t="n">
        <f aca="false">AS37*8760*VST_Assets!$I$2*AS36</f>
        <v>0</v>
      </c>
    </row>
    <row r="40" customFormat="false" ht="15" hidden="false" customHeight="false" outlineLevel="0" collapsed="false">
      <c r="A40" s="6" t="s">
        <v>433</v>
      </c>
      <c r="B40" s="6" t="s">
        <v>434</v>
      </c>
      <c r="G40" s="7" t="n">
        <f aca="false">IF(ISNUMBER(VST_Assets!$L$2),VST_Assets!$L$2*G$4,INDEX(Prices!G:G,VST_Assets!$AO$2)+FuelAdder*G$4)</f>
        <v>4.131</v>
      </c>
      <c r="H40" s="7" t="n">
        <f aca="false">IF(ISNUMBER(VST_Assets!$L$2),VST_Assets!$L$2*H$4,INDEX(Prices!H:H,VST_Assets!$AO$2)+FuelAdder*H$4)</f>
        <v>4.21362</v>
      </c>
      <c r="I40" s="7" t="n">
        <f aca="false">IF(ISNUMBER(VST_Assets!$L$2),VST_Assets!$L$2*I$4,INDEX(Prices!I:I,VST_Assets!$AO$2)+FuelAdder*I$4)</f>
        <v>4.4040132</v>
      </c>
      <c r="J40" s="7" t="n">
        <f aca="false">IF(ISNUMBER(VST_Assets!$L$2),VST_Assets!$L$2*J$4,INDEX(Prices!J:J,VST_Assets!$AO$2)+FuelAdder*J$4)</f>
        <v>4.492093464</v>
      </c>
      <c r="K40" s="7" t="n">
        <f aca="false">IF(ISNUMBER(VST_Assets!$L$2),VST_Assets!$L$2*K$4,INDEX(Prices!K:K,VST_Assets!$AO$2)+FuelAdder*K$4)</f>
        <v>4.58193533328</v>
      </c>
      <c r="L40" s="7" t="n">
        <f aca="false">IF(ISNUMBER(VST_Assets!$L$2),VST_Assets!$L$2*L$4,INDEX(Prices!L:L,VST_Assets!$AO$2)+FuelAdder*L$4)</f>
        <v>4.6735740399456</v>
      </c>
      <c r="M40" s="7" t="n">
        <f aca="false">IF(ISNUMBER(VST_Assets!$L$2),VST_Assets!$L$2*M$4,INDEX(Prices!M:M,VST_Assets!$AO$2)+FuelAdder*M$4)</f>
        <v>4.76704552074451</v>
      </c>
      <c r="N40" s="7" t="n">
        <f aca="false">IF(ISNUMBER(VST_Assets!$L$2),VST_Assets!$L$2*N$4,INDEX(Prices!N:N,VST_Assets!$AO$2)+FuelAdder*N$4)</f>
        <v>4.8623864311594</v>
      </c>
      <c r="O40" s="7" t="n">
        <f aca="false">IF(ISNUMBER(VST_Assets!$L$2),VST_Assets!$L$2*O$4,INDEX(Prices!O:O,VST_Assets!$AO$2)+FuelAdder*O$4)</f>
        <v>4.95963415978259</v>
      </c>
      <c r="P40" s="7" t="n">
        <f aca="false">IF(ISNUMBER(VST_Assets!$L$2),VST_Assets!$L$2*P$4,INDEX(Prices!P:P,VST_Assets!$AO$2)+FuelAdder*P$4)</f>
        <v>5.05882684297824</v>
      </c>
      <c r="Q40" s="7" t="n">
        <f aca="false">IF(ISNUMBER(VST_Assets!$L$2),VST_Assets!$L$2*Q$4,INDEX(Prices!Q:Q,VST_Assets!$AO$2)+FuelAdder*Q$4)</f>
        <v>5.16000337983781</v>
      </c>
      <c r="R40" s="7" t="n">
        <f aca="false">IF(ISNUMBER(VST_Assets!$L$2),VST_Assets!$L$2*R$4,INDEX(Prices!R:R,VST_Assets!$AO$2)+FuelAdder*R$4)</f>
        <v>5.26320344743456</v>
      </c>
      <c r="S40" s="7" t="n">
        <f aca="false">IF(ISNUMBER(VST_Assets!$L$2),VST_Assets!$L$2*S$4,INDEX(Prices!S:S,VST_Assets!$AO$2)+FuelAdder*S$4)</f>
        <v>5.36846751638326</v>
      </c>
      <c r="T40" s="7" t="n">
        <f aca="false">IF(ISNUMBER(VST_Assets!$L$2),VST_Assets!$L$2*T$4,INDEX(Prices!T:T,VST_Assets!$AO$2)+FuelAdder*T$4)</f>
        <v>5.47583686671092</v>
      </c>
      <c r="U40" s="7" t="n">
        <f aca="false">IF(ISNUMBER(VST_Assets!$L$2),VST_Assets!$L$2*U$4,INDEX(Prices!U:U,VST_Assets!$AO$2)+FuelAdder*U$4)</f>
        <v>5.58535360404514</v>
      </c>
      <c r="V40" s="7" t="n">
        <f aca="false">IF(ISNUMBER(VST_Assets!$L$2),VST_Assets!$L$2*V$4,INDEX(Prices!V:V,VST_Assets!$AO$2)+FuelAdder*V$4)</f>
        <v>5.69706067612604</v>
      </c>
      <c r="W40" s="7" t="n">
        <f aca="false">IF(ISNUMBER(VST_Assets!$L$2),VST_Assets!$L$2*W$4,INDEX(Prices!W:W,VST_Assets!$AO$2)+FuelAdder*W$4)</f>
        <v>5.81100188964856</v>
      </c>
      <c r="X40" s="7" t="n">
        <f aca="false">IF(ISNUMBER(VST_Assets!$L$2),VST_Assets!$L$2*X$4,INDEX(Prices!X:X,VST_Assets!$AO$2)+FuelAdder*X$4)</f>
        <v>5.92722192744153</v>
      </c>
      <c r="Y40" s="7" t="n">
        <f aca="false">IF(ISNUMBER(VST_Assets!$L$2),VST_Assets!$L$2*Y$4,INDEX(Prices!Y:Y,VST_Assets!$AO$2)+FuelAdder*Y$4)</f>
        <v>6.04576636599037</v>
      </c>
      <c r="Z40" s="7" t="n">
        <f aca="false">IF(ISNUMBER(VST_Assets!$L$2),VST_Assets!$L$2*Z$4,INDEX(Prices!Z:Z,VST_Assets!$AO$2)+FuelAdder*Z$4)</f>
        <v>6.16668169331017</v>
      </c>
      <c r="AA40" s="7" t="n">
        <f aca="false">IF(ISNUMBER(VST_Assets!$L$2),VST_Assets!$L$2*AA$4,INDEX(Prices!AA:AA,VST_Assets!$AO$2)+FuelAdder*AA$4)</f>
        <v>6.29001532717638</v>
      </c>
      <c r="AB40" s="7" t="n">
        <f aca="false">IF(ISNUMBER(VST_Assets!$L$2),VST_Assets!$L$2*AB$4,INDEX(Prices!AB:AB,VST_Assets!$AO$2)+FuelAdder*AB$4)</f>
        <v>6.4158156337199</v>
      </c>
      <c r="AC40" s="7" t="n">
        <f aca="false">IF(ISNUMBER(VST_Assets!$L$2),VST_Assets!$L$2*AC$4,INDEX(Prices!AC:AC,VST_Assets!$AO$2)+FuelAdder*AC$4)</f>
        <v>6.5441319463943</v>
      </c>
      <c r="AD40" s="7" t="n">
        <f aca="false">IF(ISNUMBER(VST_Assets!$L$2),VST_Assets!$L$2*AD$4,INDEX(Prices!AD:AD,VST_Assets!$AO$2)+FuelAdder*AD$4)</f>
        <v>6.67501458532219</v>
      </c>
      <c r="AE40" s="7" t="n">
        <f aca="false">IF(ISNUMBER(VST_Assets!$L$2),VST_Assets!$L$2*AE$4,INDEX(Prices!AE:AE,VST_Assets!$AO$2)+FuelAdder*AE$4)</f>
        <v>6.80851487702863</v>
      </c>
      <c r="AF40" s="7" t="n">
        <f aca="false">IF(ISNUMBER(VST_Assets!$L$2),VST_Assets!$L$2*AF$4,INDEX(Prices!AF:AF,VST_Assets!$AO$2)+FuelAdder*AF$4)</f>
        <v>6.94468517456921</v>
      </c>
      <c r="AG40" s="7" t="n">
        <f aca="false">IF(ISNUMBER(VST_Assets!$L$2),VST_Assets!$L$2*AG$4,INDEX(Prices!AG:AG,VST_Assets!$AO$2)+FuelAdder*AG$4)</f>
        <v>7.08357887806059</v>
      </c>
      <c r="AH40" s="7" t="n">
        <f aca="false">IF(ISNUMBER(VST_Assets!$L$2),VST_Assets!$L$2*AH$4,INDEX(Prices!AH:AH,VST_Assets!$AO$2)+FuelAdder*AH$4)</f>
        <v>7.2252504556218</v>
      </c>
      <c r="AI40" s="7" t="n">
        <f aca="false">IF(ISNUMBER(VST_Assets!$L$2),VST_Assets!$L$2*AI$4,INDEX(Prices!AI:AI,VST_Assets!$AO$2)+FuelAdder*AI$4)</f>
        <v>7.36975546473424</v>
      </c>
      <c r="AJ40" s="7" t="n">
        <f aca="false">IF(ISNUMBER(VST_Assets!$L$2),VST_Assets!$L$2*AJ$4,INDEX(Prices!AJ:AJ,VST_Assets!$AO$2)+FuelAdder*AJ$4)</f>
        <v>7.51715057402892</v>
      </c>
      <c r="AK40" s="7" t="n">
        <f aca="false">IF(ISNUMBER(VST_Assets!$L$2),VST_Assets!$L$2*AK$4,INDEX(Prices!AK:AK,VST_Assets!$AO$2)+FuelAdder*AK$4)</f>
        <v>7.6674935855095</v>
      </c>
      <c r="AL40" s="7" t="n">
        <f aca="false">IF(ISNUMBER(VST_Assets!$L$2),VST_Assets!$L$2*AL$4,INDEX(Prices!AL:AL,VST_Assets!$AO$2)+FuelAdder*AL$4)</f>
        <v>7.82084345721969</v>
      </c>
      <c r="AM40" s="7" t="n">
        <f aca="false">IF(ISNUMBER(VST_Assets!$L$2),VST_Assets!$L$2*AM$4,INDEX(Prices!AM:AM,VST_Assets!$AO$2)+FuelAdder*AM$4)</f>
        <v>7.97726032636409</v>
      </c>
      <c r="AN40" s="7" t="n">
        <f aca="false">IF(ISNUMBER(VST_Assets!$L$2),VST_Assets!$L$2*AN$4,INDEX(Prices!AN:AN,VST_Assets!$AO$2)+FuelAdder*AN$4)</f>
        <v>8.13680553289137</v>
      </c>
      <c r="AO40" s="7" t="n">
        <f aca="false">IF(ISNUMBER(VST_Assets!$L$2),VST_Assets!$L$2*AO$4,INDEX(Prices!AO:AO,VST_Assets!$AO$2)+FuelAdder*AO$4)</f>
        <v>8.29954164354919</v>
      </c>
      <c r="AP40" s="7" t="n">
        <f aca="false">IF(ISNUMBER(VST_Assets!$L$2),VST_Assets!$L$2*AP$4,INDEX(Prices!AP:AP,VST_Assets!$AO$2)+FuelAdder*AP$4)</f>
        <v>8.46553247642018</v>
      </c>
      <c r="AQ40" s="7" t="n">
        <f aca="false">IF(ISNUMBER(VST_Assets!$L$2),VST_Assets!$L$2*AQ$4,INDEX(Prices!AQ:AQ,VST_Assets!$AO$2)+FuelAdder*AQ$4)</f>
        <v>8.63484312594858</v>
      </c>
      <c r="AR40" s="7" t="n">
        <f aca="false">IF(ISNUMBER(VST_Assets!$L$2),VST_Assets!$L$2*AR$4,INDEX(Prices!AR:AR,VST_Assets!$AO$2)+FuelAdder*AR$4)</f>
        <v>8.80753998846755</v>
      </c>
      <c r="AS40" s="7" t="n">
        <f aca="false">IF(ISNUMBER(VST_Assets!$L$2),VST_Assets!$L$2*AS$4,INDEX(Prices!AS:AS,VST_Assets!$AO$2)+FuelAdder*AS$4)</f>
        <v>8.9836907882369</v>
      </c>
    </row>
    <row r="41" customFormat="false" ht="15" hidden="false" customHeight="false" outlineLevel="0" collapsed="false">
      <c r="A41" s="6" t="s">
        <v>435</v>
      </c>
      <c r="B41" s="6" t="s">
        <v>436</v>
      </c>
      <c r="G41" s="7" t="n">
        <f aca="false">INDEX(Prices!G:G,VST_Assets!$AN$2)*VST_Assets!$J$2-VST_Assets!$K$2*G40-VST_Assets!$M$2*G$4</f>
        <v>46.55</v>
      </c>
      <c r="H41" s="7" t="n">
        <f aca="false">INDEX(Prices!H:H,VST_Assets!$AN$2)*VST_Assets!$J$2-VST_Assets!$K$2*H40-VST_Assets!$M$2*H$4</f>
        <v>48.45</v>
      </c>
      <c r="I41" s="7" t="n">
        <f aca="false">INDEX(Prices!I:I,VST_Assets!$AN$2)*VST_Assets!$J$2-VST_Assets!$K$2*I40-VST_Assets!$M$2*I$4</f>
        <v>49.92889369</v>
      </c>
      <c r="J41" s="7" t="n">
        <f aca="false">INDEX(Prices!J:J,VST_Assets!$AN$2)*VST_Assets!$J$2-VST_Assets!$K$2*J40-VST_Assets!$M$2*J$4</f>
        <v>51.4669431276</v>
      </c>
      <c r="K41" s="7" t="n">
        <f aca="false">INDEX(Prices!K:K,VST_Assets!$AN$2)*VST_Assets!$J$2-VST_Assets!$K$2*K40-VST_Assets!$M$2*K$4</f>
        <v>52.496281990152</v>
      </c>
      <c r="L41" s="7" t="n">
        <f aca="false">INDEX(Prices!L:L,VST_Assets!$AN$2)*VST_Assets!$J$2-VST_Assets!$K$2*L40-VST_Assets!$M$2*L$4</f>
        <v>53.546207629955</v>
      </c>
      <c r="M41" s="7" t="n">
        <f aca="false">INDEX(Prices!M:M,VST_Assets!$AN$2)*VST_Assets!$J$2-VST_Assets!$K$2*M40-VST_Assets!$M$2*M$4</f>
        <v>54.6171317825542</v>
      </c>
      <c r="N41" s="7" t="n">
        <f aca="false">INDEX(Prices!N:N,VST_Assets!$AN$2)*VST_Assets!$J$2-VST_Assets!$K$2*N40-VST_Assets!$M$2*N$4</f>
        <v>55.7094744182052</v>
      </c>
      <c r="O41" s="7" t="n">
        <f aca="false">INDEX(Prices!O:O,VST_Assets!$AN$2)*VST_Assets!$J$2-VST_Assets!$K$2*O40-VST_Assets!$M$2*O$4</f>
        <v>56.8236639065693</v>
      </c>
      <c r="P41" s="7" t="n">
        <f aca="false">INDEX(Prices!P:P,VST_Assets!$AN$2)*VST_Assets!$J$2-VST_Assets!$K$2*P40-VST_Assets!$M$2*P$4</f>
        <v>57.9601371847007</v>
      </c>
      <c r="Q41" s="7" t="n">
        <f aca="false">INDEX(Prices!Q:Q,VST_Assets!$AN$2)*VST_Assets!$J$2-VST_Assets!$K$2*Q40-VST_Assets!$M$2*Q$4</f>
        <v>59.1193399283947</v>
      </c>
      <c r="R41" s="7" t="n">
        <f aca="false">INDEX(Prices!R:R,VST_Assets!$AN$2)*VST_Assets!$J$2-VST_Assets!$K$2*R40-VST_Assets!$M$2*R$4</f>
        <v>60.3017267269626</v>
      </c>
      <c r="S41" s="7" t="n">
        <f aca="false">INDEX(Prices!S:S,VST_Assets!$AN$2)*VST_Assets!$J$2-VST_Assets!$K$2*S40-VST_Assets!$M$2*S$4</f>
        <v>61.5077612615019</v>
      </c>
      <c r="T41" s="7" t="n">
        <f aca="false">INDEX(Prices!T:T,VST_Assets!$AN$2)*VST_Assets!$J$2-VST_Assets!$K$2*T40-VST_Assets!$M$2*T$4</f>
        <v>62.7379164867319</v>
      </c>
      <c r="U41" s="7" t="n">
        <f aca="false">INDEX(Prices!U:U,VST_Assets!$AN$2)*VST_Assets!$J$2-VST_Assets!$K$2*U40-VST_Assets!$M$2*U$4</f>
        <v>63.9926748164666</v>
      </c>
      <c r="V41" s="7" t="n">
        <f aca="false">INDEX(Prices!V:V,VST_Assets!$AN$2)*VST_Assets!$J$2-VST_Assets!$K$2*V40-VST_Assets!$M$2*V$4</f>
        <v>65.2725283127959</v>
      </c>
      <c r="W41" s="7" t="n">
        <f aca="false">INDEX(Prices!W:W,VST_Assets!$AN$2)*VST_Assets!$J$2-VST_Assets!$K$2*W40-VST_Assets!$M$2*W$4</f>
        <v>66.5779788790518</v>
      </c>
      <c r="X41" s="7" t="n">
        <f aca="false">INDEX(Prices!X:X,VST_Assets!$AN$2)*VST_Assets!$J$2-VST_Assets!$K$2*X40-VST_Assets!$M$2*X$4</f>
        <v>67.9095384566329</v>
      </c>
      <c r="Y41" s="7" t="n">
        <f aca="false">INDEX(Prices!Y:Y,VST_Assets!$AN$2)*VST_Assets!$J$2-VST_Assets!$K$2*Y40-VST_Assets!$M$2*Y$4</f>
        <v>69.2677292257655</v>
      </c>
      <c r="Z41" s="7" t="n">
        <f aca="false">INDEX(Prices!Z:Z,VST_Assets!$AN$2)*VST_Assets!$J$2-VST_Assets!$K$2*Z40-VST_Assets!$M$2*Z$4</f>
        <v>70.6530838102808</v>
      </c>
      <c r="AA41" s="7" t="n">
        <f aca="false">INDEX(Prices!AA:AA,VST_Assets!$AN$2)*VST_Assets!$J$2-VST_Assets!$K$2*AA40-VST_Assets!$M$2*AA$4</f>
        <v>72.0661454864864</v>
      </c>
      <c r="AB41" s="7" t="n">
        <f aca="false">INDEX(Prices!AB:AB,VST_Assets!$AN$2)*VST_Assets!$J$2-VST_Assets!$K$2*AB40-VST_Assets!$M$2*AB$4</f>
        <v>73.5074683962162</v>
      </c>
      <c r="AC41" s="7" t="n">
        <f aca="false">INDEX(Prices!AC:AC,VST_Assets!$AN$2)*VST_Assets!$J$2-VST_Assets!$K$2*AC40-VST_Assets!$M$2*AC$4</f>
        <v>74.9776177641405</v>
      </c>
      <c r="AD41" s="7" t="n">
        <f aca="false">INDEX(Prices!AD:AD,VST_Assets!$AN$2)*VST_Assets!$J$2-VST_Assets!$K$2*AD40-VST_Assets!$M$2*AD$4</f>
        <v>76.4771701194233</v>
      </c>
      <c r="AE41" s="7" t="n">
        <f aca="false">INDEX(Prices!AE:AE,VST_Assets!$AN$2)*VST_Assets!$J$2-VST_Assets!$K$2*AE40-VST_Assets!$M$2*AE$4</f>
        <v>78.0067135218118</v>
      </c>
      <c r="AF41" s="7" t="n">
        <f aca="false">INDEX(Prices!AF:AF,VST_Assets!$AN$2)*VST_Assets!$J$2-VST_Assets!$K$2*AF40-VST_Assets!$M$2*AF$4</f>
        <v>79.566847792248</v>
      </c>
      <c r="AG41" s="7" t="n">
        <f aca="false">INDEX(Prices!AG:AG,VST_Assets!$AN$2)*VST_Assets!$J$2-VST_Assets!$K$2*AG40-VST_Assets!$M$2*AG$4</f>
        <v>81.158184748093</v>
      </c>
      <c r="AH41" s="7" t="n">
        <f aca="false">INDEX(Prices!AH:AH,VST_Assets!$AN$2)*VST_Assets!$J$2-VST_Assets!$K$2*AH40-VST_Assets!$M$2*AH$4</f>
        <v>82.7813484430549</v>
      </c>
      <c r="AI41" s="7" t="n">
        <f aca="false">INDEX(Prices!AI:AI,VST_Assets!$AN$2)*VST_Assets!$J$2-VST_Assets!$K$2*AI40-VST_Assets!$M$2*AI$4</f>
        <v>84.4369754119159</v>
      </c>
      <c r="AJ41" s="7" t="n">
        <f aca="false">INDEX(Prices!AJ:AJ,VST_Assets!$AN$2)*VST_Assets!$J$2-VST_Assets!$K$2*AJ40-VST_Assets!$M$2*AJ$4</f>
        <v>86.1257149201543</v>
      </c>
      <c r="AK41" s="7" t="n">
        <f aca="false">INDEX(Prices!AK:AK,VST_Assets!$AN$2)*VST_Assets!$J$2-VST_Assets!$K$2*AK40-VST_Assets!$M$2*AK$4</f>
        <v>87.8482292185574</v>
      </c>
      <c r="AL41" s="7" t="n">
        <f aca="false">INDEX(Prices!AL:AL,VST_Assets!$AN$2)*VST_Assets!$J$2-VST_Assets!$K$2*AL40-VST_Assets!$M$2*AL$4</f>
        <v>89.6051938029285</v>
      </c>
      <c r="AM41" s="7" t="n">
        <f aca="false">INDEX(Prices!AM:AM,VST_Assets!$AN$2)*VST_Assets!$J$2-VST_Assets!$K$2*AM40-VST_Assets!$M$2*AM$4</f>
        <v>91.3972976789871</v>
      </c>
      <c r="AN41" s="7" t="n">
        <f aca="false">INDEX(Prices!AN:AN,VST_Assets!$AN$2)*VST_Assets!$J$2-VST_Assets!$K$2*AN40-VST_Assets!$M$2*AN$4</f>
        <v>93.2252436325668</v>
      </c>
      <c r="AO41" s="7" t="n">
        <f aca="false">INDEX(Prices!AO:AO,VST_Assets!$AN$2)*VST_Assets!$J$2-VST_Assets!$K$2*AO40-VST_Assets!$M$2*AO$4</f>
        <v>95.0897485052182</v>
      </c>
      <c r="AP41" s="7" t="n">
        <f aca="false">INDEX(Prices!AP:AP,VST_Assets!$AN$2)*VST_Assets!$J$2-VST_Assets!$K$2*AP40-VST_Assets!$M$2*AP$4</f>
        <v>96.9915434753225</v>
      </c>
      <c r="AQ41" s="7" t="n">
        <f aca="false">INDEX(Prices!AQ:AQ,VST_Assets!$AN$2)*VST_Assets!$J$2-VST_Assets!$K$2*AQ40-VST_Assets!$M$2*AQ$4</f>
        <v>98.931374344829</v>
      </c>
      <c r="AR41" s="7" t="n">
        <f aca="false">INDEX(Prices!AR:AR,VST_Assets!$AN$2)*VST_Assets!$J$2-VST_Assets!$K$2*AR40-VST_Assets!$M$2*AR$4</f>
        <v>100.910001831726</v>
      </c>
      <c r="AS41" s="7" t="n">
        <f aca="false">INDEX(Prices!AS:AS,VST_Assets!$AN$2)*VST_Assets!$J$2-VST_Assets!$K$2*AS40-VST_Assets!$M$2*AS$4</f>
        <v>102.92820186836</v>
      </c>
    </row>
    <row r="42" customFormat="false" ht="15" hidden="false" customHeight="false" outlineLevel="0" collapsed="false">
      <c r="A42" s="6" t="s">
        <v>437</v>
      </c>
      <c r="B42" s="6" t="s">
        <v>438</v>
      </c>
      <c r="G42" s="47" t="n">
        <f aca="false">IF(VST_Assets!$X$2=1,IF(G41&gt;0,1,0),1)</f>
        <v>1</v>
      </c>
      <c r="H42" s="47" t="n">
        <f aca="false">IF(VST_Assets!$X$2=1,IF(H41&gt;0,1,0),1)</f>
        <v>1</v>
      </c>
      <c r="I42" s="47" t="n">
        <f aca="false">IF(VST_Assets!$X$2=1,IF(I41&gt;0,1,0),1)</f>
        <v>1</v>
      </c>
      <c r="J42" s="47" t="n">
        <f aca="false">IF(VST_Assets!$X$2=1,IF(J41&gt;0,1,0),1)</f>
        <v>1</v>
      </c>
      <c r="K42" s="47" t="n">
        <f aca="false">IF(VST_Assets!$X$2=1,IF(K41&gt;0,1,0),1)</f>
        <v>1</v>
      </c>
      <c r="L42" s="47" t="n">
        <f aca="false">IF(VST_Assets!$X$2=1,IF(L41&gt;0,1,0),1)</f>
        <v>1</v>
      </c>
      <c r="M42" s="47" t="n">
        <f aca="false">IF(VST_Assets!$X$2=1,IF(M41&gt;0,1,0),1)</f>
        <v>1</v>
      </c>
      <c r="N42" s="47" t="n">
        <f aca="false">IF(VST_Assets!$X$2=1,IF(N41&gt;0,1,0),1)</f>
        <v>1</v>
      </c>
      <c r="O42" s="47" t="n">
        <f aca="false">IF(VST_Assets!$X$2=1,IF(O41&gt;0,1,0),1)</f>
        <v>1</v>
      </c>
      <c r="P42" s="47" t="n">
        <f aca="false">IF(VST_Assets!$X$2=1,IF(P41&gt;0,1,0),1)</f>
        <v>1</v>
      </c>
      <c r="Q42" s="47" t="n">
        <f aca="false">IF(VST_Assets!$X$2=1,IF(Q41&gt;0,1,0),1)</f>
        <v>1</v>
      </c>
      <c r="R42" s="47" t="n">
        <f aca="false">IF(VST_Assets!$X$2=1,IF(R41&gt;0,1,0),1)</f>
        <v>1</v>
      </c>
      <c r="S42" s="47" t="n">
        <f aca="false">IF(VST_Assets!$X$2=1,IF(S41&gt;0,1,0),1)</f>
        <v>1</v>
      </c>
      <c r="T42" s="47" t="n">
        <f aca="false">IF(VST_Assets!$X$2=1,IF(T41&gt;0,1,0),1)</f>
        <v>1</v>
      </c>
      <c r="U42" s="47" t="n">
        <f aca="false">IF(VST_Assets!$X$2=1,IF(U41&gt;0,1,0),1)</f>
        <v>1</v>
      </c>
      <c r="V42" s="47" t="n">
        <f aca="false">IF(VST_Assets!$X$2=1,IF(V41&gt;0,1,0),1)</f>
        <v>1</v>
      </c>
      <c r="W42" s="47" t="n">
        <f aca="false">IF(VST_Assets!$X$2=1,IF(W41&gt;0,1,0),1)</f>
        <v>1</v>
      </c>
      <c r="X42" s="47" t="n">
        <f aca="false">IF(VST_Assets!$X$2=1,IF(X41&gt;0,1,0),1)</f>
        <v>1</v>
      </c>
      <c r="Y42" s="47" t="n">
        <f aca="false">IF(VST_Assets!$X$2=1,IF(Y41&gt;0,1,0),1)</f>
        <v>1</v>
      </c>
      <c r="Z42" s="47" t="n">
        <f aca="false">IF(VST_Assets!$X$2=1,IF(Z41&gt;0,1,0),1)</f>
        <v>1</v>
      </c>
      <c r="AA42" s="47" t="n">
        <f aca="false">IF(VST_Assets!$X$2=1,IF(AA41&gt;0,1,0),1)</f>
        <v>1</v>
      </c>
      <c r="AB42" s="47" t="n">
        <f aca="false">IF(VST_Assets!$X$2=1,IF(AB41&gt;0,1,0),1)</f>
        <v>1</v>
      </c>
      <c r="AC42" s="47" t="n">
        <f aca="false">IF(VST_Assets!$X$2=1,IF(AC41&gt;0,1,0),1)</f>
        <v>1</v>
      </c>
      <c r="AD42" s="47" t="n">
        <f aca="false">IF(VST_Assets!$X$2=1,IF(AD41&gt;0,1,0),1)</f>
        <v>1</v>
      </c>
      <c r="AE42" s="47" t="n">
        <f aca="false">IF(VST_Assets!$X$2=1,IF(AE41&gt;0,1,0),1)</f>
        <v>1</v>
      </c>
      <c r="AF42" s="47" t="n">
        <f aca="false">IF(VST_Assets!$X$2=1,IF(AF41&gt;0,1,0),1)</f>
        <v>1</v>
      </c>
      <c r="AG42" s="47" t="n">
        <f aca="false">IF(VST_Assets!$X$2=1,IF(AG41&gt;0,1,0),1)</f>
        <v>1</v>
      </c>
      <c r="AH42" s="47" t="n">
        <f aca="false">IF(VST_Assets!$X$2=1,IF(AH41&gt;0,1,0),1)</f>
        <v>1</v>
      </c>
      <c r="AI42" s="47" t="n">
        <f aca="false">IF(VST_Assets!$X$2=1,IF(AI41&gt;0,1,0),1)</f>
        <v>1</v>
      </c>
      <c r="AJ42" s="47" t="n">
        <f aca="false">IF(VST_Assets!$X$2=1,IF(AJ41&gt;0,1,0),1)</f>
        <v>1</v>
      </c>
      <c r="AK42" s="47" t="n">
        <f aca="false">IF(VST_Assets!$X$2=1,IF(AK41&gt;0,1,0),1)</f>
        <v>1</v>
      </c>
      <c r="AL42" s="47" t="n">
        <f aca="false">IF(VST_Assets!$X$2=1,IF(AL41&gt;0,1,0),1)</f>
        <v>1</v>
      </c>
      <c r="AM42" s="47" t="n">
        <f aca="false">IF(VST_Assets!$X$2=1,IF(AM41&gt;0,1,0),1)</f>
        <v>1</v>
      </c>
      <c r="AN42" s="47" t="n">
        <f aca="false">IF(VST_Assets!$X$2=1,IF(AN41&gt;0,1,0),1)</f>
        <v>1</v>
      </c>
      <c r="AO42" s="47" t="n">
        <f aca="false">IF(VST_Assets!$X$2=1,IF(AO41&gt;0,1,0),1)</f>
        <v>1</v>
      </c>
      <c r="AP42" s="47" t="n">
        <f aca="false">IF(VST_Assets!$X$2=1,IF(AP41&gt;0,1,0),1)</f>
        <v>1</v>
      </c>
      <c r="AQ42" s="47" t="n">
        <f aca="false">IF(VST_Assets!$X$2=1,IF(AQ41&gt;0,1,0),1)</f>
        <v>1</v>
      </c>
      <c r="AR42" s="47" t="n">
        <f aca="false">IF(VST_Assets!$X$2=1,IF(AR41&gt;0,1,0),1)</f>
        <v>1</v>
      </c>
      <c r="AS42" s="47" t="n">
        <f aca="false">IF(VST_Assets!$X$2=1,IF(AS41&gt;0,1,0),1)</f>
        <v>1</v>
      </c>
    </row>
    <row r="43" customFormat="false" ht="15" hidden="false" customHeight="false" outlineLevel="0" collapsed="false">
      <c r="A43" s="6" t="s">
        <v>439</v>
      </c>
      <c r="B43" s="6" t="s">
        <v>440</v>
      </c>
      <c r="C43" s="9" t="n">
        <f aca="false">SUM(G43:AS43)</f>
        <v>22809.4764147334</v>
      </c>
      <c r="G43" s="8" t="n">
        <f aca="false">G38*INDEX(Prices!G:G,VST_Assets!$AN$2)*VST_Assets!$J$2*G42/1000000*(1+VST_RevAdj)</f>
        <v>915.053832</v>
      </c>
      <c r="H43" s="8" t="n">
        <f aca="false">H38*INDEX(Prices!H:H,VST_Assets!$AN$2)*VST_Assets!$J$2*H42/1000000*(1+VST_RevAdj)</f>
        <v>857.1626712</v>
      </c>
      <c r="I43" s="8" t="n">
        <f aca="false">I38*INDEX(Prices!I:I,VST_Assets!$AN$2)*VST_Assets!$J$2*I42/1000000*(1+VST_RevAdj)</f>
        <v>785.179385582043</v>
      </c>
      <c r="J43" s="8" t="n">
        <f aca="false">J38*INDEX(Prices!J:J,VST_Assets!$AN$2)*VST_Assets!$J$2*J42/1000000*(1+VST_RevAdj)</f>
        <v>708.195842559947</v>
      </c>
      <c r="K43" s="8" t="n">
        <f aca="false">K38*INDEX(Prices!K:K,VST_Assets!$AN$2)*VST_Assets!$J$2*K42/1000000*(1+VST_RevAdj)</f>
        <v>619.165508066696</v>
      </c>
      <c r="L43" s="8" t="n">
        <f aca="false">L38*INDEX(Prices!L:L,VST_Assets!$AN$2)*VST_Assets!$J$2*L42/1000000*(1+VST_RevAdj)</f>
        <v>526.290681856692</v>
      </c>
      <c r="M43" s="8" t="n">
        <f aca="false">M38*INDEX(Prices!M:M,VST_Assets!$AN$2)*VST_Assets!$J$2*M42/1000000*(1+VST_RevAdj)</f>
        <v>536.816495493826</v>
      </c>
      <c r="N43" s="8" t="n">
        <f aca="false">N38*INDEX(Prices!N:N,VST_Assets!$AN$2)*VST_Assets!$J$2*N42/1000000*(1+VST_RevAdj)</f>
        <v>547.552825403702</v>
      </c>
      <c r="O43" s="8" t="n">
        <f aca="false">O38*INDEX(Prices!O:O,VST_Assets!$AN$2)*VST_Assets!$J$2*O42/1000000*(1+VST_RevAdj)</f>
        <v>558.503881911776</v>
      </c>
      <c r="P43" s="8" t="n">
        <f aca="false">P38*INDEX(Prices!P:P,VST_Assets!$AN$2)*VST_Assets!$J$2*P42/1000000*(1+VST_RevAdj)</f>
        <v>569.673959550012</v>
      </c>
      <c r="Q43" s="8" t="n">
        <f aca="false">Q38*INDEX(Prices!Q:Q,VST_Assets!$AN$2)*VST_Assets!$J$2*Q42/1000000*(1+VST_RevAdj)</f>
        <v>581.067438741012</v>
      </c>
      <c r="R43" s="8" t="n">
        <f aca="false">R38*INDEX(Prices!R:R,VST_Assets!$AN$2)*VST_Assets!$J$2*R42/1000000*(1+VST_RevAdj)</f>
        <v>592.688787515832</v>
      </c>
      <c r="S43" s="8" t="n">
        <f aca="false">S38*INDEX(Prices!S:S,VST_Assets!$AN$2)*VST_Assets!$J$2*S42/1000000*(1+VST_RevAdj)</f>
        <v>604.542563266149</v>
      </c>
      <c r="T43" s="8" t="n">
        <f aca="false">T38*INDEX(Prices!T:T,VST_Assets!$AN$2)*VST_Assets!$J$2*T42/1000000*(1+VST_RevAdj)</f>
        <v>616.633414531472</v>
      </c>
      <c r="U43" s="8" t="n">
        <f aca="false">U38*INDEX(Prices!U:U,VST_Assets!$AN$2)*VST_Assets!$J$2*U42/1000000*(1+VST_RevAdj)</f>
        <v>628.966082822101</v>
      </c>
      <c r="V43" s="8" t="n">
        <f aca="false">V38*INDEX(Prices!V:V,VST_Assets!$AN$2)*VST_Assets!$J$2*V42/1000000*(1+VST_RevAdj)</f>
        <v>641.545404478543</v>
      </c>
      <c r="W43" s="8" t="n">
        <f aca="false">W38*INDEX(Prices!W:W,VST_Assets!$AN$2)*VST_Assets!$J$2*W42/1000000*(1+VST_RevAdj)</f>
        <v>654.376312568114</v>
      </c>
      <c r="X43" s="8" t="n">
        <f aca="false">X38*INDEX(Prices!X:X,VST_Assets!$AN$2)*VST_Assets!$J$2*X42/1000000*(1+VST_RevAdj)</f>
        <v>667.463838819477</v>
      </c>
      <c r="Y43" s="8" t="n">
        <f aca="false">Y38*INDEX(Prices!Y:Y,VST_Assets!$AN$2)*VST_Assets!$J$2*Y42/1000000*(1+VST_RevAdj)</f>
        <v>680.813115595866</v>
      </c>
      <c r="Z43" s="8" t="n">
        <f aca="false">Z38*INDEX(Prices!Z:Z,VST_Assets!$AN$2)*VST_Assets!$J$2*Z42/1000000*(1+VST_RevAdj)</f>
        <v>694.429377907784</v>
      </c>
      <c r="AA43" s="8" t="n">
        <f aca="false">AA38*INDEX(Prices!AA:AA,VST_Assets!$AN$2)*VST_Assets!$J$2*AA42/1000000*(1+VST_RevAdj)</f>
        <v>708.317965465939</v>
      </c>
      <c r="AB43" s="8" t="n">
        <f aca="false">AB38*INDEX(Prices!AB:AB,VST_Assets!$AN$2)*VST_Assets!$J$2*AB42/1000000*(1+VST_RevAdj)</f>
        <v>1444.96864955052</v>
      </c>
      <c r="AC43" s="8" t="n">
        <f aca="false">AC38*INDEX(Prices!AC:AC,VST_Assets!$AN$2)*VST_Assets!$J$2*AC42/1000000*(1+VST_RevAdj)</f>
        <v>1473.86802254153</v>
      </c>
      <c r="AD43" s="8" t="n">
        <f aca="false">AD38*INDEX(Prices!AD:AD,VST_Assets!$AN$2)*VST_Assets!$J$2*AD42/1000000*(1+VST_RevAdj)</f>
        <v>1503.34538299236</v>
      </c>
      <c r="AE43" s="8" t="n">
        <f aca="false">AE38*INDEX(Prices!AE:AE,VST_Assets!$AN$2)*VST_Assets!$J$2*AE42/1000000*(1+VST_RevAdj)</f>
        <v>1533.4122906522</v>
      </c>
      <c r="AF43" s="8" t="n">
        <f aca="false">AF38*INDEX(Prices!AF:AF,VST_Assets!$AN$2)*VST_Assets!$J$2*AF42/1000000*(1+VST_RevAdj)</f>
        <v>1564.08053646525</v>
      </c>
      <c r="AG43" s="8" t="n">
        <f aca="false">AG38*INDEX(Prices!AG:AG,VST_Assets!$AN$2)*VST_Assets!$J$2*AG42/1000000*(1+VST_RevAdj)</f>
        <v>1595.36214719455</v>
      </c>
      <c r="AH43" s="8" t="n">
        <f aca="false">AH38*INDEX(Prices!AH:AH,VST_Assets!$AN$2)*VST_Assets!$J$2*AH42/1000000*(1+VST_RevAdj)</f>
        <v>0</v>
      </c>
      <c r="AI43" s="8" t="n">
        <f aca="false">AI38*INDEX(Prices!AI:AI,VST_Assets!$AN$2)*VST_Assets!$J$2*AI42/1000000*(1+VST_RevAdj)</f>
        <v>0</v>
      </c>
      <c r="AJ43" s="8" t="n">
        <f aca="false">AJ38*INDEX(Prices!AJ:AJ,VST_Assets!$AN$2)*VST_Assets!$J$2*AJ42/1000000*(1+VST_RevAdj)</f>
        <v>0</v>
      </c>
      <c r="AK43" s="8" t="n">
        <f aca="false">AK38*INDEX(Prices!AK:AK,VST_Assets!$AN$2)*VST_Assets!$J$2*AK42/1000000*(1+VST_RevAdj)</f>
        <v>0</v>
      </c>
      <c r="AL43" s="8" t="n">
        <f aca="false">AL38*INDEX(Prices!AL:AL,VST_Assets!$AN$2)*VST_Assets!$J$2*AL42/1000000*(1+VST_RevAdj)</f>
        <v>0</v>
      </c>
      <c r="AM43" s="8" t="n">
        <f aca="false">AM38*INDEX(Prices!AM:AM,VST_Assets!$AN$2)*VST_Assets!$J$2*AM42/1000000*(1+VST_RevAdj)</f>
        <v>0</v>
      </c>
      <c r="AN43" s="8" t="n">
        <f aca="false">AN38*INDEX(Prices!AN:AN,VST_Assets!$AN$2)*VST_Assets!$J$2*AN42/1000000*(1+VST_RevAdj)</f>
        <v>0</v>
      </c>
      <c r="AO43" s="8" t="n">
        <f aca="false">AO38*INDEX(Prices!AO:AO,VST_Assets!$AN$2)*VST_Assets!$J$2*AO42/1000000*(1+VST_RevAdj)</f>
        <v>0</v>
      </c>
      <c r="AP43" s="8" t="n">
        <f aca="false">AP38*INDEX(Prices!AP:AP,VST_Assets!$AN$2)*VST_Assets!$J$2*AP42/1000000*(1+VST_RevAdj)</f>
        <v>0</v>
      </c>
      <c r="AQ43" s="8" t="n">
        <f aca="false">AQ38*INDEX(Prices!AQ:AQ,VST_Assets!$AN$2)*VST_Assets!$J$2*AQ42/1000000*(1+VST_RevAdj)</f>
        <v>0</v>
      </c>
      <c r="AR43" s="8" t="n">
        <f aca="false">AR38*INDEX(Prices!AR:AR,VST_Assets!$AN$2)*VST_Assets!$J$2*AR42/1000000*(1+VST_RevAdj)</f>
        <v>0</v>
      </c>
      <c r="AS43" s="8" t="n">
        <f aca="false">AS38*INDEX(Prices!AS:AS,VST_Assets!$AN$2)*VST_Assets!$J$2*AS42/1000000*(1+VST_RevAdj)</f>
        <v>0</v>
      </c>
    </row>
    <row r="44" customFormat="false" ht="15" hidden="false" customHeight="false" outlineLevel="0" collapsed="false">
      <c r="A44" s="6" t="s">
        <v>441</v>
      </c>
      <c r="B44" s="6" t="s">
        <v>442</v>
      </c>
      <c r="C44" s="9" t="n">
        <f aca="false">SUM(G44:AS44)</f>
        <v>0</v>
      </c>
      <c r="G44" s="8" t="n">
        <f aca="false">(VST_Assets!$D$2-G37)*INDEX(Prices!G:G,VST_Assets!$AP$2)*365*VST_Assets!$T$2*G36/1000000*(1+VST_RevAdj)</f>
        <v>0</v>
      </c>
      <c r="H44" s="8" t="n">
        <f aca="false">(VST_Assets!$D$2-H37)*INDEX(Prices!H:H,VST_Assets!$AP$2)*365*VST_Assets!$T$2*H36/1000000*(1+VST_RevAdj)</f>
        <v>0</v>
      </c>
      <c r="I44" s="8" t="n">
        <f aca="false">(VST_Assets!$D$2-I37)*INDEX(Prices!I:I,VST_Assets!$AP$2)*365*VST_Assets!$T$2*I36/1000000*(1+VST_RevAdj)</f>
        <v>0</v>
      </c>
      <c r="J44" s="8" t="n">
        <f aca="false">(VST_Assets!$D$2-J37)*INDEX(Prices!J:J,VST_Assets!$AP$2)*365*VST_Assets!$T$2*J36/1000000*(1+VST_RevAdj)</f>
        <v>0</v>
      </c>
      <c r="K44" s="8" t="n">
        <f aca="false">(VST_Assets!$D$2-K37)*INDEX(Prices!K:K,VST_Assets!$AP$2)*365*VST_Assets!$T$2*K36/1000000*(1+VST_RevAdj)</f>
        <v>0</v>
      </c>
      <c r="L44" s="8" t="n">
        <f aca="false">(VST_Assets!$D$2-L37)*INDEX(Prices!L:L,VST_Assets!$AP$2)*365*VST_Assets!$T$2*L36/1000000*(1+VST_RevAdj)</f>
        <v>0</v>
      </c>
      <c r="M44" s="8" t="n">
        <f aca="false">(VST_Assets!$D$2-M37)*INDEX(Prices!M:M,VST_Assets!$AP$2)*365*VST_Assets!$T$2*M36/1000000*(1+VST_RevAdj)</f>
        <v>0</v>
      </c>
      <c r="N44" s="8" t="n">
        <f aca="false">(VST_Assets!$D$2-N37)*INDEX(Prices!N:N,VST_Assets!$AP$2)*365*VST_Assets!$T$2*N36/1000000*(1+VST_RevAdj)</f>
        <v>0</v>
      </c>
      <c r="O44" s="8" t="n">
        <f aca="false">(VST_Assets!$D$2-O37)*INDEX(Prices!O:O,VST_Assets!$AP$2)*365*VST_Assets!$T$2*O36/1000000*(1+VST_RevAdj)</f>
        <v>0</v>
      </c>
      <c r="P44" s="8" t="n">
        <f aca="false">(VST_Assets!$D$2-P37)*INDEX(Prices!P:P,VST_Assets!$AP$2)*365*VST_Assets!$T$2*P36/1000000*(1+VST_RevAdj)</f>
        <v>0</v>
      </c>
      <c r="Q44" s="8" t="n">
        <f aca="false">(VST_Assets!$D$2-Q37)*INDEX(Prices!Q:Q,VST_Assets!$AP$2)*365*VST_Assets!$T$2*Q36/1000000*(1+VST_RevAdj)</f>
        <v>0</v>
      </c>
      <c r="R44" s="8" t="n">
        <f aca="false">(VST_Assets!$D$2-R37)*INDEX(Prices!R:R,VST_Assets!$AP$2)*365*VST_Assets!$T$2*R36/1000000*(1+VST_RevAdj)</f>
        <v>0</v>
      </c>
      <c r="S44" s="8" t="n">
        <f aca="false">(VST_Assets!$D$2-S37)*INDEX(Prices!S:S,VST_Assets!$AP$2)*365*VST_Assets!$T$2*S36/1000000*(1+VST_RevAdj)</f>
        <v>0</v>
      </c>
      <c r="T44" s="8" t="n">
        <f aca="false">(VST_Assets!$D$2-T37)*INDEX(Prices!T:T,VST_Assets!$AP$2)*365*VST_Assets!$T$2*T36/1000000*(1+VST_RevAdj)</f>
        <v>0</v>
      </c>
      <c r="U44" s="8" t="n">
        <f aca="false">(VST_Assets!$D$2-U37)*INDEX(Prices!U:U,VST_Assets!$AP$2)*365*VST_Assets!$T$2*U36/1000000*(1+VST_RevAdj)</f>
        <v>0</v>
      </c>
      <c r="V44" s="8" t="n">
        <f aca="false">(VST_Assets!$D$2-V37)*INDEX(Prices!V:V,VST_Assets!$AP$2)*365*VST_Assets!$T$2*V36/1000000*(1+VST_RevAdj)</f>
        <v>0</v>
      </c>
      <c r="W44" s="8" t="n">
        <f aca="false">(VST_Assets!$D$2-W37)*INDEX(Prices!W:W,VST_Assets!$AP$2)*365*VST_Assets!$T$2*W36/1000000*(1+VST_RevAdj)</f>
        <v>0</v>
      </c>
      <c r="X44" s="8" t="n">
        <f aca="false">(VST_Assets!$D$2-X37)*INDEX(Prices!X:X,VST_Assets!$AP$2)*365*VST_Assets!$T$2*X36/1000000*(1+VST_RevAdj)</f>
        <v>0</v>
      </c>
      <c r="Y44" s="8" t="n">
        <f aca="false">(VST_Assets!$D$2-Y37)*INDEX(Prices!Y:Y,VST_Assets!$AP$2)*365*VST_Assets!$T$2*Y36/1000000*(1+VST_RevAdj)</f>
        <v>0</v>
      </c>
      <c r="Z44" s="8" t="n">
        <f aca="false">(VST_Assets!$D$2-Z37)*INDEX(Prices!Z:Z,VST_Assets!$AP$2)*365*VST_Assets!$T$2*Z36/1000000*(1+VST_RevAdj)</f>
        <v>0</v>
      </c>
      <c r="AA44" s="8" t="n">
        <f aca="false">(VST_Assets!$D$2-AA37)*INDEX(Prices!AA:AA,VST_Assets!$AP$2)*365*VST_Assets!$T$2*AA36/1000000*(1+VST_RevAdj)</f>
        <v>0</v>
      </c>
      <c r="AB44" s="8" t="n">
        <f aca="false">(VST_Assets!$D$2-AB37)*INDEX(Prices!AB:AB,VST_Assets!$AP$2)*365*VST_Assets!$T$2*AB36/1000000*(1+VST_RevAdj)</f>
        <v>0</v>
      </c>
      <c r="AC44" s="8" t="n">
        <f aca="false">(VST_Assets!$D$2-AC37)*INDEX(Prices!AC:AC,VST_Assets!$AP$2)*365*VST_Assets!$T$2*AC36/1000000*(1+VST_RevAdj)</f>
        <v>0</v>
      </c>
      <c r="AD44" s="8" t="n">
        <f aca="false">(VST_Assets!$D$2-AD37)*INDEX(Prices!AD:AD,VST_Assets!$AP$2)*365*VST_Assets!$T$2*AD36/1000000*(1+VST_RevAdj)</f>
        <v>0</v>
      </c>
      <c r="AE44" s="8" t="n">
        <f aca="false">(VST_Assets!$D$2-AE37)*INDEX(Prices!AE:AE,VST_Assets!$AP$2)*365*VST_Assets!$T$2*AE36/1000000*(1+VST_RevAdj)</f>
        <v>0</v>
      </c>
      <c r="AF44" s="8" t="n">
        <f aca="false">(VST_Assets!$D$2-AF37)*INDEX(Prices!AF:AF,VST_Assets!$AP$2)*365*VST_Assets!$T$2*AF36/1000000*(1+VST_RevAdj)</f>
        <v>0</v>
      </c>
      <c r="AG44" s="8" t="n">
        <f aca="false">(VST_Assets!$D$2-AG37)*INDEX(Prices!AG:AG,VST_Assets!$AP$2)*365*VST_Assets!$T$2*AG36/1000000*(1+VST_RevAdj)</f>
        <v>0</v>
      </c>
      <c r="AH44" s="8" t="n">
        <f aca="false">(VST_Assets!$D$2-AH37)*INDEX(Prices!AH:AH,VST_Assets!$AP$2)*365*VST_Assets!$T$2*AH36/1000000*(1+VST_RevAdj)</f>
        <v>0</v>
      </c>
      <c r="AI44" s="8" t="n">
        <f aca="false">(VST_Assets!$D$2-AI37)*INDEX(Prices!AI:AI,VST_Assets!$AP$2)*365*VST_Assets!$T$2*AI36/1000000*(1+VST_RevAdj)</f>
        <v>0</v>
      </c>
      <c r="AJ44" s="8" t="n">
        <f aca="false">(VST_Assets!$D$2-AJ37)*INDEX(Prices!AJ:AJ,VST_Assets!$AP$2)*365*VST_Assets!$T$2*AJ36/1000000*(1+VST_RevAdj)</f>
        <v>0</v>
      </c>
      <c r="AK44" s="8" t="n">
        <f aca="false">(VST_Assets!$D$2-AK37)*INDEX(Prices!AK:AK,VST_Assets!$AP$2)*365*VST_Assets!$T$2*AK36/1000000*(1+VST_RevAdj)</f>
        <v>0</v>
      </c>
      <c r="AL44" s="8" t="n">
        <f aca="false">(VST_Assets!$D$2-AL37)*INDEX(Prices!AL:AL,VST_Assets!$AP$2)*365*VST_Assets!$T$2*AL36/1000000*(1+VST_RevAdj)</f>
        <v>0</v>
      </c>
      <c r="AM44" s="8" t="n">
        <f aca="false">(VST_Assets!$D$2-AM37)*INDEX(Prices!AM:AM,VST_Assets!$AP$2)*365*VST_Assets!$T$2*AM36/1000000*(1+VST_RevAdj)</f>
        <v>0</v>
      </c>
      <c r="AN44" s="8" t="n">
        <f aca="false">(VST_Assets!$D$2-AN37)*INDEX(Prices!AN:AN,VST_Assets!$AP$2)*365*VST_Assets!$T$2*AN36/1000000*(1+VST_RevAdj)</f>
        <v>0</v>
      </c>
      <c r="AO44" s="8" t="n">
        <f aca="false">(VST_Assets!$D$2-AO37)*INDEX(Prices!AO:AO,VST_Assets!$AP$2)*365*VST_Assets!$T$2*AO36/1000000*(1+VST_RevAdj)</f>
        <v>0</v>
      </c>
      <c r="AP44" s="8" t="n">
        <f aca="false">(VST_Assets!$D$2-AP37)*INDEX(Prices!AP:AP,VST_Assets!$AP$2)*365*VST_Assets!$T$2*AP36/1000000*(1+VST_RevAdj)</f>
        <v>0</v>
      </c>
      <c r="AQ44" s="8" t="n">
        <f aca="false">(VST_Assets!$D$2-AQ37)*INDEX(Prices!AQ:AQ,VST_Assets!$AP$2)*365*VST_Assets!$T$2*AQ36/1000000*(1+VST_RevAdj)</f>
        <v>0</v>
      </c>
      <c r="AR44" s="8" t="n">
        <f aca="false">(VST_Assets!$D$2-AR37)*INDEX(Prices!AR:AR,VST_Assets!$AP$2)*365*VST_Assets!$T$2*AR36/1000000*(1+VST_RevAdj)</f>
        <v>0</v>
      </c>
      <c r="AS44" s="8" t="n">
        <f aca="false">(VST_Assets!$D$2-AS37)*INDEX(Prices!AS:AS,VST_Assets!$AP$2)*365*VST_Assets!$T$2*AS36/1000000*(1+VST_RevAdj)</f>
        <v>0</v>
      </c>
    </row>
    <row r="45" customFormat="false" ht="15" hidden="false" customHeight="false" outlineLevel="0" collapsed="false">
      <c r="A45" s="6" t="s">
        <v>443</v>
      </c>
      <c r="B45" s="6" t="s">
        <v>444</v>
      </c>
      <c r="C45" s="9" t="n">
        <f aca="false">SUM(G45:AS45)</f>
        <v>14153.3568</v>
      </c>
      <c r="G45" s="8" t="n">
        <f aca="false">G39*(VST_Assets!$AD$2+VST_PPAAdj)/1000000*(1+VST_RevAdj)</f>
        <v>0</v>
      </c>
      <c r="H45" s="8" t="n">
        <f aca="false">H39*(VST_Assets!$AD$2+VST_PPAAdj)/1000000*(1+VST_RevAdj)</f>
        <v>157.25952</v>
      </c>
      <c r="I45" s="8" t="n">
        <f aca="false">I39*(VST_Assets!$AD$2+VST_PPAAdj)/1000000*(1+VST_RevAdj)</f>
        <v>314.51904</v>
      </c>
      <c r="J45" s="8" t="n">
        <f aca="false">J39*(VST_Assets!$AD$2+VST_PPAAdj)/1000000*(1+VST_RevAdj)</f>
        <v>471.77856</v>
      </c>
      <c r="K45" s="8" t="n">
        <f aca="false">K39*(VST_Assets!$AD$2+VST_PPAAdj)/1000000*(1+VST_RevAdj)</f>
        <v>629.03808</v>
      </c>
      <c r="L45" s="8" t="n">
        <f aca="false">L39*(VST_Assets!$AD$2+VST_PPAAdj)/1000000*(1+VST_RevAdj)</f>
        <v>786.2976</v>
      </c>
      <c r="M45" s="8" t="n">
        <f aca="false">M39*(VST_Assets!$AD$2+VST_PPAAdj)/1000000*(1+VST_RevAdj)</f>
        <v>786.2976</v>
      </c>
      <c r="N45" s="8" t="n">
        <f aca="false">N39*(VST_Assets!$AD$2+VST_PPAAdj)/1000000*(1+VST_RevAdj)</f>
        <v>786.2976</v>
      </c>
      <c r="O45" s="8" t="n">
        <f aca="false">O39*(VST_Assets!$AD$2+VST_PPAAdj)/1000000*(1+VST_RevAdj)</f>
        <v>786.2976</v>
      </c>
      <c r="P45" s="8" t="n">
        <f aca="false">P39*(VST_Assets!$AD$2+VST_PPAAdj)/1000000*(1+VST_RevAdj)</f>
        <v>786.2976</v>
      </c>
      <c r="Q45" s="8" t="n">
        <f aca="false">Q39*(VST_Assets!$AD$2+VST_PPAAdj)/1000000*(1+VST_RevAdj)</f>
        <v>786.2976</v>
      </c>
      <c r="R45" s="8" t="n">
        <f aca="false">R39*(VST_Assets!$AD$2+VST_PPAAdj)/1000000*(1+VST_RevAdj)</f>
        <v>786.2976</v>
      </c>
      <c r="S45" s="8" t="n">
        <f aca="false">S39*(VST_Assets!$AD$2+VST_PPAAdj)/1000000*(1+VST_RevAdj)</f>
        <v>786.2976</v>
      </c>
      <c r="T45" s="8" t="n">
        <f aca="false">T39*(VST_Assets!$AD$2+VST_PPAAdj)/1000000*(1+VST_RevAdj)</f>
        <v>786.2976</v>
      </c>
      <c r="U45" s="8" t="n">
        <f aca="false">U39*(VST_Assets!$AD$2+VST_PPAAdj)/1000000*(1+VST_RevAdj)</f>
        <v>786.2976</v>
      </c>
      <c r="V45" s="8" t="n">
        <f aca="false">V39*(VST_Assets!$AD$2+VST_PPAAdj)/1000000*(1+VST_RevAdj)</f>
        <v>786.2976</v>
      </c>
      <c r="W45" s="8" t="n">
        <f aca="false">W39*(VST_Assets!$AD$2+VST_PPAAdj)/1000000*(1+VST_RevAdj)</f>
        <v>786.2976</v>
      </c>
      <c r="X45" s="8" t="n">
        <f aca="false">X39*(VST_Assets!$AD$2+VST_PPAAdj)/1000000*(1+VST_RevAdj)</f>
        <v>786.2976</v>
      </c>
      <c r="Y45" s="8" t="n">
        <f aca="false">Y39*(VST_Assets!$AD$2+VST_PPAAdj)/1000000*(1+VST_RevAdj)</f>
        <v>786.2976</v>
      </c>
      <c r="Z45" s="8" t="n">
        <f aca="false">Z39*(VST_Assets!$AD$2+VST_PPAAdj)/1000000*(1+VST_RevAdj)</f>
        <v>786.2976</v>
      </c>
      <c r="AA45" s="8" t="n">
        <f aca="false">AA39*(VST_Assets!$AD$2+VST_PPAAdj)/1000000*(1+VST_RevAdj)</f>
        <v>786.2976</v>
      </c>
      <c r="AB45" s="8" t="n">
        <f aca="false">AB39*(VST_Assets!$AD$2+VST_PPAAdj)/1000000*(1+VST_RevAdj)</f>
        <v>0</v>
      </c>
      <c r="AC45" s="8" t="n">
        <f aca="false">AC39*(VST_Assets!$AD$2+VST_PPAAdj)/1000000*(1+VST_RevAdj)</f>
        <v>0</v>
      </c>
      <c r="AD45" s="8" t="n">
        <f aca="false">AD39*(VST_Assets!$AD$2+VST_PPAAdj)/1000000*(1+VST_RevAdj)</f>
        <v>0</v>
      </c>
      <c r="AE45" s="8" t="n">
        <f aca="false">AE39*(VST_Assets!$AD$2+VST_PPAAdj)/1000000*(1+VST_RevAdj)</f>
        <v>0</v>
      </c>
      <c r="AF45" s="8" t="n">
        <f aca="false">AF39*(VST_Assets!$AD$2+VST_PPAAdj)/1000000*(1+VST_RevAdj)</f>
        <v>0</v>
      </c>
      <c r="AG45" s="8" t="n">
        <f aca="false">AG39*(VST_Assets!$AD$2+VST_PPAAdj)/1000000*(1+VST_RevAdj)</f>
        <v>0</v>
      </c>
      <c r="AH45" s="8" t="n">
        <f aca="false">AH39*(VST_Assets!$AD$2+VST_PPAAdj)/1000000*(1+VST_RevAdj)</f>
        <v>0</v>
      </c>
      <c r="AI45" s="8" t="n">
        <f aca="false">AI39*(VST_Assets!$AD$2+VST_PPAAdj)/1000000*(1+VST_RevAdj)</f>
        <v>0</v>
      </c>
      <c r="AJ45" s="8" t="n">
        <f aca="false">AJ39*(VST_Assets!$AD$2+VST_PPAAdj)/1000000*(1+VST_RevAdj)</f>
        <v>0</v>
      </c>
      <c r="AK45" s="8" t="n">
        <f aca="false">AK39*(VST_Assets!$AD$2+VST_PPAAdj)/1000000*(1+VST_RevAdj)</f>
        <v>0</v>
      </c>
      <c r="AL45" s="8" t="n">
        <f aca="false">AL39*(VST_Assets!$AD$2+VST_PPAAdj)/1000000*(1+VST_RevAdj)</f>
        <v>0</v>
      </c>
      <c r="AM45" s="8" t="n">
        <f aca="false">AM39*(VST_Assets!$AD$2+VST_PPAAdj)/1000000*(1+VST_RevAdj)</f>
        <v>0</v>
      </c>
      <c r="AN45" s="8" t="n">
        <f aca="false">AN39*(VST_Assets!$AD$2+VST_PPAAdj)/1000000*(1+VST_RevAdj)</f>
        <v>0</v>
      </c>
      <c r="AO45" s="8" t="n">
        <f aca="false">AO39*(VST_Assets!$AD$2+VST_PPAAdj)/1000000*(1+VST_RevAdj)</f>
        <v>0</v>
      </c>
      <c r="AP45" s="8" t="n">
        <f aca="false">AP39*(VST_Assets!$AD$2+VST_PPAAdj)/1000000*(1+VST_RevAdj)</f>
        <v>0</v>
      </c>
      <c r="AQ45" s="8" t="n">
        <f aca="false">AQ39*(VST_Assets!$AD$2+VST_PPAAdj)/1000000*(1+VST_RevAdj)</f>
        <v>0</v>
      </c>
      <c r="AR45" s="8" t="n">
        <f aca="false">AR39*(VST_Assets!$AD$2+VST_PPAAdj)/1000000*(1+VST_RevAdj)</f>
        <v>0</v>
      </c>
      <c r="AS45" s="8" t="n">
        <f aca="false">AS39*(VST_Assets!$AD$2+VST_PPAAdj)/1000000*(1+VST_RevAdj)</f>
        <v>0</v>
      </c>
    </row>
    <row r="46" customFormat="false" ht="15" hidden="false" customHeight="false" outlineLevel="0" collapsed="false">
      <c r="A46" s="6" t="s">
        <v>445</v>
      </c>
      <c r="B46" s="6" t="s">
        <v>446</v>
      </c>
      <c r="C46" s="9" t="n">
        <f aca="false">SUM(G46:AS46)</f>
        <v>0</v>
      </c>
      <c r="G46" s="8" t="n">
        <f aca="false">IF(G$3&lt;=VST_Assets!$V$2,G38*VST_Assets!$U$2,0)/1000000*(1+VST_RevAdj)</f>
        <v>0</v>
      </c>
      <c r="H46" s="8" t="n">
        <f aca="false">IF(H$3&lt;=VST_Assets!$V$2,H38*VST_Assets!$U$2,0)/1000000*(1+VST_RevAdj)</f>
        <v>0</v>
      </c>
      <c r="I46" s="8" t="n">
        <f aca="false">IF(I$3&lt;=VST_Assets!$V$2,I38*VST_Assets!$U$2,0)/1000000*(1+VST_RevAdj)</f>
        <v>0</v>
      </c>
      <c r="J46" s="8" t="n">
        <f aca="false">IF(J$3&lt;=VST_Assets!$V$2,J38*VST_Assets!$U$2,0)/1000000*(1+VST_RevAdj)</f>
        <v>0</v>
      </c>
      <c r="K46" s="8" t="n">
        <f aca="false">IF(K$3&lt;=VST_Assets!$V$2,K38*VST_Assets!$U$2,0)/1000000*(1+VST_RevAdj)</f>
        <v>0</v>
      </c>
      <c r="L46" s="8" t="n">
        <f aca="false">IF(L$3&lt;=VST_Assets!$V$2,L38*VST_Assets!$U$2,0)/1000000*(1+VST_RevAdj)</f>
        <v>0</v>
      </c>
      <c r="M46" s="8" t="n">
        <f aca="false">IF(M$3&lt;=VST_Assets!$V$2,M38*VST_Assets!$U$2,0)/1000000*(1+VST_RevAdj)</f>
        <v>0</v>
      </c>
      <c r="N46" s="8" t="n">
        <f aca="false">IF(N$3&lt;=VST_Assets!$V$2,N38*VST_Assets!$U$2,0)/1000000*(1+VST_RevAdj)</f>
        <v>0</v>
      </c>
      <c r="O46" s="8" t="n">
        <f aca="false">IF(O$3&lt;=VST_Assets!$V$2,O38*VST_Assets!$U$2,0)/1000000*(1+VST_RevAdj)</f>
        <v>0</v>
      </c>
      <c r="P46" s="8" t="n">
        <f aca="false">IF(P$3&lt;=VST_Assets!$V$2,P38*VST_Assets!$U$2,0)/1000000*(1+VST_RevAdj)</f>
        <v>0</v>
      </c>
      <c r="Q46" s="8" t="n">
        <f aca="false">IF(Q$3&lt;=VST_Assets!$V$2,Q38*VST_Assets!$U$2,0)/1000000*(1+VST_RevAdj)</f>
        <v>0</v>
      </c>
      <c r="R46" s="8" t="n">
        <f aca="false">IF(R$3&lt;=VST_Assets!$V$2,R38*VST_Assets!$U$2,0)/1000000*(1+VST_RevAdj)</f>
        <v>0</v>
      </c>
      <c r="S46" s="8" t="n">
        <f aca="false">IF(S$3&lt;=VST_Assets!$V$2,S38*VST_Assets!$U$2,0)/1000000*(1+VST_RevAdj)</f>
        <v>0</v>
      </c>
      <c r="T46" s="8" t="n">
        <f aca="false">IF(T$3&lt;=VST_Assets!$V$2,T38*VST_Assets!$U$2,0)/1000000*(1+VST_RevAdj)</f>
        <v>0</v>
      </c>
      <c r="U46" s="8" t="n">
        <f aca="false">IF(U$3&lt;=VST_Assets!$V$2,U38*VST_Assets!$U$2,0)/1000000*(1+VST_RevAdj)</f>
        <v>0</v>
      </c>
      <c r="V46" s="8" t="n">
        <f aca="false">IF(V$3&lt;=VST_Assets!$V$2,V38*VST_Assets!$U$2,0)/1000000*(1+VST_RevAdj)</f>
        <v>0</v>
      </c>
      <c r="W46" s="8" t="n">
        <f aca="false">IF(W$3&lt;=VST_Assets!$V$2,W38*VST_Assets!$U$2,0)/1000000*(1+VST_RevAdj)</f>
        <v>0</v>
      </c>
      <c r="X46" s="8" t="n">
        <f aca="false">IF(X$3&lt;=VST_Assets!$V$2,X38*VST_Assets!$U$2,0)/1000000*(1+VST_RevAdj)</f>
        <v>0</v>
      </c>
      <c r="Y46" s="8" t="n">
        <f aca="false">IF(Y$3&lt;=VST_Assets!$V$2,Y38*VST_Assets!$U$2,0)/1000000*(1+VST_RevAdj)</f>
        <v>0</v>
      </c>
      <c r="Z46" s="8" t="n">
        <f aca="false">IF(Z$3&lt;=VST_Assets!$V$2,Z38*VST_Assets!$U$2,0)/1000000*(1+VST_RevAdj)</f>
        <v>0</v>
      </c>
      <c r="AA46" s="8" t="n">
        <f aca="false">IF(AA$3&lt;=VST_Assets!$V$2,AA38*VST_Assets!$U$2,0)/1000000*(1+VST_RevAdj)</f>
        <v>0</v>
      </c>
      <c r="AB46" s="8" t="n">
        <f aca="false">IF(AB$3&lt;=VST_Assets!$V$2,AB38*VST_Assets!$U$2,0)/1000000*(1+VST_RevAdj)</f>
        <v>0</v>
      </c>
      <c r="AC46" s="8" t="n">
        <f aca="false">IF(AC$3&lt;=VST_Assets!$V$2,AC38*VST_Assets!$U$2,0)/1000000*(1+VST_RevAdj)</f>
        <v>0</v>
      </c>
      <c r="AD46" s="8" t="n">
        <f aca="false">IF(AD$3&lt;=VST_Assets!$V$2,AD38*VST_Assets!$U$2,0)/1000000*(1+VST_RevAdj)</f>
        <v>0</v>
      </c>
      <c r="AE46" s="8" t="n">
        <f aca="false">IF(AE$3&lt;=VST_Assets!$V$2,AE38*VST_Assets!$U$2,0)/1000000*(1+VST_RevAdj)</f>
        <v>0</v>
      </c>
      <c r="AF46" s="8" t="n">
        <f aca="false">IF(AF$3&lt;=VST_Assets!$V$2,AF38*VST_Assets!$U$2,0)/1000000*(1+VST_RevAdj)</f>
        <v>0</v>
      </c>
      <c r="AG46" s="8" t="n">
        <f aca="false">IF(AG$3&lt;=VST_Assets!$V$2,AG38*VST_Assets!$U$2,0)/1000000*(1+VST_RevAdj)</f>
        <v>0</v>
      </c>
      <c r="AH46" s="8" t="n">
        <f aca="false">IF(AH$3&lt;=VST_Assets!$V$2,AH38*VST_Assets!$U$2,0)/1000000*(1+VST_RevAdj)</f>
        <v>0</v>
      </c>
      <c r="AI46" s="8" t="n">
        <f aca="false">IF(AI$3&lt;=VST_Assets!$V$2,AI38*VST_Assets!$U$2,0)/1000000*(1+VST_RevAdj)</f>
        <v>0</v>
      </c>
      <c r="AJ46" s="8" t="n">
        <f aca="false">IF(AJ$3&lt;=VST_Assets!$V$2,AJ38*VST_Assets!$U$2,0)/1000000*(1+VST_RevAdj)</f>
        <v>0</v>
      </c>
      <c r="AK46" s="8" t="n">
        <f aca="false">IF(AK$3&lt;=VST_Assets!$V$2,AK38*VST_Assets!$U$2,0)/1000000*(1+VST_RevAdj)</f>
        <v>0</v>
      </c>
      <c r="AL46" s="8" t="n">
        <f aca="false">IF(AL$3&lt;=VST_Assets!$V$2,AL38*VST_Assets!$U$2,0)/1000000*(1+VST_RevAdj)</f>
        <v>0</v>
      </c>
      <c r="AM46" s="8" t="n">
        <f aca="false">IF(AM$3&lt;=VST_Assets!$V$2,AM38*VST_Assets!$U$2,0)/1000000*(1+VST_RevAdj)</f>
        <v>0</v>
      </c>
      <c r="AN46" s="8" t="n">
        <f aca="false">IF(AN$3&lt;=VST_Assets!$V$2,AN38*VST_Assets!$U$2,0)/1000000*(1+VST_RevAdj)</f>
        <v>0</v>
      </c>
      <c r="AO46" s="8" t="n">
        <f aca="false">IF(AO$3&lt;=VST_Assets!$V$2,AO38*VST_Assets!$U$2,0)/1000000*(1+VST_RevAdj)</f>
        <v>0</v>
      </c>
      <c r="AP46" s="8" t="n">
        <f aca="false">IF(AP$3&lt;=VST_Assets!$V$2,AP38*VST_Assets!$U$2,0)/1000000*(1+VST_RevAdj)</f>
        <v>0</v>
      </c>
      <c r="AQ46" s="8" t="n">
        <f aca="false">IF(AQ$3&lt;=VST_Assets!$V$2,AQ38*VST_Assets!$U$2,0)/1000000*(1+VST_RevAdj)</f>
        <v>0</v>
      </c>
      <c r="AR46" s="8" t="n">
        <f aca="false">IF(AR$3&lt;=VST_Assets!$V$2,AR38*VST_Assets!$U$2,0)/1000000*(1+VST_RevAdj)</f>
        <v>0</v>
      </c>
      <c r="AS46" s="8" t="n">
        <f aca="false">IF(AS$3&lt;=VST_Assets!$V$2,AS38*VST_Assets!$U$2,0)/1000000*(1+VST_RevAdj)</f>
        <v>0</v>
      </c>
    </row>
    <row r="47" customFormat="false" ht="15" hidden="false" customHeight="false" outlineLevel="0" collapsed="false">
      <c r="A47" s="6" t="s">
        <v>447</v>
      </c>
      <c r="B47" s="6" t="s">
        <v>448</v>
      </c>
      <c r="C47" s="9" t="n">
        <f aca="false">SUM(G47:AS47)</f>
        <v>36962.8332147334</v>
      </c>
      <c r="G47" s="8" t="n">
        <f aca="false">G43+G44+G45+G46</f>
        <v>915.053832</v>
      </c>
      <c r="H47" s="8" t="n">
        <f aca="false">H43+H44+H45+H46</f>
        <v>1014.4221912</v>
      </c>
      <c r="I47" s="8" t="n">
        <f aca="false">I43+I44+I45+I46</f>
        <v>1099.69842558204</v>
      </c>
      <c r="J47" s="8" t="n">
        <f aca="false">J43+J44+J45+J46</f>
        <v>1179.97440255995</v>
      </c>
      <c r="K47" s="8" t="n">
        <f aca="false">K43+K44+K45+K46</f>
        <v>1248.2035880667</v>
      </c>
      <c r="L47" s="8" t="n">
        <f aca="false">L43+L44+L45+L46</f>
        <v>1312.58828185669</v>
      </c>
      <c r="M47" s="8" t="n">
        <f aca="false">M43+M44+M45+M46</f>
        <v>1323.11409549383</v>
      </c>
      <c r="N47" s="8" t="n">
        <f aca="false">N43+N44+N45+N46</f>
        <v>1333.8504254037</v>
      </c>
      <c r="O47" s="8" t="n">
        <f aca="false">O43+O44+O45+O46</f>
        <v>1344.80148191178</v>
      </c>
      <c r="P47" s="8" t="n">
        <f aca="false">P43+P44+P45+P46</f>
        <v>1355.97155955001</v>
      </c>
      <c r="Q47" s="8" t="n">
        <f aca="false">Q43+Q44+Q45+Q46</f>
        <v>1367.36503874101</v>
      </c>
      <c r="R47" s="8" t="n">
        <f aca="false">R43+R44+R45+R46</f>
        <v>1378.98638751583</v>
      </c>
      <c r="S47" s="8" t="n">
        <f aca="false">S43+S44+S45+S46</f>
        <v>1390.84016326615</v>
      </c>
      <c r="T47" s="8" t="n">
        <f aca="false">T43+T44+T45+T46</f>
        <v>1402.93101453147</v>
      </c>
      <c r="U47" s="8" t="n">
        <f aca="false">U43+U44+U45+U46</f>
        <v>1415.2636828221</v>
      </c>
      <c r="V47" s="8" t="n">
        <f aca="false">V43+V44+V45+V46</f>
        <v>1427.84300447854</v>
      </c>
      <c r="W47" s="8" t="n">
        <f aca="false">W43+W44+W45+W46</f>
        <v>1440.67391256811</v>
      </c>
      <c r="X47" s="8" t="n">
        <f aca="false">X43+X44+X45+X46</f>
        <v>1453.76143881948</v>
      </c>
      <c r="Y47" s="8" t="n">
        <f aca="false">Y43+Y44+Y45+Y46</f>
        <v>1467.11071559587</v>
      </c>
      <c r="Z47" s="8" t="n">
        <f aca="false">Z43+Z44+Z45+Z46</f>
        <v>1480.72697790778</v>
      </c>
      <c r="AA47" s="8" t="n">
        <f aca="false">AA43+AA44+AA45+AA46</f>
        <v>1494.61556546594</v>
      </c>
      <c r="AB47" s="8" t="n">
        <f aca="false">AB43+AB44+AB45+AB46</f>
        <v>1444.96864955052</v>
      </c>
      <c r="AC47" s="8" t="n">
        <f aca="false">AC43+AC44+AC45+AC46</f>
        <v>1473.86802254153</v>
      </c>
      <c r="AD47" s="8" t="n">
        <f aca="false">AD43+AD44+AD45+AD46</f>
        <v>1503.34538299236</v>
      </c>
      <c r="AE47" s="8" t="n">
        <f aca="false">AE43+AE44+AE45+AE46</f>
        <v>1533.4122906522</v>
      </c>
      <c r="AF47" s="8" t="n">
        <f aca="false">AF43+AF44+AF45+AF46</f>
        <v>1564.08053646525</v>
      </c>
      <c r="AG47" s="8" t="n">
        <f aca="false">AG43+AG44+AG45+AG46</f>
        <v>1595.36214719455</v>
      </c>
      <c r="AH47" s="8" t="n">
        <f aca="false">AH43+AH44+AH45+AH46</f>
        <v>0</v>
      </c>
      <c r="AI47" s="8" t="n">
        <f aca="false">AI43+AI44+AI45+AI46</f>
        <v>0</v>
      </c>
      <c r="AJ47" s="8" t="n">
        <f aca="false">AJ43+AJ44+AJ45+AJ46</f>
        <v>0</v>
      </c>
      <c r="AK47" s="8" t="n">
        <f aca="false">AK43+AK44+AK45+AK46</f>
        <v>0</v>
      </c>
      <c r="AL47" s="8" t="n">
        <f aca="false">AL43+AL44+AL45+AL46</f>
        <v>0</v>
      </c>
      <c r="AM47" s="8" t="n">
        <f aca="false">AM43+AM44+AM45+AM46</f>
        <v>0</v>
      </c>
      <c r="AN47" s="8" t="n">
        <f aca="false">AN43+AN44+AN45+AN46</f>
        <v>0</v>
      </c>
      <c r="AO47" s="8" t="n">
        <f aca="false">AO43+AO44+AO45+AO46</f>
        <v>0</v>
      </c>
      <c r="AP47" s="8" t="n">
        <f aca="false">AP43+AP44+AP45+AP46</f>
        <v>0</v>
      </c>
      <c r="AQ47" s="8" t="n">
        <f aca="false">AQ43+AQ44+AQ45+AQ46</f>
        <v>0</v>
      </c>
      <c r="AR47" s="8" t="n">
        <f aca="false">AR43+AR44+AR45+AR46</f>
        <v>0</v>
      </c>
      <c r="AS47" s="8" t="n">
        <f aca="false">AS43+AS44+AS45+AS46</f>
        <v>0</v>
      </c>
    </row>
    <row r="48" customFormat="false" ht="15" hidden="false" customHeight="false" outlineLevel="0" collapsed="false">
      <c r="A48" s="6" t="s">
        <v>449</v>
      </c>
      <c r="B48" s="6" t="s">
        <v>450</v>
      </c>
      <c r="C48" s="9" t="n">
        <f aca="false">SUM(G48:AS48)</f>
        <v>4201.36310913411</v>
      </c>
      <c r="G48" s="8" t="n">
        <f aca="false">((VST_Assets!$K$2*G40+VST_Assets!$M$2*G$4)*G38*G42+VST_Assets!$N$2*(1+VST_Assets!$Q$2)^(G$3-2026)*(G38+G39))/1000000*(1+VST_FuelAdj)</f>
        <v>110.818818</v>
      </c>
      <c r="H48" s="8" t="n">
        <f aca="false">((VST_Assets!$K$2*H40+VST_Assets!$M$2*H$4)*H38*H42+VST_Assets!$N$2*(1+VST_Assets!$Q$2)^(H$3-2026)*(H38+H39))/1000000*(1+VST_FuelAdj)</f>
        <v>113.58928845</v>
      </c>
      <c r="I48" s="8" t="n">
        <f aca="false">((VST_Assets!$K$2*I40+VST_Assets!$M$2*I$4)*I38*I42+VST_Assets!$N$2*(1+VST_Assets!$Q$2)^(I$3-2026)*(I38+I39))/1000000*(1+VST_FuelAdj)</f>
        <v>116.42902066125</v>
      </c>
      <c r="J48" s="8" t="n">
        <f aca="false">((VST_Assets!$K$2*J40+VST_Assets!$M$2*J$4)*J38*J42+VST_Assets!$N$2*(1+VST_Assets!$Q$2)^(J$3-2026)*(J38+J39))/1000000*(1+VST_FuelAdj)</f>
        <v>119.339746177781</v>
      </c>
      <c r="K48" s="8" t="n">
        <f aca="false">((VST_Assets!$K$2*K40+VST_Assets!$M$2*K$4)*K38*K42+VST_Assets!$N$2*(1+VST_Assets!$Q$2)^(K$3-2026)*(K38+K39))/1000000*(1+VST_FuelAdj)</f>
        <v>122.323239832226</v>
      </c>
      <c r="L48" s="8" t="n">
        <f aca="false">((VST_Assets!$K$2*L40+VST_Assets!$M$2*L$4)*L38*L42+VST_Assets!$N$2*(1+VST_Assets!$Q$2)^(L$3-2026)*(L38+L39))/1000000*(1+VST_FuelAdj)</f>
        <v>125.381320828031</v>
      </c>
      <c r="M48" s="8" t="n">
        <f aca="false">((VST_Assets!$K$2*M40+VST_Assets!$M$2*M$4)*M38*M42+VST_Assets!$N$2*(1+VST_Assets!$Q$2)^(M$3-2026)*(M38+M39))/1000000*(1+VST_FuelAdj)</f>
        <v>128.515853848732</v>
      </c>
      <c r="N48" s="8" t="n">
        <f aca="false">((VST_Assets!$K$2*N40+VST_Assets!$M$2*N$4)*N38*N42+VST_Assets!$N$2*(1+VST_Assets!$Q$2)^(N$3-2026)*(N38+N39))/1000000*(1+VST_FuelAdj)</f>
        <v>131.72875019495</v>
      </c>
      <c r="O48" s="8" t="n">
        <f aca="false">((VST_Assets!$K$2*O40+VST_Assets!$M$2*O$4)*O38*O42+VST_Assets!$N$2*(1+VST_Assets!$Q$2)^(O$3-2026)*(O38+O39))/1000000*(1+VST_FuelAdj)</f>
        <v>135.021968949824</v>
      </c>
      <c r="P48" s="8" t="n">
        <f aca="false">((VST_Assets!$K$2*P40+VST_Assets!$M$2*P$4)*P38*P42+VST_Assets!$N$2*(1+VST_Assets!$Q$2)^(P$3-2026)*(P38+P39))/1000000*(1+VST_FuelAdj)</f>
        <v>138.39751817357</v>
      </c>
      <c r="Q48" s="8" t="n">
        <f aca="false">((VST_Assets!$K$2*Q40+VST_Assets!$M$2*Q$4)*Q38*Q42+VST_Assets!$N$2*(1+VST_Assets!$Q$2)^(Q$3-2026)*(Q38+Q39))/1000000*(1+VST_FuelAdj)</f>
        <v>141.857456127909</v>
      </c>
      <c r="R48" s="8" t="n">
        <f aca="false">((VST_Assets!$K$2*R40+VST_Assets!$M$2*R$4)*R38*R42+VST_Assets!$N$2*(1+VST_Assets!$Q$2)^(R$3-2026)*(R38+R39))/1000000*(1+VST_FuelAdj)</f>
        <v>145.403892531107</v>
      </c>
      <c r="S48" s="8" t="n">
        <f aca="false">((VST_Assets!$K$2*S40+VST_Assets!$M$2*S$4)*S38*S42+VST_Assets!$N$2*(1+VST_Assets!$Q$2)^(S$3-2026)*(S38+S39))/1000000*(1+VST_FuelAdj)</f>
        <v>149.038989844384</v>
      </c>
      <c r="T48" s="8" t="n">
        <f aca="false">((VST_Assets!$K$2*T40+VST_Assets!$M$2*T$4)*T38*T42+VST_Assets!$N$2*(1+VST_Assets!$Q$2)^(T$3-2026)*(T38+T39))/1000000*(1+VST_FuelAdj)</f>
        <v>152.764964590494</v>
      </c>
      <c r="U48" s="8" t="n">
        <f aca="false">((VST_Assets!$K$2*U40+VST_Assets!$M$2*U$4)*U38*U42+VST_Assets!$N$2*(1+VST_Assets!$Q$2)^(U$3-2026)*(U38+U39))/1000000*(1+VST_FuelAdj)</f>
        <v>156.584088705256</v>
      </c>
      <c r="V48" s="8" t="n">
        <f aca="false">((VST_Assets!$K$2*V40+VST_Assets!$M$2*V$4)*V38*V42+VST_Assets!$N$2*(1+VST_Assets!$Q$2)^(V$3-2026)*(V38+V39))/1000000*(1+VST_FuelAdj)</f>
        <v>160.498690922888</v>
      </c>
      <c r="W48" s="8" t="n">
        <f aca="false">((VST_Assets!$K$2*W40+VST_Assets!$M$2*W$4)*W38*W42+VST_Assets!$N$2*(1+VST_Assets!$Q$2)^(W$3-2026)*(W38+W39))/1000000*(1+VST_FuelAdj)</f>
        <v>164.51115819596</v>
      </c>
      <c r="X48" s="8" t="n">
        <f aca="false">((VST_Assets!$K$2*X40+VST_Assets!$M$2*X$4)*X38*X42+VST_Assets!$N$2*(1+VST_Assets!$Q$2)^(X$3-2026)*(X38+X39))/1000000*(1+VST_FuelAdj)</f>
        <v>168.623937150859</v>
      </c>
      <c r="Y48" s="8" t="n">
        <f aca="false">((VST_Assets!$K$2*Y40+VST_Assets!$M$2*Y$4)*Y38*Y42+VST_Assets!$N$2*(1+VST_Assets!$Q$2)^(Y$3-2026)*(Y38+Y39))/1000000*(1+VST_FuelAdj)</f>
        <v>172.83953557963</v>
      </c>
      <c r="Z48" s="8" t="n">
        <f aca="false">((VST_Assets!$K$2*Z40+VST_Assets!$M$2*Z$4)*Z38*Z42+VST_Assets!$N$2*(1+VST_Assets!$Q$2)^(Z$3-2026)*(Z38+Z39))/1000000*(1+VST_FuelAdj)</f>
        <v>177.160523969121</v>
      </c>
      <c r="AA48" s="8" t="n">
        <f aca="false">((VST_Assets!$K$2*AA40+VST_Assets!$M$2*AA$4)*AA38*AA42+VST_Assets!$N$2*(1+VST_Assets!$Q$2)^(AA$3-2026)*(AA38+AA39))/1000000*(1+VST_FuelAdj)</f>
        <v>181.589537068349</v>
      </c>
      <c r="AB48" s="8" t="n">
        <f aca="false">((VST_Assets!$K$2*AB40+VST_Assets!$M$2*AB$4)*AB38*AB42+VST_Assets!$N$2*(1+VST_Assets!$Q$2)^(AB$3-2026)*(AB38+AB39))/1000000*(1+VST_FuelAdj)</f>
        <v>186.129275495058</v>
      </c>
      <c r="AC48" s="8" t="n">
        <f aca="false">((VST_Assets!$K$2*AC40+VST_Assets!$M$2*AC$4)*AC38*AC42+VST_Assets!$N$2*(1+VST_Assets!$Q$2)^(AC$3-2026)*(AC38+AC39))/1000000*(1+VST_FuelAdj)</f>
        <v>190.782507382434</v>
      </c>
      <c r="AD48" s="8" t="n">
        <f aca="false">((VST_Assets!$K$2*AD40+VST_Assets!$M$2*AD$4)*AD38*AD42+VST_Assets!$N$2*(1+VST_Assets!$Q$2)^(AD$3-2026)*(AD38+AD39))/1000000*(1+VST_FuelAdj)</f>
        <v>195.552070066995</v>
      </c>
      <c r="AE48" s="8" t="n">
        <f aca="false">((VST_Assets!$K$2*AE40+VST_Assets!$M$2*AE$4)*AE38*AE42+VST_Assets!$N$2*(1+VST_Assets!$Q$2)^(AE$3-2026)*(AE38+AE39))/1000000*(1+VST_FuelAdj)</f>
        <v>200.44087181867</v>
      </c>
      <c r="AF48" s="8" t="n">
        <f aca="false">((VST_Assets!$K$2*AF40+VST_Assets!$M$2*AF$4)*AF38*AF42+VST_Assets!$N$2*(1+VST_Assets!$Q$2)^(AF$3-2026)*(AF38+AF39))/1000000*(1+VST_FuelAdj)</f>
        <v>205.451893614137</v>
      </c>
      <c r="AG48" s="8" t="n">
        <f aca="false">((VST_Assets!$K$2*AG40+VST_Assets!$M$2*AG$4)*AG38*AG42+VST_Assets!$N$2*(1+VST_Assets!$Q$2)^(AG$3-2026)*(AG38+AG39))/1000000*(1+VST_FuelAdj)</f>
        <v>210.58819095449</v>
      </c>
      <c r="AH48" s="8" t="n">
        <f aca="false">((VST_Assets!$K$2*AH40+VST_Assets!$M$2*AH$4)*AH38*AH42+VST_Assets!$N$2*(1+VST_Assets!$Q$2)^(AH$3-2026)*(AH38+AH39))/1000000*(1+VST_FuelAdj)</f>
        <v>0</v>
      </c>
      <c r="AI48" s="8" t="n">
        <f aca="false">((VST_Assets!$K$2*AI40+VST_Assets!$M$2*AI$4)*AI38*AI42+VST_Assets!$N$2*(1+VST_Assets!$Q$2)^(AI$3-2026)*(AI38+AI39))/1000000*(1+VST_FuelAdj)</f>
        <v>0</v>
      </c>
      <c r="AJ48" s="8" t="n">
        <f aca="false">((VST_Assets!$K$2*AJ40+VST_Assets!$M$2*AJ$4)*AJ38*AJ42+VST_Assets!$N$2*(1+VST_Assets!$Q$2)^(AJ$3-2026)*(AJ38+AJ39))/1000000*(1+VST_FuelAdj)</f>
        <v>0</v>
      </c>
      <c r="AK48" s="8" t="n">
        <f aca="false">((VST_Assets!$K$2*AK40+VST_Assets!$M$2*AK$4)*AK38*AK42+VST_Assets!$N$2*(1+VST_Assets!$Q$2)^(AK$3-2026)*(AK38+AK39))/1000000*(1+VST_FuelAdj)</f>
        <v>0</v>
      </c>
      <c r="AL48" s="8" t="n">
        <f aca="false">((VST_Assets!$K$2*AL40+VST_Assets!$M$2*AL$4)*AL38*AL42+VST_Assets!$N$2*(1+VST_Assets!$Q$2)^(AL$3-2026)*(AL38+AL39))/1000000*(1+VST_FuelAdj)</f>
        <v>0</v>
      </c>
      <c r="AM48" s="8" t="n">
        <f aca="false">((VST_Assets!$K$2*AM40+VST_Assets!$M$2*AM$4)*AM38*AM42+VST_Assets!$N$2*(1+VST_Assets!$Q$2)^(AM$3-2026)*(AM38+AM39))/1000000*(1+VST_FuelAdj)</f>
        <v>0</v>
      </c>
      <c r="AN48" s="8" t="n">
        <f aca="false">((VST_Assets!$K$2*AN40+VST_Assets!$M$2*AN$4)*AN38*AN42+VST_Assets!$N$2*(1+VST_Assets!$Q$2)^(AN$3-2026)*(AN38+AN39))/1000000*(1+VST_FuelAdj)</f>
        <v>0</v>
      </c>
      <c r="AO48" s="8" t="n">
        <f aca="false">((VST_Assets!$K$2*AO40+VST_Assets!$M$2*AO$4)*AO38*AO42+VST_Assets!$N$2*(1+VST_Assets!$Q$2)^(AO$3-2026)*(AO38+AO39))/1000000*(1+VST_FuelAdj)</f>
        <v>0</v>
      </c>
      <c r="AP48" s="8" t="n">
        <f aca="false">((VST_Assets!$K$2*AP40+VST_Assets!$M$2*AP$4)*AP38*AP42+VST_Assets!$N$2*(1+VST_Assets!$Q$2)^(AP$3-2026)*(AP38+AP39))/1000000*(1+VST_FuelAdj)</f>
        <v>0</v>
      </c>
      <c r="AQ48" s="8" t="n">
        <f aca="false">((VST_Assets!$K$2*AQ40+VST_Assets!$M$2*AQ$4)*AQ38*AQ42+VST_Assets!$N$2*(1+VST_Assets!$Q$2)^(AQ$3-2026)*(AQ38+AQ39))/1000000*(1+VST_FuelAdj)</f>
        <v>0</v>
      </c>
      <c r="AR48" s="8" t="n">
        <f aca="false">((VST_Assets!$K$2*AR40+VST_Assets!$M$2*AR$4)*AR38*AR42+VST_Assets!$N$2*(1+VST_Assets!$Q$2)^(AR$3-2026)*(AR38+AR39))/1000000*(1+VST_FuelAdj)</f>
        <v>0</v>
      </c>
      <c r="AS48" s="8" t="n">
        <f aca="false">((VST_Assets!$K$2*AS40+VST_Assets!$M$2*AS$4)*AS38*AS42+VST_Assets!$N$2*(1+VST_Assets!$Q$2)^(AS$3-2026)*(AS38+AS39))/1000000*(1+VST_FuelAdj)</f>
        <v>0</v>
      </c>
    </row>
    <row r="49" customFormat="false" ht="15" hidden="false" customHeight="false" outlineLevel="0" collapsed="false">
      <c r="A49" s="6" t="s">
        <v>451</v>
      </c>
      <c r="B49" s="6" t="s">
        <v>452</v>
      </c>
      <c r="C49" s="9" t="n">
        <f aca="false">SUM(G49:AS49)</f>
        <v>32761.4701055993</v>
      </c>
      <c r="G49" s="8" t="n">
        <f aca="false">G47-G48</f>
        <v>804.235014</v>
      </c>
      <c r="H49" s="8" t="n">
        <f aca="false">H47-H48</f>
        <v>900.83290275</v>
      </c>
      <c r="I49" s="8" t="n">
        <f aca="false">I47-I48</f>
        <v>983.269404920793</v>
      </c>
      <c r="J49" s="8" t="n">
        <f aca="false">J47-J48</f>
        <v>1060.63465638217</v>
      </c>
      <c r="K49" s="8" t="n">
        <f aca="false">K47-K48</f>
        <v>1125.88034823447</v>
      </c>
      <c r="L49" s="8" t="n">
        <f aca="false">L47-L48</f>
        <v>1187.20696102866</v>
      </c>
      <c r="M49" s="8" t="n">
        <f aca="false">M47-M48</f>
        <v>1194.59824164509</v>
      </c>
      <c r="N49" s="8" t="n">
        <f aca="false">N47-N48</f>
        <v>1202.12167520875</v>
      </c>
      <c r="O49" s="8" t="n">
        <f aca="false">O47-O48</f>
        <v>1209.77951296195</v>
      </c>
      <c r="P49" s="8" t="n">
        <f aca="false">P47-P48</f>
        <v>1217.57404137644</v>
      </c>
      <c r="Q49" s="8" t="n">
        <f aca="false">Q47-Q48</f>
        <v>1225.5075826131</v>
      </c>
      <c r="R49" s="8" t="n">
        <f aca="false">R47-R48</f>
        <v>1233.58249498473</v>
      </c>
      <c r="S49" s="8" t="n">
        <f aca="false">S47-S48</f>
        <v>1241.80117342176</v>
      </c>
      <c r="T49" s="8" t="n">
        <f aca="false">T47-T48</f>
        <v>1250.16604994098</v>
      </c>
      <c r="U49" s="8" t="n">
        <f aca="false">U47-U48</f>
        <v>1258.67959411684</v>
      </c>
      <c r="V49" s="8" t="n">
        <f aca="false">V47-V48</f>
        <v>1267.34431355566</v>
      </c>
      <c r="W49" s="8" t="n">
        <f aca="false">W47-W48</f>
        <v>1276.16275437215</v>
      </c>
      <c r="X49" s="8" t="n">
        <f aca="false">X47-X48</f>
        <v>1285.13750166862</v>
      </c>
      <c r="Y49" s="8" t="n">
        <f aca="false">Y47-Y48</f>
        <v>1294.27118001624</v>
      </c>
      <c r="Z49" s="8" t="n">
        <f aca="false">Z47-Z48</f>
        <v>1303.56645393866</v>
      </c>
      <c r="AA49" s="8" t="n">
        <f aca="false">AA47-AA48</f>
        <v>1313.02602839759</v>
      </c>
      <c r="AB49" s="8" t="n">
        <f aca="false">AB47-AB48</f>
        <v>1258.83937405546</v>
      </c>
      <c r="AC49" s="8" t="n">
        <f aca="false">AC47-AC48</f>
        <v>1283.08551515909</v>
      </c>
      <c r="AD49" s="8" t="n">
        <f aca="false">AD47-AD48</f>
        <v>1307.79331292536</v>
      </c>
      <c r="AE49" s="8" t="n">
        <f aca="false">AE47-AE48</f>
        <v>1332.97141883353</v>
      </c>
      <c r="AF49" s="8" t="n">
        <f aca="false">AF47-AF48</f>
        <v>1358.62864285111</v>
      </c>
      <c r="AG49" s="8" t="n">
        <f aca="false">AG47-AG48</f>
        <v>1384.77395624006</v>
      </c>
      <c r="AH49" s="8" t="n">
        <f aca="false">AH47-AH48</f>
        <v>0</v>
      </c>
      <c r="AI49" s="8" t="n">
        <f aca="false">AI47-AI48</f>
        <v>0</v>
      </c>
      <c r="AJ49" s="8" t="n">
        <f aca="false">AJ47-AJ48</f>
        <v>0</v>
      </c>
      <c r="AK49" s="8" t="n">
        <f aca="false">AK47-AK48</f>
        <v>0</v>
      </c>
      <c r="AL49" s="8" t="n">
        <f aca="false">AL47-AL48</f>
        <v>0</v>
      </c>
      <c r="AM49" s="8" t="n">
        <f aca="false">AM47-AM48</f>
        <v>0</v>
      </c>
      <c r="AN49" s="8" t="n">
        <f aca="false">AN47-AN48</f>
        <v>0</v>
      </c>
      <c r="AO49" s="8" t="n">
        <f aca="false">AO47-AO48</f>
        <v>0</v>
      </c>
      <c r="AP49" s="8" t="n">
        <f aca="false">AP47-AP48</f>
        <v>0</v>
      </c>
      <c r="AQ49" s="8" t="n">
        <f aca="false">AQ47-AQ48</f>
        <v>0</v>
      </c>
      <c r="AR49" s="8" t="n">
        <f aca="false">AR47-AR48</f>
        <v>0</v>
      </c>
      <c r="AS49" s="8" t="n">
        <f aca="false">AS47-AS48</f>
        <v>0</v>
      </c>
    </row>
    <row r="50" customFormat="false" ht="15" hidden="false" customHeight="false" outlineLevel="0" collapsed="false">
      <c r="A50" s="6" t="s">
        <v>453</v>
      </c>
      <c r="B50" s="6" t="s">
        <v>454</v>
      </c>
      <c r="C50" s="9" t="n">
        <f aca="false">SUM(G50:AS50)</f>
        <v>17034.6176970346</v>
      </c>
      <c r="G50" s="8" t="n">
        <f aca="false">(VST_Assets!$R$2*VST_Assets!$D$2*1000*G$4*G36+VST_Assets!$O$2*(1+VST_Assets!$Q$2)^(G$3-2026)*(G38+G39))/1000000*(1+VST_OMAdj)</f>
        <v>449.3199348</v>
      </c>
      <c r="H50" s="8" t="n">
        <f aca="false">(VST_Assets!$R$2*VST_Assets!$D$2*1000*H$4*H36+VST_Assets!$O$2*(1+VST_Assets!$Q$2)^(H$3-2026)*(H38+H39))/1000000*(1+VST_OMAdj)</f>
        <v>460.55293317</v>
      </c>
      <c r="I50" s="8" t="n">
        <f aca="false">(VST_Assets!$R$2*VST_Assets!$D$2*1000*I$4*I36+VST_Assets!$O$2*(1+VST_Assets!$Q$2)^(I$3-2026)*(I38+I39))/1000000*(1+VST_OMAdj)</f>
        <v>472.06675649925</v>
      </c>
      <c r="J50" s="8" t="n">
        <f aca="false">(VST_Assets!$R$2*VST_Assets!$D$2*1000*J$4*J36+VST_Assets!$O$2*(1+VST_Assets!$Q$2)^(J$3-2026)*(J38+J39))/1000000*(1+VST_OMAdj)</f>
        <v>483.868425411731</v>
      </c>
      <c r="K50" s="8" t="n">
        <f aca="false">(VST_Assets!$R$2*VST_Assets!$D$2*1000*K$4*K36+VST_Assets!$O$2*(1+VST_Assets!$Q$2)^(K$3-2026)*(K38+K39))/1000000*(1+VST_OMAdj)</f>
        <v>495.965136047024</v>
      </c>
      <c r="L50" s="8" t="n">
        <f aca="false">(VST_Assets!$R$2*VST_Assets!$D$2*1000*L$4*L36+VST_Assets!$O$2*(1+VST_Assets!$Q$2)^(L$3-2026)*(L38+L39))/1000000*(1+VST_OMAdj)</f>
        <v>508.3642644482</v>
      </c>
      <c r="M50" s="8" t="n">
        <f aca="false">(VST_Assets!$R$2*VST_Assets!$D$2*1000*M$4*M36+VST_Assets!$O$2*(1+VST_Assets!$Q$2)^(M$3-2026)*(M38+M39))/1000000*(1+VST_OMAdj)</f>
        <v>521.073371059405</v>
      </c>
      <c r="N50" s="8" t="n">
        <f aca="false">(VST_Assets!$R$2*VST_Assets!$D$2*1000*N$4*N36+VST_Assets!$O$2*(1+VST_Assets!$Q$2)^(N$3-2026)*(N38+N39))/1000000*(1+VST_OMAdj)</f>
        <v>534.10020533589</v>
      </c>
      <c r="O50" s="8" t="n">
        <f aca="false">(VST_Assets!$R$2*VST_Assets!$D$2*1000*O$4*O36+VST_Assets!$O$2*(1+VST_Assets!$Q$2)^(O$3-2026)*(O38+O39))/1000000*(1+VST_OMAdj)</f>
        <v>547.452710469287</v>
      </c>
      <c r="P50" s="8" t="n">
        <f aca="false">(VST_Assets!$R$2*VST_Assets!$D$2*1000*P$4*P36+VST_Assets!$O$2*(1+VST_Assets!$Q$2)^(P$3-2026)*(P38+P39))/1000000*(1+VST_OMAdj)</f>
        <v>561.139028231019</v>
      </c>
      <c r="Q50" s="8" t="n">
        <f aca="false">(VST_Assets!$R$2*VST_Assets!$D$2*1000*Q$4*Q36+VST_Assets!$O$2*(1+VST_Assets!$Q$2)^(Q$3-2026)*(Q38+Q39))/1000000*(1+VST_OMAdj)</f>
        <v>575.167503936795</v>
      </c>
      <c r="R50" s="8" t="n">
        <f aca="false">(VST_Assets!$R$2*VST_Assets!$D$2*1000*R$4*R36+VST_Assets!$O$2*(1+VST_Assets!$Q$2)^(R$3-2026)*(R38+R39))/1000000*(1+VST_OMAdj)</f>
        <v>589.546691535215</v>
      </c>
      <c r="S50" s="8" t="n">
        <f aca="false">(VST_Assets!$R$2*VST_Assets!$D$2*1000*S$4*S36+VST_Assets!$O$2*(1+VST_Assets!$Q$2)^(S$3-2026)*(S38+S39))/1000000*(1+VST_OMAdj)</f>
        <v>604.285358823595</v>
      </c>
      <c r="T50" s="8" t="n">
        <f aca="false">(VST_Assets!$R$2*VST_Assets!$D$2*1000*T$4*T36+VST_Assets!$O$2*(1+VST_Assets!$Q$2)^(T$3-2026)*(T38+T39))/1000000*(1+VST_OMAdj)</f>
        <v>619.392492794185</v>
      </c>
      <c r="U50" s="8" t="n">
        <f aca="false">(VST_Assets!$R$2*VST_Assets!$D$2*1000*U$4*U36+VST_Assets!$O$2*(1+VST_Assets!$Q$2)^(U$3-2026)*(U38+U39))/1000000*(1+VST_OMAdj)</f>
        <v>634.877305114039</v>
      </c>
      <c r="V50" s="8" t="n">
        <f aca="false">(VST_Assets!$R$2*VST_Assets!$D$2*1000*V$4*V36+VST_Assets!$O$2*(1+VST_Assets!$Q$2)^(V$3-2026)*(V38+V39))/1000000*(1+VST_OMAdj)</f>
        <v>650.74923774189</v>
      </c>
      <c r="W50" s="8" t="n">
        <f aca="false">(VST_Assets!$R$2*VST_Assets!$D$2*1000*W$4*W36+VST_Assets!$O$2*(1+VST_Assets!$Q$2)^(W$3-2026)*(W38+W39))/1000000*(1+VST_OMAdj)</f>
        <v>667.017968685437</v>
      </c>
      <c r="X50" s="8" t="n">
        <f aca="false">(VST_Assets!$R$2*VST_Assets!$D$2*1000*X$4*X36+VST_Assets!$O$2*(1+VST_Assets!$Q$2)^(X$3-2026)*(X38+X39))/1000000*(1+VST_OMAdj)</f>
        <v>683.693417902573</v>
      </c>
      <c r="Y50" s="8" t="n">
        <f aca="false">(VST_Assets!$R$2*VST_Assets!$D$2*1000*Y$4*Y36+VST_Assets!$O$2*(1+VST_Assets!$Q$2)^(Y$3-2026)*(Y38+Y39))/1000000*(1+VST_OMAdj)</f>
        <v>700.785753350137</v>
      </c>
      <c r="Z50" s="8" t="n">
        <f aca="false">(VST_Assets!$R$2*VST_Assets!$D$2*1000*Z$4*Z36+VST_Assets!$O$2*(1+VST_Assets!$Q$2)^(Z$3-2026)*(Z38+Z39))/1000000*(1+VST_OMAdj)</f>
        <v>718.305397183891</v>
      </c>
      <c r="AA50" s="8" t="n">
        <f aca="false">(VST_Assets!$R$2*VST_Assets!$D$2*1000*AA$4*AA36+VST_Assets!$O$2*(1+VST_Assets!$Q$2)^(AA$3-2026)*(AA38+AA39))/1000000*(1+VST_OMAdj)</f>
        <v>736.263032113488</v>
      </c>
      <c r="AB50" s="8" t="n">
        <f aca="false">(VST_Assets!$R$2*VST_Assets!$D$2*1000*AB$4*AB36+VST_Assets!$O$2*(1+VST_Assets!$Q$2)^(AB$3-2026)*(AB38+AB39))/1000000*(1+VST_OMAdj)</f>
        <v>754.669607916325</v>
      </c>
      <c r="AC50" s="8" t="n">
        <f aca="false">(VST_Assets!$R$2*VST_Assets!$D$2*1000*AC$4*AC36+VST_Assets!$O$2*(1+VST_Assets!$Q$2)^(AC$3-2026)*(AC38+AC39))/1000000*(1+VST_OMAdj)</f>
        <v>773.536348114233</v>
      </c>
      <c r="AD50" s="8" t="n">
        <f aca="false">(VST_Assets!$R$2*VST_Assets!$D$2*1000*AD$4*AD36+VST_Assets!$O$2*(1+VST_Assets!$Q$2)^(AD$3-2026)*(AD38+AD39))/1000000*(1+VST_OMAdj)</f>
        <v>792.874756817089</v>
      </c>
      <c r="AE50" s="8" t="n">
        <f aca="false">(VST_Assets!$R$2*VST_Assets!$D$2*1000*AE$4*AE36+VST_Assets!$O$2*(1+VST_Assets!$Q$2)^(AE$3-2026)*(AE38+AE39))/1000000*(1+VST_OMAdj)</f>
        <v>812.696625737516</v>
      </c>
      <c r="AF50" s="8" t="n">
        <f aca="false">(VST_Assets!$R$2*VST_Assets!$D$2*1000*AF$4*AF36+VST_Assets!$O$2*(1+VST_Assets!$Q$2)^(AF$3-2026)*(AF38+AF39))/1000000*(1+VST_OMAdj)</f>
        <v>833.014041380954</v>
      </c>
      <c r="AG50" s="8" t="n">
        <f aca="false">(VST_Assets!$R$2*VST_Assets!$D$2*1000*AG$4*AG36+VST_Assets!$O$2*(1+VST_Assets!$Q$2)^(AG$3-2026)*(AG38+AG39))/1000000*(1+VST_OMAdj)</f>
        <v>853.839392415478</v>
      </c>
      <c r="AH50" s="8" t="n">
        <f aca="false">(VST_Assets!$R$2*VST_Assets!$D$2*1000*AH$4*AH36+VST_Assets!$O$2*(1+VST_Assets!$Q$2)^(AH$3-2026)*(AH38+AH39))/1000000*(1+VST_OMAdj)</f>
        <v>0</v>
      </c>
      <c r="AI50" s="8" t="n">
        <f aca="false">(VST_Assets!$R$2*VST_Assets!$D$2*1000*AI$4*AI36+VST_Assets!$O$2*(1+VST_Assets!$Q$2)^(AI$3-2026)*(AI38+AI39))/1000000*(1+VST_OMAdj)</f>
        <v>0</v>
      </c>
      <c r="AJ50" s="8" t="n">
        <f aca="false">(VST_Assets!$R$2*VST_Assets!$D$2*1000*AJ$4*AJ36+VST_Assets!$O$2*(1+VST_Assets!$Q$2)^(AJ$3-2026)*(AJ38+AJ39))/1000000*(1+VST_OMAdj)</f>
        <v>0</v>
      </c>
      <c r="AK50" s="8" t="n">
        <f aca="false">(VST_Assets!$R$2*VST_Assets!$D$2*1000*AK$4*AK36+VST_Assets!$O$2*(1+VST_Assets!$Q$2)^(AK$3-2026)*(AK38+AK39))/1000000*(1+VST_OMAdj)</f>
        <v>0</v>
      </c>
      <c r="AL50" s="8" t="n">
        <f aca="false">(VST_Assets!$R$2*VST_Assets!$D$2*1000*AL$4*AL36+VST_Assets!$O$2*(1+VST_Assets!$Q$2)^(AL$3-2026)*(AL38+AL39))/1000000*(1+VST_OMAdj)</f>
        <v>0</v>
      </c>
      <c r="AM50" s="8" t="n">
        <f aca="false">(VST_Assets!$R$2*VST_Assets!$D$2*1000*AM$4*AM36+VST_Assets!$O$2*(1+VST_Assets!$Q$2)^(AM$3-2026)*(AM38+AM39))/1000000*(1+VST_OMAdj)</f>
        <v>0</v>
      </c>
      <c r="AN50" s="8" t="n">
        <f aca="false">(VST_Assets!$R$2*VST_Assets!$D$2*1000*AN$4*AN36+VST_Assets!$O$2*(1+VST_Assets!$Q$2)^(AN$3-2026)*(AN38+AN39))/1000000*(1+VST_OMAdj)</f>
        <v>0</v>
      </c>
      <c r="AO50" s="8" t="n">
        <f aca="false">(VST_Assets!$R$2*VST_Assets!$D$2*1000*AO$4*AO36+VST_Assets!$O$2*(1+VST_Assets!$Q$2)^(AO$3-2026)*(AO38+AO39))/1000000*(1+VST_OMAdj)</f>
        <v>0</v>
      </c>
      <c r="AP50" s="8" t="n">
        <f aca="false">(VST_Assets!$R$2*VST_Assets!$D$2*1000*AP$4*AP36+VST_Assets!$O$2*(1+VST_Assets!$Q$2)^(AP$3-2026)*(AP38+AP39))/1000000*(1+VST_OMAdj)</f>
        <v>0</v>
      </c>
      <c r="AQ50" s="8" t="n">
        <f aca="false">(VST_Assets!$R$2*VST_Assets!$D$2*1000*AQ$4*AQ36+VST_Assets!$O$2*(1+VST_Assets!$Q$2)^(AQ$3-2026)*(AQ38+AQ39))/1000000*(1+VST_OMAdj)</f>
        <v>0</v>
      </c>
      <c r="AR50" s="8" t="n">
        <f aca="false">(VST_Assets!$R$2*VST_Assets!$D$2*1000*AR$4*AR36+VST_Assets!$O$2*(1+VST_Assets!$Q$2)^(AR$3-2026)*(AR38+AR39))/1000000*(1+VST_OMAdj)</f>
        <v>0</v>
      </c>
      <c r="AS50" s="8" t="n">
        <f aca="false">(VST_Assets!$R$2*VST_Assets!$D$2*1000*AS$4*AS36+VST_Assets!$O$2*(1+VST_Assets!$Q$2)^(AS$3-2026)*(AS38+AS39))/1000000*(1+VST_OMAdj)</f>
        <v>0</v>
      </c>
    </row>
    <row r="51" customFormat="false" ht="15" hidden="false" customHeight="false" outlineLevel="0" collapsed="false">
      <c r="A51" s="6" t="s">
        <v>455</v>
      </c>
      <c r="B51" s="6" t="s">
        <v>456</v>
      </c>
      <c r="C51" s="9" t="n">
        <f aca="false">SUM(G51:AS51)</f>
        <v>15726.8524085646</v>
      </c>
      <c r="G51" s="8" t="n">
        <f aca="false">G49-G50</f>
        <v>354.9150792</v>
      </c>
      <c r="H51" s="8" t="n">
        <f aca="false">H49-H50</f>
        <v>440.27996958</v>
      </c>
      <c r="I51" s="8" t="n">
        <f aca="false">I49-I50</f>
        <v>511.202648421543</v>
      </c>
      <c r="J51" s="8" t="n">
        <f aca="false">J49-J50</f>
        <v>576.766230970434</v>
      </c>
      <c r="K51" s="8" t="n">
        <f aca="false">K49-K50</f>
        <v>629.915212187446</v>
      </c>
      <c r="L51" s="8" t="n">
        <f aca="false">L49-L50</f>
        <v>678.84269658046</v>
      </c>
      <c r="M51" s="8" t="n">
        <f aca="false">M49-M50</f>
        <v>673.524870585688</v>
      </c>
      <c r="N51" s="8" t="n">
        <f aca="false">N49-N50</f>
        <v>668.021469872862</v>
      </c>
      <c r="O51" s="8" t="n">
        <f aca="false">O49-O50</f>
        <v>662.326802492665</v>
      </c>
      <c r="P51" s="8" t="n">
        <f aca="false">P49-P50</f>
        <v>656.435013145423</v>
      </c>
      <c r="Q51" s="8" t="n">
        <f aca="false">Q49-Q50</f>
        <v>650.340078676308</v>
      </c>
      <c r="R51" s="8" t="n">
        <f aca="false">R49-R50</f>
        <v>644.035803449511</v>
      </c>
      <c r="S51" s="8" t="n">
        <f aca="false">S49-S50</f>
        <v>637.51581459817</v>
      </c>
      <c r="T51" s="8" t="n">
        <f aca="false">T49-T50</f>
        <v>630.773557146793</v>
      </c>
      <c r="U51" s="8" t="n">
        <f aca="false">U49-U50</f>
        <v>623.802289002806</v>
      </c>
      <c r="V51" s="8" t="n">
        <f aca="false">V49-V50</f>
        <v>616.595075813765</v>
      </c>
      <c r="W51" s="8" t="n">
        <f aca="false">W49-W50</f>
        <v>609.144785686717</v>
      </c>
      <c r="X51" s="8" t="n">
        <f aca="false">X49-X50</f>
        <v>601.444083766045</v>
      </c>
      <c r="Y51" s="8" t="n">
        <f aca="false">Y49-Y50</f>
        <v>593.485426666098</v>
      </c>
      <c r="Z51" s="8" t="n">
        <f aca="false">Z49-Z50</f>
        <v>585.261056754772</v>
      </c>
      <c r="AA51" s="8" t="n">
        <f aca="false">AA49-AA50</f>
        <v>576.762996284102</v>
      </c>
      <c r="AB51" s="8" t="n">
        <f aca="false">AB49-AB50</f>
        <v>504.169766139133</v>
      </c>
      <c r="AC51" s="8" t="n">
        <f aca="false">AC49-AC50</f>
        <v>509.549167044859</v>
      </c>
      <c r="AD51" s="8" t="n">
        <f aca="false">AD49-AD50</f>
        <v>514.918556108273</v>
      </c>
      <c r="AE51" s="8" t="n">
        <f aca="false">AE49-AE50</f>
        <v>520.274793096018</v>
      </c>
      <c r="AF51" s="8" t="n">
        <f aca="false">AF49-AF50</f>
        <v>525.614601470157</v>
      </c>
      <c r="AG51" s="8" t="n">
        <f aca="false">AG49-AG50</f>
        <v>530.934563824585</v>
      </c>
      <c r="AH51" s="8" t="n">
        <f aca="false">AH49-AH50</f>
        <v>0</v>
      </c>
      <c r="AI51" s="8" t="n">
        <f aca="false">AI49-AI50</f>
        <v>0</v>
      </c>
      <c r="AJ51" s="8" t="n">
        <f aca="false">AJ49-AJ50</f>
        <v>0</v>
      </c>
      <c r="AK51" s="8" t="n">
        <f aca="false">AK49-AK50</f>
        <v>0</v>
      </c>
      <c r="AL51" s="8" t="n">
        <f aca="false">AL49-AL50</f>
        <v>0</v>
      </c>
      <c r="AM51" s="8" t="n">
        <f aca="false">AM49-AM50</f>
        <v>0</v>
      </c>
      <c r="AN51" s="8" t="n">
        <f aca="false">AN49-AN50</f>
        <v>0</v>
      </c>
      <c r="AO51" s="8" t="n">
        <f aca="false">AO49-AO50</f>
        <v>0</v>
      </c>
      <c r="AP51" s="8" t="n">
        <f aca="false">AP49-AP50</f>
        <v>0</v>
      </c>
      <c r="AQ51" s="8" t="n">
        <f aca="false">AQ49-AQ50</f>
        <v>0</v>
      </c>
      <c r="AR51" s="8" t="n">
        <f aca="false">AR49-AR50</f>
        <v>0</v>
      </c>
      <c r="AS51" s="8" t="n">
        <f aca="false">AS49-AS50</f>
        <v>0</v>
      </c>
    </row>
    <row r="52" customFormat="false" ht="15" hidden="false" customHeight="false" outlineLevel="0" collapsed="false">
      <c r="A52" s="6" t="s">
        <v>457</v>
      </c>
      <c r="B52" s="6" t="s">
        <v>458</v>
      </c>
      <c r="C52" s="9" t="n">
        <f aca="false">SUM(G52:AS52)</f>
        <v>5881.90835278775</v>
      </c>
      <c r="G52" s="8" t="n">
        <f aca="false">((VST_Assets!$S$2*VST_Assets!$D$2*1000*G$4*G36+VST_Assets!$P$2*(1+VST_Assets!$Q$2)^(G$3-2026)*(G38+G39))/1000000+IF(G$3=VST_Assets!$AH$2,VST_Assets!$AG$2,0))*(1+VST_CapexAdj)</f>
        <v>155.1463452</v>
      </c>
      <c r="H52" s="8" t="n">
        <f aca="false">((VST_Assets!$S$2*VST_Assets!$D$2*1000*H$4*H36+VST_Assets!$P$2*(1+VST_Assets!$Q$2)^(H$3-2026)*(H38+H39))/1000000+IF(H$3=VST_Assets!$AH$2,VST_Assets!$AG$2,0))*(1+VST_CapexAdj)</f>
        <v>159.02500383</v>
      </c>
      <c r="I52" s="8" t="n">
        <f aca="false">((VST_Assets!$S$2*VST_Assets!$D$2*1000*I$4*I36+VST_Assets!$P$2*(1+VST_Assets!$Q$2)^(I$3-2026)*(I38+I39))/1000000+IF(I$3=VST_Assets!$AH$2,VST_Assets!$AG$2,0))*(1+VST_CapexAdj)</f>
        <v>163.00062892575</v>
      </c>
      <c r="J52" s="8" t="n">
        <f aca="false">((VST_Assets!$S$2*VST_Assets!$D$2*1000*J$4*J36+VST_Assets!$P$2*(1+VST_Assets!$Q$2)^(J$3-2026)*(J38+J39))/1000000+IF(J$3=VST_Assets!$AH$2,VST_Assets!$AG$2,0))*(1+VST_CapexAdj)</f>
        <v>167.075644648894</v>
      </c>
      <c r="K52" s="8" t="n">
        <f aca="false">((VST_Assets!$S$2*VST_Assets!$D$2*1000*K$4*K36+VST_Assets!$P$2*(1+VST_Assets!$Q$2)^(K$3-2026)*(K38+K39))/1000000+IF(K$3=VST_Assets!$AH$2,VST_Assets!$AG$2,0))*(1+VST_CapexAdj)</f>
        <v>171.252535765116</v>
      </c>
      <c r="L52" s="8" t="n">
        <f aca="false">((VST_Assets!$S$2*VST_Assets!$D$2*1000*L$4*L36+VST_Assets!$P$2*(1+VST_Assets!$Q$2)^(L$3-2026)*(L38+L39))/1000000+IF(L$3=VST_Assets!$AH$2,VST_Assets!$AG$2,0))*(1+VST_CapexAdj)</f>
        <v>175.533849159244</v>
      </c>
      <c r="M52" s="8" t="n">
        <f aca="false">((VST_Assets!$S$2*VST_Assets!$D$2*1000*M$4*M36+VST_Assets!$P$2*(1+VST_Assets!$Q$2)^(M$3-2026)*(M38+M39))/1000000+IF(M$3=VST_Assets!$AH$2,VST_Assets!$AG$2,0))*(1+VST_CapexAdj)</f>
        <v>179.922195388225</v>
      </c>
      <c r="N52" s="8" t="n">
        <f aca="false">((VST_Assets!$S$2*VST_Assets!$D$2*1000*N$4*N36+VST_Assets!$P$2*(1+VST_Assets!$Q$2)^(N$3-2026)*(N38+N39))/1000000+IF(N$3=VST_Assets!$AH$2,VST_Assets!$AG$2,0))*(1+VST_CapexAdj)</f>
        <v>184.420250272931</v>
      </c>
      <c r="O52" s="8" t="n">
        <f aca="false">((VST_Assets!$S$2*VST_Assets!$D$2*1000*O$4*O36+VST_Assets!$P$2*(1+VST_Assets!$Q$2)^(O$3-2026)*(O38+O39))/1000000+IF(O$3=VST_Assets!$AH$2,VST_Assets!$AG$2,0))*(1+VST_CapexAdj)</f>
        <v>189.030756529754</v>
      </c>
      <c r="P52" s="8" t="n">
        <f aca="false">((VST_Assets!$S$2*VST_Assets!$D$2*1000*P$4*P36+VST_Assets!$P$2*(1+VST_Assets!$Q$2)^(P$3-2026)*(P38+P39))/1000000+IF(P$3=VST_Assets!$AH$2,VST_Assets!$AG$2,0))*(1+VST_CapexAdj)</f>
        <v>193.756525442998</v>
      </c>
      <c r="Q52" s="8" t="n">
        <f aca="false">((VST_Assets!$S$2*VST_Assets!$D$2*1000*Q$4*Q36+VST_Assets!$P$2*(1+VST_Assets!$Q$2)^(Q$3-2026)*(Q38+Q39))/1000000+IF(Q$3=VST_Assets!$AH$2,VST_Assets!$AG$2,0))*(1+VST_CapexAdj)</f>
        <v>198.600438579073</v>
      </c>
      <c r="R52" s="8" t="n">
        <f aca="false">((VST_Assets!$S$2*VST_Assets!$D$2*1000*R$4*R36+VST_Assets!$P$2*(1+VST_Assets!$Q$2)^(R$3-2026)*(R38+R39))/1000000+IF(R$3=VST_Assets!$AH$2,VST_Assets!$AG$2,0))*(1+VST_CapexAdj)</f>
        <v>203.565449543549</v>
      </c>
      <c r="S52" s="8" t="n">
        <f aca="false">((VST_Assets!$S$2*VST_Assets!$D$2*1000*S$4*S36+VST_Assets!$P$2*(1+VST_Assets!$Q$2)^(S$3-2026)*(S38+S39))/1000000+IF(S$3=VST_Assets!$AH$2,VST_Assets!$AG$2,0))*(1+VST_CapexAdj)</f>
        <v>208.654585782138</v>
      </c>
      <c r="T52" s="8" t="n">
        <f aca="false">((VST_Assets!$S$2*VST_Assets!$D$2*1000*T$4*T36+VST_Assets!$P$2*(1+VST_Assets!$Q$2)^(T$3-2026)*(T38+T39))/1000000+IF(T$3=VST_Assets!$AH$2,VST_Assets!$AG$2,0))*(1+VST_CapexAdj)</f>
        <v>213.870950426692</v>
      </c>
      <c r="U52" s="8" t="n">
        <f aca="false">((VST_Assets!$S$2*VST_Assets!$D$2*1000*U$4*U36+VST_Assets!$P$2*(1+VST_Assets!$Q$2)^(U$3-2026)*(U38+U39))/1000000+IF(U$3=VST_Assets!$AH$2,VST_Assets!$AG$2,0))*(1+VST_CapexAdj)</f>
        <v>219.217724187359</v>
      </c>
      <c r="V52" s="8" t="n">
        <f aca="false">((VST_Assets!$S$2*VST_Assets!$D$2*1000*V$4*V36+VST_Assets!$P$2*(1+VST_Assets!$Q$2)^(V$3-2026)*(V38+V39))/1000000+IF(V$3=VST_Assets!$AH$2,VST_Assets!$AG$2,0))*(1+VST_CapexAdj)</f>
        <v>224.698167292043</v>
      </c>
      <c r="W52" s="8" t="n">
        <f aca="false">((VST_Assets!$S$2*VST_Assets!$D$2*1000*W$4*W36+VST_Assets!$P$2*(1+VST_Assets!$Q$2)^(W$3-2026)*(W38+W39))/1000000+IF(W$3=VST_Assets!$AH$2,VST_Assets!$AG$2,0))*(1+VST_CapexAdj)</f>
        <v>230.315621474344</v>
      </c>
      <c r="X52" s="8" t="n">
        <f aca="false">((VST_Assets!$S$2*VST_Assets!$D$2*1000*X$4*X36+VST_Assets!$P$2*(1+VST_Assets!$Q$2)^(X$3-2026)*(X38+X39))/1000000+IF(X$3=VST_Assets!$AH$2,VST_Assets!$AG$2,0))*(1+VST_CapexAdj)</f>
        <v>236.073512011202</v>
      </c>
      <c r="Y52" s="8" t="n">
        <f aca="false">((VST_Assets!$S$2*VST_Assets!$D$2*1000*Y$4*Y36+VST_Assets!$P$2*(1+VST_Assets!$Q$2)^(Y$3-2026)*(Y38+Y39))/1000000+IF(Y$3=VST_Assets!$AH$2,VST_Assets!$AG$2,0))*(1+VST_CapexAdj)</f>
        <v>241.975349811482</v>
      </c>
      <c r="Z52" s="8" t="n">
        <f aca="false">((VST_Assets!$S$2*VST_Assets!$D$2*1000*Z$4*Z36+VST_Assets!$P$2*(1+VST_Assets!$Q$2)^(Z$3-2026)*(Z38+Z39))/1000000+IF(Z$3=VST_Assets!$AH$2,VST_Assets!$AG$2,0))*(1+VST_CapexAdj)</f>
        <v>248.024733556769</v>
      </c>
      <c r="AA52" s="8" t="n">
        <f aca="false">((VST_Assets!$S$2*VST_Assets!$D$2*1000*AA$4*AA36+VST_Assets!$P$2*(1+VST_Assets!$Q$2)^(AA$3-2026)*(AA38+AA39))/1000000+IF(AA$3=VST_Assets!$AH$2,VST_Assets!$AG$2,0))*(1+VST_CapexAdj)</f>
        <v>254.225351895689</v>
      </c>
      <c r="AB52" s="8" t="n">
        <f aca="false">((VST_Assets!$S$2*VST_Assets!$D$2*1000*AB$4*AB36+VST_Assets!$P$2*(1+VST_Assets!$Q$2)^(AB$3-2026)*(AB38+AB39))/1000000+IF(AB$3=VST_Assets!$AH$2,VST_Assets!$AG$2,0))*(1+VST_CapexAdj)</f>
        <v>260.580985693081</v>
      </c>
      <c r="AC52" s="8" t="n">
        <f aca="false">((VST_Assets!$S$2*VST_Assets!$D$2*1000*AC$4*AC36+VST_Assets!$P$2*(1+VST_Assets!$Q$2)^(AC$3-2026)*(AC38+AC39))/1000000+IF(AC$3=VST_Assets!$AH$2,VST_Assets!$AG$2,0))*(1+VST_CapexAdj)</f>
        <v>267.095510335408</v>
      </c>
      <c r="AD52" s="8" t="n">
        <f aca="false">((VST_Assets!$S$2*VST_Assets!$D$2*1000*AD$4*AD36+VST_Assets!$P$2*(1+VST_Assets!$Q$2)^(AD$3-2026)*(AD38+AD39))/1000000+IF(AD$3=VST_Assets!$AH$2,VST_Assets!$AG$2,0))*(1+VST_CapexAdj)</f>
        <v>273.772898093793</v>
      </c>
      <c r="AE52" s="8" t="n">
        <f aca="false">((VST_Assets!$S$2*VST_Assets!$D$2*1000*AE$4*AE36+VST_Assets!$P$2*(1+VST_Assets!$Q$2)^(AE$3-2026)*(AE38+AE39))/1000000+IF(AE$3=VST_Assets!$AH$2,VST_Assets!$AG$2,0))*(1+VST_CapexAdj)</f>
        <v>280.617220546138</v>
      </c>
      <c r="AF52" s="8" t="n">
        <f aca="false">((VST_Assets!$S$2*VST_Assets!$D$2*1000*AF$4*AF36+VST_Assets!$P$2*(1+VST_Assets!$Q$2)^(AF$3-2026)*(AF38+AF39))/1000000+IF(AF$3=VST_Assets!$AH$2,VST_Assets!$AG$2,0))*(1+VST_CapexAdj)</f>
        <v>287.632651059791</v>
      </c>
      <c r="AG52" s="8" t="n">
        <f aca="false">((VST_Assets!$S$2*VST_Assets!$D$2*1000*AG$4*AG36+VST_Assets!$P$2*(1+VST_Assets!$Q$2)^(AG$3-2026)*(AG38+AG39))/1000000+IF(AG$3=VST_Assets!$AH$2,VST_Assets!$AG$2,0))*(1+VST_CapexAdj)</f>
        <v>294.823467336286</v>
      </c>
      <c r="AH52" s="8" t="n">
        <f aca="false">((VST_Assets!$S$2*VST_Assets!$D$2*1000*AH$4*AH36+VST_Assets!$P$2*(1+VST_Assets!$Q$2)^(AH$3-2026)*(AH38+AH39))/1000000+IF(AH$3=VST_Assets!$AH$2,VST_Assets!$AG$2,0))*(1+VST_CapexAdj)</f>
        <v>0</v>
      </c>
      <c r="AI52" s="8" t="n">
        <f aca="false">((VST_Assets!$S$2*VST_Assets!$D$2*1000*AI$4*AI36+VST_Assets!$P$2*(1+VST_Assets!$Q$2)^(AI$3-2026)*(AI38+AI39))/1000000+IF(AI$3=VST_Assets!$AH$2,VST_Assets!$AG$2,0))*(1+VST_CapexAdj)</f>
        <v>0</v>
      </c>
      <c r="AJ52" s="8" t="n">
        <f aca="false">((VST_Assets!$S$2*VST_Assets!$D$2*1000*AJ$4*AJ36+VST_Assets!$P$2*(1+VST_Assets!$Q$2)^(AJ$3-2026)*(AJ38+AJ39))/1000000+IF(AJ$3=VST_Assets!$AH$2,VST_Assets!$AG$2,0))*(1+VST_CapexAdj)</f>
        <v>0</v>
      </c>
      <c r="AK52" s="8" t="n">
        <f aca="false">((VST_Assets!$S$2*VST_Assets!$D$2*1000*AK$4*AK36+VST_Assets!$P$2*(1+VST_Assets!$Q$2)^(AK$3-2026)*(AK38+AK39))/1000000+IF(AK$3=VST_Assets!$AH$2,VST_Assets!$AG$2,0))*(1+VST_CapexAdj)</f>
        <v>0</v>
      </c>
      <c r="AL52" s="8" t="n">
        <f aca="false">((VST_Assets!$S$2*VST_Assets!$D$2*1000*AL$4*AL36+VST_Assets!$P$2*(1+VST_Assets!$Q$2)^(AL$3-2026)*(AL38+AL39))/1000000+IF(AL$3=VST_Assets!$AH$2,VST_Assets!$AG$2,0))*(1+VST_CapexAdj)</f>
        <v>0</v>
      </c>
      <c r="AM52" s="8" t="n">
        <f aca="false">((VST_Assets!$S$2*VST_Assets!$D$2*1000*AM$4*AM36+VST_Assets!$P$2*(1+VST_Assets!$Q$2)^(AM$3-2026)*(AM38+AM39))/1000000+IF(AM$3=VST_Assets!$AH$2,VST_Assets!$AG$2,0))*(1+VST_CapexAdj)</f>
        <v>0</v>
      </c>
      <c r="AN52" s="8" t="n">
        <f aca="false">((VST_Assets!$S$2*VST_Assets!$D$2*1000*AN$4*AN36+VST_Assets!$P$2*(1+VST_Assets!$Q$2)^(AN$3-2026)*(AN38+AN39))/1000000+IF(AN$3=VST_Assets!$AH$2,VST_Assets!$AG$2,0))*(1+VST_CapexAdj)</f>
        <v>0</v>
      </c>
      <c r="AO52" s="8" t="n">
        <f aca="false">((VST_Assets!$S$2*VST_Assets!$D$2*1000*AO$4*AO36+VST_Assets!$P$2*(1+VST_Assets!$Q$2)^(AO$3-2026)*(AO38+AO39))/1000000+IF(AO$3=VST_Assets!$AH$2,VST_Assets!$AG$2,0))*(1+VST_CapexAdj)</f>
        <v>0</v>
      </c>
      <c r="AP52" s="8" t="n">
        <f aca="false">((VST_Assets!$S$2*VST_Assets!$D$2*1000*AP$4*AP36+VST_Assets!$P$2*(1+VST_Assets!$Q$2)^(AP$3-2026)*(AP38+AP39))/1000000+IF(AP$3=VST_Assets!$AH$2,VST_Assets!$AG$2,0))*(1+VST_CapexAdj)</f>
        <v>0</v>
      </c>
      <c r="AQ52" s="8" t="n">
        <f aca="false">((VST_Assets!$S$2*VST_Assets!$D$2*1000*AQ$4*AQ36+VST_Assets!$P$2*(1+VST_Assets!$Q$2)^(AQ$3-2026)*(AQ38+AQ39))/1000000+IF(AQ$3=VST_Assets!$AH$2,VST_Assets!$AG$2,0))*(1+VST_CapexAdj)</f>
        <v>0</v>
      </c>
      <c r="AR52" s="8" t="n">
        <f aca="false">((VST_Assets!$S$2*VST_Assets!$D$2*1000*AR$4*AR36+VST_Assets!$P$2*(1+VST_Assets!$Q$2)^(AR$3-2026)*(AR38+AR39))/1000000+IF(AR$3=VST_Assets!$AH$2,VST_Assets!$AG$2,0))*(1+VST_CapexAdj)</f>
        <v>0</v>
      </c>
      <c r="AS52" s="8" t="n">
        <f aca="false">((VST_Assets!$S$2*VST_Assets!$D$2*1000*AS$4*AS36+VST_Assets!$P$2*(1+VST_Assets!$Q$2)^(AS$3-2026)*(AS38+AS39))/1000000+IF(AS$3=VST_Assets!$AH$2,VST_Assets!$AG$2,0))*(1+VST_CapexAdj)</f>
        <v>0</v>
      </c>
    </row>
    <row r="53" customFormat="false" ht="15" hidden="false" customHeight="false" outlineLevel="0" collapsed="false">
      <c r="A53" s="6" t="s">
        <v>459</v>
      </c>
      <c r="B53" s="6" t="s">
        <v>460</v>
      </c>
      <c r="C53" s="9" t="n">
        <f aca="false">SUM(G53:AS53)</f>
        <v>9844.94405577689</v>
      </c>
      <c r="G53" s="8" t="n">
        <f aca="false">IF(VST_Assets!$Y$2=1,MAX(0,G51-G52),G51-G52)</f>
        <v>199.768734</v>
      </c>
      <c r="H53" s="8" t="n">
        <f aca="false">IF(VST_Assets!$Y$2=1,MAX(0,H51-H52),H51-H52)</f>
        <v>281.25496575</v>
      </c>
      <c r="I53" s="8" t="n">
        <f aca="false">IF(VST_Assets!$Y$2=1,MAX(0,I51-I52),I51-I52)</f>
        <v>348.202019495793</v>
      </c>
      <c r="J53" s="8" t="n">
        <f aca="false">IF(VST_Assets!$Y$2=1,MAX(0,J51-J52),J51-J52)</f>
        <v>409.690586321541</v>
      </c>
      <c r="K53" s="8" t="n">
        <f aca="false">IF(VST_Assets!$Y$2=1,MAX(0,K51-K52),K51-K52)</f>
        <v>458.66267642233</v>
      </c>
      <c r="L53" s="8" t="n">
        <f aca="false">IF(VST_Assets!$Y$2=1,MAX(0,L51-L52),L51-L52)</f>
        <v>503.308847421216</v>
      </c>
      <c r="M53" s="8" t="n">
        <f aca="false">IF(VST_Assets!$Y$2=1,MAX(0,M51-M52),M51-M52)</f>
        <v>493.602675197463</v>
      </c>
      <c r="N53" s="8" t="n">
        <f aca="false">IF(VST_Assets!$Y$2=1,MAX(0,N51-N52),N51-N52)</f>
        <v>483.601219599931</v>
      </c>
      <c r="O53" s="8" t="n">
        <f aca="false">IF(VST_Assets!$Y$2=1,MAX(0,O51-O52),O51-O52)</f>
        <v>473.296045962911</v>
      </c>
      <c r="P53" s="8" t="n">
        <f aca="false">IF(VST_Assets!$Y$2=1,MAX(0,P51-P52),P51-P52)</f>
        <v>462.678487702425</v>
      </c>
      <c r="Q53" s="8" t="n">
        <f aca="false">IF(VST_Assets!$Y$2=1,MAX(0,Q51-Q52),Q51-Q52)</f>
        <v>451.739640097236</v>
      </c>
      <c r="R53" s="8" t="n">
        <f aca="false">IF(VST_Assets!$Y$2=1,MAX(0,R51-R52),R51-R52)</f>
        <v>440.470353905961</v>
      </c>
      <c r="S53" s="8" t="n">
        <f aca="false">IF(VST_Assets!$Y$2=1,MAX(0,S51-S52),S51-S52)</f>
        <v>428.861228816032</v>
      </c>
      <c r="T53" s="8" t="n">
        <f aca="false">IF(VST_Assets!$Y$2=1,MAX(0,T51-T52),T51-T52)</f>
        <v>416.902606720102</v>
      </c>
      <c r="U53" s="8" t="n">
        <f aca="false">IF(VST_Assets!$Y$2=1,MAX(0,U51-U52),U51-U52)</f>
        <v>404.584564815447</v>
      </c>
      <c r="V53" s="8" t="n">
        <f aca="false">IF(VST_Assets!$Y$2=1,MAX(0,V51-V52),V51-V52)</f>
        <v>391.896908521723</v>
      </c>
      <c r="W53" s="8" t="n">
        <f aca="false">IF(VST_Assets!$Y$2=1,MAX(0,W51-W52),W51-W52)</f>
        <v>378.829164212373</v>
      </c>
      <c r="X53" s="8" t="n">
        <f aca="false">IF(VST_Assets!$Y$2=1,MAX(0,X51-X52),X51-X52)</f>
        <v>365.370571754842</v>
      </c>
      <c r="Y53" s="8" t="n">
        <f aca="false">IF(VST_Assets!$Y$2=1,MAX(0,Y51-Y52),Y51-Y52)</f>
        <v>351.510076854616</v>
      </c>
      <c r="Z53" s="8" t="n">
        <f aca="false">IF(VST_Assets!$Y$2=1,MAX(0,Z51-Z52),Z51-Z52)</f>
        <v>337.236323198002</v>
      </c>
      <c r="AA53" s="8" t="n">
        <f aca="false">IF(VST_Assets!$Y$2=1,MAX(0,AA51-AA52),AA51-AA52)</f>
        <v>322.537644388413</v>
      </c>
      <c r="AB53" s="8" t="n">
        <f aca="false">IF(VST_Assets!$Y$2=1,MAX(0,AB51-AB52),AB51-AB52)</f>
        <v>243.588780446052</v>
      </c>
      <c r="AC53" s="8" t="n">
        <f aca="false">IF(VST_Assets!$Y$2=1,MAX(0,AC51-AC52),AC51-AC52)</f>
        <v>242.453656709451</v>
      </c>
      <c r="AD53" s="8" t="n">
        <f aca="false">IF(VST_Assets!$Y$2=1,MAX(0,AD51-AD52),AD51-AD52)</f>
        <v>241.14565801448</v>
      </c>
      <c r="AE53" s="8" t="n">
        <f aca="false">IF(VST_Assets!$Y$2=1,MAX(0,AE51-AE52),AE51-AE52)</f>
        <v>239.65757254988</v>
      </c>
      <c r="AF53" s="8" t="n">
        <f aca="false">IF(VST_Assets!$Y$2=1,MAX(0,AF51-AF52),AF51-AF52)</f>
        <v>237.981950410366</v>
      </c>
      <c r="AG53" s="8" t="n">
        <f aca="false">IF(VST_Assets!$Y$2=1,MAX(0,AG51-AG52),AG51-AG52)</f>
        <v>236.111096488299</v>
      </c>
      <c r="AH53" s="8" t="n">
        <f aca="false">IF(VST_Assets!$Y$2=1,MAX(0,AH51-AH52),AH51-AH52)</f>
        <v>0</v>
      </c>
      <c r="AI53" s="8" t="n">
        <f aca="false">IF(VST_Assets!$Y$2=1,MAX(0,AI51-AI52),AI51-AI52)</f>
        <v>0</v>
      </c>
      <c r="AJ53" s="8" t="n">
        <f aca="false">IF(VST_Assets!$Y$2=1,MAX(0,AJ51-AJ52),AJ51-AJ52)</f>
        <v>0</v>
      </c>
      <c r="AK53" s="8" t="n">
        <f aca="false">IF(VST_Assets!$Y$2=1,MAX(0,AK51-AK52),AK51-AK52)</f>
        <v>0</v>
      </c>
      <c r="AL53" s="8" t="n">
        <f aca="false">IF(VST_Assets!$Y$2=1,MAX(0,AL51-AL52),AL51-AL52)</f>
        <v>0</v>
      </c>
      <c r="AM53" s="8" t="n">
        <f aca="false">IF(VST_Assets!$Y$2=1,MAX(0,AM51-AM52),AM51-AM52)</f>
        <v>0</v>
      </c>
      <c r="AN53" s="8" t="n">
        <f aca="false">IF(VST_Assets!$Y$2=1,MAX(0,AN51-AN52),AN51-AN52)</f>
        <v>0</v>
      </c>
      <c r="AO53" s="8" t="n">
        <f aca="false">IF(VST_Assets!$Y$2=1,MAX(0,AO51-AO52),AO51-AO52)</f>
        <v>0</v>
      </c>
      <c r="AP53" s="8" t="n">
        <f aca="false">IF(VST_Assets!$Y$2=1,MAX(0,AP51-AP52),AP51-AP52)</f>
        <v>0</v>
      </c>
      <c r="AQ53" s="8" t="n">
        <f aca="false">IF(VST_Assets!$Y$2=1,MAX(0,AQ51-AQ52),AQ51-AQ52)</f>
        <v>0</v>
      </c>
      <c r="AR53" s="8" t="n">
        <f aca="false">IF(VST_Assets!$Y$2=1,MAX(0,AR51-AR52),AR51-AR52)</f>
        <v>0</v>
      </c>
      <c r="AS53" s="8" t="n">
        <f aca="false">IF(VST_Assets!$Y$2=1,MAX(0,AS51-AS52),AS51-AS52)</f>
        <v>0</v>
      </c>
    </row>
    <row r="54" customFormat="false" ht="15" hidden="false" customHeight="false" outlineLevel="0" collapsed="false">
      <c r="A54" s="6" t="s">
        <v>461</v>
      </c>
      <c r="B54" s="6" t="s">
        <v>462</v>
      </c>
      <c r="C54" s="9" t="n">
        <f aca="false">SUM(G54:AS54)</f>
        <v>0</v>
      </c>
      <c r="G54" s="8" t="n">
        <f aca="false">IF(AND(VST_Assets!$W$2=1,G$3&lt;=PTCLast,G38&gt;0),G38*MAX(0,PTCCredit*(1+Infl)^(G$3-PTCBase)-0.8*MAX(0,(G43+G44+G46)*1000000/MAX(1,G38)-PTCThresh*(1+Infl)^(G$3-PTCBase)))/1000000,0)</f>
        <v>0</v>
      </c>
      <c r="H54" s="8" t="n">
        <f aca="false">IF(AND(VST_Assets!$W$2=1,H$3&lt;=PTCLast,H38&gt;0),H38*MAX(0,PTCCredit*(1+Infl)^(H$3-PTCBase)-0.8*MAX(0,(H43+H44+H46)*1000000/MAX(1,H38)-PTCThresh*(1+Infl)^(H$3-PTCBase)))/1000000,0)</f>
        <v>0</v>
      </c>
      <c r="I54" s="8" t="n">
        <f aca="false">IF(AND(VST_Assets!$W$2=1,I$3&lt;=PTCLast,I38&gt;0),I38*MAX(0,PTCCredit*(1+Infl)^(I$3-PTCBase)-0.8*MAX(0,(I43+I44+I46)*1000000/MAX(1,I38)-PTCThresh*(1+Infl)^(I$3-PTCBase)))/1000000,0)</f>
        <v>0</v>
      </c>
      <c r="J54" s="8" t="n">
        <f aca="false">IF(AND(VST_Assets!$W$2=1,J$3&lt;=PTCLast,J38&gt;0),J38*MAX(0,PTCCredit*(1+Infl)^(J$3-PTCBase)-0.8*MAX(0,(J43+J44+J46)*1000000/MAX(1,J38)-PTCThresh*(1+Infl)^(J$3-PTCBase)))/1000000,0)</f>
        <v>0</v>
      </c>
      <c r="K54" s="8" t="n">
        <f aca="false">IF(AND(VST_Assets!$W$2=1,K$3&lt;=PTCLast,K38&gt;0),K38*MAX(0,PTCCredit*(1+Infl)^(K$3-PTCBase)-0.8*MAX(0,(K43+K44+K46)*1000000/MAX(1,K38)-PTCThresh*(1+Infl)^(K$3-PTCBase)))/1000000,0)</f>
        <v>0</v>
      </c>
      <c r="L54" s="8" t="n">
        <f aca="false">IF(AND(VST_Assets!$W$2=1,L$3&lt;=PTCLast,L38&gt;0),L38*MAX(0,PTCCredit*(1+Infl)^(L$3-PTCBase)-0.8*MAX(0,(L43+L44+L46)*1000000/MAX(1,L38)-PTCThresh*(1+Infl)^(L$3-PTCBase)))/1000000,0)</f>
        <v>0</v>
      </c>
      <c r="M54" s="8" t="n">
        <f aca="false">IF(AND(VST_Assets!$W$2=1,M$3&lt;=PTCLast,M38&gt;0),M38*MAX(0,PTCCredit*(1+Infl)^(M$3-PTCBase)-0.8*MAX(0,(M43+M44+M46)*1000000/MAX(1,M38)-PTCThresh*(1+Infl)^(M$3-PTCBase)))/1000000,0)</f>
        <v>0</v>
      </c>
      <c r="N54" s="8" t="n">
        <f aca="false">IF(AND(VST_Assets!$W$2=1,N$3&lt;=PTCLast,N38&gt;0),N38*MAX(0,PTCCredit*(1+Infl)^(N$3-PTCBase)-0.8*MAX(0,(N43+N44+N46)*1000000/MAX(1,N38)-PTCThresh*(1+Infl)^(N$3-PTCBase)))/1000000,0)</f>
        <v>0</v>
      </c>
      <c r="O54" s="8" t="n">
        <f aca="false">IF(AND(VST_Assets!$W$2=1,O$3&lt;=PTCLast,O38&gt;0),O38*MAX(0,PTCCredit*(1+Infl)^(O$3-PTCBase)-0.8*MAX(0,(O43+O44+O46)*1000000/MAX(1,O38)-PTCThresh*(1+Infl)^(O$3-PTCBase)))/1000000,0)</f>
        <v>0</v>
      </c>
      <c r="P54" s="8" t="n">
        <f aca="false">IF(AND(VST_Assets!$W$2=1,P$3&lt;=PTCLast,P38&gt;0),P38*MAX(0,PTCCredit*(1+Infl)^(P$3-PTCBase)-0.8*MAX(0,(P43+P44+P46)*1000000/MAX(1,P38)-PTCThresh*(1+Infl)^(P$3-PTCBase)))/1000000,0)</f>
        <v>0</v>
      </c>
      <c r="Q54" s="8" t="n">
        <f aca="false">IF(AND(VST_Assets!$W$2=1,Q$3&lt;=PTCLast,Q38&gt;0),Q38*MAX(0,PTCCredit*(1+Infl)^(Q$3-PTCBase)-0.8*MAX(0,(Q43+Q44+Q46)*1000000/MAX(1,Q38)-PTCThresh*(1+Infl)^(Q$3-PTCBase)))/1000000,0)</f>
        <v>0</v>
      </c>
      <c r="R54" s="8" t="n">
        <f aca="false">IF(AND(VST_Assets!$W$2=1,R$3&lt;=PTCLast,R38&gt;0),R38*MAX(0,PTCCredit*(1+Infl)^(R$3-PTCBase)-0.8*MAX(0,(R43+R44+R46)*1000000/MAX(1,R38)-PTCThresh*(1+Infl)^(R$3-PTCBase)))/1000000,0)</f>
        <v>0</v>
      </c>
      <c r="S54" s="8" t="n">
        <f aca="false">IF(AND(VST_Assets!$W$2=1,S$3&lt;=PTCLast,S38&gt;0),S38*MAX(0,PTCCredit*(1+Infl)^(S$3-PTCBase)-0.8*MAX(0,(S43+S44+S46)*1000000/MAX(1,S38)-PTCThresh*(1+Infl)^(S$3-PTCBase)))/1000000,0)</f>
        <v>0</v>
      </c>
      <c r="T54" s="8" t="n">
        <f aca="false">IF(AND(VST_Assets!$W$2=1,T$3&lt;=PTCLast,T38&gt;0),T38*MAX(0,PTCCredit*(1+Infl)^(T$3-PTCBase)-0.8*MAX(0,(T43+T44+T46)*1000000/MAX(1,T38)-PTCThresh*(1+Infl)^(T$3-PTCBase)))/1000000,0)</f>
        <v>0</v>
      </c>
      <c r="U54" s="8" t="n">
        <f aca="false">IF(AND(VST_Assets!$W$2=1,U$3&lt;=PTCLast,U38&gt;0),U38*MAX(0,PTCCredit*(1+Infl)^(U$3-PTCBase)-0.8*MAX(0,(U43+U44+U46)*1000000/MAX(1,U38)-PTCThresh*(1+Infl)^(U$3-PTCBase)))/1000000,0)</f>
        <v>0</v>
      </c>
      <c r="V54" s="8" t="n">
        <f aca="false">IF(AND(VST_Assets!$W$2=1,V$3&lt;=PTCLast,V38&gt;0),V38*MAX(0,PTCCredit*(1+Infl)^(V$3-PTCBase)-0.8*MAX(0,(V43+V44+V46)*1000000/MAX(1,V38)-PTCThresh*(1+Infl)^(V$3-PTCBase)))/1000000,0)</f>
        <v>0</v>
      </c>
      <c r="W54" s="8" t="n">
        <f aca="false">IF(AND(VST_Assets!$W$2=1,W$3&lt;=PTCLast,W38&gt;0),W38*MAX(0,PTCCredit*(1+Infl)^(W$3-PTCBase)-0.8*MAX(0,(W43+W44+W46)*1000000/MAX(1,W38)-PTCThresh*(1+Infl)^(W$3-PTCBase)))/1000000,0)</f>
        <v>0</v>
      </c>
      <c r="X54" s="8" t="n">
        <f aca="false">IF(AND(VST_Assets!$W$2=1,X$3&lt;=PTCLast,X38&gt;0),X38*MAX(0,PTCCredit*(1+Infl)^(X$3-PTCBase)-0.8*MAX(0,(X43+X44+X46)*1000000/MAX(1,X38)-PTCThresh*(1+Infl)^(X$3-PTCBase)))/1000000,0)</f>
        <v>0</v>
      </c>
      <c r="Y54" s="8" t="n">
        <f aca="false">IF(AND(VST_Assets!$W$2=1,Y$3&lt;=PTCLast,Y38&gt;0),Y38*MAX(0,PTCCredit*(1+Infl)^(Y$3-PTCBase)-0.8*MAX(0,(Y43+Y44+Y46)*1000000/MAX(1,Y38)-PTCThresh*(1+Infl)^(Y$3-PTCBase)))/1000000,0)</f>
        <v>0</v>
      </c>
      <c r="Z54" s="8" t="n">
        <f aca="false">IF(AND(VST_Assets!$W$2=1,Z$3&lt;=PTCLast,Z38&gt;0),Z38*MAX(0,PTCCredit*(1+Infl)^(Z$3-PTCBase)-0.8*MAX(0,(Z43+Z44+Z46)*1000000/MAX(1,Z38)-PTCThresh*(1+Infl)^(Z$3-PTCBase)))/1000000,0)</f>
        <v>0</v>
      </c>
      <c r="AA54" s="8" t="n">
        <f aca="false">IF(AND(VST_Assets!$W$2=1,AA$3&lt;=PTCLast,AA38&gt;0),AA38*MAX(0,PTCCredit*(1+Infl)^(AA$3-PTCBase)-0.8*MAX(0,(AA43+AA44+AA46)*1000000/MAX(1,AA38)-PTCThresh*(1+Infl)^(AA$3-PTCBase)))/1000000,0)</f>
        <v>0</v>
      </c>
      <c r="AB54" s="8" t="n">
        <f aca="false">IF(AND(VST_Assets!$W$2=1,AB$3&lt;=PTCLast,AB38&gt;0),AB38*MAX(0,PTCCredit*(1+Infl)^(AB$3-PTCBase)-0.8*MAX(0,(AB43+AB44+AB46)*1000000/MAX(1,AB38)-PTCThresh*(1+Infl)^(AB$3-PTCBase)))/1000000,0)</f>
        <v>0</v>
      </c>
      <c r="AC54" s="8" t="n">
        <f aca="false">IF(AND(VST_Assets!$W$2=1,AC$3&lt;=PTCLast,AC38&gt;0),AC38*MAX(0,PTCCredit*(1+Infl)^(AC$3-PTCBase)-0.8*MAX(0,(AC43+AC44+AC46)*1000000/MAX(1,AC38)-PTCThresh*(1+Infl)^(AC$3-PTCBase)))/1000000,0)</f>
        <v>0</v>
      </c>
      <c r="AD54" s="8" t="n">
        <f aca="false">IF(AND(VST_Assets!$W$2=1,AD$3&lt;=PTCLast,AD38&gt;0),AD38*MAX(0,PTCCredit*(1+Infl)^(AD$3-PTCBase)-0.8*MAX(0,(AD43+AD44+AD46)*1000000/MAX(1,AD38)-PTCThresh*(1+Infl)^(AD$3-PTCBase)))/1000000,0)</f>
        <v>0</v>
      </c>
      <c r="AE54" s="8" t="n">
        <f aca="false">IF(AND(VST_Assets!$W$2=1,AE$3&lt;=PTCLast,AE38&gt;0),AE38*MAX(0,PTCCredit*(1+Infl)^(AE$3-PTCBase)-0.8*MAX(0,(AE43+AE44+AE46)*1000000/MAX(1,AE38)-PTCThresh*(1+Infl)^(AE$3-PTCBase)))/1000000,0)</f>
        <v>0</v>
      </c>
      <c r="AF54" s="8" t="n">
        <f aca="false">IF(AND(VST_Assets!$W$2=1,AF$3&lt;=PTCLast,AF38&gt;0),AF38*MAX(0,PTCCredit*(1+Infl)^(AF$3-PTCBase)-0.8*MAX(0,(AF43+AF44+AF46)*1000000/MAX(1,AF38)-PTCThresh*(1+Infl)^(AF$3-PTCBase)))/1000000,0)</f>
        <v>0</v>
      </c>
      <c r="AG54" s="8" t="n">
        <f aca="false">IF(AND(VST_Assets!$W$2=1,AG$3&lt;=PTCLast,AG38&gt;0),AG38*MAX(0,PTCCredit*(1+Infl)^(AG$3-PTCBase)-0.8*MAX(0,(AG43+AG44+AG46)*1000000/MAX(1,AG38)-PTCThresh*(1+Infl)^(AG$3-PTCBase)))/1000000,0)</f>
        <v>0</v>
      </c>
      <c r="AH54" s="8" t="n">
        <f aca="false">IF(AND(VST_Assets!$W$2=1,AH$3&lt;=PTCLast,AH38&gt;0),AH38*MAX(0,PTCCredit*(1+Infl)^(AH$3-PTCBase)-0.8*MAX(0,(AH43+AH44+AH46)*1000000/MAX(1,AH38)-PTCThresh*(1+Infl)^(AH$3-PTCBase)))/1000000,0)</f>
        <v>0</v>
      </c>
      <c r="AI54" s="8" t="n">
        <f aca="false">IF(AND(VST_Assets!$W$2=1,AI$3&lt;=PTCLast,AI38&gt;0),AI38*MAX(0,PTCCredit*(1+Infl)^(AI$3-PTCBase)-0.8*MAX(0,(AI43+AI44+AI46)*1000000/MAX(1,AI38)-PTCThresh*(1+Infl)^(AI$3-PTCBase)))/1000000,0)</f>
        <v>0</v>
      </c>
      <c r="AJ54" s="8" t="n">
        <f aca="false">IF(AND(VST_Assets!$W$2=1,AJ$3&lt;=PTCLast,AJ38&gt;0),AJ38*MAX(0,PTCCredit*(1+Infl)^(AJ$3-PTCBase)-0.8*MAX(0,(AJ43+AJ44+AJ46)*1000000/MAX(1,AJ38)-PTCThresh*(1+Infl)^(AJ$3-PTCBase)))/1000000,0)</f>
        <v>0</v>
      </c>
      <c r="AK54" s="8" t="n">
        <f aca="false">IF(AND(VST_Assets!$W$2=1,AK$3&lt;=PTCLast,AK38&gt;0),AK38*MAX(0,PTCCredit*(1+Infl)^(AK$3-PTCBase)-0.8*MAX(0,(AK43+AK44+AK46)*1000000/MAX(1,AK38)-PTCThresh*(1+Infl)^(AK$3-PTCBase)))/1000000,0)</f>
        <v>0</v>
      </c>
      <c r="AL54" s="8" t="n">
        <f aca="false">IF(AND(VST_Assets!$W$2=1,AL$3&lt;=PTCLast,AL38&gt;0),AL38*MAX(0,PTCCredit*(1+Infl)^(AL$3-PTCBase)-0.8*MAX(0,(AL43+AL44+AL46)*1000000/MAX(1,AL38)-PTCThresh*(1+Infl)^(AL$3-PTCBase)))/1000000,0)</f>
        <v>0</v>
      </c>
      <c r="AM54" s="8" t="n">
        <f aca="false">IF(AND(VST_Assets!$W$2=1,AM$3&lt;=PTCLast,AM38&gt;0),AM38*MAX(0,PTCCredit*(1+Infl)^(AM$3-PTCBase)-0.8*MAX(0,(AM43+AM44+AM46)*1000000/MAX(1,AM38)-PTCThresh*(1+Infl)^(AM$3-PTCBase)))/1000000,0)</f>
        <v>0</v>
      </c>
      <c r="AN54" s="8" t="n">
        <f aca="false">IF(AND(VST_Assets!$W$2=1,AN$3&lt;=PTCLast,AN38&gt;0),AN38*MAX(0,PTCCredit*(1+Infl)^(AN$3-PTCBase)-0.8*MAX(0,(AN43+AN44+AN46)*1000000/MAX(1,AN38)-PTCThresh*(1+Infl)^(AN$3-PTCBase)))/1000000,0)</f>
        <v>0</v>
      </c>
      <c r="AO54" s="8" t="n">
        <f aca="false">IF(AND(VST_Assets!$W$2=1,AO$3&lt;=PTCLast,AO38&gt;0),AO38*MAX(0,PTCCredit*(1+Infl)^(AO$3-PTCBase)-0.8*MAX(0,(AO43+AO44+AO46)*1000000/MAX(1,AO38)-PTCThresh*(1+Infl)^(AO$3-PTCBase)))/1000000,0)</f>
        <v>0</v>
      </c>
      <c r="AP54" s="8" t="n">
        <f aca="false">IF(AND(VST_Assets!$W$2=1,AP$3&lt;=PTCLast,AP38&gt;0),AP38*MAX(0,PTCCredit*(1+Infl)^(AP$3-PTCBase)-0.8*MAX(0,(AP43+AP44+AP46)*1000000/MAX(1,AP38)-PTCThresh*(1+Infl)^(AP$3-PTCBase)))/1000000,0)</f>
        <v>0</v>
      </c>
      <c r="AQ54" s="8" t="n">
        <f aca="false">IF(AND(VST_Assets!$W$2=1,AQ$3&lt;=PTCLast,AQ38&gt;0),AQ38*MAX(0,PTCCredit*(1+Infl)^(AQ$3-PTCBase)-0.8*MAX(0,(AQ43+AQ44+AQ46)*1000000/MAX(1,AQ38)-PTCThresh*(1+Infl)^(AQ$3-PTCBase)))/1000000,0)</f>
        <v>0</v>
      </c>
      <c r="AR54" s="8" t="n">
        <f aca="false">IF(AND(VST_Assets!$W$2=1,AR$3&lt;=PTCLast,AR38&gt;0),AR38*MAX(0,PTCCredit*(1+Infl)^(AR$3-PTCBase)-0.8*MAX(0,(AR43+AR44+AR46)*1000000/MAX(1,AR38)-PTCThresh*(1+Infl)^(AR$3-PTCBase)))/1000000,0)</f>
        <v>0</v>
      </c>
      <c r="AS54" s="8" t="n">
        <f aca="false">IF(AND(VST_Assets!$W$2=1,AS$3&lt;=PTCLast,AS38&gt;0),AS38*MAX(0,PTCCredit*(1+Infl)^(AS$3-PTCBase)-0.8*MAX(0,(AS43+AS44+AS46)*1000000/MAX(1,AS38)-PTCThresh*(1+Infl)^(AS$3-PTCBase)))/1000000,0)</f>
        <v>0</v>
      </c>
    </row>
    <row r="55" customFormat="false" ht="15" hidden="false" customHeight="false" outlineLevel="0" collapsed="false">
      <c r="A55" s="6" t="s">
        <v>463</v>
      </c>
      <c r="B55" s="6" t="s">
        <v>464</v>
      </c>
      <c r="G55" s="8" t="n">
        <f aca="false">G45-G39*(VST_Assets!$N$2*(1+VST_FuelAdj)+VST_Assets!$O$2*(1+VST_OMAdj)+VST_Assets!$P$2*(1+VST_CapexAdj))*(1+VST_Assets!$Q$2)^(G$3-2026)/1000000</f>
        <v>0</v>
      </c>
      <c r="H55" s="8" t="n">
        <f aca="false">H45-H39*(VST_Assets!$N$2*(1+VST_FuelAdj)+VST_Assets!$O$2*(1+VST_OMAdj)+VST_Assets!$P$2*(1+VST_CapexAdj))*(1+VST_Assets!$Q$2)^(H$3-2026)/1000000</f>
        <v>83.942797455</v>
      </c>
      <c r="I55" s="8" t="n">
        <f aca="false">I45-I39*(VST_Assets!$N$2*(1+VST_FuelAdj)+VST_Assets!$O$2*(1+VST_OMAdj)+VST_Assets!$P$2*(1+VST_CapexAdj))*(1+VST_Assets!$Q$2)^(I$3-2026)/1000000</f>
        <v>164.21975878275</v>
      </c>
      <c r="J55" s="8" t="n">
        <f aca="false">J45-J39*(VST_Assets!$N$2*(1+VST_FuelAdj)+VST_Assets!$O$2*(1+VST_OMAdj)+VST_Assets!$P$2*(1+VST_CapexAdj))*(1+VST_Assets!$Q$2)^(J$3-2026)/1000000</f>
        <v>240.693415128478</v>
      </c>
      <c r="K55" s="8" t="n">
        <f aca="false">K45-K39*(VST_Assets!$N$2*(1+VST_FuelAdj)+VST_Assets!$O$2*(1+VST_OMAdj)+VST_Assets!$P$2*(1+VST_CapexAdj))*(1+VST_Assets!$Q$2)^(K$3-2026)/1000000</f>
        <v>313.221715342254</v>
      </c>
      <c r="L55" s="8" t="n">
        <f aca="false">L45-L39*(VST_Assets!$N$2*(1+VST_FuelAdj)+VST_Assets!$O$2*(1+VST_OMAdj)+VST_Assets!$P$2*(1+VST_CapexAdj))*(1+VST_Assets!$Q$2)^(L$3-2026)/1000000</f>
        <v>381.657882782262</v>
      </c>
      <c r="M55" s="8" t="n">
        <f aca="false">M45-M39*(VST_Assets!$N$2*(1+VST_FuelAdj)+VST_Assets!$O$2*(1+VST_OMAdj)+VST_Assets!$P$2*(1+VST_CapexAdj))*(1+VST_Assets!$Q$2)^(M$3-2026)/1000000</f>
        <v>371.541889851819</v>
      </c>
      <c r="N55" s="8" t="n">
        <f aca="false">N45-N39*(VST_Assets!$N$2*(1+VST_FuelAdj)+VST_Assets!$O$2*(1+VST_OMAdj)+VST_Assets!$P$2*(1+VST_CapexAdj))*(1+VST_Assets!$Q$2)^(N$3-2026)/1000000</f>
        <v>361.172997098115</v>
      </c>
      <c r="O55" s="8" t="n">
        <f aca="false">O45-O39*(VST_Assets!$N$2*(1+VST_FuelAdj)+VST_Assets!$O$2*(1+VST_OMAdj)+VST_Assets!$P$2*(1+VST_CapexAdj))*(1+VST_Assets!$Q$2)^(O$3-2026)/1000000</f>
        <v>350.544882025567</v>
      </c>
      <c r="P55" s="8" t="n">
        <f aca="false">P45-P39*(VST_Assets!$N$2*(1+VST_FuelAdj)+VST_Assets!$O$2*(1+VST_OMAdj)+VST_Assets!$P$2*(1+VST_CapexAdj))*(1+VST_Assets!$Q$2)^(P$3-2026)/1000000</f>
        <v>339.651064076207</v>
      </c>
      <c r="Q55" s="8" t="n">
        <f aca="false">Q45-Q39*(VST_Assets!$N$2*(1+VST_FuelAdj)+VST_Assets!$O$2*(1+VST_OMAdj)+VST_Assets!$P$2*(1+VST_CapexAdj))*(1+VST_Assets!$Q$2)^(Q$3-2026)/1000000</f>
        <v>328.484900678112</v>
      </c>
      <c r="R55" s="8" t="n">
        <f aca="false">R45-R39*(VST_Assets!$N$2*(1+VST_FuelAdj)+VST_Assets!$O$2*(1+VST_OMAdj)+VST_Assets!$P$2*(1+VST_CapexAdj))*(1+VST_Assets!$Q$2)^(R$3-2026)/1000000</f>
        <v>317.039583195065</v>
      </c>
      <c r="S55" s="8" t="n">
        <f aca="false">S45-S39*(VST_Assets!$N$2*(1+VST_FuelAdj)+VST_Assets!$O$2*(1+VST_OMAdj)+VST_Assets!$P$2*(1+VST_CapexAdj))*(1+VST_Assets!$Q$2)^(S$3-2026)/1000000</f>
        <v>305.308132774941</v>
      </c>
      <c r="T55" s="8" t="n">
        <f aca="false">T45-T39*(VST_Assets!$N$2*(1+VST_FuelAdj)+VST_Assets!$O$2*(1+VST_OMAdj)+VST_Assets!$P$2*(1+VST_CapexAdj))*(1+VST_Assets!$Q$2)^(T$3-2026)/1000000</f>
        <v>293.283396094315</v>
      </c>
      <c r="U55" s="8" t="n">
        <f aca="false">U45-U39*(VST_Assets!$N$2*(1+VST_FuelAdj)+VST_Assets!$O$2*(1+VST_OMAdj)+VST_Assets!$P$2*(1+VST_CapexAdj))*(1+VST_Assets!$Q$2)^(U$3-2026)/1000000</f>
        <v>280.958040996673</v>
      </c>
      <c r="V55" s="8" t="n">
        <f aca="false">V45-V39*(VST_Assets!$N$2*(1+VST_FuelAdj)+VST_Assets!$O$2*(1+VST_OMAdj)+VST_Assets!$P$2*(1+VST_CapexAdj))*(1+VST_Assets!$Q$2)^(V$3-2026)/1000000</f>
        <v>268.32455202159</v>
      </c>
      <c r="W55" s="8" t="n">
        <f aca="false">W45-W39*(VST_Assets!$N$2*(1+VST_FuelAdj)+VST_Assets!$O$2*(1+VST_OMAdj)+VST_Assets!$P$2*(1+VST_CapexAdj))*(1+VST_Assets!$Q$2)^(W$3-2026)/1000000</f>
        <v>255.37522582213</v>
      </c>
      <c r="X55" s="8" t="n">
        <f aca="false">X45-X39*(VST_Assets!$N$2*(1+VST_FuelAdj)+VST_Assets!$O$2*(1+VST_OMAdj)+VST_Assets!$P$2*(1+VST_CapexAdj))*(1+VST_Assets!$Q$2)^(X$3-2026)/1000000</f>
        <v>242.102166467683</v>
      </c>
      <c r="Y55" s="8" t="n">
        <f aca="false">Y45-Y39*(VST_Assets!$N$2*(1+VST_FuelAdj)+VST_Assets!$O$2*(1+VST_OMAdj)+VST_Assets!$P$2*(1+VST_CapexAdj))*(1+VST_Assets!$Q$2)^(Y$3-2026)/1000000</f>
        <v>228.497280629375</v>
      </c>
      <c r="Z55" s="8" t="n">
        <f aca="false">Z45-Z39*(VST_Assets!$N$2*(1+VST_FuelAdj)+VST_Assets!$O$2*(1+VST_OMAdj)+VST_Assets!$P$2*(1+VST_CapexAdj))*(1+VST_Assets!$Q$2)^(Z$3-2026)/1000000</f>
        <v>214.552272645109</v>
      </c>
      <c r="AA55" s="8" t="n">
        <f aca="false">AA45-AA39*(VST_Assets!$N$2*(1+VST_FuelAdj)+VST_Assets!$O$2*(1+VST_OMAdj)+VST_Assets!$P$2*(1+VST_CapexAdj))*(1+VST_Assets!$Q$2)^(AA$3-2026)/1000000</f>
        <v>200.258639461237</v>
      </c>
      <c r="AB55" s="8" t="n">
        <f aca="false">AB45-AB39*(VST_Assets!$N$2*(1+VST_FuelAdj)+VST_Assets!$O$2*(1+VST_OMAdj)+VST_Assets!$P$2*(1+VST_CapexAdj))*(1+VST_Assets!$Q$2)^(AB$3-2026)/1000000</f>
        <v>0</v>
      </c>
      <c r="AC55" s="8" t="n">
        <f aca="false">AC45-AC39*(VST_Assets!$N$2*(1+VST_FuelAdj)+VST_Assets!$O$2*(1+VST_OMAdj)+VST_Assets!$P$2*(1+VST_CapexAdj))*(1+VST_Assets!$Q$2)^(AC$3-2026)/1000000</f>
        <v>0</v>
      </c>
      <c r="AD55" s="8" t="n">
        <f aca="false">AD45-AD39*(VST_Assets!$N$2*(1+VST_FuelAdj)+VST_Assets!$O$2*(1+VST_OMAdj)+VST_Assets!$P$2*(1+VST_CapexAdj))*(1+VST_Assets!$Q$2)^(AD$3-2026)/1000000</f>
        <v>0</v>
      </c>
      <c r="AE55" s="8" t="n">
        <f aca="false">AE45-AE39*(VST_Assets!$N$2*(1+VST_FuelAdj)+VST_Assets!$O$2*(1+VST_OMAdj)+VST_Assets!$P$2*(1+VST_CapexAdj))*(1+VST_Assets!$Q$2)^(AE$3-2026)/1000000</f>
        <v>0</v>
      </c>
      <c r="AF55" s="8" t="n">
        <f aca="false">AF45-AF39*(VST_Assets!$N$2*(1+VST_FuelAdj)+VST_Assets!$O$2*(1+VST_OMAdj)+VST_Assets!$P$2*(1+VST_CapexAdj))*(1+VST_Assets!$Q$2)^(AF$3-2026)/1000000</f>
        <v>0</v>
      </c>
      <c r="AG55" s="8" t="n">
        <f aca="false">AG45-AG39*(VST_Assets!$N$2*(1+VST_FuelAdj)+VST_Assets!$O$2*(1+VST_OMAdj)+VST_Assets!$P$2*(1+VST_CapexAdj))*(1+VST_Assets!$Q$2)^(AG$3-2026)/1000000</f>
        <v>0</v>
      </c>
      <c r="AH55" s="8" t="n">
        <f aca="false">AH45-AH39*(VST_Assets!$N$2*(1+VST_FuelAdj)+VST_Assets!$O$2*(1+VST_OMAdj)+VST_Assets!$P$2*(1+VST_CapexAdj))*(1+VST_Assets!$Q$2)^(AH$3-2026)/1000000</f>
        <v>0</v>
      </c>
      <c r="AI55" s="8" t="n">
        <f aca="false">AI45-AI39*(VST_Assets!$N$2*(1+VST_FuelAdj)+VST_Assets!$O$2*(1+VST_OMAdj)+VST_Assets!$P$2*(1+VST_CapexAdj))*(1+VST_Assets!$Q$2)^(AI$3-2026)/1000000</f>
        <v>0</v>
      </c>
      <c r="AJ55" s="8" t="n">
        <f aca="false">AJ45-AJ39*(VST_Assets!$N$2*(1+VST_FuelAdj)+VST_Assets!$O$2*(1+VST_OMAdj)+VST_Assets!$P$2*(1+VST_CapexAdj))*(1+VST_Assets!$Q$2)^(AJ$3-2026)/1000000</f>
        <v>0</v>
      </c>
      <c r="AK55" s="8" t="n">
        <f aca="false">AK45-AK39*(VST_Assets!$N$2*(1+VST_FuelAdj)+VST_Assets!$O$2*(1+VST_OMAdj)+VST_Assets!$P$2*(1+VST_CapexAdj))*(1+VST_Assets!$Q$2)^(AK$3-2026)/1000000</f>
        <v>0</v>
      </c>
      <c r="AL55" s="8" t="n">
        <f aca="false">AL45-AL39*(VST_Assets!$N$2*(1+VST_FuelAdj)+VST_Assets!$O$2*(1+VST_OMAdj)+VST_Assets!$P$2*(1+VST_CapexAdj))*(1+VST_Assets!$Q$2)^(AL$3-2026)/1000000</f>
        <v>0</v>
      </c>
      <c r="AM55" s="8" t="n">
        <f aca="false">AM45-AM39*(VST_Assets!$N$2*(1+VST_FuelAdj)+VST_Assets!$O$2*(1+VST_OMAdj)+VST_Assets!$P$2*(1+VST_CapexAdj))*(1+VST_Assets!$Q$2)^(AM$3-2026)/1000000</f>
        <v>0</v>
      </c>
      <c r="AN55" s="8" t="n">
        <f aca="false">AN45-AN39*(VST_Assets!$N$2*(1+VST_FuelAdj)+VST_Assets!$O$2*(1+VST_OMAdj)+VST_Assets!$P$2*(1+VST_CapexAdj))*(1+VST_Assets!$Q$2)^(AN$3-2026)/1000000</f>
        <v>0</v>
      </c>
      <c r="AO55" s="8" t="n">
        <f aca="false">AO45-AO39*(VST_Assets!$N$2*(1+VST_FuelAdj)+VST_Assets!$O$2*(1+VST_OMAdj)+VST_Assets!$P$2*(1+VST_CapexAdj))*(1+VST_Assets!$Q$2)^(AO$3-2026)/1000000</f>
        <v>0</v>
      </c>
      <c r="AP55" s="8" t="n">
        <f aca="false">AP45-AP39*(VST_Assets!$N$2*(1+VST_FuelAdj)+VST_Assets!$O$2*(1+VST_OMAdj)+VST_Assets!$P$2*(1+VST_CapexAdj))*(1+VST_Assets!$Q$2)^(AP$3-2026)/1000000</f>
        <v>0</v>
      </c>
      <c r="AQ55" s="8" t="n">
        <f aca="false">AQ45-AQ39*(VST_Assets!$N$2*(1+VST_FuelAdj)+VST_Assets!$O$2*(1+VST_OMAdj)+VST_Assets!$P$2*(1+VST_CapexAdj))*(1+VST_Assets!$Q$2)^(AQ$3-2026)/1000000</f>
        <v>0</v>
      </c>
      <c r="AR55" s="8" t="n">
        <f aca="false">AR45-AR39*(VST_Assets!$N$2*(1+VST_FuelAdj)+VST_Assets!$O$2*(1+VST_OMAdj)+VST_Assets!$P$2*(1+VST_CapexAdj))*(1+VST_Assets!$Q$2)^(AR$3-2026)/1000000</f>
        <v>0</v>
      </c>
      <c r="AS55" s="8" t="n">
        <f aca="false">AS45-AS39*(VST_Assets!$N$2*(1+VST_FuelAdj)+VST_Assets!$O$2*(1+VST_OMAdj)+VST_Assets!$P$2*(1+VST_CapexAdj))*(1+VST_Assets!$Q$2)^(AS$3-2026)/1000000</f>
        <v>0</v>
      </c>
    </row>
    <row r="56" customFormat="false" ht="15" hidden="false" customHeight="false" outlineLevel="0" collapsed="false">
      <c r="A56" s="6" t="s">
        <v>465</v>
      </c>
      <c r="B56" s="6" t="s">
        <v>466</v>
      </c>
      <c r="G56" s="8" t="n">
        <f aca="false">G53-G55</f>
        <v>199.768734</v>
      </c>
      <c r="H56" s="8" t="n">
        <f aca="false">H53-H55</f>
        <v>197.312168295</v>
      </c>
      <c r="I56" s="8" t="n">
        <f aca="false">I53-I55</f>
        <v>183.982260713043</v>
      </c>
      <c r="J56" s="8" t="n">
        <f aca="false">J53-J55</f>
        <v>168.997171193062</v>
      </c>
      <c r="K56" s="8" t="n">
        <f aca="false">K53-K55</f>
        <v>145.440961080077</v>
      </c>
      <c r="L56" s="8" t="n">
        <f aca="false">L53-L55</f>
        <v>121.650964638954</v>
      </c>
      <c r="M56" s="8" t="n">
        <f aca="false">M53-M55</f>
        <v>122.060785345644</v>
      </c>
      <c r="N56" s="8" t="n">
        <f aca="false">N53-N55</f>
        <v>122.428222501817</v>
      </c>
      <c r="O56" s="8" t="n">
        <f aca="false">O53-O55</f>
        <v>122.751163937344</v>
      </c>
      <c r="P56" s="8" t="n">
        <f aca="false">P53-P55</f>
        <v>123.027423626218</v>
      </c>
      <c r="Q56" s="8" t="n">
        <f aca="false">Q53-Q55</f>
        <v>123.254739419124</v>
      </c>
      <c r="R56" s="8" t="n">
        <f aca="false">R53-R55</f>
        <v>123.430770710897</v>
      </c>
      <c r="S56" s="8" t="n">
        <f aca="false">S53-S55</f>
        <v>123.55309604109</v>
      </c>
      <c r="T56" s="8" t="n">
        <f aca="false">T53-T55</f>
        <v>123.619210625787</v>
      </c>
      <c r="U56" s="8" t="n">
        <f aca="false">U53-U55</f>
        <v>123.626523818774</v>
      </c>
      <c r="V56" s="8" t="n">
        <f aca="false">V53-V55</f>
        <v>123.572356500133</v>
      </c>
      <c r="W56" s="8" t="n">
        <f aca="false">W53-W55</f>
        <v>123.453938390244</v>
      </c>
      <c r="X56" s="8" t="n">
        <f aca="false">X53-X55</f>
        <v>123.268405287159</v>
      </c>
      <c r="Y56" s="8" t="n">
        <f aca="false">Y53-Y55</f>
        <v>123.012796225241</v>
      </c>
      <c r="Z56" s="8" t="n">
        <f aca="false">Z53-Z55</f>
        <v>122.684050552893</v>
      </c>
      <c r="AA56" s="8" t="n">
        <f aca="false">AA53-AA55</f>
        <v>122.279004927176</v>
      </c>
      <c r="AB56" s="8" t="n">
        <f aca="false">AB53-AB55</f>
        <v>243.588780446052</v>
      </c>
      <c r="AC56" s="8" t="n">
        <f aca="false">AC53-AC55</f>
        <v>242.453656709451</v>
      </c>
      <c r="AD56" s="8" t="n">
        <f aca="false">AD53-AD55</f>
        <v>241.14565801448</v>
      </c>
      <c r="AE56" s="8" t="n">
        <f aca="false">AE53-AE55</f>
        <v>239.65757254988</v>
      </c>
      <c r="AF56" s="8" t="n">
        <f aca="false">AF53-AF55</f>
        <v>237.981950410366</v>
      </c>
      <c r="AG56" s="8" t="n">
        <f aca="false">AG53-AG55</f>
        <v>236.111096488299</v>
      </c>
      <c r="AH56" s="8" t="n">
        <f aca="false">AH53-AH55</f>
        <v>0</v>
      </c>
      <c r="AI56" s="8" t="n">
        <f aca="false">AI53-AI55</f>
        <v>0</v>
      </c>
      <c r="AJ56" s="8" t="n">
        <f aca="false">AJ53-AJ55</f>
        <v>0</v>
      </c>
      <c r="AK56" s="8" t="n">
        <f aca="false">AK53-AK55</f>
        <v>0</v>
      </c>
      <c r="AL56" s="8" t="n">
        <f aca="false">AL53-AL55</f>
        <v>0</v>
      </c>
      <c r="AM56" s="8" t="n">
        <f aca="false">AM53-AM55</f>
        <v>0</v>
      </c>
      <c r="AN56" s="8" t="n">
        <f aca="false">AN53-AN55</f>
        <v>0</v>
      </c>
      <c r="AO56" s="8" t="n">
        <f aca="false">AO53-AO55</f>
        <v>0</v>
      </c>
      <c r="AP56" s="8" t="n">
        <f aca="false">AP53-AP55</f>
        <v>0</v>
      </c>
      <c r="AQ56" s="8" t="n">
        <f aca="false">AQ53-AQ55</f>
        <v>0</v>
      </c>
      <c r="AR56" s="8" t="n">
        <f aca="false">AR53-AR55</f>
        <v>0</v>
      </c>
      <c r="AS56" s="8" t="n">
        <f aca="false">AS53-AS55</f>
        <v>0</v>
      </c>
    </row>
    <row r="57" customFormat="false" ht="15" hidden="false" customHeight="false" outlineLevel="0" collapsed="false">
      <c r="A57" s="6" t="s">
        <v>467</v>
      </c>
      <c r="B57" s="6" t="s">
        <v>468</v>
      </c>
      <c r="G57" s="8" t="n">
        <f aca="false">G56*(1-TaxRate)+G54</f>
        <v>159.8149872</v>
      </c>
      <c r="H57" s="8" t="n">
        <f aca="false">H56*(1-TaxRate)+H54</f>
        <v>157.849734636</v>
      </c>
      <c r="I57" s="8" t="n">
        <f aca="false">I56*(1-TaxRate)+I54</f>
        <v>147.185808570434</v>
      </c>
      <c r="J57" s="8" t="n">
        <f aca="false">J56*(1-TaxRate)+J54</f>
        <v>135.19773695445</v>
      </c>
      <c r="K57" s="8" t="n">
        <f aca="false">K56*(1-TaxRate)+K54</f>
        <v>116.352768864061</v>
      </c>
      <c r="L57" s="8" t="n">
        <f aca="false">L56*(1-TaxRate)+L54</f>
        <v>97.320771711163</v>
      </c>
      <c r="M57" s="8" t="n">
        <f aca="false">M56*(1-TaxRate)+M54</f>
        <v>97.6486282765156</v>
      </c>
      <c r="N57" s="8" t="n">
        <f aca="false">N56*(1-TaxRate)+N54</f>
        <v>97.9425780014533</v>
      </c>
      <c r="O57" s="8" t="n">
        <f aca="false">O56*(1-TaxRate)+O54</f>
        <v>98.2009311498749</v>
      </c>
      <c r="P57" s="8" t="n">
        <f aca="false">P56*(1-TaxRate)+P54</f>
        <v>98.4219389009747</v>
      </c>
      <c r="Q57" s="8" t="n">
        <f aca="false">Q56*(1-TaxRate)+Q54</f>
        <v>98.603791535299</v>
      </c>
      <c r="R57" s="8" t="n">
        <f aca="false">R56*(1-TaxRate)+R54</f>
        <v>98.7446165687174</v>
      </c>
      <c r="S57" s="8" t="n">
        <f aca="false">S56*(1-TaxRate)+S54</f>
        <v>98.8424768328722</v>
      </c>
      <c r="T57" s="8" t="n">
        <f aca="false">T56*(1-TaxRate)+T54</f>
        <v>98.8953685006294</v>
      </c>
      <c r="U57" s="8" t="n">
        <f aca="false">U56*(1-TaxRate)+U54</f>
        <v>98.9012190550192</v>
      </c>
      <c r="V57" s="8" t="n">
        <f aca="false">V56*(1-TaxRate)+V54</f>
        <v>98.8578852001063</v>
      </c>
      <c r="W57" s="8" t="n">
        <f aca="false">W56*(1-TaxRate)+W54</f>
        <v>98.7631507121949</v>
      </c>
      <c r="X57" s="8" t="n">
        <f aca="false">X56*(1-TaxRate)+X54</f>
        <v>98.6147242297275</v>
      </c>
      <c r="Y57" s="8" t="n">
        <f aca="false">Y56*(1-TaxRate)+Y54</f>
        <v>98.4102369801929</v>
      </c>
      <c r="Z57" s="8" t="n">
        <f aca="false">Z56*(1-TaxRate)+Z54</f>
        <v>98.1472404423143</v>
      </c>
      <c r="AA57" s="8" t="n">
        <f aca="false">AA56*(1-TaxRate)+AA54</f>
        <v>97.8232039417409</v>
      </c>
      <c r="AB57" s="8" t="n">
        <f aca="false">AB56*(1-TaxRate)+AB54</f>
        <v>194.871024356841</v>
      </c>
      <c r="AC57" s="8" t="n">
        <f aca="false">AC56*(1-TaxRate)+AC54</f>
        <v>193.962925367561</v>
      </c>
      <c r="AD57" s="8" t="n">
        <f aca="false">AD56*(1-TaxRate)+AD54</f>
        <v>192.916526411584</v>
      </c>
      <c r="AE57" s="8" t="n">
        <f aca="false">AE56*(1-TaxRate)+AE54</f>
        <v>191.726058039904</v>
      </c>
      <c r="AF57" s="8" t="n">
        <f aca="false">AF56*(1-TaxRate)+AF54</f>
        <v>190.385560328293</v>
      </c>
      <c r="AG57" s="8" t="n">
        <f aca="false">AG56*(1-TaxRate)+AG54</f>
        <v>188.888877190639</v>
      </c>
      <c r="AH57" s="8" t="n">
        <f aca="false">AH56*(1-TaxRate)+AH54</f>
        <v>0</v>
      </c>
      <c r="AI57" s="8" t="n">
        <f aca="false">AI56*(1-TaxRate)+AI54</f>
        <v>0</v>
      </c>
      <c r="AJ57" s="8" t="n">
        <f aca="false">AJ56*(1-TaxRate)+AJ54</f>
        <v>0</v>
      </c>
      <c r="AK57" s="8" t="n">
        <f aca="false">AK56*(1-TaxRate)+AK54</f>
        <v>0</v>
      </c>
      <c r="AL57" s="8" t="n">
        <f aca="false">AL56*(1-TaxRate)+AL54</f>
        <v>0</v>
      </c>
      <c r="AM57" s="8" t="n">
        <f aca="false">AM56*(1-TaxRate)+AM54</f>
        <v>0</v>
      </c>
      <c r="AN57" s="8" t="n">
        <f aca="false">AN56*(1-TaxRate)+AN54</f>
        <v>0</v>
      </c>
      <c r="AO57" s="8" t="n">
        <f aca="false">AO56*(1-TaxRate)+AO54</f>
        <v>0</v>
      </c>
      <c r="AP57" s="8" t="n">
        <f aca="false">AP56*(1-TaxRate)+AP54</f>
        <v>0</v>
      </c>
      <c r="AQ57" s="8" t="n">
        <f aca="false">AQ56*(1-TaxRate)+AQ54</f>
        <v>0</v>
      </c>
      <c r="AR57" s="8" t="n">
        <f aca="false">AR56*(1-TaxRate)+AR54</f>
        <v>0</v>
      </c>
      <c r="AS57" s="8" t="n">
        <f aca="false">AS56*(1-TaxRate)+AS54</f>
        <v>0</v>
      </c>
    </row>
    <row r="58" customFormat="false" ht="15" hidden="false" customHeight="false" outlineLevel="0" collapsed="false">
      <c r="A58" s="6" t="s">
        <v>469</v>
      </c>
      <c r="B58" s="6" t="s">
        <v>470</v>
      </c>
      <c r="G58" s="8" t="n">
        <f aca="false">G55*(1-TaxRate)</f>
        <v>0</v>
      </c>
      <c r="H58" s="8" t="n">
        <f aca="false">H55*(1-TaxRate)</f>
        <v>67.154237964</v>
      </c>
      <c r="I58" s="8" t="n">
        <f aca="false">I55*(1-TaxRate)</f>
        <v>131.3758070262</v>
      </c>
      <c r="J58" s="8" t="n">
        <f aca="false">J55*(1-TaxRate)</f>
        <v>192.554732102783</v>
      </c>
      <c r="K58" s="8" t="n">
        <f aca="false">K55*(1-TaxRate)</f>
        <v>250.577372273803</v>
      </c>
      <c r="L58" s="8" t="n">
        <f aca="false">L55*(1-TaxRate)</f>
        <v>305.32630622581</v>
      </c>
      <c r="M58" s="8" t="n">
        <f aca="false">M55*(1-TaxRate)</f>
        <v>297.233511881455</v>
      </c>
      <c r="N58" s="8" t="n">
        <f aca="false">N55*(1-TaxRate)</f>
        <v>288.938397678492</v>
      </c>
      <c r="O58" s="8" t="n">
        <f aca="false">O55*(1-TaxRate)</f>
        <v>280.435905620454</v>
      </c>
      <c r="P58" s="8" t="n">
        <f aca="false">P55*(1-TaxRate)</f>
        <v>271.720851260965</v>
      </c>
      <c r="Q58" s="8" t="n">
        <f aca="false">Q55*(1-TaxRate)</f>
        <v>262.78792054249</v>
      </c>
      <c r="R58" s="8" t="n">
        <f aca="false">R55*(1-TaxRate)</f>
        <v>253.631666556052</v>
      </c>
      <c r="S58" s="8" t="n">
        <f aca="false">S55*(1-TaxRate)</f>
        <v>244.246506219953</v>
      </c>
      <c r="T58" s="8" t="n">
        <f aca="false">T55*(1-TaxRate)</f>
        <v>234.626716875452</v>
      </c>
      <c r="U58" s="8" t="n">
        <f aca="false">U55*(1-TaxRate)</f>
        <v>224.766432797338</v>
      </c>
      <c r="V58" s="8" t="n">
        <f aca="false">V55*(1-TaxRate)</f>
        <v>214.659641617272</v>
      </c>
      <c r="W58" s="8" t="n">
        <f aca="false">W55*(1-TaxRate)</f>
        <v>204.300180657704</v>
      </c>
      <c r="X58" s="8" t="n">
        <f aca="false">X55*(1-TaxRate)</f>
        <v>193.681733174146</v>
      </c>
      <c r="Y58" s="8" t="n">
        <f aca="false">Y55*(1-TaxRate)</f>
        <v>182.7978245035</v>
      </c>
      <c r="Z58" s="8" t="n">
        <f aca="false">Z55*(1-TaxRate)</f>
        <v>171.641818116088</v>
      </c>
      <c r="AA58" s="8" t="n">
        <f aca="false">AA55*(1-TaxRate)</f>
        <v>160.20691156899</v>
      </c>
      <c r="AB58" s="8" t="n">
        <f aca="false">AB55*(1-TaxRate)</f>
        <v>0</v>
      </c>
      <c r="AC58" s="8" t="n">
        <f aca="false">AC55*(1-TaxRate)</f>
        <v>0</v>
      </c>
      <c r="AD58" s="8" t="n">
        <f aca="false">AD55*(1-TaxRate)</f>
        <v>0</v>
      </c>
      <c r="AE58" s="8" t="n">
        <f aca="false">AE55*(1-TaxRate)</f>
        <v>0</v>
      </c>
      <c r="AF58" s="8" t="n">
        <f aca="false">AF55*(1-TaxRate)</f>
        <v>0</v>
      </c>
      <c r="AG58" s="8" t="n">
        <f aca="false">AG55*(1-TaxRate)</f>
        <v>0</v>
      </c>
      <c r="AH58" s="8" t="n">
        <f aca="false">AH55*(1-TaxRate)</f>
        <v>0</v>
      </c>
      <c r="AI58" s="8" t="n">
        <f aca="false">AI55*(1-TaxRate)</f>
        <v>0</v>
      </c>
      <c r="AJ58" s="8" t="n">
        <f aca="false">AJ55*(1-TaxRate)</f>
        <v>0</v>
      </c>
      <c r="AK58" s="8" t="n">
        <f aca="false">AK55*(1-TaxRate)</f>
        <v>0</v>
      </c>
      <c r="AL58" s="8" t="n">
        <f aca="false">AL55*(1-TaxRate)</f>
        <v>0</v>
      </c>
      <c r="AM58" s="8" t="n">
        <f aca="false">AM55*(1-TaxRate)</f>
        <v>0</v>
      </c>
      <c r="AN58" s="8" t="n">
        <f aca="false">AN55*(1-TaxRate)</f>
        <v>0</v>
      </c>
      <c r="AO58" s="8" t="n">
        <f aca="false">AO55*(1-TaxRate)</f>
        <v>0</v>
      </c>
      <c r="AP58" s="8" t="n">
        <f aca="false">AP55*(1-TaxRate)</f>
        <v>0</v>
      </c>
      <c r="AQ58" s="8" t="n">
        <f aca="false">AQ55*(1-TaxRate)</f>
        <v>0</v>
      </c>
      <c r="AR58" s="8" t="n">
        <f aca="false">AR55*(1-TaxRate)</f>
        <v>0</v>
      </c>
      <c r="AS58" s="8" t="n">
        <f aca="false">AS55*(1-TaxRate)</f>
        <v>0</v>
      </c>
    </row>
    <row r="59" customFormat="false" ht="15" hidden="false" customHeight="false" outlineLevel="0" collapsed="false">
      <c r="A59" s="6" t="s">
        <v>471</v>
      </c>
      <c r="B59" s="6" t="s">
        <v>472</v>
      </c>
      <c r="G59" s="42" t="n">
        <f aca="false">(1+VST_Assets!$AE$2)^-(G$3+0.5-ValDate)</f>
        <v>0.943913469359513</v>
      </c>
      <c r="H59" s="42" t="n">
        <f aca="false">(1+VST_Assets!$AE$2)^-(H$3+0.5-ValDate)</f>
        <v>0.87399395311066</v>
      </c>
      <c r="I59" s="42" t="n">
        <f aca="false">(1+VST_Assets!$AE$2)^-(I$3+0.5-ValDate)</f>
        <v>0.809253660287648</v>
      </c>
      <c r="J59" s="42" t="n">
        <f aca="false">(1+VST_Assets!$AE$2)^-(J$3+0.5-ValDate)</f>
        <v>0.749308944710785</v>
      </c>
      <c r="K59" s="42" t="n">
        <f aca="false">(1+VST_Assets!$AE$2)^-(K$3+0.5-ValDate)</f>
        <v>0.693804578435912</v>
      </c>
      <c r="L59" s="42" t="n">
        <f aca="false">(1+VST_Assets!$AE$2)^-(L$3+0.5-ValDate)</f>
        <v>0.642411646699918</v>
      </c>
      <c r="M59" s="42" t="n">
        <f aca="false">(1+VST_Assets!$AE$2)^-(M$3+0.5-ValDate)</f>
        <v>0.594825598796221</v>
      </c>
      <c r="N59" s="42" t="n">
        <f aca="false">(1+VST_Assets!$AE$2)^-(N$3+0.5-ValDate)</f>
        <v>0.550764443329834</v>
      </c>
      <c r="O59" s="42" t="n">
        <f aca="false">(1+VST_Assets!$AE$2)^-(O$3+0.5-ValDate)</f>
        <v>0.509967077157254</v>
      </c>
      <c r="P59" s="42" t="n">
        <f aca="false">(1+VST_Assets!$AE$2)^-(P$3+0.5-ValDate)</f>
        <v>0.472191738108568</v>
      </c>
      <c r="Q59" s="42" t="n">
        <f aca="false">(1+VST_Assets!$AE$2)^-(Q$3+0.5-ValDate)</f>
        <v>0.437214572322748</v>
      </c>
      <c r="R59" s="42" t="n">
        <f aca="false">(1+VST_Assets!$AE$2)^-(R$3+0.5-ValDate)</f>
        <v>0.404828307706248</v>
      </c>
      <c r="S59" s="42" t="n">
        <f aca="false">(1+VST_Assets!$AE$2)^-(S$3+0.5-ValDate)</f>
        <v>0.374841025653934</v>
      </c>
      <c r="T59" s="42" t="n">
        <f aca="false">(1+VST_Assets!$AE$2)^-(T$3+0.5-ValDate)</f>
        <v>0.347075023753642</v>
      </c>
      <c r="U59" s="42" t="n">
        <f aca="false">(1+VST_Assets!$AE$2)^-(U$3+0.5-ValDate)</f>
        <v>0.321365762734854</v>
      </c>
      <c r="V59" s="42" t="n">
        <f aca="false">(1+VST_Assets!$AE$2)^-(V$3+0.5-ValDate)</f>
        <v>0.297560891421161</v>
      </c>
      <c r="W59" s="42" t="n">
        <f aca="false">(1+VST_Assets!$AE$2)^-(W$3+0.5-ValDate)</f>
        <v>0.275519343908482</v>
      </c>
      <c r="X59" s="42" t="n">
        <f aca="false">(1+VST_Assets!$AE$2)^-(X$3+0.5-ValDate)</f>
        <v>0.255110503618965</v>
      </c>
      <c r="Y59" s="42" t="n">
        <f aca="false">(1+VST_Assets!$AE$2)^-(Y$3+0.5-ValDate)</f>
        <v>0.23621342927682</v>
      </c>
      <c r="Z59" s="42" t="n">
        <f aca="false">(1+VST_Assets!$AE$2)^-(Z$3+0.5-ValDate)</f>
        <v>0.218716138219277</v>
      </c>
      <c r="AA59" s="42" t="n">
        <f aca="false">(1+VST_Assets!$AE$2)^-(AA$3+0.5-ValDate)</f>
        <v>0.202514942795627</v>
      </c>
      <c r="AB59" s="42" t="n">
        <f aca="false">(1+VST_Assets!$AE$2)^-(AB$3+0.5-ValDate)</f>
        <v>0.187513835921877</v>
      </c>
      <c r="AC59" s="42" t="n">
        <f aca="false">(1+VST_Assets!$AE$2)^-(AC$3+0.5-ValDate)</f>
        <v>0.173623922149886</v>
      </c>
      <c r="AD59" s="42" t="n">
        <f aca="false">(1+VST_Assets!$AE$2)^-(AD$3+0.5-ValDate)</f>
        <v>0.160762890879524</v>
      </c>
      <c r="AE59" s="42" t="n">
        <f aca="false">(1+VST_Assets!$AE$2)^-(AE$3+0.5-ValDate)</f>
        <v>0.148854528592152</v>
      </c>
      <c r="AF59" s="42" t="n">
        <f aca="false">(1+VST_Assets!$AE$2)^-(AF$3+0.5-ValDate)</f>
        <v>0.137828267214956</v>
      </c>
      <c r="AG59" s="42" t="n">
        <f aca="false">(1+VST_Assets!$AE$2)^-(AG$3+0.5-ValDate)</f>
        <v>0.127618765939774</v>
      </c>
      <c r="AH59" s="42" t="n">
        <f aca="false">(1+VST_Assets!$AE$2)^-(AH$3+0.5-ValDate)</f>
        <v>0.118165524018309</v>
      </c>
      <c r="AI59" s="42" t="n">
        <f aca="false">(1+VST_Assets!$AE$2)^-(AI$3+0.5-ValDate)</f>
        <v>0.109412522239175</v>
      </c>
      <c r="AJ59" s="42" t="n">
        <f aca="false">(1+VST_Assets!$AE$2)^-(AJ$3+0.5-ValDate)</f>
        <v>0.101307890962199</v>
      </c>
      <c r="AK59" s="42" t="n">
        <f aca="false">(1+VST_Assets!$AE$2)^-(AK$3+0.5-ValDate)</f>
        <v>0.0938036027427768</v>
      </c>
      <c r="AL59" s="42" t="n">
        <f aca="false">(1+VST_Assets!$AE$2)^-(AL$3+0.5-ValDate)</f>
        <v>0.0868551877247934</v>
      </c>
      <c r="AM59" s="42" t="n">
        <f aca="false">(1+VST_Assets!$AE$2)^-(AM$3+0.5-ValDate)</f>
        <v>0.0804214701155494</v>
      </c>
      <c r="AN59" s="42" t="n">
        <f aca="false">(1+VST_Assets!$AE$2)^-(AN$3+0.5-ValDate)</f>
        <v>0.0744643241810643</v>
      </c>
      <c r="AO59" s="42" t="n">
        <f aca="false">(1+VST_Assets!$AE$2)^-(AO$3+0.5-ValDate)</f>
        <v>0.0689484483158002</v>
      </c>
      <c r="AP59" s="42" t="n">
        <f aca="false">(1+VST_Assets!$AE$2)^-(AP$3+0.5-ValDate)</f>
        <v>0.0638411558479632</v>
      </c>
      <c r="AQ59" s="42" t="n">
        <f aca="false">(1+VST_Assets!$AE$2)^-(AQ$3+0.5-ValDate)</f>
        <v>0.0591121813407066</v>
      </c>
      <c r="AR59" s="42" t="n">
        <f aca="false">(1+VST_Assets!$AE$2)^-(AR$3+0.5-ValDate)</f>
        <v>0.054733501241395</v>
      </c>
      <c r="AS59" s="42" t="n">
        <f aca="false">(1+VST_Assets!$AE$2)^-(AS$3+0.5-ValDate)</f>
        <v>0.0506791678161065</v>
      </c>
    </row>
    <row r="60" customFormat="false" ht="15" hidden="false" customHeight="false" outlineLevel="0" collapsed="false">
      <c r="A60" s="6" t="s">
        <v>473</v>
      </c>
      <c r="B60" s="6" t="s">
        <v>474</v>
      </c>
      <c r="G60" s="42" t="n">
        <f aca="false">(1+VST_Assets!$AF$2)^-(G$3+0.5-ValDate)</f>
        <v>0.952191032823687</v>
      </c>
      <c r="H60" s="42" t="n">
        <f aca="false">(1+VST_Assets!$AF$2)^-(H$3+0.5-ValDate)</f>
        <v>0.891982232153337</v>
      </c>
      <c r="I60" s="42" t="n">
        <f aca="false">(1+VST_Assets!$AF$2)^-(I$3+0.5-ValDate)</f>
        <v>0.835580545342705</v>
      </c>
      <c r="J60" s="42" t="n">
        <f aca="false">(1+VST_Assets!$AF$2)^-(J$3+0.5-ValDate)</f>
        <v>0.782745241538834</v>
      </c>
      <c r="K60" s="42" t="n">
        <f aca="false">(1+VST_Assets!$AF$2)^-(K$3+0.5-ValDate)</f>
        <v>0.73325081174598</v>
      </c>
      <c r="L60" s="42" t="n">
        <f aca="false">(1+VST_Assets!$AF$2)^-(L$3+0.5-ValDate)</f>
        <v>0.686886006319419</v>
      </c>
      <c r="M60" s="42" t="n">
        <f aca="false">(1+VST_Assets!$AF$2)^-(M$3+0.5-ValDate)</f>
        <v>0.643452933320299</v>
      </c>
      <c r="N60" s="42" t="n">
        <f aca="false">(1+VST_Assets!$AF$2)^-(N$3+0.5-ValDate)</f>
        <v>0.602766213883184</v>
      </c>
      <c r="O60" s="42" t="n">
        <f aca="false">(1+VST_Assets!$AF$2)^-(O$3+0.5-ValDate)</f>
        <v>0.564652190991273</v>
      </c>
      <c r="P60" s="42" t="n">
        <f aca="false">(1+VST_Assets!$AF$2)^-(P$3+0.5-ValDate)</f>
        <v>0.528948188282223</v>
      </c>
      <c r="Q60" s="42" t="n">
        <f aca="false">(1+VST_Assets!$AF$2)^-(Q$3+0.5-ValDate)</f>
        <v>0.495501815721052</v>
      </c>
      <c r="R60" s="42" t="n">
        <f aca="false">(1+VST_Assets!$AF$2)^-(R$3+0.5-ValDate)</f>
        <v>0.46417031917663</v>
      </c>
      <c r="S60" s="42" t="n">
        <f aca="false">(1+VST_Assets!$AF$2)^-(S$3+0.5-ValDate)</f>
        <v>0.434819971125649</v>
      </c>
      <c r="T60" s="42" t="n">
        <f aca="false">(1+VST_Assets!$AF$2)^-(T$3+0.5-ValDate)</f>
        <v>0.407325499883512</v>
      </c>
      <c r="U60" s="42" t="n">
        <f aca="false">(1+VST_Assets!$AF$2)^-(U$3+0.5-ValDate)</f>
        <v>0.381569554926006</v>
      </c>
      <c r="V60" s="42" t="n">
        <f aca="false">(1+VST_Assets!$AF$2)^-(V$3+0.5-ValDate)</f>
        <v>0.357442206019678</v>
      </c>
      <c r="W60" s="42" t="n">
        <f aca="false">(1+VST_Assets!$AF$2)^-(W$3+0.5-ValDate)</f>
        <v>0.334840474023118</v>
      </c>
      <c r="X60" s="42" t="n">
        <f aca="false">(1+VST_Assets!$AF$2)^-(X$3+0.5-ValDate)</f>
        <v>0.313667891356551</v>
      </c>
      <c r="Y60" s="42" t="n">
        <f aca="false">(1+VST_Assets!$AF$2)^-(Y$3+0.5-ValDate)</f>
        <v>0.293834090263748</v>
      </c>
      <c r="Z60" s="42" t="n">
        <f aca="false">(1+VST_Assets!$AF$2)^-(Z$3+0.5-ValDate)</f>
        <v>0.275254417108897</v>
      </c>
      <c r="AA60" s="42" t="n">
        <f aca="false">(1+VST_Assets!$AF$2)^-(AA$3+0.5-ValDate)</f>
        <v>0.257849571062199</v>
      </c>
      <c r="AB60" s="42" t="n">
        <f aca="false">(1+VST_Assets!$AF$2)^-(AB$3+0.5-ValDate)</f>
        <v>0.241545265632036</v>
      </c>
      <c r="AC60" s="42" t="n">
        <f aca="false">(1+VST_Assets!$AF$2)^-(AC$3+0.5-ValDate)</f>
        <v>0.226271911599097</v>
      </c>
      <c r="AD60" s="42" t="n">
        <f aca="false">(1+VST_Assets!$AF$2)^-(AD$3+0.5-ValDate)</f>
        <v>0.211964319999154</v>
      </c>
      <c r="AE60" s="42" t="n">
        <f aca="false">(1+VST_Assets!$AF$2)^-(AE$3+0.5-ValDate)</f>
        <v>0.198561423886796</v>
      </c>
      <c r="AF60" s="42" t="n">
        <f aca="false">(1+VST_Assets!$AF$2)^-(AF$3+0.5-ValDate)</f>
        <v>0.186006017692549</v>
      </c>
      <c r="AG60" s="42" t="n">
        <f aca="false">(1+VST_Assets!$AF$2)^-(AG$3+0.5-ValDate)</f>
        <v>0.174244513060936</v>
      </c>
      <c r="AH60" s="42" t="n">
        <f aca="false">(1+VST_Assets!$AF$2)^-(AH$3+0.5-ValDate)</f>
        <v>0.16322671012734</v>
      </c>
      <c r="AI60" s="42" t="n">
        <f aca="false">(1+VST_Assets!$AF$2)^-(AI$3+0.5-ValDate)</f>
        <v>0.152905583257461</v>
      </c>
      <c r="AJ60" s="42" t="n">
        <f aca="false">(1+VST_Assets!$AF$2)^-(AJ$3+0.5-ValDate)</f>
        <v>0.143237080334859</v>
      </c>
      <c r="AK60" s="42" t="n">
        <f aca="false">(1+VST_Assets!$AF$2)^-(AK$3+0.5-ValDate)</f>
        <v>0.134179934739914</v>
      </c>
      <c r="AL60" s="42" t="n">
        <f aca="false">(1+VST_Assets!$AF$2)^-(AL$3+0.5-ValDate)</f>
        <v>0.125695489217718</v>
      </c>
      <c r="AM60" s="42" t="n">
        <f aca="false">(1+VST_Assets!$AF$2)^-(AM$3+0.5-ValDate)</f>
        <v>0.117747530883109</v>
      </c>
      <c r="AN60" s="42" t="n">
        <f aca="false">(1+VST_Assets!$AF$2)^-(AN$3+0.5-ValDate)</f>
        <v>0.11030213665865</v>
      </c>
      <c r="AO60" s="42" t="n">
        <f aca="false">(1+VST_Assets!$AF$2)^-(AO$3+0.5-ValDate)</f>
        <v>0.103327528485855</v>
      </c>
      <c r="AP60" s="42" t="n">
        <f aca="false">(1+VST_Assets!$AF$2)^-(AP$3+0.5-ValDate)</f>
        <v>0.096793937691667</v>
      </c>
      <c r="AQ60" s="42" t="n">
        <f aca="false">(1+VST_Assets!$AF$2)^-(AQ$3+0.5-ValDate)</f>
        <v>0.090673477931304</v>
      </c>
      <c r="AR60" s="42" t="n">
        <f aca="false">(1+VST_Assets!$AF$2)^-(AR$3+0.5-ValDate)</f>
        <v>0.084940026165156</v>
      </c>
      <c r="AS60" s="42" t="n">
        <f aca="false">(1+VST_Assets!$AF$2)^-(AS$3+0.5-ValDate)</f>
        <v>0.0795691111617386</v>
      </c>
    </row>
    <row r="61" customFormat="false" ht="15" hidden="false" customHeight="false" outlineLevel="0" collapsed="false">
      <c r="A61" s="6" t="s">
        <v>475</v>
      </c>
      <c r="B61" s="6" t="s">
        <v>476</v>
      </c>
      <c r="C61" s="43" t="n">
        <f aca="false">SUM(G61:AS61)</f>
        <v>1373.72164829599</v>
      </c>
      <c r="D61" s="8" t="n">
        <f aca="false">SUMIF($G$3:$AS$3,"&lt;="&amp;Horizon,G61:AS61)</f>
        <v>509.226760528231</v>
      </c>
      <c r="E61" s="8" t="n">
        <f aca="false">(C61-D61)*(1+VST_Assets!$AE$2)^(Horizon+1-ValDate)</f>
        <v>1198.98400711758</v>
      </c>
      <c r="G61" s="8" t="n">
        <f aca="false">G57*G59</f>
        <v>150.851519023598</v>
      </c>
      <c r="H61" s="8" t="n">
        <f aca="false">H57*H59</f>
        <v>137.959713571986</v>
      </c>
      <c r="I61" s="8" t="n">
        <f aca="false">I57*I59</f>
        <v>119.110654328021</v>
      </c>
      <c r="J61" s="8" t="n">
        <f aca="false">J57*J59</f>
        <v>101.304873604625</v>
      </c>
      <c r="K61" s="8" t="n">
        <f aca="false">K57*K59</f>
        <v>80.7260837515811</v>
      </c>
      <c r="L61" s="8" t="n">
        <f aca="false">L57*L59</f>
        <v>62.5199972130751</v>
      </c>
      <c r="M61" s="8" t="n">
        <f aca="false">M57*M59</f>
        <v>58.0839037862079</v>
      </c>
      <c r="N61" s="8" t="n">
        <f aca="false">N57*N59</f>
        <v>53.9432894512593</v>
      </c>
      <c r="O61" s="8" t="n">
        <f aca="false">O57*O59</f>
        <v>50.0792418326224</v>
      </c>
      <c r="P61" s="8" t="n">
        <f aca="false">P57*P59</f>
        <v>46.4740263976665</v>
      </c>
      <c r="Q61" s="8" t="n">
        <f aca="false">Q57*Q59</f>
        <v>43.1110145455072</v>
      </c>
      <c r="R61" s="8" t="n">
        <f aca="false">R57*R59</f>
        <v>39.9746160206162</v>
      </c>
      <c r="S61" s="8" t="n">
        <f aca="false">S57*S59</f>
        <v>37.050215394209</v>
      </c>
      <c r="T61" s="8" t="n">
        <f aca="false">T57*T59</f>
        <v>34.3241123714811</v>
      </c>
      <c r="U61" s="8" t="n">
        <f aca="false">U57*U59</f>
        <v>31.7834656970231</v>
      </c>
      <c r="V61" s="8" t="n">
        <f aca="false">V57*V59</f>
        <v>29.4162404441544</v>
      </c>
      <c r="W61" s="8" t="n">
        <f aca="false">W57*W59</f>
        <v>27.2111584865585</v>
      </c>
      <c r="X61" s="8" t="n">
        <f aca="false">X57*X59</f>
        <v>25.1576519624912</v>
      </c>
      <c r="Y61" s="8" t="n">
        <f aca="false">Y57*Y59</f>
        <v>23.2458195530358</v>
      </c>
      <c r="Z61" s="8" t="n">
        <f aca="false">Z57*Z59</f>
        <v>21.4663854064219</v>
      </c>
      <c r="AA61" s="8" t="n">
        <f aca="false">AA57*AA59</f>
        <v>19.8106605503466</v>
      </c>
      <c r="AB61" s="8" t="n">
        <f aca="false">AB57*AB59</f>
        <v>36.5410132871769</v>
      </c>
      <c r="AC61" s="8" t="n">
        <f aca="false">AC57*AC59</f>
        <v>33.6766038539815</v>
      </c>
      <c r="AD61" s="8" t="n">
        <f aca="false">AD57*AD59</f>
        <v>31.0138184843623</v>
      </c>
      <c r="AE61" s="8" t="n">
        <f aca="false">AE57*AE59</f>
        <v>28.5392919883615</v>
      </c>
      <c r="AF61" s="8" t="n">
        <f aca="false">AF57*AF59</f>
        <v>26.240511882797</v>
      </c>
      <c r="AG61" s="8" t="n">
        <f aca="false">AG57*AG59</f>
        <v>24.1057654068188</v>
      </c>
      <c r="AH61" s="8" t="n">
        <f aca="false">AH57*AH59</f>
        <v>0</v>
      </c>
      <c r="AI61" s="8" t="n">
        <f aca="false">AI57*AI59</f>
        <v>0</v>
      </c>
      <c r="AJ61" s="8" t="n">
        <f aca="false">AJ57*AJ59</f>
        <v>0</v>
      </c>
      <c r="AK61" s="8" t="n">
        <f aca="false">AK57*AK59</f>
        <v>0</v>
      </c>
      <c r="AL61" s="8" t="n">
        <f aca="false">AL57*AL59</f>
        <v>0</v>
      </c>
      <c r="AM61" s="8" t="n">
        <f aca="false">AM57*AM59</f>
        <v>0</v>
      </c>
      <c r="AN61" s="8" t="n">
        <f aca="false">AN57*AN59</f>
        <v>0</v>
      </c>
      <c r="AO61" s="8" t="n">
        <f aca="false">AO57*AO59</f>
        <v>0</v>
      </c>
      <c r="AP61" s="8" t="n">
        <f aca="false">AP57*AP59</f>
        <v>0</v>
      </c>
      <c r="AQ61" s="8" t="n">
        <f aca="false">AQ57*AQ59</f>
        <v>0</v>
      </c>
      <c r="AR61" s="8" t="n">
        <f aca="false">AR57*AR59</f>
        <v>0</v>
      </c>
      <c r="AS61" s="8" t="n">
        <f aca="false">AS57*AS59</f>
        <v>0</v>
      </c>
    </row>
    <row r="62" customFormat="false" ht="15" hidden="false" customHeight="false" outlineLevel="0" collapsed="false">
      <c r="A62" s="6" t="s">
        <v>477</v>
      </c>
      <c r="B62" s="6" t="s">
        <v>478</v>
      </c>
      <c r="C62" s="43" t="n">
        <f aca="false">SUM(G62:AS62)</f>
        <v>2264.98198937813</v>
      </c>
      <c r="D62" s="8" t="n">
        <f aca="false">SUMIF($G$3:$AS$3,"&lt;="&amp;Horizon,G62:AS62)</f>
        <v>320.396755846713</v>
      </c>
      <c r="E62" s="8" t="n">
        <f aca="false">(C62-D62)*(1+VST_Assets!$AF$2)^(Horizon+1-ValDate)</f>
        <v>2566.79089020358</v>
      </c>
      <c r="G62" s="8" t="n">
        <f aca="false">G58*G60</f>
        <v>0</v>
      </c>
      <c r="H62" s="8" t="n">
        <f aca="false">H58*H60</f>
        <v>59.9003870776851</v>
      </c>
      <c r="I62" s="8" t="n">
        <f aca="false">I58*I60</f>
        <v>109.77506847979</v>
      </c>
      <c r="J62" s="8" t="n">
        <f aca="false">J58*J60</f>
        <v>150.721300289238</v>
      </c>
      <c r="K62" s="8" t="n">
        <f aca="false">K58*K60</f>
        <v>183.736061624941</v>
      </c>
      <c r="L62" s="8" t="n">
        <f aca="false">L58*L60</f>
        <v>209.724367107707</v>
      </c>
      <c r="M62" s="8" t="n">
        <f aca="false">M58*M60</f>
        <v>191.255775101216</v>
      </c>
      <c r="N62" s="8" t="n">
        <f aca="false">N58*N60</f>
        <v>174.162304014138</v>
      </c>
      <c r="O62" s="8" t="n">
        <f aca="false">O58*O60</f>
        <v>158.348748541211</v>
      </c>
      <c r="P62" s="8" t="n">
        <f aca="false">P58*P60</f>
        <v>143.726251992991</v>
      </c>
      <c r="Q62" s="8" t="n">
        <f aca="false">Q58*Q60</f>
        <v>130.211891778363</v>
      </c>
      <c r="R62" s="8" t="n">
        <f aca="false">R58*R60</f>
        <v>117.728291618623</v>
      </c>
      <c r="S62" s="8" t="n">
        <f aca="false">S58*S60</f>
        <v>106.203258782101</v>
      </c>
      <c r="T62" s="8" t="n">
        <f aca="false">T58*T60</f>
        <v>95.5694447373206</v>
      </c>
      <c r="U62" s="8" t="n">
        <f aca="false">U58*U60</f>
        <v>85.7640277247865</v>
      </c>
      <c r="V62" s="8" t="n">
        <f aca="false">V58*V60</f>
        <v>76.7284158430711</v>
      </c>
      <c r="W62" s="8" t="n">
        <f aca="false">W58*W60</f>
        <v>68.4079693344341</v>
      </c>
      <c r="X62" s="8" t="n">
        <f aca="false">X58*X60</f>
        <v>60.7517408390165</v>
      </c>
      <c r="Y62" s="8" t="n">
        <f aca="false">Y58*Y60</f>
        <v>53.7122324651781</v>
      </c>
      <c r="Z62" s="8" t="n">
        <f aca="false">Z58*Z60</f>
        <v>47.245168597055</v>
      </c>
      <c r="AA62" s="8" t="n">
        <f aca="false">AA58*AA60</f>
        <v>41.3092834292636</v>
      </c>
      <c r="AB62" s="8" t="n">
        <f aca="false">AB58*AB60</f>
        <v>0</v>
      </c>
      <c r="AC62" s="8" t="n">
        <f aca="false">AC58*AC60</f>
        <v>0</v>
      </c>
      <c r="AD62" s="8" t="n">
        <f aca="false">AD58*AD60</f>
        <v>0</v>
      </c>
      <c r="AE62" s="8" t="n">
        <f aca="false">AE58*AE60</f>
        <v>0</v>
      </c>
      <c r="AF62" s="8" t="n">
        <f aca="false">AF58*AF60</f>
        <v>0</v>
      </c>
      <c r="AG62" s="8" t="n">
        <f aca="false">AG58*AG60</f>
        <v>0</v>
      </c>
      <c r="AH62" s="8" t="n">
        <f aca="false">AH58*AH60</f>
        <v>0</v>
      </c>
      <c r="AI62" s="8" t="n">
        <f aca="false">AI58*AI60</f>
        <v>0</v>
      </c>
      <c r="AJ62" s="8" t="n">
        <f aca="false">AJ58*AJ60</f>
        <v>0</v>
      </c>
      <c r="AK62" s="8" t="n">
        <f aca="false">AK58*AK60</f>
        <v>0</v>
      </c>
      <c r="AL62" s="8" t="n">
        <f aca="false">AL58*AL60</f>
        <v>0</v>
      </c>
      <c r="AM62" s="8" t="n">
        <f aca="false">AM58*AM60</f>
        <v>0</v>
      </c>
      <c r="AN62" s="8" t="n">
        <f aca="false">AN58*AN60</f>
        <v>0</v>
      </c>
      <c r="AO62" s="8" t="n">
        <f aca="false">AO58*AO60</f>
        <v>0</v>
      </c>
      <c r="AP62" s="8" t="n">
        <f aca="false">AP58*AP60</f>
        <v>0</v>
      </c>
      <c r="AQ62" s="8" t="n">
        <f aca="false">AQ58*AQ60</f>
        <v>0</v>
      </c>
      <c r="AR62" s="8" t="n">
        <f aca="false">AR58*AR60</f>
        <v>0</v>
      </c>
      <c r="AS62" s="8" t="n">
        <f aca="false">AS58*AS60</f>
        <v>0</v>
      </c>
    </row>
    <row r="63" customFormat="false" ht="15" hidden="false" customHeight="false" outlineLevel="0" collapsed="false">
      <c r="A63" s="6" t="s">
        <v>479</v>
      </c>
      <c r="B63" s="6" t="s">
        <v>480</v>
      </c>
      <c r="C63" s="43" t="n">
        <f aca="false">IF(VST_Assets!$H$2="$/kW",VST_Assets!$D$2*VST_Assets!$AI$2*(1+0.4*(PJMWLR/PJMWLRBase-1))/1000,0)</f>
        <v>0</v>
      </c>
      <c r="E63" s="8" t="n">
        <f aca="false">C63</f>
        <v>0</v>
      </c>
      <c r="G63" s="8" t="n">
        <f aca="false">0</f>
        <v>0</v>
      </c>
      <c r="H63" s="8" t="n">
        <f aca="false">0</f>
        <v>0</v>
      </c>
      <c r="I63" s="8" t="n">
        <f aca="false">0</f>
        <v>0</v>
      </c>
      <c r="J63" s="8" t="n">
        <f aca="false">0</f>
        <v>0</v>
      </c>
      <c r="K63" s="8" t="n">
        <f aca="false">0</f>
        <v>0</v>
      </c>
      <c r="L63" s="8" t="n">
        <f aca="false">0</f>
        <v>0</v>
      </c>
      <c r="M63" s="8" t="n">
        <f aca="false">0</f>
        <v>0</v>
      </c>
      <c r="N63" s="8" t="n">
        <f aca="false">0</f>
        <v>0</v>
      </c>
      <c r="O63" s="8" t="n">
        <f aca="false">0</f>
        <v>0</v>
      </c>
      <c r="P63" s="8" t="n">
        <f aca="false">0</f>
        <v>0</v>
      </c>
      <c r="Q63" s="8" t="n">
        <f aca="false">0</f>
        <v>0</v>
      </c>
      <c r="R63" s="8" t="n">
        <f aca="false">0</f>
        <v>0</v>
      </c>
      <c r="S63" s="8" t="n">
        <f aca="false">0</f>
        <v>0</v>
      </c>
      <c r="T63" s="8" t="n">
        <f aca="false">0</f>
        <v>0</v>
      </c>
      <c r="U63" s="8" t="n">
        <f aca="false">0</f>
        <v>0</v>
      </c>
      <c r="V63" s="8" t="n">
        <f aca="false">0</f>
        <v>0</v>
      </c>
      <c r="W63" s="8" t="n">
        <f aca="false">0</f>
        <v>0</v>
      </c>
      <c r="X63" s="8" t="n">
        <f aca="false">0</f>
        <v>0</v>
      </c>
      <c r="Y63" s="8" t="n">
        <f aca="false">0</f>
        <v>0</v>
      </c>
      <c r="Z63" s="8" t="n">
        <f aca="false">0</f>
        <v>0</v>
      </c>
      <c r="AA63" s="8" t="n">
        <f aca="false">0</f>
        <v>0</v>
      </c>
      <c r="AB63" s="8" t="n">
        <f aca="false">0</f>
        <v>0</v>
      </c>
      <c r="AC63" s="8" t="n">
        <f aca="false">0</f>
        <v>0</v>
      </c>
      <c r="AD63" s="8" t="n">
        <f aca="false">0</f>
        <v>0</v>
      </c>
      <c r="AE63" s="8" t="n">
        <f aca="false">0</f>
        <v>0</v>
      </c>
      <c r="AF63" s="8" t="n">
        <f aca="false">0</f>
        <v>0</v>
      </c>
      <c r="AG63" s="8" t="n">
        <f aca="false">0</f>
        <v>0</v>
      </c>
      <c r="AH63" s="8" t="n">
        <f aca="false">0</f>
        <v>0</v>
      </c>
      <c r="AI63" s="8" t="n">
        <f aca="false">0</f>
        <v>0</v>
      </c>
      <c r="AJ63" s="8" t="n">
        <f aca="false">0</f>
        <v>0</v>
      </c>
      <c r="AK63" s="8" t="n">
        <f aca="false">0</f>
        <v>0</v>
      </c>
      <c r="AL63" s="8" t="n">
        <f aca="false">0</f>
        <v>0</v>
      </c>
      <c r="AM63" s="8" t="n">
        <f aca="false">0</f>
        <v>0</v>
      </c>
      <c r="AN63" s="8" t="n">
        <f aca="false">0</f>
        <v>0</v>
      </c>
      <c r="AO63" s="8" t="n">
        <f aca="false">0</f>
        <v>0</v>
      </c>
      <c r="AP63" s="8" t="n">
        <f aca="false">0</f>
        <v>0</v>
      </c>
      <c r="AQ63" s="8" t="n">
        <f aca="false">0</f>
        <v>0</v>
      </c>
      <c r="AR63" s="8" t="n">
        <f aca="false">0</f>
        <v>0</v>
      </c>
      <c r="AS63" s="8" t="n">
        <f aca="false">0</f>
        <v>0</v>
      </c>
    </row>
    <row r="65" customFormat="false" ht="15" hidden="false" customHeight="false" outlineLevel="0" collapsed="false">
      <c r="A65" s="54" t="str">
        <f aca="false">VST_Assets!$A$3</f>
        <v>Nuclear - Perry + Davis-Besse (PJM ATSI) - Meta 20-yr PPAs</v>
      </c>
    </row>
    <row r="66" customFormat="false" ht="15" hidden="false" customHeight="false" outlineLevel="0" collapsed="false">
      <c r="A66" s="6" t="s">
        <v>425</v>
      </c>
      <c r="B66" s="6" t="s">
        <v>426</v>
      </c>
      <c r="G66" s="47" t="n">
        <f aca="false">IF(AND(G$3&gt;=VST_Assets!$E$3,G$3&lt;=VST_Assets!$F$3,VST_Assets!$H$3="Cashflow"),1,0)</f>
        <v>1</v>
      </c>
      <c r="H66" s="47" t="n">
        <f aca="false">IF(AND(H$3&gt;=VST_Assets!$E$3,H$3&lt;=VST_Assets!$F$3,VST_Assets!$H$3="Cashflow"),1,0)</f>
        <v>1</v>
      </c>
      <c r="I66" s="47" t="n">
        <f aca="false">IF(AND(I$3&gt;=VST_Assets!$E$3,I$3&lt;=VST_Assets!$F$3,VST_Assets!$H$3="Cashflow"),1,0)</f>
        <v>1</v>
      </c>
      <c r="J66" s="47" t="n">
        <f aca="false">IF(AND(J$3&gt;=VST_Assets!$E$3,J$3&lt;=VST_Assets!$F$3,VST_Assets!$H$3="Cashflow"),1,0)</f>
        <v>1</v>
      </c>
      <c r="K66" s="47" t="n">
        <f aca="false">IF(AND(K$3&gt;=VST_Assets!$E$3,K$3&lt;=VST_Assets!$F$3,VST_Assets!$H$3="Cashflow"),1,0)</f>
        <v>1</v>
      </c>
      <c r="L66" s="47" t="n">
        <f aca="false">IF(AND(L$3&gt;=VST_Assets!$E$3,L$3&lt;=VST_Assets!$F$3,VST_Assets!$H$3="Cashflow"),1,0)</f>
        <v>1</v>
      </c>
      <c r="M66" s="47" t="n">
        <f aca="false">IF(AND(M$3&gt;=VST_Assets!$E$3,M$3&lt;=VST_Assets!$F$3,VST_Assets!$H$3="Cashflow"),1,0)</f>
        <v>1</v>
      </c>
      <c r="N66" s="47" t="n">
        <f aca="false">IF(AND(N$3&gt;=VST_Assets!$E$3,N$3&lt;=VST_Assets!$F$3,VST_Assets!$H$3="Cashflow"),1,0)</f>
        <v>1</v>
      </c>
      <c r="O66" s="47" t="n">
        <f aca="false">IF(AND(O$3&gt;=VST_Assets!$E$3,O$3&lt;=VST_Assets!$F$3,VST_Assets!$H$3="Cashflow"),1,0)</f>
        <v>1</v>
      </c>
      <c r="P66" s="47" t="n">
        <f aca="false">IF(AND(P$3&gt;=VST_Assets!$E$3,P$3&lt;=VST_Assets!$F$3,VST_Assets!$H$3="Cashflow"),1,0)</f>
        <v>1</v>
      </c>
      <c r="Q66" s="47" t="n">
        <f aca="false">IF(AND(Q$3&gt;=VST_Assets!$E$3,Q$3&lt;=VST_Assets!$F$3,VST_Assets!$H$3="Cashflow"),1,0)</f>
        <v>1</v>
      </c>
      <c r="R66" s="47" t="n">
        <f aca="false">IF(AND(R$3&gt;=VST_Assets!$E$3,R$3&lt;=VST_Assets!$F$3,VST_Assets!$H$3="Cashflow"),1,0)</f>
        <v>1</v>
      </c>
      <c r="S66" s="47" t="n">
        <f aca="false">IF(AND(S$3&gt;=VST_Assets!$E$3,S$3&lt;=VST_Assets!$F$3,VST_Assets!$H$3="Cashflow"),1,0)</f>
        <v>1</v>
      </c>
      <c r="T66" s="47" t="n">
        <f aca="false">IF(AND(T$3&gt;=VST_Assets!$E$3,T$3&lt;=VST_Assets!$F$3,VST_Assets!$H$3="Cashflow"),1,0)</f>
        <v>1</v>
      </c>
      <c r="U66" s="47" t="n">
        <f aca="false">IF(AND(U$3&gt;=VST_Assets!$E$3,U$3&lt;=VST_Assets!$F$3,VST_Assets!$H$3="Cashflow"),1,0)</f>
        <v>1</v>
      </c>
      <c r="V66" s="47" t="n">
        <f aca="false">IF(AND(V$3&gt;=VST_Assets!$E$3,V$3&lt;=VST_Assets!$F$3,VST_Assets!$H$3="Cashflow"),1,0)</f>
        <v>1</v>
      </c>
      <c r="W66" s="47" t="n">
        <f aca="false">IF(AND(W$3&gt;=VST_Assets!$E$3,W$3&lt;=VST_Assets!$F$3,VST_Assets!$H$3="Cashflow"),1,0)</f>
        <v>1</v>
      </c>
      <c r="X66" s="47" t="n">
        <f aca="false">IF(AND(X$3&gt;=VST_Assets!$E$3,X$3&lt;=VST_Assets!$F$3,VST_Assets!$H$3="Cashflow"),1,0)</f>
        <v>1</v>
      </c>
      <c r="Y66" s="47" t="n">
        <f aca="false">IF(AND(Y$3&gt;=VST_Assets!$E$3,Y$3&lt;=VST_Assets!$F$3,VST_Assets!$H$3="Cashflow"),1,0)</f>
        <v>1</v>
      </c>
      <c r="Z66" s="47" t="n">
        <f aca="false">IF(AND(Z$3&gt;=VST_Assets!$E$3,Z$3&lt;=VST_Assets!$F$3,VST_Assets!$H$3="Cashflow"),1,0)</f>
        <v>1</v>
      </c>
      <c r="AA66" s="47" t="n">
        <f aca="false">IF(AND(AA$3&gt;=VST_Assets!$E$3,AA$3&lt;=VST_Assets!$F$3,VST_Assets!$H$3="Cashflow"),1,0)</f>
        <v>1</v>
      </c>
      <c r="AB66" s="47" t="n">
        <f aca="false">IF(AND(AB$3&gt;=VST_Assets!$E$3,AB$3&lt;=VST_Assets!$F$3,VST_Assets!$H$3="Cashflow"),1,0)</f>
        <v>1</v>
      </c>
      <c r="AC66" s="47" t="n">
        <f aca="false">IF(AND(AC$3&gt;=VST_Assets!$E$3,AC$3&lt;=VST_Assets!$F$3,VST_Assets!$H$3="Cashflow"),1,0)</f>
        <v>1</v>
      </c>
      <c r="AD66" s="47" t="n">
        <f aca="false">IF(AND(AD$3&gt;=VST_Assets!$E$3,AD$3&lt;=VST_Assets!$F$3,VST_Assets!$H$3="Cashflow"),1,0)</f>
        <v>1</v>
      </c>
      <c r="AE66" s="47" t="n">
        <f aca="false">IF(AND(AE$3&gt;=VST_Assets!$E$3,AE$3&lt;=VST_Assets!$F$3,VST_Assets!$H$3="Cashflow"),1,0)</f>
        <v>1</v>
      </c>
      <c r="AF66" s="47" t="n">
        <f aca="false">IF(AND(AF$3&gt;=VST_Assets!$E$3,AF$3&lt;=VST_Assets!$F$3,VST_Assets!$H$3="Cashflow"),1,0)</f>
        <v>1</v>
      </c>
      <c r="AG66" s="47" t="n">
        <f aca="false">IF(AND(AG$3&gt;=VST_Assets!$E$3,AG$3&lt;=VST_Assets!$F$3,VST_Assets!$H$3="Cashflow"),1,0)</f>
        <v>1</v>
      </c>
      <c r="AH66" s="47" t="n">
        <f aca="false">IF(AND(AH$3&gt;=VST_Assets!$E$3,AH$3&lt;=VST_Assets!$F$3,VST_Assets!$H$3="Cashflow"),1,0)</f>
        <v>1</v>
      </c>
      <c r="AI66" s="47" t="n">
        <f aca="false">IF(AND(AI$3&gt;=VST_Assets!$E$3,AI$3&lt;=VST_Assets!$F$3,VST_Assets!$H$3="Cashflow"),1,0)</f>
        <v>1</v>
      </c>
      <c r="AJ66" s="47" t="n">
        <f aca="false">IF(AND(AJ$3&gt;=VST_Assets!$E$3,AJ$3&lt;=VST_Assets!$F$3,VST_Assets!$H$3="Cashflow"),1,0)</f>
        <v>0</v>
      </c>
      <c r="AK66" s="47" t="n">
        <f aca="false">IF(AND(AK$3&gt;=VST_Assets!$E$3,AK$3&lt;=VST_Assets!$F$3,VST_Assets!$H$3="Cashflow"),1,0)</f>
        <v>0</v>
      </c>
      <c r="AL66" s="47" t="n">
        <f aca="false">IF(AND(AL$3&gt;=VST_Assets!$E$3,AL$3&lt;=VST_Assets!$F$3,VST_Assets!$H$3="Cashflow"),1,0)</f>
        <v>0</v>
      </c>
      <c r="AM66" s="47" t="n">
        <f aca="false">IF(AND(AM$3&gt;=VST_Assets!$E$3,AM$3&lt;=VST_Assets!$F$3,VST_Assets!$H$3="Cashflow"),1,0)</f>
        <v>0</v>
      </c>
      <c r="AN66" s="47" t="n">
        <f aca="false">IF(AND(AN$3&gt;=VST_Assets!$E$3,AN$3&lt;=VST_Assets!$F$3,VST_Assets!$H$3="Cashflow"),1,0)</f>
        <v>0</v>
      </c>
      <c r="AO66" s="47" t="n">
        <f aca="false">IF(AND(AO$3&gt;=VST_Assets!$E$3,AO$3&lt;=VST_Assets!$F$3,VST_Assets!$H$3="Cashflow"),1,0)</f>
        <v>0</v>
      </c>
      <c r="AP66" s="47" t="n">
        <f aca="false">IF(AND(AP$3&gt;=VST_Assets!$E$3,AP$3&lt;=VST_Assets!$F$3,VST_Assets!$H$3="Cashflow"),1,0)</f>
        <v>0</v>
      </c>
      <c r="AQ66" s="47" t="n">
        <f aca="false">IF(AND(AQ$3&gt;=VST_Assets!$E$3,AQ$3&lt;=VST_Assets!$F$3,VST_Assets!$H$3="Cashflow"),1,0)</f>
        <v>0</v>
      </c>
      <c r="AR66" s="47" t="n">
        <f aca="false">IF(AND(AR$3&gt;=VST_Assets!$E$3,AR$3&lt;=VST_Assets!$F$3,VST_Assets!$H$3="Cashflow"),1,0)</f>
        <v>0</v>
      </c>
      <c r="AS66" s="47" t="n">
        <f aca="false">IF(AND(AS$3&gt;=VST_Assets!$E$3,AS$3&lt;=VST_Assets!$F$3,VST_Assets!$H$3="Cashflow"),1,0)</f>
        <v>0</v>
      </c>
    </row>
    <row r="67" customFormat="false" ht="15" hidden="false" customHeight="false" outlineLevel="0" collapsed="false">
      <c r="A67" s="6" t="s">
        <v>427</v>
      </c>
      <c r="B67" s="6" t="s">
        <v>428</v>
      </c>
      <c r="G67" s="9" t="n">
        <f aca="false">IF(AND(G$3&gt;=VST_Assets!$AA$3,G$3&lt;=VST_Assets!$AB$3),MIN(VST_Assets!$D$3,VST_Assets!$Z$3*MIN(1,(G$3-VST_Assets!$AA$3+1)/MAX(1,VST_Assets!$AC$3))),0)*G66</f>
        <v>1088</v>
      </c>
      <c r="H67" s="9" t="n">
        <f aca="false">IF(AND(H$3&gt;=VST_Assets!$AA$3,H$3&lt;=VST_Assets!$AB$3),MIN(VST_Assets!$D$3,VST_Assets!$Z$3*MIN(1,(H$3-VST_Assets!$AA$3+1)/MAX(1,VST_Assets!$AC$3))),0)*H66</f>
        <v>2176</v>
      </c>
      <c r="I67" s="9" t="n">
        <f aca="false">IF(AND(I$3&gt;=VST_Assets!$AA$3,I$3&lt;=VST_Assets!$AB$3),MIN(VST_Assets!$D$3,VST_Assets!$Z$3*MIN(1,(I$3-VST_Assets!$AA$3+1)/MAX(1,VST_Assets!$AC$3))),0)*I66</f>
        <v>2176</v>
      </c>
      <c r="J67" s="9" t="n">
        <f aca="false">IF(AND(J$3&gt;=VST_Assets!$AA$3,J$3&lt;=VST_Assets!$AB$3),MIN(VST_Assets!$D$3,VST_Assets!$Z$3*MIN(1,(J$3-VST_Assets!$AA$3+1)/MAX(1,VST_Assets!$AC$3))),0)*J66</f>
        <v>2176</v>
      </c>
      <c r="K67" s="9" t="n">
        <f aca="false">IF(AND(K$3&gt;=VST_Assets!$AA$3,K$3&lt;=VST_Assets!$AB$3),MIN(VST_Assets!$D$3,VST_Assets!$Z$3*MIN(1,(K$3-VST_Assets!$AA$3+1)/MAX(1,VST_Assets!$AC$3))),0)*K66</f>
        <v>2176</v>
      </c>
      <c r="L67" s="9" t="n">
        <f aca="false">IF(AND(L$3&gt;=VST_Assets!$AA$3,L$3&lt;=VST_Assets!$AB$3),MIN(VST_Assets!$D$3,VST_Assets!$Z$3*MIN(1,(L$3-VST_Assets!$AA$3+1)/MAX(1,VST_Assets!$AC$3))),0)*L66</f>
        <v>2176</v>
      </c>
      <c r="M67" s="9" t="n">
        <f aca="false">IF(AND(M$3&gt;=VST_Assets!$AA$3,M$3&lt;=VST_Assets!$AB$3),MIN(VST_Assets!$D$3,VST_Assets!$Z$3*MIN(1,(M$3-VST_Assets!$AA$3+1)/MAX(1,VST_Assets!$AC$3))),0)*M66</f>
        <v>2176</v>
      </c>
      <c r="N67" s="9" t="n">
        <f aca="false">IF(AND(N$3&gt;=VST_Assets!$AA$3,N$3&lt;=VST_Assets!$AB$3),MIN(VST_Assets!$D$3,VST_Assets!$Z$3*MIN(1,(N$3-VST_Assets!$AA$3+1)/MAX(1,VST_Assets!$AC$3))),0)*N66</f>
        <v>2176</v>
      </c>
      <c r="O67" s="9" t="n">
        <f aca="false">IF(AND(O$3&gt;=VST_Assets!$AA$3,O$3&lt;=VST_Assets!$AB$3),MIN(VST_Assets!$D$3,VST_Assets!$Z$3*MIN(1,(O$3-VST_Assets!$AA$3+1)/MAX(1,VST_Assets!$AC$3))),0)*O66</f>
        <v>2176</v>
      </c>
      <c r="P67" s="9" t="n">
        <f aca="false">IF(AND(P$3&gt;=VST_Assets!$AA$3,P$3&lt;=VST_Assets!$AB$3),MIN(VST_Assets!$D$3,VST_Assets!$Z$3*MIN(1,(P$3-VST_Assets!$AA$3+1)/MAX(1,VST_Assets!$AC$3))),0)*P66</f>
        <v>2176</v>
      </c>
      <c r="Q67" s="9" t="n">
        <f aca="false">IF(AND(Q$3&gt;=VST_Assets!$AA$3,Q$3&lt;=VST_Assets!$AB$3),MIN(VST_Assets!$D$3,VST_Assets!$Z$3*MIN(1,(Q$3-VST_Assets!$AA$3+1)/MAX(1,VST_Assets!$AC$3))),0)*Q66</f>
        <v>2176</v>
      </c>
      <c r="R67" s="9" t="n">
        <f aca="false">IF(AND(R$3&gt;=VST_Assets!$AA$3,R$3&lt;=VST_Assets!$AB$3),MIN(VST_Assets!$D$3,VST_Assets!$Z$3*MIN(1,(R$3-VST_Assets!$AA$3+1)/MAX(1,VST_Assets!$AC$3))),0)*R66</f>
        <v>2176</v>
      </c>
      <c r="S67" s="9" t="n">
        <f aca="false">IF(AND(S$3&gt;=VST_Assets!$AA$3,S$3&lt;=VST_Assets!$AB$3),MIN(VST_Assets!$D$3,VST_Assets!$Z$3*MIN(1,(S$3-VST_Assets!$AA$3+1)/MAX(1,VST_Assets!$AC$3))),0)*S66</f>
        <v>2176</v>
      </c>
      <c r="T67" s="9" t="n">
        <f aca="false">IF(AND(T$3&gt;=VST_Assets!$AA$3,T$3&lt;=VST_Assets!$AB$3),MIN(VST_Assets!$D$3,VST_Assets!$Z$3*MIN(1,(T$3-VST_Assets!$AA$3+1)/MAX(1,VST_Assets!$AC$3))),0)*T66</f>
        <v>2176</v>
      </c>
      <c r="U67" s="9" t="n">
        <f aca="false">IF(AND(U$3&gt;=VST_Assets!$AA$3,U$3&lt;=VST_Assets!$AB$3),MIN(VST_Assets!$D$3,VST_Assets!$Z$3*MIN(1,(U$3-VST_Assets!$AA$3+1)/MAX(1,VST_Assets!$AC$3))),0)*U66</f>
        <v>2176</v>
      </c>
      <c r="V67" s="9" t="n">
        <f aca="false">IF(AND(V$3&gt;=VST_Assets!$AA$3,V$3&lt;=VST_Assets!$AB$3),MIN(VST_Assets!$D$3,VST_Assets!$Z$3*MIN(1,(V$3-VST_Assets!$AA$3+1)/MAX(1,VST_Assets!$AC$3))),0)*V66</f>
        <v>2176</v>
      </c>
      <c r="W67" s="9" t="n">
        <f aca="false">IF(AND(W$3&gt;=VST_Assets!$AA$3,W$3&lt;=VST_Assets!$AB$3),MIN(VST_Assets!$D$3,VST_Assets!$Z$3*MIN(1,(W$3-VST_Assets!$AA$3+1)/MAX(1,VST_Assets!$AC$3))),0)*W66</f>
        <v>2176</v>
      </c>
      <c r="X67" s="9" t="n">
        <f aca="false">IF(AND(X$3&gt;=VST_Assets!$AA$3,X$3&lt;=VST_Assets!$AB$3),MIN(VST_Assets!$D$3,VST_Assets!$Z$3*MIN(1,(X$3-VST_Assets!$AA$3+1)/MAX(1,VST_Assets!$AC$3))),0)*X66</f>
        <v>2176</v>
      </c>
      <c r="Y67" s="9" t="n">
        <f aca="false">IF(AND(Y$3&gt;=VST_Assets!$AA$3,Y$3&lt;=VST_Assets!$AB$3),MIN(VST_Assets!$D$3,VST_Assets!$Z$3*MIN(1,(Y$3-VST_Assets!$AA$3+1)/MAX(1,VST_Assets!$AC$3))),0)*Y66</f>
        <v>2176</v>
      </c>
      <c r="Z67" s="9" t="n">
        <f aca="false">IF(AND(Z$3&gt;=VST_Assets!$AA$3,Z$3&lt;=VST_Assets!$AB$3),MIN(VST_Assets!$D$3,VST_Assets!$Z$3*MIN(1,(Z$3-VST_Assets!$AA$3+1)/MAX(1,VST_Assets!$AC$3))),0)*Z66</f>
        <v>2176</v>
      </c>
      <c r="AA67" s="9" t="n">
        <f aca="false">IF(AND(AA$3&gt;=VST_Assets!$AA$3,AA$3&lt;=VST_Assets!$AB$3),MIN(VST_Assets!$D$3,VST_Assets!$Z$3*MIN(1,(AA$3-VST_Assets!$AA$3+1)/MAX(1,VST_Assets!$AC$3))),0)*AA66</f>
        <v>2176</v>
      </c>
      <c r="AB67" s="9" t="n">
        <f aca="false">IF(AND(AB$3&gt;=VST_Assets!$AA$3,AB$3&lt;=VST_Assets!$AB$3),MIN(VST_Assets!$D$3,VST_Assets!$Z$3*MIN(1,(AB$3-VST_Assets!$AA$3+1)/MAX(1,VST_Assets!$AC$3))),0)*AB66</f>
        <v>0</v>
      </c>
      <c r="AC67" s="9" t="n">
        <f aca="false">IF(AND(AC$3&gt;=VST_Assets!$AA$3,AC$3&lt;=VST_Assets!$AB$3),MIN(VST_Assets!$D$3,VST_Assets!$Z$3*MIN(1,(AC$3-VST_Assets!$AA$3+1)/MAX(1,VST_Assets!$AC$3))),0)*AC66</f>
        <v>0</v>
      </c>
      <c r="AD67" s="9" t="n">
        <f aca="false">IF(AND(AD$3&gt;=VST_Assets!$AA$3,AD$3&lt;=VST_Assets!$AB$3),MIN(VST_Assets!$D$3,VST_Assets!$Z$3*MIN(1,(AD$3-VST_Assets!$AA$3+1)/MAX(1,VST_Assets!$AC$3))),0)*AD66</f>
        <v>0</v>
      </c>
      <c r="AE67" s="9" t="n">
        <f aca="false">IF(AND(AE$3&gt;=VST_Assets!$AA$3,AE$3&lt;=VST_Assets!$AB$3),MIN(VST_Assets!$D$3,VST_Assets!$Z$3*MIN(1,(AE$3-VST_Assets!$AA$3+1)/MAX(1,VST_Assets!$AC$3))),0)*AE66</f>
        <v>0</v>
      </c>
      <c r="AF67" s="9" t="n">
        <f aca="false">IF(AND(AF$3&gt;=VST_Assets!$AA$3,AF$3&lt;=VST_Assets!$AB$3),MIN(VST_Assets!$D$3,VST_Assets!$Z$3*MIN(1,(AF$3-VST_Assets!$AA$3+1)/MAX(1,VST_Assets!$AC$3))),0)*AF66</f>
        <v>0</v>
      </c>
      <c r="AG67" s="9" t="n">
        <f aca="false">IF(AND(AG$3&gt;=VST_Assets!$AA$3,AG$3&lt;=VST_Assets!$AB$3),MIN(VST_Assets!$D$3,VST_Assets!$Z$3*MIN(1,(AG$3-VST_Assets!$AA$3+1)/MAX(1,VST_Assets!$AC$3))),0)*AG66</f>
        <v>0</v>
      </c>
      <c r="AH67" s="9" t="n">
        <f aca="false">IF(AND(AH$3&gt;=VST_Assets!$AA$3,AH$3&lt;=VST_Assets!$AB$3),MIN(VST_Assets!$D$3,VST_Assets!$Z$3*MIN(1,(AH$3-VST_Assets!$AA$3+1)/MAX(1,VST_Assets!$AC$3))),0)*AH66</f>
        <v>0</v>
      </c>
      <c r="AI67" s="9" t="n">
        <f aca="false">IF(AND(AI$3&gt;=VST_Assets!$AA$3,AI$3&lt;=VST_Assets!$AB$3),MIN(VST_Assets!$D$3,VST_Assets!$Z$3*MIN(1,(AI$3-VST_Assets!$AA$3+1)/MAX(1,VST_Assets!$AC$3))),0)*AI66</f>
        <v>0</v>
      </c>
      <c r="AJ67" s="9" t="n">
        <f aca="false">IF(AND(AJ$3&gt;=VST_Assets!$AA$3,AJ$3&lt;=VST_Assets!$AB$3),MIN(VST_Assets!$D$3,VST_Assets!$Z$3*MIN(1,(AJ$3-VST_Assets!$AA$3+1)/MAX(1,VST_Assets!$AC$3))),0)*AJ66</f>
        <v>0</v>
      </c>
      <c r="AK67" s="9" t="n">
        <f aca="false">IF(AND(AK$3&gt;=VST_Assets!$AA$3,AK$3&lt;=VST_Assets!$AB$3),MIN(VST_Assets!$D$3,VST_Assets!$Z$3*MIN(1,(AK$3-VST_Assets!$AA$3+1)/MAX(1,VST_Assets!$AC$3))),0)*AK66</f>
        <v>0</v>
      </c>
      <c r="AL67" s="9" t="n">
        <f aca="false">IF(AND(AL$3&gt;=VST_Assets!$AA$3,AL$3&lt;=VST_Assets!$AB$3),MIN(VST_Assets!$D$3,VST_Assets!$Z$3*MIN(1,(AL$3-VST_Assets!$AA$3+1)/MAX(1,VST_Assets!$AC$3))),0)*AL66</f>
        <v>0</v>
      </c>
      <c r="AM67" s="9" t="n">
        <f aca="false">IF(AND(AM$3&gt;=VST_Assets!$AA$3,AM$3&lt;=VST_Assets!$AB$3),MIN(VST_Assets!$D$3,VST_Assets!$Z$3*MIN(1,(AM$3-VST_Assets!$AA$3+1)/MAX(1,VST_Assets!$AC$3))),0)*AM66</f>
        <v>0</v>
      </c>
      <c r="AN67" s="9" t="n">
        <f aca="false">IF(AND(AN$3&gt;=VST_Assets!$AA$3,AN$3&lt;=VST_Assets!$AB$3),MIN(VST_Assets!$D$3,VST_Assets!$Z$3*MIN(1,(AN$3-VST_Assets!$AA$3+1)/MAX(1,VST_Assets!$AC$3))),0)*AN66</f>
        <v>0</v>
      </c>
      <c r="AO67" s="9" t="n">
        <f aca="false">IF(AND(AO$3&gt;=VST_Assets!$AA$3,AO$3&lt;=VST_Assets!$AB$3),MIN(VST_Assets!$D$3,VST_Assets!$Z$3*MIN(1,(AO$3-VST_Assets!$AA$3+1)/MAX(1,VST_Assets!$AC$3))),0)*AO66</f>
        <v>0</v>
      </c>
      <c r="AP67" s="9" t="n">
        <f aca="false">IF(AND(AP$3&gt;=VST_Assets!$AA$3,AP$3&lt;=VST_Assets!$AB$3),MIN(VST_Assets!$D$3,VST_Assets!$Z$3*MIN(1,(AP$3-VST_Assets!$AA$3+1)/MAX(1,VST_Assets!$AC$3))),0)*AP66</f>
        <v>0</v>
      </c>
      <c r="AQ67" s="9" t="n">
        <f aca="false">IF(AND(AQ$3&gt;=VST_Assets!$AA$3,AQ$3&lt;=VST_Assets!$AB$3),MIN(VST_Assets!$D$3,VST_Assets!$Z$3*MIN(1,(AQ$3-VST_Assets!$AA$3+1)/MAX(1,VST_Assets!$AC$3))),0)*AQ66</f>
        <v>0</v>
      </c>
      <c r="AR67" s="9" t="n">
        <f aca="false">IF(AND(AR$3&gt;=VST_Assets!$AA$3,AR$3&lt;=VST_Assets!$AB$3),MIN(VST_Assets!$D$3,VST_Assets!$Z$3*MIN(1,(AR$3-VST_Assets!$AA$3+1)/MAX(1,VST_Assets!$AC$3))),0)*AR66</f>
        <v>0</v>
      </c>
      <c r="AS67" s="9" t="n">
        <f aca="false">IF(AND(AS$3&gt;=VST_Assets!$AA$3,AS$3&lt;=VST_Assets!$AB$3),MIN(VST_Assets!$D$3,VST_Assets!$Z$3*MIN(1,(AS$3-VST_Assets!$AA$3+1)/MAX(1,VST_Assets!$AC$3))),0)*AS66</f>
        <v>0</v>
      </c>
    </row>
    <row r="68" customFormat="false" ht="15" hidden="false" customHeight="false" outlineLevel="0" collapsed="false">
      <c r="A68" s="6" t="s">
        <v>429</v>
      </c>
      <c r="B68" s="6" t="s">
        <v>430</v>
      </c>
      <c r="G68" s="9" t="n">
        <f aca="false">(VST_Assets!$D$3-G67)*8760*VST_Assets!$I$3*G66</f>
        <v>8911372.8</v>
      </c>
      <c r="H68" s="9" t="n">
        <f aca="false">(VST_Assets!$D$3-H67)*8760*VST_Assets!$I$3*H66</f>
        <v>0</v>
      </c>
      <c r="I68" s="9" t="n">
        <f aca="false">(VST_Assets!$D$3-I67)*8760*VST_Assets!$I$3*I66</f>
        <v>0</v>
      </c>
      <c r="J68" s="9" t="n">
        <f aca="false">(VST_Assets!$D$3-J67)*8760*VST_Assets!$I$3*J66</f>
        <v>0</v>
      </c>
      <c r="K68" s="9" t="n">
        <f aca="false">(VST_Assets!$D$3-K67)*8760*VST_Assets!$I$3*K66</f>
        <v>0</v>
      </c>
      <c r="L68" s="9" t="n">
        <f aca="false">(VST_Assets!$D$3-L67)*8760*VST_Assets!$I$3*L66</f>
        <v>0</v>
      </c>
      <c r="M68" s="9" t="n">
        <f aca="false">(VST_Assets!$D$3-M67)*8760*VST_Assets!$I$3*M66</f>
        <v>0</v>
      </c>
      <c r="N68" s="9" t="n">
        <f aca="false">(VST_Assets!$D$3-N67)*8760*VST_Assets!$I$3*N66</f>
        <v>0</v>
      </c>
      <c r="O68" s="9" t="n">
        <f aca="false">(VST_Assets!$D$3-O67)*8760*VST_Assets!$I$3*O66</f>
        <v>0</v>
      </c>
      <c r="P68" s="9" t="n">
        <f aca="false">(VST_Assets!$D$3-P67)*8760*VST_Assets!$I$3*P66</f>
        <v>0</v>
      </c>
      <c r="Q68" s="9" t="n">
        <f aca="false">(VST_Assets!$D$3-Q67)*8760*VST_Assets!$I$3*Q66</f>
        <v>0</v>
      </c>
      <c r="R68" s="9" t="n">
        <f aca="false">(VST_Assets!$D$3-R67)*8760*VST_Assets!$I$3*R66</f>
        <v>0</v>
      </c>
      <c r="S68" s="9" t="n">
        <f aca="false">(VST_Assets!$D$3-S67)*8760*VST_Assets!$I$3*S66</f>
        <v>0</v>
      </c>
      <c r="T68" s="9" t="n">
        <f aca="false">(VST_Assets!$D$3-T67)*8760*VST_Assets!$I$3*T66</f>
        <v>0</v>
      </c>
      <c r="U68" s="9" t="n">
        <f aca="false">(VST_Assets!$D$3-U67)*8760*VST_Assets!$I$3*U66</f>
        <v>0</v>
      </c>
      <c r="V68" s="9" t="n">
        <f aca="false">(VST_Assets!$D$3-V67)*8760*VST_Assets!$I$3*V66</f>
        <v>0</v>
      </c>
      <c r="W68" s="9" t="n">
        <f aca="false">(VST_Assets!$D$3-W67)*8760*VST_Assets!$I$3*W66</f>
        <v>0</v>
      </c>
      <c r="X68" s="9" t="n">
        <f aca="false">(VST_Assets!$D$3-X67)*8760*VST_Assets!$I$3*X66</f>
        <v>0</v>
      </c>
      <c r="Y68" s="9" t="n">
        <f aca="false">(VST_Assets!$D$3-Y67)*8760*VST_Assets!$I$3*Y66</f>
        <v>0</v>
      </c>
      <c r="Z68" s="9" t="n">
        <f aca="false">(VST_Assets!$D$3-Z67)*8760*VST_Assets!$I$3*Z66</f>
        <v>0</v>
      </c>
      <c r="AA68" s="9" t="n">
        <f aca="false">(VST_Assets!$D$3-AA67)*8760*VST_Assets!$I$3*AA66</f>
        <v>0</v>
      </c>
      <c r="AB68" s="9" t="n">
        <f aca="false">(VST_Assets!$D$3-AB67)*8760*VST_Assets!$I$3*AB66</f>
        <v>17822745.6</v>
      </c>
      <c r="AC68" s="9" t="n">
        <f aca="false">(VST_Assets!$D$3-AC67)*8760*VST_Assets!$I$3*AC66</f>
        <v>17822745.6</v>
      </c>
      <c r="AD68" s="9" t="n">
        <f aca="false">(VST_Assets!$D$3-AD67)*8760*VST_Assets!$I$3*AD66</f>
        <v>17822745.6</v>
      </c>
      <c r="AE68" s="9" t="n">
        <f aca="false">(VST_Assets!$D$3-AE67)*8760*VST_Assets!$I$3*AE66</f>
        <v>17822745.6</v>
      </c>
      <c r="AF68" s="9" t="n">
        <f aca="false">(VST_Assets!$D$3-AF67)*8760*VST_Assets!$I$3*AF66</f>
        <v>17822745.6</v>
      </c>
      <c r="AG68" s="9" t="n">
        <f aca="false">(VST_Assets!$D$3-AG67)*8760*VST_Assets!$I$3*AG66</f>
        <v>17822745.6</v>
      </c>
      <c r="AH68" s="9" t="n">
        <f aca="false">(VST_Assets!$D$3-AH67)*8760*VST_Assets!$I$3*AH66</f>
        <v>17822745.6</v>
      </c>
      <c r="AI68" s="9" t="n">
        <f aca="false">(VST_Assets!$D$3-AI67)*8760*VST_Assets!$I$3*AI66</f>
        <v>17822745.6</v>
      </c>
      <c r="AJ68" s="9" t="n">
        <f aca="false">(VST_Assets!$D$3-AJ67)*8760*VST_Assets!$I$3*AJ66</f>
        <v>0</v>
      </c>
      <c r="AK68" s="9" t="n">
        <f aca="false">(VST_Assets!$D$3-AK67)*8760*VST_Assets!$I$3*AK66</f>
        <v>0</v>
      </c>
      <c r="AL68" s="9" t="n">
        <f aca="false">(VST_Assets!$D$3-AL67)*8760*VST_Assets!$I$3*AL66</f>
        <v>0</v>
      </c>
      <c r="AM68" s="9" t="n">
        <f aca="false">(VST_Assets!$D$3-AM67)*8760*VST_Assets!$I$3*AM66</f>
        <v>0</v>
      </c>
      <c r="AN68" s="9" t="n">
        <f aca="false">(VST_Assets!$D$3-AN67)*8760*VST_Assets!$I$3*AN66</f>
        <v>0</v>
      </c>
      <c r="AO68" s="9" t="n">
        <f aca="false">(VST_Assets!$D$3-AO67)*8760*VST_Assets!$I$3*AO66</f>
        <v>0</v>
      </c>
      <c r="AP68" s="9" t="n">
        <f aca="false">(VST_Assets!$D$3-AP67)*8760*VST_Assets!$I$3*AP66</f>
        <v>0</v>
      </c>
      <c r="AQ68" s="9" t="n">
        <f aca="false">(VST_Assets!$D$3-AQ67)*8760*VST_Assets!$I$3*AQ66</f>
        <v>0</v>
      </c>
      <c r="AR68" s="9" t="n">
        <f aca="false">(VST_Assets!$D$3-AR67)*8760*VST_Assets!$I$3*AR66</f>
        <v>0</v>
      </c>
      <c r="AS68" s="9" t="n">
        <f aca="false">(VST_Assets!$D$3-AS67)*8760*VST_Assets!$I$3*AS66</f>
        <v>0</v>
      </c>
    </row>
    <row r="69" customFormat="false" ht="15" hidden="false" customHeight="false" outlineLevel="0" collapsed="false">
      <c r="A69" s="6" t="s">
        <v>431</v>
      </c>
      <c r="B69" s="6" t="s">
        <v>432</v>
      </c>
      <c r="G69" s="9" t="n">
        <f aca="false">G67*8760*VST_Assets!$I$3*G66</f>
        <v>8911372.8</v>
      </c>
      <c r="H69" s="9" t="n">
        <f aca="false">H67*8760*VST_Assets!$I$3*H66</f>
        <v>17822745.6</v>
      </c>
      <c r="I69" s="9" t="n">
        <f aca="false">I67*8760*VST_Assets!$I$3*I66</f>
        <v>17822745.6</v>
      </c>
      <c r="J69" s="9" t="n">
        <f aca="false">J67*8760*VST_Assets!$I$3*J66</f>
        <v>17822745.6</v>
      </c>
      <c r="K69" s="9" t="n">
        <f aca="false">K67*8760*VST_Assets!$I$3*K66</f>
        <v>17822745.6</v>
      </c>
      <c r="L69" s="9" t="n">
        <f aca="false">L67*8760*VST_Assets!$I$3*L66</f>
        <v>17822745.6</v>
      </c>
      <c r="M69" s="9" t="n">
        <f aca="false">M67*8760*VST_Assets!$I$3*M66</f>
        <v>17822745.6</v>
      </c>
      <c r="N69" s="9" t="n">
        <f aca="false">N67*8760*VST_Assets!$I$3*N66</f>
        <v>17822745.6</v>
      </c>
      <c r="O69" s="9" t="n">
        <f aca="false">O67*8760*VST_Assets!$I$3*O66</f>
        <v>17822745.6</v>
      </c>
      <c r="P69" s="9" t="n">
        <f aca="false">P67*8760*VST_Assets!$I$3*P66</f>
        <v>17822745.6</v>
      </c>
      <c r="Q69" s="9" t="n">
        <f aca="false">Q67*8760*VST_Assets!$I$3*Q66</f>
        <v>17822745.6</v>
      </c>
      <c r="R69" s="9" t="n">
        <f aca="false">R67*8760*VST_Assets!$I$3*R66</f>
        <v>17822745.6</v>
      </c>
      <c r="S69" s="9" t="n">
        <f aca="false">S67*8760*VST_Assets!$I$3*S66</f>
        <v>17822745.6</v>
      </c>
      <c r="T69" s="9" t="n">
        <f aca="false">T67*8760*VST_Assets!$I$3*T66</f>
        <v>17822745.6</v>
      </c>
      <c r="U69" s="9" t="n">
        <f aca="false">U67*8760*VST_Assets!$I$3*U66</f>
        <v>17822745.6</v>
      </c>
      <c r="V69" s="9" t="n">
        <f aca="false">V67*8760*VST_Assets!$I$3*V66</f>
        <v>17822745.6</v>
      </c>
      <c r="W69" s="9" t="n">
        <f aca="false">W67*8760*VST_Assets!$I$3*W66</f>
        <v>17822745.6</v>
      </c>
      <c r="X69" s="9" t="n">
        <f aca="false">X67*8760*VST_Assets!$I$3*X66</f>
        <v>17822745.6</v>
      </c>
      <c r="Y69" s="9" t="n">
        <f aca="false">Y67*8760*VST_Assets!$I$3*Y66</f>
        <v>17822745.6</v>
      </c>
      <c r="Z69" s="9" t="n">
        <f aca="false">Z67*8760*VST_Assets!$I$3*Z66</f>
        <v>17822745.6</v>
      </c>
      <c r="AA69" s="9" t="n">
        <f aca="false">AA67*8760*VST_Assets!$I$3*AA66</f>
        <v>17822745.6</v>
      </c>
      <c r="AB69" s="9" t="n">
        <f aca="false">AB67*8760*VST_Assets!$I$3*AB66</f>
        <v>0</v>
      </c>
      <c r="AC69" s="9" t="n">
        <f aca="false">AC67*8760*VST_Assets!$I$3*AC66</f>
        <v>0</v>
      </c>
      <c r="AD69" s="9" t="n">
        <f aca="false">AD67*8760*VST_Assets!$I$3*AD66</f>
        <v>0</v>
      </c>
      <c r="AE69" s="9" t="n">
        <f aca="false">AE67*8760*VST_Assets!$I$3*AE66</f>
        <v>0</v>
      </c>
      <c r="AF69" s="9" t="n">
        <f aca="false">AF67*8760*VST_Assets!$I$3*AF66</f>
        <v>0</v>
      </c>
      <c r="AG69" s="9" t="n">
        <f aca="false">AG67*8760*VST_Assets!$I$3*AG66</f>
        <v>0</v>
      </c>
      <c r="AH69" s="9" t="n">
        <f aca="false">AH67*8760*VST_Assets!$I$3*AH66</f>
        <v>0</v>
      </c>
      <c r="AI69" s="9" t="n">
        <f aca="false">AI67*8760*VST_Assets!$I$3*AI66</f>
        <v>0</v>
      </c>
      <c r="AJ69" s="9" t="n">
        <f aca="false">AJ67*8760*VST_Assets!$I$3*AJ66</f>
        <v>0</v>
      </c>
      <c r="AK69" s="9" t="n">
        <f aca="false">AK67*8760*VST_Assets!$I$3*AK66</f>
        <v>0</v>
      </c>
      <c r="AL69" s="9" t="n">
        <f aca="false">AL67*8760*VST_Assets!$I$3*AL66</f>
        <v>0</v>
      </c>
      <c r="AM69" s="9" t="n">
        <f aca="false">AM67*8760*VST_Assets!$I$3*AM66</f>
        <v>0</v>
      </c>
      <c r="AN69" s="9" t="n">
        <f aca="false">AN67*8760*VST_Assets!$I$3*AN66</f>
        <v>0</v>
      </c>
      <c r="AO69" s="9" t="n">
        <f aca="false">AO67*8760*VST_Assets!$I$3*AO66</f>
        <v>0</v>
      </c>
      <c r="AP69" s="9" t="n">
        <f aca="false">AP67*8760*VST_Assets!$I$3*AP66</f>
        <v>0</v>
      </c>
      <c r="AQ69" s="9" t="n">
        <f aca="false">AQ67*8760*VST_Assets!$I$3*AQ66</f>
        <v>0</v>
      </c>
      <c r="AR69" s="9" t="n">
        <f aca="false">AR67*8760*VST_Assets!$I$3*AR66</f>
        <v>0</v>
      </c>
      <c r="AS69" s="9" t="n">
        <f aca="false">AS67*8760*VST_Assets!$I$3*AS66</f>
        <v>0</v>
      </c>
    </row>
    <row r="70" customFormat="false" ht="15" hidden="false" customHeight="false" outlineLevel="0" collapsed="false">
      <c r="A70" s="6" t="s">
        <v>433</v>
      </c>
      <c r="B70" s="6" t="s">
        <v>434</v>
      </c>
      <c r="G70" s="7" t="n">
        <f aca="false">IF(ISNUMBER(VST_Assets!$L$3),VST_Assets!$L$3*G$4,INDEX(Prices!G:G,VST_Assets!$AO$3)+FuelAdder*G$4)</f>
        <v>3.927</v>
      </c>
      <c r="H70" s="7" t="n">
        <f aca="false">IF(ISNUMBER(VST_Assets!$L$3),VST_Assets!$L$3*H$4,INDEX(Prices!H:H,VST_Assets!$AO$3)+FuelAdder*H$4)</f>
        <v>4.00554</v>
      </c>
      <c r="I70" s="7" t="n">
        <f aca="false">IF(ISNUMBER(VST_Assets!$L$3),VST_Assets!$L$3*I$4,INDEX(Prices!I:I,VST_Assets!$AO$3)+FuelAdder*I$4)</f>
        <v>4.1917716</v>
      </c>
      <c r="J70" s="7" t="n">
        <f aca="false">IF(ISNUMBER(VST_Assets!$L$3),VST_Assets!$L$3*J$4,INDEX(Prices!J:J,VST_Assets!$AO$3)+FuelAdder*J$4)</f>
        <v>4.275607032</v>
      </c>
      <c r="K70" s="7" t="n">
        <f aca="false">IF(ISNUMBER(VST_Assets!$L$3),VST_Assets!$L$3*K$4,INDEX(Prices!K:K,VST_Assets!$AO$3)+FuelAdder*K$4)</f>
        <v>4.36111917264</v>
      </c>
      <c r="L70" s="7" t="n">
        <f aca="false">IF(ISNUMBER(VST_Assets!$L$3),VST_Assets!$L$3*L$4,INDEX(Prices!L:L,VST_Assets!$AO$3)+FuelAdder*L$4)</f>
        <v>4.4483415560928</v>
      </c>
      <c r="M70" s="7" t="n">
        <f aca="false">IF(ISNUMBER(VST_Assets!$L$3),VST_Assets!$L$3*M$4,INDEX(Prices!M:M,VST_Assets!$AO$3)+FuelAdder*M$4)</f>
        <v>4.53730838721466</v>
      </c>
      <c r="N70" s="7" t="n">
        <f aca="false">IF(ISNUMBER(VST_Assets!$L$3),VST_Assets!$L$3*N$4,INDEX(Prices!N:N,VST_Assets!$AO$3)+FuelAdder*N$4)</f>
        <v>4.62805455495895</v>
      </c>
      <c r="O70" s="7" t="n">
        <f aca="false">IF(ISNUMBER(VST_Assets!$L$3),VST_Assets!$L$3*O$4,INDEX(Prices!O:O,VST_Assets!$AO$3)+FuelAdder*O$4)</f>
        <v>4.72061564605813</v>
      </c>
      <c r="P70" s="7" t="n">
        <f aca="false">IF(ISNUMBER(VST_Assets!$L$3),VST_Assets!$L$3*P$4,INDEX(Prices!P:P,VST_Assets!$AO$3)+FuelAdder*P$4)</f>
        <v>4.81502795897929</v>
      </c>
      <c r="Q70" s="7" t="n">
        <f aca="false">IF(ISNUMBER(VST_Assets!$L$3),VST_Assets!$L$3*Q$4,INDEX(Prices!Q:Q,VST_Assets!$AO$3)+FuelAdder*Q$4)</f>
        <v>4.91132851815888</v>
      </c>
      <c r="R70" s="7" t="n">
        <f aca="false">IF(ISNUMBER(VST_Assets!$L$3),VST_Assets!$L$3*R$4,INDEX(Prices!R:R,VST_Assets!$AO$3)+FuelAdder*R$4)</f>
        <v>5.00955508852206</v>
      </c>
      <c r="S70" s="7" t="n">
        <f aca="false">IF(ISNUMBER(VST_Assets!$L$3),VST_Assets!$L$3*S$4,INDEX(Prices!S:S,VST_Assets!$AO$3)+FuelAdder*S$4)</f>
        <v>5.1097461902925</v>
      </c>
      <c r="T70" s="7" t="n">
        <f aca="false">IF(ISNUMBER(VST_Assets!$L$3),VST_Assets!$L$3*T$4,INDEX(Prices!T:T,VST_Assets!$AO$3)+FuelAdder*T$4)</f>
        <v>5.21194111409835</v>
      </c>
      <c r="U70" s="7" t="n">
        <f aca="false">IF(ISNUMBER(VST_Assets!$L$3),VST_Assets!$L$3*U$4,INDEX(Prices!U:U,VST_Assets!$AO$3)+FuelAdder*U$4)</f>
        <v>5.31617993638031</v>
      </c>
      <c r="V70" s="7" t="n">
        <f aca="false">IF(ISNUMBER(VST_Assets!$L$3),VST_Assets!$L$3*V$4,INDEX(Prices!V:V,VST_Assets!$AO$3)+FuelAdder*V$4)</f>
        <v>5.42250353510792</v>
      </c>
      <c r="W70" s="7" t="n">
        <f aca="false">IF(ISNUMBER(VST_Assets!$L$3),VST_Assets!$L$3*W$4,INDEX(Prices!W:W,VST_Assets!$AO$3)+FuelAdder*W$4)</f>
        <v>5.53095360581008</v>
      </c>
      <c r="X70" s="7" t="n">
        <f aca="false">IF(ISNUMBER(VST_Assets!$L$3),VST_Assets!$L$3*X$4,INDEX(Prices!X:X,VST_Assets!$AO$3)+FuelAdder*X$4)</f>
        <v>5.64157267792628</v>
      </c>
      <c r="Y70" s="7" t="n">
        <f aca="false">IF(ISNUMBER(VST_Assets!$L$3),VST_Assets!$L$3*Y$4,INDEX(Prices!Y:Y,VST_Assets!$AO$3)+FuelAdder*Y$4)</f>
        <v>5.75440413148481</v>
      </c>
      <c r="Z70" s="7" t="n">
        <f aca="false">IF(ISNUMBER(VST_Assets!$L$3),VST_Assets!$L$3*Z$4,INDEX(Prices!Z:Z,VST_Assets!$AO$3)+FuelAdder*Z$4)</f>
        <v>5.8694922141145</v>
      </c>
      <c r="AA70" s="7" t="n">
        <f aca="false">IF(ISNUMBER(VST_Assets!$L$3),VST_Assets!$L$3*AA$4,INDEX(Prices!AA:AA,VST_Assets!$AO$3)+FuelAdder*AA$4)</f>
        <v>5.98688205839679</v>
      </c>
      <c r="AB70" s="7" t="n">
        <f aca="false">IF(ISNUMBER(VST_Assets!$L$3),VST_Assets!$L$3*AB$4,INDEX(Prices!AB:AB,VST_Assets!$AO$3)+FuelAdder*AB$4)</f>
        <v>6.10661969956473</v>
      </c>
      <c r="AC70" s="7" t="n">
        <f aca="false">IF(ISNUMBER(VST_Assets!$L$3),VST_Assets!$L$3*AC$4,INDEX(Prices!AC:AC,VST_Assets!$AO$3)+FuelAdder*AC$4)</f>
        <v>6.22875209355602</v>
      </c>
      <c r="AD70" s="7" t="n">
        <f aca="false">IF(ISNUMBER(VST_Assets!$L$3),VST_Assets!$L$3*AD$4,INDEX(Prices!AD:AD,VST_Assets!$AO$3)+FuelAdder*AD$4)</f>
        <v>6.35332713542714</v>
      </c>
      <c r="AE70" s="7" t="n">
        <f aca="false">IF(ISNUMBER(VST_Assets!$L$3),VST_Assets!$L$3*AE$4,INDEX(Prices!AE:AE,VST_Assets!$AO$3)+FuelAdder*AE$4)</f>
        <v>6.48039367813569</v>
      </c>
      <c r="AF70" s="7" t="n">
        <f aca="false">IF(ISNUMBER(VST_Assets!$L$3),VST_Assets!$L$3*AF$4,INDEX(Prices!AF:AF,VST_Assets!$AO$3)+FuelAdder*AF$4)</f>
        <v>6.6100015516984</v>
      </c>
      <c r="AG70" s="7" t="n">
        <f aca="false">IF(ISNUMBER(VST_Assets!$L$3),VST_Assets!$L$3*AG$4,INDEX(Prices!AG:AG,VST_Assets!$AO$3)+FuelAdder*AG$4)</f>
        <v>6.74220158273237</v>
      </c>
      <c r="AH70" s="7" t="n">
        <f aca="false">IF(ISNUMBER(VST_Assets!$L$3),VST_Assets!$L$3*AH$4,INDEX(Prices!AH:AH,VST_Assets!$AO$3)+FuelAdder*AH$4)</f>
        <v>6.87704561438702</v>
      </c>
      <c r="AI70" s="7" t="n">
        <f aca="false">IF(ISNUMBER(VST_Assets!$L$3),VST_Assets!$L$3*AI$4,INDEX(Prices!AI:AI,VST_Assets!$AO$3)+FuelAdder*AI$4)</f>
        <v>7.01458652667476</v>
      </c>
      <c r="AJ70" s="7" t="n">
        <f aca="false">IF(ISNUMBER(VST_Assets!$L$3),VST_Assets!$L$3*AJ$4,INDEX(Prices!AJ:AJ,VST_Assets!$AO$3)+FuelAdder*AJ$4)</f>
        <v>7.15487825720825</v>
      </c>
      <c r="AK70" s="7" t="n">
        <f aca="false">IF(ISNUMBER(VST_Assets!$L$3),VST_Assets!$L$3*AK$4,INDEX(Prices!AK:AK,VST_Assets!$AO$3)+FuelAdder*AK$4)</f>
        <v>7.29797582235242</v>
      </c>
      <c r="AL70" s="7" t="n">
        <f aca="false">IF(ISNUMBER(VST_Assets!$L$3),VST_Assets!$L$3*AL$4,INDEX(Prices!AL:AL,VST_Assets!$AO$3)+FuelAdder*AL$4)</f>
        <v>7.44393533879947</v>
      </c>
      <c r="AM70" s="7" t="n">
        <f aca="false">IF(ISNUMBER(VST_Assets!$L$3),VST_Assets!$L$3*AM$4,INDEX(Prices!AM:AM,VST_Assets!$AO$3)+FuelAdder*AM$4)</f>
        <v>7.59281404557545</v>
      </c>
      <c r="AN70" s="7" t="n">
        <f aca="false">IF(ISNUMBER(VST_Assets!$L$3),VST_Assets!$L$3*AN$4,INDEX(Prices!AN:AN,VST_Assets!$AO$3)+FuelAdder*AN$4)</f>
        <v>7.74467032648696</v>
      </c>
      <c r="AO70" s="7" t="n">
        <f aca="false">IF(ISNUMBER(VST_Assets!$L$3),VST_Assets!$L$3*AO$4,INDEX(Prices!AO:AO,VST_Assets!$AO$3)+FuelAdder*AO$4)</f>
        <v>7.8995637330167</v>
      </c>
      <c r="AP70" s="7" t="n">
        <f aca="false">IF(ISNUMBER(VST_Assets!$L$3),VST_Assets!$L$3*AP$4,INDEX(Prices!AP:AP,VST_Assets!$AO$3)+FuelAdder*AP$4)</f>
        <v>8.05755500767704</v>
      </c>
      <c r="AQ70" s="7" t="n">
        <f aca="false">IF(ISNUMBER(VST_Assets!$L$3),VST_Assets!$L$3*AQ$4,INDEX(Prices!AQ:AQ,VST_Assets!$AO$3)+FuelAdder*AQ$4)</f>
        <v>8.21870610783058</v>
      </c>
      <c r="AR70" s="7" t="n">
        <f aca="false">IF(ISNUMBER(VST_Assets!$L$3),VST_Assets!$L$3*AR$4,INDEX(Prices!AR:AR,VST_Assets!$AO$3)+FuelAdder*AR$4)</f>
        <v>8.38308022998719</v>
      </c>
      <c r="AS70" s="7" t="n">
        <f aca="false">IF(ISNUMBER(VST_Assets!$L$3),VST_Assets!$L$3*AS$4,INDEX(Prices!AS:AS,VST_Assets!$AO$3)+FuelAdder*AS$4)</f>
        <v>8.55074183458693</v>
      </c>
    </row>
    <row r="71" customFormat="false" ht="15" hidden="false" customHeight="false" outlineLevel="0" collapsed="false">
      <c r="A71" s="6" t="s">
        <v>435</v>
      </c>
      <c r="B71" s="6" t="s">
        <v>436</v>
      </c>
      <c r="G71" s="7" t="n">
        <f aca="false">INDEX(Prices!G:G,VST_Assets!$AN$3)*VST_Assets!$J$3-VST_Assets!$K$3*G70-VST_Assets!$M$3*G$4</f>
        <v>69.1416</v>
      </c>
      <c r="H71" s="7" t="n">
        <f aca="false">INDEX(Prices!H:H,VST_Assets!$AN$3)*VST_Assets!$J$3-VST_Assets!$K$3*H70-VST_Assets!$M$3*H$4</f>
        <v>70.1019</v>
      </c>
      <c r="I71" s="7" t="n">
        <f aca="false">INDEX(Prices!I:I,VST_Assets!$AN$3)*VST_Assets!$J$3-VST_Assets!$K$3*I70-VST_Assets!$M$3*I$4</f>
        <v>64.29748755177</v>
      </c>
      <c r="J71" s="7" t="n">
        <f aca="false">INDEX(Prices!J:J,VST_Assets!$AN$3)*VST_Assets!$J$3-VST_Assets!$K$3*J70-VST_Assets!$M$3*J$4</f>
        <v>62.6014546056108</v>
      </c>
      <c r="K71" s="7" t="n">
        <f aca="false">INDEX(Prices!K:K,VST_Assets!$AN$3)*VST_Assets!$J$3-VST_Assets!$K$3*K70-VST_Assets!$M$3*K$4</f>
        <v>63.853483697723</v>
      </c>
      <c r="L71" s="7" t="n">
        <f aca="false">INDEX(Prices!L:L,VST_Assets!$AN$3)*VST_Assets!$J$3-VST_Assets!$K$3*L70-VST_Assets!$M$3*L$4</f>
        <v>65.1305533716775</v>
      </c>
      <c r="M71" s="7" t="n">
        <f aca="false">INDEX(Prices!M:M,VST_Assets!$AN$3)*VST_Assets!$J$3-VST_Assets!$K$3*M70-VST_Assets!$M$3*M$4</f>
        <v>66.433164439111</v>
      </c>
      <c r="N71" s="7" t="n">
        <f aca="false">INDEX(Prices!N:N,VST_Assets!$AN$3)*VST_Assets!$J$3-VST_Assets!$K$3*N70-VST_Assets!$M$3*N$4</f>
        <v>67.7618277278933</v>
      </c>
      <c r="O71" s="7" t="n">
        <f aca="false">INDEX(Prices!O:O,VST_Assets!$AN$3)*VST_Assets!$J$3-VST_Assets!$K$3*O70-VST_Assets!$M$3*O$4</f>
        <v>69.1170642824511</v>
      </c>
      <c r="P71" s="7" t="n">
        <f aca="false">INDEX(Prices!P:P,VST_Assets!$AN$3)*VST_Assets!$J$3-VST_Assets!$K$3*P70-VST_Assets!$M$3*P$4</f>
        <v>70.4994055681001</v>
      </c>
      <c r="Q71" s="7" t="n">
        <f aca="false">INDEX(Prices!Q:Q,VST_Assets!$AN$3)*VST_Assets!$J$3-VST_Assets!$K$3*Q70-VST_Assets!$M$3*Q$4</f>
        <v>71.9093936794621</v>
      </c>
      <c r="R71" s="7" t="n">
        <f aca="false">INDEX(Prices!R:R,VST_Assets!$AN$3)*VST_Assets!$J$3-VST_Assets!$K$3*R70-VST_Assets!$M$3*R$4</f>
        <v>73.3475815530514</v>
      </c>
      <c r="S71" s="7" t="n">
        <f aca="false">INDEX(Prices!S:S,VST_Assets!$AN$3)*VST_Assets!$J$3-VST_Assets!$K$3*S70-VST_Assets!$M$3*S$4</f>
        <v>74.8145331841124</v>
      </c>
      <c r="T71" s="7" t="n">
        <f aca="false">INDEX(Prices!T:T,VST_Assets!$AN$3)*VST_Assets!$J$3-VST_Assets!$K$3*T70-VST_Assets!$M$3*T$4</f>
        <v>76.3108238477947</v>
      </c>
      <c r="U71" s="7" t="n">
        <f aca="false">INDEX(Prices!U:U,VST_Assets!$AN$3)*VST_Assets!$J$3-VST_Assets!$K$3*U70-VST_Assets!$M$3*U$4</f>
        <v>77.8370403247506</v>
      </c>
      <c r="V71" s="7" t="n">
        <f aca="false">INDEX(Prices!V:V,VST_Assets!$AN$3)*VST_Assets!$J$3-VST_Assets!$K$3*V70-VST_Assets!$M$3*V$4</f>
        <v>79.3937811312456</v>
      </c>
      <c r="W71" s="7" t="n">
        <f aca="false">INDEX(Prices!W:W,VST_Assets!$AN$3)*VST_Assets!$J$3-VST_Assets!$K$3*W70-VST_Assets!$M$3*W$4</f>
        <v>80.9816567538705</v>
      </c>
      <c r="X71" s="7" t="n">
        <f aca="false">INDEX(Prices!X:X,VST_Assets!$AN$3)*VST_Assets!$J$3-VST_Assets!$K$3*X70-VST_Assets!$M$3*X$4</f>
        <v>82.6012898889479</v>
      </c>
      <c r="Y71" s="7" t="n">
        <f aca="false">INDEX(Prices!Y:Y,VST_Assets!$AN$3)*VST_Assets!$J$3-VST_Assets!$K$3*Y70-VST_Assets!$M$3*Y$4</f>
        <v>84.2533156867269</v>
      </c>
      <c r="Z71" s="7" t="n">
        <f aca="false">INDEX(Prices!Z:Z,VST_Assets!$AN$3)*VST_Assets!$J$3-VST_Assets!$K$3*Z70-VST_Assets!$M$3*Z$4</f>
        <v>85.9383820004614</v>
      </c>
      <c r="AA71" s="7" t="n">
        <f aca="false">INDEX(Prices!AA:AA,VST_Assets!$AN$3)*VST_Assets!$J$3-VST_Assets!$K$3*AA70-VST_Assets!$M$3*AA$4</f>
        <v>87.6571496404706</v>
      </c>
      <c r="AB71" s="7" t="n">
        <f aca="false">INDEX(Prices!AB:AB,VST_Assets!$AN$3)*VST_Assets!$J$3-VST_Assets!$K$3*AB70-VST_Assets!$M$3*AB$4</f>
        <v>89.4102926332801</v>
      </c>
      <c r="AC71" s="7" t="n">
        <f aca="false">INDEX(Prices!AC:AC,VST_Assets!$AN$3)*VST_Assets!$J$3-VST_Assets!$K$3*AC70-VST_Assets!$M$3*AC$4</f>
        <v>91.1984984859457</v>
      </c>
      <c r="AD71" s="7" t="n">
        <f aca="false">INDEX(Prices!AD:AD,VST_Assets!$AN$3)*VST_Assets!$J$3-VST_Assets!$K$3*AD70-VST_Assets!$M$3*AD$4</f>
        <v>93.0224684556646</v>
      </c>
      <c r="AE71" s="7" t="n">
        <f aca="false">INDEX(Prices!AE:AE,VST_Assets!$AN$3)*VST_Assets!$J$3-VST_Assets!$K$3*AE70-VST_Assets!$M$3*AE$4</f>
        <v>94.8829178247779</v>
      </c>
      <c r="AF71" s="7" t="n">
        <f aca="false">INDEX(Prices!AF:AF,VST_Assets!$AN$3)*VST_Assets!$J$3-VST_Assets!$K$3*AF70-VST_Assets!$M$3*AF$4</f>
        <v>96.7805761812734</v>
      </c>
      <c r="AG71" s="7" t="n">
        <f aca="false">INDEX(Prices!AG:AG,VST_Assets!$AN$3)*VST_Assets!$J$3-VST_Assets!$K$3*AG70-VST_Assets!$M$3*AG$4</f>
        <v>98.7161877048989</v>
      </c>
      <c r="AH71" s="7" t="n">
        <f aca="false">INDEX(Prices!AH:AH,VST_Assets!$AN$3)*VST_Assets!$J$3-VST_Assets!$K$3*AH70-VST_Assets!$M$3*AH$4</f>
        <v>100.690511458997</v>
      </c>
      <c r="AI71" s="7" t="n">
        <f aca="false">INDEX(Prices!AI:AI,VST_Assets!$AN$3)*VST_Assets!$J$3-VST_Assets!$K$3*AI70-VST_Assets!$M$3*AI$4</f>
        <v>102.704321688177</v>
      </c>
      <c r="AJ71" s="7" t="n">
        <f aca="false">INDEX(Prices!AJ:AJ,VST_Assets!$AN$3)*VST_Assets!$J$3-VST_Assets!$K$3*AJ70-VST_Assets!$M$3*AJ$4</f>
        <v>104.75840812194</v>
      </c>
      <c r="AK71" s="7" t="n">
        <f aca="false">INDEX(Prices!AK:AK,VST_Assets!$AN$3)*VST_Assets!$J$3-VST_Assets!$K$3*AK70-VST_Assets!$M$3*AK$4</f>
        <v>106.853576284379</v>
      </c>
      <c r="AL71" s="7" t="n">
        <f aca="false">INDEX(Prices!AL:AL,VST_Assets!$AN$3)*VST_Assets!$J$3-VST_Assets!$K$3*AL70-VST_Assets!$M$3*AL$4</f>
        <v>108.990647810067</v>
      </c>
      <c r="AM71" s="7" t="n">
        <f aca="false">INDEX(Prices!AM:AM,VST_Assets!$AN$3)*VST_Assets!$J$3-VST_Assets!$K$3*AM70-VST_Assets!$M$3*AM$4</f>
        <v>111.170460766268</v>
      </c>
      <c r="AN71" s="7" t="n">
        <f aca="false">INDEX(Prices!AN:AN,VST_Assets!$AN$3)*VST_Assets!$J$3-VST_Assets!$K$3*AN70-VST_Assets!$M$3*AN$4</f>
        <v>113.393869981593</v>
      </c>
      <c r="AO71" s="7" t="n">
        <f aca="false">INDEX(Prices!AO:AO,VST_Assets!$AN$3)*VST_Assets!$J$3-VST_Assets!$K$3*AO70-VST_Assets!$M$3*AO$4</f>
        <v>115.661747381225</v>
      </c>
      <c r="AP71" s="7" t="n">
        <f aca="false">INDEX(Prices!AP:AP,VST_Assets!$AN$3)*VST_Assets!$J$3-VST_Assets!$K$3*AP70-VST_Assets!$M$3*AP$4</f>
        <v>117.97498232885</v>
      </c>
      <c r="AQ71" s="7" t="n">
        <f aca="false">INDEX(Prices!AQ:AQ,VST_Assets!$AN$3)*VST_Assets!$J$3-VST_Assets!$K$3*AQ70-VST_Assets!$M$3*AQ$4</f>
        <v>120.334481975427</v>
      </c>
      <c r="AR71" s="7" t="n">
        <f aca="false">INDEX(Prices!AR:AR,VST_Assets!$AN$3)*VST_Assets!$J$3-VST_Assets!$K$3*AR70-VST_Assets!$M$3*AR$4</f>
        <v>122.741171614935</v>
      </c>
      <c r="AS71" s="7" t="n">
        <f aca="false">INDEX(Prices!AS:AS,VST_Assets!$AN$3)*VST_Assets!$J$3-VST_Assets!$K$3*AS70-VST_Assets!$M$3*AS$4</f>
        <v>125.195995047234</v>
      </c>
    </row>
    <row r="72" customFormat="false" ht="15" hidden="false" customHeight="false" outlineLevel="0" collapsed="false">
      <c r="A72" s="6" t="s">
        <v>437</v>
      </c>
      <c r="B72" s="6" t="s">
        <v>438</v>
      </c>
      <c r="G72" s="47" t="n">
        <f aca="false">IF(VST_Assets!$X$3=1,IF(G71&gt;0,1,0),1)</f>
        <v>1</v>
      </c>
      <c r="H72" s="47" t="n">
        <f aca="false">IF(VST_Assets!$X$3=1,IF(H71&gt;0,1,0),1)</f>
        <v>1</v>
      </c>
      <c r="I72" s="47" t="n">
        <f aca="false">IF(VST_Assets!$X$3=1,IF(I71&gt;0,1,0),1)</f>
        <v>1</v>
      </c>
      <c r="J72" s="47" t="n">
        <f aca="false">IF(VST_Assets!$X$3=1,IF(J71&gt;0,1,0),1)</f>
        <v>1</v>
      </c>
      <c r="K72" s="47" t="n">
        <f aca="false">IF(VST_Assets!$X$3=1,IF(K71&gt;0,1,0),1)</f>
        <v>1</v>
      </c>
      <c r="L72" s="47" t="n">
        <f aca="false">IF(VST_Assets!$X$3=1,IF(L71&gt;0,1,0),1)</f>
        <v>1</v>
      </c>
      <c r="M72" s="47" t="n">
        <f aca="false">IF(VST_Assets!$X$3=1,IF(M71&gt;0,1,0),1)</f>
        <v>1</v>
      </c>
      <c r="N72" s="47" t="n">
        <f aca="false">IF(VST_Assets!$X$3=1,IF(N71&gt;0,1,0),1)</f>
        <v>1</v>
      </c>
      <c r="O72" s="47" t="n">
        <f aca="false">IF(VST_Assets!$X$3=1,IF(O71&gt;0,1,0),1)</f>
        <v>1</v>
      </c>
      <c r="P72" s="47" t="n">
        <f aca="false">IF(VST_Assets!$X$3=1,IF(P71&gt;0,1,0),1)</f>
        <v>1</v>
      </c>
      <c r="Q72" s="47" t="n">
        <f aca="false">IF(VST_Assets!$X$3=1,IF(Q71&gt;0,1,0),1)</f>
        <v>1</v>
      </c>
      <c r="R72" s="47" t="n">
        <f aca="false">IF(VST_Assets!$X$3=1,IF(R71&gt;0,1,0),1)</f>
        <v>1</v>
      </c>
      <c r="S72" s="47" t="n">
        <f aca="false">IF(VST_Assets!$X$3=1,IF(S71&gt;0,1,0),1)</f>
        <v>1</v>
      </c>
      <c r="T72" s="47" t="n">
        <f aca="false">IF(VST_Assets!$X$3=1,IF(T71&gt;0,1,0),1)</f>
        <v>1</v>
      </c>
      <c r="U72" s="47" t="n">
        <f aca="false">IF(VST_Assets!$X$3=1,IF(U71&gt;0,1,0),1)</f>
        <v>1</v>
      </c>
      <c r="V72" s="47" t="n">
        <f aca="false">IF(VST_Assets!$X$3=1,IF(V71&gt;0,1,0),1)</f>
        <v>1</v>
      </c>
      <c r="W72" s="47" t="n">
        <f aca="false">IF(VST_Assets!$X$3=1,IF(W71&gt;0,1,0),1)</f>
        <v>1</v>
      </c>
      <c r="X72" s="47" t="n">
        <f aca="false">IF(VST_Assets!$X$3=1,IF(X71&gt;0,1,0),1)</f>
        <v>1</v>
      </c>
      <c r="Y72" s="47" t="n">
        <f aca="false">IF(VST_Assets!$X$3=1,IF(Y71&gt;0,1,0),1)</f>
        <v>1</v>
      </c>
      <c r="Z72" s="47" t="n">
        <f aca="false">IF(VST_Assets!$X$3=1,IF(Z71&gt;0,1,0),1)</f>
        <v>1</v>
      </c>
      <c r="AA72" s="47" t="n">
        <f aca="false">IF(VST_Assets!$X$3=1,IF(AA71&gt;0,1,0),1)</f>
        <v>1</v>
      </c>
      <c r="AB72" s="47" t="n">
        <f aca="false">IF(VST_Assets!$X$3=1,IF(AB71&gt;0,1,0),1)</f>
        <v>1</v>
      </c>
      <c r="AC72" s="47" t="n">
        <f aca="false">IF(VST_Assets!$X$3=1,IF(AC71&gt;0,1,0),1)</f>
        <v>1</v>
      </c>
      <c r="AD72" s="47" t="n">
        <f aca="false">IF(VST_Assets!$X$3=1,IF(AD71&gt;0,1,0),1)</f>
        <v>1</v>
      </c>
      <c r="AE72" s="47" t="n">
        <f aca="false">IF(VST_Assets!$X$3=1,IF(AE71&gt;0,1,0),1)</f>
        <v>1</v>
      </c>
      <c r="AF72" s="47" t="n">
        <f aca="false">IF(VST_Assets!$X$3=1,IF(AF71&gt;0,1,0),1)</f>
        <v>1</v>
      </c>
      <c r="AG72" s="47" t="n">
        <f aca="false">IF(VST_Assets!$X$3=1,IF(AG71&gt;0,1,0),1)</f>
        <v>1</v>
      </c>
      <c r="AH72" s="47" t="n">
        <f aca="false">IF(VST_Assets!$X$3=1,IF(AH71&gt;0,1,0),1)</f>
        <v>1</v>
      </c>
      <c r="AI72" s="47" t="n">
        <f aca="false">IF(VST_Assets!$X$3=1,IF(AI71&gt;0,1,0),1)</f>
        <v>1</v>
      </c>
      <c r="AJ72" s="47" t="n">
        <f aca="false">IF(VST_Assets!$X$3=1,IF(AJ71&gt;0,1,0),1)</f>
        <v>1</v>
      </c>
      <c r="AK72" s="47" t="n">
        <f aca="false">IF(VST_Assets!$X$3=1,IF(AK71&gt;0,1,0),1)</f>
        <v>1</v>
      </c>
      <c r="AL72" s="47" t="n">
        <f aca="false">IF(VST_Assets!$X$3=1,IF(AL71&gt;0,1,0),1)</f>
        <v>1</v>
      </c>
      <c r="AM72" s="47" t="n">
        <f aca="false">IF(VST_Assets!$X$3=1,IF(AM71&gt;0,1,0),1)</f>
        <v>1</v>
      </c>
      <c r="AN72" s="47" t="n">
        <f aca="false">IF(VST_Assets!$X$3=1,IF(AN71&gt;0,1,0),1)</f>
        <v>1</v>
      </c>
      <c r="AO72" s="47" t="n">
        <f aca="false">IF(VST_Assets!$X$3=1,IF(AO71&gt;0,1,0),1)</f>
        <v>1</v>
      </c>
      <c r="AP72" s="47" t="n">
        <f aca="false">IF(VST_Assets!$X$3=1,IF(AP71&gt;0,1,0),1)</f>
        <v>1</v>
      </c>
      <c r="AQ72" s="47" t="n">
        <f aca="false">IF(VST_Assets!$X$3=1,IF(AQ71&gt;0,1,0),1)</f>
        <v>1</v>
      </c>
      <c r="AR72" s="47" t="n">
        <f aca="false">IF(VST_Assets!$X$3=1,IF(AR71&gt;0,1,0),1)</f>
        <v>1</v>
      </c>
      <c r="AS72" s="47" t="n">
        <f aca="false">IF(VST_Assets!$X$3=1,IF(AS71&gt;0,1,0),1)</f>
        <v>1</v>
      </c>
    </row>
    <row r="73" customFormat="false" ht="15" hidden="false" customHeight="false" outlineLevel="0" collapsed="false">
      <c r="A73" s="6" t="s">
        <v>439</v>
      </c>
      <c r="B73" s="6" t="s">
        <v>440</v>
      </c>
      <c r="C73" s="9" t="n">
        <f aca="false">SUM(G73:AS73)</f>
        <v>14293.4244632791</v>
      </c>
      <c r="G73" s="8" t="n">
        <f aca="false">G68*INDEX(Prices!G:G,VST_Assets!$AN$3)*VST_Assets!$J$3*G72/1000000*(1+VST_RevAdj)</f>
        <v>616.14657358848</v>
      </c>
      <c r="H73" s="8" t="n">
        <f aca="false">H68*INDEX(Prices!H:H,VST_Assets!$AN$3)*VST_Assets!$J$3*H72/1000000*(1+VST_RevAdj)</f>
        <v>0</v>
      </c>
      <c r="I73" s="8" t="n">
        <f aca="false">I68*INDEX(Prices!I:I,VST_Assets!$AN$3)*VST_Assets!$J$3*I72/1000000*(1+VST_RevAdj)</f>
        <v>0</v>
      </c>
      <c r="J73" s="8" t="n">
        <f aca="false">J68*INDEX(Prices!J:J,VST_Assets!$AN$3)*VST_Assets!$J$3*J72/1000000*(1+VST_RevAdj)</f>
        <v>0</v>
      </c>
      <c r="K73" s="8" t="n">
        <f aca="false">K68*INDEX(Prices!K:K,VST_Assets!$AN$3)*VST_Assets!$J$3*K72/1000000*(1+VST_RevAdj)</f>
        <v>0</v>
      </c>
      <c r="L73" s="8" t="n">
        <f aca="false">L68*INDEX(Prices!L:L,VST_Assets!$AN$3)*VST_Assets!$J$3*L72/1000000*(1+VST_RevAdj)</f>
        <v>0</v>
      </c>
      <c r="M73" s="8" t="n">
        <f aca="false">M68*INDEX(Prices!M:M,VST_Assets!$AN$3)*VST_Assets!$J$3*M72/1000000*(1+VST_RevAdj)</f>
        <v>0</v>
      </c>
      <c r="N73" s="8" t="n">
        <f aca="false">N68*INDEX(Prices!N:N,VST_Assets!$AN$3)*VST_Assets!$J$3*N72/1000000*(1+VST_RevAdj)</f>
        <v>0</v>
      </c>
      <c r="O73" s="8" t="n">
        <f aca="false">O68*INDEX(Prices!O:O,VST_Assets!$AN$3)*VST_Assets!$J$3*O72/1000000*(1+VST_RevAdj)</f>
        <v>0</v>
      </c>
      <c r="P73" s="8" t="n">
        <f aca="false">P68*INDEX(Prices!P:P,VST_Assets!$AN$3)*VST_Assets!$J$3*P72/1000000*(1+VST_RevAdj)</f>
        <v>0</v>
      </c>
      <c r="Q73" s="8" t="n">
        <f aca="false">Q68*INDEX(Prices!Q:Q,VST_Assets!$AN$3)*VST_Assets!$J$3*Q72/1000000*(1+VST_RevAdj)</f>
        <v>0</v>
      </c>
      <c r="R73" s="8" t="n">
        <f aca="false">R68*INDEX(Prices!R:R,VST_Assets!$AN$3)*VST_Assets!$J$3*R72/1000000*(1+VST_RevAdj)</f>
        <v>0</v>
      </c>
      <c r="S73" s="8" t="n">
        <f aca="false">S68*INDEX(Prices!S:S,VST_Assets!$AN$3)*VST_Assets!$J$3*S72/1000000*(1+VST_RevAdj)</f>
        <v>0</v>
      </c>
      <c r="T73" s="8" t="n">
        <f aca="false">T68*INDEX(Prices!T:T,VST_Assets!$AN$3)*VST_Assets!$J$3*T72/1000000*(1+VST_RevAdj)</f>
        <v>0</v>
      </c>
      <c r="U73" s="8" t="n">
        <f aca="false">U68*INDEX(Prices!U:U,VST_Assets!$AN$3)*VST_Assets!$J$3*U72/1000000*(1+VST_RevAdj)</f>
        <v>0</v>
      </c>
      <c r="V73" s="8" t="n">
        <f aca="false">V68*INDEX(Prices!V:V,VST_Assets!$AN$3)*VST_Assets!$J$3*V72/1000000*(1+VST_RevAdj)</f>
        <v>0</v>
      </c>
      <c r="W73" s="8" t="n">
        <f aca="false">W68*INDEX(Prices!W:W,VST_Assets!$AN$3)*VST_Assets!$J$3*W72/1000000*(1+VST_RevAdj)</f>
        <v>0</v>
      </c>
      <c r="X73" s="8" t="n">
        <f aca="false">X68*INDEX(Prices!X:X,VST_Assets!$AN$3)*VST_Assets!$J$3*X72/1000000*(1+VST_RevAdj)</f>
        <v>0</v>
      </c>
      <c r="Y73" s="8" t="n">
        <f aca="false">Y68*INDEX(Prices!Y:Y,VST_Assets!$AN$3)*VST_Assets!$J$3*Y72/1000000*(1+VST_RevAdj)</f>
        <v>0</v>
      </c>
      <c r="Z73" s="8" t="n">
        <f aca="false">Z68*INDEX(Prices!Z:Z,VST_Assets!$AN$3)*VST_Assets!$J$3*Z72/1000000*(1+VST_RevAdj)</f>
        <v>0</v>
      </c>
      <c r="AA73" s="8" t="n">
        <f aca="false">AA68*INDEX(Prices!AA:AA,VST_Assets!$AN$3)*VST_Assets!$J$3*AA72/1000000*(1+VST_RevAdj)</f>
        <v>0</v>
      </c>
      <c r="AB73" s="8" t="n">
        <f aca="false">AB68*INDEX(Prices!AB:AB,VST_Assets!$AN$3)*VST_Assets!$J$3*AB72/1000000*(1+VST_RevAdj)</f>
        <v>1593.5368996245</v>
      </c>
      <c r="AC73" s="8" t="n">
        <f aca="false">AC68*INDEX(Prices!AC:AC,VST_Assets!$AN$3)*VST_Assets!$J$3*AC72/1000000*(1+VST_RevAdj)</f>
        <v>1625.40763761699</v>
      </c>
      <c r="AD73" s="8" t="n">
        <f aca="false">AD68*INDEX(Prices!AD:AD,VST_Assets!$AN$3)*VST_Assets!$J$3*AD72/1000000*(1+VST_RevAdj)</f>
        <v>1657.91579036933</v>
      </c>
      <c r="AE73" s="8" t="n">
        <f aca="false">AE68*INDEX(Prices!AE:AE,VST_Assets!$AN$3)*VST_Assets!$J$3*AE72/1000000*(1+VST_RevAdj)</f>
        <v>1691.07410617672</v>
      </c>
      <c r="AF73" s="8" t="n">
        <f aca="false">AF68*INDEX(Prices!AF:AF,VST_Assets!$AN$3)*VST_Assets!$J$3*AF72/1000000*(1+VST_RevAdj)</f>
        <v>1724.89558830026</v>
      </c>
      <c r="AG73" s="8" t="n">
        <f aca="false">AG68*INDEX(Prices!AG:AG,VST_Assets!$AN$3)*VST_Assets!$J$3*AG72/1000000*(1+VST_RevAdj)</f>
        <v>1759.39350006626</v>
      </c>
      <c r="AH73" s="8" t="n">
        <f aca="false">AH68*INDEX(Prices!AH:AH,VST_Assets!$AN$3)*VST_Assets!$J$3*AH72/1000000*(1+VST_RevAdj)</f>
        <v>1794.58137006759</v>
      </c>
      <c r="AI73" s="8" t="n">
        <f aca="false">AI68*INDEX(Prices!AI:AI,VST_Assets!$AN$3)*VST_Assets!$J$3*AI72/1000000*(1+VST_RevAdj)</f>
        <v>1830.47299746894</v>
      </c>
      <c r="AJ73" s="8" t="n">
        <f aca="false">AJ68*INDEX(Prices!AJ:AJ,VST_Assets!$AN$3)*VST_Assets!$J$3*AJ72/1000000*(1+VST_RevAdj)</f>
        <v>0</v>
      </c>
      <c r="AK73" s="8" t="n">
        <f aca="false">AK68*INDEX(Prices!AK:AK,VST_Assets!$AN$3)*VST_Assets!$J$3*AK72/1000000*(1+VST_RevAdj)</f>
        <v>0</v>
      </c>
      <c r="AL73" s="8" t="n">
        <f aca="false">AL68*INDEX(Prices!AL:AL,VST_Assets!$AN$3)*VST_Assets!$J$3*AL72/1000000*(1+VST_RevAdj)</f>
        <v>0</v>
      </c>
      <c r="AM73" s="8" t="n">
        <f aca="false">AM68*INDEX(Prices!AM:AM,VST_Assets!$AN$3)*VST_Assets!$J$3*AM72/1000000*(1+VST_RevAdj)</f>
        <v>0</v>
      </c>
      <c r="AN73" s="8" t="n">
        <f aca="false">AN68*INDEX(Prices!AN:AN,VST_Assets!$AN$3)*VST_Assets!$J$3*AN72/1000000*(1+VST_RevAdj)</f>
        <v>0</v>
      </c>
      <c r="AO73" s="8" t="n">
        <f aca="false">AO68*INDEX(Prices!AO:AO,VST_Assets!$AN$3)*VST_Assets!$J$3*AO72/1000000*(1+VST_RevAdj)</f>
        <v>0</v>
      </c>
      <c r="AP73" s="8" t="n">
        <f aca="false">AP68*INDEX(Prices!AP:AP,VST_Assets!$AN$3)*VST_Assets!$J$3*AP72/1000000*(1+VST_RevAdj)</f>
        <v>0</v>
      </c>
      <c r="AQ73" s="8" t="n">
        <f aca="false">AQ68*INDEX(Prices!AQ:AQ,VST_Assets!$AN$3)*VST_Assets!$J$3*AQ72/1000000*(1+VST_RevAdj)</f>
        <v>0</v>
      </c>
      <c r="AR73" s="8" t="n">
        <f aca="false">AR68*INDEX(Prices!AR:AR,VST_Assets!$AN$3)*VST_Assets!$J$3*AR72/1000000*(1+VST_RevAdj)</f>
        <v>0</v>
      </c>
      <c r="AS73" s="8" t="n">
        <f aca="false">AS68*INDEX(Prices!AS:AS,VST_Assets!$AN$3)*VST_Assets!$J$3*AS72/1000000*(1+VST_RevAdj)</f>
        <v>0</v>
      </c>
    </row>
    <row r="74" customFormat="false" ht="15" hidden="false" customHeight="false" outlineLevel="0" collapsed="false">
      <c r="A74" s="6" t="s">
        <v>441</v>
      </c>
      <c r="B74" s="6" t="s">
        <v>442</v>
      </c>
      <c r="C74" s="9" t="n">
        <f aca="false">SUM(G74:AS74)</f>
        <v>2427.86134768025</v>
      </c>
      <c r="G74" s="8" t="n">
        <f aca="false">(VST_Assets!$D$3-G67)*INDEX(Prices!G:G,VST_Assets!$AP$3)*365*VST_Assets!$T$3*G66/1000000*(1+VST_RevAdj)</f>
        <v>125.12337824</v>
      </c>
      <c r="H74" s="8" t="n">
        <f aca="false">(VST_Assets!$D$3-H67)*INDEX(Prices!H:H,VST_Assets!$AP$3)*365*VST_Assets!$T$3*H66/1000000*(1+VST_RevAdj)</f>
        <v>0</v>
      </c>
      <c r="I74" s="8" t="n">
        <f aca="false">(VST_Assets!$D$3-I67)*INDEX(Prices!I:I,VST_Assets!$AP$3)*365*VST_Assets!$T$3*I66/1000000*(1+VST_RevAdj)</f>
        <v>0</v>
      </c>
      <c r="J74" s="8" t="n">
        <f aca="false">(VST_Assets!$D$3-J67)*INDEX(Prices!J:J,VST_Assets!$AP$3)*365*VST_Assets!$T$3*J66/1000000*(1+VST_RevAdj)</f>
        <v>0</v>
      </c>
      <c r="K74" s="8" t="n">
        <f aca="false">(VST_Assets!$D$3-K67)*INDEX(Prices!K:K,VST_Assets!$AP$3)*365*VST_Assets!$T$3*K66/1000000*(1+VST_RevAdj)</f>
        <v>0</v>
      </c>
      <c r="L74" s="8" t="n">
        <f aca="false">(VST_Assets!$D$3-L67)*INDEX(Prices!L:L,VST_Assets!$AP$3)*365*VST_Assets!$T$3*L66/1000000*(1+VST_RevAdj)</f>
        <v>0</v>
      </c>
      <c r="M74" s="8" t="n">
        <f aca="false">(VST_Assets!$D$3-M67)*INDEX(Prices!M:M,VST_Assets!$AP$3)*365*VST_Assets!$T$3*M66/1000000*(1+VST_RevAdj)</f>
        <v>0</v>
      </c>
      <c r="N74" s="8" t="n">
        <f aca="false">(VST_Assets!$D$3-N67)*INDEX(Prices!N:N,VST_Assets!$AP$3)*365*VST_Assets!$T$3*N66/1000000*(1+VST_RevAdj)</f>
        <v>0</v>
      </c>
      <c r="O74" s="8" t="n">
        <f aca="false">(VST_Assets!$D$3-O67)*INDEX(Prices!O:O,VST_Assets!$AP$3)*365*VST_Assets!$T$3*O66/1000000*(1+VST_RevAdj)</f>
        <v>0</v>
      </c>
      <c r="P74" s="8" t="n">
        <f aca="false">(VST_Assets!$D$3-P67)*INDEX(Prices!P:P,VST_Assets!$AP$3)*365*VST_Assets!$T$3*P66/1000000*(1+VST_RevAdj)</f>
        <v>0</v>
      </c>
      <c r="Q74" s="8" t="n">
        <f aca="false">(VST_Assets!$D$3-Q67)*INDEX(Prices!Q:Q,VST_Assets!$AP$3)*365*VST_Assets!$T$3*Q66/1000000*(1+VST_RevAdj)</f>
        <v>0</v>
      </c>
      <c r="R74" s="8" t="n">
        <f aca="false">(VST_Assets!$D$3-R67)*INDEX(Prices!R:R,VST_Assets!$AP$3)*365*VST_Assets!$T$3*R66/1000000*(1+VST_RevAdj)</f>
        <v>0</v>
      </c>
      <c r="S74" s="8" t="n">
        <f aca="false">(VST_Assets!$D$3-S67)*INDEX(Prices!S:S,VST_Assets!$AP$3)*365*VST_Assets!$T$3*S66/1000000*(1+VST_RevAdj)</f>
        <v>0</v>
      </c>
      <c r="T74" s="8" t="n">
        <f aca="false">(VST_Assets!$D$3-T67)*INDEX(Prices!T:T,VST_Assets!$AP$3)*365*VST_Assets!$T$3*T66/1000000*(1+VST_RevAdj)</f>
        <v>0</v>
      </c>
      <c r="U74" s="8" t="n">
        <f aca="false">(VST_Assets!$D$3-U67)*INDEX(Prices!U:U,VST_Assets!$AP$3)*365*VST_Assets!$T$3*U66/1000000*(1+VST_RevAdj)</f>
        <v>0</v>
      </c>
      <c r="V74" s="8" t="n">
        <f aca="false">(VST_Assets!$D$3-V67)*INDEX(Prices!V:V,VST_Assets!$AP$3)*365*VST_Assets!$T$3*V66/1000000*(1+VST_RevAdj)</f>
        <v>0</v>
      </c>
      <c r="W74" s="8" t="n">
        <f aca="false">(VST_Assets!$D$3-W67)*INDEX(Prices!W:W,VST_Assets!$AP$3)*365*VST_Assets!$T$3*W66/1000000*(1+VST_RevAdj)</f>
        <v>0</v>
      </c>
      <c r="X74" s="8" t="n">
        <f aca="false">(VST_Assets!$D$3-X67)*INDEX(Prices!X:X,VST_Assets!$AP$3)*365*VST_Assets!$T$3*X66/1000000*(1+VST_RevAdj)</f>
        <v>0</v>
      </c>
      <c r="Y74" s="8" t="n">
        <f aca="false">(VST_Assets!$D$3-Y67)*INDEX(Prices!Y:Y,VST_Assets!$AP$3)*365*VST_Assets!$T$3*Y66/1000000*(1+VST_RevAdj)</f>
        <v>0</v>
      </c>
      <c r="Z74" s="8" t="n">
        <f aca="false">(VST_Assets!$D$3-Z67)*INDEX(Prices!Z:Z,VST_Assets!$AP$3)*365*VST_Assets!$T$3*Z66/1000000*(1+VST_RevAdj)</f>
        <v>0</v>
      </c>
      <c r="AA74" s="8" t="n">
        <f aca="false">(VST_Assets!$D$3-AA67)*INDEX(Prices!AA:AA,VST_Assets!$AP$3)*365*VST_Assets!$T$3*AA66/1000000*(1+VST_RevAdj)</f>
        <v>0</v>
      </c>
      <c r="AB74" s="8" t="n">
        <f aca="false">(VST_Assets!$D$3-AB67)*INDEX(Prices!AB:AB,VST_Assets!$AP$3)*365*VST_Assets!$T$3*AB66/1000000*(1+VST_RevAdj)</f>
        <v>268.291538277172</v>
      </c>
      <c r="AC74" s="8" t="n">
        <f aca="false">(VST_Assets!$D$3-AC67)*INDEX(Prices!AC:AC,VST_Assets!$AP$3)*365*VST_Assets!$T$3*AC66/1000000*(1+VST_RevAdj)</f>
        <v>273.657369042716</v>
      </c>
      <c r="AD74" s="8" t="n">
        <f aca="false">(VST_Assets!$D$3-AD67)*INDEX(Prices!AD:AD,VST_Assets!$AP$3)*365*VST_Assets!$T$3*AD66/1000000*(1+VST_RevAdj)</f>
        <v>279.13051642357</v>
      </c>
      <c r="AE74" s="8" t="n">
        <f aca="false">(VST_Assets!$D$3-AE67)*INDEX(Prices!AE:AE,VST_Assets!$AP$3)*365*VST_Assets!$T$3*AE66/1000000*(1+VST_RevAdj)</f>
        <v>284.713126752041</v>
      </c>
      <c r="AF74" s="8" t="n">
        <f aca="false">(VST_Assets!$D$3-AF67)*INDEX(Prices!AF:AF,VST_Assets!$AP$3)*365*VST_Assets!$T$3*AF66/1000000*(1+VST_RevAdj)</f>
        <v>290.407389287082</v>
      </c>
      <c r="AG74" s="8" t="n">
        <f aca="false">(VST_Assets!$D$3-AG67)*INDEX(Prices!AG:AG,VST_Assets!$AP$3)*365*VST_Assets!$T$3*AG66/1000000*(1+VST_RevAdj)</f>
        <v>296.215537072824</v>
      </c>
      <c r="AH74" s="8" t="n">
        <f aca="false">(VST_Assets!$D$3-AH67)*INDEX(Prices!AH:AH,VST_Assets!$AP$3)*365*VST_Assets!$T$3*AH66/1000000*(1+VST_RevAdj)</f>
        <v>302.13984781428</v>
      </c>
      <c r="AI74" s="8" t="n">
        <f aca="false">(VST_Assets!$D$3-AI67)*INDEX(Prices!AI:AI,VST_Assets!$AP$3)*365*VST_Assets!$T$3*AI66/1000000*(1+VST_RevAdj)</f>
        <v>308.182644770566</v>
      </c>
      <c r="AJ74" s="8" t="n">
        <f aca="false">(VST_Assets!$D$3-AJ67)*INDEX(Prices!AJ:AJ,VST_Assets!$AP$3)*365*VST_Assets!$T$3*AJ66/1000000*(1+VST_RevAdj)</f>
        <v>0</v>
      </c>
      <c r="AK74" s="8" t="n">
        <f aca="false">(VST_Assets!$D$3-AK67)*INDEX(Prices!AK:AK,VST_Assets!$AP$3)*365*VST_Assets!$T$3*AK66/1000000*(1+VST_RevAdj)</f>
        <v>0</v>
      </c>
      <c r="AL74" s="8" t="n">
        <f aca="false">(VST_Assets!$D$3-AL67)*INDEX(Prices!AL:AL,VST_Assets!$AP$3)*365*VST_Assets!$T$3*AL66/1000000*(1+VST_RevAdj)</f>
        <v>0</v>
      </c>
      <c r="AM74" s="8" t="n">
        <f aca="false">(VST_Assets!$D$3-AM67)*INDEX(Prices!AM:AM,VST_Assets!$AP$3)*365*VST_Assets!$T$3*AM66/1000000*(1+VST_RevAdj)</f>
        <v>0</v>
      </c>
      <c r="AN74" s="8" t="n">
        <f aca="false">(VST_Assets!$D$3-AN67)*INDEX(Prices!AN:AN,VST_Assets!$AP$3)*365*VST_Assets!$T$3*AN66/1000000*(1+VST_RevAdj)</f>
        <v>0</v>
      </c>
      <c r="AO74" s="8" t="n">
        <f aca="false">(VST_Assets!$D$3-AO67)*INDEX(Prices!AO:AO,VST_Assets!$AP$3)*365*VST_Assets!$T$3*AO66/1000000*(1+VST_RevAdj)</f>
        <v>0</v>
      </c>
      <c r="AP74" s="8" t="n">
        <f aca="false">(VST_Assets!$D$3-AP67)*INDEX(Prices!AP:AP,VST_Assets!$AP$3)*365*VST_Assets!$T$3*AP66/1000000*(1+VST_RevAdj)</f>
        <v>0</v>
      </c>
      <c r="AQ74" s="8" t="n">
        <f aca="false">(VST_Assets!$D$3-AQ67)*INDEX(Prices!AQ:AQ,VST_Assets!$AP$3)*365*VST_Assets!$T$3*AQ66/1000000*(1+VST_RevAdj)</f>
        <v>0</v>
      </c>
      <c r="AR74" s="8" t="n">
        <f aca="false">(VST_Assets!$D$3-AR67)*INDEX(Prices!AR:AR,VST_Assets!$AP$3)*365*VST_Assets!$T$3*AR66/1000000*(1+VST_RevAdj)</f>
        <v>0</v>
      </c>
      <c r="AS74" s="8" t="n">
        <f aca="false">(VST_Assets!$D$3-AS67)*INDEX(Prices!AS:AS,VST_Assets!$AP$3)*365*VST_Assets!$T$3*AS66/1000000*(1+VST_RevAdj)</f>
        <v>0</v>
      </c>
    </row>
    <row r="75" customFormat="false" ht="15" hidden="false" customHeight="false" outlineLevel="0" collapsed="false">
      <c r="A75" s="6" t="s">
        <v>443</v>
      </c>
      <c r="B75" s="6" t="s">
        <v>444</v>
      </c>
      <c r="C75" s="9" t="n">
        <f aca="false">SUM(G75:AS75)</f>
        <v>31056.134208</v>
      </c>
      <c r="G75" s="8" t="n">
        <f aca="false">G69*(VST_Assets!$AD$3+VST_PPAAdj)/1000000*(1+VST_RevAdj)</f>
        <v>757.466688</v>
      </c>
      <c r="H75" s="8" t="n">
        <f aca="false">H69*(VST_Assets!$AD$3+VST_PPAAdj)/1000000*(1+VST_RevAdj)</f>
        <v>1514.933376</v>
      </c>
      <c r="I75" s="8" t="n">
        <f aca="false">I69*(VST_Assets!$AD$3+VST_PPAAdj)/1000000*(1+VST_RevAdj)</f>
        <v>1514.933376</v>
      </c>
      <c r="J75" s="8" t="n">
        <f aca="false">J69*(VST_Assets!$AD$3+VST_PPAAdj)/1000000*(1+VST_RevAdj)</f>
        <v>1514.933376</v>
      </c>
      <c r="K75" s="8" t="n">
        <f aca="false">K69*(VST_Assets!$AD$3+VST_PPAAdj)/1000000*(1+VST_RevAdj)</f>
        <v>1514.933376</v>
      </c>
      <c r="L75" s="8" t="n">
        <f aca="false">L69*(VST_Assets!$AD$3+VST_PPAAdj)/1000000*(1+VST_RevAdj)</f>
        <v>1514.933376</v>
      </c>
      <c r="M75" s="8" t="n">
        <f aca="false">M69*(VST_Assets!$AD$3+VST_PPAAdj)/1000000*(1+VST_RevAdj)</f>
        <v>1514.933376</v>
      </c>
      <c r="N75" s="8" t="n">
        <f aca="false">N69*(VST_Assets!$AD$3+VST_PPAAdj)/1000000*(1+VST_RevAdj)</f>
        <v>1514.933376</v>
      </c>
      <c r="O75" s="8" t="n">
        <f aca="false">O69*(VST_Assets!$AD$3+VST_PPAAdj)/1000000*(1+VST_RevAdj)</f>
        <v>1514.933376</v>
      </c>
      <c r="P75" s="8" t="n">
        <f aca="false">P69*(VST_Assets!$AD$3+VST_PPAAdj)/1000000*(1+VST_RevAdj)</f>
        <v>1514.933376</v>
      </c>
      <c r="Q75" s="8" t="n">
        <f aca="false">Q69*(VST_Assets!$AD$3+VST_PPAAdj)/1000000*(1+VST_RevAdj)</f>
        <v>1514.933376</v>
      </c>
      <c r="R75" s="8" t="n">
        <f aca="false">R69*(VST_Assets!$AD$3+VST_PPAAdj)/1000000*(1+VST_RevAdj)</f>
        <v>1514.933376</v>
      </c>
      <c r="S75" s="8" t="n">
        <f aca="false">S69*(VST_Assets!$AD$3+VST_PPAAdj)/1000000*(1+VST_RevAdj)</f>
        <v>1514.933376</v>
      </c>
      <c r="T75" s="8" t="n">
        <f aca="false">T69*(VST_Assets!$AD$3+VST_PPAAdj)/1000000*(1+VST_RevAdj)</f>
        <v>1514.933376</v>
      </c>
      <c r="U75" s="8" t="n">
        <f aca="false">U69*(VST_Assets!$AD$3+VST_PPAAdj)/1000000*(1+VST_RevAdj)</f>
        <v>1514.933376</v>
      </c>
      <c r="V75" s="8" t="n">
        <f aca="false">V69*(VST_Assets!$AD$3+VST_PPAAdj)/1000000*(1+VST_RevAdj)</f>
        <v>1514.933376</v>
      </c>
      <c r="W75" s="8" t="n">
        <f aca="false">W69*(VST_Assets!$AD$3+VST_PPAAdj)/1000000*(1+VST_RevAdj)</f>
        <v>1514.933376</v>
      </c>
      <c r="X75" s="8" t="n">
        <f aca="false">X69*(VST_Assets!$AD$3+VST_PPAAdj)/1000000*(1+VST_RevAdj)</f>
        <v>1514.933376</v>
      </c>
      <c r="Y75" s="8" t="n">
        <f aca="false">Y69*(VST_Assets!$AD$3+VST_PPAAdj)/1000000*(1+VST_RevAdj)</f>
        <v>1514.933376</v>
      </c>
      <c r="Z75" s="8" t="n">
        <f aca="false">Z69*(VST_Assets!$AD$3+VST_PPAAdj)/1000000*(1+VST_RevAdj)</f>
        <v>1514.933376</v>
      </c>
      <c r="AA75" s="8" t="n">
        <f aca="false">AA69*(VST_Assets!$AD$3+VST_PPAAdj)/1000000*(1+VST_RevAdj)</f>
        <v>1514.933376</v>
      </c>
      <c r="AB75" s="8" t="n">
        <f aca="false">AB69*(VST_Assets!$AD$3+VST_PPAAdj)/1000000*(1+VST_RevAdj)</f>
        <v>0</v>
      </c>
      <c r="AC75" s="8" t="n">
        <f aca="false">AC69*(VST_Assets!$AD$3+VST_PPAAdj)/1000000*(1+VST_RevAdj)</f>
        <v>0</v>
      </c>
      <c r="AD75" s="8" t="n">
        <f aca="false">AD69*(VST_Assets!$AD$3+VST_PPAAdj)/1000000*(1+VST_RevAdj)</f>
        <v>0</v>
      </c>
      <c r="AE75" s="8" t="n">
        <f aca="false">AE69*(VST_Assets!$AD$3+VST_PPAAdj)/1000000*(1+VST_RevAdj)</f>
        <v>0</v>
      </c>
      <c r="AF75" s="8" t="n">
        <f aca="false">AF69*(VST_Assets!$AD$3+VST_PPAAdj)/1000000*(1+VST_RevAdj)</f>
        <v>0</v>
      </c>
      <c r="AG75" s="8" t="n">
        <f aca="false">AG69*(VST_Assets!$AD$3+VST_PPAAdj)/1000000*(1+VST_RevAdj)</f>
        <v>0</v>
      </c>
      <c r="AH75" s="8" t="n">
        <f aca="false">AH69*(VST_Assets!$AD$3+VST_PPAAdj)/1000000*(1+VST_RevAdj)</f>
        <v>0</v>
      </c>
      <c r="AI75" s="8" t="n">
        <f aca="false">AI69*(VST_Assets!$AD$3+VST_PPAAdj)/1000000*(1+VST_RevAdj)</f>
        <v>0</v>
      </c>
      <c r="AJ75" s="8" t="n">
        <f aca="false">AJ69*(VST_Assets!$AD$3+VST_PPAAdj)/1000000*(1+VST_RevAdj)</f>
        <v>0</v>
      </c>
      <c r="AK75" s="8" t="n">
        <f aca="false">AK69*(VST_Assets!$AD$3+VST_PPAAdj)/1000000*(1+VST_RevAdj)</f>
        <v>0</v>
      </c>
      <c r="AL75" s="8" t="n">
        <f aca="false">AL69*(VST_Assets!$AD$3+VST_PPAAdj)/1000000*(1+VST_RevAdj)</f>
        <v>0</v>
      </c>
      <c r="AM75" s="8" t="n">
        <f aca="false">AM69*(VST_Assets!$AD$3+VST_PPAAdj)/1000000*(1+VST_RevAdj)</f>
        <v>0</v>
      </c>
      <c r="AN75" s="8" t="n">
        <f aca="false">AN69*(VST_Assets!$AD$3+VST_PPAAdj)/1000000*(1+VST_RevAdj)</f>
        <v>0</v>
      </c>
      <c r="AO75" s="8" t="n">
        <f aca="false">AO69*(VST_Assets!$AD$3+VST_PPAAdj)/1000000*(1+VST_RevAdj)</f>
        <v>0</v>
      </c>
      <c r="AP75" s="8" t="n">
        <f aca="false">AP69*(VST_Assets!$AD$3+VST_PPAAdj)/1000000*(1+VST_RevAdj)</f>
        <v>0</v>
      </c>
      <c r="AQ75" s="8" t="n">
        <f aca="false">AQ69*(VST_Assets!$AD$3+VST_PPAAdj)/1000000*(1+VST_RevAdj)</f>
        <v>0</v>
      </c>
      <c r="AR75" s="8" t="n">
        <f aca="false">AR69*(VST_Assets!$AD$3+VST_PPAAdj)/1000000*(1+VST_RevAdj)</f>
        <v>0</v>
      </c>
      <c r="AS75" s="8" t="n">
        <f aca="false">AS69*(VST_Assets!$AD$3+VST_PPAAdj)/1000000*(1+VST_RevAdj)</f>
        <v>0</v>
      </c>
    </row>
    <row r="76" customFormat="false" ht="15" hidden="false" customHeight="false" outlineLevel="0" collapsed="false">
      <c r="A76" s="6" t="s">
        <v>445</v>
      </c>
      <c r="B76" s="6" t="s">
        <v>446</v>
      </c>
      <c r="C76" s="9" t="n">
        <f aca="false">SUM(G76:AS76)</f>
        <v>0</v>
      </c>
      <c r="G76" s="8" t="n">
        <f aca="false">IF(G$3&lt;=VST_Assets!$V$3,G68*VST_Assets!$U$3,0)/1000000*(1+VST_RevAdj)</f>
        <v>0</v>
      </c>
      <c r="H76" s="8" t="n">
        <f aca="false">IF(H$3&lt;=VST_Assets!$V$3,H68*VST_Assets!$U$3,0)/1000000*(1+VST_RevAdj)</f>
        <v>0</v>
      </c>
      <c r="I76" s="8" t="n">
        <f aca="false">IF(I$3&lt;=VST_Assets!$V$3,I68*VST_Assets!$U$3,0)/1000000*(1+VST_RevAdj)</f>
        <v>0</v>
      </c>
      <c r="J76" s="8" t="n">
        <f aca="false">IF(J$3&lt;=VST_Assets!$V$3,J68*VST_Assets!$U$3,0)/1000000*(1+VST_RevAdj)</f>
        <v>0</v>
      </c>
      <c r="K76" s="8" t="n">
        <f aca="false">IF(K$3&lt;=VST_Assets!$V$3,K68*VST_Assets!$U$3,0)/1000000*(1+VST_RevAdj)</f>
        <v>0</v>
      </c>
      <c r="L76" s="8" t="n">
        <f aca="false">IF(L$3&lt;=VST_Assets!$V$3,L68*VST_Assets!$U$3,0)/1000000*(1+VST_RevAdj)</f>
        <v>0</v>
      </c>
      <c r="M76" s="8" t="n">
        <f aca="false">IF(M$3&lt;=VST_Assets!$V$3,M68*VST_Assets!$U$3,0)/1000000*(1+VST_RevAdj)</f>
        <v>0</v>
      </c>
      <c r="N76" s="8" t="n">
        <f aca="false">IF(N$3&lt;=VST_Assets!$V$3,N68*VST_Assets!$U$3,0)/1000000*(1+VST_RevAdj)</f>
        <v>0</v>
      </c>
      <c r="O76" s="8" t="n">
        <f aca="false">IF(O$3&lt;=VST_Assets!$V$3,O68*VST_Assets!$U$3,0)/1000000*(1+VST_RevAdj)</f>
        <v>0</v>
      </c>
      <c r="P76" s="8" t="n">
        <f aca="false">IF(P$3&lt;=VST_Assets!$V$3,P68*VST_Assets!$U$3,0)/1000000*(1+VST_RevAdj)</f>
        <v>0</v>
      </c>
      <c r="Q76" s="8" t="n">
        <f aca="false">IF(Q$3&lt;=VST_Assets!$V$3,Q68*VST_Assets!$U$3,0)/1000000*(1+VST_RevAdj)</f>
        <v>0</v>
      </c>
      <c r="R76" s="8" t="n">
        <f aca="false">IF(R$3&lt;=VST_Assets!$V$3,R68*VST_Assets!$U$3,0)/1000000*(1+VST_RevAdj)</f>
        <v>0</v>
      </c>
      <c r="S76" s="8" t="n">
        <f aca="false">IF(S$3&lt;=VST_Assets!$V$3,S68*VST_Assets!$U$3,0)/1000000*(1+VST_RevAdj)</f>
        <v>0</v>
      </c>
      <c r="T76" s="8" t="n">
        <f aca="false">IF(T$3&lt;=VST_Assets!$V$3,T68*VST_Assets!$U$3,0)/1000000*(1+VST_RevAdj)</f>
        <v>0</v>
      </c>
      <c r="U76" s="8" t="n">
        <f aca="false">IF(U$3&lt;=VST_Assets!$V$3,U68*VST_Assets!$U$3,0)/1000000*(1+VST_RevAdj)</f>
        <v>0</v>
      </c>
      <c r="V76" s="8" t="n">
        <f aca="false">IF(V$3&lt;=VST_Assets!$V$3,V68*VST_Assets!$U$3,0)/1000000*(1+VST_RevAdj)</f>
        <v>0</v>
      </c>
      <c r="W76" s="8" t="n">
        <f aca="false">IF(W$3&lt;=VST_Assets!$V$3,W68*VST_Assets!$U$3,0)/1000000*(1+VST_RevAdj)</f>
        <v>0</v>
      </c>
      <c r="X76" s="8" t="n">
        <f aca="false">IF(X$3&lt;=VST_Assets!$V$3,X68*VST_Assets!$U$3,0)/1000000*(1+VST_RevAdj)</f>
        <v>0</v>
      </c>
      <c r="Y76" s="8" t="n">
        <f aca="false">IF(Y$3&lt;=VST_Assets!$V$3,Y68*VST_Assets!$U$3,0)/1000000*(1+VST_RevAdj)</f>
        <v>0</v>
      </c>
      <c r="Z76" s="8" t="n">
        <f aca="false">IF(Z$3&lt;=VST_Assets!$V$3,Z68*VST_Assets!$U$3,0)/1000000*(1+VST_RevAdj)</f>
        <v>0</v>
      </c>
      <c r="AA76" s="8" t="n">
        <f aca="false">IF(AA$3&lt;=VST_Assets!$V$3,AA68*VST_Assets!$U$3,0)/1000000*(1+VST_RevAdj)</f>
        <v>0</v>
      </c>
      <c r="AB76" s="8" t="n">
        <f aca="false">IF(AB$3&lt;=VST_Assets!$V$3,AB68*VST_Assets!$U$3,0)/1000000*(1+VST_RevAdj)</f>
        <v>0</v>
      </c>
      <c r="AC76" s="8" t="n">
        <f aca="false">IF(AC$3&lt;=VST_Assets!$V$3,AC68*VST_Assets!$U$3,0)/1000000*(1+VST_RevAdj)</f>
        <v>0</v>
      </c>
      <c r="AD76" s="8" t="n">
        <f aca="false">IF(AD$3&lt;=VST_Assets!$V$3,AD68*VST_Assets!$U$3,0)/1000000*(1+VST_RevAdj)</f>
        <v>0</v>
      </c>
      <c r="AE76" s="8" t="n">
        <f aca="false">IF(AE$3&lt;=VST_Assets!$V$3,AE68*VST_Assets!$U$3,0)/1000000*(1+VST_RevAdj)</f>
        <v>0</v>
      </c>
      <c r="AF76" s="8" t="n">
        <f aca="false">IF(AF$3&lt;=VST_Assets!$V$3,AF68*VST_Assets!$U$3,0)/1000000*(1+VST_RevAdj)</f>
        <v>0</v>
      </c>
      <c r="AG76" s="8" t="n">
        <f aca="false">IF(AG$3&lt;=VST_Assets!$V$3,AG68*VST_Assets!$U$3,0)/1000000*(1+VST_RevAdj)</f>
        <v>0</v>
      </c>
      <c r="AH76" s="8" t="n">
        <f aca="false">IF(AH$3&lt;=VST_Assets!$V$3,AH68*VST_Assets!$U$3,0)/1000000*(1+VST_RevAdj)</f>
        <v>0</v>
      </c>
      <c r="AI76" s="8" t="n">
        <f aca="false">IF(AI$3&lt;=VST_Assets!$V$3,AI68*VST_Assets!$U$3,0)/1000000*(1+VST_RevAdj)</f>
        <v>0</v>
      </c>
      <c r="AJ76" s="8" t="n">
        <f aca="false">IF(AJ$3&lt;=VST_Assets!$V$3,AJ68*VST_Assets!$U$3,0)/1000000*(1+VST_RevAdj)</f>
        <v>0</v>
      </c>
      <c r="AK76" s="8" t="n">
        <f aca="false">IF(AK$3&lt;=VST_Assets!$V$3,AK68*VST_Assets!$U$3,0)/1000000*(1+VST_RevAdj)</f>
        <v>0</v>
      </c>
      <c r="AL76" s="8" t="n">
        <f aca="false">IF(AL$3&lt;=VST_Assets!$V$3,AL68*VST_Assets!$U$3,0)/1000000*(1+VST_RevAdj)</f>
        <v>0</v>
      </c>
      <c r="AM76" s="8" t="n">
        <f aca="false">IF(AM$3&lt;=VST_Assets!$V$3,AM68*VST_Assets!$U$3,0)/1000000*(1+VST_RevAdj)</f>
        <v>0</v>
      </c>
      <c r="AN76" s="8" t="n">
        <f aca="false">IF(AN$3&lt;=VST_Assets!$V$3,AN68*VST_Assets!$U$3,0)/1000000*(1+VST_RevAdj)</f>
        <v>0</v>
      </c>
      <c r="AO76" s="8" t="n">
        <f aca="false">IF(AO$3&lt;=VST_Assets!$V$3,AO68*VST_Assets!$U$3,0)/1000000*(1+VST_RevAdj)</f>
        <v>0</v>
      </c>
      <c r="AP76" s="8" t="n">
        <f aca="false">IF(AP$3&lt;=VST_Assets!$V$3,AP68*VST_Assets!$U$3,0)/1000000*(1+VST_RevAdj)</f>
        <v>0</v>
      </c>
      <c r="AQ76" s="8" t="n">
        <f aca="false">IF(AQ$3&lt;=VST_Assets!$V$3,AQ68*VST_Assets!$U$3,0)/1000000*(1+VST_RevAdj)</f>
        <v>0</v>
      </c>
      <c r="AR76" s="8" t="n">
        <f aca="false">IF(AR$3&lt;=VST_Assets!$V$3,AR68*VST_Assets!$U$3,0)/1000000*(1+VST_RevAdj)</f>
        <v>0</v>
      </c>
      <c r="AS76" s="8" t="n">
        <f aca="false">IF(AS$3&lt;=VST_Assets!$V$3,AS68*VST_Assets!$U$3,0)/1000000*(1+VST_RevAdj)</f>
        <v>0</v>
      </c>
    </row>
    <row r="77" customFormat="false" ht="15" hidden="false" customHeight="false" outlineLevel="0" collapsed="false">
      <c r="A77" s="6" t="s">
        <v>447</v>
      </c>
      <c r="B77" s="6" t="s">
        <v>448</v>
      </c>
      <c r="C77" s="9" t="n">
        <f aca="false">SUM(G77:AS77)</f>
        <v>47777.4200189593</v>
      </c>
      <c r="G77" s="8" t="n">
        <f aca="false">G73+G74+G75+G76</f>
        <v>1498.73663982848</v>
      </c>
      <c r="H77" s="8" t="n">
        <f aca="false">H73+H74+H75+H76</f>
        <v>1514.933376</v>
      </c>
      <c r="I77" s="8" t="n">
        <f aca="false">I73+I74+I75+I76</f>
        <v>1514.933376</v>
      </c>
      <c r="J77" s="8" t="n">
        <f aca="false">J73+J74+J75+J76</f>
        <v>1514.933376</v>
      </c>
      <c r="K77" s="8" t="n">
        <f aca="false">K73+K74+K75+K76</f>
        <v>1514.933376</v>
      </c>
      <c r="L77" s="8" t="n">
        <f aca="false">L73+L74+L75+L76</f>
        <v>1514.933376</v>
      </c>
      <c r="M77" s="8" t="n">
        <f aca="false">M73+M74+M75+M76</f>
        <v>1514.933376</v>
      </c>
      <c r="N77" s="8" t="n">
        <f aca="false">N73+N74+N75+N76</f>
        <v>1514.933376</v>
      </c>
      <c r="O77" s="8" t="n">
        <f aca="false">O73+O74+O75+O76</f>
        <v>1514.933376</v>
      </c>
      <c r="P77" s="8" t="n">
        <f aca="false">P73+P74+P75+P76</f>
        <v>1514.933376</v>
      </c>
      <c r="Q77" s="8" t="n">
        <f aca="false">Q73+Q74+Q75+Q76</f>
        <v>1514.933376</v>
      </c>
      <c r="R77" s="8" t="n">
        <f aca="false">R73+R74+R75+R76</f>
        <v>1514.933376</v>
      </c>
      <c r="S77" s="8" t="n">
        <f aca="false">S73+S74+S75+S76</f>
        <v>1514.933376</v>
      </c>
      <c r="T77" s="8" t="n">
        <f aca="false">T73+T74+T75+T76</f>
        <v>1514.933376</v>
      </c>
      <c r="U77" s="8" t="n">
        <f aca="false">U73+U74+U75+U76</f>
        <v>1514.933376</v>
      </c>
      <c r="V77" s="8" t="n">
        <f aca="false">V73+V74+V75+V76</f>
        <v>1514.933376</v>
      </c>
      <c r="W77" s="8" t="n">
        <f aca="false">W73+W74+W75+W76</f>
        <v>1514.933376</v>
      </c>
      <c r="X77" s="8" t="n">
        <f aca="false">X73+X74+X75+X76</f>
        <v>1514.933376</v>
      </c>
      <c r="Y77" s="8" t="n">
        <f aca="false">Y73+Y74+Y75+Y76</f>
        <v>1514.933376</v>
      </c>
      <c r="Z77" s="8" t="n">
        <f aca="false">Z73+Z74+Z75+Z76</f>
        <v>1514.933376</v>
      </c>
      <c r="AA77" s="8" t="n">
        <f aca="false">AA73+AA74+AA75+AA76</f>
        <v>1514.933376</v>
      </c>
      <c r="AB77" s="8" t="n">
        <f aca="false">AB73+AB74+AB75+AB76</f>
        <v>1861.82843790168</v>
      </c>
      <c r="AC77" s="8" t="n">
        <f aca="false">AC73+AC74+AC75+AC76</f>
        <v>1899.06500665971</v>
      </c>
      <c r="AD77" s="8" t="n">
        <f aca="false">AD73+AD74+AD75+AD76</f>
        <v>1937.0463067929</v>
      </c>
      <c r="AE77" s="8" t="n">
        <f aca="false">AE73+AE74+AE75+AE76</f>
        <v>1975.78723292876</v>
      </c>
      <c r="AF77" s="8" t="n">
        <f aca="false">AF73+AF74+AF75+AF76</f>
        <v>2015.30297758734</v>
      </c>
      <c r="AG77" s="8" t="n">
        <f aca="false">AG73+AG74+AG75+AG76</f>
        <v>2055.60903713909</v>
      </c>
      <c r="AH77" s="8" t="n">
        <f aca="false">AH73+AH74+AH75+AH76</f>
        <v>2096.72121788187</v>
      </c>
      <c r="AI77" s="8" t="n">
        <f aca="false">AI73+AI74+AI75+AI76</f>
        <v>2138.6556422395</v>
      </c>
      <c r="AJ77" s="8" t="n">
        <f aca="false">AJ73+AJ74+AJ75+AJ76</f>
        <v>0</v>
      </c>
      <c r="AK77" s="8" t="n">
        <f aca="false">AK73+AK74+AK75+AK76</f>
        <v>0</v>
      </c>
      <c r="AL77" s="8" t="n">
        <f aca="false">AL73+AL74+AL75+AL76</f>
        <v>0</v>
      </c>
      <c r="AM77" s="8" t="n">
        <f aca="false">AM73+AM74+AM75+AM76</f>
        <v>0</v>
      </c>
      <c r="AN77" s="8" t="n">
        <f aca="false">AN73+AN74+AN75+AN76</f>
        <v>0</v>
      </c>
      <c r="AO77" s="8" t="n">
        <f aca="false">AO73+AO74+AO75+AO76</f>
        <v>0</v>
      </c>
      <c r="AP77" s="8" t="n">
        <f aca="false">AP73+AP74+AP75+AP76</f>
        <v>0</v>
      </c>
      <c r="AQ77" s="8" t="n">
        <f aca="false">AQ73+AQ74+AQ75+AQ76</f>
        <v>0</v>
      </c>
      <c r="AR77" s="8" t="n">
        <f aca="false">AR73+AR74+AR75+AR76</f>
        <v>0</v>
      </c>
      <c r="AS77" s="8" t="n">
        <f aca="false">AS73+AS74+AS75+AS76</f>
        <v>0</v>
      </c>
    </row>
    <row r="78" customFormat="false" ht="15" hidden="false" customHeight="false" outlineLevel="0" collapsed="false">
      <c r="A78" s="6" t="s">
        <v>449</v>
      </c>
      <c r="B78" s="6" t="s">
        <v>450</v>
      </c>
      <c r="C78" s="9" t="n">
        <f aca="false">SUM(G78:AS78)</f>
        <v>4205.54180217218</v>
      </c>
      <c r="G78" s="8" t="n">
        <f aca="false">((VST_Assets!$K$3*G70+VST_Assets!$M$3*G$4)*G68*G72+VST_Assets!$N$3*(1+VST_Assets!$Q$3)^(G$3-2026)*(G68+G69))/1000000*(1+VST_FuelAdj)</f>
        <v>100.47572832</v>
      </c>
      <c r="H78" s="8" t="n">
        <f aca="false">((VST_Assets!$K$3*H70+VST_Assets!$M$3*H$4)*H68*H72+VST_Assets!$N$3*(1+VST_Assets!$Q$3)^(H$3-2026)*(H68+H69))/1000000*(1+VST_FuelAdj)</f>
        <v>102.987621528</v>
      </c>
      <c r="I78" s="8" t="n">
        <f aca="false">((VST_Assets!$K$3*I70+VST_Assets!$M$3*I$4)*I68*I72+VST_Assets!$N$3*(1+VST_Assets!$Q$3)^(I$3-2026)*(I68+I69))/1000000*(1+VST_FuelAdj)</f>
        <v>105.5623120662</v>
      </c>
      <c r="J78" s="8" t="n">
        <f aca="false">((VST_Assets!$K$3*J70+VST_Assets!$M$3*J$4)*J68*J72+VST_Assets!$N$3*(1+VST_Assets!$Q$3)^(J$3-2026)*(J68+J69))/1000000*(1+VST_FuelAdj)</f>
        <v>108.201369867855</v>
      </c>
      <c r="K78" s="8" t="n">
        <f aca="false">((VST_Assets!$K$3*K70+VST_Assets!$M$3*K$4)*K68*K72+VST_Assets!$N$3*(1+VST_Assets!$Q$3)^(K$3-2026)*(K68+K69))/1000000*(1+VST_FuelAdj)</f>
        <v>110.906404114551</v>
      </c>
      <c r="L78" s="8" t="n">
        <f aca="false">((VST_Assets!$K$3*L70+VST_Assets!$M$3*L$4)*L68*L72+VST_Assets!$N$3*(1+VST_Assets!$Q$3)^(L$3-2026)*(L68+L69))/1000000*(1+VST_FuelAdj)</f>
        <v>113.679064217415</v>
      </c>
      <c r="M78" s="8" t="n">
        <f aca="false">((VST_Assets!$K$3*M70+VST_Assets!$M$3*M$4)*M68*M72+VST_Assets!$N$3*(1+VST_Assets!$Q$3)^(M$3-2026)*(M68+M69))/1000000*(1+VST_FuelAdj)</f>
        <v>116.521040822851</v>
      </c>
      <c r="N78" s="8" t="n">
        <f aca="false">((VST_Assets!$K$3*N70+VST_Assets!$M$3*N$4)*N68*N72+VST_Assets!$N$3*(1+VST_Assets!$Q$3)^(N$3-2026)*(N68+N69))/1000000*(1+VST_FuelAdj)</f>
        <v>119.434066843422</v>
      </c>
      <c r="O78" s="8" t="n">
        <f aca="false">((VST_Assets!$K$3*O70+VST_Assets!$M$3*O$4)*O68*O72+VST_Assets!$N$3*(1+VST_Assets!$Q$3)^(O$3-2026)*(O68+O69))/1000000*(1+VST_FuelAdj)</f>
        <v>122.419918514507</v>
      </c>
      <c r="P78" s="8" t="n">
        <f aca="false">((VST_Assets!$K$3*P70+VST_Assets!$M$3*P$4)*P68*P72+VST_Assets!$N$3*(1+VST_Assets!$Q$3)^(P$3-2026)*(P68+P69))/1000000*(1+VST_FuelAdj)</f>
        <v>125.48041647737</v>
      </c>
      <c r="Q78" s="8" t="n">
        <f aca="false">((VST_Assets!$K$3*Q70+VST_Assets!$M$3*Q$4)*Q68*Q72+VST_Assets!$N$3*(1+VST_Assets!$Q$3)^(Q$3-2026)*(Q68+Q69))/1000000*(1+VST_FuelAdj)</f>
        <v>128.617426889304</v>
      </c>
      <c r="R78" s="8" t="n">
        <f aca="false">((VST_Assets!$K$3*R70+VST_Assets!$M$3*R$4)*R68*R72+VST_Assets!$N$3*(1+VST_Assets!$Q$3)^(R$3-2026)*(R68+R69))/1000000*(1+VST_FuelAdj)</f>
        <v>131.832862561537</v>
      </c>
      <c r="S78" s="8" t="n">
        <f aca="false">((VST_Assets!$K$3*S70+VST_Assets!$M$3*S$4)*S68*S72+VST_Assets!$N$3*(1+VST_Assets!$Q$3)^(S$3-2026)*(S68+S69))/1000000*(1+VST_FuelAdj)</f>
        <v>135.128684125575</v>
      </c>
      <c r="T78" s="8" t="n">
        <f aca="false">((VST_Assets!$K$3*T70+VST_Assets!$M$3*T$4)*T68*T72+VST_Assets!$N$3*(1+VST_Assets!$Q$3)^(T$3-2026)*(T68+T69))/1000000*(1+VST_FuelAdj)</f>
        <v>138.506901228715</v>
      </c>
      <c r="U78" s="8" t="n">
        <f aca="false">((VST_Assets!$K$3*U70+VST_Assets!$M$3*U$4)*U68*U72+VST_Assets!$N$3*(1+VST_Assets!$Q$3)^(U$3-2026)*(U68+U69))/1000000*(1+VST_FuelAdj)</f>
        <v>141.969573759432</v>
      </c>
      <c r="V78" s="8" t="n">
        <f aca="false">((VST_Assets!$K$3*V70+VST_Assets!$M$3*V$4)*V68*V72+VST_Assets!$N$3*(1+VST_Assets!$Q$3)^(V$3-2026)*(V68+V69))/1000000*(1+VST_FuelAdj)</f>
        <v>145.518813103418</v>
      </c>
      <c r="W78" s="8" t="n">
        <f aca="false">((VST_Assets!$K$3*W70+VST_Assets!$M$3*W$4)*W68*W72+VST_Assets!$N$3*(1+VST_Assets!$Q$3)^(W$3-2026)*(W68+W69))/1000000*(1+VST_FuelAdj)</f>
        <v>149.156783431004</v>
      </c>
      <c r="X78" s="8" t="n">
        <f aca="false">((VST_Assets!$K$3*X70+VST_Assets!$M$3*X$4)*X68*X72+VST_Assets!$N$3*(1+VST_Assets!$Q$3)^(X$3-2026)*(X68+X69))/1000000*(1+VST_FuelAdj)</f>
        <v>152.885703016779</v>
      </c>
      <c r="Y78" s="8" t="n">
        <f aca="false">((VST_Assets!$K$3*Y70+VST_Assets!$M$3*Y$4)*Y68*Y72+VST_Assets!$N$3*(1+VST_Assets!$Q$3)^(Y$3-2026)*(Y68+Y69))/1000000*(1+VST_FuelAdj)</f>
        <v>156.707845592198</v>
      </c>
      <c r="Z78" s="8" t="n">
        <f aca="false">((VST_Assets!$K$3*Z70+VST_Assets!$M$3*Z$4)*Z68*Z72+VST_Assets!$N$3*(1+VST_Assets!$Q$3)^(Z$3-2026)*(Z68+Z69))/1000000*(1+VST_FuelAdj)</f>
        <v>160.625541732003</v>
      </c>
      <c r="AA78" s="8" t="n">
        <f aca="false">((VST_Assets!$K$3*AA70+VST_Assets!$M$3*AA$4)*AA68*AA72+VST_Assets!$N$3*(1+VST_Assets!$Q$3)^(AA$3-2026)*(AA68+AA69))/1000000*(1+VST_FuelAdj)</f>
        <v>164.641180275303</v>
      </c>
      <c r="AB78" s="8" t="n">
        <f aca="false">((VST_Assets!$K$3*AB70+VST_Assets!$M$3*AB$4)*AB68*AB72+VST_Assets!$N$3*(1+VST_Assets!$Q$3)^(AB$3-2026)*(AB68+AB69))/1000000*(1+VST_FuelAdj)</f>
        <v>168.757209782186</v>
      </c>
      <c r="AC78" s="8" t="n">
        <f aca="false">((VST_Assets!$K$3*AC70+VST_Assets!$M$3*AC$4)*AC68*AC72+VST_Assets!$N$3*(1+VST_Assets!$Q$3)^(AC$3-2026)*(AC68+AC69))/1000000*(1+VST_FuelAdj)</f>
        <v>172.97614002674</v>
      </c>
      <c r="AD78" s="8" t="n">
        <f aca="false">((VST_Assets!$K$3*AD70+VST_Assets!$M$3*AD$4)*AD68*AD72+VST_Assets!$N$3*(1+VST_Assets!$Q$3)^(AD$3-2026)*(AD68+AD69))/1000000*(1+VST_FuelAdj)</f>
        <v>177.300543527409</v>
      </c>
      <c r="AE78" s="8" t="n">
        <f aca="false">((VST_Assets!$K$3*AE70+VST_Assets!$M$3*AE$4)*AE68*AE72+VST_Assets!$N$3*(1+VST_Assets!$Q$3)^(AE$3-2026)*(AE68+AE69))/1000000*(1+VST_FuelAdj)</f>
        <v>181.733057115594</v>
      </c>
      <c r="AF78" s="8" t="n">
        <f aca="false">((VST_Assets!$K$3*AF70+VST_Assets!$M$3*AF$4)*AF68*AF72+VST_Assets!$N$3*(1+VST_Assets!$Q$3)^(AF$3-2026)*(AF68+AF69))/1000000*(1+VST_FuelAdj)</f>
        <v>186.276383543484</v>
      </c>
      <c r="AG78" s="8" t="n">
        <f aca="false">((VST_Assets!$K$3*AG70+VST_Assets!$M$3*AG$4)*AG68*AG72+VST_Assets!$N$3*(1+VST_Assets!$Q$3)^(AG$3-2026)*(AG68+AG69))/1000000*(1+VST_FuelAdj)</f>
        <v>190.933293132071</v>
      </c>
      <c r="AH78" s="8" t="n">
        <f aca="false">((VST_Assets!$K$3*AH70+VST_Assets!$M$3*AH$4)*AH68*AH72+VST_Assets!$N$3*(1+VST_Assets!$Q$3)^(AH$3-2026)*(AH68+AH69))/1000000*(1+VST_FuelAdj)</f>
        <v>195.706625460373</v>
      </c>
      <c r="AI78" s="8" t="n">
        <f aca="false">((VST_Assets!$K$3*AI70+VST_Assets!$M$3*AI$4)*AI68*AI72+VST_Assets!$N$3*(1+VST_Assets!$Q$3)^(AI$3-2026)*(AI68+AI69))/1000000*(1+VST_FuelAdj)</f>
        <v>200.599291096882</v>
      </c>
      <c r="AJ78" s="8" t="n">
        <f aca="false">((VST_Assets!$K$3*AJ70+VST_Assets!$M$3*AJ$4)*AJ68*AJ72+VST_Assets!$N$3*(1+VST_Assets!$Q$3)^(AJ$3-2026)*(AJ68+AJ69))/1000000*(1+VST_FuelAdj)</f>
        <v>0</v>
      </c>
      <c r="AK78" s="8" t="n">
        <f aca="false">((VST_Assets!$K$3*AK70+VST_Assets!$M$3*AK$4)*AK68*AK72+VST_Assets!$N$3*(1+VST_Assets!$Q$3)^(AK$3-2026)*(AK68+AK69))/1000000*(1+VST_FuelAdj)</f>
        <v>0</v>
      </c>
      <c r="AL78" s="8" t="n">
        <f aca="false">((VST_Assets!$K$3*AL70+VST_Assets!$M$3*AL$4)*AL68*AL72+VST_Assets!$N$3*(1+VST_Assets!$Q$3)^(AL$3-2026)*(AL68+AL69))/1000000*(1+VST_FuelAdj)</f>
        <v>0</v>
      </c>
      <c r="AM78" s="8" t="n">
        <f aca="false">((VST_Assets!$K$3*AM70+VST_Assets!$M$3*AM$4)*AM68*AM72+VST_Assets!$N$3*(1+VST_Assets!$Q$3)^(AM$3-2026)*(AM68+AM69))/1000000*(1+VST_FuelAdj)</f>
        <v>0</v>
      </c>
      <c r="AN78" s="8" t="n">
        <f aca="false">((VST_Assets!$K$3*AN70+VST_Assets!$M$3*AN$4)*AN68*AN72+VST_Assets!$N$3*(1+VST_Assets!$Q$3)^(AN$3-2026)*(AN68+AN69))/1000000*(1+VST_FuelAdj)</f>
        <v>0</v>
      </c>
      <c r="AO78" s="8" t="n">
        <f aca="false">((VST_Assets!$K$3*AO70+VST_Assets!$M$3*AO$4)*AO68*AO72+VST_Assets!$N$3*(1+VST_Assets!$Q$3)^(AO$3-2026)*(AO68+AO69))/1000000*(1+VST_FuelAdj)</f>
        <v>0</v>
      </c>
      <c r="AP78" s="8" t="n">
        <f aca="false">((VST_Assets!$K$3*AP70+VST_Assets!$M$3*AP$4)*AP68*AP72+VST_Assets!$N$3*(1+VST_Assets!$Q$3)^(AP$3-2026)*(AP68+AP69))/1000000*(1+VST_FuelAdj)</f>
        <v>0</v>
      </c>
      <c r="AQ78" s="8" t="n">
        <f aca="false">((VST_Assets!$K$3*AQ70+VST_Assets!$M$3*AQ$4)*AQ68*AQ72+VST_Assets!$N$3*(1+VST_Assets!$Q$3)^(AQ$3-2026)*(AQ68+AQ69))/1000000*(1+VST_FuelAdj)</f>
        <v>0</v>
      </c>
      <c r="AR78" s="8" t="n">
        <f aca="false">((VST_Assets!$K$3*AR70+VST_Assets!$M$3*AR$4)*AR68*AR72+VST_Assets!$N$3*(1+VST_Assets!$Q$3)^(AR$3-2026)*(AR68+AR69))/1000000*(1+VST_FuelAdj)</f>
        <v>0</v>
      </c>
      <c r="AS78" s="8" t="n">
        <f aca="false">((VST_Assets!$K$3*AS70+VST_Assets!$M$3*AS$4)*AS68*AS72+VST_Assets!$N$3*(1+VST_Assets!$Q$3)^(AS$3-2026)*(AS68+AS69))/1000000*(1+VST_FuelAdj)</f>
        <v>0</v>
      </c>
    </row>
    <row r="79" customFormat="false" ht="15" hidden="false" customHeight="false" outlineLevel="0" collapsed="false">
      <c r="A79" s="6" t="s">
        <v>451</v>
      </c>
      <c r="B79" s="6" t="s">
        <v>452</v>
      </c>
      <c r="C79" s="9" t="n">
        <f aca="false">SUM(G79:AS79)</f>
        <v>43571.8782167872</v>
      </c>
      <c r="G79" s="8" t="n">
        <f aca="false">G77-G78</f>
        <v>1398.26091150848</v>
      </c>
      <c r="H79" s="8" t="n">
        <f aca="false">H77-H78</f>
        <v>1411.945754472</v>
      </c>
      <c r="I79" s="8" t="n">
        <f aca="false">I77-I78</f>
        <v>1409.3710639338</v>
      </c>
      <c r="J79" s="8" t="n">
        <f aca="false">J77-J78</f>
        <v>1406.73200613215</v>
      </c>
      <c r="K79" s="8" t="n">
        <f aca="false">K77-K78</f>
        <v>1404.02697188545</v>
      </c>
      <c r="L79" s="8" t="n">
        <f aca="false">L77-L78</f>
        <v>1401.25431178259</v>
      </c>
      <c r="M79" s="8" t="n">
        <f aca="false">M77-M78</f>
        <v>1398.41233517715</v>
      </c>
      <c r="N79" s="8" t="n">
        <f aca="false">N77-N78</f>
        <v>1395.49930915658</v>
      </c>
      <c r="O79" s="8" t="n">
        <f aca="false">O77-O78</f>
        <v>1392.51345748549</v>
      </c>
      <c r="P79" s="8" t="n">
        <f aca="false">P77-P78</f>
        <v>1389.45295952263</v>
      </c>
      <c r="Q79" s="8" t="n">
        <f aca="false">Q77-Q78</f>
        <v>1386.3159491107</v>
      </c>
      <c r="R79" s="8" t="n">
        <f aca="false">R77-R78</f>
        <v>1383.10051343846</v>
      </c>
      <c r="S79" s="8" t="n">
        <f aca="false">S77-S78</f>
        <v>1379.80469187443</v>
      </c>
      <c r="T79" s="8" t="n">
        <f aca="false">T77-T78</f>
        <v>1376.42647477129</v>
      </c>
      <c r="U79" s="8" t="n">
        <f aca="false">U77-U78</f>
        <v>1372.96380224057</v>
      </c>
      <c r="V79" s="8" t="n">
        <f aca="false">V77-V78</f>
        <v>1369.41456289658</v>
      </c>
      <c r="W79" s="8" t="n">
        <f aca="false">W77-W78</f>
        <v>1365.776592569</v>
      </c>
      <c r="X79" s="8" t="n">
        <f aca="false">X77-X78</f>
        <v>1362.04767298322</v>
      </c>
      <c r="Y79" s="8" t="n">
        <f aca="false">Y77-Y78</f>
        <v>1358.2255304078</v>
      </c>
      <c r="Z79" s="8" t="n">
        <f aca="false">Z77-Z78</f>
        <v>1354.307834268</v>
      </c>
      <c r="AA79" s="8" t="n">
        <f aca="false">AA77-AA78</f>
        <v>1350.2921957247</v>
      </c>
      <c r="AB79" s="8" t="n">
        <f aca="false">AB77-AB78</f>
        <v>1693.07122811949</v>
      </c>
      <c r="AC79" s="8" t="n">
        <f aca="false">AC77-AC78</f>
        <v>1726.08886663297</v>
      </c>
      <c r="AD79" s="8" t="n">
        <f aca="false">AD77-AD78</f>
        <v>1759.7457632655</v>
      </c>
      <c r="AE79" s="8" t="n">
        <f aca="false">AE77-AE78</f>
        <v>1794.05417581317</v>
      </c>
      <c r="AF79" s="8" t="n">
        <f aca="false">AF77-AF78</f>
        <v>1829.02659404385</v>
      </c>
      <c r="AG79" s="8" t="n">
        <f aca="false">AG77-AG78</f>
        <v>1864.67574400701</v>
      </c>
      <c r="AH79" s="8" t="n">
        <f aca="false">AH77-AH78</f>
        <v>1901.01459242149</v>
      </c>
      <c r="AI79" s="8" t="n">
        <f aca="false">AI77-AI78</f>
        <v>1938.05635114262</v>
      </c>
      <c r="AJ79" s="8" t="n">
        <f aca="false">AJ77-AJ78</f>
        <v>0</v>
      </c>
      <c r="AK79" s="8" t="n">
        <f aca="false">AK77-AK78</f>
        <v>0</v>
      </c>
      <c r="AL79" s="8" t="n">
        <f aca="false">AL77-AL78</f>
        <v>0</v>
      </c>
      <c r="AM79" s="8" t="n">
        <f aca="false">AM77-AM78</f>
        <v>0</v>
      </c>
      <c r="AN79" s="8" t="n">
        <f aca="false">AN77-AN78</f>
        <v>0</v>
      </c>
      <c r="AO79" s="8" t="n">
        <f aca="false">AO77-AO78</f>
        <v>0</v>
      </c>
      <c r="AP79" s="8" t="n">
        <f aca="false">AP77-AP78</f>
        <v>0</v>
      </c>
      <c r="AQ79" s="8" t="n">
        <f aca="false">AQ77-AQ78</f>
        <v>0</v>
      </c>
      <c r="AR79" s="8" t="n">
        <f aca="false">AR77-AR78</f>
        <v>0</v>
      </c>
      <c r="AS79" s="8" t="n">
        <f aca="false">AS77-AS78</f>
        <v>0</v>
      </c>
    </row>
    <row r="80" customFormat="false" ht="15" hidden="false" customHeight="false" outlineLevel="0" collapsed="false">
      <c r="A80" s="6" t="s">
        <v>453</v>
      </c>
      <c r="B80" s="6" t="s">
        <v>454</v>
      </c>
      <c r="C80" s="9" t="n">
        <f aca="false">SUM(G80:AS80)</f>
        <v>17051.5603978981</v>
      </c>
      <c r="G80" s="8" t="n">
        <f aca="false">(VST_Assets!$R$3*VST_Assets!$D$3*1000*G$4*G66+VST_Assets!$O$3*(1+VST_Assets!$Q$3)^(G$3-2026)*(G68+G69))/1000000*(1+VST_OMAdj)</f>
        <v>407.383407552</v>
      </c>
      <c r="H80" s="8" t="n">
        <f aca="false">(VST_Assets!$R$3*VST_Assets!$D$3*1000*H$4*H66+VST_Assets!$O$3*(1+VST_Assets!$Q$3)^(H$3-2026)*(H68+H69))/1000000*(1+VST_OMAdj)</f>
        <v>417.5679927408</v>
      </c>
      <c r="I80" s="8" t="n">
        <f aca="false">(VST_Assets!$R$3*VST_Assets!$D$3*1000*I$4*I66+VST_Assets!$O$3*(1+VST_Assets!$Q$3)^(I$3-2026)*(I68+I69))/1000000*(1+VST_OMAdj)</f>
        <v>428.00719255932</v>
      </c>
      <c r="J80" s="8" t="n">
        <f aca="false">(VST_Assets!$R$3*VST_Assets!$D$3*1000*J$4*J66+VST_Assets!$O$3*(1+VST_Assets!$Q$3)^(J$3-2026)*(J68+J69))/1000000*(1+VST_OMAdj)</f>
        <v>438.707372373303</v>
      </c>
      <c r="K80" s="8" t="n">
        <f aca="false">(VST_Assets!$R$3*VST_Assets!$D$3*1000*K$4*K66+VST_Assets!$O$3*(1+VST_Assets!$Q$3)^(K$3-2026)*(K68+K69))/1000000*(1+VST_OMAdj)</f>
        <v>449.675056682635</v>
      </c>
      <c r="L80" s="8" t="n">
        <f aca="false">(VST_Assets!$R$3*VST_Assets!$D$3*1000*L$4*L66+VST_Assets!$O$3*(1+VST_Assets!$Q$3)^(L$3-2026)*(L68+L69))/1000000*(1+VST_OMAdj)</f>
        <v>460.916933099701</v>
      </c>
      <c r="M80" s="8" t="n">
        <f aca="false">(VST_Assets!$R$3*VST_Assets!$D$3*1000*M$4*M66+VST_Assets!$O$3*(1+VST_Assets!$Q$3)^(M$3-2026)*(M68+M69))/1000000*(1+VST_OMAdj)</f>
        <v>472.439856427194</v>
      </c>
      <c r="N80" s="8" t="n">
        <f aca="false">(VST_Assets!$R$3*VST_Assets!$D$3*1000*N$4*N66+VST_Assets!$O$3*(1+VST_Assets!$Q$3)^(N$3-2026)*(N68+N69))/1000000*(1+VST_OMAdj)</f>
        <v>484.250852837874</v>
      </c>
      <c r="O80" s="8" t="n">
        <f aca="false">(VST_Assets!$R$3*VST_Assets!$D$3*1000*O$4*O66+VST_Assets!$O$3*(1+VST_Assets!$Q$3)^(O$3-2026)*(O68+O69))/1000000*(1+VST_OMAdj)</f>
        <v>496.35712415882</v>
      </c>
      <c r="P80" s="8" t="n">
        <f aca="false">(VST_Assets!$R$3*VST_Assets!$D$3*1000*P$4*P66+VST_Assets!$O$3*(1+VST_Assets!$Q$3)^(P$3-2026)*(P68+P69))/1000000*(1+VST_OMAdj)</f>
        <v>508.766052262791</v>
      </c>
      <c r="Q80" s="8" t="n">
        <f aca="false">(VST_Assets!$R$3*VST_Assets!$D$3*1000*Q$4*Q66+VST_Assets!$O$3*(1+VST_Assets!$Q$3)^(Q$3-2026)*(Q68+Q69))/1000000*(1+VST_OMAdj)</f>
        <v>521.485203569361</v>
      </c>
      <c r="R80" s="8" t="n">
        <f aca="false">(VST_Assets!$R$3*VST_Assets!$D$3*1000*R$4*R66+VST_Assets!$O$3*(1+VST_Assets!$Q$3)^(R$3-2026)*(R68+R69))/1000000*(1+VST_OMAdj)</f>
        <v>534.522333658595</v>
      </c>
      <c r="S80" s="8" t="n">
        <f aca="false">(VST_Assets!$R$3*VST_Assets!$D$3*1000*S$4*S66+VST_Assets!$O$3*(1+VST_Assets!$Q$3)^(S$3-2026)*(S68+S69))/1000000*(1+VST_OMAdj)</f>
        <v>547.885392000059</v>
      </c>
      <c r="T80" s="8" t="n">
        <f aca="false">(VST_Assets!$R$3*VST_Assets!$D$3*1000*T$4*T66+VST_Assets!$O$3*(1+VST_Assets!$Q$3)^(T$3-2026)*(T68+T69))/1000000*(1+VST_OMAdj)</f>
        <v>561.582526800061</v>
      </c>
      <c r="U80" s="8" t="n">
        <f aca="false">(VST_Assets!$R$3*VST_Assets!$D$3*1000*U$4*U66+VST_Assets!$O$3*(1+VST_Assets!$Q$3)^(U$3-2026)*(U68+U69))/1000000*(1+VST_OMAdj)</f>
        <v>575.622089970062</v>
      </c>
      <c r="V80" s="8" t="n">
        <f aca="false">(VST_Assets!$R$3*VST_Assets!$D$3*1000*V$4*V66+VST_Assets!$O$3*(1+VST_Assets!$Q$3)^(V$3-2026)*(V68+V69))/1000000*(1+VST_OMAdj)</f>
        <v>590.012642219314</v>
      </c>
      <c r="W80" s="8" t="n">
        <f aca="false">(VST_Assets!$R$3*VST_Assets!$D$3*1000*W$4*W66+VST_Assets!$O$3*(1+VST_Assets!$Q$3)^(W$3-2026)*(W68+W69))/1000000*(1+VST_OMAdj)</f>
        <v>604.762958274797</v>
      </c>
      <c r="X80" s="8" t="n">
        <f aca="false">(VST_Assets!$R$3*VST_Assets!$D$3*1000*X$4*X66+VST_Assets!$O$3*(1+VST_Assets!$Q$3)^(X$3-2026)*(X68+X69))/1000000*(1+VST_OMAdj)</f>
        <v>619.882032231667</v>
      </c>
      <c r="Y80" s="8" t="n">
        <f aca="false">(VST_Assets!$R$3*VST_Assets!$D$3*1000*Y$4*Y66+VST_Assets!$O$3*(1+VST_Assets!$Q$3)^(Y$3-2026)*(Y68+Y69))/1000000*(1+VST_OMAdj)</f>
        <v>635.379083037458</v>
      </c>
      <c r="Z80" s="8" t="n">
        <f aca="false">(VST_Assets!$R$3*VST_Assets!$D$3*1000*Z$4*Z66+VST_Assets!$O$3*(1+VST_Assets!$Q$3)^(Z$3-2026)*(Z68+Z69))/1000000*(1+VST_OMAdj)</f>
        <v>651.263560113394</v>
      </c>
      <c r="AA80" s="8" t="n">
        <f aca="false">(VST_Assets!$R$3*VST_Assets!$D$3*1000*AA$4*AA66+VST_Assets!$O$3*(1+VST_Assets!$Q$3)^(AA$3-2026)*(AA68+AA69))/1000000*(1+VST_OMAdj)</f>
        <v>667.545149116229</v>
      </c>
      <c r="AB80" s="8" t="n">
        <f aca="false">(VST_Assets!$R$3*VST_Assets!$D$3*1000*AB$4*AB66+VST_Assets!$O$3*(1+VST_Assets!$Q$3)^(AB$3-2026)*(AB68+AB69))/1000000*(1+VST_OMAdj)</f>
        <v>684.233777844135</v>
      </c>
      <c r="AC80" s="8" t="n">
        <f aca="false">(VST_Assets!$R$3*VST_Assets!$D$3*1000*AC$4*AC66+VST_Assets!$O$3*(1+VST_Assets!$Q$3)^(AC$3-2026)*(AC68+AC69))/1000000*(1+VST_OMAdj)</f>
        <v>701.339622290238</v>
      </c>
      <c r="AD80" s="8" t="n">
        <f aca="false">(VST_Assets!$R$3*VST_Assets!$D$3*1000*AD$4*AD66+VST_Assets!$O$3*(1+VST_Assets!$Q$3)^(AD$3-2026)*(AD68+AD69))/1000000*(1+VST_OMAdj)</f>
        <v>718.873112847494</v>
      </c>
      <c r="AE80" s="8" t="n">
        <f aca="false">(VST_Assets!$R$3*VST_Assets!$D$3*1000*AE$4*AE66+VST_Assets!$O$3*(1+VST_Assets!$Q$3)^(AE$3-2026)*(AE68+AE69))/1000000*(1+VST_OMAdj)</f>
        <v>736.844940668681</v>
      </c>
      <c r="AF80" s="8" t="n">
        <f aca="false">(VST_Assets!$R$3*VST_Assets!$D$3*1000*AF$4*AF66+VST_Assets!$O$3*(1+VST_Assets!$Q$3)^(AF$3-2026)*(AF68+AF69))/1000000*(1+VST_OMAdj)</f>
        <v>755.266064185398</v>
      </c>
      <c r="AG80" s="8" t="n">
        <f aca="false">(VST_Assets!$R$3*VST_Assets!$D$3*1000*AG$4*AG66+VST_Assets!$O$3*(1+VST_Assets!$Q$3)^(AG$3-2026)*(AG68+AG69))/1000000*(1+VST_OMAdj)</f>
        <v>774.147715790033</v>
      </c>
      <c r="AH80" s="8" t="n">
        <f aca="false">(VST_Assets!$R$3*VST_Assets!$D$3*1000*AH$4*AH66+VST_Assets!$O$3*(1+VST_Assets!$Q$3)^(AH$3-2026)*(AH68+AH69))/1000000*(1+VST_OMAdj)</f>
        <v>793.501408684784</v>
      </c>
      <c r="AI80" s="8" t="n">
        <f aca="false">(VST_Assets!$R$3*VST_Assets!$D$3*1000*AI$4*AI66+VST_Assets!$O$3*(1+VST_Assets!$Q$3)^(AI$3-2026)*(AI68+AI69))/1000000*(1+VST_OMAdj)</f>
        <v>813.338943901904</v>
      </c>
      <c r="AJ80" s="8" t="n">
        <f aca="false">(VST_Assets!$R$3*VST_Assets!$D$3*1000*AJ$4*AJ66+VST_Assets!$O$3*(1+VST_Assets!$Q$3)^(AJ$3-2026)*(AJ68+AJ69))/1000000*(1+VST_OMAdj)</f>
        <v>0</v>
      </c>
      <c r="AK80" s="8" t="n">
        <f aca="false">(VST_Assets!$R$3*VST_Assets!$D$3*1000*AK$4*AK66+VST_Assets!$O$3*(1+VST_Assets!$Q$3)^(AK$3-2026)*(AK68+AK69))/1000000*(1+VST_OMAdj)</f>
        <v>0</v>
      </c>
      <c r="AL80" s="8" t="n">
        <f aca="false">(VST_Assets!$R$3*VST_Assets!$D$3*1000*AL$4*AL66+VST_Assets!$O$3*(1+VST_Assets!$Q$3)^(AL$3-2026)*(AL68+AL69))/1000000*(1+VST_OMAdj)</f>
        <v>0</v>
      </c>
      <c r="AM80" s="8" t="n">
        <f aca="false">(VST_Assets!$R$3*VST_Assets!$D$3*1000*AM$4*AM66+VST_Assets!$O$3*(1+VST_Assets!$Q$3)^(AM$3-2026)*(AM68+AM69))/1000000*(1+VST_OMAdj)</f>
        <v>0</v>
      </c>
      <c r="AN80" s="8" t="n">
        <f aca="false">(VST_Assets!$R$3*VST_Assets!$D$3*1000*AN$4*AN66+VST_Assets!$O$3*(1+VST_Assets!$Q$3)^(AN$3-2026)*(AN68+AN69))/1000000*(1+VST_OMAdj)</f>
        <v>0</v>
      </c>
      <c r="AO80" s="8" t="n">
        <f aca="false">(VST_Assets!$R$3*VST_Assets!$D$3*1000*AO$4*AO66+VST_Assets!$O$3*(1+VST_Assets!$Q$3)^(AO$3-2026)*(AO68+AO69))/1000000*(1+VST_OMAdj)</f>
        <v>0</v>
      </c>
      <c r="AP80" s="8" t="n">
        <f aca="false">(VST_Assets!$R$3*VST_Assets!$D$3*1000*AP$4*AP66+VST_Assets!$O$3*(1+VST_Assets!$Q$3)^(AP$3-2026)*(AP68+AP69))/1000000*(1+VST_OMAdj)</f>
        <v>0</v>
      </c>
      <c r="AQ80" s="8" t="n">
        <f aca="false">(VST_Assets!$R$3*VST_Assets!$D$3*1000*AQ$4*AQ66+VST_Assets!$O$3*(1+VST_Assets!$Q$3)^(AQ$3-2026)*(AQ68+AQ69))/1000000*(1+VST_OMAdj)</f>
        <v>0</v>
      </c>
      <c r="AR80" s="8" t="n">
        <f aca="false">(VST_Assets!$R$3*VST_Assets!$D$3*1000*AR$4*AR66+VST_Assets!$O$3*(1+VST_Assets!$Q$3)^(AR$3-2026)*(AR68+AR69))/1000000*(1+VST_OMAdj)</f>
        <v>0</v>
      </c>
      <c r="AS80" s="8" t="n">
        <f aca="false">(VST_Assets!$R$3*VST_Assets!$D$3*1000*AS$4*AS66+VST_Assets!$O$3*(1+VST_Assets!$Q$3)^(AS$3-2026)*(AS68+AS69))/1000000*(1+VST_OMAdj)</f>
        <v>0</v>
      </c>
    </row>
    <row r="81" customFormat="false" ht="15" hidden="false" customHeight="false" outlineLevel="0" collapsed="false">
      <c r="A81" s="6" t="s">
        <v>455</v>
      </c>
      <c r="B81" s="6" t="s">
        <v>456</v>
      </c>
      <c r="C81" s="9" t="n">
        <f aca="false">SUM(G81:AS81)</f>
        <v>26520.3178188891</v>
      </c>
      <c r="G81" s="8" t="n">
        <f aca="false">G79-G80</f>
        <v>990.87750395648</v>
      </c>
      <c r="H81" s="8" t="n">
        <f aca="false">H79-H80</f>
        <v>994.3777617312</v>
      </c>
      <c r="I81" s="8" t="n">
        <f aca="false">I79-I80</f>
        <v>981.36387137448</v>
      </c>
      <c r="J81" s="8" t="n">
        <f aca="false">J79-J80</f>
        <v>968.024633758842</v>
      </c>
      <c r="K81" s="8" t="n">
        <f aca="false">K79-K80</f>
        <v>954.351915202813</v>
      </c>
      <c r="L81" s="8" t="n">
        <f aca="false">L79-L80</f>
        <v>940.337378682884</v>
      </c>
      <c r="M81" s="8" t="n">
        <f aca="false">M79-M80</f>
        <v>925.972478749956</v>
      </c>
      <c r="N81" s="8" t="n">
        <f aca="false">N79-N80</f>
        <v>911.248456318705</v>
      </c>
      <c r="O81" s="8" t="n">
        <f aca="false">O79-O80</f>
        <v>896.156333326672</v>
      </c>
      <c r="P81" s="8" t="n">
        <f aca="false">P79-P80</f>
        <v>880.686907259839</v>
      </c>
      <c r="Q81" s="8" t="n">
        <f aca="false">Q79-Q80</f>
        <v>864.830745541335</v>
      </c>
      <c r="R81" s="8" t="n">
        <f aca="false">R79-R80</f>
        <v>848.578179779869</v>
      </c>
      <c r="S81" s="8" t="n">
        <f aca="false">S79-S80</f>
        <v>831.919299874366</v>
      </c>
      <c r="T81" s="8" t="n">
        <f aca="false">T79-T80</f>
        <v>814.843947971225</v>
      </c>
      <c r="U81" s="8" t="n">
        <f aca="false">U79-U80</f>
        <v>797.341712270506</v>
      </c>
      <c r="V81" s="8" t="n">
        <f aca="false">V79-V80</f>
        <v>779.401920677268</v>
      </c>
      <c r="W81" s="8" t="n">
        <f aca="false">W79-W80</f>
        <v>761.0136342942</v>
      </c>
      <c r="X81" s="8" t="n">
        <f aca="false">X79-X80</f>
        <v>742.165640751555</v>
      </c>
      <c r="Y81" s="8" t="n">
        <f aca="false">Y79-Y80</f>
        <v>722.846447370344</v>
      </c>
      <c r="Z81" s="8" t="n">
        <f aca="false">Z79-Z80</f>
        <v>703.044274154603</v>
      </c>
      <c r="AA81" s="8" t="n">
        <f aca="false">AA79-AA80</f>
        <v>682.747046608468</v>
      </c>
      <c r="AB81" s="8" t="n">
        <f aca="false">AB79-AB80</f>
        <v>1008.83745027536</v>
      </c>
      <c r="AC81" s="8" t="n">
        <f aca="false">AC79-AC80</f>
        <v>1024.74924434273</v>
      </c>
      <c r="AD81" s="8" t="n">
        <f aca="false">AD79-AD80</f>
        <v>1040.872650418</v>
      </c>
      <c r="AE81" s="8" t="n">
        <f aca="false">AE79-AE80</f>
        <v>1057.20923514449</v>
      </c>
      <c r="AF81" s="8" t="n">
        <f aca="false">AF79-AF80</f>
        <v>1073.76052985846</v>
      </c>
      <c r="AG81" s="8" t="n">
        <f aca="false">AG79-AG80</f>
        <v>1090.52802821698</v>
      </c>
      <c r="AH81" s="8" t="n">
        <f aca="false">AH79-AH80</f>
        <v>1107.51318373671</v>
      </c>
      <c r="AI81" s="8" t="n">
        <f aca="false">AI79-AI80</f>
        <v>1124.71740724072</v>
      </c>
      <c r="AJ81" s="8" t="n">
        <f aca="false">AJ79-AJ80</f>
        <v>0</v>
      </c>
      <c r="AK81" s="8" t="n">
        <f aca="false">AK79-AK80</f>
        <v>0</v>
      </c>
      <c r="AL81" s="8" t="n">
        <f aca="false">AL79-AL80</f>
        <v>0</v>
      </c>
      <c r="AM81" s="8" t="n">
        <f aca="false">AM79-AM80</f>
        <v>0</v>
      </c>
      <c r="AN81" s="8" t="n">
        <f aca="false">AN79-AN80</f>
        <v>0</v>
      </c>
      <c r="AO81" s="8" t="n">
        <f aca="false">AO79-AO80</f>
        <v>0</v>
      </c>
      <c r="AP81" s="8" t="n">
        <f aca="false">AP79-AP80</f>
        <v>0</v>
      </c>
      <c r="AQ81" s="8" t="n">
        <f aca="false">AQ79-AQ80</f>
        <v>0</v>
      </c>
      <c r="AR81" s="8" t="n">
        <f aca="false">AR79-AR80</f>
        <v>0</v>
      </c>
      <c r="AS81" s="8" t="n">
        <f aca="false">AS79-AS80</f>
        <v>0</v>
      </c>
    </row>
    <row r="82" customFormat="false" ht="15" hidden="false" customHeight="false" outlineLevel="0" collapsed="false">
      <c r="A82" s="6" t="s">
        <v>457</v>
      </c>
      <c r="B82" s="6" t="s">
        <v>458</v>
      </c>
      <c r="C82" s="9" t="n">
        <f aca="false">SUM(G82:AS82)</f>
        <v>5887.75852304105</v>
      </c>
      <c r="G82" s="8" t="n">
        <f aca="false">((VST_Assets!$S$3*VST_Assets!$D$3*1000*G$4*G66+VST_Assets!$P$3*(1+VST_Assets!$Q$3)^(G$3-2026)*(G68+G69))/1000000+IF(G$3=VST_Assets!$AH$3,VST_Assets!$AG$3,0))*(1+VST_CapexAdj)</f>
        <v>140.666019648</v>
      </c>
      <c r="H82" s="8" t="n">
        <f aca="false">((VST_Assets!$S$3*VST_Assets!$D$3*1000*H$4*H66+VST_Assets!$P$3*(1+VST_Assets!$Q$3)^(H$3-2026)*(H68+H69))/1000000+IF(H$3=VST_Assets!$AH$3,VST_Assets!$AG$3,0))*(1+VST_CapexAdj)</f>
        <v>144.1826701392</v>
      </c>
      <c r="I82" s="8" t="n">
        <f aca="false">((VST_Assets!$S$3*VST_Assets!$D$3*1000*I$4*I66+VST_Assets!$P$3*(1+VST_Assets!$Q$3)^(I$3-2026)*(I68+I69))/1000000+IF(I$3=VST_Assets!$AH$3,VST_Assets!$AG$3,0))*(1+VST_CapexAdj)</f>
        <v>147.78723689268</v>
      </c>
      <c r="J82" s="8" t="n">
        <f aca="false">((VST_Assets!$S$3*VST_Assets!$D$3*1000*J$4*J66+VST_Assets!$P$3*(1+VST_Assets!$Q$3)^(J$3-2026)*(J68+J69))/1000000+IF(J$3=VST_Assets!$AH$3,VST_Assets!$AG$3,0))*(1+VST_CapexAdj)</f>
        <v>151.481917814997</v>
      </c>
      <c r="K82" s="8" t="n">
        <f aca="false">((VST_Assets!$S$3*VST_Assets!$D$3*1000*K$4*K66+VST_Assets!$P$3*(1+VST_Assets!$Q$3)^(K$3-2026)*(K68+K69))/1000000+IF(K$3=VST_Assets!$AH$3,VST_Assets!$AG$3,0))*(1+VST_CapexAdj)</f>
        <v>155.268965760372</v>
      </c>
      <c r="L82" s="8" t="n">
        <f aca="false">((VST_Assets!$S$3*VST_Assets!$D$3*1000*L$4*L66+VST_Assets!$P$3*(1+VST_Assets!$Q$3)^(L$3-2026)*(L68+L69))/1000000+IF(L$3=VST_Assets!$AH$3,VST_Assets!$AG$3,0))*(1+VST_CapexAdj)</f>
        <v>159.150689904381</v>
      </c>
      <c r="M82" s="8" t="n">
        <f aca="false">((VST_Assets!$S$3*VST_Assets!$D$3*1000*M$4*M66+VST_Assets!$P$3*(1+VST_Assets!$Q$3)^(M$3-2026)*(M68+M69))/1000000+IF(M$3=VST_Assets!$AH$3,VST_Assets!$AG$3,0))*(1+VST_CapexAdj)</f>
        <v>163.129457151991</v>
      </c>
      <c r="N82" s="8" t="n">
        <f aca="false">((VST_Assets!$S$3*VST_Assets!$D$3*1000*N$4*N66+VST_Assets!$P$3*(1+VST_Assets!$Q$3)^(N$3-2026)*(N68+N69))/1000000+IF(N$3=VST_Assets!$AH$3,VST_Assets!$AG$3,0))*(1+VST_CapexAdj)</f>
        <v>167.20769358079</v>
      </c>
      <c r="O82" s="8" t="n">
        <f aca="false">((VST_Assets!$S$3*VST_Assets!$D$3*1000*O$4*O66+VST_Assets!$P$3*(1+VST_Assets!$Q$3)^(O$3-2026)*(O68+O69))/1000000+IF(O$3=VST_Assets!$AH$3,VST_Assets!$AG$3,0))*(1+VST_CapexAdj)</f>
        <v>171.38788592031</v>
      </c>
      <c r="P82" s="8" t="n">
        <f aca="false">((VST_Assets!$S$3*VST_Assets!$D$3*1000*P$4*P66+VST_Assets!$P$3*(1+VST_Assets!$Q$3)^(P$3-2026)*(P68+P69))/1000000+IF(P$3=VST_Assets!$AH$3,VST_Assets!$AG$3,0))*(1+VST_CapexAdj)</f>
        <v>175.672583068318</v>
      </c>
      <c r="Q82" s="8" t="n">
        <f aca="false">((VST_Assets!$S$3*VST_Assets!$D$3*1000*Q$4*Q66+VST_Assets!$P$3*(1+VST_Assets!$Q$3)^(Q$3-2026)*(Q68+Q69))/1000000+IF(Q$3=VST_Assets!$AH$3,VST_Assets!$AG$3,0))*(1+VST_CapexAdj)</f>
        <v>180.064397645026</v>
      </c>
      <c r="R82" s="8" t="n">
        <f aca="false">((VST_Assets!$S$3*VST_Assets!$D$3*1000*R$4*R66+VST_Assets!$P$3*(1+VST_Assets!$Q$3)^(R$3-2026)*(R68+R69))/1000000+IF(R$3=VST_Assets!$AH$3,VST_Assets!$AG$3,0))*(1+VST_CapexAdj)</f>
        <v>184.566007586151</v>
      </c>
      <c r="S82" s="8" t="n">
        <f aca="false">((VST_Assets!$S$3*VST_Assets!$D$3*1000*S$4*S66+VST_Assets!$P$3*(1+VST_Assets!$Q$3)^(S$3-2026)*(S68+S69))/1000000+IF(S$3=VST_Assets!$AH$3,VST_Assets!$AG$3,0))*(1+VST_CapexAdj)</f>
        <v>189.180157775805</v>
      </c>
      <c r="T82" s="8" t="n">
        <f aca="false">((VST_Assets!$S$3*VST_Assets!$D$3*1000*T$4*T66+VST_Assets!$P$3*(1+VST_Assets!$Q$3)^(T$3-2026)*(T68+T69))/1000000+IF(T$3=VST_Assets!$AH$3,VST_Assets!$AG$3,0))*(1+VST_CapexAdj)</f>
        <v>193.9096617202</v>
      </c>
      <c r="U82" s="8" t="n">
        <f aca="false">((VST_Assets!$S$3*VST_Assets!$D$3*1000*U$4*U66+VST_Assets!$P$3*(1+VST_Assets!$Q$3)^(U$3-2026)*(U68+U69))/1000000+IF(U$3=VST_Assets!$AH$3,VST_Assets!$AG$3,0))*(1+VST_CapexAdj)</f>
        <v>198.757403263205</v>
      </c>
      <c r="V82" s="8" t="n">
        <f aca="false">((VST_Assets!$S$3*VST_Assets!$D$3*1000*V$4*V66+VST_Assets!$P$3*(1+VST_Assets!$Q$3)^(V$3-2026)*(V68+V69))/1000000+IF(V$3=VST_Assets!$AH$3,VST_Assets!$AG$3,0))*(1+VST_CapexAdj)</f>
        <v>203.726338344785</v>
      </c>
      <c r="W82" s="8" t="n">
        <f aca="false">((VST_Assets!$S$3*VST_Assets!$D$3*1000*W$4*W66+VST_Assets!$P$3*(1+VST_Assets!$Q$3)^(W$3-2026)*(W68+W69))/1000000+IF(W$3=VST_Assets!$AH$3,VST_Assets!$AG$3,0))*(1+VST_CapexAdj)</f>
        <v>208.819496803405</v>
      </c>
      <c r="X82" s="8" t="n">
        <f aca="false">((VST_Assets!$S$3*VST_Assets!$D$3*1000*X$4*X66+VST_Assets!$P$3*(1+VST_Assets!$Q$3)^(X$3-2026)*(X68+X69))/1000000+IF(X$3=VST_Assets!$AH$3,VST_Assets!$AG$3,0))*(1+VST_CapexAdj)</f>
        <v>214.03998422349</v>
      </c>
      <c r="Y82" s="8" t="n">
        <f aca="false">((VST_Assets!$S$3*VST_Assets!$D$3*1000*Y$4*Y66+VST_Assets!$P$3*(1+VST_Assets!$Q$3)^(Y$3-2026)*(Y68+Y69))/1000000+IF(Y$3=VST_Assets!$AH$3,VST_Assets!$AG$3,0))*(1+VST_CapexAdj)</f>
        <v>219.390983829077</v>
      </c>
      <c r="Z82" s="8" t="n">
        <f aca="false">((VST_Assets!$S$3*VST_Assets!$D$3*1000*Z$4*Z66+VST_Assets!$P$3*(1+VST_Assets!$Q$3)^(Z$3-2026)*(Z68+Z69))/1000000+IF(Z$3=VST_Assets!$AH$3,VST_Assets!$AG$3,0))*(1+VST_CapexAdj)</f>
        <v>224.875758424804</v>
      </c>
      <c r="AA82" s="8" t="n">
        <f aca="false">((VST_Assets!$S$3*VST_Assets!$D$3*1000*AA$4*AA66+VST_Assets!$P$3*(1+VST_Assets!$Q$3)^(AA$3-2026)*(AA68+AA69))/1000000+IF(AA$3=VST_Assets!$AH$3,VST_Assets!$AG$3,0))*(1+VST_CapexAdj)</f>
        <v>230.497652385424</v>
      </c>
      <c r="AB82" s="8" t="n">
        <f aca="false">((VST_Assets!$S$3*VST_Assets!$D$3*1000*AB$4*AB66+VST_Assets!$P$3*(1+VST_Assets!$Q$3)^(AB$3-2026)*(AB68+AB69))/1000000+IF(AB$3=VST_Assets!$AH$3,VST_Assets!$AG$3,0))*(1+VST_CapexAdj)</f>
        <v>236.26009369506</v>
      </c>
      <c r="AC82" s="8" t="n">
        <f aca="false">((VST_Assets!$S$3*VST_Assets!$D$3*1000*AC$4*AC66+VST_Assets!$P$3*(1+VST_Assets!$Q$3)^(AC$3-2026)*(AC68+AC69))/1000000+IF(AC$3=VST_Assets!$AH$3,VST_Assets!$AG$3,0))*(1+VST_CapexAdj)</f>
        <v>242.166596037437</v>
      </c>
      <c r="AD82" s="8" t="n">
        <f aca="false">((VST_Assets!$S$3*VST_Assets!$D$3*1000*AD$4*AD66+VST_Assets!$P$3*(1+VST_Assets!$Q$3)^(AD$3-2026)*(AD68+AD69))/1000000+IF(AD$3=VST_Assets!$AH$3,VST_Assets!$AG$3,0))*(1+VST_CapexAdj)</f>
        <v>248.220760938372</v>
      </c>
      <c r="AE82" s="8" t="n">
        <f aca="false">((VST_Assets!$S$3*VST_Assets!$D$3*1000*AE$4*AE66+VST_Assets!$P$3*(1+VST_Assets!$Q$3)^(AE$3-2026)*(AE68+AE69))/1000000+IF(AE$3=VST_Assets!$AH$3,VST_Assets!$AG$3,0))*(1+VST_CapexAdj)</f>
        <v>254.426279961832</v>
      </c>
      <c r="AF82" s="8" t="n">
        <f aca="false">((VST_Assets!$S$3*VST_Assets!$D$3*1000*AF$4*AF66+VST_Assets!$P$3*(1+VST_Assets!$Q$3)^(AF$3-2026)*(AF68+AF69))/1000000+IF(AF$3=VST_Assets!$AH$3,VST_Assets!$AG$3,0))*(1+VST_CapexAdj)</f>
        <v>260.786936960877</v>
      </c>
      <c r="AG82" s="8" t="n">
        <f aca="false">((VST_Assets!$S$3*VST_Assets!$D$3*1000*AG$4*AG66+VST_Assets!$P$3*(1+VST_Assets!$Q$3)^(AG$3-2026)*(AG68+AG69))/1000000+IF(AG$3=VST_Assets!$AH$3,VST_Assets!$AG$3,0))*(1+VST_CapexAdj)</f>
        <v>267.306610384899</v>
      </c>
      <c r="AH82" s="8" t="n">
        <f aca="false">((VST_Assets!$S$3*VST_Assets!$D$3*1000*AH$4*AH66+VST_Assets!$P$3*(1+VST_Assets!$Q$3)^(AH$3-2026)*(AH68+AH69))/1000000+IF(AH$3=VST_Assets!$AH$3,VST_Assets!$AG$3,0))*(1+VST_CapexAdj)</f>
        <v>273.989275644522</v>
      </c>
      <c r="AI82" s="8" t="n">
        <f aca="false">((VST_Assets!$S$3*VST_Assets!$D$3*1000*AI$4*AI66+VST_Assets!$P$3*(1+VST_Assets!$Q$3)^(AI$3-2026)*(AI68+AI69))/1000000+IF(AI$3=VST_Assets!$AH$3,VST_Assets!$AG$3,0))*(1+VST_CapexAdj)</f>
        <v>280.839007535635</v>
      </c>
      <c r="AJ82" s="8" t="n">
        <f aca="false">((VST_Assets!$S$3*VST_Assets!$D$3*1000*AJ$4*AJ66+VST_Assets!$P$3*(1+VST_Assets!$Q$3)^(AJ$3-2026)*(AJ68+AJ69))/1000000+IF(AJ$3=VST_Assets!$AH$3,VST_Assets!$AG$3,0))*(1+VST_CapexAdj)</f>
        <v>0</v>
      </c>
      <c r="AK82" s="8" t="n">
        <f aca="false">((VST_Assets!$S$3*VST_Assets!$D$3*1000*AK$4*AK66+VST_Assets!$P$3*(1+VST_Assets!$Q$3)^(AK$3-2026)*(AK68+AK69))/1000000+IF(AK$3=VST_Assets!$AH$3,VST_Assets!$AG$3,0))*(1+VST_CapexAdj)</f>
        <v>0</v>
      </c>
      <c r="AL82" s="8" t="n">
        <f aca="false">((VST_Assets!$S$3*VST_Assets!$D$3*1000*AL$4*AL66+VST_Assets!$P$3*(1+VST_Assets!$Q$3)^(AL$3-2026)*(AL68+AL69))/1000000+IF(AL$3=VST_Assets!$AH$3,VST_Assets!$AG$3,0))*(1+VST_CapexAdj)</f>
        <v>0</v>
      </c>
      <c r="AM82" s="8" t="n">
        <f aca="false">((VST_Assets!$S$3*VST_Assets!$D$3*1000*AM$4*AM66+VST_Assets!$P$3*(1+VST_Assets!$Q$3)^(AM$3-2026)*(AM68+AM69))/1000000+IF(AM$3=VST_Assets!$AH$3,VST_Assets!$AG$3,0))*(1+VST_CapexAdj)</f>
        <v>0</v>
      </c>
      <c r="AN82" s="8" t="n">
        <f aca="false">((VST_Assets!$S$3*VST_Assets!$D$3*1000*AN$4*AN66+VST_Assets!$P$3*(1+VST_Assets!$Q$3)^(AN$3-2026)*(AN68+AN69))/1000000+IF(AN$3=VST_Assets!$AH$3,VST_Assets!$AG$3,0))*(1+VST_CapexAdj)</f>
        <v>0</v>
      </c>
      <c r="AO82" s="8" t="n">
        <f aca="false">((VST_Assets!$S$3*VST_Assets!$D$3*1000*AO$4*AO66+VST_Assets!$P$3*(1+VST_Assets!$Q$3)^(AO$3-2026)*(AO68+AO69))/1000000+IF(AO$3=VST_Assets!$AH$3,VST_Assets!$AG$3,0))*(1+VST_CapexAdj)</f>
        <v>0</v>
      </c>
      <c r="AP82" s="8" t="n">
        <f aca="false">((VST_Assets!$S$3*VST_Assets!$D$3*1000*AP$4*AP66+VST_Assets!$P$3*(1+VST_Assets!$Q$3)^(AP$3-2026)*(AP68+AP69))/1000000+IF(AP$3=VST_Assets!$AH$3,VST_Assets!$AG$3,0))*(1+VST_CapexAdj)</f>
        <v>0</v>
      </c>
      <c r="AQ82" s="8" t="n">
        <f aca="false">((VST_Assets!$S$3*VST_Assets!$D$3*1000*AQ$4*AQ66+VST_Assets!$P$3*(1+VST_Assets!$Q$3)^(AQ$3-2026)*(AQ68+AQ69))/1000000+IF(AQ$3=VST_Assets!$AH$3,VST_Assets!$AG$3,0))*(1+VST_CapexAdj)</f>
        <v>0</v>
      </c>
      <c r="AR82" s="8" t="n">
        <f aca="false">((VST_Assets!$S$3*VST_Assets!$D$3*1000*AR$4*AR66+VST_Assets!$P$3*(1+VST_Assets!$Q$3)^(AR$3-2026)*(AR68+AR69))/1000000+IF(AR$3=VST_Assets!$AH$3,VST_Assets!$AG$3,0))*(1+VST_CapexAdj)</f>
        <v>0</v>
      </c>
      <c r="AS82" s="8" t="n">
        <f aca="false">((VST_Assets!$S$3*VST_Assets!$D$3*1000*AS$4*AS66+VST_Assets!$P$3*(1+VST_Assets!$Q$3)^(AS$3-2026)*(AS68+AS69))/1000000+IF(AS$3=VST_Assets!$AH$3,VST_Assets!$AG$3,0))*(1+VST_CapexAdj)</f>
        <v>0</v>
      </c>
    </row>
    <row r="83" customFormat="false" ht="15" hidden="false" customHeight="false" outlineLevel="0" collapsed="false">
      <c r="A83" s="6" t="s">
        <v>459</v>
      </c>
      <c r="B83" s="6" t="s">
        <v>460</v>
      </c>
      <c r="C83" s="9" t="n">
        <f aca="false">SUM(G83:AS83)</f>
        <v>20632.559295848</v>
      </c>
      <c r="G83" s="8" t="n">
        <f aca="false">IF(VST_Assets!$Y$3=1,MAX(0,G81-G82),G81-G82)</f>
        <v>850.21148430848</v>
      </c>
      <c r="H83" s="8" t="n">
        <f aca="false">IF(VST_Assets!$Y$3=1,MAX(0,H81-H82),H81-H82)</f>
        <v>850.195091592</v>
      </c>
      <c r="I83" s="8" t="n">
        <f aca="false">IF(VST_Assets!$Y$3=1,MAX(0,I81-I82),I81-I82)</f>
        <v>833.5766344818</v>
      </c>
      <c r="J83" s="8" t="n">
        <f aca="false">IF(VST_Assets!$Y$3=1,MAX(0,J81-J82),J81-J82)</f>
        <v>816.542715943846</v>
      </c>
      <c r="K83" s="8" t="n">
        <f aca="false">IF(VST_Assets!$Y$3=1,MAX(0,K81-K82),K81-K82)</f>
        <v>799.082949442442</v>
      </c>
      <c r="L83" s="8" t="n">
        <f aca="false">IF(VST_Assets!$Y$3=1,MAX(0,L81-L82),L81-L82)</f>
        <v>781.186688778503</v>
      </c>
      <c r="M83" s="8" t="n">
        <f aca="false">IF(VST_Assets!$Y$3=1,MAX(0,M81-M82),M81-M82)</f>
        <v>762.843021597965</v>
      </c>
      <c r="N83" s="8" t="n">
        <f aca="false">IF(VST_Assets!$Y$3=1,MAX(0,N81-N82),N81-N82)</f>
        <v>744.040762737914</v>
      </c>
      <c r="O83" s="8" t="n">
        <f aca="false">IF(VST_Assets!$Y$3=1,MAX(0,O81-O82),O81-O82)</f>
        <v>724.768447406362</v>
      </c>
      <c r="P83" s="8" t="n">
        <f aca="false">IF(VST_Assets!$Y$3=1,MAX(0,P81-P82),P81-P82)</f>
        <v>705.014324191522</v>
      </c>
      <c r="Q83" s="8" t="n">
        <f aca="false">IF(VST_Assets!$Y$3=1,MAX(0,Q81-Q82),Q81-Q82)</f>
        <v>684.76634789631</v>
      </c>
      <c r="R83" s="8" t="n">
        <f aca="false">IF(VST_Assets!$Y$3=1,MAX(0,R81-R82),R81-R82)</f>
        <v>664.012172193717</v>
      </c>
      <c r="S83" s="8" t="n">
        <f aca="false">IF(VST_Assets!$Y$3=1,MAX(0,S81-S82),S81-S82)</f>
        <v>642.739142098561</v>
      </c>
      <c r="T83" s="8" t="n">
        <f aca="false">IF(VST_Assets!$Y$3=1,MAX(0,T81-T82),T81-T82)</f>
        <v>620.934286251025</v>
      </c>
      <c r="U83" s="8" t="n">
        <f aca="false">IF(VST_Assets!$Y$3=1,MAX(0,U81-U82),U81-U82)</f>
        <v>598.5843090073</v>
      </c>
      <c r="V83" s="8" t="n">
        <f aca="false">IF(VST_Assets!$Y$3=1,MAX(0,V81-V82),V81-V82)</f>
        <v>575.675582332483</v>
      </c>
      <c r="W83" s="8" t="n">
        <f aca="false">IF(VST_Assets!$Y$3=1,MAX(0,W81-W82),W81-W82)</f>
        <v>552.194137490795</v>
      </c>
      <c r="X83" s="8" t="n">
        <f aca="false">IF(VST_Assets!$Y$3=1,MAX(0,X81-X82),X81-X82)</f>
        <v>528.125656528065</v>
      </c>
      <c r="Y83" s="8" t="n">
        <f aca="false">IF(VST_Assets!$Y$3=1,MAX(0,Y81-Y82),Y81-Y82)</f>
        <v>503.455463541267</v>
      </c>
      <c r="Z83" s="8" t="n">
        <f aca="false">IF(VST_Assets!$Y$3=1,MAX(0,Z81-Z82),Z81-Z82)</f>
        <v>478.168515729798</v>
      </c>
      <c r="AA83" s="8" t="n">
        <f aca="false">IF(VST_Assets!$Y$3=1,MAX(0,AA81-AA82),AA81-AA82)</f>
        <v>452.249394223043</v>
      </c>
      <c r="AB83" s="8" t="n">
        <f aca="false">IF(VST_Assets!$Y$3=1,MAX(0,AB81-AB82),AB81-AB82)</f>
        <v>772.577356580296</v>
      </c>
      <c r="AC83" s="8" t="n">
        <f aca="false">IF(VST_Assets!$Y$3=1,MAX(0,AC81-AC82),AC81-AC82)</f>
        <v>782.582648305296</v>
      </c>
      <c r="AD83" s="8" t="n">
        <f aca="false">IF(VST_Assets!$Y$3=1,MAX(0,AD81-AD82),AD81-AD82)</f>
        <v>792.65188947963</v>
      </c>
      <c r="AE83" s="8" t="n">
        <f aca="false">IF(VST_Assets!$Y$3=1,MAX(0,AE81-AE82),AE81-AE82)</f>
        <v>802.782955182655</v>
      </c>
      <c r="AF83" s="8" t="n">
        <f aca="false">IF(VST_Assets!$Y$3=1,MAX(0,AF81-AF82),AF81-AF82)</f>
        <v>812.973592897578</v>
      </c>
      <c r="AG83" s="8" t="n">
        <f aca="false">IF(VST_Assets!$Y$3=1,MAX(0,AG81-AG82),AG81-AG82)</f>
        <v>823.221417832081</v>
      </c>
      <c r="AH83" s="8" t="n">
        <f aca="false">IF(VST_Assets!$Y$3=1,MAX(0,AH81-AH82),AH81-AH82)</f>
        <v>833.523908092188</v>
      </c>
      <c r="AI83" s="8" t="n">
        <f aca="false">IF(VST_Assets!$Y$3=1,MAX(0,AI81-AI82),AI81-AI82)</f>
        <v>843.878399705083</v>
      </c>
      <c r="AJ83" s="8" t="n">
        <f aca="false">IF(VST_Assets!$Y$3=1,MAX(0,AJ81-AJ82),AJ81-AJ82)</f>
        <v>0</v>
      </c>
      <c r="AK83" s="8" t="n">
        <f aca="false">IF(VST_Assets!$Y$3=1,MAX(0,AK81-AK82),AK81-AK82)</f>
        <v>0</v>
      </c>
      <c r="AL83" s="8" t="n">
        <f aca="false">IF(VST_Assets!$Y$3=1,MAX(0,AL81-AL82),AL81-AL82)</f>
        <v>0</v>
      </c>
      <c r="AM83" s="8" t="n">
        <f aca="false">IF(VST_Assets!$Y$3=1,MAX(0,AM81-AM82),AM81-AM82)</f>
        <v>0</v>
      </c>
      <c r="AN83" s="8" t="n">
        <f aca="false">IF(VST_Assets!$Y$3=1,MAX(0,AN81-AN82),AN81-AN82)</f>
        <v>0</v>
      </c>
      <c r="AO83" s="8" t="n">
        <f aca="false">IF(VST_Assets!$Y$3=1,MAX(0,AO81-AO82),AO81-AO82)</f>
        <v>0</v>
      </c>
      <c r="AP83" s="8" t="n">
        <f aca="false">IF(VST_Assets!$Y$3=1,MAX(0,AP81-AP82),AP81-AP82)</f>
        <v>0</v>
      </c>
      <c r="AQ83" s="8" t="n">
        <f aca="false">IF(VST_Assets!$Y$3=1,MAX(0,AQ81-AQ82),AQ81-AQ82)</f>
        <v>0</v>
      </c>
      <c r="AR83" s="8" t="n">
        <f aca="false">IF(VST_Assets!$Y$3=1,MAX(0,AR81-AR82),AR81-AR82)</f>
        <v>0</v>
      </c>
      <c r="AS83" s="8" t="n">
        <f aca="false">IF(VST_Assets!$Y$3=1,MAX(0,AS81-AS82),AS81-AS82)</f>
        <v>0</v>
      </c>
    </row>
    <row r="84" customFormat="false" ht="15" hidden="false" customHeight="false" outlineLevel="0" collapsed="false">
      <c r="A84" s="6" t="s">
        <v>461</v>
      </c>
      <c r="B84" s="6" t="s">
        <v>462</v>
      </c>
      <c r="C84" s="9" t="n">
        <f aca="false">SUM(G84:AS84)</f>
        <v>0</v>
      </c>
      <c r="G84" s="8" t="n">
        <f aca="false">IF(AND(VST_Assets!$W$3=1,G$3&lt;=PTCLast,G68&gt;0),G68*MAX(0,PTCCredit*(1+Infl)^(G$3-PTCBase)-0.8*MAX(0,(G73+G74+G76)*1000000/MAX(1,G68)-PTCThresh*(1+Infl)^(G$3-PTCBase)))/1000000,0)</f>
        <v>0</v>
      </c>
      <c r="H84" s="8" t="n">
        <f aca="false">IF(AND(VST_Assets!$W$3=1,H$3&lt;=PTCLast,H68&gt;0),H68*MAX(0,PTCCredit*(1+Infl)^(H$3-PTCBase)-0.8*MAX(0,(H73+H74+H76)*1000000/MAX(1,H68)-PTCThresh*(1+Infl)^(H$3-PTCBase)))/1000000,0)</f>
        <v>0</v>
      </c>
      <c r="I84" s="8" t="n">
        <f aca="false">IF(AND(VST_Assets!$W$3=1,I$3&lt;=PTCLast,I68&gt;0),I68*MAX(0,PTCCredit*(1+Infl)^(I$3-PTCBase)-0.8*MAX(0,(I73+I74+I76)*1000000/MAX(1,I68)-PTCThresh*(1+Infl)^(I$3-PTCBase)))/1000000,0)</f>
        <v>0</v>
      </c>
      <c r="J84" s="8" t="n">
        <f aca="false">IF(AND(VST_Assets!$W$3=1,J$3&lt;=PTCLast,J68&gt;0),J68*MAX(0,PTCCredit*(1+Infl)^(J$3-PTCBase)-0.8*MAX(0,(J73+J74+J76)*1000000/MAX(1,J68)-PTCThresh*(1+Infl)^(J$3-PTCBase)))/1000000,0)</f>
        <v>0</v>
      </c>
      <c r="K84" s="8" t="n">
        <f aca="false">IF(AND(VST_Assets!$W$3=1,K$3&lt;=PTCLast,K68&gt;0),K68*MAX(0,PTCCredit*(1+Infl)^(K$3-PTCBase)-0.8*MAX(0,(K73+K74+K76)*1000000/MAX(1,K68)-PTCThresh*(1+Infl)^(K$3-PTCBase)))/1000000,0)</f>
        <v>0</v>
      </c>
      <c r="L84" s="8" t="n">
        <f aca="false">IF(AND(VST_Assets!$W$3=1,L$3&lt;=PTCLast,L68&gt;0),L68*MAX(0,PTCCredit*(1+Infl)^(L$3-PTCBase)-0.8*MAX(0,(L73+L74+L76)*1000000/MAX(1,L68)-PTCThresh*(1+Infl)^(L$3-PTCBase)))/1000000,0)</f>
        <v>0</v>
      </c>
      <c r="M84" s="8" t="n">
        <f aca="false">IF(AND(VST_Assets!$W$3=1,M$3&lt;=PTCLast,M68&gt;0),M68*MAX(0,PTCCredit*(1+Infl)^(M$3-PTCBase)-0.8*MAX(0,(M73+M74+M76)*1000000/MAX(1,M68)-PTCThresh*(1+Infl)^(M$3-PTCBase)))/1000000,0)</f>
        <v>0</v>
      </c>
      <c r="N84" s="8" t="n">
        <f aca="false">IF(AND(VST_Assets!$W$3=1,N$3&lt;=PTCLast,N68&gt;0),N68*MAX(0,PTCCredit*(1+Infl)^(N$3-PTCBase)-0.8*MAX(0,(N73+N74+N76)*1000000/MAX(1,N68)-PTCThresh*(1+Infl)^(N$3-PTCBase)))/1000000,0)</f>
        <v>0</v>
      </c>
      <c r="O84" s="8" t="n">
        <f aca="false">IF(AND(VST_Assets!$W$3=1,O$3&lt;=PTCLast,O68&gt;0),O68*MAX(0,PTCCredit*(1+Infl)^(O$3-PTCBase)-0.8*MAX(0,(O73+O74+O76)*1000000/MAX(1,O68)-PTCThresh*(1+Infl)^(O$3-PTCBase)))/1000000,0)</f>
        <v>0</v>
      </c>
      <c r="P84" s="8" t="n">
        <f aca="false">IF(AND(VST_Assets!$W$3=1,P$3&lt;=PTCLast,P68&gt;0),P68*MAX(0,PTCCredit*(1+Infl)^(P$3-PTCBase)-0.8*MAX(0,(P73+P74+P76)*1000000/MAX(1,P68)-PTCThresh*(1+Infl)^(P$3-PTCBase)))/1000000,0)</f>
        <v>0</v>
      </c>
      <c r="Q84" s="8" t="n">
        <f aca="false">IF(AND(VST_Assets!$W$3=1,Q$3&lt;=PTCLast,Q68&gt;0),Q68*MAX(0,PTCCredit*(1+Infl)^(Q$3-PTCBase)-0.8*MAX(0,(Q73+Q74+Q76)*1000000/MAX(1,Q68)-PTCThresh*(1+Infl)^(Q$3-PTCBase)))/1000000,0)</f>
        <v>0</v>
      </c>
      <c r="R84" s="8" t="n">
        <f aca="false">IF(AND(VST_Assets!$W$3=1,R$3&lt;=PTCLast,R68&gt;0),R68*MAX(0,PTCCredit*(1+Infl)^(R$3-PTCBase)-0.8*MAX(0,(R73+R74+R76)*1000000/MAX(1,R68)-PTCThresh*(1+Infl)^(R$3-PTCBase)))/1000000,0)</f>
        <v>0</v>
      </c>
      <c r="S84" s="8" t="n">
        <f aca="false">IF(AND(VST_Assets!$W$3=1,S$3&lt;=PTCLast,S68&gt;0),S68*MAX(0,PTCCredit*(1+Infl)^(S$3-PTCBase)-0.8*MAX(0,(S73+S74+S76)*1000000/MAX(1,S68)-PTCThresh*(1+Infl)^(S$3-PTCBase)))/1000000,0)</f>
        <v>0</v>
      </c>
      <c r="T84" s="8" t="n">
        <f aca="false">IF(AND(VST_Assets!$W$3=1,T$3&lt;=PTCLast,T68&gt;0),T68*MAX(0,PTCCredit*(1+Infl)^(T$3-PTCBase)-0.8*MAX(0,(T73+T74+T76)*1000000/MAX(1,T68)-PTCThresh*(1+Infl)^(T$3-PTCBase)))/1000000,0)</f>
        <v>0</v>
      </c>
      <c r="U84" s="8" t="n">
        <f aca="false">IF(AND(VST_Assets!$W$3=1,U$3&lt;=PTCLast,U68&gt;0),U68*MAX(0,PTCCredit*(1+Infl)^(U$3-PTCBase)-0.8*MAX(0,(U73+U74+U76)*1000000/MAX(1,U68)-PTCThresh*(1+Infl)^(U$3-PTCBase)))/1000000,0)</f>
        <v>0</v>
      </c>
      <c r="V84" s="8" t="n">
        <f aca="false">IF(AND(VST_Assets!$W$3=1,V$3&lt;=PTCLast,V68&gt;0),V68*MAX(0,PTCCredit*(1+Infl)^(V$3-PTCBase)-0.8*MAX(0,(V73+V74+V76)*1000000/MAX(1,V68)-PTCThresh*(1+Infl)^(V$3-PTCBase)))/1000000,0)</f>
        <v>0</v>
      </c>
      <c r="W84" s="8" t="n">
        <f aca="false">IF(AND(VST_Assets!$W$3=1,W$3&lt;=PTCLast,W68&gt;0),W68*MAX(0,PTCCredit*(1+Infl)^(W$3-PTCBase)-0.8*MAX(0,(W73+W74+W76)*1000000/MAX(1,W68)-PTCThresh*(1+Infl)^(W$3-PTCBase)))/1000000,0)</f>
        <v>0</v>
      </c>
      <c r="X84" s="8" t="n">
        <f aca="false">IF(AND(VST_Assets!$W$3=1,X$3&lt;=PTCLast,X68&gt;0),X68*MAX(0,PTCCredit*(1+Infl)^(X$3-PTCBase)-0.8*MAX(0,(X73+X74+X76)*1000000/MAX(1,X68)-PTCThresh*(1+Infl)^(X$3-PTCBase)))/1000000,0)</f>
        <v>0</v>
      </c>
      <c r="Y84" s="8" t="n">
        <f aca="false">IF(AND(VST_Assets!$W$3=1,Y$3&lt;=PTCLast,Y68&gt;0),Y68*MAX(0,PTCCredit*(1+Infl)^(Y$3-PTCBase)-0.8*MAX(0,(Y73+Y74+Y76)*1000000/MAX(1,Y68)-PTCThresh*(1+Infl)^(Y$3-PTCBase)))/1000000,0)</f>
        <v>0</v>
      </c>
      <c r="Z84" s="8" t="n">
        <f aca="false">IF(AND(VST_Assets!$W$3=1,Z$3&lt;=PTCLast,Z68&gt;0),Z68*MAX(0,PTCCredit*(1+Infl)^(Z$3-PTCBase)-0.8*MAX(0,(Z73+Z74+Z76)*1000000/MAX(1,Z68)-PTCThresh*(1+Infl)^(Z$3-PTCBase)))/1000000,0)</f>
        <v>0</v>
      </c>
      <c r="AA84" s="8" t="n">
        <f aca="false">IF(AND(VST_Assets!$W$3=1,AA$3&lt;=PTCLast,AA68&gt;0),AA68*MAX(0,PTCCredit*(1+Infl)^(AA$3-PTCBase)-0.8*MAX(0,(AA73+AA74+AA76)*1000000/MAX(1,AA68)-PTCThresh*(1+Infl)^(AA$3-PTCBase)))/1000000,0)</f>
        <v>0</v>
      </c>
      <c r="AB84" s="8" t="n">
        <f aca="false">IF(AND(VST_Assets!$W$3=1,AB$3&lt;=PTCLast,AB68&gt;0),AB68*MAX(0,PTCCredit*(1+Infl)^(AB$3-PTCBase)-0.8*MAX(0,(AB73+AB74+AB76)*1000000/MAX(1,AB68)-PTCThresh*(1+Infl)^(AB$3-PTCBase)))/1000000,0)</f>
        <v>0</v>
      </c>
      <c r="AC84" s="8" t="n">
        <f aca="false">IF(AND(VST_Assets!$W$3=1,AC$3&lt;=PTCLast,AC68&gt;0),AC68*MAX(0,PTCCredit*(1+Infl)^(AC$3-PTCBase)-0.8*MAX(0,(AC73+AC74+AC76)*1000000/MAX(1,AC68)-PTCThresh*(1+Infl)^(AC$3-PTCBase)))/1000000,0)</f>
        <v>0</v>
      </c>
      <c r="AD84" s="8" t="n">
        <f aca="false">IF(AND(VST_Assets!$W$3=1,AD$3&lt;=PTCLast,AD68&gt;0),AD68*MAX(0,PTCCredit*(1+Infl)^(AD$3-PTCBase)-0.8*MAX(0,(AD73+AD74+AD76)*1000000/MAX(1,AD68)-PTCThresh*(1+Infl)^(AD$3-PTCBase)))/1000000,0)</f>
        <v>0</v>
      </c>
      <c r="AE84" s="8" t="n">
        <f aca="false">IF(AND(VST_Assets!$W$3=1,AE$3&lt;=PTCLast,AE68&gt;0),AE68*MAX(0,PTCCredit*(1+Infl)^(AE$3-PTCBase)-0.8*MAX(0,(AE73+AE74+AE76)*1000000/MAX(1,AE68)-PTCThresh*(1+Infl)^(AE$3-PTCBase)))/1000000,0)</f>
        <v>0</v>
      </c>
      <c r="AF84" s="8" t="n">
        <f aca="false">IF(AND(VST_Assets!$W$3=1,AF$3&lt;=PTCLast,AF68&gt;0),AF68*MAX(0,PTCCredit*(1+Infl)^(AF$3-PTCBase)-0.8*MAX(0,(AF73+AF74+AF76)*1000000/MAX(1,AF68)-PTCThresh*(1+Infl)^(AF$3-PTCBase)))/1000000,0)</f>
        <v>0</v>
      </c>
      <c r="AG84" s="8" t="n">
        <f aca="false">IF(AND(VST_Assets!$W$3=1,AG$3&lt;=PTCLast,AG68&gt;0),AG68*MAX(0,PTCCredit*(1+Infl)^(AG$3-PTCBase)-0.8*MAX(0,(AG73+AG74+AG76)*1000000/MAX(1,AG68)-PTCThresh*(1+Infl)^(AG$3-PTCBase)))/1000000,0)</f>
        <v>0</v>
      </c>
      <c r="AH84" s="8" t="n">
        <f aca="false">IF(AND(VST_Assets!$W$3=1,AH$3&lt;=PTCLast,AH68&gt;0),AH68*MAX(0,PTCCredit*(1+Infl)^(AH$3-PTCBase)-0.8*MAX(0,(AH73+AH74+AH76)*1000000/MAX(1,AH68)-PTCThresh*(1+Infl)^(AH$3-PTCBase)))/1000000,0)</f>
        <v>0</v>
      </c>
      <c r="AI84" s="8" t="n">
        <f aca="false">IF(AND(VST_Assets!$W$3=1,AI$3&lt;=PTCLast,AI68&gt;0),AI68*MAX(0,PTCCredit*(1+Infl)^(AI$3-PTCBase)-0.8*MAX(0,(AI73+AI74+AI76)*1000000/MAX(1,AI68)-PTCThresh*(1+Infl)^(AI$3-PTCBase)))/1000000,0)</f>
        <v>0</v>
      </c>
      <c r="AJ84" s="8" t="n">
        <f aca="false">IF(AND(VST_Assets!$W$3=1,AJ$3&lt;=PTCLast,AJ68&gt;0),AJ68*MAX(0,PTCCredit*(1+Infl)^(AJ$3-PTCBase)-0.8*MAX(0,(AJ73+AJ74+AJ76)*1000000/MAX(1,AJ68)-PTCThresh*(1+Infl)^(AJ$3-PTCBase)))/1000000,0)</f>
        <v>0</v>
      </c>
      <c r="AK84" s="8" t="n">
        <f aca="false">IF(AND(VST_Assets!$W$3=1,AK$3&lt;=PTCLast,AK68&gt;0),AK68*MAX(0,PTCCredit*(1+Infl)^(AK$3-PTCBase)-0.8*MAX(0,(AK73+AK74+AK76)*1000000/MAX(1,AK68)-PTCThresh*(1+Infl)^(AK$3-PTCBase)))/1000000,0)</f>
        <v>0</v>
      </c>
      <c r="AL84" s="8" t="n">
        <f aca="false">IF(AND(VST_Assets!$W$3=1,AL$3&lt;=PTCLast,AL68&gt;0),AL68*MAX(0,PTCCredit*(1+Infl)^(AL$3-PTCBase)-0.8*MAX(0,(AL73+AL74+AL76)*1000000/MAX(1,AL68)-PTCThresh*(1+Infl)^(AL$3-PTCBase)))/1000000,0)</f>
        <v>0</v>
      </c>
      <c r="AM84" s="8" t="n">
        <f aca="false">IF(AND(VST_Assets!$W$3=1,AM$3&lt;=PTCLast,AM68&gt;0),AM68*MAX(0,PTCCredit*(1+Infl)^(AM$3-PTCBase)-0.8*MAX(0,(AM73+AM74+AM76)*1000000/MAX(1,AM68)-PTCThresh*(1+Infl)^(AM$3-PTCBase)))/1000000,0)</f>
        <v>0</v>
      </c>
      <c r="AN84" s="8" t="n">
        <f aca="false">IF(AND(VST_Assets!$W$3=1,AN$3&lt;=PTCLast,AN68&gt;0),AN68*MAX(0,PTCCredit*(1+Infl)^(AN$3-PTCBase)-0.8*MAX(0,(AN73+AN74+AN76)*1000000/MAX(1,AN68)-PTCThresh*(1+Infl)^(AN$3-PTCBase)))/1000000,0)</f>
        <v>0</v>
      </c>
      <c r="AO84" s="8" t="n">
        <f aca="false">IF(AND(VST_Assets!$W$3=1,AO$3&lt;=PTCLast,AO68&gt;0),AO68*MAX(0,PTCCredit*(1+Infl)^(AO$3-PTCBase)-0.8*MAX(0,(AO73+AO74+AO76)*1000000/MAX(1,AO68)-PTCThresh*(1+Infl)^(AO$3-PTCBase)))/1000000,0)</f>
        <v>0</v>
      </c>
      <c r="AP84" s="8" t="n">
        <f aca="false">IF(AND(VST_Assets!$W$3=1,AP$3&lt;=PTCLast,AP68&gt;0),AP68*MAX(0,PTCCredit*(1+Infl)^(AP$3-PTCBase)-0.8*MAX(0,(AP73+AP74+AP76)*1000000/MAX(1,AP68)-PTCThresh*(1+Infl)^(AP$3-PTCBase)))/1000000,0)</f>
        <v>0</v>
      </c>
      <c r="AQ84" s="8" t="n">
        <f aca="false">IF(AND(VST_Assets!$W$3=1,AQ$3&lt;=PTCLast,AQ68&gt;0),AQ68*MAX(0,PTCCredit*(1+Infl)^(AQ$3-PTCBase)-0.8*MAX(0,(AQ73+AQ74+AQ76)*1000000/MAX(1,AQ68)-PTCThresh*(1+Infl)^(AQ$3-PTCBase)))/1000000,0)</f>
        <v>0</v>
      </c>
      <c r="AR84" s="8" t="n">
        <f aca="false">IF(AND(VST_Assets!$W$3=1,AR$3&lt;=PTCLast,AR68&gt;0),AR68*MAX(0,PTCCredit*(1+Infl)^(AR$3-PTCBase)-0.8*MAX(0,(AR73+AR74+AR76)*1000000/MAX(1,AR68)-PTCThresh*(1+Infl)^(AR$3-PTCBase)))/1000000,0)</f>
        <v>0</v>
      </c>
      <c r="AS84" s="8" t="n">
        <f aca="false">IF(AND(VST_Assets!$W$3=1,AS$3&lt;=PTCLast,AS68&gt;0),AS68*MAX(0,PTCCredit*(1+Infl)^(AS$3-PTCBase)-0.8*MAX(0,(AS73+AS74+AS76)*1000000/MAX(1,AS68)-PTCThresh*(1+Infl)^(AS$3-PTCBase)))/1000000,0)</f>
        <v>0</v>
      </c>
    </row>
    <row r="85" customFormat="false" ht="15" hidden="false" customHeight="false" outlineLevel="0" collapsed="false">
      <c r="A85" s="6" t="s">
        <v>463</v>
      </c>
      <c r="B85" s="6" t="s">
        <v>464</v>
      </c>
      <c r="G85" s="8" t="n">
        <f aca="false">G75-G69*(VST_Assets!$N$3*(1+VST_FuelAdj)+VST_Assets!$O$3*(1+VST_OMAdj)+VST_Assets!$P$3*(1+VST_CapexAdj))*(1+VST_Assets!$Q$3)^(G$3-2026)/1000000</f>
        <v>433.20411024</v>
      </c>
      <c r="H85" s="8" t="n">
        <f aca="false">H75-H69*(VST_Assets!$N$3*(1+VST_FuelAdj)+VST_Assets!$O$3*(1+VST_OMAdj)+VST_Assets!$P$3*(1+VST_CapexAdj))*(1+VST_Assets!$Q$3)^(H$3-2026)/1000000</f>
        <v>850.195091592</v>
      </c>
      <c r="I85" s="8" t="n">
        <f aca="false">I75-I69*(VST_Assets!$N$3*(1+VST_FuelAdj)+VST_Assets!$O$3*(1+VST_OMAdj)+VST_Assets!$P$3*(1+VST_CapexAdj))*(1+VST_Assets!$Q$3)^(I$3-2026)/1000000</f>
        <v>833.5766344818</v>
      </c>
      <c r="J85" s="8" t="n">
        <f aca="false">J75-J69*(VST_Assets!$N$3*(1+VST_FuelAdj)+VST_Assets!$O$3*(1+VST_OMAdj)+VST_Assets!$P$3*(1+VST_CapexAdj))*(1+VST_Assets!$Q$3)^(J$3-2026)/1000000</f>
        <v>816.542715943845</v>
      </c>
      <c r="K85" s="8" t="n">
        <f aca="false">K75-K69*(VST_Assets!$N$3*(1+VST_FuelAdj)+VST_Assets!$O$3*(1+VST_OMAdj)+VST_Assets!$P$3*(1+VST_CapexAdj))*(1+VST_Assets!$Q$3)^(K$3-2026)/1000000</f>
        <v>799.082949442442</v>
      </c>
      <c r="L85" s="8" t="n">
        <f aca="false">L75-L69*(VST_Assets!$N$3*(1+VST_FuelAdj)+VST_Assets!$O$3*(1+VST_OMAdj)+VST_Assets!$P$3*(1+VST_CapexAdj))*(1+VST_Assets!$Q$3)^(L$3-2026)/1000000</f>
        <v>781.186688778503</v>
      </c>
      <c r="M85" s="8" t="n">
        <f aca="false">M75-M69*(VST_Assets!$N$3*(1+VST_FuelAdj)+VST_Assets!$O$3*(1+VST_OMAdj)+VST_Assets!$P$3*(1+VST_CapexAdj))*(1+VST_Assets!$Q$3)^(M$3-2026)/1000000</f>
        <v>762.843021597965</v>
      </c>
      <c r="N85" s="8" t="n">
        <f aca="false">N75-N69*(VST_Assets!$N$3*(1+VST_FuelAdj)+VST_Assets!$O$3*(1+VST_OMAdj)+VST_Assets!$P$3*(1+VST_CapexAdj))*(1+VST_Assets!$Q$3)^(N$3-2026)/1000000</f>
        <v>744.040762737915</v>
      </c>
      <c r="O85" s="8" t="n">
        <f aca="false">O75-O69*(VST_Assets!$N$3*(1+VST_FuelAdj)+VST_Assets!$O$3*(1+VST_OMAdj)+VST_Assets!$P$3*(1+VST_CapexAdj))*(1+VST_Assets!$Q$3)^(O$3-2026)/1000000</f>
        <v>724.768447406362</v>
      </c>
      <c r="P85" s="8" t="n">
        <f aca="false">P75-P69*(VST_Assets!$N$3*(1+VST_FuelAdj)+VST_Assets!$O$3*(1+VST_OMAdj)+VST_Assets!$P$3*(1+VST_CapexAdj))*(1+VST_Assets!$Q$3)^(P$3-2026)/1000000</f>
        <v>705.014324191522</v>
      </c>
      <c r="Q85" s="8" t="n">
        <f aca="false">Q75-Q69*(VST_Assets!$N$3*(1+VST_FuelAdj)+VST_Assets!$O$3*(1+VST_OMAdj)+VST_Assets!$P$3*(1+VST_CapexAdj))*(1+VST_Assets!$Q$3)^(Q$3-2026)/1000000</f>
        <v>684.76634789631</v>
      </c>
      <c r="R85" s="8" t="n">
        <f aca="false">R75-R69*(VST_Assets!$N$3*(1+VST_FuelAdj)+VST_Assets!$O$3*(1+VST_OMAdj)+VST_Assets!$P$3*(1+VST_CapexAdj))*(1+VST_Assets!$Q$3)^(R$3-2026)/1000000</f>
        <v>664.012172193717</v>
      </c>
      <c r="S85" s="8" t="n">
        <f aca="false">S75-S69*(VST_Assets!$N$3*(1+VST_FuelAdj)+VST_Assets!$O$3*(1+VST_OMAdj)+VST_Assets!$P$3*(1+VST_CapexAdj))*(1+VST_Assets!$Q$3)^(S$3-2026)/1000000</f>
        <v>642.739142098561</v>
      </c>
      <c r="T85" s="8" t="n">
        <f aca="false">T75-T69*(VST_Assets!$N$3*(1+VST_FuelAdj)+VST_Assets!$O$3*(1+VST_OMAdj)+VST_Assets!$P$3*(1+VST_CapexAdj))*(1+VST_Assets!$Q$3)^(T$3-2026)/1000000</f>
        <v>620.934286251024</v>
      </c>
      <c r="U85" s="8" t="n">
        <f aca="false">U75-U69*(VST_Assets!$N$3*(1+VST_FuelAdj)+VST_Assets!$O$3*(1+VST_OMAdj)+VST_Assets!$P$3*(1+VST_CapexAdj))*(1+VST_Assets!$Q$3)^(U$3-2026)/1000000</f>
        <v>598.5843090073</v>
      </c>
      <c r="V85" s="8" t="n">
        <f aca="false">V75-V69*(VST_Assets!$N$3*(1+VST_FuelAdj)+VST_Assets!$O$3*(1+VST_OMAdj)+VST_Assets!$P$3*(1+VST_CapexAdj))*(1+VST_Assets!$Q$3)^(V$3-2026)/1000000</f>
        <v>575.675582332483</v>
      </c>
      <c r="W85" s="8" t="n">
        <f aca="false">W75-W69*(VST_Assets!$N$3*(1+VST_FuelAdj)+VST_Assets!$O$3*(1+VST_OMAdj)+VST_Assets!$P$3*(1+VST_CapexAdj))*(1+VST_Assets!$Q$3)^(W$3-2026)/1000000</f>
        <v>552.194137490795</v>
      </c>
      <c r="X85" s="8" t="n">
        <f aca="false">X75-X69*(VST_Assets!$N$3*(1+VST_FuelAdj)+VST_Assets!$O$3*(1+VST_OMAdj)+VST_Assets!$P$3*(1+VST_CapexAdj))*(1+VST_Assets!$Q$3)^(X$3-2026)/1000000</f>
        <v>528.125656528065</v>
      </c>
      <c r="Y85" s="8" t="n">
        <f aca="false">Y75-Y69*(VST_Assets!$N$3*(1+VST_FuelAdj)+VST_Assets!$O$3*(1+VST_OMAdj)+VST_Assets!$P$3*(1+VST_CapexAdj))*(1+VST_Assets!$Q$3)^(Y$3-2026)/1000000</f>
        <v>503.455463541267</v>
      </c>
      <c r="Z85" s="8" t="n">
        <f aca="false">Z75-Z69*(VST_Assets!$N$3*(1+VST_FuelAdj)+VST_Assets!$O$3*(1+VST_OMAdj)+VST_Assets!$P$3*(1+VST_CapexAdj))*(1+VST_Assets!$Q$3)^(Z$3-2026)/1000000</f>
        <v>478.168515729798</v>
      </c>
      <c r="AA85" s="8" t="n">
        <f aca="false">AA75-AA69*(VST_Assets!$N$3*(1+VST_FuelAdj)+VST_Assets!$O$3*(1+VST_OMAdj)+VST_Assets!$P$3*(1+VST_CapexAdj))*(1+VST_Assets!$Q$3)^(AA$3-2026)/1000000</f>
        <v>452.249394223043</v>
      </c>
      <c r="AB85" s="8" t="n">
        <f aca="false">AB75-AB69*(VST_Assets!$N$3*(1+VST_FuelAdj)+VST_Assets!$O$3*(1+VST_OMAdj)+VST_Assets!$P$3*(1+VST_CapexAdj))*(1+VST_Assets!$Q$3)^(AB$3-2026)/1000000</f>
        <v>0</v>
      </c>
      <c r="AC85" s="8" t="n">
        <f aca="false">AC75-AC69*(VST_Assets!$N$3*(1+VST_FuelAdj)+VST_Assets!$O$3*(1+VST_OMAdj)+VST_Assets!$P$3*(1+VST_CapexAdj))*(1+VST_Assets!$Q$3)^(AC$3-2026)/1000000</f>
        <v>0</v>
      </c>
      <c r="AD85" s="8" t="n">
        <f aca="false">AD75-AD69*(VST_Assets!$N$3*(1+VST_FuelAdj)+VST_Assets!$O$3*(1+VST_OMAdj)+VST_Assets!$P$3*(1+VST_CapexAdj))*(1+VST_Assets!$Q$3)^(AD$3-2026)/1000000</f>
        <v>0</v>
      </c>
      <c r="AE85" s="8" t="n">
        <f aca="false">AE75-AE69*(VST_Assets!$N$3*(1+VST_FuelAdj)+VST_Assets!$O$3*(1+VST_OMAdj)+VST_Assets!$P$3*(1+VST_CapexAdj))*(1+VST_Assets!$Q$3)^(AE$3-2026)/1000000</f>
        <v>0</v>
      </c>
      <c r="AF85" s="8" t="n">
        <f aca="false">AF75-AF69*(VST_Assets!$N$3*(1+VST_FuelAdj)+VST_Assets!$O$3*(1+VST_OMAdj)+VST_Assets!$P$3*(1+VST_CapexAdj))*(1+VST_Assets!$Q$3)^(AF$3-2026)/1000000</f>
        <v>0</v>
      </c>
      <c r="AG85" s="8" t="n">
        <f aca="false">AG75-AG69*(VST_Assets!$N$3*(1+VST_FuelAdj)+VST_Assets!$O$3*(1+VST_OMAdj)+VST_Assets!$P$3*(1+VST_CapexAdj))*(1+VST_Assets!$Q$3)^(AG$3-2026)/1000000</f>
        <v>0</v>
      </c>
      <c r="AH85" s="8" t="n">
        <f aca="false">AH75-AH69*(VST_Assets!$N$3*(1+VST_FuelAdj)+VST_Assets!$O$3*(1+VST_OMAdj)+VST_Assets!$P$3*(1+VST_CapexAdj))*(1+VST_Assets!$Q$3)^(AH$3-2026)/1000000</f>
        <v>0</v>
      </c>
      <c r="AI85" s="8" t="n">
        <f aca="false">AI75-AI69*(VST_Assets!$N$3*(1+VST_FuelAdj)+VST_Assets!$O$3*(1+VST_OMAdj)+VST_Assets!$P$3*(1+VST_CapexAdj))*(1+VST_Assets!$Q$3)^(AI$3-2026)/1000000</f>
        <v>0</v>
      </c>
      <c r="AJ85" s="8" t="n">
        <f aca="false">AJ75-AJ69*(VST_Assets!$N$3*(1+VST_FuelAdj)+VST_Assets!$O$3*(1+VST_OMAdj)+VST_Assets!$P$3*(1+VST_CapexAdj))*(1+VST_Assets!$Q$3)^(AJ$3-2026)/1000000</f>
        <v>0</v>
      </c>
      <c r="AK85" s="8" t="n">
        <f aca="false">AK75-AK69*(VST_Assets!$N$3*(1+VST_FuelAdj)+VST_Assets!$O$3*(1+VST_OMAdj)+VST_Assets!$P$3*(1+VST_CapexAdj))*(1+VST_Assets!$Q$3)^(AK$3-2026)/1000000</f>
        <v>0</v>
      </c>
      <c r="AL85" s="8" t="n">
        <f aca="false">AL75-AL69*(VST_Assets!$N$3*(1+VST_FuelAdj)+VST_Assets!$O$3*(1+VST_OMAdj)+VST_Assets!$P$3*(1+VST_CapexAdj))*(1+VST_Assets!$Q$3)^(AL$3-2026)/1000000</f>
        <v>0</v>
      </c>
      <c r="AM85" s="8" t="n">
        <f aca="false">AM75-AM69*(VST_Assets!$N$3*(1+VST_FuelAdj)+VST_Assets!$O$3*(1+VST_OMAdj)+VST_Assets!$P$3*(1+VST_CapexAdj))*(1+VST_Assets!$Q$3)^(AM$3-2026)/1000000</f>
        <v>0</v>
      </c>
      <c r="AN85" s="8" t="n">
        <f aca="false">AN75-AN69*(VST_Assets!$N$3*(1+VST_FuelAdj)+VST_Assets!$O$3*(1+VST_OMAdj)+VST_Assets!$P$3*(1+VST_CapexAdj))*(1+VST_Assets!$Q$3)^(AN$3-2026)/1000000</f>
        <v>0</v>
      </c>
      <c r="AO85" s="8" t="n">
        <f aca="false">AO75-AO69*(VST_Assets!$N$3*(1+VST_FuelAdj)+VST_Assets!$O$3*(1+VST_OMAdj)+VST_Assets!$P$3*(1+VST_CapexAdj))*(1+VST_Assets!$Q$3)^(AO$3-2026)/1000000</f>
        <v>0</v>
      </c>
      <c r="AP85" s="8" t="n">
        <f aca="false">AP75-AP69*(VST_Assets!$N$3*(1+VST_FuelAdj)+VST_Assets!$O$3*(1+VST_OMAdj)+VST_Assets!$P$3*(1+VST_CapexAdj))*(1+VST_Assets!$Q$3)^(AP$3-2026)/1000000</f>
        <v>0</v>
      </c>
      <c r="AQ85" s="8" t="n">
        <f aca="false">AQ75-AQ69*(VST_Assets!$N$3*(1+VST_FuelAdj)+VST_Assets!$O$3*(1+VST_OMAdj)+VST_Assets!$P$3*(1+VST_CapexAdj))*(1+VST_Assets!$Q$3)^(AQ$3-2026)/1000000</f>
        <v>0</v>
      </c>
      <c r="AR85" s="8" t="n">
        <f aca="false">AR75-AR69*(VST_Assets!$N$3*(1+VST_FuelAdj)+VST_Assets!$O$3*(1+VST_OMAdj)+VST_Assets!$P$3*(1+VST_CapexAdj))*(1+VST_Assets!$Q$3)^(AR$3-2026)/1000000</f>
        <v>0</v>
      </c>
      <c r="AS85" s="8" t="n">
        <f aca="false">AS75-AS69*(VST_Assets!$N$3*(1+VST_FuelAdj)+VST_Assets!$O$3*(1+VST_OMAdj)+VST_Assets!$P$3*(1+VST_CapexAdj))*(1+VST_Assets!$Q$3)^(AS$3-2026)/1000000</f>
        <v>0</v>
      </c>
    </row>
    <row r="86" customFormat="false" ht="15" hidden="false" customHeight="false" outlineLevel="0" collapsed="false">
      <c r="A86" s="6" t="s">
        <v>465</v>
      </c>
      <c r="B86" s="6" t="s">
        <v>466</v>
      </c>
      <c r="G86" s="8" t="n">
        <f aca="false">G83-G85</f>
        <v>417.00737406848</v>
      </c>
      <c r="H86" s="8" t="n">
        <f aca="false">H83-H85</f>
        <v>0</v>
      </c>
      <c r="I86" s="8" t="n">
        <f aca="false">I83-I85</f>
        <v>0</v>
      </c>
      <c r="J86" s="8" t="n">
        <f aca="false">J83-J85</f>
        <v>0</v>
      </c>
      <c r="K86" s="8" t="n">
        <f aca="false">K83-K85</f>
        <v>0</v>
      </c>
      <c r="L86" s="8" t="n">
        <f aca="false">L83-L85</f>
        <v>0</v>
      </c>
      <c r="M86" s="8" t="n">
        <f aca="false">M83-M85</f>
        <v>0</v>
      </c>
      <c r="N86" s="8" t="n">
        <f aca="false">N83-N85</f>
        <v>0</v>
      </c>
      <c r="O86" s="8" t="n">
        <f aca="false">O83-O85</f>
        <v>0</v>
      </c>
      <c r="P86" s="8" t="n">
        <f aca="false">P83-P85</f>
        <v>0</v>
      </c>
      <c r="Q86" s="8" t="n">
        <f aca="false">Q83-Q85</f>
        <v>0</v>
      </c>
      <c r="R86" s="8" t="n">
        <f aca="false">R83-R85</f>
        <v>0</v>
      </c>
      <c r="S86" s="8" t="n">
        <f aca="false">S83-S85</f>
        <v>0</v>
      </c>
      <c r="T86" s="8" t="n">
        <f aca="false">T83-T85</f>
        <v>0</v>
      </c>
      <c r="U86" s="8" t="n">
        <f aca="false">U83-U85</f>
        <v>0</v>
      </c>
      <c r="V86" s="8" t="n">
        <f aca="false">V83-V85</f>
        <v>0</v>
      </c>
      <c r="W86" s="8" t="n">
        <f aca="false">W83-W85</f>
        <v>0</v>
      </c>
      <c r="X86" s="8" t="n">
        <f aca="false">X83-X85</f>
        <v>0</v>
      </c>
      <c r="Y86" s="8" t="n">
        <f aca="false">Y83-Y85</f>
        <v>0</v>
      </c>
      <c r="Z86" s="8" t="n">
        <f aca="false">Z83-Z85</f>
        <v>0</v>
      </c>
      <c r="AA86" s="8" t="n">
        <f aca="false">AA83-AA85</f>
        <v>0</v>
      </c>
      <c r="AB86" s="8" t="n">
        <f aca="false">AB83-AB85</f>
        <v>772.577356580296</v>
      </c>
      <c r="AC86" s="8" t="n">
        <f aca="false">AC83-AC85</f>
        <v>782.582648305296</v>
      </c>
      <c r="AD86" s="8" t="n">
        <f aca="false">AD83-AD85</f>
        <v>792.65188947963</v>
      </c>
      <c r="AE86" s="8" t="n">
        <f aca="false">AE83-AE85</f>
        <v>802.782955182655</v>
      </c>
      <c r="AF86" s="8" t="n">
        <f aca="false">AF83-AF85</f>
        <v>812.973592897578</v>
      </c>
      <c r="AG86" s="8" t="n">
        <f aca="false">AG83-AG85</f>
        <v>823.221417832081</v>
      </c>
      <c r="AH86" s="8" t="n">
        <f aca="false">AH83-AH85</f>
        <v>833.523908092188</v>
      </c>
      <c r="AI86" s="8" t="n">
        <f aca="false">AI83-AI85</f>
        <v>843.878399705083</v>
      </c>
      <c r="AJ86" s="8" t="n">
        <f aca="false">AJ83-AJ85</f>
        <v>0</v>
      </c>
      <c r="AK86" s="8" t="n">
        <f aca="false">AK83-AK85</f>
        <v>0</v>
      </c>
      <c r="AL86" s="8" t="n">
        <f aca="false">AL83-AL85</f>
        <v>0</v>
      </c>
      <c r="AM86" s="8" t="n">
        <f aca="false">AM83-AM85</f>
        <v>0</v>
      </c>
      <c r="AN86" s="8" t="n">
        <f aca="false">AN83-AN85</f>
        <v>0</v>
      </c>
      <c r="AO86" s="8" t="n">
        <f aca="false">AO83-AO85</f>
        <v>0</v>
      </c>
      <c r="AP86" s="8" t="n">
        <f aca="false">AP83-AP85</f>
        <v>0</v>
      </c>
      <c r="AQ86" s="8" t="n">
        <f aca="false">AQ83-AQ85</f>
        <v>0</v>
      </c>
      <c r="AR86" s="8" t="n">
        <f aca="false">AR83-AR85</f>
        <v>0</v>
      </c>
      <c r="AS86" s="8" t="n">
        <f aca="false">AS83-AS85</f>
        <v>0</v>
      </c>
    </row>
    <row r="87" customFormat="false" ht="15" hidden="false" customHeight="false" outlineLevel="0" collapsed="false">
      <c r="A87" s="6" t="s">
        <v>467</v>
      </c>
      <c r="B87" s="6" t="s">
        <v>468</v>
      </c>
      <c r="G87" s="8" t="n">
        <f aca="false">G86*(1-TaxRate)+G84</f>
        <v>333.605899254784</v>
      </c>
      <c r="H87" s="8" t="n">
        <f aca="false">H86*(1-TaxRate)+H84</f>
        <v>0</v>
      </c>
      <c r="I87" s="8" t="n">
        <f aca="false">I86*(1-TaxRate)+I84</f>
        <v>0</v>
      </c>
      <c r="J87" s="8" t="n">
        <f aca="false">J86*(1-TaxRate)+J84</f>
        <v>0</v>
      </c>
      <c r="K87" s="8" t="n">
        <f aca="false">K86*(1-TaxRate)+K84</f>
        <v>0</v>
      </c>
      <c r="L87" s="8" t="n">
        <f aca="false">L86*(1-TaxRate)+L84</f>
        <v>0</v>
      </c>
      <c r="M87" s="8" t="n">
        <f aca="false">M86*(1-TaxRate)+M84</f>
        <v>0</v>
      </c>
      <c r="N87" s="8" t="n">
        <f aca="false">N86*(1-TaxRate)+N84</f>
        <v>0</v>
      </c>
      <c r="O87" s="8" t="n">
        <f aca="false">O86*(1-TaxRate)+O84</f>
        <v>0</v>
      </c>
      <c r="P87" s="8" t="n">
        <f aca="false">P86*(1-TaxRate)+P84</f>
        <v>0</v>
      </c>
      <c r="Q87" s="8" t="n">
        <f aca="false">Q86*(1-TaxRate)+Q84</f>
        <v>0</v>
      </c>
      <c r="R87" s="8" t="n">
        <f aca="false">R86*(1-TaxRate)+R84</f>
        <v>0</v>
      </c>
      <c r="S87" s="8" t="n">
        <f aca="false">S86*(1-TaxRate)+S84</f>
        <v>0</v>
      </c>
      <c r="T87" s="8" t="n">
        <f aca="false">T86*(1-TaxRate)+T84</f>
        <v>0</v>
      </c>
      <c r="U87" s="8" t="n">
        <f aca="false">U86*(1-TaxRate)+U84</f>
        <v>0</v>
      </c>
      <c r="V87" s="8" t="n">
        <f aca="false">V86*(1-TaxRate)+V84</f>
        <v>0</v>
      </c>
      <c r="W87" s="8" t="n">
        <f aca="false">W86*(1-TaxRate)+W84</f>
        <v>0</v>
      </c>
      <c r="X87" s="8" t="n">
        <f aca="false">X86*(1-TaxRate)+X84</f>
        <v>0</v>
      </c>
      <c r="Y87" s="8" t="n">
        <f aca="false">Y86*(1-TaxRate)+Y84</f>
        <v>0</v>
      </c>
      <c r="Z87" s="8" t="n">
        <f aca="false">Z86*(1-TaxRate)+Z84</f>
        <v>0</v>
      </c>
      <c r="AA87" s="8" t="n">
        <f aca="false">AA86*(1-TaxRate)+AA84</f>
        <v>0</v>
      </c>
      <c r="AB87" s="8" t="n">
        <f aca="false">AB86*(1-TaxRate)+AB84</f>
        <v>618.061885264237</v>
      </c>
      <c r="AC87" s="8" t="n">
        <f aca="false">AC86*(1-TaxRate)+AC84</f>
        <v>626.066118644236</v>
      </c>
      <c r="AD87" s="8" t="n">
        <f aca="false">AD86*(1-TaxRate)+AD84</f>
        <v>634.121511583704</v>
      </c>
      <c r="AE87" s="8" t="n">
        <f aca="false">AE86*(1-TaxRate)+AE84</f>
        <v>642.226364146124</v>
      </c>
      <c r="AF87" s="8" t="n">
        <f aca="false">AF86*(1-TaxRate)+AF84</f>
        <v>650.378874318063</v>
      </c>
      <c r="AG87" s="8" t="n">
        <f aca="false">AG86*(1-TaxRate)+AG84</f>
        <v>658.577134265665</v>
      </c>
      <c r="AH87" s="8" t="n">
        <f aca="false">AH86*(1-TaxRate)+AH84</f>
        <v>666.81912647375</v>
      </c>
      <c r="AI87" s="8" t="n">
        <f aca="false">AI86*(1-TaxRate)+AI84</f>
        <v>675.102719764067</v>
      </c>
      <c r="AJ87" s="8" t="n">
        <f aca="false">AJ86*(1-TaxRate)+AJ84</f>
        <v>0</v>
      </c>
      <c r="AK87" s="8" t="n">
        <f aca="false">AK86*(1-TaxRate)+AK84</f>
        <v>0</v>
      </c>
      <c r="AL87" s="8" t="n">
        <f aca="false">AL86*(1-TaxRate)+AL84</f>
        <v>0</v>
      </c>
      <c r="AM87" s="8" t="n">
        <f aca="false">AM86*(1-TaxRate)+AM84</f>
        <v>0</v>
      </c>
      <c r="AN87" s="8" t="n">
        <f aca="false">AN86*(1-TaxRate)+AN84</f>
        <v>0</v>
      </c>
      <c r="AO87" s="8" t="n">
        <f aca="false">AO86*(1-TaxRate)+AO84</f>
        <v>0</v>
      </c>
      <c r="AP87" s="8" t="n">
        <f aca="false">AP86*(1-TaxRate)+AP84</f>
        <v>0</v>
      </c>
      <c r="AQ87" s="8" t="n">
        <f aca="false">AQ86*(1-TaxRate)+AQ84</f>
        <v>0</v>
      </c>
      <c r="AR87" s="8" t="n">
        <f aca="false">AR86*(1-TaxRate)+AR84</f>
        <v>0</v>
      </c>
      <c r="AS87" s="8" t="n">
        <f aca="false">AS86*(1-TaxRate)+AS84</f>
        <v>0</v>
      </c>
    </row>
    <row r="88" customFormat="false" ht="15" hidden="false" customHeight="false" outlineLevel="0" collapsed="false">
      <c r="A88" s="6" t="s">
        <v>469</v>
      </c>
      <c r="B88" s="6" t="s">
        <v>470</v>
      </c>
      <c r="G88" s="8" t="n">
        <f aca="false">G85*(1-TaxRate)</f>
        <v>346.563288192</v>
      </c>
      <c r="H88" s="8" t="n">
        <f aca="false">H85*(1-TaxRate)</f>
        <v>680.1560732736</v>
      </c>
      <c r="I88" s="8" t="n">
        <f aca="false">I85*(1-TaxRate)</f>
        <v>666.86130758544</v>
      </c>
      <c r="J88" s="8" t="n">
        <f aca="false">J85*(1-TaxRate)</f>
        <v>653.234172755076</v>
      </c>
      <c r="K88" s="8" t="n">
        <f aca="false">K85*(1-TaxRate)</f>
        <v>639.266359553953</v>
      </c>
      <c r="L88" s="8" t="n">
        <f aca="false">L85*(1-TaxRate)</f>
        <v>624.949351022802</v>
      </c>
      <c r="M88" s="8" t="n">
        <f aca="false">M85*(1-TaxRate)</f>
        <v>610.274417278372</v>
      </c>
      <c r="N88" s="8" t="n">
        <f aca="false">N85*(1-TaxRate)</f>
        <v>595.232610190332</v>
      </c>
      <c r="O88" s="8" t="n">
        <f aca="false">O85*(1-TaxRate)</f>
        <v>579.81475792509</v>
      </c>
      <c r="P88" s="8" t="n">
        <f aca="false">P85*(1-TaxRate)</f>
        <v>564.011459353217</v>
      </c>
      <c r="Q88" s="8" t="n">
        <f aca="false">Q85*(1-TaxRate)</f>
        <v>547.813078317048</v>
      </c>
      <c r="R88" s="8" t="n">
        <f aca="false">R85*(1-TaxRate)</f>
        <v>531.209737754974</v>
      </c>
      <c r="S88" s="8" t="n">
        <f aca="false">S85*(1-TaxRate)</f>
        <v>514.191313678848</v>
      </c>
      <c r="T88" s="8" t="n">
        <f aca="false">T85*(1-TaxRate)</f>
        <v>496.74742900082</v>
      </c>
      <c r="U88" s="8" t="n">
        <f aca="false">U85*(1-TaxRate)</f>
        <v>478.86744720584</v>
      </c>
      <c r="V88" s="8" t="n">
        <f aca="false">V85*(1-TaxRate)</f>
        <v>460.540465865986</v>
      </c>
      <c r="W88" s="8" t="n">
        <f aca="false">W85*(1-TaxRate)</f>
        <v>441.755309992636</v>
      </c>
      <c r="X88" s="8" t="n">
        <f aca="false">X85*(1-TaxRate)</f>
        <v>422.500525222452</v>
      </c>
      <c r="Y88" s="8" t="n">
        <f aca="false">Y85*(1-TaxRate)</f>
        <v>402.764370833013</v>
      </c>
      <c r="Z88" s="8" t="n">
        <f aca="false">Z85*(1-TaxRate)</f>
        <v>382.534812583839</v>
      </c>
      <c r="AA88" s="8" t="n">
        <f aca="false">AA85*(1-TaxRate)</f>
        <v>361.799515378435</v>
      </c>
      <c r="AB88" s="8" t="n">
        <f aca="false">AB85*(1-TaxRate)</f>
        <v>0</v>
      </c>
      <c r="AC88" s="8" t="n">
        <f aca="false">AC85*(1-TaxRate)</f>
        <v>0</v>
      </c>
      <c r="AD88" s="8" t="n">
        <f aca="false">AD85*(1-TaxRate)</f>
        <v>0</v>
      </c>
      <c r="AE88" s="8" t="n">
        <f aca="false">AE85*(1-TaxRate)</f>
        <v>0</v>
      </c>
      <c r="AF88" s="8" t="n">
        <f aca="false">AF85*(1-TaxRate)</f>
        <v>0</v>
      </c>
      <c r="AG88" s="8" t="n">
        <f aca="false">AG85*(1-TaxRate)</f>
        <v>0</v>
      </c>
      <c r="AH88" s="8" t="n">
        <f aca="false">AH85*(1-TaxRate)</f>
        <v>0</v>
      </c>
      <c r="AI88" s="8" t="n">
        <f aca="false">AI85*(1-TaxRate)</f>
        <v>0</v>
      </c>
      <c r="AJ88" s="8" t="n">
        <f aca="false">AJ85*(1-TaxRate)</f>
        <v>0</v>
      </c>
      <c r="AK88" s="8" t="n">
        <f aca="false">AK85*(1-TaxRate)</f>
        <v>0</v>
      </c>
      <c r="AL88" s="8" t="n">
        <f aca="false">AL85*(1-TaxRate)</f>
        <v>0</v>
      </c>
      <c r="AM88" s="8" t="n">
        <f aca="false">AM85*(1-TaxRate)</f>
        <v>0</v>
      </c>
      <c r="AN88" s="8" t="n">
        <f aca="false">AN85*(1-TaxRate)</f>
        <v>0</v>
      </c>
      <c r="AO88" s="8" t="n">
        <f aca="false">AO85*(1-TaxRate)</f>
        <v>0</v>
      </c>
      <c r="AP88" s="8" t="n">
        <f aca="false">AP85*(1-TaxRate)</f>
        <v>0</v>
      </c>
      <c r="AQ88" s="8" t="n">
        <f aca="false">AQ85*(1-TaxRate)</f>
        <v>0</v>
      </c>
      <c r="AR88" s="8" t="n">
        <f aca="false">AR85*(1-TaxRate)</f>
        <v>0</v>
      </c>
      <c r="AS88" s="8" t="n">
        <f aca="false">AS85*(1-TaxRate)</f>
        <v>0</v>
      </c>
    </row>
    <row r="89" customFormat="false" ht="15" hidden="false" customHeight="false" outlineLevel="0" collapsed="false">
      <c r="A89" s="6" t="s">
        <v>471</v>
      </c>
      <c r="B89" s="6" t="s">
        <v>472</v>
      </c>
      <c r="G89" s="42" t="n">
        <f aca="false">(1+VST_Assets!$AE$3)^-(G$3+0.5-ValDate)</f>
        <v>0.943913469359513</v>
      </c>
      <c r="H89" s="42" t="n">
        <f aca="false">(1+VST_Assets!$AE$3)^-(H$3+0.5-ValDate)</f>
        <v>0.87399395311066</v>
      </c>
      <c r="I89" s="42" t="n">
        <f aca="false">(1+VST_Assets!$AE$3)^-(I$3+0.5-ValDate)</f>
        <v>0.809253660287648</v>
      </c>
      <c r="J89" s="42" t="n">
        <f aca="false">(1+VST_Assets!$AE$3)^-(J$3+0.5-ValDate)</f>
        <v>0.749308944710785</v>
      </c>
      <c r="K89" s="42" t="n">
        <f aca="false">(1+VST_Assets!$AE$3)^-(K$3+0.5-ValDate)</f>
        <v>0.693804578435912</v>
      </c>
      <c r="L89" s="42" t="n">
        <f aca="false">(1+VST_Assets!$AE$3)^-(L$3+0.5-ValDate)</f>
        <v>0.642411646699918</v>
      </c>
      <c r="M89" s="42" t="n">
        <f aca="false">(1+VST_Assets!$AE$3)^-(M$3+0.5-ValDate)</f>
        <v>0.594825598796221</v>
      </c>
      <c r="N89" s="42" t="n">
        <f aca="false">(1+VST_Assets!$AE$3)^-(N$3+0.5-ValDate)</f>
        <v>0.550764443329834</v>
      </c>
      <c r="O89" s="42" t="n">
        <f aca="false">(1+VST_Assets!$AE$3)^-(O$3+0.5-ValDate)</f>
        <v>0.509967077157254</v>
      </c>
      <c r="P89" s="42" t="n">
        <f aca="false">(1+VST_Assets!$AE$3)^-(P$3+0.5-ValDate)</f>
        <v>0.472191738108568</v>
      </c>
      <c r="Q89" s="42" t="n">
        <f aca="false">(1+VST_Assets!$AE$3)^-(Q$3+0.5-ValDate)</f>
        <v>0.437214572322748</v>
      </c>
      <c r="R89" s="42" t="n">
        <f aca="false">(1+VST_Assets!$AE$3)^-(R$3+0.5-ValDate)</f>
        <v>0.404828307706248</v>
      </c>
      <c r="S89" s="42" t="n">
        <f aca="false">(1+VST_Assets!$AE$3)^-(S$3+0.5-ValDate)</f>
        <v>0.374841025653934</v>
      </c>
      <c r="T89" s="42" t="n">
        <f aca="false">(1+VST_Assets!$AE$3)^-(T$3+0.5-ValDate)</f>
        <v>0.347075023753642</v>
      </c>
      <c r="U89" s="42" t="n">
        <f aca="false">(1+VST_Assets!$AE$3)^-(U$3+0.5-ValDate)</f>
        <v>0.321365762734854</v>
      </c>
      <c r="V89" s="42" t="n">
        <f aca="false">(1+VST_Assets!$AE$3)^-(V$3+0.5-ValDate)</f>
        <v>0.297560891421161</v>
      </c>
      <c r="W89" s="42" t="n">
        <f aca="false">(1+VST_Assets!$AE$3)^-(W$3+0.5-ValDate)</f>
        <v>0.275519343908482</v>
      </c>
      <c r="X89" s="42" t="n">
        <f aca="false">(1+VST_Assets!$AE$3)^-(X$3+0.5-ValDate)</f>
        <v>0.255110503618965</v>
      </c>
      <c r="Y89" s="42" t="n">
        <f aca="false">(1+VST_Assets!$AE$3)^-(Y$3+0.5-ValDate)</f>
        <v>0.23621342927682</v>
      </c>
      <c r="Z89" s="42" t="n">
        <f aca="false">(1+VST_Assets!$AE$3)^-(Z$3+0.5-ValDate)</f>
        <v>0.218716138219277</v>
      </c>
      <c r="AA89" s="42" t="n">
        <f aca="false">(1+VST_Assets!$AE$3)^-(AA$3+0.5-ValDate)</f>
        <v>0.202514942795627</v>
      </c>
      <c r="AB89" s="42" t="n">
        <f aca="false">(1+VST_Assets!$AE$3)^-(AB$3+0.5-ValDate)</f>
        <v>0.187513835921877</v>
      </c>
      <c r="AC89" s="42" t="n">
        <f aca="false">(1+VST_Assets!$AE$3)^-(AC$3+0.5-ValDate)</f>
        <v>0.173623922149886</v>
      </c>
      <c r="AD89" s="42" t="n">
        <f aca="false">(1+VST_Assets!$AE$3)^-(AD$3+0.5-ValDate)</f>
        <v>0.160762890879524</v>
      </c>
      <c r="AE89" s="42" t="n">
        <f aca="false">(1+VST_Assets!$AE$3)^-(AE$3+0.5-ValDate)</f>
        <v>0.148854528592152</v>
      </c>
      <c r="AF89" s="42" t="n">
        <f aca="false">(1+VST_Assets!$AE$3)^-(AF$3+0.5-ValDate)</f>
        <v>0.137828267214956</v>
      </c>
      <c r="AG89" s="42" t="n">
        <f aca="false">(1+VST_Assets!$AE$3)^-(AG$3+0.5-ValDate)</f>
        <v>0.127618765939774</v>
      </c>
      <c r="AH89" s="42" t="n">
        <f aca="false">(1+VST_Assets!$AE$3)^-(AH$3+0.5-ValDate)</f>
        <v>0.118165524018309</v>
      </c>
      <c r="AI89" s="42" t="n">
        <f aca="false">(1+VST_Assets!$AE$3)^-(AI$3+0.5-ValDate)</f>
        <v>0.109412522239175</v>
      </c>
      <c r="AJ89" s="42" t="n">
        <f aca="false">(1+VST_Assets!$AE$3)^-(AJ$3+0.5-ValDate)</f>
        <v>0.101307890962199</v>
      </c>
      <c r="AK89" s="42" t="n">
        <f aca="false">(1+VST_Assets!$AE$3)^-(AK$3+0.5-ValDate)</f>
        <v>0.0938036027427768</v>
      </c>
      <c r="AL89" s="42" t="n">
        <f aca="false">(1+VST_Assets!$AE$3)^-(AL$3+0.5-ValDate)</f>
        <v>0.0868551877247934</v>
      </c>
      <c r="AM89" s="42" t="n">
        <f aca="false">(1+VST_Assets!$AE$3)^-(AM$3+0.5-ValDate)</f>
        <v>0.0804214701155494</v>
      </c>
      <c r="AN89" s="42" t="n">
        <f aca="false">(1+VST_Assets!$AE$3)^-(AN$3+0.5-ValDate)</f>
        <v>0.0744643241810643</v>
      </c>
      <c r="AO89" s="42" t="n">
        <f aca="false">(1+VST_Assets!$AE$3)^-(AO$3+0.5-ValDate)</f>
        <v>0.0689484483158002</v>
      </c>
      <c r="AP89" s="42" t="n">
        <f aca="false">(1+VST_Assets!$AE$3)^-(AP$3+0.5-ValDate)</f>
        <v>0.0638411558479632</v>
      </c>
      <c r="AQ89" s="42" t="n">
        <f aca="false">(1+VST_Assets!$AE$3)^-(AQ$3+0.5-ValDate)</f>
        <v>0.0591121813407066</v>
      </c>
      <c r="AR89" s="42" t="n">
        <f aca="false">(1+VST_Assets!$AE$3)^-(AR$3+0.5-ValDate)</f>
        <v>0.054733501241395</v>
      </c>
      <c r="AS89" s="42" t="n">
        <f aca="false">(1+VST_Assets!$AE$3)^-(AS$3+0.5-ValDate)</f>
        <v>0.0506791678161065</v>
      </c>
    </row>
    <row r="90" customFormat="false" ht="15" hidden="false" customHeight="false" outlineLevel="0" collapsed="false">
      <c r="A90" s="6" t="s">
        <v>473</v>
      </c>
      <c r="B90" s="6" t="s">
        <v>474</v>
      </c>
      <c r="G90" s="42" t="n">
        <f aca="false">(1+VST_Assets!$AF$3)^-(G$3+0.5-ValDate)</f>
        <v>0.952191032823687</v>
      </c>
      <c r="H90" s="42" t="n">
        <f aca="false">(1+VST_Assets!$AF$3)^-(H$3+0.5-ValDate)</f>
        <v>0.891982232153337</v>
      </c>
      <c r="I90" s="42" t="n">
        <f aca="false">(1+VST_Assets!$AF$3)^-(I$3+0.5-ValDate)</f>
        <v>0.835580545342705</v>
      </c>
      <c r="J90" s="42" t="n">
        <f aca="false">(1+VST_Assets!$AF$3)^-(J$3+0.5-ValDate)</f>
        <v>0.782745241538834</v>
      </c>
      <c r="K90" s="42" t="n">
        <f aca="false">(1+VST_Assets!$AF$3)^-(K$3+0.5-ValDate)</f>
        <v>0.73325081174598</v>
      </c>
      <c r="L90" s="42" t="n">
        <f aca="false">(1+VST_Assets!$AF$3)^-(L$3+0.5-ValDate)</f>
        <v>0.686886006319419</v>
      </c>
      <c r="M90" s="42" t="n">
        <f aca="false">(1+VST_Assets!$AF$3)^-(M$3+0.5-ValDate)</f>
        <v>0.643452933320299</v>
      </c>
      <c r="N90" s="42" t="n">
        <f aca="false">(1+VST_Assets!$AF$3)^-(N$3+0.5-ValDate)</f>
        <v>0.602766213883184</v>
      </c>
      <c r="O90" s="42" t="n">
        <f aca="false">(1+VST_Assets!$AF$3)^-(O$3+0.5-ValDate)</f>
        <v>0.564652190991273</v>
      </c>
      <c r="P90" s="42" t="n">
        <f aca="false">(1+VST_Assets!$AF$3)^-(P$3+0.5-ValDate)</f>
        <v>0.528948188282223</v>
      </c>
      <c r="Q90" s="42" t="n">
        <f aca="false">(1+VST_Assets!$AF$3)^-(Q$3+0.5-ValDate)</f>
        <v>0.495501815721052</v>
      </c>
      <c r="R90" s="42" t="n">
        <f aca="false">(1+VST_Assets!$AF$3)^-(R$3+0.5-ValDate)</f>
        <v>0.46417031917663</v>
      </c>
      <c r="S90" s="42" t="n">
        <f aca="false">(1+VST_Assets!$AF$3)^-(S$3+0.5-ValDate)</f>
        <v>0.434819971125649</v>
      </c>
      <c r="T90" s="42" t="n">
        <f aca="false">(1+VST_Assets!$AF$3)^-(T$3+0.5-ValDate)</f>
        <v>0.407325499883512</v>
      </c>
      <c r="U90" s="42" t="n">
        <f aca="false">(1+VST_Assets!$AF$3)^-(U$3+0.5-ValDate)</f>
        <v>0.381569554926006</v>
      </c>
      <c r="V90" s="42" t="n">
        <f aca="false">(1+VST_Assets!$AF$3)^-(V$3+0.5-ValDate)</f>
        <v>0.357442206019678</v>
      </c>
      <c r="W90" s="42" t="n">
        <f aca="false">(1+VST_Assets!$AF$3)^-(W$3+0.5-ValDate)</f>
        <v>0.334840474023118</v>
      </c>
      <c r="X90" s="42" t="n">
        <f aca="false">(1+VST_Assets!$AF$3)^-(X$3+0.5-ValDate)</f>
        <v>0.313667891356551</v>
      </c>
      <c r="Y90" s="42" t="n">
        <f aca="false">(1+VST_Assets!$AF$3)^-(Y$3+0.5-ValDate)</f>
        <v>0.293834090263748</v>
      </c>
      <c r="Z90" s="42" t="n">
        <f aca="false">(1+VST_Assets!$AF$3)^-(Z$3+0.5-ValDate)</f>
        <v>0.275254417108897</v>
      </c>
      <c r="AA90" s="42" t="n">
        <f aca="false">(1+VST_Assets!$AF$3)^-(AA$3+0.5-ValDate)</f>
        <v>0.257849571062199</v>
      </c>
      <c r="AB90" s="42" t="n">
        <f aca="false">(1+VST_Assets!$AF$3)^-(AB$3+0.5-ValDate)</f>
        <v>0.241545265632036</v>
      </c>
      <c r="AC90" s="42" t="n">
        <f aca="false">(1+VST_Assets!$AF$3)^-(AC$3+0.5-ValDate)</f>
        <v>0.226271911599097</v>
      </c>
      <c r="AD90" s="42" t="n">
        <f aca="false">(1+VST_Assets!$AF$3)^-(AD$3+0.5-ValDate)</f>
        <v>0.211964319999154</v>
      </c>
      <c r="AE90" s="42" t="n">
        <f aca="false">(1+VST_Assets!$AF$3)^-(AE$3+0.5-ValDate)</f>
        <v>0.198561423886796</v>
      </c>
      <c r="AF90" s="42" t="n">
        <f aca="false">(1+VST_Assets!$AF$3)^-(AF$3+0.5-ValDate)</f>
        <v>0.186006017692549</v>
      </c>
      <c r="AG90" s="42" t="n">
        <f aca="false">(1+VST_Assets!$AF$3)^-(AG$3+0.5-ValDate)</f>
        <v>0.174244513060936</v>
      </c>
      <c r="AH90" s="42" t="n">
        <f aca="false">(1+VST_Assets!$AF$3)^-(AH$3+0.5-ValDate)</f>
        <v>0.16322671012734</v>
      </c>
      <c r="AI90" s="42" t="n">
        <f aca="false">(1+VST_Assets!$AF$3)^-(AI$3+0.5-ValDate)</f>
        <v>0.152905583257461</v>
      </c>
      <c r="AJ90" s="42" t="n">
        <f aca="false">(1+VST_Assets!$AF$3)^-(AJ$3+0.5-ValDate)</f>
        <v>0.143237080334859</v>
      </c>
      <c r="AK90" s="42" t="n">
        <f aca="false">(1+VST_Assets!$AF$3)^-(AK$3+0.5-ValDate)</f>
        <v>0.134179934739914</v>
      </c>
      <c r="AL90" s="42" t="n">
        <f aca="false">(1+VST_Assets!$AF$3)^-(AL$3+0.5-ValDate)</f>
        <v>0.125695489217718</v>
      </c>
      <c r="AM90" s="42" t="n">
        <f aca="false">(1+VST_Assets!$AF$3)^-(AM$3+0.5-ValDate)</f>
        <v>0.117747530883109</v>
      </c>
      <c r="AN90" s="42" t="n">
        <f aca="false">(1+VST_Assets!$AF$3)^-(AN$3+0.5-ValDate)</f>
        <v>0.11030213665865</v>
      </c>
      <c r="AO90" s="42" t="n">
        <f aca="false">(1+VST_Assets!$AF$3)^-(AO$3+0.5-ValDate)</f>
        <v>0.103327528485855</v>
      </c>
      <c r="AP90" s="42" t="n">
        <f aca="false">(1+VST_Assets!$AF$3)^-(AP$3+0.5-ValDate)</f>
        <v>0.096793937691667</v>
      </c>
      <c r="AQ90" s="42" t="n">
        <f aca="false">(1+VST_Assets!$AF$3)^-(AQ$3+0.5-ValDate)</f>
        <v>0.090673477931304</v>
      </c>
      <c r="AR90" s="42" t="n">
        <f aca="false">(1+VST_Assets!$AF$3)^-(AR$3+0.5-ValDate)</f>
        <v>0.084940026165156</v>
      </c>
      <c r="AS90" s="42" t="n">
        <f aca="false">(1+VST_Assets!$AF$3)^-(AS$3+0.5-ValDate)</f>
        <v>0.0795691111617386</v>
      </c>
    </row>
    <row r="91" customFormat="false" ht="15" hidden="false" customHeight="false" outlineLevel="0" collapsed="false">
      <c r="A91" s="6" t="s">
        <v>475</v>
      </c>
      <c r="B91" s="6" t="s">
        <v>476</v>
      </c>
      <c r="C91" s="43" t="n">
        <f aca="false">SUM(G91:AS91)</f>
        <v>1063.37893908379</v>
      </c>
      <c r="D91" s="8" t="n">
        <f aca="false">SUMIF($G$3:$AS$3,"&lt;="&amp;Horizon,G91:AS91)</f>
        <v>314.895101764383</v>
      </c>
      <c r="E91" s="8" t="n">
        <f aca="false">(C91-D91)*(1+VST_Assets!$AE$3)^(Horizon+1-ValDate)</f>
        <v>1038.08612778409</v>
      </c>
      <c r="G91" s="8" t="n">
        <f aca="false">G87*G89</f>
        <v>314.895101764383</v>
      </c>
      <c r="H91" s="8" t="n">
        <f aca="false">H87*H89</f>
        <v>0</v>
      </c>
      <c r="I91" s="8" t="n">
        <f aca="false">I87*I89</f>
        <v>0</v>
      </c>
      <c r="J91" s="8" t="n">
        <f aca="false">J87*J89</f>
        <v>0</v>
      </c>
      <c r="K91" s="8" t="n">
        <f aca="false">K87*K89</f>
        <v>0</v>
      </c>
      <c r="L91" s="8" t="n">
        <f aca="false">L87*L89</f>
        <v>0</v>
      </c>
      <c r="M91" s="8" t="n">
        <f aca="false">M87*M89</f>
        <v>0</v>
      </c>
      <c r="N91" s="8" t="n">
        <f aca="false">N87*N89</f>
        <v>0</v>
      </c>
      <c r="O91" s="8" t="n">
        <f aca="false">O87*O89</f>
        <v>0</v>
      </c>
      <c r="P91" s="8" t="n">
        <f aca="false">P87*P89</f>
        <v>0</v>
      </c>
      <c r="Q91" s="8" t="n">
        <f aca="false">Q87*Q89</f>
        <v>0</v>
      </c>
      <c r="R91" s="8" t="n">
        <f aca="false">R87*R89</f>
        <v>0</v>
      </c>
      <c r="S91" s="8" t="n">
        <f aca="false">S87*S89</f>
        <v>0</v>
      </c>
      <c r="T91" s="8" t="n">
        <f aca="false">T87*T89</f>
        <v>0</v>
      </c>
      <c r="U91" s="8" t="n">
        <f aca="false">U87*U89</f>
        <v>0</v>
      </c>
      <c r="V91" s="8" t="n">
        <f aca="false">V87*V89</f>
        <v>0</v>
      </c>
      <c r="W91" s="8" t="n">
        <f aca="false">W87*W89</f>
        <v>0</v>
      </c>
      <c r="X91" s="8" t="n">
        <f aca="false">X87*X89</f>
        <v>0</v>
      </c>
      <c r="Y91" s="8" t="n">
        <f aca="false">Y87*Y89</f>
        <v>0</v>
      </c>
      <c r="Z91" s="8" t="n">
        <f aca="false">Z87*Z89</f>
        <v>0</v>
      </c>
      <c r="AA91" s="8" t="n">
        <f aca="false">AA87*AA89</f>
        <v>0</v>
      </c>
      <c r="AB91" s="8" t="n">
        <f aca="false">AB87*AB89</f>
        <v>115.895154943004</v>
      </c>
      <c r="AC91" s="8" t="n">
        <f aca="false">AC87*AC89</f>
        <v>108.700055044168</v>
      </c>
      <c r="AD91" s="8" t="n">
        <f aca="false">AD87*AD89</f>
        <v>101.94320737109</v>
      </c>
      <c r="AE91" s="8" t="n">
        <f aca="false">AE87*AE89</f>
        <v>95.5983026844231</v>
      </c>
      <c r="AF91" s="8" t="n">
        <f aca="false">AF87*AF89</f>
        <v>89.6405932804719</v>
      </c>
      <c r="AG91" s="8" t="n">
        <f aca="false">AG87*AG89</f>
        <v>84.0468011511368</v>
      </c>
      <c r="AH91" s="8" t="n">
        <f aca="false">AH87*AH89</f>
        <v>78.7950315052017</v>
      </c>
      <c r="AI91" s="8" t="n">
        <f aca="false">AI87*AI89</f>
        <v>73.8646913399134</v>
      </c>
      <c r="AJ91" s="8" t="n">
        <f aca="false">AJ87*AJ89</f>
        <v>0</v>
      </c>
      <c r="AK91" s="8" t="n">
        <f aca="false">AK87*AK89</f>
        <v>0</v>
      </c>
      <c r="AL91" s="8" t="n">
        <f aca="false">AL87*AL89</f>
        <v>0</v>
      </c>
      <c r="AM91" s="8" t="n">
        <f aca="false">AM87*AM89</f>
        <v>0</v>
      </c>
      <c r="AN91" s="8" t="n">
        <f aca="false">AN87*AN89</f>
        <v>0</v>
      </c>
      <c r="AO91" s="8" t="n">
        <f aca="false">AO87*AO89</f>
        <v>0</v>
      </c>
      <c r="AP91" s="8" t="n">
        <f aca="false">AP87*AP89</f>
        <v>0</v>
      </c>
      <c r="AQ91" s="8" t="n">
        <f aca="false">AQ87*AQ89</f>
        <v>0</v>
      </c>
      <c r="AR91" s="8" t="n">
        <f aca="false">AR87*AR89</f>
        <v>0</v>
      </c>
      <c r="AS91" s="8" t="n">
        <f aca="false">AS87*AS89</f>
        <v>0</v>
      </c>
    </row>
    <row r="92" customFormat="false" ht="15" hidden="false" customHeight="false" outlineLevel="0" collapsed="false">
      <c r="A92" s="6" t="s">
        <v>477</v>
      </c>
      <c r="B92" s="6" t="s">
        <v>478</v>
      </c>
      <c r="C92" s="43" t="n">
        <f aca="false">SUM(G92:AS92)</f>
        <v>6169.06399762396</v>
      </c>
      <c r="D92" s="8" t="n">
        <f aca="false">SUMIF($G$3:$AS$3,"&lt;="&amp;Horizon,G92:AS92)</f>
        <v>2005.21386316833</v>
      </c>
      <c r="E92" s="8" t="n">
        <f aca="false">(C92-D92)*(1+VST_Assets!$AF$3)^(Horizon+1-ValDate)</f>
        <v>5496.15023759307</v>
      </c>
      <c r="G92" s="8" t="n">
        <f aca="false">G88*G90</f>
        <v>329.994455322314</v>
      </c>
      <c r="H92" s="8" t="n">
        <f aca="false">H88*H90</f>
        <v>606.687132451235</v>
      </c>
      <c r="I92" s="8" t="n">
        <f aca="false">I88*I90</f>
        <v>557.216335060192</v>
      </c>
      <c r="J92" s="8" t="n">
        <f aca="false">J88*J90</f>
        <v>511.315940334592</v>
      </c>
      <c r="K92" s="8" t="n">
        <f aca="false">K88*K90</f>
        <v>468.742577064834</v>
      </c>
      <c r="L92" s="8" t="n">
        <f aca="false">L88*L90</f>
        <v>429.268963875965</v>
      </c>
      <c r="M92" s="8" t="n">
        <f aca="false">M88*M90</f>
        <v>392.682863928105</v>
      </c>
      <c r="N92" s="8" t="n">
        <f aca="false">N88*N90</f>
        <v>358.786106824232</v>
      </c>
      <c r="O92" s="8" t="n">
        <f aca="false">O88*O90</f>
        <v>327.393673431477</v>
      </c>
      <c r="P92" s="8" t="n">
        <f aca="false">P88*P90</f>
        <v>298.332839595297</v>
      </c>
      <c r="Q92" s="8" t="n">
        <f aca="false">Q88*Q90</f>
        <v>271.442374981836</v>
      </c>
      <c r="R92" s="8" t="n">
        <f aca="false">R88*R90</f>
        <v>246.57179352346</v>
      </c>
      <c r="S92" s="8" t="n">
        <f aca="false">S88*S90</f>
        <v>223.580652166896</v>
      </c>
      <c r="T92" s="8" t="n">
        <f aca="false">T88*T90</f>
        <v>202.337894833608</v>
      </c>
      <c r="U92" s="8" t="n">
        <f aca="false">U88*U90</f>
        <v>182.721238698885</v>
      </c>
      <c r="V92" s="8" t="n">
        <f aca="false">V88*V90</f>
        <v>164.616600080468</v>
      </c>
      <c r="W92" s="8" t="n">
        <f aca="false">W88*W90</f>
        <v>147.917557400164</v>
      </c>
      <c r="X92" s="8" t="n">
        <f aca="false">X88*X90</f>
        <v>132.524848843562</v>
      </c>
      <c r="Y92" s="8" t="n">
        <f aca="false">Y88*Y90</f>
        <v>118.345902494369</v>
      </c>
      <c r="Z92" s="8" t="n">
        <f aca="false">Z88*Z90</f>
        <v>105.294396861626</v>
      </c>
      <c r="AA92" s="8" t="n">
        <f aca="false">AA88*AA90</f>
        <v>93.2898498508407</v>
      </c>
      <c r="AB92" s="8" t="n">
        <f aca="false">AB88*AB90</f>
        <v>0</v>
      </c>
      <c r="AC92" s="8" t="n">
        <f aca="false">AC88*AC90</f>
        <v>0</v>
      </c>
      <c r="AD92" s="8" t="n">
        <f aca="false">AD88*AD90</f>
        <v>0</v>
      </c>
      <c r="AE92" s="8" t="n">
        <f aca="false">AE88*AE90</f>
        <v>0</v>
      </c>
      <c r="AF92" s="8" t="n">
        <f aca="false">AF88*AF90</f>
        <v>0</v>
      </c>
      <c r="AG92" s="8" t="n">
        <f aca="false">AG88*AG90</f>
        <v>0</v>
      </c>
      <c r="AH92" s="8" t="n">
        <f aca="false">AH88*AH90</f>
        <v>0</v>
      </c>
      <c r="AI92" s="8" t="n">
        <f aca="false">AI88*AI90</f>
        <v>0</v>
      </c>
      <c r="AJ92" s="8" t="n">
        <f aca="false">AJ88*AJ90</f>
        <v>0</v>
      </c>
      <c r="AK92" s="8" t="n">
        <f aca="false">AK88*AK90</f>
        <v>0</v>
      </c>
      <c r="AL92" s="8" t="n">
        <f aca="false">AL88*AL90</f>
        <v>0</v>
      </c>
      <c r="AM92" s="8" t="n">
        <f aca="false">AM88*AM90</f>
        <v>0</v>
      </c>
      <c r="AN92" s="8" t="n">
        <f aca="false">AN88*AN90</f>
        <v>0</v>
      </c>
      <c r="AO92" s="8" t="n">
        <f aca="false">AO88*AO90</f>
        <v>0</v>
      </c>
      <c r="AP92" s="8" t="n">
        <f aca="false">AP88*AP90</f>
        <v>0</v>
      </c>
      <c r="AQ92" s="8" t="n">
        <f aca="false">AQ88*AQ90</f>
        <v>0</v>
      </c>
      <c r="AR92" s="8" t="n">
        <f aca="false">AR88*AR90</f>
        <v>0</v>
      </c>
      <c r="AS92" s="8" t="n">
        <f aca="false">AS88*AS90</f>
        <v>0</v>
      </c>
    </row>
    <row r="93" customFormat="false" ht="15" hidden="false" customHeight="false" outlineLevel="0" collapsed="false">
      <c r="A93" s="6" t="s">
        <v>479</v>
      </c>
      <c r="B93" s="6" t="s">
        <v>480</v>
      </c>
      <c r="C93" s="43" t="n">
        <f aca="false">IF(VST_Assets!$H$3="$/kW",VST_Assets!$D$3*VST_Assets!$AI$3*(1+0.4*(PJMWLR/PJMWLRBase-1))/1000,0)</f>
        <v>0</v>
      </c>
      <c r="E93" s="8" t="n">
        <f aca="false">C93</f>
        <v>0</v>
      </c>
      <c r="G93" s="8" t="n">
        <f aca="false">0</f>
        <v>0</v>
      </c>
      <c r="H93" s="8" t="n">
        <f aca="false">0</f>
        <v>0</v>
      </c>
      <c r="I93" s="8" t="n">
        <f aca="false">0</f>
        <v>0</v>
      </c>
      <c r="J93" s="8" t="n">
        <f aca="false">0</f>
        <v>0</v>
      </c>
      <c r="K93" s="8" t="n">
        <f aca="false">0</f>
        <v>0</v>
      </c>
      <c r="L93" s="8" t="n">
        <f aca="false">0</f>
        <v>0</v>
      </c>
      <c r="M93" s="8" t="n">
        <f aca="false">0</f>
        <v>0</v>
      </c>
      <c r="N93" s="8" t="n">
        <f aca="false">0</f>
        <v>0</v>
      </c>
      <c r="O93" s="8" t="n">
        <f aca="false">0</f>
        <v>0</v>
      </c>
      <c r="P93" s="8" t="n">
        <f aca="false">0</f>
        <v>0</v>
      </c>
      <c r="Q93" s="8" t="n">
        <f aca="false">0</f>
        <v>0</v>
      </c>
      <c r="R93" s="8" t="n">
        <f aca="false">0</f>
        <v>0</v>
      </c>
      <c r="S93" s="8" t="n">
        <f aca="false">0</f>
        <v>0</v>
      </c>
      <c r="T93" s="8" t="n">
        <f aca="false">0</f>
        <v>0</v>
      </c>
      <c r="U93" s="8" t="n">
        <f aca="false">0</f>
        <v>0</v>
      </c>
      <c r="V93" s="8" t="n">
        <f aca="false">0</f>
        <v>0</v>
      </c>
      <c r="W93" s="8" t="n">
        <f aca="false">0</f>
        <v>0</v>
      </c>
      <c r="X93" s="8" t="n">
        <f aca="false">0</f>
        <v>0</v>
      </c>
      <c r="Y93" s="8" t="n">
        <f aca="false">0</f>
        <v>0</v>
      </c>
      <c r="Z93" s="8" t="n">
        <f aca="false">0</f>
        <v>0</v>
      </c>
      <c r="AA93" s="8" t="n">
        <f aca="false">0</f>
        <v>0</v>
      </c>
      <c r="AB93" s="8" t="n">
        <f aca="false">0</f>
        <v>0</v>
      </c>
      <c r="AC93" s="8" t="n">
        <f aca="false">0</f>
        <v>0</v>
      </c>
      <c r="AD93" s="8" t="n">
        <f aca="false">0</f>
        <v>0</v>
      </c>
      <c r="AE93" s="8" t="n">
        <f aca="false">0</f>
        <v>0</v>
      </c>
      <c r="AF93" s="8" t="n">
        <f aca="false">0</f>
        <v>0</v>
      </c>
      <c r="AG93" s="8" t="n">
        <f aca="false">0</f>
        <v>0</v>
      </c>
      <c r="AH93" s="8" t="n">
        <f aca="false">0</f>
        <v>0</v>
      </c>
      <c r="AI93" s="8" t="n">
        <f aca="false">0</f>
        <v>0</v>
      </c>
      <c r="AJ93" s="8" t="n">
        <f aca="false">0</f>
        <v>0</v>
      </c>
      <c r="AK93" s="8" t="n">
        <f aca="false">0</f>
        <v>0</v>
      </c>
      <c r="AL93" s="8" t="n">
        <f aca="false">0</f>
        <v>0</v>
      </c>
      <c r="AM93" s="8" t="n">
        <f aca="false">0</f>
        <v>0</v>
      </c>
      <c r="AN93" s="8" t="n">
        <f aca="false">0</f>
        <v>0</v>
      </c>
      <c r="AO93" s="8" t="n">
        <f aca="false">0</f>
        <v>0</v>
      </c>
      <c r="AP93" s="8" t="n">
        <f aca="false">0</f>
        <v>0</v>
      </c>
      <c r="AQ93" s="8" t="n">
        <f aca="false">0</f>
        <v>0</v>
      </c>
      <c r="AR93" s="8" t="n">
        <f aca="false">0</f>
        <v>0</v>
      </c>
      <c r="AS93" s="8" t="n">
        <f aca="false">0</f>
        <v>0</v>
      </c>
    </row>
    <row r="95" customFormat="false" ht="15" hidden="false" customHeight="false" outlineLevel="0" collapsed="false">
      <c r="A95" s="54" t="str">
        <f aca="false">VST_Assets!$A$4</f>
        <v>Nuclear - Beaver Valley (PJM)</v>
      </c>
    </row>
    <row r="96" customFormat="false" ht="15" hidden="false" customHeight="false" outlineLevel="0" collapsed="false">
      <c r="A96" s="6" t="s">
        <v>425</v>
      </c>
      <c r="B96" s="6" t="s">
        <v>426</v>
      </c>
      <c r="G96" s="47" t="n">
        <f aca="false">IF(AND(G$3&gt;=VST_Assets!$E$4,G$3&lt;=VST_Assets!$F$4,VST_Assets!$H$4="Cashflow"),1,0)</f>
        <v>1</v>
      </c>
      <c r="H96" s="47" t="n">
        <f aca="false">IF(AND(H$3&gt;=VST_Assets!$E$4,H$3&lt;=VST_Assets!$F$4,VST_Assets!$H$4="Cashflow"),1,0)</f>
        <v>1</v>
      </c>
      <c r="I96" s="47" t="n">
        <f aca="false">IF(AND(I$3&gt;=VST_Assets!$E$4,I$3&lt;=VST_Assets!$F$4,VST_Assets!$H$4="Cashflow"),1,0)</f>
        <v>1</v>
      </c>
      <c r="J96" s="47" t="n">
        <f aca="false">IF(AND(J$3&gt;=VST_Assets!$E$4,J$3&lt;=VST_Assets!$F$4,VST_Assets!$H$4="Cashflow"),1,0)</f>
        <v>1</v>
      </c>
      <c r="K96" s="47" t="n">
        <f aca="false">IF(AND(K$3&gt;=VST_Assets!$E$4,K$3&lt;=VST_Assets!$F$4,VST_Assets!$H$4="Cashflow"),1,0)</f>
        <v>1</v>
      </c>
      <c r="L96" s="47" t="n">
        <f aca="false">IF(AND(L$3&gt;=VST_Assets!$E$4,L$3&lt;=VST_Assets!$F$4,VST_Assets!$H$4="Cashflow"),1,0)</f>
        <v>1</v>
      </c>
      <c r="M96" s="47" t="n">
        <f aca="false">IF(AND(M$3&gt;=VST_Assets!$E$4,M$3&lt;=VST_Assets!$F$4,VST_Assets!$H$4="Cashflow"),1,0)</f>
        <v>1</v>
      </c>
      <c r="N96" s="47" t="n">
        <f aca="false">IF(AND(N$3&gt;=VST_Assets!$E$4,N$3&lt;=VST_Assets!$F$4,VST_Assets!$H$4="Cashflow"),1,0)</f>
        <v>1</v>
      </c>
      <c r="O96" s="47" t="n">
        <f aca="false">IF(AND(O$3&gt;=VST_Assets!$E$4,O$3&lt;=VST_Assets!$F$4,VST_Assets!$H$4="Cashflow"),1,0)</f>
        <v>1</v>
      </c>
      <c r="P96" s="47" t="n">
        <f aca="false">IF(AND(P$3&gt;=VST_Assets!$E$4,P$3&lt;=VST_Assets!$F$4,VST_Assets!$H$4="Cashflow"),1,0)</f>
        <v>1</v>
      </c>
      <c r="Q96" s="47" t="n">
        <f aca="false">IF(AND(Q$3&gt;=VST_Assets!$E$4,Q$3&lt;=VST_Assets!$F$4,VST_Assets!$H$4="Cashflow"),1,0)</f>
        <v>1</v>
      </c>
      <c r="R96" s="47" t="n">
        <f aca="false">IF(AND(R$3&gt;=VST_Assets!$E$4,R$3&lt;=VST_Assets!$F$4,VST_Assets!$H$4="Cashflow"),1,0)</f>
        <v>1</v>
      </c>
      <c r="S96" s="47" t="n">
        <f aca="false">IF(AND(S$3&gt;=VST_Assets!$E$4,S$3&lt;=VST_Assets!$F$4,VST_Assets!$H$4="Cashflow"),1,0)</f>
        <v>1</v>
      </c>
      <c r="T96" s="47" t="n">
        <f aca="false">IF(AND(T$3&gt;=VST_Assets!$E$4,T$3&lt;=VST_Assets!$F$4,VST_Assets!$H$4="Cashflow"),1,0)</f>
        <v>1</v>
      </c>
      <c r="U96" s="47" t="n">
        <f aca="false">IF(AND(U$3&gt;=VST_Assets!$E$4,U$3&lt;=VST_Assets!$F$4,VST_Assets!$H$4="Cashflow"),1,0)</f>
        <v>1</v>
      </c>
      <c r="V96" s="47" t="n">
        <f aca="false">IF(AND(V$3&gt;=VST_Assets!$E$4,V$3&lt;=VST_Assets!$F$4,VST_Assets!$H$4="Cashflow"),1,0)</f>
        <v>1</v>
      </c>
      <c r="W96" s="47" t="n">
        <f aca="false">IF(AND(W$3&gt;=VST_Assets!$E$4,W$3&lt;=VST_Assets!$F$4,VST_Assets!$H$4="Cashflow"),1,0)</f>
        <v>1</v>
      </c>
      <c r="X96" s="47" t="n">
        <f aca="false">IF(AND(X$3&gt;=VST_Assets!$E$4,X$3&lt;=VST_Assets!$F$4,VST_Assets!$H$4="Cashflow"),1,0)</f>
        <v>1</v>
      </c>
      <c r="Y96" s="47" t="n">
        <f aca="false">IF(AND(Y$3&gt;=VST_Assets!$E$4,Y$3&lt;=VST_Assets!$F$4,VST_Assets!$H$4="Cashflow"),1,0)</f>
        <v>1</v>
      </c>
      <c r="Z96" s="47" t="n">
        <f aca="false">IF(AND(Z$3&gt;=VST_Assets!$E$4,Z$3&lt;=VST_Assets!$F$4,VST_Assets!$H$4="Cashflow"),1,0)</f>
        <v>1</v>
      </c>
      <c r="AA96" s="47" t="n">
        <f aca="false">IF(AND(AA$3&gt;=VST_Assets!$E$4,AA$3&lt;=VST_Assets!$F$4,VST_Assets!$H$4="Cashflow"),1,0)</f>
        <v>1</v>
      </c>
      <c r="AB96" s="47" t="n">
        <f aca="false">IF(AND(AB$3&gt;=VST_Assets!$E$4,AB$3&lt;=VST_Assets!$F$4,VST_Assets!$H$4="Cashflow"),1,0)</f>
        <v>1</v>
      </c>
      <c r="AC96" s="47" t="n">
        <f aca="false">IF(AND(AC$3&gt;=VST_Assets!$E$4,AC$3&lt;=VST_Assets!$F$4,VST_Assets!$H$4="Cashflow"),1,0)</f>
        <v>1</v>
      </c>
      <c r="AD96" s="47" t="n">
        <f aca="false">IF(AND(AD$3&gt;=VST_Assets!$E$4,AD$3&lt;=VST_Assets!$F$4,VST_Assets!$H$4="Cashflow"),1,0)</f>
        <v>1</v>
      </c>
      <c r="AE96" s="47" t="n">
        <f aca="false">IF(AND(AE$3&gt;=VST_Assets!$E$4,AE$3&lt;=VST_Assets!$F$4,VST_Assets!$H$4="Cashflow"),1,0)</f>
        <v>1</v>
      </c>
      <c r="AF96" s="47" t="n">
        <f aca="false">IF(AND(AF$3&gt;=VST_Assets!$E$4,AF$3&lt;=VST_Assets!$F$4,VST_Assets!$H$4="Cashflow"),1,0)</f>
        <v>1</v>
      </c>
      <c r="AG96" s="47" t="n">
        <f aca="false">IF(AND(AG$3&gt;=VST_Assets!$E$4,AG$3&lt;=VST_Assets!$F$4,VST_Assets!$H$4="Cashflow"),1,0)</f>
        <v>1</v>
      </c>
      <c r="AH96" s="47" t="n">
        <f aca="false">IF(AND(AH$3&gt;=VST_Assets!$E$4,AH$3&lt;=VST_Assets!$F$4,VST_Assets!$H$4="Cashflow"),1,0)</f>
        <v>1</v>
      </c>
      <c r="AI96" s="47" t="n">
        <f aca="false">IF(AND(AI$3&gt;=VST_Assets!$E$4,AI$3&lt;=VST_Assets!$F$4,VST_Assets!$H$4="Cashflow"),1,0)</f>
        <v>1</v>
      </c>
      <c r="AJ96" s="47" t="n">
        <f aca="false">IF(AND(AJ$3&gt;=VST_Assets!$E$4,AJ$3&lt;=VST_Assets!$F$4,VST_Assets!$H$4="Cashflow"),1,0)</f>
        <v>0</v>
      </c>
      <c r="AK96" s="47" t="n">
        <f aca="false">IF(AND(AK$3&gt;=VST_Assets!$E$4,AK$3&lt;=VST_Assets!$F$4,VST_Assets!$H$4="Cashflow"),1,0)</f>
        <v>0</v>
      </c>
      <c r="AL96" s="47" t="n">
        <f aca="false">IF(AND(AL$3&gt;=VST_Assets!$E$4,AL$3&lt;=VST_Assets!$F$4,VST_Assets!$H$4="Cashflow"),1,0)</f>
        <v>0</v>
      </c>
      <c r="AM96" s="47" t="n">
        <f aca="false">IF(AND(AM$3&gt;=VST_Assets!$E$4,AM$3&lt;=VST_Assets!$F$4,VST_Assets!$H$4="Cashflow"),1,0)</f>
        <v>0</v>
      </c>
      <c r="AN96" s="47" t="n">
        <f aca="false">IF(AND(AN$3&gt;=VST_Assets!$E$4,AN$3&lt;=VST_Assets!$F$4,VST_Assets!$H$4="Cashflow"),1,0)</f>
        <v>0</v>
      </c>
      <c r="AO96" s="47" t="n">
        <f aca="false">IF(AND(AO$3&gt;=VST_Assets!$E$4,AO$3&lt;=VST_Assets!$F$4,VST_Assets!$H$4="Cashflow"),1,0)</f>
        <v>0</v>
      </c>
      <c r="AP96" s="47" t="n">
        <f aca="false">IF(AND(AP$3&gt;=VST_Assets!$E$4,AP$3&lt;=VST_Assets!$F$4,VST_Assets!$H$4="Cashflow"),1,0)</f>
        <v>0</v>
      </c>
      <c r="AQ96" s="47" t="n">
        <f aca="false">IF(AND(AQ$3&gt;=VST_Assets!$E$4,AQ$3&lt;=VST_Assets!$F$4,VST_Assets!$H$4="Cashflow"),1,0)</f>
        <v>0</v>
      </c>
      <c r="AR96" s="47" t="n">
        <f aca="false">IF(AND(AR$3&gt;=VST_Assets!$E$4,AR$3&lt;=VST_Assets!$F$4,VST_Assets!$H$4="Cashflow"),1,0)</f>
        <v>0</v>
      </c>
      <c r="AS96" s="47" t="n">
        <f aca="false">IF(AND(AS$3&gt;=VST_Assets!$E$4,AS$3&lt;=VST_Assets!$F$4,VST_Assets!$H$4="Cashflow"),1,0)</f>
        <v>0</v>
      </c>
    </row>
    <row r="97" customFormat="false" ht="15" hidden="false" customHeight="false" outlineLevel="0" collapsed="false">
      <c r="A97" s="6" t="s">
        <v>427</v>
      </c>
      <c r="B97" s="6" t="s">
        <v>428</v>
      </c>
      <c r="G97" s="9" t="n">
        <f aca="false">IF(AND(G$3&gt;=VST_Assets!$AA$4,G$3&lt;=VST_Assets!$AB$4),MIN(VST_Assets!$D$4,VST_Assets!$Z$4*MIN(1,(G$3-VST_Assets!$AA$4+1)/MAX(1,VST_Assets!$AC$4))),0)*G96</f>
        <v>0</v>
      </c>
      <c r="H97" s="9" t="n">
        <f aca="false">IF(AND(H$3&gt;=VST_Assets!$AA$4,H$3&lt;=VST_Assets!$AB$4),MIN(VST_Assets!$D$4,VST_Assets!$Z$4*MIN(1,(H$3-VST_Assets!$AA$4+1)/MAX(1,VST_Assets!$AC$4))),0)*H96</f>
        <v>0</v>
      </c>
      <c r="I97" s="9" t="n">
        <f aca="false">IF(AND(I$3&gt;=VST_Assets!$AA$4,I$3&lt;=VST_Assets!$AB$4),MIN(VST_Assets!$D$4,VST_Assets!$Z$4*MIN(1,(I$3-VST_Assets!$AA$4+1)/MAX(1,VST_Assets!$AC$4))),0)*I96</f>
        <v>0</v>
      </c>
      <c r="J97" s="9" t="n">
        <f aca="false">IF(AND(J$3&gt;=VST_Assets!$AA$4,J$3&lt;=VST_Assets!$AB$4),MIN(VST_Assets!$D$4,VST_Assets!$Z$4*MIN(1,(J$3-VST_Assets!$AA$4+1)/MAX(1,VST_Assets!$AC$4))),0)*J96</f>
        <v>0</v>
      </c>
      <c r="K97" s="9" t="n">
        <f aca="false">IF(AND(K$3&gt;=VST_Assets!$AA$4,K$3&lt;=VST_Assets!$AB$4),MIN(VST_Assets!$D$4,VST_Assets!$Z$4*MIN(1,(K$3-VST_Assets!$AA$4+1)/MAX(1,VST_Assets!$AC$4))),0)*K96</f>
        <v>0</v>
      </c>
      <c r="L97" s="9" t="n">
        <f aca="false">IF(AND(L$3&gt;=VST_Assets!$AA$4,L$3&lt;=VST_Assets!$AB$4),MIN(VST_Assets!$D$4,VST_Assets!$Z$4*MIN(1,(L$3-VST_Assets!$AA$4+1)/MAX(1,VST_Assets!$AC$4))),0)*L96</f>
        <v>0</v>
      </c>
      <c r="M97" s="9" t="n">
        <f aca="false">IF(AND(M$3&gt;=VST_Assets!$AA$4,M$3&lt;=VST_Assets!$AB$4),MIN(VST_Assets!$D$4,VST_Assets!$Z$4*MIN(1,(M$3-VST_Assets!$AA$4+1)/MAX(1,VST_Assets!$AC$4))),0)*M96</f>
        <v>0</v>
      </c>
      <c r="N97" s="9" t="n">
        <f aca="false">IF(AND(N$3&gt;=VST_Assets!$AA$4,N$3&lt;=VST_Assets!$AB$4),MIN(VST_Assets!$D$4,VST_Assets!$Z$4*MIN(1,(N$3-VST_Assets!$AA$4+1)/MAX(1,VST_Assets!$AC$4))),0)*N96</f>
        <v>0</v>
      </c>
      <c r="O97" s="9" t="n">
        <f aca="false">IF(AND(O$3&gt;=VST_Assets!$AA$4,O$3&lt;=VST_Assets!$AB$4),MIN(VST_Assets!$D$4,VST_Assets!$Z$4*MIN(1,(O$3-VST_Assets!$AA$4+1)/MAX(1,VST_Assets!$AC$4))),0)*O96</f>
        <v>0</v>
      </c>
      <c r="P97" s="9" t="n">
        <f aca="false">IF(AND(P$3&gt;=VST_Assets!$AA$4,P$3&lt;=VST_Assets!$AB$4),MIN(VST_Assets!$D$4,VST_Assets!$Z$4*MIN(1,(P$3-VST_Assets!$AA$4+1)/MAX(1,VST_Assets!$AC$4))),0)*P96</f>
        <v>0</v>
      </c>
      <c r="Q97" s="9" t="n">
        <f aca="false">IF(AND(Q$3&gt;=VST_Assets!$AA$4,Q$3&lt;=VST_Assets!$AB$4),MIN(VST_Assets!$D$4,VST_Assets!$Z$4*MIN(1,(Q$3-VST_Assets!$AA$4+1)/MAX(1,VST_Assets!$AC$4))),0)*Q96</f>
        <v>0</v>
      </c>
      <c r="R97" s="9" t="n">
        <f aca="false">IF(AND(R$3&gt;=VST_Assets!$AA$4,R$3&lt;=VST_Assets!$AB$4),MIN(VST_Assets!$D$4,VST_Assets!$Z$4*MIN(1,(R$3-VST_Assets!$AA$4+1)/MAX(1,VST_Assets!$AC$4))),0)*R96</f>
        <v>0</v>
      </c>
      <c r="S97" s="9" t="n">
        <f aca="false">IF(AND(S$3&gt;=VST_Assets!$AA$4,S$3&lt;=VST_Assets!$AB$4),MIN(VST_Assets!$D$4,VST_Assets!$Z$4*MIN(1,(S$3-VST_Assets!$AA$4+1)/MAX(1,VST_Assets!$AC$4))),0)*S96</f>
        <v>0</v>
      </c>
      <c r="T97" s="9" t="n">
        <f aca="false">IF(AND(T$3&gt;=VST_Assets!$AA$4,T$3&lt;=VST_Assets!$AB$4),MIN(VST_Assets!$D$4,VST_Assets!$Z$4*MIN(1,(T$3-VST_Assets!$AA$4+1)/MAX(1,VST_Assets!$AC$4))),0)*T96</f>
        <v>0</v>
      </c>
      <c r="U97" s="9" t="n">
        <f aca="false">IF(AND(U$3&gt;=VST_Assets!$AA$4,U$3&lt;=VST_Assets!$AB$4),MIN(VST_Assets!$D$4,VST_Assets!$Z$4*MIN(1,(U$3-VST_Assets!$AA$4+1)/MAX(1,VST_Assets!$AC$4))),0)*U96</f>
        <v>0</v>
      </c>
      <c r="V97" s="9" t="n">
        <f aca="false">IF(AND(V$3&gt;=VST_Assets!$AA$4,V$3&lt;=VST_Assets!$AB$4),MIN(VST_Assets!$D$4,VST_Assets!$Z$4*MIN(1,(V$3-VST_Assets!$AA$4+1)/MAX(1,VST_Assets!$AC$4))),0)*V96</f>
        <v>0</v>
      </c>
      <c r="W97" s="9" t="n">
        <f aca="false">IF(AND(W$3&gt;=VST_Assets!$AA$4,W$3&lt;=VST_Assets!$AB$4),MIN(VST_Assets!$D$4,VST_Assets!$Z$4*MIN(1,(W$3-VST_Assets!$AA$4+1)/MAX(1,VST_Assets!$AC$4))),0)*W96</f>
        <v>0</v>
      </c>
      <c r="X97" s="9" t="n">
        <f aca="false">IF(AND(X$3&gt;=VST_Assets!$AA$4,X$3&lt;=VST_Assets!$AB$4),MIN(VST_Assets!$D$4,VST_Assets!$Z$4*MIN(1,(X$3-VST_Assets!$AA$4+1)/MAX(1,VST_Assets!$AC$4))),0)*X96</f>
        <v>0</v>
      </c>
      <c r="Y97" s="9" t="n">
        <f aca="false">IF(AND(Y$3&gt;=VST_Assets!$AA$4,Y$3&lt;=VST_Assets!$AB$4),MIN(VST_Assets!$D$4,VST_Assets!$Z$4*MIN(1,(Y$3-VST_Assets!$AA$4+1)/MAX(1,VST_Assets!$AC$4))),0)*Y96</f>
        <v>0</v>
      </c>
      <c r="Z97" s="9" t="n">
        <f aca="false">IF(AND(Z$3&gt;=VST_Assets!$AA$4,Z$3&lt;=VST_Assets!$AB$4),MIN(VST_Assets!$D$4,VST_Assets!$Z$4*MIN(1,(Z$3-VST_Assets!$AA$4+1)/MAX(1,VST_Assets!$AC$4))),0)*Z96</f>
        <v>0</v>
      </c>
      <c r="AA97" s="9" t="n">
        <f aca="false">IF(AND(AA$3&gt;=VST_Assets!$AA$4,AA$3&lt;=VST_Assets!$AB$4),MIN(VST_Assets!$D$4,VST_Assets!$Z$4*MIN(1,(AA$3-VST_Assets!$AA$4+1)/MAX(1,VST_Assets!$AC$4))),0)*AA96</f>
        <v>0</v>
      </c>
      <c r="AB97" s="9" t="n">
        <f aca="false">IF(AND(AB$3&gt;=VST_Assets!$AA$4,AB$3&lt;=VST_Assets!$AB$4),MIN(VST_Assets!$D$4,VST_Assets!$Z$4*MIN(1,(AB$3-VST_Assets!$AA$4+1)/MAX(1,VST_Assets!$AC$4))),0)*AB96</f>
        <v>0</v>
      </c>
      <c r="AC97" s="9" t="n">
        <f aca="false">IF(AND(AC$3&gt;=VST_Assets!$AA$4,AC$3&lt;=VST_Assets!$AB$4),MIN(VST_Assets!$D$4,VST_Assets!$Z$4*MIN(1,(AC$3-VST_Assets!$AA$4+1)/MAX(1,VST_Assets!$AC$4))),0)*AC96</f>
        <v>0</v>
      </c>
      <c r="AD97" s="9" t="n">
        <f aca="false">IF(AND(AD$3&gt;=VST_Assets!$AA$4,AD$3&lt;=VST_Assets!$AB$4),MIN(VST_Assets!$D$4,VST_Assets!$Z$4*MIN(1,(AD$3-VST_Assets!$AA$4+1)/MAX(1,VST_Assets!$AC$4))),0)*AD96</f>
        <v>0</v>
      </c>
      <c r="AE97" s="9" t="n">
        <f aca="false">IF(AND(AE$3&gt;=VST_Assets!$AA$4,AE$3&lt;=VST_Assets!$AB$4),MIN(VST_Assets!$D$4,VST_Assets!$Z$4*MIN(1,(AE$3-VST_Assets!$AA$4+1)/MAX(1,VST_Assets!$AC$4))),0)*AE96</f>
        <v>0</v>
      </c>
      <c r="AF97" s="9" t="n">
        <f aca="false">IF(AND(AF$3&gt;=VST_Assets!$AA$4,AF$3&lt;=VST_Assets!$AB$4),MIN(VST_Assets!$D$4,VST_Assets!$Z$4*MIN(1,(AF$3-VST_Assets!$AA$4+1)/MAX(1,VST_Assets!$AC$4))),0)*AF96</f>
        <v>0</v>
      </c>
      <c r="AG97" s="9" t="n">
        <f aca="false">IF(AND(AG$3&gt;=VST_Assets!$AA$4,AG$3&lt;=VST_Assets!$AB$4),MIN(VST_Assets!$D$4,VST_Assets!$Z$4*MIN(1,(AG$3-VST_Assets!$AA$4+1)/MAX(1,VST_Assets!$AC$4))),0)*AG96</f>
        <v>0</v>
      </c>
      <c r="AH97" s="9" t="n">
        <f aca="false">IF(AND(AH$3&gt;=VST_Assets!$AA$4,AH$3&lt;=VST_Assets!$AB$4),MIN(VST_Assets!$D$4,VST_Assets!$Z$4*MIN(1,(AH$3-VST_Assets!$AA$4+1)/MAX(1,VST_Assets!$AC$4))),0)*AH96</f>
        <v>0</v>
      </c>
      <c r="AI97" s="9" t="n">
        <f aca="false">IF(AND(AI$3&gt;=VST_Assets!$AA$4,AI$3&lt;=VST_Assets!$AB$4),MIN(VST_Assets!$D$4,VST_Assets!$Z$4*MIN(1,(AI$3-VST_Assets!$AA$4+1)/MAX(1,VST_Assets!$AC$4))),0)*AI96</f>
        <v>0</v>
      </c>
      <c r="AJ97" s="9" t="n">
        <f aca="false">IF(AND(AJ$3&gt;=VST_Assets!$AA$4,AJ$3&lt;=VST_Assets!$AB$4),MIN(VST_Assets!$D$4,VST_Assets!$Z$4*MIN(1,(AJ$3-VST_Assets!$AA$4+1)/MAX(1,VST_Assets!$AC$4))),0)*AJ96</f>
        <v>0</v>
      </c>
      <c r="AK97" s="9" t="n">
        <f aca="false">IF(AND(AK$3&gt;=VST_Assets!$AA$4,AK$3&lt;=VST_Assets!$AB$4),MIN(VST_Assets!$D$4,VST_Assets!$Z$4*MIN(1,(AK$3-VST_Assets!$AA$4+1)/MAX(1,VST_Assets!$AC$4))),0)*AK96</f>
        <v>0</v>
      </c>
      <c r="AL97" s="9" t="n">
        <f aca="false">IF(AND(AL$3&gt;=VST_Assets!$AA$4,AL$3&lt;=VST_Assets!$AB$4),MIN(VST_Assets!$D$4,VST_Assets!$Z$4*MIN(1,(AL$3-VST_Assets!$AA$4+1)/MAX(1,VST_Assets!$AC$4))),0)*AL96</f>
        <v>0</v>
      </c>
      <c r="AM97" s="9" t="n">
        <f aca="false">IF(AND(AM$3&gt;=VST_Assets!$AA$4,AM$3&lt;=VST_Assets!$AB$4),MIN(VST_Assets!$D$4,VST_Assets!$Z$4*MIN(1,(AM$3-VST_Assets!$AA$4+1)/MAX(1,VST_Assets!$AC$4))),0)*AM96</f>
        <v>0</v>
      </c>
      <c r="AN97" s="9" t="n">
        <f aca="false">IF(AND(AN$3&gt;=VST_Assets!$AA$4,AN$3&lt;=VST_Assets!$AB$4),MIN(VST_Assets!$D$4,VST_Assets!$Z$4*MIN(1,(AN$3-VST_Assets!$AA$4+1)/MAX(1,VST_Assets!$AC$4))),0)*AN96</f>
        <v>0</v>
      </c>
      <c r="AO97" s="9" t="n">
        <f aca="false">IF(AND(AO$3&gt;=VST_Assets!$AA$4,AO$3&lt;=VST_Assets!$AB$4),MIN(VST_Assets!$D$4,VST_Assets!$Z$4*MIN(1,(AO$3-VST_Assets!$AA$4+1)/MAX(1,VST_Assets!$AC$4))),0)*AO96</f>
        <v>0</v>
      </c>
      <c r="AP97" s="9" t="n">
        <f aca="false">IF(AND(AP$3&gt;=VST_Assets!$AA$4,AP$3&lt;=VST_Assets!$AB$4),MIN(VST_Assets!$D$4,VST_Assets!$Z$4*MIN(1,(AP$3-VST_Assets!$AA$4+1)/MAX(1,VST_Assets!$AC$4))),0)*AP96</f>
        <v>0</v>
      </c>
      <c r="AQ97" s="9" t="n">
        <f aca="false">IF(AND(AQ$3&gt;=VST_Assets!$AA$4,AQ$3&lt;=VST_Assets!$AB$4),MIN(VST_Assets!$D$4,VST_Assets!$Z$4*MIN(1,(AQ$3-VST_Assets!$AA$4+1)/MAX(1,VST_Assets!$AC$4))),0)*AQ96</f>
        <v>0</v>
      </c>
      <c r="AR97" s="9" t="n">
        <f aca="false">IF(AND(AR$3&gt;=VST_Assets!$AA$4,AR$3&lt;=VST_Assets!$AB$4),MIN(VST_Assets!$D$4,VST_Assets!$Z$4*MIN(1,(AR$3-VST_Assets!$AA$4+1)/MAX(1,VST_Assets!$AC$4))),0)*AR96</f>
        <v>0</v>
      </c>
      <c r="AS97" s="9" t="n">
        <f aca="false">IF(AND(AS$3&gt;=VST_Assets!$AA$4,AS$3&lt;=VST_Assets!$AB$4),MIN(VST_Assets!$D$4,VST_Assets!$Z$4*MIN(1,(AS$3-VST_Assets!$AA$4+1)/MAX(1,VST_Assets!$AC$4))),0)*AS96</f>
        <v>0</v>
      </c>
    </row>
    <row r="98" customFormat="false" ht="15" hidden="false" customHeight="false" outlineLevel="0" collapsed="false">
      <c r="A98" s="6" t="s">
        <v>429</v>
      </c>
      <c r="B98" s="6" t="s">
        <v>430</v>
      </c>
      <c r="G98" s="9" t="n">
        <f aca="false">(VST_Assets!$D$4-G97)*8760*VST_Assets!$I$4*G96</f>
        <v>15332803.2</v>
      </c>
      <c r="H98" s="9" t="n">
        <f aca="false">(VST_Assets!$D$4-H97)*8760*VST_Assets!$I$4*H96</f>
        <v>15332803.2</v>
      </c>
      <c r="I98" s="9" t="n">
        <f aca="false">(VST_Assets!$D$4-I97)*8760*VST_Assets!$I$4*I96</f>
        <v>15332803.2</v>
      </c>
      <c r="J98" s="9" t="n">
        <f aca="false">(VST_Assets!$D$4-J97)*8760*VST_Assets!$I$4*J96</f>
        <v>15332803.2</v>
      </c>
      <c r="K98" s="9" t="n">
        <f aca="false">(VST_Assets!$D$4-K97)*8760*VST_Assets!$I$4*K96</f>
        <v>15332803.2</v>
      </c>
      <c r="L98" s="9" t="n">
        <f aca="false">(VST_Assets!$D$4-L97)*8760*VST_Assets!$I$4*L96</f>
        <v>15332803.2</v>
      </c>
      <c r="M98" s="9" t="n">
        <f aca="false">(VST_Assets!$D$4-M97)*8760*VST_Assets!$I$4*M96</f>
        <v>15332803.2</v>
      </c>
      <c r="N98" s="9" t="n">
        <f aca="false">(VST_Assets!$D$4-N97)*8760*VST_Assets!$I$4*N96</f>
        <v>15332803.2</v>
      </c>
      <c r="O98" s="9" t="n">
        <f aca="false">(VST_Assets!$D$4-O97)*8760*VST_Assets!$I$4*O96</f>
        <v>15332803.2</v>
      </c>
      <c r="P98" s="9" t="n">
        <f aca="false">(VST_Assets!$D$4-P97)*8760*VST_Assets!$I$4*P96</f>
        <v>15332803.2</v>
      </c>
      <c r="Q98" s="9" t="n">
        <f aca="false">(VST_Assets!$D$4-Q97)*8760*VST_Assets!$I$4*Q96</f>
        <v>15332803.2</v>
      </c>
      <c r="R98" s="9" t="n">
        <f aca="false">(VST_Assets!$D$4-R97)*8760*VST_Assets!$I$4*R96</f>
        <v>15332803.2</v>
      </c>
      <c r="S98" s="9" t="n">
        <f aca="false">(VST_Assets!$D$4-S97)*8760*VST_Assets!$I$4*S96</f>
        <v>15332803.2</v>
      </c>
      <c r="T98" s="9" t="n">
        <f aca="false">(VST_Assets!$D$4-T97)*8760*VST_Assets!$I$4*T96</f>
        <v>15332803.2</v>
      </c>
      <c r="U98" s="9" t="n">
        <f aca="false">(VST_Assets!$D$4-U97)*8760*VST_Assets!$I$4*U96</f>
        <v>15332803.2</v>
      </c>
      <c r="V98" s="9" t="n">
        <f aca="false">(VST_Assets!$D$4-V97)*8760*VST_Assets!$I$4*V96</f>
        <v>15332803.2</v>
      </c>
      <c r="W98" s="9" t="n">
        <f aca="false">(VST_Assets!$D$4-W97)*8760*VST_Assets!$I$4*W96</f>
        <v>15332803.2</v>
      </c>
      <c r="X98" s="9" t="n">
        <f aca="false">(VST_Assets!$D$4-X97)*8760*VST_Assets!$I$4*X96</f>
        <v>15332803.2</v>
      </c>
      <c r="Y98" s="9" t="n">
        <f aca="false">(VST_Assets!$D$4-Y97)*8760*VST_Assets!$I$4*Y96</f>
        <v>15332803.2</v>
      </c>
      <c r="Z98" s="9" t="n">
        <f aca="false">(VST_Assets!$D$4-Z97)*8760*VST_Assets!$I$4*Z96</f>
        <v>15332803.2</v>
      </c>
      <c r="AA98" s="9" t="n">
        <f aca="false">(VST_Assets!$D$4-AA97)*8760*VST_Assets!$I$4*AA96</f>
        <v>15332803.2</v>
      </c>
      <c r="AB98" s="9" t="n">
        <f aca="false">(VST_Assets!$D$4-AB97)*8760*VST_Assets!$I$4*AB96</f>
        <v>15332803.2</v>
      </c>
      <c r="AC98" s="9" t="n">
        <f aca="false">(VST_Assets!$D$4-AC97)*8760*VST_Assets!$I$4*AC96</f>
        <v>15332803.2</v>
      </c>
      <c r="AD98" s="9" t="n">
        <f aca="false">(VST_Assets!$D$4-AD97)*8760*VST_Assets!$I$4*AD96</f>
        <v>15332803.2</v>
      </c>
      <c r="AE98" s="9" t="n">
        <f aca="false">(VST_Assets!$D$4-AE97)*8760*VST_Assets!$I$4*AE96</f>
        <v>15332803.2</v>
      </c>
      <c r="AF98" s="9" t="n">
        <f aca="false">(VST_Assets!$D$4-AF97)*8760*VST_Assets!$I$4*AF96</f>
        <v>15332803.2</v>
      </c>
      <c r="AG98" s="9" t="n">
        <f aca="false">(VST_Assets!$D$4-AG97)*8760*VST_Assets!$I$4*AG96</f>
        <v>15332803.2</v>
      </c>
      <c r="AH98" s="9" t="n">
        <f aca="false">(VST_Assets!$D$4-AH97)*8760*VST_Assets!$I$4*AH96</f>
        <v>15332803.2</v>
      </c>
      <c r="AI98" s="9" t="n">
        <f aca="false">(VST_Assets!$D$4-AI97)*8760*VST_Assets!$I$4*AI96</f>
        <v>15332803.2</v>
      </c>
      <c r="AJ98" s="9" t="n">
        <f aca="false">(VST_Assets!$D$4-AJ97)*8760*VST_Assets!$I$4*AJ96</f>
        <v>0</v>
      </c>
      <c r="AK98" s="9" t="n">
        <f aca="false">(VST_Assets!$D$4-AK97)*8760*VST_Assets!$I$4*AK96</f>
        <v>0</v>
      </c>
      <c r="AL98" s="9" t="n">
        <f aca="false">(VST_Assets!$D$4-AL97)*8760*VST_Assets!$I$4*AL96</f>
        <v>0</v>
      </c>
      <c r="AM98" s="9" t="n">
        <f aca="false">(VST_Assets!$D$4-AM97)*8760*VST_Assets!$I$4*AM96</f>
        <v>0</v>
      </c>
      <c r="AN98" s="9" t="n">
        <f aca="false">(VST_Assets!$D$4-AN97)*8760*VST_Assets!$I$4*AN96</f>
        <v>0</v>
      </c>
      <c r="AO98" s="9" t="n">
        <f aca="false">(VST_Assets!$D$4-AO97)*8760*VST_Assets!$I$4*AO96</f>
        <v>0</v>
      </c>
      <c r="AP98" s="9" t="n">
        <f aca="false">(VST_Assets!$D$4-AP97)*8760*VST_Assets!$I$4*AP96</f>
        <v>0</v>
      </c>
      <c r="AQ98" s="9" t="n">
        <f aca="false">(VST_Assets!$D$4-AQ97)*8760*VST_Assets!$I$4*AQ96</f>
        <v>0</v>
      </c>
      <c r="AR98" s="9" t="n">
        <f aca="false">(VST_Assets!$D$4-AR97)*8760*VST_Assets!$I$4*AR96</f>
        <v>0</v>
      </c>
      <c r="AS98" s="9" t="n">
        <f aca="false">(VST_Assets!$D$4-AS97)*8760*VST_Assets!$I$4*AS96</f>
        <v>0</v>
      </c>
    </row>
    <row r="99" customFormat="false" ht="15" hidden="false" customHeight="false" outlineLevel="0" collapsed="false">
      <c r="A99" s="6" t="s">
        <v>431</v>
      </c>
      <c r="B99" s="6" t="s">
        <v>432</v>
      </c>
      <c r="G99" s="9" t="n">
        <f aca="false">G97*8760*VST_Assets!$I$4*G96</f>
        <v>0</v>
      </c>
      <c r="H99" s="9" t="n">
        <f aca="false">H97*8760*VST_Assets!$I$4*H96</f>
        <v>0</v>
      </c>
      <c r="I99" s="9" t="n">
        <f aca="false">I97*8760*VST_Assets!$I$4*I96</f>
        <v>0</v>
      </c>
      <c r="J99" s="9" t="n">
        <f aca="false">J97*8760*VST_Assets!$I$4*J96</f>
        <v>0</v>
      </c>
      <c r="K99" s="9" t="n">
        <f aca="false">K97*8760*VST_Assets!$I$4*K96</f>
        <v>0</v>
      </c>
      <c r="L99" s="9" t="n">
        <f aca="false">L97*8760*VST_Assets!$I$4*L96</f>
        <v>0</v>
      </c>
      <c r="M99" s="9" t="n">
        <f aca="false">M97*8760*VST_Assets!$I$4*M96</f>
        <v>0</v>
      </c>
      <c r="N99" s="9" t="n">
        <f aca="false">N97*8760*VST_Assets!$I$4*N96</f>
        <v>0</v>
      </c>
      <c r="O99" s="9" t="n">
        <f aca="false">O97*8760*VST_Assets!$I$4*O96</f>
        <v>0</v>
      </c>
      <c r="P99" s="9" t="n">
        <f aca="false">P97*8760*VST_Assets!$I$4*P96</f>
        <v>0</v>
      </c>
      <c r="Q99" s="9" t="n">
        <f aca="false">Q97*8760*VST_Assets!$I$4*Q96</f>
        <v>0</v>
      </c>
      <c r="R99" s="9" t="n">
        <f aca="false">R97*8760*VST_Assets!$I$4*R96</f>
        <v>0</v>
      </c>
      <c r="S99" s="9" t="n">
        <f aca="false">S97*8760*VST_Assets!$I$4*S96</f>
        <v>0</v>
      </c>
      <c r="T99" s="9" t="n">
        <f aca="false">T97*8760*VST_Assets!$I$4*T96</f>
        <v>0</v>
      </c>
      <c r="U99" s="9" t="n">
        <f aca="false">U97*8760*VST_Assets!$I$4*U96</f>
        <v>0</v>
      </c>
      <c r="V99" s="9" t="n">
        <f aca="false">V97*8760*VST_Assets!$I$4*V96</f>
        <v>0</v>
      </c>
      <c r="W99" s="9" t="n">
        <f aca="false">W97*8760*VST_Assets!$I$4*W96</f>
        <v>0</v>
      </c>
      <c r="X99" s="9" t="n">
        <f aca="false">X97*8760*VST_Assets!$I$4*X96</f>
        <v>0</v>
      </c>
      <c r="Y99" s="9" t="n">
        <f aca="false">Y97*8760*VST_Assets!$I$4*Y96</f>
        <v>0</v>
      </c>
      <c r="Z99" s="9" t="n">
        <f aca="false">Z97*8760*VST_Assets!$I$4*Z96</f>
        <v>0</v>
      </c>
      <c r="AA99" s="9" t="n">
        <f aca="false">AA97*8760*VST_Assets!$I$4*AA96</f>
        <v>0</v>
      </c>
      <c r="AB99" s="9" t="n">
        <f aca="false">AB97*8760*VST_Assets!$I$4*AB96</f>
        <v>0</v>
      </c>
      <c r="AC99" s="9" t="n">
        <f aca="false">AC97*8760*VST_Assets!$I$4*AC96</f>
        <v>0</v>
      </c>
      <c r="AD99" s="9" t="n">
        <f aca="false">AD97*8760*VST_Assets!$I$4*AD96</f>
        <v>0</v>
      </c>
      <c r="AE99" s="9" t="n">
        <f aca="false">AE97*8760*VST_Assets!$I$4*AE96</f>
        <v>0</v>
      </c>
      <c r="AF99" s="9" t="n">
        <f aca="false">AF97*8760*VST_Assets!$I$4*AF96</f>
        <v>0</v>
      </c>
      <c r="AG99" s="9" t="n">
        <f aca="false">AG97*8760*VST_Assets!$I$4*AG96</f>
        <v>0</v>
      </c>
      <c r="AH99" s="9" t="n">
        <f aca="false">AH97*8760*VST_Assets!$I$4*AH96</f>
        <v>0</v>
      </c>
      <c r="AI99" s="9" t="n">
        <f aca="false">AI97*8760*VST_Assets!$I$4*AI96</f>
        <v>0</v>
      </c>
      <c r="AJ99" s="9" t="n">
        <f aca="false">AJ97*8760*VST_Assets!$I$4*AJ96</f>
        <v>0</v>
      </c>
      <c r="AK99" s="9" t="n">
        <f aca="false">AK97*8760*VST_Assets!$I$4*AK96</f>
        <v>0</v>
      </c>
      <c r="AL99" s="9" t="n">
        <f aca="false">AL97*8760*VST_Assets!$I$4*AL96</f>
        <v>0</v>
      </c>
      <c r="AM99" s="9" t="n">
        <f aca="false">AM97*8760*VST_Assets!$I$4*AM96</f>
        <v>0</v>
      </c>
      <c r="AN99" s="9" t="n">
        <f aca="false">AN97*8760*VST_Assets!$I$4*AN96</f>
        <v>0</v>
      </c>
      <c r="AO99" s="9" t="n">
        <f aca="false">AO97*8760*VST_Assets!$I$4*AO96</f>
        <v>0</v>
      </c>
      <c r="AP99" s="9" t="n">
        <f aca="false">AP97*8760*VST_Assets!$I$4*AP96</f>
        <v>0</v>
      </c>
      <c r="AQ99" s="9" t="n">
        <f aca="false">AQ97*8760*VST_Assets!$I$4*AQ96</f>
        <v>0</v>
      </c>
      <c r="AR99" s="9" t="n">
        <f aca="false">AR97*8760*VST_Assets!$I$4*AR96</f>
        <v>0</v>
      </c>
      <c r="AS99" s="9" t="n">
        <f aca="false">AS97*8760*VST_Assets!$I$4*AS96</f>
        <v>0</v>
      </c>
    </row>
    <row r="100" customFormat="false" ht="15" hidden="false" customHeight="false" outlineLevel="0" collapsed="false">
      <c r="A100" s="6" t="s">
        <v>433</v>
      </c>
      <c r="B100" s="6" t="s">
        <v>434</v>
      </c>
      <c r="G100" s="7" t="n">
        <f aca="false">IF(ISNUMBER(VST_Assets!$L$4),VST_Assets!$L$4*G$4,INDEX(Prices!G:G,VST_Assets!$AO$4)+FuelAdder*G$4)</f>
        <v>3.927</v>
      </c>
      <c r="H100" s="7" t="n">
        <f aca="false">IF(ISNUMBER(VST_Assets!$L$4),VST_Assets!$L$4*H$4,INDEX(Prices!H:H,VST_Assets!$AO$4)+FuelAdder*H$4)</f>
        <v>4.00554</v>
      </c>
      <c r="I100" s="7" t="n">
        <f aca="false">IF(ISNUMBER(VST_Assets!$L$4),VST_Assets!$L$4*I$4,INDEX(Prices!I:I,VST_Assets!$AO$4)+FuelAdder*I$4)</f>
        <v>4.1917716</v>
      </c>
      <c r="J100" s="7" t="n">
        <f aca="false">IF(ISNUMBER(VST_Assets!$L$4),VST_Assets!$L$4*J$4,INDEX(Prices!J:J,VST_Assets!$AO$4)+FuelAdder*J$4)</f>
        <v>4.275607032</v>
      </c>
      <c r="K100" s="7" t="n">
        <f aca="false">IF(ISNUMBER(VST_Assets!$L$4),VST_Assets!$L$4*K$4,INDEX(Prices!K:K,VST_Assets!$AO$4)+FuelAdder*K$4)</f>
        <v>4.36111917264</v>
      </c>
      <c r="L100" s="7" t="n">
        <f aca="false">IF(ISNUMBER(VST_Assets!$L$4),VST_Assets!$L$4*L$4,INDEX(Prices!L:L,VST_Assets!$AO$4)+FuelAdder*L$4)</f>
        <v>4.4483415560928</v>
      </c>
      <c r="M100" s="7" t="n">
        <f aca="false">IF(ISNUMBER(VST_Assets!$L$4),VST_Assets!$L$4*M$4,INDEX(Prices!M:M,VST_Assets!$AO$4)+FuelAdder*M$4)</f>
        <v>4.53730838721466</v>
      </c>
      <c r="N100" s="7" t="n">
        <f aca="false">IF(ISNUMBER(VST_Assets!$L$4),VST_Assets!$L$4*N$4,INDEX(Prices!N:N,VST_Assets!$AO$4)+FuelAdder*N$4)</f>
        <v>4.62805455495895</v>
      </c>
      <c r="O100" s="7" t="n">
        <f aca="false">IF(ISNUMBER(VST_Assets!$L$4),VST_Assets!$L$4*O$4,INDEX(Prices!O:O,VST_Assets!$AO$4)+FuelAdder*O$4)</f>
        <v>4.72061564605813</v>
      </c>
      <c r="P100" s="7" t="n">
        <f aca="false">IF(ISNUMBER(VST_Assets!$L$4),VST_Assets!$L$4*P$4,INDEX(Prices!P:P,VST_Assets!$AO$4)+FuelAdder*P$4)</f>
        <v>4.81502795897929</v>
      </c>
      <c r="Q100" s="7" t="n">
        <f aca="false">IF(ISNUMBER(VST_Assets!$L$4),VST_Assets!$L$4*Q$4,INDEX(Prices!Q:Q,VST_Assets!$AO$4)+FuelAdder*Q$4)</f>
        <v>4.91132851815888</v>
      </c>
      <c r="R100" s="7" t="n">
        <f aca="false">IF(ISNUMBER(VST_Assets!$L$4),VST_Assets!$L$4*R$4,INDEX(Prices!R:R,VST_Assets!$AO$4)+FuelAdder*R$4)</f>
        <v>5.00955508852206</v>
      </c>
      <c r="S100" s="7" t="n">
        <f aca="false">IF(ISNUMBER(VST_Assets!$L$4),VST_Assets!$L$4*S$4,INDEX(Prices!S:S,VST_Assets!$AO$4)+FuelAdder*S$4)</f>
        <v>5.1097461902925</v>
      </c>
      <c r="T100" s="7" t="n">
        <f aca="false">IF(ISNUMBER(VST_Assets!$L$4),VST_Assets!$L$4*T$4,INDEX(Prices!T:T,VST_Assets!$AO$4)+FuelAdder*T$4)</f>
        <v>5.21194111409835</v>
      </c>
      <c r="U100" s="7" t="n">
        <f aca="false">IF(ISNUMBER(VST_Assets!$L$4),VST_Assets!$L$4*U$4,INDEX(Prices!U:U,VST_Assets!$AO$4)+FuelAdder*U$4)</f>
        <v>5.31617993638031</v>
      </c>
      <c r="V100" s="7" t="n">
        <f aca="false">IF(ISNUMBER(VST_Assets!$L$4),VST_Assets!$L$4*V$4,INDEX(Prices!V:V,VST_Assets!$AO$4)+FuelAdder*V$4)</f>
        <v>5.42250353510792</v>
      </c>
      <c r="W100" s="7" t="n">
        <f aca="false">IF(ISNUMBER(VST_Assets!$L$4),VST_Assets!$L$4*W$4,INDEX(Prices!W:W,VST_Assets!$AO$4)+FuelAdder*W$4)</f>
        <v>5.53095360581008</v>
      </c>
      <c r="X100" s="7" t="n">
        <f aca="false">IF(ISNUMBER(VST_Assets!$L$4),VST_Assets!$L$4*X$4,INDEX(Prices!X:X,VST_Assets!$AO$4)+FuelAdder*X$4)</f>
        <v>5.64157267792628</v>
      </c>
      <c r="Y100" s="7" t="n">
        <f aca="false">IF(ISNUMBER(VST_Assets!$L$4),VST_Assets!$L$4*Y$4,INDEX(Prices!Y:Y,VST_Assets!$AO$4)+FuelAdder*Y$4)</f>
        <v>5.75440413148481</v>
      </c>
      <c r="Z100" s="7" t="n">
        <f aca="false">IF(ISNUMBER(VST_Assets!$L$4),VST_Assets!$L$4*Z$4,INDEX(Prices!Z:Z,VST_Assets!$AO$4)+FuelAdder*Z$4)</f>
        <v>5.8694922141145</v>
      </c>
      <c r="AA100" s="7" t="n">
        <f aca="false">IF(ISNUMBER(VST_Assets!$L$4),VST_Assets!$L$4*AA$4,INDEX(Prices!AA:AA,VST_Assets!$AO$4)+FuelAdder*AA$4)</f>
        <v>5.98688205839679</v>
      </c>
      <c r="AB100" s="7" t="n">
        <f aca="false">IF(ISNUMBER(VST_Assets!$L$4),VST_Assets!$L$4*AB$4,INDEX(Prices!AB:AB,VST_Assets!$AO$4)+FuelAdder*AB$4)</f>
        <v>6.10661969956473</v>
      </c>
      <c r="AC100" s="7" t="n">
        <f aca="false">IF(ISNUMBER(VST_Assets!$L$4),VST_Assets!$L$4*AC$4,INDEX(Prices!AC:AC,VST_Assets!$AO$4)+FuelAdder*AC$4)</f>
        <v>6.22875209355602</v>
      </c>
      <c r="AD100" s="7" t="n">
        <f aca="false">IF(ISNUMBER(VST_Assets!$L$4),VST_Assets!$L$4*AD$4,INDEX(Prices!AD:AD,VST_Assets!$AO$4)+FuelAdder*AD$4)</f>
        <v>6.35332713542714</v>
      </c>
      <c r="AE100" s="7" t="n">
        <f aca="false">IF(ISNUMBER(VST_Assets!$L$4),VST_Assets!$L$4*AE$4,INDEX(Prices!AE:AE,VST_Assets!$AO$4)+FuelAdder*AE$4)</f>
        <v>6.48039367813569</v>
      </c>
      <c r="AF100" s="7" t="n">
        <f aca="false">IF(ISNUMBER(VST_Assets!$L$4),VST_Assets!$L$4*AF$4,INDEX(Prices!AF:AF,VST_Assets!$AO$4)+FuelAdder*AF$4)</f>
        <v>6.6100015516984</v>
      </c>
      <c r="AG100" s="7" t="n">
        <f aca="false">IF(ISNUMBER(VST_Assets!$L$4),VST_Assets!$L$4*AG$4,INDEX(Prices!AG:AG,VST_Assets!$AO$4)+FuelAdder*AG$4)</f>
        <v>6.74220158273237</v>
      </c>
      <c r="AH100" s="7" t="n">
        <f aca="false">IF(ISNUMBER(VST_Assets!$L$4),VST_Assets!$L$4*AH$4,INDEX(Prices!AH:AH,VST_Assets!$AO$4)+FuelAdder*AH$4)</f>
        <v>6.87704561438702</v>
      </c>
      <c r="AI100" s="7" t="n">
        <f aca="false">IF(ISNUMBER(VST_Assets!$L$4),VST_Assets!$L$4*AI$4,INDEX(Prices!AI:AI,VST_Assets!$AO$4)+FuelAdder*AI$4)</f>
        <v>7.01458652667476</v>
      </c>
      <c r="AJ100" s="7" t="n">
        <f aca="false">IF(ISNUMBER(VST_Assets!$L$4),VST_Assets!$L$4*AJ$4,INDEX(Prices!AJ:AJ,VST_Assets!$AO$4)+FuelAdder*AJ$4)</f>
        <v>7.15487825720825</v>
      </c>
      <c r="AK100" s="7" t="n">
        <f aca="false">IF(ISNUMBER(VST_Assets!$L$4),VST_Assets!$L$4*AK$4,INDEX(Prices!AK:AK,VST_Assets!$AO$4)+FuelAdder*AK$4)</f>
        <v>7.29797582235242</v>
      </c>
      <c r="AL100" s="7" t="n">
        <f aca="false">IF(ISNUMBER(VST_Assets!$L$4),VST_Assets!$L$4*AL$4,INDEX(Prices!AL:AL,VST_Assets!$AO$4)+FuelAdder*AL$4)</f>
        <v>7.44393533879947</v>
      </c>
      <c r="AM100" s="7" t="n">
        <f aca="false">IF(ISNUMBER(VST_Assets!$L$4),VST_Assets!$L$4*AM$4,INDEX(Prices!AM:AM,VST_Assets!$AO$4)+FuelAdder*AM$4)</f>
        <v>7.59281404557545</v>
      </c>
      <c r="AN100" s="7" t="n">
        <f aca="false">IF(ISNUMBER(VST_Assets!$L$4),VST_Assets!$L$4*AN$4,INDEX(Prices!AN:AN,VST_Assets!$AO$4)+FuelAdder*AN$4)</f>
        <v>7.74467032648696</v>
      </c>
      <c r="AO100" s="7" t="n">
        <f aca="false">IF(ISNUMBER(VST_Assets!$L$4),VST_Assets!$L$4*AO$4,INDEX(Prices!AO:AO,VST_Assets!$AO$4)+FuelAdder*AO$4)</f>
        <v>7.8995637330167</v>
      </c>
      <c r="AP100" s="7" t="n">
        <f aca="false">IF(ISNUMBER(VST_Assets!$L$4),VST_Assets!$L$4*AP$4,INDEX(Prices!AP:AP,VST_Assets!$AO$4)+FuelAdder*AP$4)</f>
        <v>8.05755500767704</v>
      </c>
      <c r="AQ100" s="7" t="n">
        <f aca="false">IF(ISNUMBER(VST_Assets!$L$4),VST_Assets!$L$4*AQ$4,INDEX(Prices!AQ:AQ,VST_Assets!$AO$4)+FuelAdder*AQ$4)</f>
        <v>8.21870610783058</v>
      </c>
      <c r="AR100" s="7" t="n">
        <f aca="false">IF(ISNUMBER(VST_Assets!$L$4),VST_Assets!$L$4*AR$4,INDEX(Prices!AR:AR,VST_Assets!$AO$4)+FuelAdder*AR$4)</f>
        <v>8.38308022998719</v>
      </c>
      <c r="AS100" s="7" t="n">
        <f aca="false">IF(ISNUMBER(VST_Assets!$L$4),VST_Assets!$L$4*AS$4,INDEX(Prices!AS:AS,VST_Assets!$AO$4)+FuelAdder*AS$4)</f>
        <v>8.55074183458693</v>
      </c>
    </row>
    <row r="101" customFormat="false" ht="15" hidden="false" customHeight="false" outlineLevel="0" collapsed="false">
      <c r="A101" s="6" t="s">
        <v>435</v>
      </c>
      <c r="B101" s="6" t="s">
        <v>436</v>
      </c>
      <c r="G101" s="7" t="n">
        <f aca="false">INDEX(Prices!G:G,VST_Assets!$AN$4)*VST_Assets!$J$4-VST_Assets!$K$4*G100-VST_Assets!$M$4*G$4</f>
        <v>71.28</v>
      </c>
      <c r="H101" s="7" t="n">
        <f aca="false">INDEX(Prices!H:H,VST_Assets!$AN$4)*VST_Assets!$J$4-VST_Assets!$K$4*H100-VST_Assets!$M$4*H$4</f>
        <v>72.27</v>
      </c>
      <c r="I101" s="7" t="n">
        <f aca="false">INDEX(Prices!I:I,VST_Assets!$AN$4)*VST_Assets!$J$4-VST_Assets!$K$4*I100-VST_Assets!$M$4*I$4</f>
        <v>66.286069641</v>
      </c>
      <c r="J101" s="7" t="n">
        <f aca="false">INDEX(Prices!J:J,VST_Assets!$AN$4)*VST_Assets!$J$4-VST_Assets!$K$4*J100-VST_Assets!$M$4*J$4</f>
        <v>64.53758206764</v>
      </c>
      <c r="K101" s="7" t="n">
        <f aca="false">INDEX(Prices!K:K,VST_Assets!$AN$4)*VST_Assets!$J$4-VST_Assets!$K$4*K100-VST_Assets!$M$4*K$4</f>
        <v>65.8283337089928</v>
      </c>
      <c r="L101" s="7" t="n">
        <f aca="false">INDEX(Prices!L:L,VST_Assets!$AN$4)*VST_Assets!$J$4-VST_Assets!$K$4*L100-VST_Assets!$M$4*L$4</f>
        <v>67.1449003831727</v>
      </c>
      <c r="M101" s="7" t="n">
        <f aca="false">INDEX(Prices!M:M,VST_Assets!$AN$4)*VST_Assets!$J$4-VST_Assets!$K$4*M100-VST_Assets!$M$4*M$4</f>
        <v>68.4877983908361</v>
      </c>
      <c r="N101" s="7" t="n">
        <f aca="false">INDEX(Prices!N:N,VST_Assets!$AN$4)*VST_Assets!$J$4-VST_Assets!$K$4*N100-VST_Assets!$M$4*N$4</f>
        <v>69.8575543586528</v>
      </c>
      <c r="O101" s="7" t="n">
        <f aca="false">INDEX(Prices!O:O,VST_Assets!$AN$4)*VST_Assets!$J$4-VST_Assets!$K$4*O100-VST_Assets!$M$4*O$4</f>
        <v>71.2547054458259</v>
      </c>
      <c r="P101" s="7" t="n">
        <f aca="false">INDEX(Prices!P:P,VST_Assets!$AN$4)*VST_Assets!$J$4-VST_Assets!$K$4*P100-VST_Assets!$M$4*P$4</f>
        <v>72.6797995547424</v>
      </c>
      <c r="Q101" s="7" t="n">
        <f aca="false">INDEX(Prices!Q:Q,VST_Assets!$AN$4)*VST_Assets!$J$4-VST_Assets!$K$4*Q100-VST_Assets!$M$4*Q$4</f>
        <v>74.1333955458373</v>
      </c>
      <c r="R101" s="7" t="n">
        <f aca="false">INDEX(Prices!R:R,VST_Assets!$AN$4)*VST_Assets!$J$4-VST_Assets!$K$4*R100-VST_Assets!$M$4*R$4</f>
        <v>75.616063456754</v>
      </c>
      <c r="S101" s="7" t="n">
        <f aca="false">INDEX(Prices!S:S,VST_Assets!$AN$4)*VST_Assets!$J$4-VST_Assets!$K$4*S100-VST_Assets!$M$4*S$4</f>
        <v>77.1283847258891</v>
      </c>
      <c r="T101" s="7" t="n">
        <f aca="false">INDEX(Prices!T:T,VST_Assets!$AN$4)*VST_Assets!$J$4-VST_Assets!$K$4*T100-VST_Assets!$M$4*T$4</f>
        <v>78.6709524204069</v>
      </c>
      <c r="U101" s="7" t="n">
        <f aca="false">INDEX(Prices!U:U,VST_Assets!$AN$4)*VST_Assets!$J$4-VST_Assets!$K$4*U100-VST_Assets!$M$4*U$4</f>
        <v>80.244371468815</v>
      </c>
      <c r="V101" s="7" t="n">
        <f aca="false">INDEX(Prices!V:V,VST_Assets!$AN$4)*VST_Assets!$J$4-VST_Assets!$K$4*V100-VST_Assets!$M$4*V$4</f>
        <v>81.8492588981913</v>
      </c>
      <c r="W101" s="7" t="n">
        <f aca="false">INDEX(Prices!W:W,VST_Assets!$AN$4)*VST_Assets!$J$4-VST_Assets!$K$4*W100-VST_Assets!$M$4*W$4</f>
        <v>83.4862440761552</v>
      </c>
      <c r="X101" s="7" t="n">
        <f aca="false">INDEX(Prices!X:X,VST_Assets!$AN$4)*VST_Assets!$J$4-VST_Assets!$K$4*X100-VST_Assets!$M$4*X$4</f>
        <v>85.1559689576783</v>
      </c>
      <c r="Y101" s="7" t="n">
        <f aca="false">INDEX(Prices!Y:Y,VST_Assets!$AN$4)*VST_Assets!$J$4-VST_Assets!$K$4*Y100-VST_Assets!$M$4*Y$4</f>
        <v>86.8590883368318</v>
      </c>
      <c r="Z101" s="7" t="n">
        <f aca="false">INDEX(Prices!Z:Z,VST_Assets!$AN$4)*VST_Assets!$J$4-VST_Assets!$K$4*Z100-VST_Assets!$M$4*Z$4</f>
        <v>88.5962701035685</v>
      </c>
      <c r="AA101" s="7" t="n">
        <f aca="false">INDEX(Prices!AA:AA,VST_Assets!$AN$4)*VST_Assets!$J$4-VST_Assets!$K$4*AA100-VST_Assets!$M$4*AA$4</f>
        <v>90.3681955056398</v>
      </c>
      <c r="AB101" s="7" t="n">
        <f aca="false">INDEX(Prices!AB:AB,VST_Assets!$AN$4)*VST_Assets!$J$4-VST_Assets!$K$4*AB100-VST_Assets!$M$4*AB$4</f>
        <v>92.1755594157526</v>
      </c>
      <c r="AC101" s="7" t="n">
        <f aca="false">INDEX(Prices!AC:AC,VST_Assets!$AN$4)*VST_Assets!$J$4-VST_Assets!$K$4*AC100-VST_Assets!$M$4*AC$4</f>
        <v>94.0190706040677</v>
      </c>
      <c r="AD101" s="7" t="n">
        <f aca="false">INDEX(Prices!AD:AD,VST_Assets!$AN$4)*VST_Assets!$J$4-VST_Assets!$K$4*AD100-VST_Assets!$M$4*AD$4</f>
        <v>95.899452016149</v>
      </c>
      <c r="AE101" s="7" t="n">
        <f aca="false">INDEX(Prices!AE:AE,VST_Assets!$AN$4)*VST_Assets!$J$4-VST_Assets!$K$4*AE100-VST_Assets!$M$4*AE$4</f>
        <v>97.817441056472</v>
      </c>
      <c r="AF101" s="7" t="n">
        <f aca="false">INDEX(Prices!AF:AF,VST_Assets!$AN$4)*VST_Assets!$J$4-VST_Assets!$K$4*AF100-VST_Assets!$M$4*AF$4</f>
        <v>99.7737898776015</v>
      </c>
      <c r="AG101" s="7" t="n">
        <f aca="false">INDEX(Prices!AG:AG,VST_Assets!$AN$4)*VST_Assets!$J$4-VST_Assets!$K$4*AG100-VST_Assets!$M$4*AG$4</f>
        <v>101.769265675153</v>
      </c>
      <c r="AH101" s="7" t="n">
        <f aca="false">INDEX(Prices!AH:AH,VST_Assets!$AN$4)*VST_Assets!$J$4-VST_Assets!$K$4*AH100-VST_Assets!$M$4*AH$4</f>
        <v>103.804650988657</v>
      </c>
      <c r="AI101" s="7" t="n">
        <f aca="false">INDEX(Prices!AI:AI,VST_Assets!$AN$4)*VST_Assets!$J$4-VST_Assets!$K$4*AI100-VST_Assets!$M$4*AI$4</f>
        <v>105.88074400843</v>
      </c>
      <c r="AJ101" s="7" t="n">
        <f aca="false">INDEX(Prices!AJ:AJ,VST_Assets!$AN$4)*VST_Assets!$J$4-VST_Assets!$K$4*AJ100-VST_Assets!$M$4*AJ$4</f>
        <v>107.998358888598</v>
      </c>
      <c r="AK101" s="7" t="n">
        <f aca="false">INDEX(Prices!AK:AK,VST_Assets!$AN$4)*VST_Assets!$J$4-VST_Assets!$K$4*AK100-VST_Assets!$M$4*AK$4</f>
        <v>110.15832606637</v>
      </c>
      <c r="AL101" s="7" t="n">
        <f aca="false">INDEX(Prices!AL:AL,VST_Assets!$AN$4)*VST_Assets!$J$4-VST_Assets!$K$4*AL100-VST_Assets!$M$4*AL$4</f>
        <v>112.361492587698</v>
      </c>
      <c r="AM101" s="7" t="n">
        <f aca="false">INDEX(Prices!AM:AM,VST_Assets!$AN$4)*VST_Assets!$J$4-VST_Assets!$K$4*AM100-VST_Assets!$M$4*AM$4</f>
        <v>114.608722439452</v>
      </c>
      <c r="AN101" s="7" t="n">
        <f aca="false">INDEX(Prices!AN:AN,VST_Assets!$AN$4)*VST_Assets!$J$4-VST_Assets!$K$4*AN100-VST_Assets!$M$4*AN$4</f>
        <v>116.900896888241</v>
      </c>
      <c r="AO101" s="7" t="n">
        <f aca="false">INDEX(Prices!AO:AO,VST_Assets!$AN$4)*VST_Assets!$J$4-VST_Assets!$K$4*AO100-VST_Assets!$M$4*AO$4</f>
        <v>119.238914826005</v>
      </c>
      <c r="AP101" s="7" t="n">
        <f aca="false">INDEX(Prices!AP:AP,VST_Assets!$AN$4)*VST_Assets!$J$4-VST_Assets!$K$4*AP100-VST_Assets!$M$4*AP$4</f>
        <v>121.623693122526</v>
      </c>
      <c r="AQ101" s="7" t="n">
        <f aca="false">INDEX(Prices!AQ:AQ,VST_Assets!$AN$4)*VST_Assets!$J$4-VST_Assets!$K$4*AQ100-VST_Assets!$M$4*AQ$4</f>
        <v>124.056166984976</v>
      </c>
      <c r="AR101" s="7" t="n">
        <f aca="false">INDEX(Prices!AR:AR,VST_Assets!$AN$4)*VST_Assets!$J$4-VST_Assets!$K$4*AR100-VST_Assets!$M$4*AR$4</f>
        <v>126.537290324676</v>
      </c>
      <c r="AS101" s="7" t="n">
        <f aca="false">INDEX(Prices!AS:AS,VST_Assets!$AN$4)*VST_Assets!$J$4-VST_Assets!$K$4*AS100-VST_Assets!$M$4*AS$4</f>
        <v>129.068036131169</v>
      </c>
    </row>
    <row r="102" customFormat="false" ht="15" hidden="false" customHeight="false" outlineLevel="0" collapsed="false">
      <c r="A102" s="6" t="s">
        <v>437</v>
      </c>
      <c r="B102" s="6" t="s">
        <v>438</v>
      </c>
      <c r="G102" s="47" t="n">
        <f aca="false">IF(VST_Assets!$X$4=1,IF(G101&gt;0,1,0),1)</f>
        <v>1</v>
      </c>
      <c r="H102" s="47" t="n">
        <f aca="false">IF(VST_Assets!$X$4=1,IF(H101&gt;0,1,0),1)</f>
        <v>1</v>
      </c>
      <c r="I102" s="47" t="n">
        <f aca="false">IF(VST_Assets!$X$4=1,IF(I101&gt;0,1,0),1)</f>
        <v>1</v>
      </c>
      <c r="J102" s="47" t="n">
        <f aca="false">IF(VST_Assets!$X$4=1,IF(J101&gt;0,1,0),1)</f>
        <v>1</v>
      </c>
      <c r="K102" s="47" t="n">
        <f aca="false">IF(VST_Assets!$X$4=1,IF(K101&gt;0,1,0),1)</f>
        <v>1</v>
      </c>
      <c r="L102" s="47" t="n">
        <f aca="false">IF(VST_Assets!$X$4=1,IF(L101&gt;0,1,0),1)</f>
        <v>1</v>
      </c>
      <c r="M102" s="47" t="n">
        <f aca="false">IF(VST_Assets!$X$4=1,IF(M101&gt;0,1,0),1)</f>
        <v>1</v>
      </c>
      <c r="N102" s="47" t="n">
        <f aca="false">IF(VST_Assets!$X$4=1,IF(N101&gt;0,1,0),1)</f>
        <v>1</v>
      </c>
      <c r="O102" s="47" t="n">
        <f aca="false">IF(VST_Assets!$X$4=1,IF(O101&gt;0,1,0),1)</f>
        <v>1</v>
      </c>
      <c r="P102" s="47" t="n">
        <f aca="false">IF(VST_Assets!$X$4=1,IF(P101&gt;0,1,0),1)</f>
        <v>1</v>
      </c>
      <c r="Q102" s="47" t="n">
        <f aca="false">IF(VST_Assets!$X$4=1,IF(Q101&gt;0,1,0),1)</f>
        <v>1</v>
      </c>
      <c r="R102" s="47" t="n">
        <f aca="false">IF(VST_Assets!$X$4=1,IF(R101&gt;0,1,0),1)</f>
        <v>1</v>
      </c>
      <c r="S102" s="47" t="n">
        <f aca="false">IF(VST_Assets!$X$4=1,IF(S101&gt;0,1,0),1)</f>
        <v>1</v>
      </c>
      <c r="T102" s="47" t="n">
        <f aca="false">IF(VST_Assets!$X$4=1,IF(T101&gt;0,1,0),1)</f>
        <v>1</v>
      </c>
      <c r="U102" s="47" t="n">
        <f aca="false">IF(VST_Assets!$X$4=1,IF(U101&gt;0,1,0),1)</f>
        <v>1</v>
      </c>
      <c r="V102" s="47" t="n">
        <f aca="false">IF(VST_Assets!$X$4=1,IF(V101&gt;0,1,0),1)</f>
        <v>1</v>
      </c>
      <c r="W102" s="47" t="n">
        <f aca="false">IF(VST_Assets!$X$4=1,IF(W101&gt;0,1,0),1)</f>
        <v>1</v>
      </c>
      <c r="X102" s="47" t="n">
        <f aca="false">IF(VST_Assets!$X$4=1,IF(X101&gt;0,1,0),1)</f>
        <v>1</v>
      </c>
      <c r="Y102" s="47" t="n">
        <f aca="false">IF(VST_Assets!$X$4=1,IF(Y101&gt;0,1,0),1)</f>
        <v>1</v>
      </c>
      <c r="Z102" s="47" t="n">
        <f aca="false">IF(VST_Assets!$X$4=1,IF(Z101&gt;0,1,0),1)</f>
        <v>1</v>
      </c>
      <c r="AA102" s="47" t="n">
        <f aca="false">IF(VST_Assets!$X$4=1,IF(AA101&gt;0,1,0),1)</f>
        <v>1</v>
      </c>
      <c r="AB102" s="47" t="n">
        <f aca="false">IF(VST_Assets!$X$4=1,IF(AB101&gt;0,1,0),1)</f>
        <v>1</v>
      </c>
      <c r="AC102" s="47" t="n">
        <f aca="false">IF(VST_Assets!$X$4=1,IF(AC101&gt;0,1,0),1)</f>
        <v>1</v>
      </c>
      <c r="AD102" s="47" t="n">
        <f aca="false">IF(VST_Assets!$X$4=1,IF(AD101&gt;0,1,0),1)</f>
        <v>1</v>
      </c>
      <c r="AE102" s="47" t="n">
        <f aca="false">IF(VST_Assets!$X$4=1,IF(AE101&gt;0,1,0),1)</f>
        <v>1</v>
      </c>
      <c r="AF102" s="47" t="n">
        <f aca="false">IF(VST_Assets!$X$4=1,IF(AF101&gt;0,1,0),1)</f>
        <v>1</v>
      </c>
      <c r="AG102" s="47" t="n">
        <f aca="false">IF(VST_Assets!$X$4=1,IF(AG101&gt;0,1,0),1)</f>
        <v>1</v>
      </c>
      <c r="AH102" s="47" t="n">
        <f aca="false">IF(VST_Assets!$X$4=1,IF(AH101&gt;0,1,0),1)</f>
        <v>1</v>
      </c>
      <c r="AI102" s="47" t="n">
        <f aca="false">IF(VST_Assets!$X$4=1,IF(AI101&gt;0,1,0),1)</f>
        <v>1</v>
      </c>
      <c r="AJ102" s="47" t="n">
        <f aca="false">IF(VST_Assets!$X$4=1,IF(AJ101&gt;0,1,0),1)</f>
        <v>1</v>
      </c>
      <c r="AK102" s="47" t="n">
        <f aca="false">IF(VST_Assets!$X$4=1,IF(AK101&gt;0,1,0),1)</f>
        <v>1</v>
      </c>
      <c r="AL102" s="47" t="n">
        <f aca="false">IF(VST_Assets!$X$4=1,IF(AL101&gt;0,1,0),1)</f>
        <v>1</v>
      </c>
      <c r="AM102" s="47" t="n">
        <f aca="false">IF(VST_Assets!$X$4=1,IF(AM101&gt;0,1,0),1)</f>
        <v>1</v>
      </c>
      <c r="AN102" s="47" t="n">
        <f aca="false">IF(VST_Assets!$X$4=1,IF(AN101&gt;0,1,0),1)</f>
        <v>1</v>
      </c>
      <c r="AO102" s="47" t="n">
        <f aca="false">IF(VST_Assets!$X$4=1,IF(AO101&gt;0,1,0),1)</f>
        <v>1</v>
      </c>
      <c r="AP102" s="47" t="n">
        <f aca="false">IF(VST_Assets!$X$4=1,IF(AP101&gt;0,1,0),1)</f>
        <v>1</v>
      </c>
      <c r="AQ102" s="47" t="n">
        <f aca="false">IF(VST_Assets!$X$4=1,IF(AQ101&gt;0,1,0),1)</f>
        <v>1</v>
      </c>
      <c r="AR102" s="47" t="n">
        <f aca="false">IF(VST_Assets!$X$4=1,IF(AR101&gt;0,1,0),1)</f>
        <v>1</v>
      </c>
      <c r="AS102" s="47" t="n">
        <f aca="false">IF(VST_Assets!$X$4=1,IF(AS101&gt;0,1,0),1)</f>
        <v>1</v>
      </c>
    </row>
    <row r="103" customFormat="false" ht="15" hidden="false" customHeight="false" outlineLevel="0" collapsed="false">
      <c r="A103" s="6" t="s">
        <v>439</v>
      </c>
      <c r="B103" s="6" t="s">
        <v>440</v>
      </c>
      <c r="C103" s="9" t="n">
        <f aca="false">SUM(G103:AS103)</f>
        <v>36536.1520558107</v>
      </c>
      <c r="G103" s="8" t="n">
        <f aca="false">G98*INDEX(Prices!G:G,VST_Assets!$AN$4)*VST_Assets!$J$4*G102/1000000*(1+VST_RevAdj)</f>
        <v>1092.922212096</v>
      </c>
      <c r="H103" s="8" t="n">
        <f aca="false">H98*INDEX(Prices!H:H,VST_Assets!$AN$4)*VST_Assets!$J$4*H102/1000000*(1+VST_RevAdj)</f>
        <v>1108.101687264</v>
      </c>
      <c r="I103" s="8" t="n">
        <f aca="false">I98*INDEX(Prices!I:I,VST_Assets!$AN$4)*VST_Assets!$J$4*I102/1000000*(1+VST_RevAdj)</f>
        <v>1016.35126070695</v>
      </c>
      <c r="J103" s="8" t="n">
        <f aca="false">J98*INDEX(Prices!J:J,VST_Assets!$AN$4)*VST_Assets!$J$4*J102/1000000*(1+VST_RevAdj)</f>
        <v>989.542044846973</v>
      </c>
      <c r="K103" s="8" t="n">
        <f aca="false">K98*INDEX(Prices!K:K,VST_Assets!$AN$4)*VST_Assets!$J$4*K102/1000000*(1+VST_RevAdj)</f>
        <v>1009.33288574391</v>
      </c>
      <c r="L103" s="8" t="n">
        <f aca="false">L98*INDEX(Prices!L:L,VST_Assets!$AN$4)*VST_Assets!$J$4*L102/1000000*(1+VST_RevAdj)</f>
        <v>1029.51954345879</v>
      </c>
      <c r="M103" s="8" t="n">
        <f aca="false">M98*INDEX(Prices!M:M,VST_Assets!$AN$4)*VST_Assets!$J$4*M102/1000000*(1+VST_RevAdj)</f>
        <v>1050.10993432797</v>
      </c>
      <c r="N103" s="8" t="n">
        <f aca="false">N98*INDEX(Prices!N:N,VST_Assets!$AN$4)*VST_Assets!$J$4*N102/1000000*(1+VST_RevAdj)</f>
        <v>1071.11213301453</v>
      </c>
      <c r="O103" s="8" t="n">
        <f aca="false">O98*INDEX(Prices!O:O,VST_Assets!$AN$4)*VST_Assets!$J$4*O102/1000000*(1+VST_RevAdj)</f>
        <v>1092.53437567482</v>
      </c>
      <c r="P103" s="8" t="n">
        <f aca="false">P98*INDEX(Prices!P:P,VST_Assets!$AN$4)*VST_Assets!$J$4*P102/1000000*(1+VST_RevAdj)</f>
        <v>1114.38506318831</v>
      </c>
      <c r="Q103" s="8" t="n">
        <f aca="false">Q98*INDEX(Prices!Q:Q,VST_Assets!$AN$4)*VST_Assets!$J$4*Q102/1000000*(1+VST_RevAdj)</f>
        <v>1136.67276445208</v>
      </c>
      <c r="R103" s="8" t="n">
        <f aca="false">R98*INDEX(Prices!R:R,VST_Assets!$AN$4)*VST_Assets!$J$4*R102/1000000*(1+VST_RevAdj)</f>
        <v>1159.40621974112</v>
      </c>
      <c r="S103" s="8" t="n">
        <f aca="false">S98*INDEX(Prices!S:S,VST_Assets!$AN$4)*VST_Assets!$J$4*S102/1000000*(1+VST_RevAdj)</f>
        <v>1182.59434413594</v>
      </c>
      <c r="T103" s="8" t="n">
        <f aca="false">T98*INDEX(Prices!T:T,VST_Assets!$AN$4)*VST_Assets!$J$4*T102/1000000*(1+VST_RevAdj)</f>
        <v>1206.24623101866</v>
      </c>
      <c r="U103" s="8" t="n">
        <f aca="false">U98*INDEX(Prices!U:U,VST_Assets!$AN$4)*VST_Assets!$J$4*U102/1000000*(1+VST_RevAdj)</f>
        <v>1230.37115563904</v>
      </c>
      <c r="V103" s="8" t="n">
        <f aca="false">V98*INDEX(Prices!V:V,VST_Assets!$AN$4)*VST_Assets!$J$4*V102/1000000*(1+VST_RevAdj)</f>
        <v>1254.97857875182</v>
      </c>
      <c r="W103" s="8" t="n">
        <f aca="false">W98*INDEX(Prices!W:W,VST_Assets!$AN$4)*VST_Assets!$J$4*W102/1000000*(1+VST_RevAdj)</f>
        <v>1280.07815032685</v>
      </c>
      <c r="X103" s="8" t="n">
        <f aca="false">X98*INDEX(Prices!X:X,VST_Assets!$AN$4)*VST_Assets!$J$4*X102/1000000*(1+VST_RevAdj)</f>
        <v>1305.67971333339</v>
      </c>
      <c r="Y103" s="8" t="n">
        <f aca="false">Y98*INDEX(Prices!Y:Y,VST_Assets!$AN$4)*VST_Assets!$J$4*Y102/1000000*(1+VST_RevAdj)</f>
        <v>1331.79330760006</v>
      </c>
      <c r="Z103" s="8" t="n">
        <f aca="false">Z98*INDEX(Prices!Z:Z,VST_Assets!$AN$4)*VST_Assets!$J$4*Z102/1000000*(1+VST_RevAdj)</f>
        <v>1358.42917375206</v>
      </c>
      <c r="AA103" s="8" t="n">
        <f aca="false">AA98*INDEX(Prices!AA:AA,VST_Assets!$AN$4)*VST_Assets!$J$4*AA102/1000000*(1+VST_RevAdj)</f>
        <v>1385.5977572271</v>
      </c>
      <c r="AB103" s="8" t="n">
        <f aca="false">AB98*INDEX(Prices!AB:AB,VST_Assets!$AN$4)*VST_Assets!$J$4*AB102/1000000*(1+VST_RevAdj)</f>
        <v>1413.30971237164</v>
      </c>
      <c r="AC103" s="8" t="n">
        <f aca="false">AC98*INDEX(Prices!AC:AC,VST_Assets!$AN$4)*VST_Assets!$J$4*AC102/1000000*(1+VST_RevAdj)</f>
        <v>1441.57590661908</v>
      </c>
      <c r="AD103" s="8" t="n">
        <f aca="false">AD98*INDEX(Prices!AD:AD,VST_Assets!$AN$4)*VST_Assets!$J$4*AD102/1000000*(1+VST_RevAdj)</f>
        <v>1470.40742475146</v>
      </c>
      <c r="AE103" s="8" t="n">
        <f aca="false">AE98*INDEX(Prices!AE:AE,VST_Assets!$AN$4)*VST_Assets!$J$4*AE102/1000000*(1+VST_RevAdj)</f>
        <v>1499.81557324649</v>
      </c>
      <c r="AF103" s="8" t="n">
        <f aca="false">AF98*INDEX(Prices!AF:AF,VST_Assets!$AN$4)*VST_Assets!$J$4*AF102/1000000*(1+VST_RevAdj)</f>
        <v>1529.81188471142</v>
      </c>
      <c r="AG103" s="8" t="n">
        <f aca="false">AG98*INDEX(Prices!AG:AG,VST_Assets!$AN$4)*VST_Assets!$J$4*AG102/1000000*(1+VST_RevAdj)</f>
        <v>1560.40812240564</v>
      </c>
      <c r="AH103" s="8" t="n">
        <f aca="false">AH98*INDEX(Prices!AH:AH,VST_Assets!$AN$4)*VST_Assets!$J$4*AH102/1000000*(1+VST_RevAdj)</f>
        <v>1591.61628485376</v>
      </c>
      <c r="AI103" s="8" t="n">
        <f aca="false">AI98*INDEX(Prices!AI:AI,VST_Assets!$AN$4)*VST_Assets!$J$4*AI102/1000000*(1+VST_RevAdj)</f>
        <v>1623.44861055083</v>
      </c>
      <c r="AJ103" s="8" t="n">
        <f aca="false">AJ98*INDEX(Prices!AJ:AJ,VST_Assets!$AN$4)*VST_Assets!$J$4*AJ102/1000000*(1+VST_RevAdj)</f>
        <v>0</v>
      </c>
      <c r="AK103" s="8" t="n">
        <f aca="false">AK98*INDEX(Prices!AK:AK,VST_Assets!$AN$4)*VST_Assets!$J$4*AK102/1000000*(1+VST_RevAdj)</f>
        <v>0</v>
      </c>
      <c r="AL103" s="8" t="n">
        <f aca="false">AL98*INDEX(Prices!AL:AL,VST_Assets!$AN$4)*VST_Assets!$J$4*AL102/1000000*(1+VST_RevAdj)</f>
        <v>0</v>
      </c>
      <c r="AM103" s="8" t="n">
        <f aca="false">AM98*INDEX(Prices!AM:AM,VST_Assets!$AN$4)*VST_Assets!$J$4*AM102/1000000*(1+VST_RevAdj)</f>
        <v>0</v>
      </c>
      <c r="AN103" s="8" t="n">
        <f aca="false">AN98*INDEX(Prices!AN:AN,VST_Assets!$AN$4)*VST_Assets!$J$4*AN102/1000000*(1+VST_RevAdj)</f>
        <v>0</v>
      </c>
      <c r="AO103" s="8" t="n">
        <f aca="false">AO98*INDEX(Prices!AO:AO,VST_Assets!$AN$4)*VST_Assets!$J$4*AO102/1000000*(1+VST_RevAdj)</f>
        <v>0</v>
      </c>
      <c r="AP103" s="8" t="n">
        <f aca="false">AP98*INDEX(Prices!AP:AP,VST_Assets!$AN$4)*VST_Assets!$J$4*AP102/1000000*(1+VST_RevAdj)</f>
        <v>0</v>
      </c>
      <c r="AQ103" s="8" t="n">
        <f aca="false">AQ98*INDEX(Prices!AQ:AQ,VST_Assets!$AN$4)*VST_Assets!$J$4*AQ102/1000000*(1+VST_RevAdj)</f>
        <v>0</v>
      </c>
      <c r="AR103" s="8" t="n">
        <f aca="false">AR98*INDEX(Prices!AR:AR,VST_Assets!$AN$4)*VST_Assets!$J$4*AR102/1000000*(1+VST_RevAdj)</f>
        <v>0</v>
      </c>
      <c r="AS103" s="8" t="n">
        <f aca="false">AS98*INDEX(Prices!AS:AS,VST_Assets!$AN$4)*VST_Assets!$J$4*AS102/1000000*(1+VST_RevAdj)</f>
        <v>0</v>
      </c>
    </row>
    <row r="104" customFormat="false" ht="15" hidden="false" customHeight="false" outlineLevel="0" collapsed="false">
      <c r="A104" s="6" t="s">
        <v>441</v>
      </c>
      <c r="B104" s="6" t="s">
        <v>442</v>
      </c>
      <c r="C104" s="9" t="n">
        <f aca="false">SUM(G104:AS104)</f>
        <v>6050.19199272098</v>
      </c>
      <c r="G104" s="8" t="n">
        <f aca="false">(VST_Assets!$D$4-G97)*INDEX(Prices!G:G,VST_Assets!$AP$4)*365*VST_Assets!$T$4*G96/1000000*(1+VST_RevAdj)</f>
        <v>215.28581256</v>
      </c>
      <c r="H104" s="8" t="n">
        <f aca="false">(VST_Assets!$D$4-H97)*INDEX(Prices!H:H,VST_Assets!$AP$4)*365*VST_Assets!$T$4*H96/1000000*(1+VST_RevAdj)</f>
        <v>213.24758832</v>
      </c>
      <c r="I104" s="8" t="n">
        <f aca="false">(VST_Assets!$D$4-I97)*INDEX(Prices!I:I,VST_Assets!$AP$4)*365*VST_Assets!$T$4*I96/1000000*(1+VST_RevAdj)</f>
        <v>180.32144319384</v>
      </c>
      <c r="J104" s="8" t="n">
        <f aca="false">(VST_Assets!$D$4-J97)*INDEX(Prices!J:J,VST_Assets!$AP$4)*365*VST_Assets!$T$4*J96/1000000*(1+VST_RevAdj)</f>
        <v>161.603527813229</v>
      </c>
      <c r="K104" s="8" t="n">
        <f aca="false">(VST_Assets!$D$4-K97)*INDEX(Prices!K:K,VST_Assets!$AP$4)*365*VST_Assets!$T$4*K96/1000000*(1+VST_RevAdj)</f>
        <v>164.835598369493</v>
      </c>
      <c r="L104" s="8" t="n">
        <f aca="false">(VST_Assets!$D$4-L97)*INDEX(Prices!L:L,VST_Assets!$AP$4)*365*VST_Assets!$T$4*L96/1000000*(1+VST_RevAdj)</f>
        <v>168.132310336883</v>
      </c>
      <c r="M104" s="8" t="n">
        <f aca="false">(VST_Assets!$D$4-M97)*INDEX(Prices!M:M,VST_Assets!$AP$4)*365*VST_Assets!$T$4*M96/1000000*(1+VST_RevAdj)</f>
        <v>171.494956543621</v>
      </c>
      <c r="N104" s="8" t="n">
        <f aca="false">(VST_Assets!$D$4-N97)*INDEX(Prices!N:N,VST_Assets!$AP$4)*365*VST_Assets!$T$4*N96/1000000*(1+VST_RevAdj)</f>
        <v>174.924855674493</v>
      </c>
      <c r="O104" s="8" t="n">
        <f aca="false">(VST_Assets!$D$4-O97)*INDEX(Prices!O:O,VST_Assets!$AP$4)*365*VST_Assets!$T$4*O96/1000000*(1+VST_RevAdj)</f>
        <v>178.423352787983</v>
      </c>
      <c r="P104" s="8" t="n">
        <f aca="false">(VST_Assets!$D$4-P97)*INDEX(Prices!P:P,VST_Assets!$AP$4)*365*VST_Assets!$T$4*P96/1000000*(1+VST_RevAdj)</f>
        <v>181.991819843743</v>
      </c>
      <c r="Q104" s="8" t="n">
        <f aca="false">(VST_Assets!$D$4-Q97)*INDEX(Prices!Q:Q,VST_Assets!$AP$4)*365*VST_Assets!$T$4*Q96/1000000*(1+VST_RevAdj)</f>
        <v>185.631656240618</v>
      </c>
      <c r="R104" s="8" t="n">
        <f aca="false">(VST_Assets!$D$4-R97)*INDEX(Prices!R:R,VST_Assets!$AP$4)*365*VST_Assets!$T$4*R96/1000000*(1+VST_RevAdj)</f>
        <v>189.34428936543</v>
      </c>
      <c r="S104" s="8" t="n">
        <f aca="false">(VST_Assets!$D$4-S97)*INDEX(Prices!S:S,VST_Assets!$AP$4)*365*VST_Assets!$T$4*S96/1000000*(1+VST_RevAdj)</f>
        <v>193.131175152739</v>
      </c>
      <c r="T104" s="8" t="n">
        <f aca="false">(VST_Assets!$D$4-T97)*INDEX(Prices!T:T,VST_Assets!$AP$4)*365*VST_Assets!$T$4*T96/1000000*(1+VST_RevAdj)</f>
        <v>196.993798655793</v>
      </c>
      <c r="U104" s="8" t="n">
        <f aca="false">(VST_Assets!$D$4-U97)*INDEX(Prices!U:U,VST_Assets!$AP$4)*365*VST_Assets!$T$4*U96/1000000*(1+VST_RevAdj)</f>
        <v>200.933674628909</v>
      </c>
      <c r="V104" s="8" t="n">
        <f aca="false">(VST_Assets!$D$4-V97)*INDEX(Prices!V:V,VST_Assets!$AP$4)*365*VST_Assets!$T$4*V96/1000000*(1+VST_RevAdj)</f>
        <v>204.952348121488</v>
      </c>
      <c r="W104" s="8" t="n">
        <f aca="false">(VST_Assets!$D$4-W97)*INDEX(Prices!W:W,VST_Assets!$AP$4)*365*VST_Assets!$T$4*W96/1000000*(1+VST_RevAdj)</f>
        <v>209.051395083917</v>
      </c>
      <c r="X104" s="8" t="n">
        <f aca="false">(VST_Assets!$D$4-X97)*INDEX(Prices!X:X,VST_Assets!$AP$4)*365*VST_Assets!$T$4*X96/1000000*(1+VST_RevAdj)</f>
        <v>213.232422985596</v>
      </c>
      <c r="Y104" s="8" t="n">
        <f aca="false">(VST_Assets!$D$4-Y97)*INDEX(Prices!Y:Y,VST_Assets!$AP$4)*365*VST_Assets!$T$4*Y96/1000000*(1+VST_RevAdj)</f>
        <v>217.497071445308</v>
      </c>
      <c r="Z104" s="8" t="n">
        <f aca="false">(VST_Assets!$D$4-Z97)*INDEX(Prices!Z:Z,VST_Assets!$AP$4)*365*VST_Assets!$T$4*Z96/1000000*(1+VST_RevAdj)</f>
        <v>221.847012874214</v>
      </c>
      <c r="AA104" s="8" t="n">
        <f aca="false">(VST_Assets!$D$4-AA97)*INDEX(Prices!AA:AA,VST_Assets!$AP$4)*365*VST_Assets!$T$4*AA96/1000000*(1+VST_RevAdj)</f>
        <v>226.283953131698</v>
      </c>
      <c r="AB104" s="8" t="n">
        <f aca="false">(VST_Assets!$D$4-AB97)*INDEX(Prices!AB:AB,VST_Assets!$AP$4)*365*VST_Assets!$T$4*AB96/1000000*(1+VST_RevAdj)</f>
        <v>230.809632194332</v>
      </c>
      <c r="AC104" s="8" t="n">
        <f aca="false">(VST_Assets!$D$4-AC97)*INDEX(Prices!AC:AC,VST_Assets!$AP$4)*365*VST_Assets!$T$4*AC96/1000000*(1+VST_RevAdj)</f>
        <v>235.425824838219</v>
      </c>
      <c r="AD104" s="8" t="n">
        <f aca="false">(VST_Assets!$D$4-AD97)*INDEX(Prices!AD:AD,VST_Assets!$AP$4)*365*VST_Assets!$T$4*AD96/1000000*(1+VST_RevAdj)</f>
        <v>240.134341334983</v>
      </c>
      <c r="AE104" s="8" t="n">
        <f aca="false">(VST_Assets!$D$4-AE97)*INDEX(Prices!AE:AE,VST_Assets!$AP$4)*365*VST_Assets!$T$4*AE96/1000000*(1+VST_RevAdj)</f>
        <v>244.937028161683</v>
      </c>
      <c r="AF104" s="8" t="n">
        <f aca="false">(VST_Assets!$D$4-AF97)*INDEX(Prices!AF:AF,VST_Assets!$AP$4)*365*VST_Assets!$T$4*AF96/1000000*(1+VST_RevAdj)</f>
        <v>249.835768724916</v>
      </c>
      <c r="AG104" s="8" t="n">
        <f aca="false">(VST_Assets!$D$4-AG97)*INDEX(Prices!AG:AG,VST_Assets!$AP$4)*365*VST_Assets!$T$4*AG96/1000000*(1+VST_RevAdj)</f>
        <v>254.832484099415</v>
      </c>
      <c r="AH104" s="8" t="n">
        <f aca="false">(VST_Assets!$D$4-AH97)*INDEX(Prices!AH:AH,VST_Assets!$AP$4)*365*VST_Assets!$T$4*AH96/1000000*(1+VST_RevAdj)</f>
        <v>259.929133781403</v>
      </c>
      <c r="AI104" s="8" t="n">
        <f aca="false">(VST_Assets!$D$4-AI97)*INDEX(Prices!AI:AI,VST_Assets!$AP$4)*365*VST_Assets!$T$4*AI96/1000000*(1+VST_RevAdj)</f>
        <v>265.127716457031</v>
      </c>
      <c r="AJ104" s="8" t="n">
        <f aca="false">(VST_Assets!$D$4-AJ97)*INDEX(Prices!AJ:AJ,VST_Assets!$AP$4)*365*VST_Assets!$T$4*AJ96/1000000*(1+VST_RevAdj)</f>
        <v>0</v>
      </c>
      <c r="AK104" s="8" t="n">
        <f aca="false">(VST_Assets!$D$4-AK97)*INDEX(Prices!AK:AK,VST_Assets!$AP$4)*365*VST_Assets!$T$4*AK96/1000000*(1+VST_RevAdj)</f>
        <v>0</v>
      </c>
      <c r="AL104" s="8" t="n">
        <f aca="false">(VST_Assets!$D$4-AL97)*INDEX(Prices!AL:AL,VST_Assets!$AP$4)*365*VST_Assets!$T$4*AL96/1000000*(1+VST_RevAdj)</f>
        <v>0</v>
      </c>
      <c r="AM104" s="8" t="n">
        <f aca="false">(VST_Assets!$D$4-AM97)*INDEX(Prices!AM:AM,VST_Assets!$AP$4)*365*VST_Assets!$T$4*AM96/1000000*(1+VST_RevAdj)</f>
        <v>0</v>
      </c>
      <c r="AN104" s="8" t="n">
        <f aca="false">(VST_Assets!$D$4-AN97)*INDEX(Prices!AN:AN,VST_Assets!$AP$4)*365*VST_Assets!$T$4*AN96/1000000*(1+VST_RevAdj)</f>
        <v>0</v>
      </c>
      <c r="AO104" s="8" t="n">
        <f aca="false">(VST_Assets!$D$4-AO97)*INDEX(Prices!AO:AO,VST_Assets!$AP$4)*365*VST_Assets!$T$4*AO96/1000000*(1+VST_RevAdj)</f>
        <v>0</v>
      </c>
      <c r="AP104" s="8" t="n">
        <f aca="false">(VST_Assets!$D$4-AP97)*INDEX(Prices!AP:AP,VST_Assets!$AP$4)*365*VST_Assets!$T$4*AP96/1000000*(1+VST_RevAdj)</f>
        <v>0</v>
      </c>
      <c r="AQ104" s="8" t="n">
        <f aca="false">(VST_Assets!$D$4-AQ97)*INDEX(Prices!AQ:AQ,VST_Assets!$AP$4)*365*VST_Assets!$T$4*AQ96/1000000*(1+VST_RevAdj)</f>
        <v>0</v>
      </c>
      <c r="AR104" s="8" t="n">
        <f aca="false">(VST_Assets!$D$4-AR97)*INDEX(Prices!AR:AR,VST_Assets!$AP$4)*365*VST_Assets!$T$4*AR96/1000000*(1+VST_RevAdj)</f>
        <v>0</v>
      </c>
      <c r="AS104" s="8" t="n">
        <f aca="false">(VST_Assets!$D$4-AS97)*INDEX(Prices!AS:AS,VST_Assets!$AP$4)*365*VST_Assets!$T$4*AS96/1000000*(1+VST_RevAdj)</f>
        <v>0</v>
      </c>
    </row>
    <row r="105" customFormat="false" ht="15" hidden="false" customHeight="false" outlineLevel="0" collapsed="false">
      <c r="A105" s="6" t="s">
        <v>443</v>
      </c>
      <c r="B105" s="6" t="s">
        <v>444</v>
      </c>
      <c r="C105" s="9" t="n">
        <f aca="false">SUM(G105:AS105)</f>
        <v>0</v>
      </c>
      <c r="G105" s="8" t="n">
        <f aca="false">G99*(VST_Assets!$AD$4+VST_PPAAdj)/1000000*(1+VST_RevAdj)</f>
        <v>0</v>
      </c>
      <c r="H105" s="8" t="n">
        <f aca="false">H99*(VST_Assets!$AD$4+VST_PPAAdj)/1000000*(1+VST_RevAdj)</f>
        <v>0</v>
      </c>
      <c r="I105" s="8" t="n">
        <f aca="false">I99*(VST_Assets!$AD$4+VST_PPAAdj)/1000000*(1+VST_RevAdj)</f>
        <v>0</v>
      </c>
      <c r="J105" s="8" t="n">
        <f aca="false">J99*(VST_Assets!$AD$4+VST_PPAAdj)/1000000*(1+VST_RevAdj)</f>
        <v>0</v>
      </c>
      <c r="K105" s="8" t="n">
        <f aca="false">K99*(VST_Assets!$AD$4+VST_PPAAdj)/1000000*(1+VST_RevAdj)</f>
        <v>0</v>
      </c>
      <c r="L105" s="8" t="n">
        <f aca="false">L99*(VST_Assets!$AD$4+VST_PPAAdj)/1000000*(1+VST_RevAdj)</f>
        <v>0</v>
      </c>
      <c r="M105" s="8" t="n">
        <f aca="false">M99*(VST_Assets!$AD$4+VST_PPAAdj)/1000000*(1+VST_RevAdj)</f>
        <v>0</v>
      </c>
      <c r="N105" s="8" t="n">
        <f aca="false">N99*(VST_Assets!$AD$4+VST_PPAAdj)/1000000*(1+VST_RevAdj)</f>
        <v>0</v>
      </c>
      <c r="O105" s="8" t="n">
        <f aca="false">O99*(VST_Assets!$AD$4+VST_PPAAdj)/1000000*(1+VST_RevAdj)</f>
        <v>0</v>
      </c>
      <c r="P105" s="8" t="n">
        <f aca="false">P99*(VST_Assets!$AD$4+VST_PPAAdj)/1000000*(1+VST_RevAdj)</f>
        <v>0</v>
      </c>
      <c r="Q105" s="8" t="n">
        <f aca="false">Q99*(VST_Assets!$AD$4+VST_PPAAdj)/1000000*(1+VST_RevAdj)</f>
        <v>0</v>
      </c>
      <c r="R105" s="8" t="n">
        <f aca="false">R99*(VST_Assets!$AD$4+VST_PPAAdj)/1000000*(1+VST_RevAdj)</f>
        <v>0</v>
      </c>
      <c r="S105" s="8" t="n">
        <f aca="false">S99*(VST_Assets!$AD$4+VST_PPAAdj)/1000000*(1+VST_RevAdj)</f>
        <v>0</v>
      </c>
      <c r="T105" s="8" t="n">
        <f aca="false">T99*(VST_Assets!$AD$4+VST_PPAAdj)/1000000*(1+VST_RevAdj)</f>
        <v>0</v>
      </c>
      <c r="U105" s="8" t="n">
        <f aca="false">U99*(VST_Assets!$AD$4+VST_PPAAdj)/1000000*(1+VST_RevAdj)</f>
        <v>0</v>
      </c>
      <c r="V105" s="8" t="n">
        <f aca="false">V99*(VST_Assets!$AD$4+VST_PPAAdj)/1000000*(1+VST_RevAdj)</f>
        <v>0</v>
      </c>
      <c r="W105" s="8" t="n">
        <f aca="false">W99*(VST_Assets!$AD$4+VST_PPAAdj)/1000000*(1+VST_RevAdj)</f>
        <v>0</v>
      </c>
      <c r="X105" s="8" t="n">
        <f aca="false">X99*(VST_Assets!$AD$4+VST_PPAAdj)/1000000*(1+VST_RevAdj)</f>
        <v>0</v>
      </c>
      <c r="Y105" s="8" t="n">
        <f aca="false">Y99*(VST_Assets!$AD$4+VST_PPAAdj)/1000000*(1+VST_RevAdj)</f>
        <v>0</v>
      </c>
      <c r="Z105" s="8" t="n">
        <f aca="false">Z99*(VST_Assets!$AD$4+VST_PPAAdj)/1000000*(1+VST_RevAdj)</f>
        <v>0</v>
      </c>
      <c r="AA105" s="8" t="n">
        <f aca="false">AA99*(VST_Assets!$AD$4+VST_PPAAdj)/1000000*(1+VST_RevAdj)</f>
        <v>0</v>
      </c>
      <c r="AB105" s="8" t="n">
        <f aca="false">AB99*(VST_Assets!$AD$4+VST_PPAAdj)/1000000*(1+VST_RevAdj)</f>
        <v>0</v>
      </c>
      <c r="AC105" s="8" t="n">
        <f aca="false">AC99*(VST_Assets!$AD$4+VST_PPAAdj)/1000000*(1+VST_RevAdj)</f>
        <v>0</v>
      </c>
      <c r="AD105" s="8" t="n">
        <f aca="false">AD99*(VST_Assets!$AD$4+VST_PPAAdj)/1000000*(1+VST_RevAdj)</f>
        <v>0</v>
      </c>
      <c r="AE105" s="8" t="n">
        <f aca="false">AE99*(VST_Assets!$AD$4+VST_PPAAdj)/1000000*(1+VST_RevAdj)</f>
        <v>0</v>
      </c>
      <c r="AF105" s="8" t="n">
        <f aca="false">AF99*(VST_Assets!$AD$4+VST_PPAAdj)/1000000*(1+VST_RevAdj)</f>
        <v>0</v>
      </c>
      <c r="AG105" s="8" t="n">
        <f aca="false">AG99*(VST_Assets!$AD$4+VST_PPAAdj)/1000000*(1+VST_RevAdj)</f>
        <v>0</v>
      </c>
      <c r="AH105" s="8" t="n">
        <f aca="false">AH99*(VST_Assets!$AD$4+VST_PPAAdj)/1000000*(1+VST_RevAdj)</f>
        <v>0</v>
      </c>
      <c r="AI105" s="8" t="n">
        <f aca="false">AI99*(VST_Assets!$AD$4+VST_PPAAdj)/1000000*(1+VST_RevAdj)</f>
        <v>0</v>
      </c>
      <c r="AJ105" s="8" t="n">
        <f aca="false">AJ99*(VST_Assets!$AD$4+VST_PPAAdj)/1000000*(1+VST_RevAdj)</f>
        <v>0</v>
      </c>
      <c r="AK105" s="8" t="n">
        <f aca="false">AK99*(VST_Assets!$AD$4+VST_PPAAdj)/1000000*(1+VST_RevAdj)</f>
        <v>0</v>
      </c>
      <c r="AL105" s="8" t="n">
        <f aca="false">AL99*(VST_Assets!$AD$4+VST_PPAAdj)/1000000*(1+VST_RevAdj)</f>
        <v>0</v>
      </c>
      <c r="AM105" s="8" t="n">
        <f aca="false">AM99*(VST_Assets!$AD$4+VST_PPAAdj)/1000000*(1+VST_RevAdj)</f>
        <v>0</v>
      </c>
      <c r="AN105" s="8" t="n">
        <f aca="false">AN99*(VST_Assets!$AD$4+VST_PPAAdj)/1000000*(1+VST_RevAdj)</f>
        <v>0</v>
      </c>
      <c r="AO105" s="8" t="n">
        <f aca="false">AO99*(VST_Assets!$AD$4+VST_PPAAdj)/1000000*(1+VST_RevAdj)</f>
        <v>0</v>
      </c>
      <c r="AP105" s="8" t="n">
        <f aca="false">AP99*(VST_Assets!$AD$4+VST_PPAAdj)/1000000*(1+VST_RevAdj)</f>
        <v>0</v>
      </c>
      <c r="AQ105" s="8" t="n">
        <f aca="false">AQ99*(VST_Assets!$AD$4+VST_PPAAdj)/1000000*(1+VST_RevAdj)</f>
        <v>0</v>
      </c>
      <c r="AR105" s="8" t="n">
        <f aca="false">AR99*(VST_Assets!$AD$4+VST_PPAAdj)/1000000*(1+VST_RevAdj)</f>
        <v>0</v>
      </c>
      <c r="AS105" s="8" t="n">
        <f aca="false">AS99*(VST_Assets!$AD$4+VST_PPAAdj)/1000000*(1+VST_RevAdj)</f>
        <v>0</v>
      </c>
    </row>
    <row r="106" customFormat="false" ht="15" hidden="false" customHeight="false" outlineLevel="0" collapsed="false">
      <c r="A106" s="6" t="s">
        <v>445</v>
      </c>
      <c r="B106" s="6" t="s">
        <v>446</v>
      </c>
      <c r="C106" s="9" t="n">
        <f aca="false">SUM(G106:AS106)</f>
        <v>0</v>
      </c>
      <c r="G106" s="8" t="n">
        <f aca="false">IF(G$3&lt;=VST_Assets!$V$4,G98*VST_Assets!$U$4,0)/1000000*(1+VST_RevAdj)</f>
        <v>0</v>
      </c>
      <c r="H106" s="8" t="n">
        <f aca="false">IF(H$3&lt;=VST_Assets!$V$4,H98*VST_Assets!$U$4,0)/1000000*(1+VST_RevAdj)</f>
        <v>0</v>
      </c>
      <c r="I106" s="8" t="n">
        <f aca="false">IF(I$3&lt;=VST_Assets!$V$4,I98*VST_Assets!$U$4,0)/1000000*(1+VST_RevAdj)</f>
        <v>0</v>
      </c>
      <c r="J106" s="8" t="n">
        <f aca="false">IF(J$3&lt;=VST_Assets!$V$4,J98*VST_Assets!$U$4,0)/1000000*(1+VST_RevAdj)</f>
        <v>0</v>
      </c>
      <c r="K106" s="8" t="n">
        <f aca="false">IF(K$3&lt;=VST_Assets!$V$4,K98*VST_Assets!$U$4,0)/1000000*(1+VST_RevAdj)</f>
        <v>0</v>
      </c>
      <c r="L106" s="8" t="n">
        <f aca="false">IF(L$3&lt;=VST_Assets!$V$4,L98*VST_Assets!$U$4,0)/1000000*(1+VST_RevAdj)</f>
        <v>0</v>
      </c>
      <c r="M106" s="8" t="n">
        <f aca="false">IF(M$3&lt;=VST_Assets!$V$4,M98*VST_Assets!$U$4,0)/1000000*(1+VST_RevAdj)</f>
        <v>0</v>
      </c>
      <c r="N106" s="8" t="n">
        <f aca="false">IF(N$3&lt;=VST_Assets!$V$4,N98*VST_Assets!$U$4,0)/1000000*(1+VST_RevAdj)</f>
        <v>0</v>
      </c>
      <c r="O106" s="8" t="n">
        <f aca="false">IF(O$3&lt;=VST_Assets!$V$4,O98*VST_Assets!$U$4,0)/1000000*(1+VST_RevAdj)</f>
        <v>0</v>
      </c>
      <c r="P106" s="8" t="n">
        <f aca="false">IF(P$3&lt;=VST_Assets!$V$4,P98*VST_Assets!$U$4,0)/1000000*(1+VST_RevAdj)</f>
        <v>0</v>
      </c>
      <c r="Q106" s="8" t="n">
        <f aca="false">IF(Q$3&lt;=VST_Assets!$V$4,Q98*VST_Assets!$U$4,0)/1000000*(1+VST_RevAdj)</f>
        <v>0</v>
      </c>
      <c r="R106" s="8" t="n">
        <f aca="false">IF(R$3&lt;=VST_Assets!$V$4,R98*VST_Assets!$U$4,0)/1000000*(1+VST_RevAdj)</f>
        <v>0</v>
      </c>
      <c r="S106" s="8" t="n">
        <f aca="false">IF(S$3&lt;=VST_Assets!$V$4,S98*VST_Assets!$U$4,0)/1000000*(1+VST_RevAdj)</f>
        <v>0</v>
      </c>
      <c r="T106" s="8" t="n">
        <f aca="false">IF(T$3&lt;=VST_Assets!$V$4,T98*VST_Assets!$U$4,0)/1000000*(1+VST_RevAdj)</f>
        <v>0</v>
      </c>
      <c r="U106" s="8" t="n">
        <f aca="false">IF(U$3&lt;=VST_Assets!$V$4,U98*VST_Assets!$U$4,0)/1000000*(1+VST_RevAdj)</f>
        <v>0</v>
      </c>
      <c r="V106" s="8" t="n">
        <f aca="false">IF(V$3&lt;=VST_Assets!$V$4,V98*VST_Assets!$U$4,0)/1000000*(1+VST_RevAdj)</f>
        <v>0</v>
      </c>
      <c r="W106" s="8" t="n">
        <f aca="false">IF(W$3&lt;=VST_Assets!$V$4,W98*VST_Assets!$U$4,0)/1000000*(1+VST_RevAdj)</f>
        <v>0</v>
      </c>
      <c r="X106" s="8" t="n">
        <f aca="false">IF(X$3&lt;=VST_Assets!$V$4,X98*VST_Assets!$U$4,0)/1000000*(1+VST_RevAdj)</f>
        <v>0</v>
      </c>
      <c r="Y106" s="8" t="n">
        <f aca="false">IF(Y$3&lt;=VST_Assets!$V$4,Y98*VST_Assets!$U$4,0)/1000000*(1+VST_RevAdj)</f>
        <v>0</v>
      </c>
      <c r="Z106" s="8" t="n">
        <f aca="false">IF(Z$3&lt;=VST_Assets!$V$4,Z98*VST_Assets!$U$4,0)/1000000*(1+VST_RevAdj)</f>
        <v>0</v>
      </c>
      <c r="AA106" s="8" t="n">
        <f aca="false">IF(AA$3&lt;=VST_Assets!$V$4,AA98*VST_Assets!$U$4,0)/1000000*(1+VST_RevAdj)</f>
        <v>0</v>
      </c>
      <c r="AB106" s="8" t="n">
        <f aca="false">IF(AB$3&lt;=VST_Assets!$V$4,AB98*VST_Assets!$U$4,0)/1000000*(1+VST_RevAdj)</f>
        <v>0</v>
      </c>
      <c r="AC106" s="8" t="n">
        <f aca="false">IF(AC$3&lt;=VST_Assets!$V$4,AC98*VST_Assets!$U$4,0)/1000000*(1+VST_RevAdj)</f>
        <v>0</v>
      </c>
      <c r="AD106" s="8" t="n">
        <f aca="false">IF(AD$3&lt;=VST_Assets!$V$4,AD98*VST_Assets!$U$4,0)/1000000*(1+VST_RevAdj)</f>
        <v>0</v>
      </c>
      <c r="AE106" s="8" t="n">
        <f aca="false">IF(AE$3&lt;=VST_Assets!$V$4,AE98*VST_Assets!$U$4,0)/1000000*(1+VST_RevAdj)</f>
        <v>0</v>
      </c>
      <c r="AF106" s="8" t="n">
        <f aca="false">IF(AF$3&lt;=VST_Assets!$V$4,AF98*VST_Assets!$U$4,0)/1000000*(1+VST_RevAdj)</f>
        <v>0</v>
      </c>
      <c r="AG106" s="8" t="n">
        <f aca="false">IF(AG$3&lt;=VST_Assets!$V$4,AG98*VST_Assets!$U$4,0)/1000000*(1+VST_RevAdj)</f>
        <v>0</v>
      </c>
      <c r="AH106" s="8" t="n">
        <f aca="false">IF(AH$3&lt;=VST_Assets!$V$4,AH98*VST_Assets!$U$4,0)/1000000*(1+VST_RevAdj)</f>
        <v>0</v>
      </c>
      <c r="AI106" s="8" t="n">
        <f aca="false">IF(AI$3&lt;=VST_Assets!$V$4,AI98*VST_Assets!$U$4,0)/1000000*(1+VST_RevAdj)</f>
        <v>0</v>
      </c>
      <c r="AJ106" s="8" t="n">
        <f aca="false">IF(AJ$3&lt;=VST_Assets!$V$4,AJ98*VST_Assets!$U$4,0)/1000000*(1+VST_RevAdj)</f>
        <v>0</v>
      </c>
      <c r="AK106" s="8" t="n">
        <f aca="false">IF(AK$3&lt;=VST_Assets!$V$4,AK98*VST_Assets!$U$4,0)/1000000*(1+VST_RevAdj)</f>
        <v>0</v>
      </c>
      <c r="AL106" s="8" t="n">
        <f aca="false">IF(AL$3&lt;=VST_Assets!$V$4,AL98*VST_Assets!$U$4,0)/1000000*(1+VST_RevAdj)</f>
        <v>0</v>
      </c>
      <c r="AM106" s="8" t="n">
        <f aca="false">IF(AM$3&lt;=VST_Assets!$V$4,AM98*VST_Assets!$U$4,0)/1000000*(1+VST_RevAdj)</f>
        <v>0</v>
      </c>
      <c r="AN106" s="8" t="n">
        <f aca="false">IF(AN$3&lt;=VST_Assets!$V$4,AN98*VST_Assets!$U$4,0)/1000000*(1+VST_RevAdj)</f>
        <v>0</v>
      </c>
      <c r="AO106" s="8" t="n">
        <f aca="false">IF(AO$3&lt;=VST_Assets!$V$4,AO98*VST_Assets!$U$4,0)/1000000*(1+VST_RevAdj)</f>
        <v>0</v>
      </c>
      <c r="AP106" s="8" t="n">
        <f aca="false">IF(AP$3&lt;=VST_Assets!$V$4,AP98*VST_Assets!$U$4,0)/1000000*(1+VST_RevAdj)</f>
        <v>0</v>
      </c>
      <c r="AQ106" s="8" t="n">
        <f aca="false">IF(AQ$3&lt;=VST_Assets!$V$4,AQ98*VST_Assets!$U$4,0)/1000000*(1+VST_RevAdj)</f>
        <v>0</v>
      </c>
      <c r="AR106" s="8" t="n">
        <f aca="false">IF(AR$3&lt;=VST_Assets!$V$4,AR98*VST_Assets!$U$4,0)/1000000*(1+VST_RevAdj)</f>
        <v>0</v>
      </c>
      <c r="AS106" s="8" t="n">
        <f aca="false">IF(AS$3&lt;=VST_Assets!$V$4,AS98*VST_Assets!$U$4,0)/1000000*(1+VST_RevAdj)</f>
        <v>0</v>
      </c>
    </row>
    <row r="107" customFormat="false" ht="15" hidden="false" customHeight="false" outlineLevel="0" collapsed="false">
      <c r="A107" s="6" t="s">
        <v>447</v>
      </c>
      <c r="B107" s="6" t="s">
        <v>448</v>
      </c>
      <c r="C107" s="9" t="n">
        <f aca="false">SUM(G107:AS107)</f>
        <v>42586.3440485316</v>
      </c>
      <c r="G107" s="8" t="n">
        <f aca="false">G103+G104+G105+G106</f>
        <v>1308.208024656</v>
      </c>
      <c r="H107" s="8" t="n">
        <f aca="false">H103+H104+H105+H106</f>
        <v>1321.349275584</v>
      </c>
      <c r="I107" s="8" t="n">
        <f aca="false">I103+I104+I105+I106</f>
        <v>1196.67270390079</v>
      </c>
      <c r="J107" s="8" t="n">
        <f aca="false">J103+J104+J105+J106</f>
        <v>1151.1455726602</v>
      </c>
      <c r="K107" s="8" t="n">
        <f aca="false">K103+K104+K105+K106</f>
        <v>1174.16848411341</v>
      </c>
      <c r="L107" s="8" t="n">
        <f aca="false">L103+L104+L105+L106</f>
        <v>1197.65185379567</v>
      </c>
      <c r="M107" s="8" t="n">
        <f aca="false">M103+M104+M105+M106</f>
        <v>1221.60489087159</v>
      </c>
      <c r="N107" s="8" t="n">
        <f aca="false">N103+N104+N105+N106</f>
        <v>1246.03698868902</v>
      </c>
      <c r="O107" s="8" t="n">
        <f aca="false">O103+O104+O105+O106</f>
        <v>1270.9577284628</v>
      </c>
      <c r="P107" s="8" t="n">
        <f aca="false">P103+P104+P105+P106</f>
        <v>1296.37688303206</v>
      </c>
      <c r="Q107" s="8" t="n">
        <f aca="false">Q103+Q104+Q105+Q106</f>
        <v>1322.3044206927</v>
      </c>
      <c r="R107" s="8" t="n">
        <f aca="false">R103+R104+R105+R106</f>
        <v>1348.75050910655</v>
      </c>
      <c r="S107" s="8" t="n">
        <f aca="false">S103+S104+S105+S106</f>
        <v>1375.72551928868</v>
      </c>
      <c r="T107" s="8" t="n">
        <f aca="false">T103+T104+T105+T106</f>
        <v>1403.24002967446</v>
      </c>
      <c r="U107" s="8" t="n">
        <f aca="false">U103+U104+U105+U106</f>
        <v>1431.30483026795</v>
      </c>
      <c r="V107" s="8" t="n">
        <f aca="false">V103+V104+V105+V106</f>
        <v>1459.9309268733</v>
      </c>
      <c r="W107" s="8" t="n">
        <f aca="false">W103+W104+W105+W106</f>
        <v>1489.12954541077</v>
      </c>
      <c r="X107" s="8" t="n">
        <f aca="false">X103+X104+X105+X106</f>
        <v>1518.91213631899</v>
      </c>
      <c r="Y107" s="8" t="n">
        <f aca="false">Y103+Y104+Y105+Y106</f>
        <v>1549.29037904537</v>
      </c>
      <c r="Z107" s="8" t="n">
        <f aca="false">Z103+Z104+Z105+Z106</f>
        <v>1580.27618662627</v>
      </c>
      <c r="AA107" s="8" t="n">
        <f aca="false">AA103+AA104+AA105+AA106</f>
        <v>1611.8817103588</v>
      </c>
      <c r="AB107" s="8" t="n">
        <f aca="false">AB103+AB104+AB105+AB106</f>
        <v>1644.11934456597</v>
      </c>
      <c r="AC107" s="8" t="n">
        <f aca="false">AC103+AC104+AC105+AC106</f>
        <v>1677.00173145729</v>
      </c>
      <c r="AD107" s="8" t="n">
        <f aca="false">AD103+AD104+AD105+AD106</f>
        <v>1710.54176608644</v>
      </c>
      <c r="AE107" s="8" t="n">
        <f aca="false">AE103+AE104+AE105+AE106</f>
        <v>1744.75260140817</v>
      </c>
      <c r="AF107" s="8" t="n">
        <f aca="false">AF103+AF104+AF105+AF106</f>
        <v>1779.64765343633</v>
      </c>
      <c r="AG107" s="8" t="n">
        <f aca="false">AG103+AG104+AG105+AG106</f>
        <v>1815.24060650506</v>
      </c>
      <c r="AH107" s="8" t="n">
        <f aca="false">AH103+AH104+AH105+AH106</f>
        <v>1851.54541863516</v>
      </c>
      <c r="AI107" s="8" t="n">
        <f aca="false">AI103+AI104+AI105+AI106</f>
        <v>1888.57632700786</v>
      </c>
      <c r="AJ107" s="8" t="n">
        <f aca="false">AJ103+AJ104+AJ105+AJ106</f>
        <v>0</v>
      </c>
      <c r="AK107" s="8" t="n">
        <f aca="false">AK103+AK104+AK105+AK106</f>
        <v>0</v>
      </c>
      <c r="AL107" s="8" t="n">
        <f aca="false">AL103+AL104+AL105+AL106</f>
        <v>0</v>
      </c>
      <c r="AM107" s="8" t="n">
        <f aca="false">AM103+AM104+AM105+AM106</f>
        <v>0</v>
      </c>
      <c r="AN107" s="8" t="n">
        <f aca="false">AN103+AN104+AN105+AN106</f>
        <v>0</v>
      </c>
      <c r="AO107" s="8" t="n">
        <f aca="false">AO103+AO104+AO105+AO106</f>
        <v>0</v>
      </c>
      <c r="AP107" s="8" t="n">
        <f aca="false">AP103+AP104+AP105+AP106</f>
        <v>0</v>
      </c>
      <c r="AQ107" s="8" t="n">
        <f aca="false">AQ103+AQ104+AQ105+AQ106</f>
        <v>0</v>
      </c>
      <c r="AR107" s="8" t="n">
        <f aca="false">AR103+AR104+AR105+AR106</f>
        <v>0</v>
      </c>
      <c r="AS107" s="8" t="n">
        <f aca="false">AS103+AS104+AS105+AS106</f>
        <v>0</v>
      </c>
    </row>
    <row r="108" customFormat="false" ht="15" hidden="false" customHeight="false" outlineLevel="0" collapsed="false">
      <c r="A108" s="6" t="s">
        <v>449</v>
      </c>
      <c r="B108" s="6" t="s">
        <v>450</v>
      </c>
      <c r="C108" s="9" t="n">
        <f aca="false">SUM(G108:AS108)</f>
        <v>3618.00287392754</v>
      </c>
      <c r="G108" s="8" t="n">
        <f aca="false">((VST_Assets!$K$4*G100+VST_Assets!$M$4*G$4)*G98*G102+VST_Assets!$N$4*(1+VST_Assets!$Q$4)^(G$3-2026)*(G98+G99))/1000000*(1+VST_FuelAdj)</f>
        <v>86.43867804</v>
      </c>
      <c r="H108" s="8" t="n">
        <f aca="false">((VST_Assets!$K$4*H100+VST_Assets!$M$4*H$4)*H98*H102+VST_Assets!$N$4*(1+VST_Assets!$Q$4)^(H$3-2026)*(H98+H99))/1000000*(1+VST_FuelAdj)</f>
        <v>88.599644991</v>
      </c>
      <c r="I108" s="8" t="n">
        <f aca="false">((VST_Assets!$K$4*I100+VST_Assets!$M$4*I$4)*I98*I102+VST_Assets!$N$4*(1+VST_Assets!$Q$4)^(I$3-2026)*(I98+I99))/1000000*(1+VST_FuelAdj)</f>
        <v>90.814636115775</v>
      </c>
      <c r="J108" s="8" t="n">
        <f aca="false">((VST_Assets!$K$4*J100+VST_Assets!$M$4*J$4)*J98*J102+VST_Assets!$N$4*(1+VST_Assets!$Q$4)^(J$3-2026)*(J98+J99))/1000000*(1+VST_FuelAdj)</f>
        <v>93.0850020186694</v>
      </c>
      <c r="K108" s="8" t="n">
        <f aca="false">((VST_Assets!$K$4*K100+VST_Assets!$M$4*K$4)*K98*K102+VST_Assets!$N$4*(1+VST_Assets!$Q$4)^(K$3-2026)*(K98+K99))/1000000*(1+VST_FuelAdj)</f>
        <v>95.4121270691361</v>
      </c>
      <c r="L108" s="8" t="n">
        <f aca="false">((VST_Assets!$K$4*L100+VST_Assets!$M$4*L$4)*L98*L102+VST_Assets!$N$4*(1+VST_Assets!$Q$4)^(L$3-2026)*(L98+L99))/1000000*(1+VST_FuelAdj)</f>
        <v>97.7974302458645</v>
      </c>
      <c r="M108" s="8" t="n">
        <f aca="false">((VST_Assets!$K$4*M100+VST_Assets!$M$4*M$4)*M98*M102+VST_Assets!$N$4*(1+VST_Assets!$Q$4)^(M$3-2026)*(M98+M99))/1000000*(1+VST_FuelAdj)</f>
        <v>100.242366002011</v>
      </c>
      <c r="N108" s="8" t="n">
        <f aca="false">((VST_Assets!$K$4*N100+VST_Assets!$M$4*N$4)*N98*N102+VST_Assets!$N$4*(1+VST_Assets!$Q$4)^(N$3-2026)*(N98+N99))/1000000*(1+VST_FuelAdj)</f>
        <v>102.748425152061</v>
      </c>
      <c r="O108" s="8" t="n">
        <f aca="false">((VST_Assets!$K$4*O100+VST_Assets!$M$4*O$4)*O98*O102+VST_Assets!$N$4*(1+VST_Assets!$Q$4)^(O$3-2026)*(O98+O99))/1000000*(1+VST_FuelAdj)</f>
        <v>105.317135780863</v>
      </c>
      <c r="P108" s="8" t="n">
        <f aca="false">((VST_Assets!$K$4*P100+VST_Assets!$M$4*P$4)*P98*P102+VST_Assets!$N$4*(1+VST_Assets!$Q$4)^(P$3-2026)*(P98+P99))/1000000*(1+VST_FuelAdj)</f>
        <v>107.950064175384</v>
      </c>
      <c r="Q108" s="8" t="n">
        <f aca="false">((VST_Assets!$K$4*Q100+VST_Assets!$M$4*Q$4)*Q98*Q102+VST_Assets!$N$4*(1+VST_Assets!$Q$4)^(Q$3-2026)*(Q98+Q99))/1000000*(1+VST_FuelAdj)</f>
        <v>110.648815779769</v>
      </c>
      <c r="R108" s="8" t="n">
        <f aca="false">((VST_Assets!$K$4*R100+VST_Assets!$M$4*R$4)*R98*R102+VST_Assets!$N$4*(1+VST_Assets!$Q$4)^(R$3-2026)*(R98+R99))/1000000*(1+VST_FuelAdj)</f>
        <v>113.415036174263</v>
      </c>
      <c r="S108" s="8" t="n">
        <f aca="false">((VST_Assets!$K$4*S100+VST_Assets!$M$4*S$4)*S98*S102+VST_Assets!$N$4*(1+VST_Assets!$Q$4)^(S$3-2026)*(S98+S99))/1000000*(1+VST_FuelAdj)</f>
        <v>116.25041207862</v>
      </c>
      <c r="T108" s="8" t="n">
        <f aca="false">((VST_Assets!$K$4*T100+VST_Assets!$M$4*T$4)*T98*T102+VST_Assets!$N$4*(1+VST_Assets!$Q$4)^(T$3-2026)*(T98+T99))/1000000*(1+VST_FuelAdj)</f>
        <v>119.156672380585</v>
      </c>
      <c r="U108" s="8" t="n">
        <f aca="false">((VST_Assets!$K$4*U100+VST_Assets!$M$4*U$4)*U98*U102+VST_Assets!$N$4*(1+VST_Assets!$Q$4)^(U$3-2026)*(U98+U99))/1000000*(1+VST_FuelAdj)</f>
        <v>122.1355891901</v>
      </c>
      <c r="V108" s="8" t="n">
        <f aca="false">((VST_Assets!$K$4*V100+VST_Assets!$M$4*V$4)*V98*V102+VST_Assets!$N$4*(1+VST_Assets!$Q$4)^(V$3-2026)*(V98+V99))/1000000*(1+VST_FuelAdj)</f>
        <v>125.188978919852</v>
      </c>
      <c r="W108" s="8" t="n">
        <f aca="false">((VST_Assets!$K$4*W100+VST_Assets!$M$4*W$4)*W98*W102+VST_Assets!$N$4*(1+VST_Assets!$Q$4)^(W$3-2026)*(W98+W99))/1000000*(1+VST_FuelAdj)</f>
        <v>128.318703392849</v>
      </c>
      <c r="X108" s="8" t="n">
        <f aca="false">((VST_Assets!$K$4*X100+VST_Assets!$M$4*X$4)*X98*X102+VST_Assets!$N$4*(1+VST_Assets!$Q$4)^(X$3-2026)*(X98+X99))/1000000*(1+VST_FuelAdj)</f>
        <v>131.52667097767</v>
      </c>
      <c r="Y108" s="8" t="n">
        <f aca="false">((VST_Assets!$K$4*Y100+VST_Assets!$M$4*Y$4)*Y98*Y102+VST_Assets!$N$4*(1+VST_Assets!$Q$4)^(Y$3-2026)*(Y98+Y99))/1000000*(1+VST_FuelAdj)</f>
        <v>134.814837752112</v>
      </c>
      <c r="Z108" s="8" t="n">
        <f aca="false">((VST_Assets!$K$4*Z100+VST_Assets!$M$4*Z$4)*Z98*Z102+VST_Assets!$N$4*(1+VST_Assets!$Q$4)^(Z$3-2026)*(Z98+Z99))/1000000*(1+VST_FuelAdj)</f>
        <v>138.185208695914</v>
      </c>
      <c r="AA108" s="8" t="n">
        <f aca="false">((VST_Assets!$K$4*AA100+VST_Assets!$M$4*AA$4)*AA98*AA102+VST_Assets!$N$4*(1+VST_Assets!$Q$4)^(AA$3-2026)*(AA98+AA99))/1000000*(1+VST_FuelAdj)</f>
        <v>141.639838913312</v>
      </c>
      <c r="AB108" s="8" t="n">
        <f aca="false">((VST_Assets!$K$4*AB100+VST_Assets!$M$4*AB$4)*AB98*AB102+VST_Assets!$N$4*(1+VST_Assets!$Q$4)^(AB$3-2026)*(AB98+AB99))/1000000*(1+VST_FuelAdj)</f>
        <v>145.180834886145</v>
      </c>
      <c r="AC108" s="8" t="n">
        <f aca="false">((VST_Assets!$K$4*AC100+VST_Assets!$M$4*AC$4)*AC98*AC102+VST_Assets!$N$4*(1+VST_Assets!$Q$4)^(AC$3-2026)*(AC98+AC99))/1000000*(1+VST_FuelAdj)</f>
        <v>148.810355758299</v>
      </c>
      <c r="AD108" s="8" t="n">
        <f aca="false">((VST_Assets!$K$4*AD100+VST_Assets!$M$4*AD$4)*AD98*AD102+VST_Assets!$N$4*(1+VST_Assets!$Q$4)^(AD$3-2026)*(AD98+AD99))/1000000*(1+VST_FuelAdj)</f>
        <v>152.530614652256</v>
      </c>
      <c r="AE108" s="8" t="n">
        <f aca="false">((VST_Assets!$K$4*AE100+VST_Assets!$M$4*AE$4)*AE98*AE102+VST_Assets!$N$4*(1+VST_Assets!$Q$4)^(AE$3-2026)*(AE98+AE99))/1000000*(1+VST_FuelAdj)</f>
        <v>156.343880018563</v>
      </c>
      <c r="AF108" s="8" t="n">
        <f aca="false">((VST_Assets!$K$4*AF100+VST_Assets!$M$4*AF$4)*AF98*AF102+VST_Assets!$N$4*(1+VST_Assets!$Q$4)^(AF$3-2026)*(AF98+AF99))/1000000*(1+VST_FuelAdj)</f>
        <v>160.252477019027</v>
      </c>
      <c r="AG108" s="8" t="n">
        <f aca="false">((VST_Assets!$K$4*AG100+VST_Assets!$M$4*AG$4)*AG98*AG102+VST_Assets!$N$4*(1+VST_Assets!$Q$4)^(AG$3-2026)*(AG98+AG99))/1000000*(1+VST_FuelAdj)</f>
        <v>164.258788944502</v>
      </c>
      <c r="AH108" s="8" t="n">
        <f aca="false">((VST_Assets!$K$4*AH100+VST_Assets!$M$4*AH$4)*AH98*AH102+VST_Assets!$N$4*(1+VST_Assets!$Q$4)^(AH$3-2026)*(AH98+AH99))/1000000*(1+VST_FuelAdj)</f>
        <v>168.365258668115</v>
      </c>
      <c r="AI108" s="8" t="n">
        <f aca="false">((VST_Assets!$K$4*AI100+VST_Assets!$M$4*AI$4)*AI98*AI102+VST_Assets!$N$4*(1+VST_Assets!$Q$4)^(AI$3-2026)*(AI98+AI99))/1000000*(1+VST_FuelAdj)</f>
        <v>172.574390134818</v>
      </c>
      <c r="AJ108" s="8" t="n">
        <f aca="false">((VST_Assets!$K$4*AJ100+VST_Assets!$M$4*AJ$4)*AJ98*AJ102+VST_Assets!$N$4*(1+VST_Assets!$Q$4)^(AJ$3-2026)*(AJ98+AJ99))/1000000*(1+VST_FuelAdj)</f>
        <v>0</v>
      </c>
      <c r="AK108" s="8" t="n">
        <f aca="false">((VST_Assets!$K$4*AK100+VST_Assets!$M$4*AK$4)*AK98*AK102+VST_Assets!$N$4*(1+VST_Assets!$Q$4)^(AK$3-2026)*(AK98+AK99))/1000000*(1+VST_FuelAdj)</f>
        <v>0</v>
      </c>
      <c r="AL108" s="8" t="n">
        <f aca="false">((VST_Assets!$K$4*AL100+VST_Assets!$M$4*AL$4)*AL98*AL102+VST_Assets!$N$4*(1+VST_Assets!$Q$4)^(AL$3-2026)*(AL98+AL99))/1000000*(1+VST_FuelAdj)</f>
        <v>0</v>
      </c>
      <c r="AM108" s="8" t="n">
        <f aca="false">((VST_Assets!$K$4*AM100+VST_Assets!$M$4*AM$4)*AM98*AM102+VST_Assets!$N$4*(1+VST_Assets!$Q$4)^(AM$3-2026)*(AM98+AM99))/1000000*(1+VST_FuelAdj)</f>
        <v>0</v>
      </c>
      <c r="AN108" s="8" t="n">
        <f aca="false">((VST_Assets!$K$4*AN100+VST_Assets!$M$4*AN$4)*AN98*AN102+VST_Assets!$N$4*(1+VST_Assets!$Q$4)^(AN$3-2026)*(AN98+AN99))/1000000*(1+VST_FuelAdj)</f>
        <v>0</v>
      </c>
      <c r="AO108" s="8" t="n">
        <f aca="false">((VST_Assets!$K$4*AO100+VST_Assets!$M$4*AO$4)*AO98*AO102+VST_Assets!$N$4*(1+VST_Assets!$Q$4)^(AO$3-2026)*(AO98+AO99))/1000000*(1+VST_FuelAdj)</f>
        <v>0</v>
      </c>
      <c r="AP108" s="8" t="n">
        <f aca="false">((VST_Assets!$K$4*AP100+VST_Assets!$M$4*AP$4)*AP98*AP102+VST_Assets!$N$4*(1+VST_Assets!$Q$4)^(AP$3-2026)*(AP98+AP99))/1000000*(1+VST_FuelAdj)</f>
        <v>0</v>
      </c>
      <c r="AQ108" s="8" t="n">
        <f aca="false">((VST_Assets!$K$4*AQ100+VST_Assets!$M$4*AQ$4)*AQ98*AQ102+VST_Assets!$N$4*(1+VST_Assets!$Q$4)^(AQ$3-2026)*(AQ98+AQ99))/1000000*(1+VST_FuelAdj)</f>
        <v>0</v>
      </c>
      <c r="AR108" s="8" t="n">
        <f aca="false">((VST_Assets!$K$4*AR100+VST_Assets!$M$4*AR$4)*AR98*AR102+VST_Assets!$N$4*(1+VST_Assets!$Q$4)^(AR$3-2026)*(AR98+AR99))/1000000*(1+VST_FuelAdj)</f>
        <v>0</v>
      </c>
      <c r="AS108" s="8" t="n">
        <f aca="false">((VST_Assets!$K$4*AS100+VST_Assets!$M$4*AS$4)*AS98*AS102+VST_Assets!$N$4*(1+VST_Assets!$Q$4)^(AS$3-2026)*(AS98+AS99))/1000000*(1+VST_FuelAdj)</f>
        <v>0</v>
      </c>
    </row>
    <row r="109" customFormat="false" ht="15" hidden="false" customHeight="false" outlineLevel="0" collapsed="false">
      <c r="A109" s="6" t="s">
        <v>451</v>
      </c>
      <c r="B109" s="6" t="s">
        <v>452</v>
      </c>
      <c r="C109" s="9" t="n">
        <f aca="false">SUM(G109:AS109)</f>
        <v>38968.3411746041</v>
      </c>
      <c r="G109" s="8" t="n">
        <f aca="false">G107-G108</f>
        <v>1221.769346616</v>
      </c>
      <c r="H109" s="8" t="n">
        <f aca="false">H107-H108</f>
        <v>1232.749630593</v>
      </c>
      <c r="I109" s="8" t="n">
        <f aca="false">I107-I108</f>
        <v>1105.85806778501</v>
      </c>
      <c r="J109" s="8" t="n">
        <f aca="false">J107-J108</f>
        <v>1058.06057064153</v>
      </c>
      <c r="K109" s="8" t="n">
        <f aca="false">K107-K108</f>
        <v>1078.75635704427</v>
      </c>
      <c r="L109" s="8" t="n">
        <f aca="false">L107-L108</f>
        <v>1099.85442354981</v>
      </c>
      <c r="M109" s="8" t="n">
        <f aca="false">M107-M108</f>
        <v>1121.36252486958</v>
      </c>
      <c r="N109" s="8" t="n">
        <f aca="false">N107-N108</f>
        <v>1143.28856353696</v>
      </c>
      <c r="O109" s="8" t="n">
        <f aca="false">O107-O108</f>
        <v>1165.64059268194</v>
      </c>
      <c r="P109" s="8" t="n">
        <f aca="false">P107-P108</f>
        <v>1188.42681885667</v>
      </c>
      <c r="Q109" s="8" t="n">
        <f aca="false">Q107-Q108</f>
        <v>1211.65560491293</v>
      </c>
      <c r="R109" s="8" t="n">
        <f aca="false">R107-R108</f>
        <v>1235.33547293229</v>
      </c>
      <c r="S109" s="8" t="n">
        <f aca="false">S107-S108</f>
        <v>1259.47510721006</v>
      </c>
      <c r="T109" s="8" t="n">
        <f aca="false">T107-T108</f>
        <v>1284.08335729387</v>
      </c>
      <c r="U109" s="8" t="n">
        <f aca="false">U107-U108</f>
        <v>1309.16924107785</v>
      </c>
      <c r="V109" s="8" t="n">
        <f aca="false">V107-V108</f>
        <v>1334.74194795345</v>
      </c>
      <c r="W109" s="8" t="n">
        <f aca="false">W107-W108</f>
        <v>1360.81084201792</v>
      </c>
      <c r="X109" s="8" t="n">
        <f aca="false">X107-X108</f>
        <v>1387.38546534132</v>
      </c>
      <c r="Y109" s="8" t="n">
        <f aca="false">Y107-Y108</f>
        <v>1414.47554129325</v>
      </c>
      <c r="Z109" s="8" t="n">
        <f aca="false">Z107-Z108</f>
        <v>1442.09097793036</v>
      </c>
      <c r="AA109" s="8" t="n">
        <f aca="false">AA107-AA108</f>
        <v>1470.24187144549</v>
      </c>
      <c r="AB109" s="8" t="n">
        <f aca="false">AB107-AB108</f>
        <v>1498.93850967983</v>
      </c>
      <c r="AC109" s="8" t="n">
        <f aca="false">AC107-AC108</f>
        <v>1528.191375699</v>
      </c>
      <c r="AD109" s="8" t="n">
        <f aca="false">AD107-AD108</f>
        <v>1558.01115143418</v>
      </c>
      <c r="AE109" s="8" t="n">
        <f aca="false">AE107-AE108</f>
        <v>1588.40872138961</v>
      </c>
      <c r="AF109" s="8" t="n">
        <f aca="false">AF107-AF108</f>
        <v>1619.39517641731</v>
      </c>
      <c r="AG109" s="8" t="n">
        <f aca="false">AG107-AG108</f>
        <v>1650.98181756056</v>
      </c>
      <c r="AH109" s="8" t="n">
        <f aca="false">AH107-AH108</f>
        <v>1683.18015996705</v>
      </c>
      <c r="AI109" s="8" t="n">
        <f aca="false">AI107-AI108</f>
        <v>1716.00193687305</v>
      </c>
      <c r="AJ109" s="8" t="n">
        <f aca="false">AJ107-AJ108</f>
        <v>0</v>
      </c>
      <c r="AK109" s="8" t="n">
        <f aca="false">AK107-AK108</f>
        <v>0</v>
      </c>
      <c r="AL109" s="8" t="n">
        <f aca="false">AL107-AL108</f>
        <v>0</v>
      </c>
      <c r="AM109" s="8" t="n">
        <f aca="false">AM107-AM108</f>
        <v>0</v>
      </c>
      <c r="AN109" s="8" t="n">
        <f aca="false">AN107-AN108</f>
        <v>0</v>
      </c>
      <c r="AO109" s="8" t="n">
        <f aca="false">AO107-AO108</f>
        <v>0</v>
      </c>
      <c r="AP109" s="8" t="n">
        <f aca="false">AP107-AP108</f>
        <v>0</v>
      </c>
      <c r="AQ109" s="8" t="n">
        <f aca="false">AQ107-AQ108</f>
        <v>0</v>
      </c>
      <c r="AR109" s="8" t="n">
        <f aca="false">AR107-AR108</f>
        <v>0</v>
      </c>
      <c r="AS109" s="8" t="n">
        <f aca="false">AS107-AS108</f>
        <v>0</v>
      </c>
    </row>
    <row r="110" customFormat="false" ht="15" hidden="false" customHeight="false" outlineLevel="0" collapsed="false">
      <c r="A110" s="6" t="s">
        <v>453</v>
      </c>
      <c r="B110" s="6" t="s">
        <v>454</v>
      </c>
      <c r="C110" s="9" t="n">
        <f aca="false">SUM(G110:AS110)</f>
        <v>14669.3571070153</v>
      </c>
      <c r="G110" s="8" t="n">
        <f aca="false">(VST_Assets!$R$4*VST_Assets!$D$4*1000*G$4*G96+VST_Assets!$O$4*(1+VST_Assets!$Q$4)^(G$3-2026)*(G98+G99))/1000000*(1+VST_OMAdj)</f>
        <v>350.469549144</v>
      </c>
      <c r="H110" s="8" t="n">
        <f aca="false">(VST_Assets!$R$4*VST_Assets!$D$4*1000*H$4*H96+VST_Assets!$O$4*(1+VST_Assets!$Q$4)^(H$3-2026)*(H98+H99))/1000000*(1+VST_OMAdj)</f>
        <v>359.2312878726</v>
      </c>
      <c r="I110" s="8" t="n">
        <f aca="false">(VST_Assets!$R$4*VST_Assets!$D$4*1000*I$4*I96+VST_Assets!$O$4*(1+VST_Assets!$Q$4)^(I$3-2026)*(I98+I99))/1000000*(1+VST_OMAdj)</f>
        <v>368.212070069415</v>
      </c>
      <c r="J110" s="8" t="n">
        <f aca="false">(VST_Assets!$R$4*VST_Assets!$D$4*1000*J$4*J96+VST_Assets!$O$4*(1+VST_Assets!$Q$4)^(J$3-2026)*(J98+J99))/1000000*(1+VST_OMAdj)</f>
        <v>377.41737182115</v>
      </c>
      <c r="K110" s="8" t="n">
        <f aca="false">(VST_Assets!$R$4*VST_Assets!$D$4*1000*K$4*K96+VST_Assets!$O$4*(1+VST_Assets!$Q$4)^(K$3-2026)*(K98+K99))/1000000*(1+VST_OMAdj)</f>
        <v>386.852806116679</v>
      </c>
      <c r="L110" s="8" t="n">
        <f aca="false">(VST_Assets!$R$4*VST_Assets!$D$4*1000*L$4*L96+VST_Assets!$O$4*(1+VST_Assets!$Q$4)^(L$3-2026)*(L98+L99))/1000000*(1+VST_OMAdj)</f>
        <v>396.524126269596</v>
      </c>
      <c r="M110" s="8" t="n">
        <f aca="false">(VST_Assets!$R$4*VST_Assets!$D$4*1000*M$4*M96+VST_Assets!$O$4*(1+VST_Assets!$Q$4)^(M$3-2026)*(M98+M99))/1000000*(1+VST_OMAdj)</f>
        <v>406.437229426336</v>
      </c>
      <c r="N110" s="8" t="n">
        <f aca="false">(VST_Assets!$R$4*VST_Assets!$D$4*1000*N$4*N96+VST_Assets!$O$4*(1+VST_Assets!$Q$4)^(N$3-2026)*(N98+N99))/1000000*(1+VST_OMAdj)</f>
        <v>416.598160161994</v>
      </c>
      <c r="O110" s="8" t="n">
        <f aca="false">(VST_Assets!$R$4*VST_Assets!$D$4*1000*O$4*O96+VST_Assets!$O$4*(1+VST_Assets!$Q$4)^(O$3-2026)*(O98+O99))/1000000*(1+VST_OMAdj)</f>
        <v>427.013114166044</v>
      </c>
      <c r="P110" s="8" t="n">
        <f aca="false">(VST_Assets!$R$4*VST_Assets!$D$4*1000*P$4*P96+VST_Assets!$O$4*(1+VST_Assets!$Q$4)^(P$3-2026)*(P98+P99))/1000000*(1+VST_OMAdj)</f>
        <v>437.688442020195</v>
      </c>
      <c r="Q110" s="8" t="n">
        <f aca="false">(VST_Assets!$R$4*VST_Assets!$D$4*1000*Q$4*Q96+VST_Assets!$O$4*(1+VST_Assets!$Q$4)^(Q$3-2026)*(Q98+Q99))/1000000*(1+VST_OMAdj)</f>
        <v>448.6306530707</v>
      </c>
      <c r="R110" s="8" t="n">
        <f aca="false">(VST_Assets!$R$4*VST_Assets!$D$4*1000*R$4*R96+VST_Assets!$O$4*(1+VST_Assets!$Q$4)^(R$3-2026)*(R98+R99))/1000000*(1+VST_OMAdj)</f>
        <v>459.846419397467</v>
      </c>
      <c r="S110" s="8" t="n">
        <f aca="false">(VST_Assets!$R$4*VST_Assets!$D$4*1000*S$4*S96+VST_Assets!$O$4*(1+VST_Assets!$Q$4)^(S$3-2026)*(S98+S99))/1000000*(1+VST_OMAdj)</f>
        <v>471.342579882404</v>
      </c>
      <c r="T110" s="8" t="n">
        <f aca="false">(VST_Assets!$R$4*VST_Assets!$D$4*1000*T$4*T96+VST_Assets!$O$4*(1+VST_Assets!$Q$4)^(T$3-2026)*(T98+T99))/1000000*(1+VST_OMAdj)</f>
        <v>483.126144379464</v>
      </c>
      <c r="U110" s="8" t="n">
        <f aca="false">(VST_Assets!$R$4*VST_Assets!$D$4*1000*U$4*U96+VST_Assets!$O$4*(1+VST_Assets!$Q$4)^(U$3-2026)*(U98+U99))/1000000*(1+VST_OMAdj)</f>
        <v>495.204297988951</v>
      </c>
      <c r="V110" s="8" t="n">
        <f aca="false">(VST_Assets!$R$4*VST_Assets!$D$4*1000*V$4*V96+VST_Assets!$O$4*(1+VST_Assets!$Q$4)^(V$3-2026)*(V98+V99))/1000000*(1+VST_OMAdj)</f>
        <v>507.584405438674</v>
      </c>
      <c r="W110" s="8" t="n">
        <f aca="false">(VST_Assets!$R$4*VST_Assets!$D$4*1000*W$4*W96+VST_Assets!$O$4*(1+VST_Assets!$Q$4)^(W$3-2026)*(W98+W99))/1000000*(1+VST_OMAdj)</f>
        <v>520.274015574641</v>
      </c>
      <c r="X110" s="8" t="n">
        <f aca="false">(VST_Assets!$R$4*VST_Assets!$D$4*1000*X$4*X96+VST_Assets!$O$4*(1+VST_Assets!$Q$4)^(X$3-2026)*(X98+X99))/1000000*(1+VST_OMAdj)</f>
        <v>533.280865964007</v>
      </c>
      <c r="Y110" s="8" t="n">
        <f aca="false">(VST_Assets!$R$4*VST_Assets!$D$4*1000*Y$4*Y96+VST_Assets!$O$4*(1+VST_Assets!$Q$4)^(Y$3-2026)*(Y98+Y99))/1000000*(1+VST_OMAdj)</f>
        <v>546.612887613107</v>
      </c>
      <c r="Z110" s="8" t="n">
        <f aca="false">(VST_Assets!$R$4*VST_Assets!$D$4*1000*Z$4*Z96+VST_Assets!$O$4*(1+VST_Assets!$Q$4)^(Z$3-2026)*(Z98+Z99))/1000000*(1+VST_OMAdj)</f>
        <v>560.278209803435</v>
      </c>
      <c r="AA110" s="8" t="n">
        <f aca="false">(VST_Assets!$R$4*VST_Assets!$D$4*1000*AA$4*AA96+VST_Assets!$O$4*(1+VST_Assets!$Q$4)^(AA$3-2026)*(AA98+AA99))/1000000*(1+VST_OMAdj)</f>
        <v>574.285165048521</v>
      </c>
      <c r="AB110" s="8" t="n">
        <f aca="false">(VST_Assets!$R$4*VST_Assets!$D$4*1000*AB$4*AB96+VST_Assets!$O$4*(1+VST_Assets!$Q$4)^(AB$3-2026)*(AB98+AB99))/1000000*(1+VST_OMAdj)</f>
        <v>588.642294174734</v>
      </c>
      <c r="AC110" s="8" t="n">
        <f aca="false">(VST_Assets!$R$4*VST_Assets!$D$4*1000*AC$4*AC96+VST_Assets!$O$4*(1+VST_Assets!$Q$4)^(AC$3-2026)*(AC98+AC99))/1000000*(1+VST_OMAdj)</f>
        <v>603.358351529102</v>
      </c>
      <c r="AD110" s="8" t="n">
        <f aca="false">(VST_Assets!$R$4*VST_Assets!$D$4*1000*AD$4*AD96+VST_Assets!$O$4*(1+VST_Assets!$Q$4)^(AD$3-2026)*(AD98+AD99))/1000000*(1+VST_OMAdj)</f>
        <v>618.442310317329</v>
      </c>
      <c r="AE110" s="8" t="n">
        <f aca="false">(VST_Assets!$R$4*VST_Assets!$D$4*1000*AE$4*AE96+VST_Assets!$O$4*(1+VST_Assets!$Q$4)^(AE$3-2026)*(AE98+AE99))/1000000*(1+VST_OMAdj)</f>
        <v>633.903368075263</v>
      </c>
      <c r="AF110" s="8" t="n">
        <f aca="false">(VST_Assets!$R$4*VST_Assets!$D$4*1000*AF$4*AF96+VST_Assets!$O$4*(1+VST_Assets!$Q$4)^(AF$3-2026)*(AF98+AF99))/1000000*(1+VST_OMAdj)</f>
        <v>649.750952277144</v>
      </c>
      <c r="AG110" s="8" t="n">
        <f aca="false">(VST_Assets!$R$4*VST_Assets!$D$4*1000*AG$4*AG96+VST_Assets!$O$4*(1+VST_Assets!$Q$4)^(AG$3-2026)*(AG98+AG99))/1000000*(1+VST_OMAdj)</f>
        <v>665.994726084073</v>
      </c>
      <c r="AH110" s="8" t="n">
        <f aca="false">(VST_Assets!$R$4*VST_Assets!$D$4*1000*AH$4*AH96+VST_Assets!$O$4*(1+VST_Assets!$Q$4)^(AH$3-2026)*(AH98+AH99))/1000000*(1+VST_OMAdj)</f>
        <v>682.644594236175</v>
      </c>
      <c r="AI110" s="8" t="n">
        <f aca="false">(VST_Assets!$R$4*VST_Assets!$D$4*1000*AI$4*AI96+VST_Assets!$O$4*(1+VST_Assets!$Q$4)^(AI$3-2026)*(AI98+AI99))/1000000*(1+VST_OMAdj)</f>
        <v>699.710709092079</v>
      </c>
      <c r="AJ110" s="8" t="n">
        <f aca="false">(VST_Assets!$R$4*VST_Assets!$D$4*1000*AJ$4*AJ96+VST_Assets!$O$4*(1+VST_Assets!$Q$4)^(AJ$3-2026)*(AJ98+AJ99))/1000000*(1+VST_OMAdj)</f>
        <v>0</v>
      </c>
      <c r="AK110" s="8" t="n">
        <f aca="false">(VST_Assets!$R$4*VST_Assets!$D$4*1000*AK$4*AK96+VST_Assets!$O$4*(1+VST_Assets!$Q$4)^(AK$3-2026)*(AK98+AK99))/1000000*(1+VST_OMAdj)</f>
        <v>0</v>
      </c>
      <c r="AL110" s="8" t="n">
        <f aca="false">(VST_Assets!$R$4*VST_Assets!$D$4*1000*AL$4*AL96+VST_Assets!$O$4*(1+VST_Assets!$Q$4)^(AL$3-2026)*(AL98+AL99))/1000000*(1+VST_OMAdj)</f>
        <v>0</v>
      </c>
      <c r="AM110" s="8" t="n">
        <f aca="false">(VST_Assets!$R$4*VST_Assets!$D$4*1000*AM$4*AM96+VST_Assets!$O$4*(1+VST_Assets!$Q$4)^(AM$3-2026)*(AM98+AM99))/1000000*(1+VST_OMAdj)</f>
        <v>0</v>
      </c>
      <c r="AN110" s="8" t="n">
        <f aca="false">(VST_Assets!$R$4*VST_Assets!$D$4*1000*AN$4*AN96+VST_Assets!$O$4*(1+VST_Assets!$Q$4)^(AN$3-2026)*(AN98+AN99))/1000000*(1+VST_OMAdj)</f>
        <v>0</v>
      </c>
      <c r="AO110" s="8" t="n">
        <f aca="false">(VST_Assets!$R$4*VST_Assets!$D$4*1000*AO$4*AO96+VST_Assets!$O$4*(1+VST_Assets!$Q$4)^(AO$3-2026)*(AO98+AO99))/1000000*(1+VST_OMAdj)</f>
        <v>0</v>
      </c>
      <c r="AP110" s="8" t="n">
        <f aca="false">(VST_Assets!$R$4*VST_Assets!$D$4*1000*AP$4*AP96+VST_Assets!$O$4*(1+VST_Assets!$Q$4)^(AP$3-2026)*(AP98+AP99))/1000000*(1+VST_OMAdj)</f>
        <v>0</v>
      </c>
      <c r="AQ110" s="8" t="n">
        <f aca="false">(VST_Assets!$R$4*VST_Assets!$D$4*1000*AQ$4*AQ96+VST_Assets!$O$4*(1+VST_Assets!$Q$4)^(AQ$3-2026)*(AQ98+AQ99))/1000000*(1+VST_OMAdj)</f>
        <v>0</v>
      </c>
      <c r="AR110" s="8" t="n">
        <f aca="false">(VST_Assets!$R$4*VST_Assets!$D$4*1000*AR$4*AR96+VST_Assets!$O$4*(1+VST_Assets!$Q$4)^(AR$3-2026)*(AR98+AR99))/1000000*(1+VST_OMAdj)</f>
        <v>0</v>
      </c>
      <c r="AS110" s="8" t="n">
        <f aca="false">(VST_Assets!$R$4*VST_Assets!$D$4*1000*AS$4*AS96+VST_Assets!$O$4*(1+VST_Assets!$Q$4)^(AS$3-2026)*(AS98+AS99))/1000000*(1+VST_OMAdj)</f>
        <v>0</v>
      </c>
    </row>
    <row r="111" customFormat="false" ht="15" hidden="false" customHeight="false" outlineLevel="0" collapsed="false">
      <c r="A111" s="6" t="s">
        <v>455</v>
      </c>
      <c r="B111" s="6" t="s">
        <v>456</v>
      </c>
      <c r="C111" s="9" t="n">
        <f aca="false">SUM(G111:AS111)</f>
        <v>24298.9840675888</v>
      </c>
      <c r="G111" s="8" t="n">
        <f aca="false">G109-G110</f>
        <v>871.299797472</v>
      </c>
      <c r="H111" s="8" t="n">
        <f aca="false">H109-H110</f>
        <v>873.5183427204</v>
      </c>
      <c r="I111" s="8" t="n">
        <f aca="false">I109-I110</f>
        <v>737.645997715598</v>
      </c>
      <c r="J111" s="8" t="n">
        <f aca="false">J109-J110</f>
        <v>680.643198820382</v>
      </c>
      <c r="K111" s="8" t="n">
        <f aca="false">K109-K110</f>
        <v>691.903550927591</v>
      </c>
      <c r="L111" s="8" t="n">
        <f aca="false">L109-L110</f>
        <v>703.330297280214</v>
      </c>
      <c r="M111" s="8" t="n">
        <f aca="false">M109-M110</f>
        <v>714.925295443241</v>
      </c>
      <c r="N111" s="8" t="n">
        <f aca="false">N109-N110</f>
        <v>726.690403374964</v>
      </c>
      <c r="O111" s="8" t="n">
        <f aca="false">O109-O110</f>
        <v>738.627478515893</v>
      </c>
      <c r="P111" s="8" t="n">
        <f aca="false">P109-P110</f>
        <v>750.738376836477</v>
      </c>
      <c r="Q111" s="8" t="n">
        <f aca="false">Q109-Q110</f>
        <v>763.024951842229</v>
      </c>
      <c r="R111" s="8" t="n">
        <f aca="false">R109-R110</f>
        <v>775.489053534821</v>
      </c>
      <c r="S111" s="8" t="n">
        <f aca="false">S109-S110</f>
        <v>788.132527327659</v>
      </c>
      <c r="T111" s="8" t="n">
        <f aca="false">T109-T110</f>
        <v>800.957212914407</v>
      </c>
      <c r="U111" s="8" t="n">
        <f aca="false">U109-U110</f>
        <v>813.964943088895</v>
      </c>
      <c r="V111" s="8" t="n">
        <f aca="false">V109-V110</f>
        <v>827.157542514777</v>
      </c>
      <c r="W111" s="8" t="n">
        <f aca="false">W109-W110</f>
        <v>840.536826443281</v>
      </c>
      <c r="X111" s="8" t="n">
        <f aca="false">X109-X110</f>
        <v>854.104599377309</v>
      </c>
      <c r="Y111" s="8" t="n">
        <f aca="false">Y109-Y110</f>
        <v>867.862653680146</v>
      </c>
      <c r="Z111" s="8" t="n">
        <f aca="false">Z109-Z110</f>
        <v>881.812768126924</v>
      </c>
      <c r="AA111" s="8" t="n">
        <f aca="false">AA109-AA110</f>
        <v>895.956706396965</v>
      </c>
      <c r="AB111" s="8" t="n">
        <f aca="false">AB109-AB110</f>
        <v>910.296215505095</v>
      </c>
      <c r="AC111" s="8" t="n">
        <f aca="false">AC109-AC110</f>
        <v>924.833024169893</v>
      </c>
      <c r="AD111" s="8" t="n">
        <f aca="false">AD109-AD110</f>
        <v>939.568841116854</v>
      </c>
      <c r="AE111" s="8" t="n">
        <f aca="false">AE109-AE110</f>
        <v>954.505353314343</v>
      </c>
      <c r="AF111" s="8" t="n">
        <f aca="false">AF109-AF110</f>
        <v>969.644224140161</v>
      </c>
      <c r="AG111" s="8" t="n">
        <f aca="false">AG109-AG110</f>
        <v>984.987091476484</v>
      </c>
      <c r="AH111" s="8" t="n">
        <f aca="false">AH109-AH110</f>
        <v>1000.53556573087</v>
      </c>
      <c r="AI111" s="8" t="n">
        <f aca="false">AI109-AI110</f>
        <v>1016.29122778097</v>
      </c>
      <c r="AJ111" s="8" t="n">
        <f aca="false">AJ109-AJ110</f>
        <v>0</v>
      </c>
      <c r="AK111" s="8" t="n">
        <f aca="false">AK109-AK110</f>
        <v>0</v>
      </c>
      <c r="AL111" s="8" t="n">
        <f aca="false">AL109-AL110</f>
        <v>0</v>
      </c>
      <c r="AM111" s="8" t="n">
        <f aca="false">AM109-AM110</f>
        <v>0</v>
      </c>
      <c r="AN111" s="8" t="n">
        <f aca="false">AN109-AN110</f>
        <v>0</v>
      </c>
      <c r="AO111" s="8" t="n">
        <f aca="false">AO109-AO110</f>
        <v>0</v>
      </c>
      <c r="AP111" s="8" t="n">
        <f aca="false">AP109-AP110</f>
        <v>0</v>
      </c>
      <c r="AQ111" s="8" t="n">
        <f aca="false">AQ109-AQ110</f>
        <v>0</v>
      </c>
      <c r="AR111" s="8" t="n">
        <f aca="false">AR109-AR110</f>
        <v>0</v>
      </c>
      <c r="AS111" s="8" t="n">
        <f aca="false">AS109-AS110</f>
        <v>0</v>
      </c>
    </row>
    <row r="112" customFormat="false" ht="15" hidden="false" customHeight="false" outlineLevel="0" collapsed="false">
      <c r="A112" s="6" t="s">
        <v>457</v>
      </c>
      <c r="B112" s="6" t="s">
        <v>458</v>
      </c>
      <c r="C112" s="9" t="n">
        <f aca="false">SUM(G112:AS112)</f>
        <v>5065.20402349855</v>
      </c>
      <c r="G112" s="8" t="n">
        <f aca="false">((VST_Assets!$S$4*VST_Assets!$D$4*1000*G$4*G96+VST_Assets!$P$4*(1+VST_Assets!$Q$4)^(G$3-2026)*(G98+G99))/1000000+IF(G$3=VST_Assets!$AH$4,VST_Assets!$AG$4,0))*(1+VST_CapexAdj)</f>
        <v>121.014149256</v>
      </c>
      <c r="H112" s="8" t="n">
        <f aca="false">((VST_Assets!$S$4*VST_Assets!$D$4*1000*H$4*H96+VST_Assets!$P$4*(1+VST_Assets!$Q$4)^(H$3-2026)*(H98+H99))/1000000+IF(H$3=VST_Assets!$AH$4,VST_Assets!$AG$4,0))*(1+VST_CapexAdj)</f>
        <v>124.0395029874</v>
      </c>
      <c r="I112" s="8" t="n">
        <f aca="false">((VST_Assets!$S$4*VST_Assets!$D$4*1000*I$4*I96+VST_Assets!$P$4*(1+VST_Assets!$Q$4)^(I$3-2026)*(I98+I99))/1000000+IF(I$3=VST_Assets!$AH$4,VST_Assets!$AG$4,0))*(1+VST_CapexAdj)</f>
        <v>127.140490562085</v>
      </c>
      <c r="J112" s="8" t="n">
        <f aca="false">((VST_Assets!$S$4*VST_Assets!$D$4*1000*J$4*J96+VST_Assets!$P$4*(1+VST_Assets!$Q$4)^(J$3-2026)*(J98+J99))/1000000+IF(J$3=VST_Assets!$AH$4,VST_Assets!$AG$4,0))*(1+VST_CapexAdj)</f>
        <v>130.319002826137</v>
      </c>
      <c r="K112" s="8" t="n">
        <f aca="false">((VST_Assets!$S$4*VST_Assets!$D$4*1000*K$4*K96+VST_Assets!$P$4*(1+VST_Assets!$Q$4)^(K$3-2026)*(K98+K99))/1000000+IF(K$3=VST_Assets!$AH$4,VST_Assets!$AG$4,0))*(1+VST_CapexAdj)</f>
        <v>133.576977896791</v>
      </c>
      <c r="L112" s="8" t="n">
        <f aca="false">((VST_Assets!$S$4*VST_Assets!$D$4*1000*L$4*L96+VST_Assets!$P$4*(1+VST_Assets!$Q$4)^(L$3-2026)*(L98+L99))/1000000+IF(L$3=VST_Assets!$AH$4,VST_Assets!$AG$4,0))*(1+VST_CapexAdj)</f>
        <v>136.91640234421</v>
      </c>
      <c r="M112" s="8" t="n">
        <f aca="false">((VST_Assets!$S$4*VST_Assets!$D$4*1000*M$4*M96+VST_Assets!$P$4*(1+VST_Assets!$Q$4)^(M$3-2026)*(M98+M99))/1000000+IF(M$3=VST_Assets!$AH$4,VST_Assets!$AG$4,0))*(1+VST_CapexAdj)</f>
        <v>140.339312402816</v>
      </c>
      <c r="N112" s="8" t="n">
        <f aca="false">((VST_Assets!$S$4*VST_Assets!$D$4*1000*N$4*N96+VST_Assets!$P$4*(1+VST_Assets!$Q$4)^(N$3-2026)*(N98+N99))/1000000+IF(N$3=VST_Assets!$AH$4,VST_Assets!$AG$4,0))*(1+VST_CapexAdj)</f>
        <v>143.847795212886</v>
      </c>
      <c r="O112" s="8" t="n">
        <f aca="false">((VST_Assets!$S$4*VST_Assets!$D$4*1000*O$4*O96+VST_Assets!$P$4*(1+VST_Assets!$Q$4)^(O$3-2026)*(O98+O99))/1000000+IF(O$3=VST_Assets!$AH$4,VST_Assets!$AG$4,0))*(1+VST_CapexAdj)</f>
        <v>147.443990093208</v>
      </c>
      <c r="P112" s="8" t="n">
        <f aca="false">((VST_Assets!$S$4*VST_Assets!$D$4*1000*P$4*P96+VST_Assets!$P$4*(1+VST_Assets!$Q$4)^(P$3-2026)*(P98+P99))/1000000+IF(P$3=VST_Assets!$AH$4,VST_Assets!$AG$4,0))*(1+VST_CapexAdj)</f>
        <v>151.130089845538</v>
      </c>
      <c r="Q112" s="8" t="n">
        <f aca="false">((VST_Assets!$S$4*VST_Assets!$D$4*1000*Q$4*Q96+VST_Assets!$P$4*(1+VST_Assets!$Q$4)^(Q$3-2026)*(Q98+Q99))/1000000+IF(Q$3=VST_Assets!$AH$4,VST_Assets!$AG$4,0))*(1+VST_CapexAdj)</f>
        <v>154.908342091677</v>
      </c>
      <c r="R112" s="8" t="n">
        <f aca="false">((VST_Assets!$S$4*VST_Assets!$D$4*1000*R$4*R96+VST_Assets!$P$4*(1+VST_Assets!$Q$4)^(R$3-2026)*(R98+R99))/1000000+IF(R$3=VST_Assets!$AH$4,VST_Assets!$AG$4,0))*(1+VST_CapexAdj)</f>
        <v>158.781050643969</v>
      </c>
      <c r="S112" s="8" t="n">
        <f aca="false">((VST_Assets!$S$4*VST_Assets!$D$4*1000*S$4*S96+VST_Assets!$P$4*(1+VST_Assets!$Q$4)^(S$3-2026)*(S98+S99))/1000000+IF(S$3=VST_Assets!$AH$4,VST_Assets!$AG$4,0))*(1+VST_CapexAdj)</f>
        <v>162.750576910068</v>
      </c>
      <c r="T112" s="8" t="n">
        <f aca="false">((VST_Assets!$S$4*VST_Assets!$D$4*1000*T$4*T96+VST_Assets!$P$4*(1+VST_Assets!$Q$4)^(T$3-2026)*(T98+T99))/1000000+IF(T$3=VST_Assets!$AH$4,VST_Assets!$AG$4,0))*(1+VST_CapexAdj)</f>
        <v>166.819341332819</v>
      </c>
      <c r="U112" s="8" t="n">
        <f aca="false">((VST_Assets!$S$4*VST_Assets!$D$4*1000*U$4*U96+VST_Assets!$P$4*(1+VST_Assets!$Q$4)^(U$3-2026)*(U98+U99))/1000000+IF(U$3=VST_Assets!$AH$4,VST_Assets!$AG$4,0))*(1+VST_CapexAdj)</f>
        <v>170.98982486614</v>
      </c>
      <c r="V112" s="8" t="n">
        <f aca="false">((VST_Assets!$S$4*VST_Assets!$D$4*1000*V$4*V96+VST_Assets!$P$4*(1+VST_Assets!$Q$4)^(V$3-2026)*(V98+V99))/1000000+IF(V$3=VST_Assets!$AH$4,VST_Assets!$AG$4,0))*(1+VST_CapexAdj)</f>
        <v>175.264570487793</v>
      </c>
      <c r="W112" s="8" t="n">
        <f aca="false">((VST_Assets!$S$4*VST_Assets!$D$4*1000*W$4*W96+VST_Assets!$P$4*(1+VST_Assets!$Q$4)^(W$3-2026)*(W98+W99))/1000000+IF(W$3=VST_Assets!$AH$4,VST_Assets!$AG$4,0))*(1+VST_CapexAdj)</f>
        <v>179.646184749988</v>
      </c>
      <c r="X112" s="8" t="n">
        <f aca="false">((VST_Assets!$S$4*VST_Assets!$D$4*1000*X$4*X96+VST_Assets!$P$4*(1+VST_Assets!$Q$4)^(X$3-2026)*(X98+X99))/1000000+IF(X$3=VST_Assets!$AH$4,VST_Assets!$AG$4,0))*(1+VST_CapexAdj)</f>
        <v>184.137339368738</v>
      </c>
      <c r="Y112" s="8" t="n">
        <f aca="false">((VST_Assets!$S$4*VST_Assets!$D$4*1000*Y$4*Y96+VST_Assets!$P$4*(1+VST_Assets!$Q$4)^(Y$3-2026)*(Y98+Y99))/1000000+IF(Y$3=VST_Assets!$AH$4,VST_Assets!$AG$4,0))*(1+VST_CapexAdj)</f>
        <v>188.740772852956</v>
      </c>
      <c r="Z112" s="8" t="n">
        <f aca="false">((VST_Assets!$S$4*VST_Assets!$D$4*1000*Z$4*Z96+VST_Assets!$P$4*(1+VST_Assets!$Q$4)^(Z$3-2026)*(Z98+Z99))/1000000+IF(Z$3=VST_Assets!$AH$4,VST_Assets!$AG$4,0))*(1+VST_CapexAdj)</f>
        <v>193.45929217428</v>
      </c>
      <c r="AA112" s="8" t="n">
        <f aca="false">((VST_Assets!$S$4*VST_Assets!$D$4*1000*AA$4*AA96+VST_Assets!$P$4*(1+VST_Assets!$Q$4)^(AA$3-2026)*(AA98+AA99))/1000000+IF(AA$3=VST_Assets!$AH$4,VST_Assets!$AG$4,0))*(1+VST_CapexAdj)</f>
        <v>198.295774478637</v>
      </c>
      <c r="AB112" s="8" t="n">
        <f aca="false">((VST_Assets!$S$4*VST_Assets!$D$4*1000*AB$4*AB96+VST_Assets!$P$4*(1+VST_Assets!$Q$4)^(AB$3-2026)*(AB98+AB99))/1000000+IF(AB$3=VST_Assets!$AH$4,VST_Assets!$AG$4,0))*(1+VST_CapexAdj)</f>
        <v>203.253168840603</v>
      </c>
      <c r="AC112" s="8" t="n">
        <f aca="false">((VST_Assets!$S$4*VST_Assets!$D$4*1000*AC$4*AC96+VST_Assets!$P$4*(1+VST_Assets!$Q$4)^(AC$3-2026)*(AC98+AC99))/1000000+IF(AC$3=VST_Assets!$AH$4,VST_Assets!$AG$4,0))*(1+VST_CapexAdj)</f>
        <v>208.334498061618</v>
      </c>
      <c r="AD112" s="8" t="n">
        <f aca="false">((VST_Assets!$S$4*VST_Assets!$D$4*1000*AD$4*AD96+VST_Assets!$P$4*(1+VST_Assets!$Q$4)^(AD$3-2026)*(AD98+AD99))/1000000+IF(AD$3=VST_Assets!$AH$4,VST_Assets!$AG$4,0))*(1+VST_CapexAdj)</f>
        <v>213.542860513159</v>
      </c>
      <c r="AE112" s="8" t="n">
        <f aca="false">((VST_Assets!$S$4*VST_Assets!$D$4*1000*AE$4*AE96+VST_Assets!$P$4*(1+VST_Assets!$Q$4)^(AE$3-2026)*(AE98+AE99))/1000000+IF(AE$3=VST_Assets!$AH$4,VST_Assets!$AG$4,0))*(1+VST_CapexAdj)</f>
        <v>218.881432025988</v>
      </c>
      <c r="AF112" s="8" t="n">
        <f aca="false">((VST_Assets!$S$4*VST_Assets!$D$4*1000*AF$4*AF96+VST_Assets!$P$4*(1+VST_Assets!$Q$4)^(AF$3-2026)*(AF98+AF99))/1000000+IF(AF$3=VST_Assets!$AH$4,VST_Assets!$AG$4,0))*(1+VST_CapexAdj)</f>
        <v>224.353467826637</v>
      </c>
      <c r="AG112" s="8" t="n">
        <f aca="false">((VST_Assets!$S$4*VST_Assets!$D$4*1000*AG$4*AG96+VST_Assets!$P$4*(1+VST_Assets!$Q$4)^(AG$3-2026)*(AG98+AG99))/1000000+IF(AG$3=VST_Assets!$AH$4,VST_Assets!$AG$4,0))*(1+VST_CapexAdj)</f>
        <v>229.962304522303</v>
      </c>
      <c r="AH112" s="8" t="n">
        <f aca="false">((VST_Assets!$S$4*VST_Assets!$D$4*1000*AH$4*AH96+VST_Assets!$P$4*(1+VST_Assets!$Q$4)^(AH$3-2026)*(AH98+AH99))/1000000+IF(AH$3=VST_Assets!$AH$4,VST_Assets!$AG$4,0))*(1+VST_CapexAdj)</f>
        <v>235.711362135361</v>
      </c>
      <c r="AI112" s="8" t="n">
        <f aca="false">((VST_Assets!$S$4*VST_Assets!$D$4*1000*AI$4*AI96+VST_Assets!$P$4*(1+VST_Assets!$Q$4)^(AI$3-2026)*(AI98+AI99))/1000000+IF(AI$3=VST_Assets!$AH$4,VST_Assets!$AG$4,0))*(1+VST_CapexAdj)</f>
        <v>241.604146188745</v>
      </c>
      <c r="AJ112" s="8" t="n">
        <f aca="false">((VST_Assets!$S$4*VST_Assets!$D$4*1000*AJ$4*AJ96+VST_Assets!$P$4*(1+VST_Assets!$Q$4)^(AJ$3-2026)*(AJ98+AJ99))/1000000+IF(AJ$3=VST_Assets!$AH$4,VST_Assets!$AG$4,0))*(1+VST_CapexAdj)</f>
        <v>0</v>
      </c>
      <c r="AK112" s="8" t="n">
        <f aca="false">((VST_Assets!$S$4*VST_Assets!$D$4*1000*AK$4*AK96+VST_Assets!$P$4*(1+VST_Assets!$Q$4)^(AK$3-2026)*(AK98+AK99))/1000000+IF(AK$3=VST_Assets!$AH$4,VST_Assets!$AG$4,0))*(1+VST_CapexAdj)</f>
        <v>0</v>
      </c>
      <c r="AL112" s="8" t="n">
        <f aca="false">((VST_Assets!$S$4*VST_Assets!$D$4*1000*AL$4*AL96+VST_Assets!$P$4*(1+VST_Assets!$Q$4)^(AL$3-2026)*(AL98+AL99))/1000000+IF(AL$3=VST_Assets!$AH$4,VST_Assets!$AG$4,0))*(1+VST_CapexAdj)</f>
        <v>0</v>
      </c>
      <c r="AM112" s="8" t="n">
        <f aca="false">((VST_Assets!$S$4*VST_Assets!$D$4*1000*AM$4*AM96+VST_Assets!$P$4*(1+VST_Assets!$Q$4)^(AM$3-2026)*(AM98+AM99))/1000000+IF(AM$3=VST_Assets!$AH$4,VST_Assets!$AG$4,0))*(1+VST_CapexAdj)</f>
        <v>0</v>
      </c>
      <c r="AN112" s="8" t="n">
        <f aca="false">((VST_Assets!$S$4*VST_Assets!$D$4*1000*AN$4*AN96+VST_Assets!$P$4*(1+VST_Assets!$Q$4)^(AN$3-2026)*(AN98+AN99))/1000000+IF(AN$3=VST_Assets!$AH$4,VST_Assets!$AG$4,0))*(1+VST_CapexAdj)</f>
        <v>0</v>
      </c>
      <c r="AO112" s="8" t="n">
        <f aca="false">((VST_Assets!$S$4*VST_Assets!$D$4*1000*AO$4*AO96+VST_Assets!$P$4*(1+VST_Assets!$Q$4)^(AO$3-2026)*(AO98+AO99))/1000000+IF(AO$3=VST_Assets!$AH$4,VST_Assets!$AG$4,0))*(1+VST_CapexAdj)</f>
        <v>0</v>
      </c>
      <c r="AP112" s="8" t="n">
        <f aca="false">((VST_Assets!$S$4*VST_Assets!$D$4*1000*AP$4*AP96+VST_Assets!$P$4*(1+VST_Assets!$Q$4)^(AP$3-2026)*(AP98+AP99))/1000000+IF(AP$3=VST_Assets!$AH$4,VST_Assets!$AG$4,0))*(1+VST_CapexAdj)</f>
        <v>0</v>
      </c>
      <c r="AQ112" s="8" t="n">
        <f aca="false">((VST_Assets!$S$4*VST_Assets!$D$4*1000*AQ$4*AQ96+VST_Assets!$P$4*(1+VST_Assets!$Q$4)^(AQ$3-2026)*(AQ98+AQ99))/1000000+IF(AQ$3=VST_Assets!$AH$4,VST_Assets!$AG$4,0))*(1+VST_CapexAdj)</f>
        <v>0</v>
      </c>
      <c r="AR112" s="8" t="n">
        <f aca="false">((VST_Assets!$S$4*VST_Assets!$D$4*1000*AR$4*AR96+VST_Assets!$P$4*(1+VST_Assets!$Q$4)^(AR$3-2026)*(AR98+AR99))/1000000+IF(AR$3=VST_Assets!$AH$4,VST_Assets!$AG$4,0))*(1+VST_CapexAdj)</f>
        <v>0</v>
      </c>
      <c r="AS112" s="8" t="n">
        <f aca="false">((VST_Assets!$S$4*VST_Assets!$D$4*1000*AS$4*AS96+VST_Assets!$P$4*(1+VST_Assets!$Q$4)^(AS$3-2026)*(AS98+AS99))/1000000+IF(AS$3=VST_Assets!$AH$4,VST_Assets!$AG$4,0))*(1+VST_CapexAdj)</f>
        <v>0</v>
      </c>
    </row>
    <row r="113" customFormat="false" ht="15" hidden="false" customHeight="false" outlineLevel="0" collapsed="false">
      <c r="A113" s="6" t="s">
        <v>459</v>
      </c>
      <c r="B113" s="6" t="s">
        <v>460</v>
      </c>
      <c r="C113" s="9" t="n">
        <f aca="false">SUM(G113:AS113)</f>
        <v>19233.7800440903</v>
      </c>
      <c r="G113" s="8" t="n">
        <f aca="false">IF(VST_Assets!$Y$4=1,MAX(0,G111-G112),G111-G112)</f>
        <v>750.285648216</v>
      </c>
      <c r="H113" s="8" t="n">
        <f aca="false">IF(VST_Assets!$Y$4=1,MAX(0,H111-H112),H111-H112)</f>
        <v>749.478839733</v>
      </c>
      <c r="I113" s="8" t="n">
        <f aca="false">IF(VST_Assets!$Y$4=1,MAX(0,I111-I112),I111-I112)</f>
        <v>610.505507153513</v>
      </c>
      <c r="J113" s="8" t="n">
        <f aca="false">IF(VST_Assets!$Y$4=1,MAX(0,J111-J112),J111-J112)</f>
        <v>550.324195994245</v>
      </c>
      <c r="K113" s="8" t="n">
        <f aca="false">IF(VST_Assets!$Y$4=1,MAX(0,K111-K112),K111-K112)</f>
        <v>558.326573030801</v>
      </c>
      <c r="L113" s="8" t="n">
        <f aca="false">IF(VST_Assets!$Y$4=1,MAX(0,L111-L112),L111-L112)</f>
        <v>566.413894936004</v>
      </c>
      <c r="M113" s="8" t="n">
        <f aca="false">IF(VST_Assets!$Y$4=1,MAX(0,M111-M112),M111-M112)</f>
        <v>574.585983040425</v>
      </c>
      <c r="N113" s="8" t="n">
        <f aca="false">IF(VST_Assets!$Y$4=1,MAX(0,N111-N112),N111-N112)</f>
        <v>582.842608162078</v>
      </c>
      <c r="O113" s="8" t="n">
        <f aca="false">IF(VST_Assets!$Y$4=1,MAX(0,O111-O112),O111-O112)</f>
        <v>591.183488422685</v>
      </c>
      <c r="P113" s="8" t="n">
        <f aca="false">IF(VST_Assets!$Y$4=1,MAX(0,P111-P112),P111-P112)</f>
        <v>599.608286990939</v>
      </c>
      <c r="Q113" s="8" t="n">
        <f aca="false">IF(VST_Assets!$Y$4=1,MAX(0,Q111-Q112),Q111-Q112)</f>
        <v>608.116609750552</v>
      </c>
      <c r="R113" s="8" t="n">
        <f aca="false">IF(VST_Assets!$Y$4=1,MAX(0,R111-R112),R111-R112)</f>
        <v>616.708002890852</v>
      </c>
      <c r="S113" s="8" t="n">
        <f aca="false">IF(VST_Assets!$Y$4=1,MAX(0,S111-S112),S111-S112)</f>
        <v>625.381950417591</v>
      </c>
      <c r="T113" s="8" t="n">
        <f aca="false">IF(VST_Assets!$Y$4=1,MAX(0,T111-T112),T111-T112)</f>
        <v>634.137871581587</v>
      </c>
      <c r="U113" s="8" t="n">
        <f aca="false">IF(VST_Assets!$Y$4=1,MAX(0,U111-U112),U111-U112)</f>
        <v>642.975118222755</v>
      </c>
      <c r="V113" s="8" t="n">
        <f aca="false">IF(VST_Assets!$Y$4=1,MAX(0,V111-V112),V111-V112)</f>
        <v>651.892972026984</v>
      </c>
      <c r="W113" s="8" t="n">
        <f aca="false">IF(VST_Assets!$Y$4=1,MAX(0,W111-W112),W111-W112)</f>
        <v>660.890641693292</v>
      </c>
      <c r="X113" s="8" t="n">
        <f aca="false">IF(VST_Assets!$Y$4=1,MAX(0,X111-X112),X111-X112)</f>
        <v>669.967260008571</v>
      </c>
      <c r="Y113" s="8" t="n">
        <f aca="false">IF(VST_Assets!$Y$4=1,MAX(0,Y111-Y112),Y111-Y112)</f>
        <v>679.12188082719</v>
      </c>
      <c r="Z113" s="8" t="n">
        <f aca="false">IF(VST_Assets!$Y$4=1,MAX(0,Z111-Z112),Z111-Z112)</f>
        <v>688.353475952643</v>
      </c>
      <c r="AA113" s="8" t="n">
        <f aca="false">IF(VST_Assets!$Y$4=1,MAX(0,AA111-AA112),AA111-AA112)</f>
        <v>697.660931918328</v>
      </c>
      <c r="AB113" s="8" t="n">
        <f aca="false">IF(VST_Assets!$Y$4=1,MAX(0,AB111-AB112),AB111-AB112)</f>
        <v>707.043046664492</v>
      </c>
      <c r="AC113" s="8" t="n">
        <f aca="false">IF(VST_Assets!$Y$4=1,MAX(0,AC111-AC112),AC111-AC112)</f>
        <v>716.498526108275</v>
      </c>
      <c r="AD113" s="8" t="n">
        <f aca="false">IF(VST_Assets!$Y$4=1,MAX(0,AD111-AD112),AD111-AD112)</f>
        <v>726.025980603696</v>
      </c>
      <c r="AE113" s="8" t="n">
        <f aca="false">IF(VST_Assets!$Y$4=1,MAX(0,AE111-AE112),AE111-AE112)</f>
        <v>735.623921288356</v>
      </c>
      <c r="AF113" s="8" t="n">
        <f aca="false">IF(VST_Assets!$Y$4=1,MAX(0,AF111-AF112),AF111-AF112)</f>
        <v>745.290756313524</v>
      </c>
      <c r="AG113" s="8" t="n">
        <f aca="false">IF(VST_Assets!$Y$4=1,MAX(0,AG111-AG112),AG111-AG112)</f>
        <v>755.02478695418</v>
      </c>
      <c r="AH113" s="8" t="n">
        <f aca="false">IF(VST_Assets!$Y$4=1,MAX(0,AH111-AH112),AH111-AH112)</f>
        <v>764.82420359551</v>
      </c>
      <c r="AI113" s="8" t="n">
        <f aca="false">IF(VST_Assets!$Y$4=1,MAX(0,AI111-AI112),AI111-AI112)</f>
        <v>774.687081592222</v>
      </c>
      <c r="AJ113" s="8" t="n">
        <f aca="false">IF(VST_Assets!$Y$4=1,MAX(0,AJ111-AJ112),AJ111-AJ112)</f>
        <v>0</v>
      </c>
      <c r="AK113" s="8" t="n">
        <f aca="false">IF(VST_Assets!$Y$4=1,MAX(0,AK111-AK112),AK111-AK112)</f>
        <v>0</v>
      </c>
      <c r="AL113" s="8" t="n">
        <f aca="false">IF(VST_Assets!$Y$4=1,MAX(0,AL111-AL112),AL111-AL112)</f>
        <v>0</v>
      </c>
      <c r="AM113" s="8" t="n">
        <f aca="false">IF(VST_Assets!$Y$4=1,MAX(0,AM111-AM112),AM111-AM112)</f>
        <v>0</v>
      </c>
      <c r="AN113" s="8" t="n">
        <f aca="false">IF(VST_Assets!$Y$4=1,MAX(0,AN111-AN112),AN111-AN112)</f>
        <v>0</v>
      </c>
      <c r="AO113" s="8" t="n">
        <f aca="false">IF(VST_Assets!$Y$4=1,MAX(0,AO111-AO112),AO111-AO112)</f>
        <v>0</v>
      </c>
      <c r="AP113" s="8" t="n">
        <f aca="false">IF(VST_Assets!$Y$4=1,MAX(0,AP111-AP112),AP111-AP112)</f>
        <v>0</v>
      </c>
      <c r="AQ113" s="8" t="n">
        <f aca="false">IF(VST_Assets!$Y$4=1,MAX(0,AQ111-AQ112),AQ111-AQ112)</f>
        <v>0</v>
      </c>
      <c r="AR113" s="8" t="n">
        <f aca="false">IF(VST_Assets!$Y$4=1,MAX(0,AR111-AR112),AR111-AR112)</f>
        <v>0</v>
      </c>
      <c r="AS113" s="8" t="n">
        <f aca="false">IF(VST_Assets!$Y$4=1,MAX(0,AS111-AS112),AS111-AS112)</f>
        <v>0</v>
      </c>
    </row>
    <row r="114" customFormat="false" ht="15" hidden="false" customHeight="false" outlineLevel="0" collapsed="false">
      <c r="A114" s="6" t="s">
        <v>461</v>
      </c>
      <c r="B114" s="6" t="s">
        <v>462</v>
      </c>
      <c r="C114" s="9" t="n">
        <f aca="false">SUM(G114:AS114)</f>
        <v>0</v>
      </c>
      <c r="G114" s="8" t="n">
        <f aca="false">IF(AND(VST_Assets!$W$4=1,G$3&lt;=PTCLast,G98&gt;0),G98*MAX(0,PTCCredit*(1+Infl)^(G$3-PTCBase)-0.8*MAX(0,(G103+G104+G106)*1000000/MAX(1,G98)-PTCThresh*(1+Infl)^(G$3-PTCBase)))/1000000,0)</f>
        <v>0</v>
      </c>
      <c r="H114" s="8" t="n">
        <f aca="false">IF(AND(VST_Assets!$W$4=1,H$3&lt;=PTCLast,H98&gt;0),H98*MAX(0,PTCCredit*(1+Infl)^(H$3-PTCBase)-0.8*MAX(0,(H103+H104+H106)*1000000/MAX(1,H98)-PTCThresh*(1+Infl)^(H$3-PTCBase)))/1000000,0)</f>
        <v>0</v>
      </c>
      <c r="I114" s="8" t="n">
        <f aca="false">IF(AND(VST_Assets!$W$4=1,I$3&lt;=PTCLast,I98&gt;0),I98*MAX(0,PTCCredit*(1+Infl)^(I$3-PTCBase)-0.8*MAX(0,(I103+I104+I106)*1000000/MAX(1,I98)-PTCThresh*(1+Infl)^(I$3-PTCBase)))/1000000,0)</f>
        <v>0</v>
      </c>
      <c r="J114" s="8" t="n">
        <f aca="false">IF(AND(VST_Assets!$W$4=1,J$3&lt;=PTCLast,J98&gt;0),J98*MAX(0,PTCCredit*(1+Infl)^(J$3-PTCBase)-0.8*MAX(0,(J103+J104+J106)*1000000/MAX(1,J98)-PTCThresh*(1+Infl)^(J$3-PTCBase)))/1000000,0)</f>
        <v>0</v>
      </c>
      <c r="K114" s="8" t="n">
        <f aca="false">IF(AND(VST_Assets!$W$4=1,K$3&lt;=PTCLast,K98&gt;0),K98*MAX(0,PTCCredit*(1+Infl)^(K$3-PTCBase)-0.8*MAX(0,(K103+K104+K106)*1000000/MAX(1,K98)-PTCThresh*(1+Infl)^(K$3-PTCBase)))/1000000,0)</f>
        <v>0</v>
      </c>
      <c r="L114" s="8" t="n">
        <f aca="false">IF(AND(VST_Assets!$W$4=1,L$3&lt;=PTCLast,L98&gt;0),L98*MAX(0,PTCCredit*(1+Infl)^(L$3-PTCBase)-0.8*MAX(0,(L103+L104+L106)*1000000/MAX(1,L98)-PTCThresh*(1+Infl)^(L$3-PTCBase)))/1000000,0)</f>
        <v>0</v>
      </c>
      <c r="M114" s="8" t="n">
        <f aca="false">IF(AND(VST_Assets!$W$4=1,M$3&lt;=PTCLast,M98&gt;0),M98*MAX(0,PTCCredit*(1+Infl)^(M$3-PTCBase)-0.8*MAX(0,(M103+M104+M106)*1000000/MAX(1,M98)-PTCThresh*(1+Infl)^(M$3-PTCBase)))/1000000,0)</f>
        <v>0</v>
      </c>
      <c r="N114" s="8" t="n">
        <f aca="false">IF(AND(VST_Assets!$W$4=1,N$3&lt;=PTCLast,N98&gt;0),N98*MAX(0,PTCCredit*(1+Infl)^(N$3-PTCBase)-0.8*MAX(0,(N103+N104+N106)*1000000/MAX(1,N98)-PTCThresh*(1+Infl)^(N$3-PTCBase)))/1000000,0)</f>
        <v>0</v>
      </c>
      <c r="O114" s="8" t="n">
        <f aca="false">IF(AND(VST_Assets!$W$4=1,O$3&lt;=PTCLast,O98&gt;0),O98*MAX(0,PTCCredit*(1+Infl)^(O$3-PTCBase)-0.8*MAX(0,(O103+O104+O106)*1000000/MAX(1,O98)-PTCThresh*(1+Infl)^(O$3-PTCBase)))/1000000,0)</f>
        <v>0</v>
      </c>
      <c r="P114" s="8" t="n">
        <f aca="false">IF(AND(VST_Assets!$W$4=1,P$3&lt;=PTCLast,P98&gt;0),P98*MAX(0,PTCCredit*(1+Infl)^(P$3-PTCBase)-0.8*MAX(0,(P103+P104+P106)*1000000/MAX(1,P98)-PTCThresh*(1+Infl)^(P$3-PTCBase)))/1000000,0)</f>
        <v>0</v>
      </c>
      <c r="Q114" s="8" t="n">
        <f aca="false">IF(AND(VST_Assets!$W$4=1,Q$3&lt;=PTCLast,Q98&gt;0),Q98*MAX(0,PTCCredit*(1+Infl)^(Q$3-PTCBase)-0.8*MAX(0,(Q103+Q104+Q106)*1000000/MAX(1,Q98)-PTCThresh*(1+Infl)^(Q$3-PTCBase)))/1000000,0)</f>
        <v>0</v>
      </c>
      <c r="R114" s="8" t="n">
        <f aca="false">IF(AND(VST_Assets!$W$4=1,R$3&lt;=PTCLast,R98&gt;0),R98*MAX(0,PTCCredit*(1+Infl)^(R$3-PTCBase)-0.8*MAX(0,(R103+R104+R106)*1000000/MAX(1,R98)-PTCThresh*(1+Infl)^(R$3-PTCBase)))/1000000,0)</f>
        <v>0</v>
      </c>
      <c r="S114" s="8" t="n">
        <f aca="false">IF(AND(VST_Assets!$W$4=1,S$3&lt;=PTCLast,S98&gt;0),S98*MAX(0,PTCCredit*(1+Infl)^(S$3-PTCBase)-0.8*MAX(0,(S103+S104+S106)*1000000/MAX(1,S98)-PTCThresh*(1+Infl)^(S$3-PTCBase)))/1000000,0)</f>
        <v>0</v>
      </c>
      <c r="T114" s="8" t="n">
        <f aca="false">IF(AND(VST_Assets!$W$4=1,T$3&lt;=PTCLast,T98&gt;0),T98*MAX(0,PTCCredit*(1+Infl)^(T$3-PTCBase)-0.8*MAX(0,(T103+T104+T106)*1000000/MAX(1,T98)-PTCThresh*(1+Infl)^(T$3-PTCBase)))/1000000,0)</f>
        <v>0</v>
      </c>
      <c r="U114" s="8" t="n">
        <f aca="false">IF(AND(VST_Assets!$W$4=1,U$3&lt;=PTCLast,U98&gt;0),U98*MAX(0,PTCCredit*(1+Infl)^(U$3-PTCBase)-0.8*MAX(0,(U103+U104+U106)*1000000/MAX(1,U98)-PTCThresh*(1+Infl)^(U$3-PTCBase)))/1000000,0)</f>
        <v>0</v>
      </c>
      <c r="V114" s="8" t="n">
        <f aca="false">IF(AND(VST_Assets!$W$4=1,V$3&lt;=PTCLast,V98&gt;0),V98*MAX(0,PTCCredit*(1+Infl)^(V$3-PTCBase)-0.8*MAX(0,(V103+V104+V106)*1000000/MAX(1,V98)-PTCThresh*(1+Infl)^(V$3-PTCBase)))/1000000,0)</f>
        <v>0</v>
      </c>
      <c r="W114" s="8" t="n">
        <f aca="false">IF(AND(VST_Assets!$W$4=1,W$3&lt;=PTCLast,W98&gt;0),W98*MAX(0,PTCCredit*(1+Infl)^(W$3-PTCBase)-0.8*MAX(0,(W103+W104+W106)*1000000/MAX(1,W98)-PTCThresh*(1+Infl)^(W$3-PTCBase)))/1000000,0)</f>
        <v>0</v>
      </c>
      <c r="X114" s="8" t="n">
        <f aca="false">IF(AND(VST_Assets!$W$4=1,X$3&lt;=PTCLast,X98&gt;0),X98*MAX(0,PTCCredit*(1+Infl)^(X$3-PTCBase)-0.8*MAX(0,(X103+X104+X106)*1000000/MAX(1,X98)-PTCThresh*(1+Infl)^(X$3-PTCBase)))/1000000,0)</f>
        <v>0</v>
      </c>
      <c r="Y114" s="8" t="n">
        <f aca="false">IF(AND(VST_Assets!$W$4=1,Y$3&lt;=PTCLast,Y98&gt;0),Y98*MAX(0,PTCCredit*(1+Infl)^(Y$3-PTCBase)-0.8*MAX(0,(Y103+Y104+Y106)*1000000/MAX(1,Y98)-PTCThresh*(1+Infl)^(Y$3-PTCBase)))/1000000,0)</f>
        <v>0</v>
      </c>
      <c r="Z114" s="8" t="n">
        <f aca="false">IF(AND(VST_Assets!$W$4=1,Z$3&lt;=PTCLast,Z98&gt;0),Z98*MAX(0,PTCCredit*(1+Infl)^(Z$3-PTCBase)-0.8*MAX(0,(Z103+Z104+Z106)*1000000/MAX(1,Z98)-PTCThresh*(1+Infl)^(Z$3-PTCBase)))/1000000,0)</f>
        <v>0</v>
      </c>
      <c r="AA114" s="8" t="n">
        <f aca="false">IF(AND(VST_Assets!$W$4=1,AA$3&lt;=PTCLast,AA98&gt;0),AA98*MAX(0,PTCCredit*(1+Infl)^(AA$3-PTCBase)-0.8*MAX(0,(AA103+AA104+AA106)*1000000/MAX(1,AA98)-PTCThresh*(1+Infl)^(AA$3-PTCBase)))/1000000,0)</f>
        <v>0</v>
      </c>
      <c r="AB114" s="8" t="n">
        <f aca="false">IF(AND(VST_Assets!$W$4=1,AB$3&lt;=PTCLast,AB98&gt;0),AB98*MAX(0,PTCCredit*(1+Infl)^(AB$3-PTCBase)-0.8*MAX(0,(AB103+AB104+AB106)*1000000/MAX(1,AB98)-PTCThresh*(1+Infl)^(AB$3-PTCBase)))/1000000,0)</f>
        <v>0</v>
      </c>
      <c r="AC114" s="8" t="n">
        <f aca="false">IF(AND(VST_Assets!$W$4=1,AC$3&lt;=PTCLast,AC98&gt;0),AC98*MAX(0,PTCCredit*(1+Infl)^(AC$3-PTCBase)-0.8*MAX(0,(AC103+AC104+AC106)*1000000/MAX(1,AC98)-PTCThresh*(1+Infl)^(AC$3-PTCBase)))/1000000,0)</f>
        <v>0</v>
      </c>
      <c r="AD114" s="8" t="n">
        <f aca="false">IF(AND(VST_Assets!$W$4=1,AD$3&lt;=PTCLast,AD98&gt;0),AD98*MAX(0,PTCCredit*(1+Infl)^(AD$3-PTCBase)-0.8*MAX(0,(AD103+AD104+AD106)*1000000/MAX(1,AD98)-PTCThresh*(1+Infl)^(AD$3-PTCBase)))/1000000,0)</f>
        <v>0</v>
      </c>
      <c r="AE114" s="8" t="n">
        <f aca="false">IF(AND(VST_Assets!$W$4=1,AE$3&lt;=PTCLast,AE98&gt;0),AE98*MAX(0,PTCCredit*(1+Infl)^(AE$3-PTCBase)-0.8*MAX(0,(AE103+AE104+AE106)*1000000/MAX(1,AE98)-PTCThresh*(1+Infl)^(AE$3-PTCBase)))/1000000,0)</f>
        <v>0</v>
      </c>
      <c r="AF114" s="8" t="n">
        <f aca="false">IF(AND(VST_Assets!$W$4=1,AF$3&lt;=PTCLast,AF98&gt;0),AF98*MAX(0,PTCCredit*(1+Infl)^(AF$3-PTCBase)-0.8*MAX(0,(AF103+AF104+AF106)*1000000/MAX(1,AF98)-PTCThresh*(1+Infl)^(AF$3-PTCBase)))/1000000,0)</f>
        <v>0</v>
      </c>
      <c r="AG114" s="8" t="n">
        <f aca="false">IF(AND(VST_Assets!$W$4=1,AG$3&lt;=PTCLast,AG98&gt;0),AG98*MAX(0,PTCCredit*(1+Infl)^(AG$3-PTCBase)-0.8*MAX(0,(AG103+AG104+AG106)*1000000/MAX(1,AG98)-PTCThresh*(1+Infl)^(AG$3-PTCBase)))/1000000,0)</f>
        <v>0</v>
      </c>
      <c r="AH114" s="8" t="n">
        <f aca="false">IF(AND(VST_Assets!$W$4=1,AH$3&lt;=PTCLast,AH98&gt;0),AH98*MAX(0,PTCCredit*(1+Infl)^(AH$3-PTCBase)-0.8*MAX(0,(AH103+AH104+AH106)*1000000/MAX(1,AH98)-PTCThresh*(1+Infl)^(AH$3-PTCBase)))/1000000,0)</f>
        <v>0</v>
      </c>
      <c r="AI114" s="8" t="n">
        <f aca="false">IF(AND(VST_Assets!$W$4=1,AI$3&lt;=PTCLast,AI98&gt;0),AI98*MAX(0,PTCCredit*(1+Infl)^(AI$3-PTCBase)-0.8*MAX(0,(AI103+AI104+AI106)*1000000/MAX(1,AI98)-PTCThresh*(1+Infl)^(AI$3-PTCBase)))/1000000,0)</f>
        <v>0</v>
      </c>
      <c r="AJ114" s="8" t="n">
        <f aca="false">IF(AND(VST_Assets!$W$4=1,AJ$3&lt;=PTCLast,AJ98&gt;0),AJ98*MAX(0,PTCCredit*(1+Infl)^(AJ$3-PTCBase)-0.8*MAX(0,(AJ103+AJ104+AJ106)*1000000/MAX(1,AJ98)-PTCThresh*(1+Infl)^(AJ$3-PTCBase)))/1000000,0)</f>
        <v>0</v>
      </c>
      <c r="AK114" s="8" t="n">
        <f aca="false">IF(AND(VST_Assets!$W$4=1,AK$3&lt;=PTCLast,AK98&gt;0),AK98*MAX(0,PTCCredit*(1+Infl)^(AK$3-PTCBase)-0.8*MAX(0,(AK103+AK104+AK106)*1000000/MAX(1,AK98)-PTCThresh*(1+Infl)^(AK$3-PTCBase)))/1000000,0)</f>
        <v>0</v>
      </c>
      <c r="AL114" s="8" t="n">
        <f aca="false">IF(AND(VST_Assets!$W$4=1,AL$3&lt;=PTCLast,AL98&gt;0),AL98*MAX(0,PTCCredit*(1+Infl)^(AL$3-PTCBase)-0.8*MAX(0,(AL103+AL104+AL106)*1000000/MAX(1,AL98)-PTCThresh*(1+Infl)^(AL$3-PTCBase)))/1000000,0)</f>
        <v>0</v>
      </c>
      <c r="AM114" s="8" t="n">
        <f aca="false">IF(AND(VST_Assets!$W$4=1,AM$3&lt;=PTCLast,AM98&gt;0),AM98*MAX(0,PTCCredit*(1+Infl)^(AM$3-PTCBase)-0.8*MAX(0,(AM103+AM104+AM106)*1000000/MAX(1,AM98)-PTCThresh*(1+Infl)^(AM$3-PTCBase)))/1000000,0)</f>
        <v>0</v>
      </c>
      <c r="AN114" s="8" t="n">
        <f aca="false">IF(AND(VST_Assets!$W$4=1,AN$3&lt;=PTCLast,AN98&gt;0),AN98*MAX(0,PTCCredit*(1+Infl)^(AN$3-PTCBase)-0.8*MAX(0,(AN103+AN104+AN106)*1000000/MAX(1,AN98)-PTCThresh*(1+Infl)^(AN$3-PTCBase)))/1000000,0)</f>
        <v>0</v>
      </c>
      <c r="AO114" s="8" t="n">
        <f aca="false">IF(AND(VST_Assets!$W$4=1,AO$3&lt;=PTCLast,AO98&gt;0),AO98*MAX(0,PTCCredit*(1+Infl)^(AO$3-PTCBase)-0.8*MAX(0,(AO103+AO104+AO106)*1000000/MAX(1,AO98)-PTCThresh*(1+Infl)^(AO$3-PTCBase)))/1000000,0)</f>
        <v>0</v>
      </c>
      <c r="AP114" s="8" t="n">
        <f aca="false">IF(AND(VST_Assets!$W$4=1,AP$3&lt;=PTCLast,AP98&gt;0),AP98*MAX(0,PTCCredit*(1+Infl)^(AP$3-PTCBase)-0.8*MAX(0,(AP103+AP104+AP106)*1000000/MAX(1,AP98)-PTCThresh*(1+Infl)^(AP$3-PTCBase)))/1000000,0)</f>
        <v>0</v>
      </c>
      <c r="AQ114" s="8" t="n">
        <f aca="false">IF(AND(VST_Assets!$W$4=1,AQ$3&lt;=PTCLast,AQ98&gt;0),AQ98*MAX(0,PTCCredit*(1+Infl)^(AQ$3-PTCBase)-0.8*MAX(0,(AQ103+AQ104+AQ106)*1000000/MAX(1,AQ98)-PTCThresh*(1+Infl)^(AQ$3-PTCBase)))/1000000,0)</f>
        <v>0</v>
      </c>
      <c r="AR114" s="8" t="n">
        <f aca="false">IF(AND(VST_Assets!$W$4=1,AR$3&lt;=PTCLast,AR98&gt;0),AR98*MAX(0,PTCCredit*(1+Infl)^(AR$3-PTCBase)-0.8*MAX(0,(AR103+AR104+AR106)*1000000/MAX(1,AR98)-PTCThresh*(1+Infl)^(AR$3-PTCBase)))/1000000,0)</f>
        <v>0</v>
      </c>
      <c r="AS114" s="8" t="n">
        <f aca="false">IF(AND(VST_Assets!$W$4=1,AS$3&lt;=PTCLast,AS98&gt;0),AS98*MAX(0,PTCCredit*(1+Infl)^(AS$3-PTCBase)-0.8*MAX(0,(AS103+AS104+AS106)*1000000/MAX(1,AS98)-PTCThresh*(1+Infl)^(AS$3-PTCBase)))/1000000,0)</f>
        <v>0</v>
      </c>
    </row>
    <row r="115" customFormat="false" ht="15" hidden="false" customHeight="false" outlineLevel="0" collapsed="false">
      <c r="A115" s="6" t="s">
        <v>463</v>
      </c>
      <c r="B115" s="6" t="s">
        <v>464</v>
      </c>
      <c r="G115" s="8" t="n">
        <f aca="false">G105-G99*(VST_Assets!$N$4*(1+VST_FuelAdj)+VST_Assets!$O$4*(1+VST_OMAdj)+VST_Assets!$P$4*(1+VST_CapexAdj))*(1+VST_Assets!$Q$4)^(G$3-2026)/1000000</f>
        <v>0</v>
      </c>
      <c r="H115" s="8" t="n">
        <f aca="false">H105-H99*(VST_Assets!$N$4*(1+VST_FuelAdj)+VST_Assets!$O$4*(1+VST_OMAdj)+VST_Assets!$P$4*(1+VST_CapexAdj))*(1+VST_Assets!$Q$4)^(H$3-2026)/1000000</f>
        <v>0</v>
      </c>
      <c r="I115" s="8" t="n">
        <f aca="false">I105-I99*(VST_Assets!$N$4*(1+VST_FuelAdj)+VST_Assets!$O$4*(1+VST_OMAdj)+VST_Assets!$P$4*(1+VST_CapexAdj))*(1+VST_Assets!$Q$4)^(I$3-2026)/1000000</f>
        <v>0</v>
      </c>
      <c r="J115" s="8" t="n">
        <f aca="false">J105-J99*(VST_Assets!$N$4*(1+VST_FuelAdj)+VST_Assets!$O$4*(1+VST_OMAdj)+VST_Assets!$P$4*(1+VST_CapexAdj))*(1+VST_Assets!$Q$4)^(J$3-2026)/1000000</f>
        <v>0</v>
      </c>
      <c r="K115" s="8" t="n">
        <f aca="false">K105-K99*(VST_Assets!$N$4*(1+VST_FuelAdj)+VST_Assets!$O$4*(1+VST_OMAdj)+VST_Assets!$P$4*(1+VST_CapexAdj))*(1+VST_Assets!$Q$4)^(K$3-2026)/1000000</f>
        <v>0</v>
      </c>
      <c r="L115" s="8" t="n">
        <f aca="false">L105-L99*(VST_Assets!$N$4*(1+VST_FuelAdj)+VST_Assets!$O$4*(1+VST_OMAdj)+VST_Assets!$P$4*(1+VST_CapexAdj))*(1+VST_Assets!$Q$4)^(L$3-2026)/1000000</f>
        <v>0</v>
      </c>
      <c r="M115" s="8" t="n">
        <f aca="false">M105-M99*(VST_Assets!$N$4*(1+VST_FuelAdj)+VST_Assets!$O$4*(1+VST_OMAdj)+VST_Assets!$P$4*(1+VST_CapexAdj))*(1+VST_Assets!$Q$4)^(M$3-2026)/1000000</f>
        <v>0</v>
      </c>
      <c r="N115" s="8" t="n">
        <f aca="false">N105-N99*(VST_Assets!$N$4*(1+VST_FuelAdj)+VST_Assets!$O$4*(1+VST_OMAdj)+VST_Assets!$P$4*(1+VST_CapexAdj))*(1+VST_Assets!$Q$4)^(N$3-2026)/1000000</f>
        <v>0</v>
      </c>
      <c r="O115" s="8" t="n">
        <f aca="false">O105-O99*(VST_Assets!$N$4*(1+VST_FuelAdj)+VST_Assets!$O$4*(1+VST_OMAdj)+VST_Assets!$P$4*(1+VST_CapexAdj))*(1+VST_Assets!$Q$4)^(O$3-2026)/1000000</f>
        <v>0</v>
      </c>
      <c r="P115" s="8" t="n">
        <f aca="false">P105-P99*(VST_Assets!$N$4*(1+VST_FuelAdj)+VST_Assets!$O$4*(1+VST_OMAdj)+VST_Assets!$P$4*(1+VST_CapexAdj))*(1+VST_Assets!$Q$4)^(P$3-2026)/1000000</f>
        <v>0</v>
      </c>
      <c r="Q115" s="8" t="n">
        <f aca="false">Q105-Q99*(VST_Assets!$N$4*(1+VST_FuelAdj)+VST_Assets!$O$4*(1+VST_OMAdj)+VST_Assets!$P$4*(1+VST_CapexAdj))*(1+VST_Assets!$Q$4)^(Q$3-2026)/1000000</f>
        <v>0</v>
      </c>
      <c r="R115" s="8" t="n">
        <f aca="false">R105-R99*(VST_Assets!$N$4*(1+VST_FuelAdj)+VST_Assets!$O$4*(1+VST_OMAdj)+VST_Assets!$P$4*(1+VST_CapexAdj))*(1+VST_Assets!$Q$4)^(R$3-2026)/1000000</f>
        <v>0</v>
      </c>
      <c r="S115" s="8" t="n">
        <f aca="false">S105-S99*(VST_Assets!$N$4*(1+VST_FuelAdj)+VST_Assets!$O$4*(1+VST_OMAdj)+VST_Assets!$P$4*(1+VST_CapexAdj))*(1+VST_Assets!$Q$4)^(S$3-2026)/1000000</f>
        <v>0</v>
      </c>
      <c r="T115" s="8" t="n">
        <f aca="false">T105-T99*(VST_Assets!$N$4*(1+VST_FuelAdj)+VST_Assets!$O$4*(1+VST_OMAdj)+VST_Assets!$P$4*(1+VST_CapexAdj))*(1+VST_Assets!$Q$4)^(T$3-2026)/1000000</f>
        <v>0</v>
      </c>
      <c r="U115" s="8" t="n">
        <f aca="false">U105-U99*(VST_Assets!$N$4*(1+VST_FuelAdj)+VST_Assets!$O$4*(1+VST_OMAdj)+VST_Assets!$P$4*(1+VST_CapexAdj))*(1+VST_Assets!$Q$4)^(U$3-2026)/1000000</f>
        <v>0</v>
      </c>
      <c r="V115" s="8" t="n">
        <f aca="false">V105-V99*(VST_Assets!$N$4*(1+VST_FuelAdj)+VST_Assets!$O$4*(1+VST_OMAdj)+VST_Assets!$P$4*(1+VST_CapexAdj))*(1+VST_Assets!$Q$4)^(V$3-2026)/1000000</f>
        <v>0</v>
      </c>
      <c r="W115" s="8" t="n">
        <f aca="false">W105-W99*(VST_Assets!$N$4*(1+VST_FuelAdj)+VST_Assets!$O$4*(1+VST_OMAdj)+VST_Assets!$P$4*(1+VST_CapexAdj))*(1+VST_Assets!$Q$4)^(W$3-2026)/1000000</f>
        <v>0</v>
      </c>
      <c r="X115" s="8" t="n">
        <f aca="false">X105-X99*(VST_Assets!$N$4*(1+VST_FuelAdj)+VST_Assets!$O$4*(1+VST_OMAdj)+VST_Assets!$P$4*(1+VST_CapexAdj))*(1+VST_Assets!$Q$4)^(X$3-2026)/1000000</f>
        <v>0</v>
      </c>
      <c r="Y115" s="8" t="n">
        <f aca="false">Y105-Y99*(VST_Assets!$N$4*(1+VST_FuelAdj)+VST_Assets!$O$4*(1+VST_OMAdj)+VST_Assets!$P$4*(1+VST_CapexAdj))*(1+VST_Assets!$Q$4)^(Y$3-2026)/1000000</f>
        <v>0</v>
      </c>
      <c r="Z115" s="8" t="n">
        <f aca="false">Z105-Z99*(VST_Assets!$N$4*(1+VST_FuelAdj)+VST_Assets!$O$4*(1+VST_OMAdj)+VST_Assets!$P$4*(1+VST_CapexAdj))*(1+VST_Assets!$Q$4)^(Z$3-2026)/1000000</f>
        <v>0</v>
      </c>
      <c r="AA115" s="8" t="n">
        <f aca="false">AA105-AA99*(VST_Assets!$N$4*(1+VST_FuelAdj)+VST_Assets!$O$4*(1+VST_OMAdj)+VST_Assets!$P$4*(1+VST_CapexAdj))*(1+VST_Assets!$Q$4)^(AA$3-2026)/1000000</f>
        <v>0</v>
      </c>
      <c r="AB115" s="8" t="n">
        <f aca="false">AB105-AB99*(VST_Assets!$N$4*(1+VST_FuelAdj)+VST_Assets!$O$4*(1+VST_OMAdj)+VST_Assets!$P$4*(1+VST_CapexAdj))*(1+VST_Assets!$Q$4)^(AB$3-2026)/1000000</f>
        <v>0</v>
      </c>
      <c r="AC115" s="8" t="n">
        <f aca="false">AC105-AC99*(VST_Assets!$N$4*(1+VST_FuelAdj)+VST_Assets!$O$4*(1+VST_OMAdj)+VST_Assets!$P$4*(1+VST_CapexAdj))*(1+VST_Assets!$Q$4)^(AC$3-2026)/1000000</f>
        <v>0</v>
      </c>
      <c r="AD115" s="8" t="n">
        <f aca="false">AD105-AD99*(VST_Assets!$N$4*(1+VST_FuelAdj)+VST_Assets!$O$4*(1+VST_OMAdj)+VST_Assets!$P$4*(1+VST_CapexAdj))*(1+VST_Assets!$Q$4)^(AD$3-2026)/1000000</f>
        <v>0</v>
      </c>
      <c r="AE115" s="8" t="n">
        <f aca="false">AE105-AE99*(VST_Assets!$N$4*(1+VST_FuelAdj)+VST_Assets!$O$4*(1+VST_OMAdj)+VST_Assets!$P$4*(1+VST_CapexAdj))*(1+VST_Assets!$Q$4)^(AE$3-2026)/1000000</f>
        <v>0</v>
      </c>
      <c r="AF115" s="8" t="n">
        <f aca="false">AF105-AF99*(VST_Assets!$N$4*(1+VST_FuelAdj)+VST_Assets!$O$4*(1+VST_OMAdj)+VST_Assets!$P$4*(1+VST_CapexAdj))*(1+VST_Assets!$Q$4)^(AF$3-2026)/1000000</f>
        <v>0</v>
      </c>
      <c r="AG115" s="8" t="n">
        <f aca="false">AG105-AG99*(VST_Assets!$N$4*(1+VST_FuelAdj)+VST_Assets!$O$4*(1+VST_OMAdj)+VST_Assets!$P$4*(1+VST_CapexAdj))*(1+VST_Assets!$Q$4)^(AG$3-2026)/1000000</f>
        <v>0</v>
      </c>
      <c r="AH115" s="8" t="n">
        <f aca="false">AH105-AH99*(VST_Assets!$N$4*(1+VST_FuelAdj)+VST_Assets!$O$4*(1+VST_OMAdj)+VST_Assets!$P$4*(1+VST_CapexAdj))*(1+VST_Assets!$Q$4)^(AH$3-2026)/1000000</f>
        <v>0</v>
      </c>
      <c r="AI115" s="8" t="n">
        <f aca="false">AI105-AI99*(VST_Assets!$N$4*(1+VST_FuelAdj)+VST_Assets!$O$4*(1+VST_OMAdj)+VST_Assets!$P$4*(1+VST_CapexAdj))*(1+VST_Assets!$Q$4)^(AI$3-2026)/1000000</f>
        <v>0</v>
      </c>
      <c r="AJ115" s="8" t="n">
        <f aca="false">AJ105-AJ99*(VST_Assets!$N$4*(1+VST_FuelAdj)+VST_Assets!$O$4*(1+VST_OMAdj)+VST_Assets!$P$4*(1+VST_CapexAdj))*(1+VST_Assets!$Q$4)^(AJ$3-2026)/1000000</f>
        <v>0</v>
      </c>
      <c r="AK115" s="8" t="n">
        <f aca="false">AK105-AK99*(VST_Assets!$N$4*(1+VST_FuelAdj)+VST_Assets!$O$4*(1+VST_OMAdj)+VST_Assets!$P$4*(1+VST_CapexAdj))*(1+VST_Assets!$Q$4)^(AK$3-2026)/1000000</f>
        <v>0</v>
      </c>
      <c r="AL115" s="8" t="n">
        <f aca="false">AL105-AL99*(VST_Assets!$N$4*(1+VST_FuelAdj)+VST_Assets!$O$4*(1+VST_OMAdj)+VST_Assets!$P$4*(1+VST_CapexAdj))*(1+VST_Assets!$Q$4)^(AL$3-2026)/1000000</f>
        <v>0</v>
      </c>
      <c r="AM115" s="8" t="n">
        <f aca="false">AM105-AM99*(VST_Assets!$N$4*(1+VST_FuelAdj)+VST_Assets!$O$4*(1+VST_OMAdj)+VST_Assets!$P$4*(1+VST_CapexAdj))*(1+VST_Assets!$Q$4)^(AM$3-2026)/1000000</f>
        <v>0</v>
      </c>
      <c r="AN115" s="8" t="n">
        <f aca="false">AN105-AN99*(VST_Assets!$N$4*(1+VST_FuelAdj)+VST_Assets!$O$4*(1+VST_OMAdj)+VST_Assets!$P$4*(1+VST_CapexAdj))*(1+VST_Assets!$Q$4)^(AN$3-2026)/1000000</f>
        <v>0</v>
      </c>
      <c r="AO115" s="8" t="n">
        <f aca="false">AO105-AO99*(VST_Assets!$N$4*(1+VST_FuelAdj)+VST_Assets!$O$4*(1+VST_OMAdj)+VST_Assets!$P$4*(1+VST_CapexAdj))*(1+VST_Assets!$Q$4)^(AO$3-2026)/1000000</f>
        <v>0</v>
      </c>
      <c r="AP115" s="8" t="n">
        <f aca="false">AP105-AP99*(VST_Assets!$N$4*(1+VST_FuelAdj)+VST_Assets!$O$4*(1+VST_OMAdj)+VST_Assets!$P$4*(1+VST_CapexAdj))*(1+VST_Assets!$Q$4)^(AP$3-2026)/1000000</f>
        <v>0</v>
      </c>
      <c r="AQ115" s="8" t="n">
        <f aca="false">AQ105-AQ99*(VST_Assets!$N$4*(1+VST_FuelAdj)+VST_Assets!$O$4*(1+VST_OMAdj)+VST_Assets!$P$4*(1+VST_CapexAdj))*(1+VST_Assets!$Q$4)^(AQ$3-2026)/1000000</f>
        <v>0</v>
      </c>
      <c r="AR115" s="8" t="n">
        <f aca="false">AR105-AR99*(VST_Assets!$N$4*(1+VST_FuelAdj)+VST_Assets!$O$4*(1+VST_OMAdj)+VST_Assets!$P$4*(1+VST_CapexAdj))*(1+VST_Assets!$Q$4)^(AR$3-2026)/1000000</f>
        <v>0</v>
      </c>
      <c r="AS115" s="8" t="n">
        <f aca="false">AS105-AS99*(VST_Assets!$N$4*(1+VST_FuelAdj)+VST_Assets!$O$4*(1+VST_OMAdj)+VST_Assets!$P$4*(1+VST_CapexAdj))*(1+VST_Assets!$Q$4)^(AS$3-2026)/1000000</f>
        <v>0</v>
      </c>
    </row>
    <row r="116" customFormat="false" ht="15" hidden="false" customHeight="false" outlineLevel="0" collapsed="false">
      <c r="A116" s="6" t="s">
        <v>465</v>
      </c>
      <c r="B116" s="6" t="s">
        <v>466</v>
      </c>
      <c r="G116" s="8" t="n">
        <f aca="false">G113-G115</f>
        <v>750.285648216</v>
      </c>
      <c r="H116" s="8" t="n">
        <f aca="false">H113-H115</f>
        <v>749.478839733</v>
      </c>
      <c r="I116" s="8" t="n">
        <f aca="false">I113-I115</f>
        <v>610.505507153513</v>
      </c>
      <c r="J116" s="8" t="n">
        <f aca="false">J113-J115</f>
        <v>550.324195994245</v>
      </c>
      <c r="K116" s="8" t="n">
        <f aca="false">K113-K115</f>
        <v>558.326573030801</v>
      </c>
      <c r="L116" s="8" t="n">
        <f aca="false">L113-L115</f>
        <v>566.413894936004</v>
      </c>
      <c r="M116" s="8" t="n">
        <f aca="false">M113-M115</f>
        <v>574.585983040425</v>
      </c>
      <c r="N116" s="8" t="n">
        <f aca="false">N113-N115</f>
        <v>582.842608162078</v>
      </c>
      <c r="O116" s="8" t="n">
        <f aca="false">O113-O115</f>
        <v>591.183488422685</v>
      </c>
      <c r="P116" s="8" t="n">
        <f aca="false">P113-P115</f>
        <v>599.608286990939</v>
      </c>
      <c r="Q116" s="8" t="n">
        <f aca="false">Q113-Q115</f>
        <v>608.116609750552</v>
      </c>
      <c r="R116" s="8" t="n">
        <f aca="false">R113-R115</f>
        <v>616.708002890852</v>
      </c>
      <c r="S116" s="8" t="n">
        <f aca="false">S113-S115</f>
        <v>625.381950417591</v>
      </c>
      <c r="T116" s="8" t="n">
        <f aca="false">T113-T115</f>
        <v>634.137871581587</v>
      </c>
      <c r="U116" s="8" t="n">
        <f aca="false">U113-U115</f>
        <v>642.975118222755</v>
      </c>
      <c r="V116" s="8" t="n">
        <f aca="false">V113-V115</f>
        <v>651.892972026984</v>
      </c>
      <c r="W116" s="8" t="n">
        <f aca="false">W113-W115</f>
        <v>660.890641693292</v>
      </c>
      <c r="X116" s="8" t="n">
        <f aca="false">X113-X115</f>
        <v>669.967260008571</v>
      </c>
      <c r="Y116" s="8" t="n">
        <f aca="false">Y113-Y115</f>
        <v>679.12188082719</v>
      </c>
      <c r="Z116" s="8" t="n">
        <f aca="false">Z113-Z115</f>
        <v>688.353475952643</v>
      </c>
      <c r="AA116" s="8" t="n">
        <f aca="false">AA113-AA115</f>
        <v>697.660931918328</v>
      </c>
      <c r="AB116" s="8" t="n">
        <f aca="false">AB113-AB115</f>
        <v>707.043046664492</v>
      </c>
      <c r="AC116" s="8" t="n">
        <f aca="false">AC113-AC115</f>
        <v>716.498526108275</v>
      </c>
      <c r="AD116" s="8" t="n">
        <f aca="false">AD113-AD115</f>
        <v>726.025980603696</v>
      </c>
      <c r="AE116" s="8" t="n">
        <f aca="false">AE113-AE115</f>
        <v>735.623921288356</v>
      </c>
      <c r="AF116" s="8" t="n">
        <f aca="false">AF113-AF115</f>
        <v>745.290756313524</v>
      </c>
      <c r="AG116" s="8" t="n">
        <f aca="false">AG113-AG115</f>
        <v>755.02478695418</v>
      </c>
      <c r="AH116" s="8" t="n">
        <f aca="false">AH113-AH115</f>
        <v>764.82420359551</v>
      </c>
      <c r="AI116" s="8" t="n">
        <f aca="false">AI113-AI115</f>
        <v>774.687081592222</v>
      </c>
      <c r="AJ116" s="8" t="n">
        <f aca="false">AJ113-AJ115</f>
        <v>0</v>
      </c>
      <c r="AK116" s="8" t="n">
        <f aca="false">AK113-AK115</f>
        <v>0</v>
      </c>
      <c r="AL116" s="8" t="n">
        <f aca="false">AL113-AL115</f>
        <v>0</v>
      </c>
      <c r="AM116" s="8" t="n">
        <f aca="false">AM113-AM115</f>
        <v>0</v>
      </c>
      <c r="AN116" s="8" t="n">
        <f aca="false">AN113-AN115</f>
        <v>0</v>
      </c>
      <c r="AO116" s="8" t="n">
        <f aca="false">AO113-AO115</f>
        <v>0</v>
      </c>
      <c r="AP116" s="8" t="n">
        <f aca="false">AP113-AP115</f>
        <v>0</v>
      </c>
      <c r="AQ116" s="8" t="n">
        <f aca="false">AQ113-AQ115</f>
        <v>0</v>
      </c>
      <c r="AR116" s="8" t="n">
        <f aca="false">AR113-AR115</f>
        <v>0</v>
      </c>
      <c r="AS116" s="8" t="n">
        <f aca="false">AS113-AS115</f>
        <v>0</v>
      </c>
    </row>
    <row r="117" customFormat="false" ht="15" hidden="false" customHeight="false" outlineLevel="0" collapsed="false">
      <c r="A117" s="6" t="s">
        <v>467</v>
      </c>
      <c r="B117" s="6" t="s">
        <v>468</v>
      </c>
      <c r="G117" s="8" t="n">
        <f aca="false">G116*(1-TaxRate)+G114</f>
        <v>600.2285185728</v>
      </c>
      <c r="H117" s="8" t="n">
        <f aca="false">H116*(1-TaxRate)+H114</f>
        <v>599.5830717864</v>
      </c>
      <c r="I117" s="8" t="n">
        <f aca="false">I116*(1-TaxRate)+I114</f>
        <v>488.40440572281</v>
      </c>
      <c r="J117" s="8" t="n">
        <f aca="false">J116*(1-TaxRate)+J114</f>
        <v>440.259356795396</v>
      </c>
      <c r="K117" s="8" t="n">
        <f aca="false">K116*(1-TaxRate)+K114</f>
        <v>446.661258424641</v>
      </c>
      <c r="L117" s="8" t="n">
        <f aca="false">L116*(1-TaxRate)+L114</f>
        <v>453.131115948803</v>
      </c>
      <c r="M117" s="8" t="n">
        <f aca="false">M116*(1-TaxRate)+M114</f>
        <v>459.66878643234</v>
      </c>
      <c r="N117" s="8" t="n">
        <f aca="false">N116*(1-TaxRate)+N114</f>
        <v>466.274086529663</v>
      </c>
      <c r="O117" s="8" t="n">
        <f aca="false">O116*(1-TaxRate)+O114</f>
        <v>472.946790738148</v>
      </c>
      <c r="P117" s="8" t="n">
        <f aca="false">P116*(1-TaxRate)+P114</f>
        <v>479.686629592751</v>
      </c>
      <c r="Q117" s="8" t="n">
        <f aca="false">Q116*(1-TaxRate)+Q114</f>
        <v>486.493287800441</v>
      </c>
      <c r="R117" s="8" t="n">
        <f aca="false">R116*(1-TaxRate)+R114</f>
        <v>493.366402312682</v>
      </c>
      <c r="S117" s="8" t="n">
        <f aca="false">S116*(1-TaxRate)+S114</f>
        <v>500.305560334073</v>
      </c>
      <c r="T117" s="8" t="n">
        <f aca="false">T116*(1-TaxRate)+T114</f>
        <v>507.31029726527</v>
      </c>
      <c r="U117" s="8" t="n">
        <f aca="false">U116*(1-TaxRate)+U114</f>
        <v>514.380094578204</v>
      </c>
      <c r="V117" s="8" t="n">
        <f aca="false">V116*(1-TaxRate)+V114</f>
        <v>521.514377621587</v>
      </c>
      <c r="W117" s="8" t="n">
        <f aca="false">W116*(1-TaxRate)+W114</f>
        <v>528.712513354634</v>
      </c>
      <c r="X117" s="8" t="n">
        <f aca="false">X116*(1-TaxRate)+X114</f>
        <v>535.973808006857</v>
      </c>
      <c r="Y117" s="8" t="n">
        <f aca="false">Y116*(1-TaxRate)+Y114</f>
        <v>543.297504661752</v>
      </c>
      <c r="Z117" s="8" t="n">
        <f aca="false">Z116*(1-TaxRate)+Z114</f>
        <v>550.682780762115</v>
      </c>
      <c r="AA117" s="8" t="n">
        <f aca="false">AA116*(1-TaxRate)+AA114</f>
        <v>558.128745534662</v>
      </c>
      <c r="AB117" s="8" t="n">
        <f aca="false">AB116*(1-TaxRate)+AB114</f>
        <v>565.634437331594</v>
      </c>
      <c r="AC117" s="8" t="n">
        <f aca="false">AC116*(1-TaxRate)+AC114</f>
        <v>573.19882088662</v>
      </c>
      <c r="AD117" s="8" t="n">
        <f aca="false">AD116*(1-TaxRate)+AD114</f>
        <v>580.820784482957</v>
      </c>
      <c r="AE117" s="8" t="n">
        <f aca="false">AE116*(1-TaxRate)+AE114</f>
        <v>588.499137030684</v>
      </c>
      <c r="AF117" s="8" t="n">
        <f aca="false">AF116*(1-TaxRate)+AF114</f>
        <v>596.232605050819</v>
      </c>
      <c r="AG117" s="8" t="n">
        <f aca="false">AG116*(1-TaxRate)+AG114</f>
        <v>604.019829563344</v>
      </c>
      <c r="AH117" s="8" t="n">
        <f aca="false">AH116*(1-TaxRate)+AH114</f>
        <v>611.859362876408</v>
      </c>
      <c r="AI117" s="8" t="n">
        <f aca="false">AI116*(1-TaxRate)+AI114</f>
        <v>619.749665273778</v>
      </c>
      <c r="AJ117" s="8" t="n">
        <f aca="false">AJ116*(1-TaxRate)+AJ114</f>
        <v>0</v>
      </c>
      <c r="AK117" s="8" t="n">
        <f aca="false">AK116*(1-TaxRate)+AK114</f>
        <v>0</v>
      </c>
      <c r="AL117" s="8" t="n">
        <f aca="false">AL116*(1-TaxRate)+AL114</f>
        <v>0</v>
      </c>
      <c r="AM117" s="8" t="n">
        <f aca="false">AM116*(1-TaxRate)+AM114</f>
        <v>0</v>
      </c>
      <c r="AN117" s="8" t="n">
        <f aca="false">AN116*(1-TaxRate)+AN114</f>
        <v>0</v>
      </c>
      <c r="AO117" s="8" t="n">
        <f aca="false">AO116*(1-TaxRate)+AO114</f>
        <v>0</v>
      </c>
      <c r="AP117" s="8" t="n">
        <f aca="false">AP116*(1-TaxRate)+AP114</f>
        <v>0</v>
      </c>
      <c r="AQ117" s="8" t="n">
        <f aca="false">AQ116*(1-TaxRate)+AQ114</f>
        <v>0</v>
      </c>
      <c r="AR117" s="8" t="n">
        <f aca="false">AR116*(1-TaxRate)+AR114</f>
        <v>0</v>
      </c>
      <c r="AS117" s="8" t="n">
        <f aca="false">AS116*(1-TaxRate)+AS114</f>
        <v>0</v>
      </c>
    </row>
    <row r="118" customFormat="false" ht="15" hidden="false" customHeight="false" outlineLevel="0" collapsed="false">
      <c r="A118" s="6" t="s">
        <v>469</v>
      </c>
      <c r="B118" s="6" t="s">
        <v>470</v>
      </c>
      <c r="G118" s="8" t="n">
        <f aca="false">G115*(1-TaxRate)</f>
        <v>0</v>
      </c>
      <c r="H118" s="8" t="n">
        <f aca="false">H115*(1-TaxRate)</f>
        <v>0</v>
      </c>
      <c r="I118" s="8" t="n">
        <f aca="false">I115*(1-TaxRate)</f>
        <v>0</v>
      </c>
      <c r="J118" s="8" t="n">
        <f aca="false">J115*(1-TaxRate)</f>
        <v>0</v>
      </c>
      <c r="K118" s="8" t="n">
        <f aca="false">K115*(1-TaxRate)</f>
        <v>0</v>
      </c>
      <c r="L118" s="8" t="n">
        <f aca="false">L115*(1-TaxRate)</f>
        <v>0</v>
      </c>
      <c r="M118" s="8" t="n">
        <f aca="false">M115*(1-TaxRate)</f>
        <v>0</v>
      </c>
      <c r="N118" s="8" t="n">
        <f aca="false">N115*(1-TaxRate)</f>
        <v>0</v>
      </c>
      <c r="O118" s="8" t="n">
        <f aca="false">O115*(1-TaxRate)</f>
        <v>0</v>
      </c>
      <c r="P118" s="8" t="n">
        <f aca="false">P115*(1-TaxRate)</f>
        <v>0</v>
      </c>
      <c r="Q118" s="8" t="n">
        <f aca="false">Q115*(1-TaxRate)</f>
        <v>0</v>
      </c>
      <c r="R118" s="8" t="n">
        <f aca="false">R115*(1-TaxRate)</f>
        <v>0</v>
      </c>
      <c r="S118" s="8" t="n">
        <f aca="false">S115*(1-TaxRate)</f>
        <v>0</v>
      </c>
      <c r="T118" s="8" t="n">
        <f aca="false">T115*(1-TaxRate)</f>
        <v>0</v>
      </c>
      <c r="U118" s="8" t="n">
        <f aca="false">U115*(1-TaxRate)</f>
        <v>0</v>
      </c>
      <c r="V118" s="8" t="n">
        <f aca="false">V115*(1-TaxRate)</f>
        <v>0</v>
      </c>
      <c r="W118" s="8" t="n">
        <f aca="false">W115*(1-TaxRate)</f>
        <v>0</v>
      </c>
      <c r="X118" s="8" t="n">
        <f aca="false">X115*(1-TaxRate)</f>
        <v>0</v>
      </c>
      <c r="Y118" s="8" t="n">
        <f aca="false">Y115*(1-TaxRate)</f>
        <v>0</v>
      </c>
      <c r="Z118" s="8" t="n">
        <f aca="false">Z115*(1-TaxRate)</f>
        <v>0</v>
      </c>
      <c r="AA118" s="8" t="n">
        <f aca="false">AA115*(1-TaxRate)</f>
        <v>0</v>
      </c>
      <c r="AB118" s="8" t="n">
        <f aca="false">AB115*(1-TaxRate)</f>
        <v>0</v>
      </c>
      <c r="AC118" s="8" t="n">
        <f aca="false">AC115*(1-TaxRate)</f>
        <v>0</v>
      </c>
      <c r="AD118" s="8" t="n">
        <f aca="false">AD115*(1-TaxRate)</f>
        <v>0</v>
      </c>
      <c r="AE118" s="8" t="n">
        <f aca="false">AE115*(1-TaxRate)</f>
        <v>0</v>
      </c>
      <c r="AF118" s="8" t="n">
        <f aca="false">AF115*(1-TaxRate)</f>
        <v>0</v>
      </c>
      <c r="AG118" s="8" t="n">
        <f aca="false">AG115*(1-TaxRate)</f>
        <v>0</v>
      </c>
      <c r="AH118" s="8" t="n">
        <f aca="false">AH115*(1-TaxRate)</f>
        <v>0</v>
      </c>
      <c r="AI118" s="8" t="n">
        <f aca="false">AI115*(1-TaxRate)</f>
        <v>0</v>
      </c>
      <c r="AJ118" s="8" t="n">
        <f aca="false">AJ115*(1-TaxRate)</f>
        <v>0</v>
      </c>
      <c r="AK118" s="8" t="n">
        <f aca="false">AK115*(1-TaxRate)</f>
        <v>0</v>
      </c>
      <c r="AL118" s="8" t="n">
        <f aca="false">AL115*(1-TaxRate)</f>
        <v>0</v>
      </c>
      <c r="AM118" s="8" t="n">
        <f aca="false">AM115*(1-TaxRate)</f>
        <v>0</v>
      </c>
      <c r="AN118" s="8" t="n">
        <f aca="false">AN115*(1-TaxRate)</f>
        <v>0</v>
      </c>
      <c r="AO118" s="8" t="n">
        <f aca="false">AO115*(1-TaxRate)</f>
        <v>0</v>
      </c>
      <c r="AP118" s="8" t="n">
        <f aca="false">AP115*(1-TaxRate)</f>
        <v>0</v>
      </c>
      <c r="AQ118" s="8" t="n">
        <f aca="false">AQ115*(1-TaxRate)</f>
        <v>0</v>
      </c>
      <c r="AR118" s="8" t="n">
        <f aca="false">AR115*(1-TaxRate)</f>
        <v>0</v>
      </c>
      <c r="AS118" s="8" t="n">
        <f aca="false">AS115*(1-TaxRate)</f>
        <v>0</v>
      </c>
    </row>
    <row r="119" customFormat="false" ht="15" hidden="false" customHeight="false" outlineLevel="0" collapsed="false">
      <c r="A119" s="6" t="s">
        <v>471</v>
      </c>
      <c r="B119" s="6" t="s">
        <v>472</v>
      </c>
      <c r="G119" s="42" t="n">
        <f aca="false">(1+VST_Assets!$AE$4)^-(G$3+0.5-ValDate)</f>
        <v>0.943913469359513</v>
      </c>
      <c r="H119" s="42" t="n">
        <f aca="false">(1+VST_Assets!$AE$4)^-(H$3+0.5-ValDate)</f>
        <v>0.87399395311066</v>
      </c>
      <c r="I119" s="42" t="n">
        <f aca="false">(1+VST_Assets!$AE$4)^-(I$3+0.5-ValDate)</f>
        <v>0.809253660287648</v>
      </c>
      <c r="J119" s="42" t="n">
        <f aca="false">(1+VST_Assets!$AE$4)^-(J$3+0.5-ValDate)</f>
        <v>0.749308944710785</v>
      </c>
      <c r="K119" s="42" t="n">
        <f aca="false">(1+VST_Assets!$AE$4)^-(K$3+0.5-ValDate)</f>
        <v>0.693804578435912</v>
      </c>
      <c r="L119" s="42" t="n">
        <f aca="false">(1+VST_Assets!$AE$4)^-(L$3+0.5-ValDate)</f>
        <v>0.642411646699918</v>
      </c>
      <c r="M119" s="42" t="n">
        <f aca="false">(1+VST_Assets!$AE$4)^-(M$3+0.5-ValDate)</f>
        <v>0.594825598796221</v>
      </c>
      <c r="N119" s="42" t="n">
        <f aca="false">(1+VST_Assets!$AE$4)^-(N$3+0.5-ValDate)</f>
        <v>0.550764443329834</v>
      </c>
      <c r="O119" s="42" t="n">
        <f aca="false">(1+VST_Assets!$AE$4)^-(O$3+0.5-ValDate)</f>
        <v>0.509967077157254</v>
      </c>
      <c r="P119" s="42" t="n">
        <f aca="false">(1+VST_Assets!$AE$4)^-(P$3+0.5-ValDate)</f>
        <v>0.472191738108568</v>
      </c>
      <c r="Q119" s="42" t="n">
        <f aca="false">(1+VST_Assets!$AE$4)^-(Q$3+0.5-ValDate)</f>
        <v>0.437214572322748</v>
      </c>
      <c r="R119" s="42" t="n">
        <f aca="false">(1+VST_Assets!$AE$4)^-(R$3+0.5-ValDate)</f>
        <v>0.404828307706248</v>
      </c>
      <c r="S119" s="42" t="n">
        <f aca="false">(1+VST_Assets!$AE$4)^-(S$3+0.5-ValDate)</f>
        <v>0.374841025653934</v>
      </c>
      <c r="T119" s="42" t="n">
        <f aca="false">(1+VST_Assets!$AE$4)^-(T$3+0.5-ValDate)</f>
        <v>0.347075023753642</v>
      </c>
      <c r="U119" s="42" t="n">
        <f aca="false">(1+VST_Assets!$AE$4)^-(U$3+0.5-ValDate)</f>
        <v>0.321365762734854</v>
      </c>
      <c r="V119" s="42" t="n">
        <f aca="false">(1+VST_Assets!$AE$4)^-(V$3+0.5-ValDate)</f>
        <v>0.297560891421161</v>
      </c>
      <c r="W119" s="42" t="n">
        <f aca="false">(1+VST_Assets!$AE$4)^-(W$3+0.5-ValDate)</f>
        <v>0.275519343908482</v>
      </c>
      <c r="X119" s="42" t="n">
        <f aca="false">(1+VST_Assets!$AE$4)^-(X$3+0.5-ValDate)</f>
        <v>0.255110503618965</v>
      </c>
      <c r="Y119" s="42" t="n">
        <f aca="false">(1+VST_Assets!$AE$4)^-(Y$3+0.5-ValDate)</f>
        <v>0.23621342927682</v>
      </c>
      <c r="Z119" s="42" t="n">
        <f aca="false">(1+VST_Assets!$AE$4)^-(Z$3+0.5-ValDate)</f>
        <v>0.218716138219277</v>
      </c>
      <c r="AA119" s="42" t="n">
        <f aca="false">(1+VST_Assets!$AE$4)^-(AA$3+0.5-ValDate)</f>
        <v>0.202514942795627</v>
      </c>
      <c r="AB119" s="42" t="n">
        <f aca="false">(1+VST_Assets!$AE$4)^-(AB$3+0.5-ValDate)</f>
        <v>0.187513835921877</v>
      </c>
      <c r="AC119" s="42" t="n">
        <f aca="false">(1+VST_Assets!$AE$4)^-(AC$3+0.5-ValDate)</f>
        <v>0.173623922149886</v>
      </c>
      <c r="AD119" s="42" t="n">
        <f aca="false">(1+VST_Assets!$AE$4)^-(AD$3+0.5-ValDate)</f>
        <v>0.160762890879524</v>
      </c>
      <c r="AE119" s="42" t="n">
        <f aca="false">(1+VST_Assets!$AE$4)^-(AE$3+0.5-ValDate)</f>
        <v>0.148854528592152</v>
      </c>
      <c r="AF119" s="42" t="n">
        <f aca="false">(1+VST_Assets!$AE$4)^-(AF$3+0.5-ValDate)</f>
        <v>0.137828267214956</v>
      </c>
      <c r="AG119" s="42" t="n">
        <f aca="false">(1+VST_Assets!$AE$4)^-(AG$3+0.5-ValDate)</f>
        <v>0.127618765939774</v>
      </c>
      <c r="AH119" s="42" t="n">
        <f aca="false">(1+VST_Assets!$AE$4)^-(AH$3+0.5-ValDate)</f>
        <v>0.118165524018309</v>
      </c>
      <c r="AI119" s="42" t="n">
        <f aca="false">(1+VST_Assets!$AE$4)^-(AI$3+0.5-ValDate)</f>
        <v>0.109412522239175</v>
      </c>
      <c r="AJ119" s="42" t="n">
        <f aca="false">(1+VST_Assets!$AE$4)^-(AJ$3+0.5-ValDate)</f>
        <v>0.101307890962199</v>
      </c>
      <c r="AK119" s="42" t="n">
        <f aca="false">(1+VST_Assets!$AE$4)^-(AK$3+0.5-ValDate)</f>
        <v>0.0938036027427768</v>
      </c>
      <c r="AL119" s="42" t="n">
        <f aca="false">(1+VST_Assets!$AE$4)^-(AL$3+0.5-ValDate)</f>
        <v>0.0868551877247934</v>
      </c>
      <c r="AM119" s="42" t="n">
        <f aca="false">(1+VST_Assets!$AE$4)^-(AM$3+0.5-ValDate)</f>
        <v>0.0804214701155494</v>
      </c>
      <c r="AN119" s="42" t="n">
        <f aca="false">(1+VST_Assets!$AE$4)^-(AN$3+0.5-ValDate)</f>
        <v>0.0744643241810643</v>
      </c>
      <c r="AO119" s="42" t="n">
        <f aca="false">(1+VST_Assets!$AE$4)^-(AO$3+0.5-ValDate)</f>
        <v>0.0689484483158002</v>
      </c>
      <c r="AP119" s="42" t="n">
        <f aca="false">(1+VST_Assets!$AE$4)^-(AP$3+0.5-ValDate)</f>
        <v>0.0638411558479632</v>
      </c>
      <c r="AQ119" s="42" t="n">
        <f aca="false">(1+VST_Assets!$AE$4)^-(AQ$3+0.5-ValDate)</f>
        <v>0.0591121813407066</v>
      </c>
      <c r="AR119" s="42" t="n">
        <f aca="false">(1+VST_Assets!$AE$4)^-(AR$3+0.5-ValDate)</f>
        <v>0.054733501241395</v>
      </c>
      <c r="AS119" s="42" t="n">
        <f aca="false">(1+VST_Assets!$AE$4)^-(AS$3+0.5-ValDate)</f>
        <v>0.0506791678161065</v>
      </c>
    </row>
    <row r="120" customFormat="false" ht="15" hidden="false" customHeight="false" outlineLevel="0" collapsed="false">
      <c r="A120" s="6" t="s">
        <v>473</v>
      </c>
      <c r="B120" s="6" t="s">
        <v>474</v>
      </c>
      <c r="G120" s="42" t="n">
        <f aca="false">(1+VST_Assets!$AF$4)^-(G$3+0.5-ValDate)</f>
        <v>0.952191032823687</v>
      </c>
      <c r="H120" s="42" t="n">
        <f aca="false">(1+VST_Assets!$AF$4)^-(H$3+0.5-ValDate)</f>
        <v>0.891982232153337</v>
      </c>
      <c r="I120" s="42" t="n">
        <f aca="false">(1+VST_Assets!$AF$4)^-(I$3+0.5-ValDate)</f>
        <v>0.835580545342705</v>
      </c>
      <c r="J120" s="42" t="n">
        <f aca="false">(1+VST_Assets!$AF$4)^-(J$3+0.5-ValDate)</f>
        <v>0.782745241538834</v>
      </c>
      <c r="K120" s="42" t="n">
        <f aca="false">(1+VST_Assets!$AF$4)^-(K$3+0.5-ValDate)</f>
        <v>0.73325081174598</v>
      </c>
      <c r="L120" s="42" t="n">
        <f aca="false">(1+VST_Assets!$AF$4)^-(L$3+0.5-ValDate)</f>
        <v>0.686886006319419</v>
      </c>
      <c r="M120" s="42" t="n">
        <f aca="false">(1+VST_Assets!$AF$4)^-(M$3+0.5-ValDate)</f>
        <v>0.643452933320299</v>
      </c>
      <c r="N120" s="42" t="n">
        <f aca="false">(1+VST_Assets!$AF$4)^-(N$3+0.5-ValDate)</f>
        <v>0.602766213883184</v>
      </c>
      <c r="O120" s="42" t="n">
        <f aca="false">(1+VST_Assets!$AF$4)^-(O$3+0.5-ValDate)</f>
        <v>0.564652190991273</v>
      </c>
      <c r="P120" s="42" t="n">
        <f aca="false">(1+VST_Assets!$AF$4)^-(P$3+0.5-ValDate)</f>
        <v>0.528948188282223</v>
      </c>
      <c r="Q120" s="42" t="n">
        <f aca="false">(1+VST_Assets!$AF$4)^-(Q$3+0.5-ValDate)</f>
        <v>0.495501815721052</v>
      </c>
      <c r="R120" s="42" t="n">
        <f aca="false">(1+VST_Assets!$AF$4)^-(R$3+0.5-ValDate)</f>
        <v>0.46417031917663</v>
      </c>
      <c r="S120" s="42" t="n">
        <f aca="false">(1+VST_Assets!$AF$4)^-(S$3+0.5-ValDate)</f>
        <v>0.434819971125649</v>
      </c>
      <c r="T120" s="42" t="n">
        <f aca="false">(1+VST_Assets!$AF$4)^-(T$3+0.5-ValDate)</f>
        <v>0.407325499883512</v>
      </c>
      <c r="U120" s="42" t="n">
        <f aca="false">(1+VST_Assets!$AF$4)^-(U$3+0.5-ValDate)</f>
        <v>0.381569554926006</v>
      </c>
      <c r="V120" s="42" t="n">
        <f aca="false">(1+VST_Assets!$AF$4)^-(V$3+0.5-ValDate)</f>
        <v>0.357442206019678</v>
      </c>
      <c r="W120" s="42" t="n">
        <f aca="false">(1+VST_Assets!$AF$4)^-(W$3+0.5-ValDate)</f>
        <v>0.334840474023118</v>
      </c>
      <c r="X120" s="42" t="n">
        <f aca="false">(1+VST_Assets!$AF$4)^-(X$3+0.5-ValDate)</f>
        <v>0.313667891356551</v>
      </c>
      <c r="Y120" s="42" t="n">
        <f aca="false">(1+VST_Assets!$AF$4)^-(Y$3+0.5-ValDate)</f>
        <v>0.293834090263748</v>
      </c>
      <c r="Z120" s="42" t="n">
        <f aca="false">(1+VST_Assets!$AF$4)^-(Z$3+0.5-ValDate)</f>
        <v>0.275254417108897</v>
      </c>
      <c r="AA120" s="42" t="n">
        <f aca="false">(1+VST_Assets!$AF$4)^-(AA$3+0.5-ValDate)</f>
        <v>0.257849571062199</v>
      </c>
      <c r="AB120" s="42" t="n">
        <f aca="false">(1+VST_Assets!$AF$4)^-(AB$3+0.5-ValDate)</f>
        <v>0.241545265632036</v>
      </c>
      <c r="AC120" s="42" t="n">
        <f aca="false">(1+VST_Assets!$AF$4)^-(AC$3+0.5-ValDate)</f>
        <v>0.226271911599097</v>
      </c>
      <c r="AD120" s="42" t="n">
        <f aca="false">(1+VST_Assets!$AF$4)^-(AD$3+0.5-ValDate)</f>
        <v>0.211964319999154</v>
      </c>
      <c r="AE120" s="42" t="n">
        <f aca="false">(1+VST_Assets!$AF$4)^-(AE$3+0.5-ValDate)</f>
        <v>0.198561423886796</v>
      </c>
      <c r="AF120" s="42" t="n">
        <f aca="false">(1+VST_Assets!$AF$4)^-(AF$3+0.5-ValDate)</f>
        <v>0.186006017692549</v>
      </c>
      <c r="AG120" s="42" t="n">
        <f aca="false">(1+VST_Assets!$AF$4)^-(AG$3+0.5-ValDate)</f>
        <v>0.174244513060936</v>
      </c>
      <c r="AH120" s="42" t="n">
        <f aca="false">(1+VST_Assets!$AF$4)^-(AH$3+0.5-ValDate)</f>
        <v>0.16322671012734</v>
      </c>
      <c r="AI120" s="42" t="n">
        <f aca="false">(1+VST_Assets!$AF$4)^-(AI$3+0.5-ValDate)</f>
        <v>0.152905583257461</v>
      </c>
      <c r="AJ120" s="42" t="n">
        <f aca="false">(1+VST_Assets!$AF$4)^-(AJ$3+0.5-ValDate)</f>
        <v>0.143237080334859</v>
      </c>
      <c r="AK120" s="42" t="n">
        <f aca="false">(1+VST_Assets!$AF$4)^-(AK$3+0.5-ValDate)</f>
        <v>0.134179934739914</v>
      </c>
      <c r="AL120" s="42" t="n">
        <f aca="false">(1+VST_Assets!$AF$4)^-(AL$3+0.5-ValDate)</f>
        <v>0.125695489217718</v>
      </c>
      <c r="AM120" s="42" t="n">
        <f aca="false">(1+VST_Assets!$AF$4)^-(AM$3+0.5-ValDate)</f>
        <v>0.117747530883109</v>
      </c>
      <c r="AN120" s="42" t="n">
        <f aca="false">(1+VST_Assets!$AF$4)^-(AN$3+0.5-ValDate)</f>
        <v>0.11030213665865</v>
      </c>
      <c r="AO120" s="42" t="n">
        <f aca="false">(1+VST_Assets!$AF$4)^-(AO$3+0.5-ValDate)</f>
        <v>0.103327528485855</v>
      </c>
      <c r="AP120" s="42" t="n">
        <f aca="false">(1+VST_Assets!$AF$4)^-(AP$3+0.5-ValDate)</f>
        <v>0.096793937691667</v>
      </c>
      <c r="AQ120" s="42" t="n">
        <f aca="false">(1+VST_Assets!$AF$4)^-(AQ$3+0.5-ValDate)</f>
        <v>0.090673477931304</v>
      </c>
      <c r="AR120" s="42" t="n">
        <f aca="false">(1+VST_Assets!$AF$4)^-(AR$3+0.5-ValDate)</f>
        <v>0.084940026165156</v>
      </c>
      <c r="AS120" s="42" t="n">
        <f aca="false">(1+VST_Assets!$AF$4)^-(AS$3+0.5-ValDate)</f>
        <v>0.0795691111617386</v>
      </c>
    </row>
    <row r="121" customFormat="false" ht="15" hidden="false" customHeight="false" outlineLevel="0" collapsed="false">
      <c r="A121" s="6" t="s">
        <v>475</v>
      </c>
      <c r="B121" s="6" t="s">
        <v>476</v>
      </c>
      <c r="C121" s="43" t="n">
        <f aca="false">SUM(G121:AS121)</f>
        <v>5841.31097527873</v>
      </c>
      <c r="D121" s="8" t="n">
        <f aca="false">SUMIF($G$3:$AS$3,"&lt;="&amp;Horizon,G121:AS121)</f>
        <v>1815.72908957461</v>
      </c>
      <c r="E121" s="8" t="n">
        <f aca="false">(C121-D121)*(1+VST_Assets!$AE$4)^(Horizon+1-ValDate)</f>
        <v>5583.15424254787</v>
      </c>
      <c r="G121" s="8" t="n">
        <f aca="false">G117*G119</f>
        <v>566.563783374573</v>
      </c>
      <c r="H121" s="8" t="n">
        <f aca="false">H117*H119</f>
        <v>524.031979128828</v>
      </c>
      <c r="I121" s="8" t="n">
        <f aca="false">I117*I119</f>
        <v>395.243053031798</v>
      </c>
      <c r="J121" s="8" t="n">
        <f aca="false">J117*J119</f>
        <v>329.890274039407</v>
      </c>
      <c r="K121" s="8" t="n">
        <f aca="false">K117*K119</f>
        <v>309.895626104962</v>
      </c>
      <c r="L121" s="8" t="n">
        <f aca="false">L117*L119</f>
        <v>291.096706367642</v>
      </c>
      <c r="M121" s="8" t="n">
        <f aca="false">M117*M119</f>
        <v>273.422761137549</v>
      </c>
      <c r="N121" s="8" t="n">
        <f aca="false">N117*N119</f>
        <v>256.807187706636</v>
      </c>
      <c r="O121" s="8" t="n">
        <f aca="false">O117*O119</f>
        <v>241.187292523637</v>
      </c>
      <c r="P121" s="8" t="n">
        <f aca="false">P117*P119</f>
        <v>226.504063374842</v>
      </c>
      <c r="Q121" s="8" t="n">
        <f aca="false">Q117*Q119</f>
        <v>212.701954763558</v>
      </c>
      <c r="R121" s="8" t="n">
        <f aca="false">R117*R119</f>
        <v>199.728685727363</v>
      </c>
      <c r="S121" s="8" t="n">
        <f aca="false">S117*S119</f>
        <v>187.53504937599</v>
      </c>
      <c r="T121" s="8" t="n">
        <f aca="false">T117*T119</f>
        <v>176.074733473811</v>
      </c>
      <c r="U121" s="8" t="n">
        <f aca="false">U117*U119</f>
        <v>165.304151429751</v>
      </c>
      <c r="V121" s="8" t="n">
        <f aca="false">V117*V119</f>
        <v>155.182283094031</v>
      </c>
      <c r="W121" s="8" t="n">
        <f aca="false">W117*W119</f>
        <v>145.670524795674</v>
      </c>
      <c r="X121" s="8" t="n">
        <f aca="false">X117*X119</f>
        <v>136.732548087204</v>
      </c>
      <c r="Y121" s="8" t="n">
        <f aca="false">Y117*Y119</f>
        <v>128.334166693691</v>
      </c>
      <c r="Z121" s="8" t="n">
        <f aca="false">Z117*Z119</f>
        <v>120.443211192143</v>
      </c>
      <c r="AA121" s="8" t="n">
        <f aca="false">AA117*AA119</f>
        <v>113.029410974547</v>
      </c>
      <c r="AB121" s="8" t="n">
        <f aca="false">AB117*AB119</f>
        <v>106.06428307356</v>
      </c>
      <c r="AC121" s="8" t="n">
        <f aca="false">AC117*AC119</f>
        <v>99.521027454025</v>
      </c>
      <c r="AD121" s="8" t="n">
        <f aca="false">AD117*AD119</f>
        <v>93.3744283963932</v>
      </c>
      <c r="AE121" s="8" t="n">
        <f aca="false">AE117*AE119</f>
        <v>87.6007616195908</v>
      </c>
      <c r="AF121" s="8" t="n">
        <f aca="false">AF117*AF119</f>
        <v>82.1777068112133</v>
      </c>
      <c r="AG121" s="8" t="n">
        <f aca="false">AG117*AG119</f>
        <v>77.0842652520264</v>
      </c>
      <c r="AH121" s="8" t="n">
        <f aca="false">AH117*AH119</f>
        <v>72.3006822397994</v>
      </c>
      <c r="AI121" s="8" t="n">
        <f aca="false">AI117*AI119</f>
        <v>67.8083740344884</v>
      </c>
      <c r="AJ121" s="8" t="n">
        <f aca="false">AJ117*AJ119</f>
        <v>0</v>
      </c>
      <c r="AK121" s="8" t="n">
        <f aca="false">AK117*AK119</f>
        <v>0</v>
      </c>
      <c r="AL121" s="8" t="n">
        <f aca="false">AL117*AL119</f>
        <v>0</v>
      </c>
      <c r="AM121" s="8" t="n">
        <f aca="false">AM117*AM119</f>
        <v>0</v>
      </c>
      <c r="AN121" s="8" t="n">
        <f aca="false">AN117*AN119</f>
        <v>0</v>
      </c>
      <c r="AO121" s="8" t="n">
        <f aca="false">AO117*AO119</f>
        <v>0</v>
      </c>
      <c r="AP121" s="8" t="n">
        <f aca="false">AP117*AP119</f>
        <v>0</v>
      </c>
      <c r="AQ121" s="8" t="n">
        <f aca="false">AQ117*AQ119</f>
        <v>0</v>
      </c>
      <c r="AR121" s="8" t="n">
        <f aca="false">AR117*AR119</f>
        <v>0</v>
      </c>
      <c r="AS121" s="8" t="n">
        <f aca="false">AS117*AS119</f>
        <v>0</v>
      </c>
    </row>
    <row r="122" customFormat="false" ht="15" hidden="false" customHeight="false" outlineLevel="0" collapsed="false">
      <c r="A122" s="6" t="s">
        <v>477</v>
      </c>
      <c r="B122" s="6" t="s">
        <v>478</v>
      </c>
      <c r="C122" s="43" t="n">
        <f aca="false">SUM(G122:AS122)</f>
        <v>0</v>
      </c>
      <c r="D122" s="8" t="n">
        <f aca="false">SUMIF($G$3:$AS$3,"&lt;="&amp;Horizon,G122:AS122)</f>
        <v>0</v>
      </c>
      <c r="E122" s="8" t="n">
        <f aca="false">(C122-D122)*(1+VST_Assets!$AF$4)^(Horizon+1-ValDate)</f>
        <v>0</v>
      </c>
      <c r="G122" s="8" t="n">
        <f aca="false">G118*G120</f>
        <v>0</v>
      </c>
      <c r="H122" s="8" t="n">
        <f aca="false">H118*H120</f>
        <v>0</v>
      </c>
      <c r="I122" s="8" t="n">
        <f aca="false">I118*I120</f>
        <v>0</v>
      </c>
      <c r="J122" s="8" t="n">
        <f aca="false">J118*J120</f>
        <v>0</v>
      </c>
      <c r="K122" s="8" t="n">
        <f aca="false">K118*K120</f>
        <v>0</v>
      </c>
      <c r="L122" s="8" t="n">
        <f aca="false">L118*L120</f>
        <v>0</v>
      </c>
      <c r="M122" s="8" t="n">
        <f aca="false">M118*M120</f>
        <v>0</v>
      </c>
      <c r="N122" s="8" t="n">
        <f aca="false">N118*N120</f>
        <v>0</v>
      </c>
      <c r="O122" s="8" t="n">
        <f aca="false">O118*O120</f>
        <v>0</v>
      </c>
      <c r="P122" s="8" t="n">
        <f aca="false">P118*P120</f>
        <v>0</v>
      </c>
      <c r="Q122" s="8" t="n">
        <f aca="false">Q118*Q120</f>
        <v>0</v>
      </c>
      <c r="R122" s="8" t="n">
        <f aca="false">R118*R120</f>
        <v>0</v>
      </c>
      <c r="S122" s="8" t="n">
        <f aca="false">S118*S120</f>
        <v>0</v>
      </c>
      <c r="T122" s="8" t="n">
        <f aca="false">T118*T120</f>
        <v>0</v>
      </c>
      <c r="U122" s="8" t="n">
        <f aca="false">U118*U120</f>
        <v>0</v>
      </c>
      <c r="V122" s="8" t="n">
        <f aca="false">V118*V120</f>
        <v>0</v>
      </c>
      <c r="W122" s="8" t="n">
        <f aca="false">W118*W120</f>
        <v>0</v>
      </c>
      <c r="X122" s="8" t="n">
        <f aca="false">X118*X120</f>
        <v>0</v>
      </c>
      <c r="Y122" s="8" t="n">
        <f aca="false">Y118*Y120</f>
        <v>0</v>
      </c>
      <c r="Z122" s="8" t="n">
        <f aca="false">Z118*Z120</f>
        <v>0</v>
      </c>
      <c r="AA122" s="8" t="n">
        <f aca="false">AA118*AA120</f>
        <v>0</v>
      </c>
      <c r="AB122" s="8" t="n">
        <f aca="false">AB118*AB120</f>
        <v>0</v>
      </c>
      <c r="AC122" s="8" t="n">
        <f aca="false">AC118*AC120</f>
        <v>0</v>
      </c>
      <c r="AD122" s="8" t="n">
        <f aca="false">AD118*AD120</f>
        <v>0</v>
      </c>
      <c r="AE122" s="8" t="n">
        <f aca="false">AE118*AE120</f>
        <v>0</v>
      </c>
      <c r="AF122" s="8" t="n">
        <f aca="false">AF118*AF120</f>
        <v>0</v>
      </c>
      <c r="AG122" s="8" t="n">
        <f aca="false">AG118*AG120</f>
        <v>0</v>
      </c>
      <c r="AH122" s="8" t="n">
        <f aca="false">AH118*AH120</f>
        <v>0</v>
      </c>
      <c r="AI122" s="8" t="n">
        <f aca="false">AI118*AI120</f>
        <v>0</v>
      </c>
      <c r="AJ122" s="8" t="n">
        <f aca="false">AJ118*AJ120</f>
        <v>0</v>
      </c>
      <c r="AK122" s="8" t="n">
        <f aca="false">AK118*AK120</f>
        <v>0</v>
      </c>
      <c r="AL122" s="8" t="n">
        <f aca="false">AL118*AL120</f>
        <v>0</v>
      </c>
      <c r="AM122" s="8" t="n">
        <f aca="false">AM118*AM120</f>
        <v>0</v>
      </c>
      <c r="AN122" s="8" t="n">
        <f aca="false">AN118*AN120</f>
        <v>0</v>
      </c>
      <c r="AO122" s="8" t="n">
        <f aca="false">AO118*AO120</f>
        <v>0</v>
      </c>
      <c r="AP122" s="8" t="n">
        <f aca="false">AP118*AP120</f>
        <v>0</v>
      </c>
      <c r="AQ122" s="8" t="n">
        <f aca="false">AQ118*AQ120</f>
        <v>0</v>
      </c>
      <c r="AR122" s="8" t="n">
        <f aca="false">AR118*AR120</f>
        <v>0</v>
      </c>
      <c r="AS122" s="8" t="n">
        <f aca="false">AS118*AS120</f>
        <v>0</v>
      </c>
    </row>
    <row r="123" customFormat="false" ht="15" hidden="false" customHeight="false" outlineLevel="0" collapsed="false">
      <c r="A123" s="6" t="s">
        <v>479</v>
      </c>
      <c r="B123" s="6" t="s">
        <v>480</v>
      </c>
      <c r="C123" s="43" t="n">
        <f aca="false">IF(VST_Assets!$H$4="$/kW",VST_Assets!$D$4*VST_Assets!$AI$4*(1+0.4*(PJMWLR/PJMWLRBase-1))/1000,0)</f>
        <v>0</v>
      </c>
      <c r="E123" s="8" t="n">
        <f aca="false">C123</f>
        <v>0</v>
      </c>
      <c r="G123" s="8" t="n">
        <f aca="false">0</f>
        <v>0</v>
      </c>
      <c r="H123" s="8" t="n">
        <f aca="false">0</f>
        <v>0</v>
      </c>
      <c r="I123" s="8" t="n">
        <f aca="false">0</f>
        <v>0</v>
      </c>
      <c r="J123" s="8" t="n">
        <f aca="false">0</f>
        <v>0</v>
      </c>
      <c r="K123" s="8" t="n">
        <f aca="false">0</f>
        <v>0</v>
      </c>
      <c r="L123" s="8" t="n">
        <f aca="false">0</f>
        <v>0</v>
      </c>
      <c r="M123" s="8" t="n">
        <f aca="false">0</f>
        <v>0</v>
      </c>
      <c r="N123" s="8" t="n">
        <f aca="false">0</f>
        <v>0</v>
      </c>
      <c r="O123" s="8" t="n">
        <f aca="false">0</f>
        <v>0</v>
      </c>
      <c r="P123" s="8" t="n">
        <f aca="false">0</f>
        <v>0</v>
      </c>
      <c r="Q123" s="8" t="n">
        <f aca="false">0</f>
        <v>0</v>
      </c>
      <c r="R123" s="8" t="n">
        <f aca="false">0</f>
        <v>0</v>
      </c>
      <c r="S123" s="8" t="n">
        <f aca="false">0</f>
        <v>0</v>
      </c>
      <c r="T123" s="8" t="n">
        <f aca="false">0</f>
        <v>0</v>
      </c>
      <c r="U123" s="8" t="n">
        <f aca="false">0</f>
        <v>0</v>
      </c>
      <c r="V123" s="8" t="n">
        <f aca="false">0</f>
        <v>0</v>
      </c>
      <c r="W123" s="8" t="n">
        <f aca="false">0</f>
        <v>0</v>
      </c>
      <c r="X123" s="8" t="n">
        <f aca="false">0</f>
        <v>0</v>
      </c>
      <c r="Y123" s="8" t="n">
        <f aca="false">0</f>
        <v>0</v>
      </c>
      <c r="Z123" s="8" t="n">
        <f aca="false">0</f>
        <v>0</v>
      </c>
      <c r="AA123" s="8" t="n">
        <f aca="false">0</f>
        <v>0</v>
      </c>
      <c r="AB123" s="8" t="n">
        <f aca="false">0</f>
        <v>0</v>
      </c>
      <c r="AC123" s="8" t="n">
        <f aca="false">0</f>
        <v>0</v>
      </c>
      <c r="AD123" s="8" t="n">
        <f aca="false">0</f>
        <v>0</v>
      </c>
      <c r="AE123" s="8" t="n">
        <f aca="false">0</f>
        <v>0</v>
      </c>
      <c r="AF123" s="8" t="n">
        <f aca="false">0</f>
        <v>0</v>
      </c>
      <c r="AG123" s="8" t="n">
        <f aca="false">0</f>
        <v>0</v>
      </c>
      <c r="AH123" s="8" t="n">
        <f aca="false">0</f>
        <v>0</v>
      </c>
      <c r="AI123" s="8" t="n">
        <f aca="false">0</f>
        <v>0</v>
      </c>
      <c r="AJ123" s="8" t="n">
        <f aca="false">0</f>
        <v>0</v>
      </c>
      <c r="AK123" s="8" t="n">
        <f aca="false">0</f>
        <v>0</v>
      </c>
      <c r="AL123" s="8" t="n">
        <f aca="false">0</f>
        <v>0</v>
      </c>
      <c r="AM123" s="8" t="n">
        <f aca="false">0</f>
        <v>0</v>
      </c>
      <c r="AN123" s="8" t="n">
        <f aca="false">0</f>
        <v>0</v>
      </c>
      <c r="AO123" s="8" t="n">
        <f aca="false">0</f>
        <v>0</v>
      </c>
      <c r="AP123" s="8" t="n">
        <f aca="false">0</f>
        <v>0</v>
      </c>
      <c r="AQ123" s="8" t="n">
        <f aca="false">0</f>
        <v>0</v>
      </c>
      <c r="AR123" s="8" t="n">
        <f aca="false">0</f>
        <v>0</v>
      </c>
      <c r="AS123" s="8" t="n">
        <f aca="false">0</f>
        <v>0</v>
      </c>
    </row>
    <row r="125" customFormat="false" ht="15" hidden="false" customHeight="false" outlineLevel="0" collapsed="false">
      <c r="A125" s="54" t="str">
        <f aca="false">VST_Assets!$A$5</f>
        <v>Gas - ERCOT CCGT</v>
      </c>
    </row>
    <row r="126" customFormat="false" ht="15" hidden="false" customHeight="false" outlineLevel="0" collapsed="false">
      <c r="A126" s="6" t="s">
        <v>425</v>
      </c>
      <c r="B126" s="6" t="s">
        <v>426</v>
      </c>
      <c r="G126" s="47" t="n">
        <f aca="false">IF(AND(G$3&gt;=VST_Assets!$E$5,G$3&lt;=VST_Assets!$F$5,VST_Assets!$H$5="Cashflow"),1,0)</f>
        <v>1</v>
      </c>
      <c r="H126" s="47" t="n">
        <f aca="false">IF(AND(H$3&gt;=VST_Assets!$E$5,H$3&lt;=VST_Assets!$F$5,VST_Assets!$H$5="Cashflow"),1,0)</f>
        <v>1</v>
      </c>
      <c r="I126" s="47" t="n">
        <f aca="false">IF(AND(I$3&gt;=VST_Assets!$E$5,I$3&lt;=VST_Assets!$F$5,VST_Assets!$H$5="Cashflow"),1,0)</f>
        <v>1</v>
      </c>
      <c r="J126" s="47" t="n">
        <f aca="false">IF(AND(J$3&gt;=VST_Assets!$E$5,J$3&lt;=VST_Assets!$F$5,VST_Assets!$H$5="Cashflow"),1,0)</f>
        <v>1</v>
      </c>
      <c r="K126" s="47" t="n">
        <f aca="false">IF(AND(K$3&gt;=VST_Assets!$E$5,K$3&lt;=VST_Assets!$F$5,VST_Assets!$H$5="Cashflow"),1,0)</f>
        <v>1</v>
      </c>
      <c r="L126" s="47" t="n">
        <f aca="false">IF(AND(L$3&gt;=VST_Assets!$E$5,L$3&lt;=VST_Assets!$F$5,VST_Assets!$H$5="Cashflow"),1,0)</f>
        <v>1</v>
      </c>
      <c r="M126" s="47" t="n">
        <f aca="false">IF(AND(M$3&gt;=VST_Assets!$E$5,M$3&lt;=VST_Assets!$F$5,VST_Assets!$H$5="Cashflow"),1,0)</f>
        <v>1</v>
      </c>
      <c r="N126" s="47" t="n">
        <f aca="false">IF(AND(N$3&gt;=VST_Assets!$E$5,N$3&lt;=VST_Assets!$F$5,VST_Assets!$H$5="Cashflow"),1,0)</f>
        <v>1</v>
      </c>
      <c r="O126" s="47" t="n">
        <f aca="false">IF(AND(O$3&gt;=VST_Assets!$E$5,O$3&lt;=VST_Assets!$F$5,VST_Assets!$H$5="Cashflow"),1,0)</f>
        <v>1</v>
      </c>
      <c r="P126" s="47" t="n">
        <f aca="false">IF(AND(P$3&gt;=VST_Assets!$E$5,P$3&lt;=VST_Assets!$F$5,VST_Assets!$H$5="Cashflow"),1,0)</f>
        <v>1</v>
      </c>
      <c r="Q126" s="47" t="n">
        <f aca="false">IF(AND(Q$3&gt;=VST_Assets!$E$5,Q$3&lt;=VST_Assets!$F$5,VST_Assets!$H$5="Cashflow"),1,0)</f>
        <v>1</v>
      </c>
      <c r="R126" s="47" t="n">
        <f aca="false">IF(AND(R$3&gt;=VST_Assets!$E$5,R$3&lt;=VST_Assets!$F$5,VST_Assets!$H$5="Cashflow"),1,0)</f>
        <v>1</v>
      </c>
      <c r="S126" s="47" t="n">
        <f aca="false">IF(AND(S$3&gt;=VST_Assets!$E$5,S$3&lt;=VST_Assets!$F$5,VST_Assets!$H$5="Cashflow"),1,0)</f>
        <v>1</v>
      </c>
      <c r="T126" s="47" t="n">
        <f aca="false">IF(AND(T$3&gt;=VST_Assets!$E$5,T$3&lt;=VST_Assets!$F$5,VST_Assets!$H$5="Cashflow"),1,0)</f>
        <v>1</v>
      </c>
      <c r="U126" s="47" t="n">
        <f aca="false">IF(AND(U$3&gt;=VST_Assets!$E$5,U$3&lt;=VST_Assets!$F$5,VST_Assets!$H$5="Cashflow"),1,0)</f>
        <v>1</v>
      </c>
      <c r="V126" s="47" t="n">
        <f aca="false">IF(AND(V$3&gt;=VST_Assets!$E$5,V$3&lt;=VST_Assets!$F$5,VST_Assets!$H$5="Cashflow"),1,0)</f>
        <v>1</v>
      </c>
      <c r="W126" s="47" t="n">
        <f aca="false">IF(AND(W$3&gt;=VST_Assets!$E$5,W$3&lt;=VST_Assets!$F$5,VST_Assets!$H$5="Cashflow"),1,0)</f>
        <v>1</v>
      </c>
      <c r="X126" s="47" t="n">
        <f aca="false">IF(AND(X$3&gt;=VST_Assets!$E$5,X$3&lt;=VST_Assets!$F$5,VST_Assets!$H$5="Cashflow"),1,0)</f>
        <v>1</v>
      </c>
      <c r="Y126" s="47" t="n">
        <f aca="false">IF(AND(Y$3&gt;=VST_Assets!$E$5,Y$3&lt;=VST_Assets!$F$5,VST_Assets!$H$5="Cashflow"),1,0)</f>
        <v>1</v>
      </c>
      <c r="Z126" s="47" t="n">
        <f aca="false">IF(AND(Z$3&gt;=VST_Assets!$E$5,Z$3&lt;=VST_Assets!$F$5,VST_Assets!$H$5="Cashflow"),1,0)</f>
        <v>0</v>
      </c>
      <c r="AA126" s="47" t="n">
        <f aca="false">IF(AND(AA$3&gt;=VST_Assets!$E$5,AA$3&lt;=VST_Assets!$F$5,VST_Assets!$H$5="Cashflow"),1,0)</f>
        <v>0</v>
      </c>
      <c r="AB126" s="47" t="n">
        <f aca="false">IF(AND(AB$3&gt;=VST_Assets!$E$5,AB$3&lt;=VST_Assets!$F$5,VST_Assets!$H$5="Cashflow"),1,0)</f>
        <v>0</v>
      </c>
      <c r="AC126" s="47" t="n">
        <f aca="false">IF(AND(AC$3&gt;=VST_Assets!$E$5,AC$3&lt;=VST_Assets!$F$5,VST_Assets!$H$5="Cashflow"),1,0)</f>
        <v>0</v>
      </c>
      <c r="AD126" s="47" t="n">
        <f aca="false">IF(AND(AD$3&gt;=VST_Assets!$E$5,AD$3&lt;=VST_Assets!$F$5,VST_Assets!$H$5="Cashflow"),1,0)</f>
        <v>0</v>
      </c>
      <c r="AE126" s="47" t="n">
        <f aca="false">IF(AND(AE$3&gt;=VST_Assets!$E$5,AE$3&lt;=VST_Assets!$F$5,VST_Assets!$H$5="Cashflow"),1,0)</f>
        <v>0</v>
      </c>
      <c r="AF126" s="47" t="n">
        <f aca="false">IF(AND(AF$3&gt;=VST_Assets!$E$5,AF$3&lt;=VST_Assets!$F$5,VST_Assets!$H$5="Cashflow"),1,0)</f>
        <v>0</v>
      </c>
      <c r="AG126" s="47" t="n">
        <f aca="false">IF(AND(AG$3&gt;=VST_Assets!$E$5,AG$3&lt;=VST_Assets!$F$5,VST_Assets!$H$5="Cashflow"),1,0)</f>
        <v>0</v>
      </c>
      <c r="AH126" s="47" t="n">
        <f aca="false">IF(AND(AH$3&gt;=VST_Assets!$E$5,AH$3&lt;=VST_Assets!$F$5,VST_Assets!$H$5="Cashflow"),1,0)</f>
        <v>0</v>
      </c>
      <c r="AI126" s="47" t="n">
        <f aca="false">IF(AND(AI$3&gt;=VST_Assets!$E$5,AI$3&lt;=VST_Assets!$F$5,VST_Assets!$H$5="Cashflow"),1,0)</f>
        <v>0</v>
      </c>
      <c r="AJ126" s="47" t="n">
        <f aca="false">IF(AND(AJ$3&gt;=VST_Assets!$E$5,AJ$3&lt;=VST_Assets!$F$5,VST_Assets!$H$5="Cashflow"),1,0)</f>
        <v>0</v>
      </c>
      <c r="AK126" s="47" t="n">
        <f aca="false">IF(AND(AK$3&gt;=VST_Assets!$E$5,AK$3&lt;=VST_Assets!$F$5,VST_Assets!$H$5="Cashflow"),1,0)</f>
        <v>0</v>
      </c>
      <c r="AL126" s="47" t="n">
        <f aca="false">IF(AND(AL$3&gt;=VST_Assets!$E$5,AL$3&lt;=VST_Assets!$F$5,VST_Assets!$H$5="Cashflow"),1,0)</f>
        <v>0</v>
      </c>
      <c r="AM126" s="47" t="n">
        <f aca="false">IF(AND(AM$3&gt;=VST_Assets!$E$5,AM$3&lt;=VST_Assets!$F$5,VST_Assets!$H$5="Cashflow"),1,0)</f>
        <v>0</v>
      </c>
      <c r="AN126" s="47" t="n">
        <f aca="false">IF(AND(AN$3&gt;=VST_Assets!$E$5,AN$3&lt;=VST_Assets!$F$5,VST_Assets!$H$5="Cashflow"),1,0)</f>
        <v>0</v>
      </c>
      <c r="AO126" s="47" t="n">
        <f aca="false">IF(AND(AO$3&gt;=VST_Assets!$E$5,AO$3&lt;=VST_Assets!$F$5,VST_Assets!$H$5="Cashflow"),1,0)</f>
        <v>0</v>
      </c>
      <c r="AP126" s="47" t="n">
        <f aca="false">IF(AND(AP$3&gt;=VST_Assets!$E$5,AP$3&lt;=VST_Assets!$F$5,VST_Assets!$H$5="Cashflow"),1,0)</f>
        <v>0</v>
      </c>
      <c r="AQ126" s="47" t="n">
        <f aca="false">IF(AND(AQ$3&gt;=VST_Assets!$E$5,AQ$3&lt;=VST_Assets!$F$5,VST_Assets!$H$5="Cashflow"),1,0)</f>
        <v>0</v>
      </c>
      <c r="AR126" s="47" t="n">
        <f aca="false">IF(AND(AR$3&gt;=VST_Assets!$E$5,AR$3&lt;=VST_Assets!$F$5,VST_Assets!$H$5="Cashflow"),1,0)</f>
        <v>0</v>
      </c>
      <c r="AS126" s="47" t="n">
        <f aca="false">IF(AND(AS$3&gt;=VST_Assets!$E$5,AS$3&lt;=VST_Assets!$F$5,VST_Assets!$H$5="Cashflow"),1,0)</f>
        <v>0</v>
      </c>
    </row>
    <row r="127" customFormat="false" ht="15" hidden="false" customHeight="false" outlineLevel="0" collapsed="false">
      <c r="A127" s="6" t="s">
        <v>427</v>
      </c>
      <c r="B127" s="6" t="s">
        <v>428</v>
      </c>
      <c r="G127" s="9" t="n">
        <f aca="false">IF(AND(G$3&gt;=VST_Assets!$AA$5,G$3&lt;=VST_Assets!$AB$5),MIN(VST_Assets!$D$5,VST_Assets!$Z$5*MIN(1,(G$3-VST_Assets!$AA$5+1)/MAX(1,VST_Assets!$AC$5))),0)*G126</f>
        <v>0</v>
      </c>
      <c r="H127" s="9" t="n">
        <f aca="false">IF(AND(H$3&gt;=VST_Assets!$AA$5,H$3&lt;=VST_Assets!$AB$5),MIN(VST_Assets!$D$5,VST_Assets!$Z$5*MIN(1,(H$3-VST_Assets!$AA$5+1)/MAX(1,VST_Assets!$AC$5))),0)*H126</f>
        <v>0</v>
      </c>
      <c r="I127" s="9" t="n">
        <f aca="false">IF(AND(I$3&gt;=VST_Assets!$AA$5,I$3&lt;=VST_Assets!$AB$5),MIN(VST_Assets!$D$5,VST_Assets!$Z$5*MIN(1,(I$3-VST_Assets!$AA$5+1)/MAX(1,VST_Assets!$AC$5))),0)*I126</f>
        <v>0</v>
      </c>
      <c r="J127" s="9" t="n">
        <f aca="false">IF(AND(J$3&gt;=VST_Assets!$AA$5,J$3&lt;=VST_Assets!$AB$5),MIN(VST_Assets!$D$5,VST_Assets!$Z$5*MIN(1,(J$3-VST_Assets!$AA$5+1)/MAX(1,VST_Assets!$AC$5))),0)*J126</f>
        <v>0</v>
      </c>
      <c r="K127" s="9" t="n">
        <f aca="false">IF(AND(K$3&gt;=VST_Assets!$AA$5,K$3&lt;=VST_Assets!$AB$5),MIN(VST_Assets!$D$5,VST_Assets!$Z$5*MIN(1,(K$3-VST_Assets!$AA$5+1)/MAX(1,VST_Assets!$AC$5))),0)*K126</f>
        <v>0</v>
      </c>
      <c r="L127" s="9" t="n">
        <f aca="false">IF(AND(L$3&gt;=VST_Assets!$AA$5,L$3&lt;=VST_Assets!$AB$5),MIN(VST_Assets!$D$5,VST_Assets!$Z$5*MIN(1,(L$3-VST_Assets!$AA$5+1)/MAX(1,VST_Assets!$AC$5))),0)*L126</f>
        <v>0</v>
      </c>
      <c r="M127" s="9" t="n">
        <f aca="false">IF(AND(M$3&gt;=VST_Assets!$AA$5,M$3&lt;=VST_Assets!$AB$5),MIN(VST_Assets!$D$5,VST_Assets!$Z$5*MIN(1,(M$3-VST_Assets!$AA$5+1)/MAX(1,VST_Assets!$AC$5))),0)*M126</f>
        <v>0</v>
      </c>
      <c r="N127" s="9" t="n">
        <f aca="false">IF(AND(N$3&gt;=VST_Assets!$AA$5,N$3&lt;=VST_Assets!$AB$5),MIN(VST_Assets!$D$5,VST_Assets!$Z$5*MIN(1,(N$3-VST_Assets!$AA$5+1)/MAX(1,VST_Assets!$AC$5))),0)*N126</f>
        <v>0</v>
      </c>
      <c r="O127" s="9" t="n">
        <f aca="false">IF(AND(O$3&gt;=VST_Assets!$AA$5,O$3&lt;=VST_Assets!$AB$5),MIN(VST_Assets!$D$5,VST_Assets!$Z$5*MIN(1,(O$3-VST_Assets!$AA$5+1)/MAX(1,VST_Assets!$AC$5))),0)*O126</f>
        <v>0</v>
      </c>
      <c r="P127" s="9" t="n">
        <f aca="false">IF(AND(P$3&gt;=VST_Assets!$AA$5,P$3&lt;=VST_Assets!$AB$5),MIN(VST_Assets!$D$5,VST_Assets!$Z$5*MIN(1,(P$3-VST_Assets!$AA$5+1)/MAX(1,VST_Assets!$AC$5))),0)*P126</f>
        <v>0</v>
      </c>
      <c r="Q127" s="9" t="n">
        <f aca="false">IF(AND(Q$3&gt;=VST_Assets!$AA$5,Q$3&lt;=VST_Assets!$AB$5),MIN(VST_Assets!$D$5,VST_Assets!$Z$5*MIN(1,(Q$3-VST_Assets!$AA$5+1)/MAX(1,VST_Assets!$AC$5))),0)*Q126</f>
        <v>0</v>
      </c>
      <c r="R127" s="9" t="n">
        <f aca="false">IF(AND(R$3&gt;=VST_Assets!$AA$5,R$3&lt;=VST_Assets!$AB$5),MIN(VST_Assets!$D$5,VST_Assets!$Z$5*MIN(1,(R$3-VST_Assets!$AA$5+1)/MAX(1,VST_Assets!$AC$5))),0)*R126</f>
        <v>0</v>
      </c>
      <c r="S127" s="9" t="n">
        <f aca="false">IF(AND(S$3&gt;=VST_Assets!$AA$5,S$3&lt;=VST_Assets!$AB$5),MIN(VST_Assets!$D$5,VST_Assets!$Z$5*MIN(1,(S$3-VST_Assets!$AA$5+1)/MAX(1,VST_Assets!$AC$5))),0)*S126</f>
        <v>0</v>
      </c>
      <c r="T127" s="9" t="n">
        <f aca="false">IF(AND(T$3&gt;=VST_Assets!$AA$5,T$3&lt;=VST_Assets!$AB$5),MIN(VST_Assets!$D$5,VST_Assets!$Z$5*MIN(1,(T$3-VST_Assets!$AA$5+1)/MAX(1,VST_Assets!$AC$5))),0)*T126</f>
        <v>0</v>
      </c>
      <c r="U127" s="9" t="n">
        <f aca="false">IF(AND(U$3&gt;=VST_Assets!$AA$5,U$3&lt;=VST_Assets!$AB$5),MIN(VST_Assets!$D$5,VST_Assets!$Z$5*MIN(1,(U$3-VST_Assets!$AA$5+1)/MAX(1,VST_Assets!$AC$5))),0)*U126</f>
        <v>0</v>
      </c>
      <c r="V127" s="9" t="n">
        <f aca="false">IF(AND(V$3&gt;=VST_Assets!$AA$5,V$3&lt;=VST_Assets!$AB$5),MIN(VST_Assets!$D$5,VST_Assets!$Z$5*MIN(1,(V$3-VST_Assets!$AA$5+1)/MAX(1,VST_Assets!$AC$5))),0)*V126</f>
        <v>0</v>
      </c>
      <c r="W127" s="9" t="n">
        <f aca="false">IF(AND(W$3&gt;=VST_Assets!$AA$5,W$3&lt;=VST_Assets!$AB$5),MIN(VST_Assets!$D$5,VST_Assets!$Z$5*MIN(1,(W$3-VST_Assets!$AA$5+1)/MAX(1,VST_Assets!$AC$5))),0)*W126</f>
        <v>0</v>
      </c>
      <c r="X127" s="9" t="n">
        <f aca="false">IF(AND(X$3&gt;=VST_Assets!$AA$5,X$3&lt;=VST_Assets!$AB$5),MIN(VST_Assets!$D$5,VST_Assets!$Z$5*MIN(1,(X$3-VST_Assets!$AA$5+1)/MAX(1,VST_Assets!$AC$5))),0)*X126</f>
        <v>0</v>
      </c>
      <c r="Y127" s="9" t="n">
        <f aca="false">IF(AND(Y$3&gt;=VST_Assets!$AA$5,Y$3&lt;=VST_Assets!$AB$5),MIN(VST_Assets!$D$5,VST_Assets!$Z$5*MIN(1,(Y$3-VST_Assets!$AA$5+1)/MAX(1,VST_Assets!$AC$5))),0)*Y126</f>
        <v>0</v>
      </c>
      <c r="Z127" s="9" t="n">
        <f aca="false">IF(AND(Z$3&gt;=VST_Assets!$AA$5,Z$3&lt;=VST_Assets!$AB$5),MIN(VST_Assets!$D$5,VST_Assets!$Z$5*MIN(1,(Z$3-VST_Assets!$AA$5+1)/MAX(1,VST_Assets!$AC$5))),0)*Z126</f>
        <v>0</v>
      </c>
      <c r="AA127" s="9" t="n">
        <f aca="false">IF(AND(AA$3&gt;=VST_Assets!$AA$5,AA$3&lt;=VST_Assets!$AB$5),MIN(VST_Assets!$D$5,VST_Assets!$Z$5*MIN(1,(AA$3-VST_Assets!$AA$5+1)/MAX(1,VST_Assets!$AC$5))),0)*AA126</f>
        <v>0</v>
      </c>
      <c r="AB127" s="9" t="n">
        <f aca="false">IF(AND(AB$3&gt;=VST_Assets!$AA$5,AB$3&lt;=VST_Assets!$AB$5),MIN(VST_Assets!$D$5,VST_Assets!$Z$5*MIN(1,(AB$3-VST_Assets!$AA$5+1)/MAX(1,VST_Assets!$AC$5))),0)*AB126</f>
        <v>0</v>
      </c>
      <c r="AC127" s="9" t="n">
        <f aca="false">IF(AND(AC$3&gt;=VST_Assets!$AA$5,AC$3&lt;=VST_Assets!$AB$5),MIN(VST_Assets!$D$5,VST_Assets!$Z$5*MIN(1,(AC$3-VST_Assets!$AA$5+1)/MAX(1,VST_Assets!$AC$5))),0)*AC126</f>
        <v>0</v>
      </c>
      <c r="AD127" s="9" t="n">
        <f aca="false">IF(AND(AD$3&gt;=VST_Assets!$AA$5,AD$3&lt;=VST_Assets!$AB$5),MIN(VST_Assets!$D$5,VST_Assets!$Z$5*MIN(1,(AD$3-VST_Assets!$AA$5+1)/MAX(1,VST_Assets!$AC$5))),0)*AD126</f>
        <v>0</v>
      </c>
      <c r="AE127" s="9" t="n">
        <f aca="false">IF(AND(AE$3&gt;=VST_Assets!$AA$5,AE$3&lt;=VST_Assets!$AB$5),MIN(VST_Assets!$D$5,VST_Assets!$Z$5*MIN(1,(AE$3-VST_Assets!$AA$5+1)/MAX(1,VST_Assets!$AC$5))),0)*AE126</f>
        <v>0</v>
      </c>
      <c r="AF127" s="9" t="n">
        <f aca="false">IF(AND(AF$3&gt;=VST_Assets!$AA$5,AF$3&lt;=VST_Assets!$AB$5),MIN(VST_Assets!$D$5,VST_Assets!$Z$5*MIN(1,(AF$3-VST_Assets!$AA$5+1)/MAX(1,VST_Assets!$AC$5))),0)*AF126</f>
        <v>0</v>
      </c>
      <c r="AG127" s="9" t="n">
        <f aca="false">IF(AND(AG$3&gt;=VST_Assets!$AA$5,AG$3&lt;=VST_Assets!$AB$5),MIN(VST_Assets!$D$5,VST_Assets!$Z$5*MIN(1,(AG$3-VST_Assets!$AA$5+1)/MAX(1,VST_Assets!$AC$5))),0)*AG126</f>
        <v>0</v>
      </c>
      <c r="AH127" s="9" t="n">
        <f aca="false">IF(AND(AH$3&gt;=VST_Assets!$AA$5,AH$3&lt;=VST_Assets!$AB$5),MIN(VST_Assets!$D$5,VST_Assets!$Z$5*MIN(1,(AH$3-VST_Assets!$AA$5+1)/MAX(1,VST_Assets!$AC$5))),0)*AH126</f>
        <v>0</v>
      </c>
      <c r="AI127" s="9" t="n">
        <f aca="false">IF(AND(AI$3&gt;=VST_Assets!$AA$5,AI$3&lt;=VST_Assets!$AB$5),MIN(VST_Assets!$D$5,VST_Assets!$Z$5*MIN(1,(AI$3-VST_Assets!$AA$5+1)/MAX(1,VST_Assets!$AC$5))),0)*AI126</f>
        <v>0</v>
      </c>
      <c r="AJ127" s="9" t="n">
        <f aca="false">IF(AND(AJ$3&gt;=VST_Assets!$AA$5,AJ$3&lt;=VST_Assets!$AB$5),MIN(VST_Assets!$D$5,VST_Assets!$Z$5*MIN(1,(AJ$3-VST_Assets!$AA$5+1)/MAX(1,VST_Assets!$AC$5))),0)*AJ126</f>
        <v>0</v>
      </c>
      <c r="AK127" s="9" t="n">
        <f aca="false">IF(AND(AK$3&gt;=VST_Assets!$AA$5,AK$3&lt;=VST_Assets!$AB$5),MIN(VST_Assets!$D$5,VST_Assets!$Z$5*MIN(1,(AK$3-VST_Assets!$AA$5+1)/MAX(1,VST_Assets!$AC$5))),0)*AK126</f>
        <v>0</v>
      </c>
      <c r="AL127" s="9" t="n">
        <f aca="false">IF(AND(AL$3&gt;=VST_Assets!$AA$5,AL$3&lt;=VST_Assets!$AB$5),MIN(VST_Assets!$D$5,VST_Assets!$Z$5*MIN(1,(AL$3-VST_Assets!$AA$5+1)/MAX(1,VST_Assets!$AC$5))),0)*AL126</f>
        <v>0</v>
      </c>
      <c r="AM127" s="9" t="n">
        <f aca="false">IF(AND(AM$3&gt;=VST_Assets!$AA$5,AM$3&lt;=VST_Assets!$AB$5),MIN(VST_Assets!$D$5,VST_Assets!$Z$5*MIN(1,(AM$3-VST_Assets!$AA$5+1)/MAX(1,VST_Assets!$AC$5))),0)*AM126</f>
        <v>0</v>
      </c>
      <c r="AN127" s="9" t="n">
        <f aca="false">IF(AND(AN$3&gt;=VST_Assets!$AA$5,AN$3&lt;=VST_Assets!$AB$5),MIN(VST_Assets!$D$5,VST_Assets!$Z$5*MIN(1,(AN$3-VST_Assets!$AA$5+1)/MAX(1,VST_Assets!$AC$5))),0)*AN126</f>
        <v>0</v>
      </c>
      <c r="AO127" s="9" t="n">
        <f aca="false">IF(AND(AO$3&gt;=VST_Assets!$AA$5,AO$3&lt;=VST_Assets!$AB$5),MIN(VST_Assets!$D$5,VST_Assets!$Z$5*MIN(1,(AO$3-VST_Assets!$AA$5+1)/MAX(1,VST_Assets!$AC$5))),0)*AO126</f>
        <v>0</v>
      </c>
      <c r="AP127" s="9" t="n">
        <f aca="false">IF(AND(AP$3&gt;=VST_Assets!$AA$5,AP$3&lt;=VST_Assets!$AB$5),MIN(VST_Assets!$D$5,VST_Assets!$Z$5*MIN(1,(AP$3-VST_Assets!$AA$5+1)/MAX(1,VST_Assets!$AC$5))),0)*AP126</f>
        <v>0</v>
      </c>
      <c r="AQ127" s="9" t="n">
        <f aca="false">IF(AND(AQ$3&gt;=VST_Assets!$AA$5,AQ$3&lt;=VST_Assets!$AB$5),MIN(VST_Assets!$D$5,VST_Assets!$Z$5*MIN(1,(AQ$3-VST_Assets!$AA$5+1)/MAX(1,VST_Assets!$AC$5))),0)*AQ126</f>
        <v>0</v>
      </c>
      <c r="AR127" s="9" t="n">
        <f aca="false">IF(AND(AR$3&gt;=VST_Assets!$AA$5,AR$3&lt;=VST_Assets!$AB$5),MIN(VST_Assets!$D$5,VST_Assets!$Z$5*MIN(1,(AR$3-VST_Assets!$AA$5+1)/MAX(1,VST_Assets!$AC$5))),0)*AR126</f>
        <v>0</v>
      </c>
      <c r="AS127" s="9" t="n">
        <f aca="false">IF(AND(AS$3&gt;=VST_Assets!$AA$5,AS$3&lt;=VST_Assets!$AB$5),MIN(VST_Assets!$D$5,VST_Assets!$Z$5*MIN(1,(AS$3-VST_Assets!$AA$5+1)/MAX(1,VST_Assets!$AC$5))),0)*AS126</f>
        <v>0</v>
      </c>
    </row>
    <row r="128" customFormat="false" ht="15" hidden="false" customHeight="false" outlineLevel="0" collapsed="false">
      <c r="A128" s="6" t="s">
        <v>429</v>
      </c>
      <c r="B128" s="6" t="s">
        <v>430</v>
      </c>
      <c r="G128" s="9" t="n">
        <f aca="false">(VST_Assets!$D$5-G127)*8760*VST_Assets!$I$5*G126</f>
        <v>45771000</v>
      </c>
      <c r="H128" s="9" t="n">
        <f aca="false">(VST_Assets!$D$5-H127)*8760*VST_Assets!$I$5*H126</f>
        <v>45771000</v>
      </c>
      <c r="I128" s="9" t="n">
        <f aca="false">(VST_Assets!$D$5-I127)*8760*VST_Assets!$I$5*I126</f>
        <v>45771000</v>
      </c>
      <c r="J128" s="9" t="n">
        <f aca="false">(VST_Assets!$D$5-J127)*8760*VST_Assets!$I$5*J126</f>
        <v>45771000</v>
      </c>
      <c r="K128" s="9" t="n">
        <f aca="false">(VST_Assets!$D$5-K127)*8760*VST_Assets!$I$5*K126</f>
        <v>45771000</v>
      </c>
      <c r="L128" s="9" t="n">
        <f aca="false">(VST_Assets!$D$5-L127)*8760*VST_Assets!$I$5*L126</f>
        <v>45771000</v>
      </c>
      <c r="M128" s="9" t="n">
        <f aca="false">(VST_Assets!$D$5-M127)*8760*VST_Assets!$I$5*M126</f>
        <v>45771000</v>
      </c>
      <c r="N128" s="9" t="n">
        <f aca="false">(VST_Assets!$D$5-N127)*8760*VST_Assets!$I$5*N126</f>
        <v>45771000</v>
      </c>
      <c r="O128" s="9" t="n">
        <f aca="false">(VST_Assets!$D$5-O127)*8760*VST_Assets!$I$5*O126</f>
        <v>45771000</v>
      </c>
      <c r="P128" s="9" t="n">
        <f aca="false">(VST_Assets!$D$5-P127)*8760*VST_Assets!$I$5*P126</f>
        <v>45771000</v>
      </c>
      <c r="Q128" s="9" t="n">
        <f aca="false">(VST_Assets!$D$5-Q127)*8760*VST_Assets!$I$5*Q126</f>
        <v>45771000</v>
      </c>
      <c r="R128" s="9" t="n">
        <f aca="false">(VST_Assets!$D$5-R127)*8760*VST_Assets!$I$5*R126</f>
        <v>45771000</v>
      </c>
      <c r="S128" s="9" t="n">
        <f aca="false">(VST_Assets!$D$5-S127)*8760*VST_Assets!$I$5*S126</f>
        <v>45771000</v>
      </c>
      <c r="T128" s="9" t="n">
        <f aca="false">(VST_Assets!$D$5-T127)*8760*VST_Assets!$I$5*T126</f>
        <v>45771000</v>
      </c>
      <c r="U128" s="9" t="n">
        <f aca="false">(VST_Assets!$D$5-U127)*8760*VST_Assets!$I$5*U126</f>
        <v>45771000</v>
      </c>
      <c r="V128" s="9" t="n">
        <f aca="false">(VST_Assets!$D$5-V127)*8760*VST_Assets!$I$5*V126</f>
        <v>45771000</v>
      </c>
      <c r="W128" s="9" t="n">
        <f aca="false">(VST_Assets!$D$5-W127)*8760*VST_Assets!$I$5*W126</f>
        <v>45771000</v>
      </c>
      <c r="X128" s="9" t="n">
        <f aca="false">(VST_Assets!$D$5-X127)*8760*VST_Assets!$I$5*X126</f>
        <v>45771000</v>
      </c>
      <c r="Y128" s="9" t="n">
        <f aca="false">(VST_Assets!$D$5-Y127)*8760*VST_Assets!$I$5*Y126</f>
        <v>45771000</v>
      </c>
      <c r="Z128" s="9" t="n">
        <f aca="false">(VST_Assets!$D$5-Z127)*8760*VST_Assets!$I$5*Z126</f>
        <v>0</v>
      </c>
      <c r="AA128" s="9" t="n">
        <f aca="false">(VST_Assets!$D$5-AA127)*8760*VST_Assets!$I$5*AA126</f>
        <v>0</v>
      </c>
      <c r="AB128" s="9" t="n">
        <f aca="false">(VST_Assets!$D$5-AB127)*8760*VST_Assets!$I$5*AB126</f>
        <v>0</v>
      </c>
      <c r="AC128" s="9" t="n">
        <f aca="false">(VST_Assets!$D$5-AC127)*8760*VST_Assets!$I$5*AC126</f>
        <v>0</v>
      </c>
      <c r="AD128" s="9" t="n">
        <f aca="false">(VST_Assets!$D$5-AD127)*8760*VST_Assets!$I$5*AD126</f>
        <v>0</v>
      </c>
      <c r="AE128" s="9" t="n">
        <f aca="false">(VST_Assets!$D$5-AE127)*8760*VST_Assets!$I$5*AE126</f>
        <v>0</v>
      </c>
      <c r="AF128" s="9" t="n">
        <f aca="false">(VST_Assets!$D$5-AF127)*8760*VST_Assets!$I$5*AF126</f>
        <v>0</v>
      </c>
      <c r="AG128" s="9" t="n">
        <f aca="false">(VST_Assets!$D$5-AG127)*8760*VST_Assets!$I$5*AG126</f>
        <v>0</v>
      </c>
      <c r="AH128" s="9" t="n">
        <f aca="false">(VST_Assets!$D$5-AH127)*8760*VST_Assets!$I$5*AH126</f>
        <v>0</v>
      </c>
      <c r="AI128" s="9" t="n">
        <f aca="false">(VST_Assets!$D$5-AI127)*8760*VST_Assets!$I$5*AI126</f>
        <v>0</v>
      </c>
      <c r="AJ128" s="9" t="n">
        <f aca="false">(VST_Assets!$D$5-AJ127)*8760*VST_Assets!$I$5*AJ126</f>
        <v>0</v>
      </c>
      <c r="AK128" s="9" t="n">
        <f aca="false">(VST_Assets!$D$5-AK127)*8760*VST_Assets!$I$5*AK126</f>
        <v>0</v>
      </c>
      <c r="AL128" s="9" t="n">
        <f aca="false">(VST_Assets!$D$5-AL127)*8760*VST_Assets!$I$5*AL126</f>
        <v>0</v>
      </c>
      <c r="AM128" s="9" t="n">
        <f aca="false">(VST_Assets!$D$5-AM127)*8760*VST_Assets!$I$5*AM126</f>
        <v>0</v>
      </c>
      <c r="AN128" s="9" t="n">
        <f aca="false">(VST_Assets!$D$5-AN127)*8760*VST_Assets!$I$5*AN126</f>
        <v>0</v>
      </c>
      <c r="AO128" s="9" t="n">
        <f aca="false">(VST_Assets!$D$5-AO127)*8760*VST_Assets!$I$5*AO126</f>
        <v>0</v>
      </c>
      <c r="AP128" s="9" t="n">
        <f aca="false">(VST_Assets!$D$5-AP127)*8760*VST_Assets!$I$5*AP126</f>
        <v>0</v>
      </c>
      <c r="AQ128" s="9" t="n">
        <f aca="false">(VST_Assets!$D$5-AQ127)*8760*VST_Assets!$I$5*AQ126</f>
        <v>0</v>
      </c>
      <c r="AR128" s="9" t="n">
        <f aca="false">(VST_Assets!$D$5-AR127)*8760*VST_Assets!$I$5*AR126</f>
        <v>0</v>
      </c>
      <c r="AS128" s="9" t="n">
        <f aca="false">(VST_Assets!$D$5-AS127)*8760*VST_Assets!$I$5*AS126</f>
        <v>0</v>
      </c>
    </row>
    <row r="129" customFormat="false" ht="15" hidden="false" customHeight="false" outlineLevel="0" collapsed="false">
      <c r="A129" s="6" t="s">
        <v>431</v>
      </c>
      <c r="B129" s="6" t="s">
        <v>432</v>
      </c>
      <c r="G129" s="9" t="n">
        <f aca="false">G127*8760*VST_Assets!$I$5*G126</f>
        <v>0</v>
      </c>
      <c r="H129" s="9" t="n">
        <f aca="false">H127*8760*VST_Assets!$I$5*H126</f>
        <v>0</v>
      </c>
      <c r="I129" s="9" t="n">
        <f aca="false">I127*8760*VST_Assets!$I$5*I126</f>
        <v>0</v>
      </c>
      <c r="J129" s="9" t="n">
        <f aca="false">J127*8760*VST_Assets!$I$5*J126</f>
        <v>0</v>
      </c>
      <c r="K129" s="9" t="n">
        <f aca="false">K127*8760*VST_Assets!$I$5*K126</f>
        <v>0</v>
      </c>
      <c r="L129" s="9" t="n">
        <f aca="false">L127*8760*VST_Assets!$I$5*L126</f>
        <v>0</v>
      </c>
      <c r="M129" s="9" t="n">
        <f aca="false">M127*8760*VST_Assets!$I$5*M126</f>
        <v>0</v>
      </c>
      <c r="N129" s="9" t="n">
        <f aca="false">N127*8760*VST_Assets!$I$5*N126</f>
        <v>0</v>
      </c>
      <c r="O129" s="9" t="n">
        <f aca="false">O127*8760*VST_Assets!$I$5*O126</f>
        <v>0</v>
      </c>
      <c r="P129" s="9" t="n">
        <f aca="false">P127*8760*VST_Assets!$I$5*P126</f>
        <v>0</v>
      </c>
      <c r="Q129" s="9" t="n">
        <f aca="false">Q127*8760*VST_Assets!$I$5*Q126</f>
        <v>0</v>
      </c>
      <c r="R129" s="9" t="n">
        <f aca="false">R127*8760*VST_Assets!$I$5*R126</f>
        <v>0</v>
      </c>
      <c r="S129" s="9" t="n">
        <f aca="false">S127*8760*VST_Assets!$I$5*S126</f>
        <v>0</v>
      </c>
      <c r="T129" s="9" t="n">
        <f aca="false">T127*8760*VST_Assets!$I$5*T126</f>
        <v>0</v>
      </c>
      <c r="U129" s="9" t="n">
        <f aca="false">U127*8760*VST_Assets!$I$5*U126</f>
        <v>0</v>
      </c>
      <c r="V129" s="9" t="n">
        <f aca="false">V127*8760*VST_Assets!$I$5*V126</f>
        <v>0</v>
      </c>
      <c r="W129" s="9" t="n">
        <f aca="false">W127*8760*VST_Assets!$I$5*W126</f>
        <v>0</v>
      </c>
      <c r="X129" s="9" t="n">
        <f aca="false">X127*8760*VST_Assets!$I$5*X126</f>
        <v>0</v>
      </c>
      <c r="Y129" s="9" t="n">
        <f aca="false">Y127*8760*VST_Assets!$I$5*Y126</f>
        <v>0</v>
      </c>
      <c r="Z129" s="9" t="n">
        <f aca="false">Z127*8760*VST_Assets!$I$5*Z126</f>
        <v>0</v>
      </c>
      <c r="AA129" s="9" t="n">
        <f aca="false">AA127*8760*VST_Assets!$I$5*AA126</f>
        <v>0</v>
      </c>
      <c r="AB129" s="9" t="n">
        <f aca="false">AB127*8760*VST_Assets!$I$5*AB126</f>
        <v>0</v>
      </c>
      <c r="AC129" s="9" t="n">
        <f aca="false">AC127*8760*VST_Assets!$I$5*AC126</f>
        <v>0</v>
      </c>
      <c r="AD129" s="9" t="n">
        <f aca="false">AD127*8760*VST_Assets!$I$5*AD126</f>
        <v>0</v>
      </c>
      <c r="AE129" s="9" t="n">
        <f aca="false">AE127*8760*VST_Assets!$I$5*AE126</f>
        <v>0</v>
      </c>
      <c r="AF129" s="9" t="n">
        <f aca="false">AF127*8760*VST_Assets!$I$5*AF126</f>
        <v>0</v>
      </c>
      <c r="AG129" s="9" t="n">
        <f aca="false">AG127*8760*VST_Assets!$I$5*AG126</f>
        <v>0</v>
      </c>
      <c r="AH129" s="9" t="n">
        <f aca="false">AH127*8760*VST_Assets!$I$5*AH126</f>
        <v>0</v>
      </c>
      <c r="AI129" s="9" t="n">
        <f aca="false">AI127*8760*VST_Assets!$I$5*AI126</f>
        <v>0</v>
      </c>
      <c r="AJ129" s="9" t="n">
        <f aca="false">AJ127*8760*VST_Assets!$I$5*AJ126</f>
        <v>0</v>
      </c>
      <c r="AK129" s="9" t="n">
        <f aca="false">AK127*8760*VST_Assets!$I$5*AK126</f>
        <v>0</v>
      </c>
      <c r="AL129" s="9" t="n">
        <f aca="false">AL127*8760*VST_Assets!$I$5*AL126</f>
        <v>0</v>
      </c>
      <c r="AM129" s="9" t="n">
        <f aca="false">AM127*8760*VST_Assets!$I$5*AM126</f>
        <v>0</v>
      </c>
      <c r="AN129" s="9" t="n">
        <f aca="false">AN127*8760*VST_Assets!$I$5*AN126</f>
        <v>0</v>
      </c>
      <c r="AO129" s="9" t="n">
        <f aca="false">AO127*8760*VST_Assets!$I$5*AO126</f>
        <v>0</v>
      </c>
      <c r="AP129" s="9" t="n">
        <f aca="false">AP127*8760*VST_Assets!$I$5*AP126</f>
        <v>0</v>
      </c>
      <c r="AQ129" s="9" t="n">
        <f aca="false">AQ127*8760*VST_Assets!$I$5*AQ126</f>
        <v>0</v>
      </c>
      <c r="AR129" s="9" t="n">
        <f aca="false">AR127*8760*VST_Assets!$I$5*AR126</f>
        <v>0</v>
      </c>
      <c r="AS129" s="9" t="n">
        <f aca="false">AS127*8760*VST_Assets!$I$5*AS126</f>
        <v>0</v>
      </c>
    </row>
    <row r="130" customFormat="false" ht="15" hidden="false" customHeight="false" outlineLevel="0" collapsed="false">
      <c r="A130" s="6" t="s">
        <v>433</v>
      </c>
      <c r="B130" s="6" t="s">
        <v>434</v>
      </c>
      <c r="G130" s="7" t="n">
        <f aca="false">IF(ISNUMBER(VST_Assets!$L$5),VST_Assets!$L$5*G$4,INDEX(Prices!G:G,VST_Assets!$AO$5)+FuelAdder*G$4)</f>
        <v>4.131</v>
      </c>
      <c r="H130" s="7" t="n">
        <f aca="false">IF(ISNUMBER(VST_Assets!$L$5),VST_Assets!$L$5*H$4,INDEX(Prices!H:H,VST_Assets!$AO$5)+FuelAdder*H$4)</f>
        <v>4.21362</v>
      </c>
      <c r="I130" s="7" t="n">
        <f aca="false">IF(ISNUMBER(VST_Assets!$L$5),VST_Assets!$L$5*I$4,INDEX(Prices!I:I,VST_Assets!$AO$5)+FuelAdder*I$4)</f>
        <v>4.4040132</v>
      </c>
      <c r="J130" s="7" t="n">
        <f aca="false">IF(ISNUMBER(VST_Assets!$L$5),VST_Assets!$L$5*J$4,INDEX(Prices!J:J,VST_Assets!$AO$5)+FuelAdder*J$4)</f>
        <v>4.492093464</v>
      </c>
      <c r="K130" s="7" t="n">
        <f aca="false">IF(ISNUMBER(VST_Assets!$L$5),VST_Assets!$L$5*K$4,INDEX(Prices!K:K,VST_Assets!$AO$5)+FuelAdder*K$4)</f>
        <v>4.58193533328</v>
      </c>
      <c r="L130" s="7" t="n">
        <f aca="false">IF(ISNUMBER(VST_Assets!$L$5),VST_Assets!$L$5*L$4,INDEX(Prices!L:L,VST_Assets!$AO$5)+FuelAdder*L$4)</f>
        <v>4.6735740399456</v>
      </c>
      <c r="M130" s="7" t="n">
        <f aca="false">IF(ISNUMBER(VST_Assets!$L$5),VST_Assets!$L$5*M$4,INDEX(Prices!M:M,VST_Assets!$AO$5)+FuelAdder*M$4)</f>
        <v>4.76704552074451</v>
      </c>
      <c r="N130" s="7" t="n">
        <f aca="false">IF(ISNUMBER(VST_Assets!$L$5),VST_Assets!$L$5*N$4,INDEX(Prices!N:N,VST_Assets!$AO$5)+FuelAdder*N$4)</f>
        <v>4.8623864311594</v>
      </c>
      <c r="O130" s="7" t="n">
        <f aca="false">IF(ISNUMBER(VST_Assets!$L$5),VST_Assets!$L$5*O$4,INDEX(Prices!O:O,VST_Assets!$AO$5)+FuelAdder*O$4)</f>
        <v>4.95963415978259</v>
      </c>
      <c r="P130" s="7" t="n">
        <f aca="false">IF(ISNUMBER(VST_Assets!$L$5),VST_Assets!$L$5*P$4,INDEX(Prices!P:P,VST_Assets!$AO$5)+FuelAdder*P$4)</f>
        <v>5.05882684297824</v>
      </c>
      <c r="Q130" s="7" t="n">
        <f aca="false">IF(ISNUMBER(VST_Assets!$L$5),VST_Assets!$L$5*Q$4,INDEX(Prices!Q:Q,VST_Assets!$AO$5)+FuelAdder*Q$4)</f>
        <v>5.16000337983781</v>
      </c>
      <c r="R130" s="7" t="n">
        <f aca="false">IF(ISNUMBER(VST_Assets!$L$5),VST_Assets!$L$5*R$4,INDEX(Prices!R:R,VST_Assets!$AO$5)+FuelAdder*R$4)</f>
        <v>5.26320344743456</v>
      </c>
      <c r="S130" s="7" t="n">
        <f aca="false">IF(ISNUMBER(VST_Assets!$L$5),VST_Assets!$L$5*S$4,INDEX(Prices!S:S,VST_Assets!$AO$5)+FuelAdder*S$4)</f>
        <v>5.36846751638326</v>
      </c>
      <c r="T130" s="7" t="n">
        <f aca="false">IF(ISNUMBER(VST_Assets!$L$5),VST_Assets!$L$5*T$4,INDEX(Prices!T:T,VST_Assets!$AO$5)+FuelAdder*T$4)</f>
        <v>5.47583686671092</v>
      </c>
      <c r="U130" s="7" t="n">
        <f aca="false">IF(ISNUMBER(VST_Assets!$L$5),VST_Assets!$L$5*U$4,INDEX(Prices!U:U,VST_Assets!$AO$5)+FuelAdder*U$4)</f>
        <v>5.58535360404514</v>
      </c>
      <c r="V130" s="7" t="n">
        <f aca="false">IF(ISNUMBER(VST_Assets!$L$5),VST_Assets!$L$5*V$4,INDEX(Prices!V:V,VST_Assets!$AO$5)+FuelAdder*V$4)</f>
        <v>5.69706067612604</v>
      </c>
      <c r="W130" s="7" t="n">
        <f aca="false">IF(ISNUMBER(VST_Assets!$L$5),VST_Assets!$L$5*W$4,INDEX(Prices!W:W,VST_Assets!$AO$5)+FuelAdder*W$4)</f>
        <v>5.81100188964856</v>
      </c>
      <c r="X130" s="7" t="n">
        <f aca="false">IF(ISNUMBER(VST_Assets!$L$5),VST_Assets!$L$5*X$4,INDEX(Prices!X:X,VST_Assets!$AO$5)+FuelAdder*X$4)</f>
        <v>5.92722192744153</v>
      </c>
      <c r="Y130" s="7" t="n">
        <f aca="false">IF(ISNUMBER(VST_Assets!$L$5),VST_Assets!$L$5*Y$4,INDEX(Prices!Y:Y,VST_Assets!$AO$5)+FuelAdder*Y$4)</f>
        <v>6.04576636599037</v>
      </c>
      <c r="Z130" s="7" t="n">
        <f aca="false">IF(ISNUMBER(VST_Assets!$L$5),VST_Assets!$L$5*Z$4,INDEX(Prices!Z:Z,VST_Assets!$AO$5)+FuelAdder*Z$4)</f>
        <v>6.16668169331017</v>
      </c>
      <c r="AA130" s="7" t="n">
        <f aca="false">IF(ISNUMBER(VST_Assets!$L$5),VST_Assets!$L$5*AA$4,INDEX(Prices!AA:AA,VST_Assets!$AO$5)+FuelAdder*AA$4)</f>
        <v>6.29001532717638</v>
      </c>
      <c r="AB130" s="7" t="n">
        <f aca="false">IF(ISNUMBER(VST_Assets!$L$5),VST_Assets!$L$5*AB$4,INDEX(Prices!AB:AB,VST_Assets!$AO$5)+FuelAdder*AB$4)</f>
        <v>6.4158156337199</v>
      </c>
      <c r="AC130" s="7" t="n">
        <f aca="false">IF(ISNUMBER(VST_Assets!$L$5),VST_Assets!$L$5*AC$4,INDEX(Prices!AC:AC,VST_Assets!$AO$5)+FuelAdder*AC$4)</f>
        <v>6.5441319463943</v>
      </c>
      <c r="AD130" s="7" t="n">
        <f aca="false">IF(ISNUMBER(VST_Assets!$L$5),VST_Assets!$L$5*AD$4,INDEX(Prices!AD:AD,VST_Assets!$AO$5)+FuelAdder*AD$4)</f>
        <v>6.67501458532219</v>
      </c>
      <c r="AE130" s="7" t="n">
        <f aca="false">IF(ISNUMBER(VST_Assets!$L$5),VST_Assets!$L$5*AE$4,INDEX(Prices!AE:AE,VST_Assets!$AO$5)+FuelAdder*AE$4)</f>
        <v>6.80851487702863</v>
      </c>
      <c r="AF130" s="7" t="n">
        <f aca="false">IF(ISNUMBER(VST_Assets!$L$5),VST_Assets!$L$5*AF$4,INDEX(Prices!AF:AF,VST_Assets!$AO$5)+FuelAdder*AF$4)</f>
        <v>6.94468517456921</v>
      </c>
      <c r="AG130" s="7" t="n">
        <f aca="false">IF(ISNUMBER(VST_Assets!$L$5),VST_Assets!$L$5*AG$4,INDEX(Prices!AG:AG,VST_Assets!$AO$5)+FuelAdder*AG$4)</f>
        <v>7.08357887806059</v>
      </c>
      <c r="AH130" s="7" t="n">
        <f aca="false">IF(ISNUMBER(VST_Assets!$L$5),VST_Assets!$L$5*AH$4,INDEX(Prices!AH:AH,VST_Assets!$AO$5)+FuelAdder*AH$4)</f>
        <v>7.2252504556218</v>
      </c>
      <c r="AI130" s="7" t="n">
        <f aca="false">IF(ISNUMBER(VST_Assets!$L$5),VST_Assets!$L$5*AI$4,INDEX(Prices!AI:AI,VST_Assets!$AO$5)+FuelAdder*AI$4)</f>
        <v>7.36975546473424</v>
      </c>
      <c r="AJ130" s="7" t="n">
        <f aca="false">IF(ISNUMBER(VST_Assets!$L$5),VST_Assets!$L$5*AJ$4,INDEX(Prices!AJ:AJ,VST_Assets!$AO$5)+FuelAdder*AJ$4)</f>
        <v>7.51715057402892</v>
      </c>
      <c r="AK130" s="7" t="n">
        <f aca="false">IF(ISNUMBER(VST_Assets!$L$5),VST_Assets!$L$5*AK$4,INDEX(Prices!AK:AK,VST_Assets!$AO$5)+FuelAdder*AK$4)</f>
        <v>7.6674935855095</v>
      </c>
      <c r="AL130" s="7" t="n">
        <f aca="false">IF(ISNUMBER(VST_Assets!$L$5),VST_Assets!$L$5*AL$4,INDEX(Prices!AL:AL,VST_Assets!$AO$5)+FuelAdder*AL$4)</f>
        <v>7.82084345721969</v>
      </c>
      <c r="AM130" s="7" t="n">
        <f aca="false">IF(ISNUMBER(VST_Assets!$L$5),VST_Assets!$L$5*AM$4,INDEX(Prices!AM:AM,VST_Assets!$AO$5)+FuelAdder*AM$4)</f>
        <v>7.97726032636409</v>
      </c>
      <c r="AN130" s="7" t="n">
        <f aca="false">IF(ISNUMBER(VST_Assets!$L$5),VST_Assets!$L$5*AN$4,INDEX(Prices!AN:AN,VST_Assets!$AO$5)+FuelAdder*AN$4)</f>
        <v>8.13680553289137</v>
      </c>
      <c r="AO130" s="7" t="n">
        <f aca="false">IF(ISNUMBER(VST_Assets!$L$5),VST_Assets!$L$5*AO$4,INDEX(Prices!AO:AO,VST_Assets!$AO$5)+FuelAdder*AO$4)</f>
        <v>8.29954164354919</v>
      </c>
      <c r="AP130" s="7" t="n">
        <f aca="false">IF(ISNUMBER(VST_Assets!$L$5),VST_Assets!$L$5*AP$4,INDEX(Prices!AP:AP,VST_Assets!$AO$5)+FuelAdder*AP$4)</f>
        <v>8.46553247642018</v>
      </c>
      <c r="AQ130" s="7" t="n">
        <f aca="false">IF(ISNUMBER(VST_Assets!$L$5),VST_Assets!$L$5*AQ$4,INDEX(Prices!AQ:AQ,VST_Assets!$AO$5)+FuelAdder*AQ$4)</f>
        <v>8.63484312594858</v>
      </c>
      <c r="AR130" s="7" t="n">
        <f aca="false">IF(ISNUMBER(VST_Assets!$L$5),VST_Assets!$L$5*AR$4,INDEX(Prices!AR:AR,VST_Assets!$AO$5)+FuelAdder*AR$4)</f>
        <v>8.80753998846755</v>
      </c>
      <c r="AS130" s="7" t="n">
        <f aca="false">IF(ISNUMBER(VST_Assets!$L$5),VST_Assets!$L$5*AS$4,INDEX(Prices!AS:AS,VST_Assets!$AO$5)+FuelAdder*AS$4)</f>
        <v>8.9836907882369</v>
      </c>
    </row>
    <row r="131" customFormat="false" ht="15" hidden="false" customHeight="false" outlineLevel="0" collapsed="false">
      <c r="A131" s="6" t="s">
        <v>435</v>
      </c>
      <c r="B131" s="6" t="s">
        <v>436</v>
      </c>
      <c r="G131" s="7" t="n">
        <f aca="false">INDEX(Prices!G:G,VST_Assets!$AN$5)*VST_Assets!$J$5-VST_Assets!$K$5*G130-VST_Assets!$M$5*G$4</f>
        <v>25.4868</v>
      </c>
      <c r="H131" s="7" t="n">
        <f aca="false">INDEX(Prices!H:H,VST_Assets!$AN$5)*VST_Assets!$J$5-VST_Assets!$K$5*H130-VST_Assets!$M$5*H$4</f>
        <v>27.220536</v>
      </c>
      <c r="I131" s="7" t="n">
        <f aca="false">INDEX(Prices!I:I,VST_Assets!$AN$5)*VST_Assets!$J$5-VST_Assets!$K$5*I130-VST_Assets!$M$5*I$4</f>
        <v>27.6449532</v>
      </c>
      <c r="J131" s="7" t="n">
        <f aca="false">INDEX(Prices!J:J,VST_Assets!$AN$5)*VST_Assets!$J$5-VST_Assets!$K$5*J130-VST_Assets!$M$5*J$4</f>
        <v>28.8792900288</v>
      </c>
      <c r="K131" s="7" t="n">
        <f aca="false">INDEX(Prices!K:K,VST_Assets!$AN$5)*VST_Assets!$J$5-VST_Assets!$K$5*K130-VST_Assets!$M$5*K$4</f>
        <v>29.456875829376</v>
      </c>
      <c r="L131" s="7" t="n">
        <f aca="false">INDEX(Prices!L:L,VST_Assets!$AN$5)*VST_Assets!$J$5-VST_Assets!$K$5*L130-VST_Assets!$M$5*L$4</f>
        <v>30.0460133459635</v>
      </c>
      <c r="M131" s="7" t="n">
        <f aca="false">INDEX(Prices!M:M,VST_Assets!$AN$5)*VST_Assets!$J$5-VST_Assets!$K$5*M130-VST_Assets!$M$5*M$4</f>
        <v>30.6469336128828</v>
      </c>
      <c r="N131" s="7" t="n">
        <f aca="false">INDEX(Prices!N:N,VST_Assets!$AN$5)*VST_Assets!$J$5-VST_Assets!$K$5*N130-VST_Assets!$M$5*N$4</f>
        <v>31.2598722851405</v>
      </c>
      <c r="O131" s="7" t="n">
        <f aca="false">INDEX(Prices!O:O,VST_Assets!$AN$5)*VST_Assets!$J$5-VST_Assets!$K$5*O130-VST_Assets!$M$5*O$4</f>
        <v>31.8850697308433</v>
      </c>
      <c r="P131" s="7" t="n">
        <f aca="false">INDEX(Prices!P:P,VST_Assets!$AN$5)*VST_Assets!$J$5-VST_Assets!$K$5*P130-VST_Assets!$M$5*P$4</f>
        <v>32.5227711254601</v>
      </c>
      <c r="Q131" s="7" t="n">
        <f aca="false">INDEX(Prices!Q:Q,VST_Assets!$AN$5)*VST_Assets!$J$5-VST_Assets!$K$5*Q130-VST_Assets!$M$5*Q$4</f>
        <v>33.1732265479693</v>
      </c>
      <c r="R131" s="7" t="n">
        <f aca="false">INDEX(Prices!R:R,VST_Assets!$AN$5)*VST_Assets!$J$5-VST_Assets!$K$5*R130-VST_Assets!$M$5*R$4</f>
        <v>33.8366910789287</v>
      </c>
      <c r="S131" s="7" t="n">
        <f aca="false">INDEX(Prices!S:S,VST_Assets!$AN$5)*VST_Assets!$J$5-VST_Assets!$K$5*S130-VST_Assets!$M$5*S$4</f>
        <v>34.5134249005073</v>
      </c>
      <c r="T131" s="7" t="n">
        <f aca="false">INDEX(Prices!T:T,VST_Assets!$AN$5)*VST_Assets!$J$5-VST_Assets!$K$5*T130-VST_Assets!$M$5*T$4</f>
        <v>35.2036933985174</v>
      </c>
      <c r="U131" s="7" t="n">
        <f aca="false">INDEX(Prices!U:U,VST_Assets!$AN$5)*VST_Assets!$J$5-VST_Assets!$K$5*U130-VST_Assets!$M$5*U$4</f>
        <v>35.9077672664878</v>
      </c>
      <c r="V131" s="7" t="n">
        <f aca="false">INDEX(Prices!V:V,VST_Assets!$AN$5)*VST_Assets!$J$5-VST_Assets!$K$5*V130-VST_Assets!$M$5*V$4</f>
        <v>36.6259226118175</v>
      </c>
      <c r="W131" s="7" t="n">
        <f aca="false">INDEX(Prices!W:W,VST_Assets!$AN$5)*VST_Assets!$J$5-VST_Assets!$K$5*W130-VST_Assets!$M$5*W$4</f>
        <v>37.3584410640539</v>
      </c>
      <c r="X131" s="7" t="n">
        <f aca="false">INDEX(Prices!X:X,VST_Assets!$AN$5)*VST_Assets!$J$5-VST_Assets!$K$5*X130-VST_Assets!$M$5*X$4</f>
        <v>38.105609885335</v>
      </c>
      <c r="Y131" s="7" t="n">
        <f aca="false">INDEX(Prices!Y:Y,VST_Assets!$AN$5)*VST_Assets!$J$5-VST_Assets!$K$5*Y130-VST_Assets!$M$5*Y$4</f>
        <v>38.8677220830417</v>
      </c>
      <c r="Z131" s="7" t="n">
        <f aca="false">INDEX(Prices!Z:Z,VST_Assets!$AN$5)*VST_Assets!$J$5-VST_Assets!$K$5*Z130-VST_Assets!$M$5*Z$4</f>
        <v>39.6450765247025</v>
      </c>
      <c r="AA131" s="7" t="n">
        <f aca="false">INDEX(Prices!AA:AA,VST_Assets!$AN$5)*VST_Assets!$J$5-VST_Assets!$K$5*AA130-VST_Assets!$M$5*AA$4</f>
        <v>40.4379780551966</v>
      </c>
      <c r="AB131" s="7" t="n">
        <f aca="false">INDEX(Prices!AB:AB,VST_Assets!$AN$5)*VST_Assets!$J$5-VST_Assets!$K$5*AB130-VST_Assets!$M$5*AB$4</f>
        <v>41.2467376163005</v>
      </c>
      <c r="AC131" s="7" t="n">
        <f aca="false">INDEX(Prices!AC:AC,VST_Assets!$AN$5)*VST_Assets!$J$5-VST_Assets!$K$5*AC130-VST_Assets!$M$5*AC$4</f>
        <v>42.0716723686265</v>
      </c>
      <c r="AD131" s="7" t="n">
        <f aca="false">INDEX(Prices!AD:AD,VST_Assets!$AN$5)*VST_Assets!$J$5-VST_Assets!$K$5*AD130-VST_Assets!$M$5*AD$4</f>
        <v>42.913105815999</v>
      </c>
      <c r="AE131" s="7" t="n">
        <f aca="false">INDEX(Prices!AE:AE,VST_Assets!$AN$5)*VST_Assets!$J$5-VST_Assets!$K$5*AE130-VST_Assets!$M$5*AE$4</f>
        <v>43.771367932319</v>
      </c>
      <c r="AF131" s="7" t="n">
        <f aca="false">INDEX(Prices!AF:AF,VST_Assets!$AN$5)*VST_Assets!$J$5-VST_Assets!$K$5*AF130-VST_Assets!$M$5*AF$4</f>
        <v>44.6467952909654</v>
      </c>
      <c r="AG131" s="7" t="n">
        <f aca="false">INDEX(Prices!AG:AG,VST_Assets!$AN$5)*VST_Assets!$J$5-VST_Assets!$K$5*AG130-VST_Assets!$M$5*AG$4</f>
        <v>45.5397311967847</v>
      </c>
      <c r="AH131" s="7" t="n">
        <f aca="false">INDEX(Prices!AH:AH,VST_Assets!$AN$5)*VST_Assets!$J$5-VST_Assets!$K$5*AH130-VST_Assets!$M$5*AH$4</f>
        <v>46.4505258207204</v>
      </c>
      <c r="AI131" s="7" t="n">
        <f aca="false">INDEX(Prices!AI:AI,VST_Assets!$AN$5)*VST_Assets!$J$5-VST_Assets!$K$5*AI130-VST_Assets!$M$5*AI$4</f>
        <v>47.3795363371348</v>
      </c>
      <c r="AJ131" s="7" t="n">
        <f aca="false">INDEX(Prices!AJ:AJ,VST_Assets!$AN$5)*VST_Assets!$J$5-VST_Assets!$K$5*AJ130-VST_Assets!$M$5*AJ$4</f>
        <v>48.3271270638775</v>
      </c>
      <c r="AK131" s="7" t="n">
        <f aca="false">INDEX(Prices!AK:AK,VST_Assets!$AN$5)*VST_Assets!$J$5-VST_Assets!$K$5*AK130-VST_Assets!$M$5*AK$4</f>
        <v>49.2936696051551</v>
      </c>
      <c r="AL131" s="7" t="n">
        <f aca="false">INDEX(Prices!AL:AL,VST_Assets!$AN$5)*VST_Assets!$J$5-VST_Assets!$K$5*AL130-VST_Assets!$M$5*AL$4</f>
        <v>50.2795429972582</v>
      </c>
      <c r="AM131" s="7" t="n">
        <f aca="false">INDEX(Prices!AM:AM,VST_Assets!$AN$5)*VST_Assets!$J$5-VST_Assets!$K$5*AM130-VST_Assets!$M$5*AM$4</f>
        <v>51.2851338572033</v>
      </c>
      <c r="AN131" s="7" t="n">
        <f aca="false">INDEX(Prices!AN:AN,VST_Assets!$AN$5)*VST_Assets!$J$5-VST_Assets!$K$5*AN130-VST_Assets!$M$5*AN$4</f>
        <v>52.3108365343474</v>
      </c>
      <c r="AO131" s="7" t="n">
        <f aca="false">INDEX(Prices!AO:AO,VST_Assets!$AN$5)*VST_Assets!$J$5-VST_Assets!$K$5*AO130-VST_Assets!$M$5*AO$4</f>
        <v>53.3570532650344</v>
      </c>
      <c r="AP131" s="7" t="n">
        <f aca="false">INDEX(Prices!AP:AP,VST_Assets!$AN$5)*VST_Assets!$J$5-VST_Assets!$K$5*AP130-VST_Assets!$M$5*AP$4</f>
        <v>54.424194330335</v>
      </c>
      <c r="AQ131" s="7" t="n">
        <f aca="false">INDEX(Prices!AQ:AQ,VST_Assets!$AN$5)*VST_Assets!$J$5-VST_Assets!$K$5*AQ130-VST_Assets!$M$5*AQ$4</f>
        <v>55.5126782169417</v>
      </c>
      <c r="AR131" s="7" t="n">
        <f aca="false">INDEX(Prices!AR:AR,VST_Assets!$AN$5)*VST_Assets!$J$5-VST_Assets!$K$5*AR130-VST_Assets!$M$5*AR$4</f>
        <v>56.6229317812806</v>
      </c>
      <c r="AS131" s="7" t="n">
        <f aca="false">INDEX(Prices!AS:AS,VST_Assets!$AN$5)*VST_Assets!$J$5-VST_Assets!$K$5*AS130-VST_Assets!$M$5*AS$4</f>
        <v>57.7553904169062</v>
      </c>
    </row>
    <row r="132" customFormat="false" ht="15" hidden="false" customHeight="false" outlineLevel="0" collapsed="false">
      <c r="A132" s="6" t="s">
        <v>437</v>
      </c>
      <c r="B132" s="6" t="s">
        <v>438</v>
      </c>
      <c r="G132" s="47" t="n">
        <f aca="false">IF(VST_Assets!$X$5=1,IF(G131&gt;0,1,0),1)</f>
        <v>1</v>
      </c>
      <c r="H132" s="47" t="n">
        <f aca="false">IF(VST_Assets!$X$5=1,IF(H131&gt;0,1,0),1)</f>
        <v>1</v>
      </c>
      <c r="I132" s="47" t="n">
        <f aca="false">IF(VST_Assets!$X$5=1,IF(I131&gt;0,1,0),1)</f>
        <v>1</v>
      </c>
      <c r="J132" s="47" t="n">
        <f aca="false">IF(VST_Assets!$X$5=1,IF(J131&gt;0,1,0),1)</f>
        <v>1</v>
      </c>
      <c r="K132" s="47" t="n">
        <f aca="false">IF(VST_Assets!$X$5=1,IF(K131&gt;0,1,0),1)</f>
        <v>1</v>
      </c>
      <c r="L132" s="47" t="n">
        <f aca="false">IF(VST_Assets!$X$5=1,IF(L131&gt;0,1,0),1)</f>
        <v>1</v>
      </c>
      <c r="M132" s="47" t="n">
        <f aca="false">IF(VST_Assets!$X$5=1,IF(M131&gt;0,1,0),1)</f>
        <v>1</v>
      </c>
      <c r="N132" s="47" t="n">
        <f aca="false">IF(VST_Assets!$X$5=1,IF(N131&gt;0,1,0),1)</f>
        <v>1</v>
      </c>
      <c r="O132" s="47" t="n">
        <f aca="false">IF(VST_Assets!$X$5=1,IF(O131&gt;0,1,0),1)</f>
        <v>1</v>
      </c>
      <c r="P132" s="47" t="n">
        <f aca="false">IF(VST_Assets!$X$5=1,IF(P131&gt;0,1,0),1)</f>
        <v>1</v>
      </c>
      <c r="Q132" s="47" t="n">
        <f aca="false">IF(VST_Assets!$X$5=1,IF(Q131&gt;0,1,0),1)</f>
        <v>1</v>
      </c>
      <c r="R132" s="47" t="n">
        <f aca="false">IF(VST_Assets!$X$5=1,IF(R131&gt;0,1,0),1)</f>
        <v>1</v>
      </c>
      <c r="S132" s="47" t="n">
        <f aca="false">IF(VST_Assets!$X$5=1,IF(S131&gt;0,1,0),1)</f>
        <v>1</v>
      </c>
      <c r="T132" s="47" t="n">
        <f aca="false">IF(VST_Assets!$X$5=1,IF(T131&gt;0,1,0),1)</f>
        <v>1</v>
      </c>
      <c r="U132" s="47" t="n">
        <f aca="false">IF(VST_Assets!$X$5=1,IF(U131&gt;0,1,0),1)</f>
        <v>1</v>
      </c>
      <c r="V132" s="47" t="n">
        <f aca="false">IF(VST_Assets!$X$5=1,IF(V131&gt;0,1,0),1)</f>
        <v>1</v>
      </c>
      <c r="W132" s="47" t="n">
        <f aca="false">IF(VST_Assets!$X$5=1,IF(W131&gt;0,1,0),1)</f>
        <v>1</v>
      </c>
      <c r="X132" s="47" t="n">
        <f aca="false">IF(VST_Assets!$X$5=1,IF(X131&gt;0,1,0),1)</f>
        <v>1</v>
      </c>
      <c r="Y132" s="47" t="n">
        <f aca="false">IF(VST_Assets!$X$5=1,IF(Y131&gt;0,1,0),1)</f>
        <v>1</v>
      </c>
      <c r="Z132" s="47" t="n">
        <f aca="false">IF(VST_Assets!$X$5=1,IF(Z131&gt;0,1,0),1)</f>
        <v>1</v>
      </c>
      <c r="AA132" s="47" t="n">
        <f aca="false">IF(VST_Assets!$X$5=1,IF(AA131&gt;0,1,0),1)</f>
        <v>1</v>
      </c>
      <c r="AB132" s="47" t="n">
        <f aca="false">IF(VST_Assets!$X$5=1,IF(AB131&gt;0,1,0),1)</f>
        <v>1</v>
      </c>
      <c r="AC132" s="47" t="n">
        <f aca="false">IF(VST_Assets!$X$5=1,IF(AC131&gt;0,1,0),1)</f>
        <v>1</v>
      </c>
      <c r="AD132" s="47" t="n">
        <f aca="false">IF(VST_Assets!$X$5=1,IF(AD131&gt;0,1,0),1)</f>
        <v>1</v>
      </c>
      <c r="AE132" s="47" t="n">
        <f aca="false">IF(VST_Assets!$X$5=1,IF(AE131&gt;0,1,0),1)</f>
        <v>1</v>
      </c>
      <c r="AF132" s="47" t="n">
        <f aca="false">IF(VST_Assets!$X$5=1,IF(AF131&gt;0,1,0),1)</f>
        <v>1</v>
      </c>
      <c r="AG132" s="47" t="n">
        <f aca="false">IF(VST_Assets!$X$5=1,IF(AG131&gt;0,1,0),1)</f>
        <v>1</v>
      </c>
      <c r="AH132" s="47" t="n">
        <f aca="false">IF(VST_Assets!$X$5=1,IF(AH131&gt;0,1,0),1)</f>
        <v>1</v>
      </c>
      <c r="AI132" s="47" t="n">
        <f aca="false">IF(VST_Assets!$X$5=1,IF(AI131&gt;0,1,0),1)</f>
        <v>1</v>
      </c>
      <c r="AJ132" s="47" t="n">
        <f aca="false">IF(VST_Assets!$X$5=1,IF(AJ131&gt;0,1,0),1)</f>
        <v>1</v>
      </c>
      <c r="AK132" s="47" t="n">
        <f aca="false">IF(VST_Assets!$X$5=1,IF(AK131&gt;0,1,0),1)</f>
        <v>1</v>
      </c>
      <c r="AL132" s="47" t="n">
        <f aca="false">IF(VST_Assets!$X$5=1,IF(AL131&gt;0,1,0),1)</f>
        <v>1</v>
      </c>
      <c r="AM132" s="47" t="n">
        <f aca="false">IF(VST_Assets!$X$5=1,IF(AM131&gt;0,1,0),1)</f>
        <v>1</v>
      </c>
      <c r="AN132" s="47" t="n">
        <f aca="false">IF(VST_Assets!$X$5=1,IF(AN131&gt;0,1,0),1)</f>
        <v>1</v>
      </c>
      <c r="AO132" s="47" t="n">
        <f aca="false">IF(VST_Assets!$X$5=1,IF(AO131&gt;0,1,0),1)</f>
        <v>1</v>
      </c>
      <c r="AP132" s="47" t="n">
        <f aca="false">IF(VST_Assets!$X$5=1,IF(AP131&gt;0,1,0),1)</f>
        <v>1</v>
      </c>
      <c r="AQ132" s="47" t="n">
        <f aca="false">IF(VST_Assets!$X$5=1,IF(AQ131&gt;0,1,0),1)</f>
        <v>1</v>
      </c>
      <c r="AR132" s="47" t="n">
        <f aca="false">IF(VST_Assets!$X$5=1,IF(AR131&gt;0,1,0),1)</f>
        <v>1</v>
      </c>
      <c r="AS132" s="47" t="n">
        <f aca="false">IF(VST_Assets!$X$5=1,IF(AS131&gt;0,1,0),1)</f>
        <v>1</v>
      </c>
    </row>
    <row r="133" customFormat="false" ht="15" hidden="false" customHeight="false" outlineLevel="0" collapsed="false">
      <c r="A133" s="6" t="s">
        <v>439</v>
      </c>
      <c r="B133" s="6" t="s">
        <v>440</v>
      </c>
      <c r="C133" s="9" t="n">
        <f aca="false">SUM(G133:AS133)</f>
        <v>63842.5044030747</v>
      </c>
      <c r="G133" s="8" t="n">
        <f aca="false">G128*INDEX(Prices!G:G,VST_Assets!$AN$5)*VST_Assets!$J$5*G132/1000000*(1+VST_RevAdj)</f>
        <v>2691.3348</v>
      </c>
      <c r="H133" s="8" t="n">
        <f aca="false">H128*INDEX(Prices!H:H,VST_Assets!$AN$5)*VST_Assets!$J$5*H132/1000000*(1+VST_RevAdj)</f>
        <v>2801.1852</v>
      </c>
      <c r="I133" s="8" t="n">
        <f aca="false">I128*INDEX(Prices!I:I,VST_Assets!$AN$5)*VST_Assets!$J$5*I132/1000000*(1+VST_RevAdj)</f>
        <v>2886.68891758104</v>
      </c>
      <c r="J133" s="8" t="n">
        <f aca="false">J128*INDEX(Prices!J:J,VST_Assets!$AN$5)*VST_Assets!$J$5*J132/1000000*(1+VST_RevAdj)</f>
        <v>2975.61278386532</v>
      </c>
      <c r="K133" s="8" t="n">
        <f aca="false">K128*INDEX(Prices!K:K,VST_Assets!$AN$5)*VST_Assets!$J$5*K132/1000000*(1+VST_RevAdj)</f>
        <v>3035.12503954263</v>
      </c>
      <c r="L133" s="8" t="n">
        <f aca="false">L128*INDEX(Prices!L:L,VST_Assets!$AN$5)*VST_Assets!$J$5*L132/1000000*(1+VST_RevAdj)</f>
        <v>3095.82754033348</v>
      </c>
      <c r="M133" s="8" t="n">
        <f aca="false">M128*INDEX(Prices!M:M,VST_Assets!$AN$5)*VST_Assets!$J$5*M132/1000000*(1+VST_RevAdj)</f>
        <v>3157.74409114015</v>
      </c>
      <c r="N133" s="8" t="n">
        <f aca="false">N128*INDEX(Prices!N:N,VST_Assets!$AN$5)*VST_Assets!$J$5*N132/1000000*(1+VST_RevAdj)</f>
        <v>3220.89897296295</v>
      </c>
      <c r="O133" s="8" t="n">
        <f aca="false">O128*INDEX(Prices!O:O,VST_Assets!$AN$5)*VST_Assets!$J$5*O132/1000000*(1+VST_RevAdj)</f>
        <v>3285.31695242221</v>
      </c>
      <c r="P133" s="8" t="n">
        <f aca="false">P128*INDEX(Prices!P:P,VST_Assets!$AN$5)*VST_Assets!$J$5*P132/1000000*(1+VST_RevAdj)</f>
        <v>3351.02329147066</v>
      </c>
      <c r="Q133" s="8" t="n">
        <f aca="false">Q128*INDEX(Prices!Q:Q,VST_Assets!$AN$5)*VST_Assets!$J$5*Q132/1000000*(1+VST_RevAdj)</f>
        <v>3418.04375730007</v>
      </c>
      <c r="R133" s="8" t="n">
        <f aca="false">R128*INDEX(Prices!R:R,VST_Assets!$AN$5)*VST_Assets!$J$5*R132/1000000*(1+VST_RevAdj)</f>
        <v>3486.40463244607</v>
      </c>
      <c r="S133" s="8" t="n">
        <f aca="false">S128*INDEX(Prices!S:S,VST_Assets!$AN$5)*VST_Assets!$J$5*S132/1000000*(1+VST_RevAdj)</f>
        <v>3556.13272509499</v>
      </c>
      <c r="T133" s="8" t="n">
        <f aca="false">T128*INDEX(Prices!T:T,VST_Assets!$AN$5)*VST_Assets!$J$5*T132/1000000*(1+VST_RevAdj)</f>
        <v>3627.25537959689</v>
      </c>
      <c r="U133" s="8" t="n">
        <f aca="false">U128*INDEX(Prices!U:U,VST_Assets!$AN$5)*VST_Assets!$J$5*U132/1000000*(1+VST_RevAdj)</f>
        <v>3699.80048718883</v>
      </c>
      <c r="V133" s="8" t="n">
        <f aca="false">V128*INDEX(Prices!V:V,VST_Assets!$AN$5)*VST_Assets!$J$5*V132/1000000*(1+VST_RevAdj)</f>
        <v>3773.79649693261</v>
      </c>
      <c r="W133" s="8" t="n">
        <f aca="false">W128*INDEX(Prices!W:W,VST_Assets!$AN$5)*VST_Assets!$J$5*W132/1000000*(1+VST_RevAdj)</f>
        <v>3849.27242687126</v>
      </c>
      <c r="X133" s="8" t="n">
        <f aca="false">X128*INDEX(Prices!X:X,VST_Assets!$AN$5)*VST_Assets!$J$5*X132/1000000*(1+VST_RevAdj)</f>
        <v>3926.25787540869</v>
      </c>
      <c r="Y133" s="8" t="n">
        <f aca="false">Y128*INDEX(Prices!Y:Y,VST_Assets!$AN$5)*VST_Assets!$J$5*Y132/1000000*(1+VST_RevAdj)</f>
        <v>4004.78303291686</v>
      </c>
      <c r="Z133" s="8" t="n">
        <f aca="false">Z128*INDEX(Prices!Z:Z,VST_Assets!$AN$5)*VST_Assets!$J$5*Z132/1000000*(1+VST_RevAdj)</f>
        <v>0</v>
      </c>
      <c r="AA133" s="8" t="n">
        <f aca="false">AA128*INDEX(Prices!AA:AA,VST_Assets!$AN$5)*VST_Assets!$J$5*AA132/1000000*(1+VST_RevAdj)</f>
        <v>0</v>
      </c>
      <c r="AB133" s="8" t="n">
        <f aca="false">AB128*INDEX(Prices!AB:AB,VST_Assets!$AN$5)*VST_Assets!$J$5*AB132/1000000*(1+VST_RevAdj)</f>
        <v>0</v>
      </c>
      <c r="AC133" s="8" t="n">
        <f aca="false">AC128*INDEX(Prices!AC:AC,VST_Assets!$AN$5)*VST_Assets!$J$5*AC132/1000000*(1+VST_RevAdj)</f>
        <v>0</v>
      </c>
      <c r="AD133" s="8" t="n">
        <f aca="false">AD128*INDEX(Prices!AD:AD,VST_Assets!$AN$5)*VST_Assets!$J$5*AD132/1000000*(1+VST_RevAdj)</f>
        <v>0</v>
      </c>
      <c r="AE133" s="8" t="n">
        <f aca="false">AE128*INDEX(Prices!AE:AE,VST_Assets!$AN$5)*VST_Assets!$J$5*AE132/1000000*(1+VST_RevAdj)</f>
        <v>0</v>
      </c>
      <c r="AF133" s="8" t="n">
        <f aca="false">AF128*INDEX(Prices!AF:AF,VST_Assets!$AN$5)*VST_Assets!$J$5*AF132/1000000*(1+VST_RevAdj)</f>
        <v>0</v>
      </c>
      <c r="AG133" s="8" t="n">
        <f aca="false">AG128*INDEX(Prices!AG:AG,VST_Assets!$AN$5)*VST_Assets!$J$5*AG132/1000000*(1+VST_RevAdj)</f>
        <v>0</v>
      </c>
      <c r="AH133" s="8" t="n">
        <f aca="false">AH128*INDEX(Prices!AH:AH,VST_Assets!$AN$5)*VST_Assets!$J$5*AH132/1000000*(1+VST_RevAdj)</f>
        <v>0</v>
      </c>
      <c r="AI133" s="8" t="n">
        <f aca="false">AI128*INDEX(Prices!AI:AI,VST_Assets!$AN$5)*VST_Assets!$J$5*AI132/1000000*(1+VST_RevAdj)</f>
        <v>0</v>
      </c>
      <c r="AJ133" s="8" t="n">
        <f aca="false">AJ128*INDEX(Prices!AJ:AJ,VST_Assets!$AN$5)*VST_Assets!$J$5*AJ132/1000000*(1+VST_RevAdj)</f>
        <v>0</v>
      </c>
      <c r="AK133" s="8" t="n">
        <f aca="false">AK128*INDEX(Prices!AK:AK,VST_Assets!$AN$5)*VST_Assets!$J$5*AK132/1000000*(1+VST_RevAdj)</f>
        <v>0</v>
      </c>
      <c r="AL133" s="8" t="n">
        <f aca="false">AL128*INDEX(Prices!AL:AL,VST_Assets!$AN$5)*VST_Assets!$J$5*AL132/1000000*(1+VST_RevAdj)</f>
        <v>0</v>
      </c>
      <c r="AM133" s="8" t="n">
        <f aca="false">AM128*INDEX(Prices!AM:AM,VST_Assets!$AN$5)*VST_Assets!$J$5*AM132/1000000*(1+VST_RevAdj)</f>
        <v>0</v>
      </c>
      <c r="AN133" s="8" t="n">
        <f aca="false">AN128*INDEX(Prices!AN:AN,VST_Assets!$AN$5)*VST_Assets!$J$5*AN132/1000000*(1+VST_RevAdj)</f>
        <v>0</v>
      </c>
      <c r="AO133" s="8" t="n">
        <f aca="false">AO128*INDEX(Prices!AO:AO,VST_Assets!$AN$5)*VST_Assets!$J$5*AO132/1000000*(1+VST_RevAdj)</f>
        <v>0</v>
      </c>
      <c r="AP133" s="8" t="n">
        <f aca="false">AP128*INDEX(Prices!AP:AP,VST_Assets!$AN$5)*VST_Assets!$J$5*AP132/1000000*(1+VST_RevAdj)</f>
        <v>0</v>
      </c>
      <c r="AQ133" s="8" t="n">
        <f aca="false">AQ128*INDEX(Prices!AQ:AQ,VST_Assets!$AN$5)*VST_Assets!$J$5*AQ132/1000000*(1+VST_RevAdj)</f>
        <v>0</v>
      </c>
      <c r="AR133" s="8" t="n">
        <f aca="false">AR128*INDEX(Prices!AR:AR,VST_Assets!$AN$5)*VST_Assets!$J$5*AR132/1000000*(1+VST_RevAdj)</f>
        <v>0</v>
      </c>
      <c r="AS133" s="8" t="n">
        <f aca="false">AS128*INDEX(Prices!AS:AS,VST_Assets!$AN$5)*VST_Assets!$J$5*AS132/1000000*(1+VST_RevAdj)</f>
        <v>0</v>
      </c>
    </row>
    <row r="134" customFormat="false" ht="15" hidden="false" customHeight="false" outlineLevel="0" collapsed="false">
      <c r="A134" s="6" t="s">
        <v>441</v>
      </c>
      <c r="B134" s="6" t="s">
        <v>442</v>
      </c>
      <c r="C134" s="9" t="n">
        <f aca="false">SUM(G134:AS134)</f>
        <v>0</v>
      </c>
      <c r="G134" s="8" t="n">
        <f aca="false">(VST_Assets!$D$5-G127)*INDEX(Prices!G:G,VST_Assets!$AP$5)*365*VST_Assets!$T$5*G126/1000000*(1+VST_RevAdj)</f>
        <v>0</v>
      </c>
      <c r="H134" s="8" t="n">
        <f aca="false">(VST_Assets!$D$5-H127)*INDEX(Prices!H:H,VST_Assets!$AP$5)*365*VST_Assets!$T$5*H126/1000000*(1+VST_RevAdj)</f>
        <v>0</v>
      </c>
      <c r="I134" s="8" t="n">
        <f aca="false">(VST_Assets!$D$5-I127)*INDEX(Prices!I:I,VST_Assets!$AP$5)*365*VST_Assets!$T$5*I126/1000000*(1+VST_RevAdj)</f>
        <v>0</v>
      </c>
      <c r="J134" s="8" t="n">
        <f aca="false">(VST_Assets!$D$5-J127)*INDEX(Prices!J:J,VST_Assets!$AP$5)*365*VST_Assets!$T$5*J126/1000000*(1+VST_RevAdj)</f>
        <v>0</v>
      </c>
      <c r="K134" s="8" t="n">
        <f aca="false">(VST_Assets!$D$5-K127)*INDEX(Prices!K:K,VST_Assets!$AP$5)*365*VST_Assets!$T$5*K126/1000000*(1+VST_RevAdj)</f>
        <v>0</v>
      </c>
      <c r="L134" s="8" t="n">
        <f aca="false">(VST_Assets!$D$5-L127)*INDEX(Prices!L:L,VST_Assets!$AP$5)*365*VST_Assets!$T$5*L126/1000000*(1+VST_RevAdj)</f>
        <v>0</v>
      </c>
      <c r="M134" s="8" t="n">
        <f aca="false">(VST_Assets!$D$5-M127)*INDEX(Prices!M:M,VST_Assets!$AP$5)*365*VST_Assets!$T$5*M126/1000000*(1+VST_RevAdj)</f>
        <v>0</v>
      </c>
      <c r="N134" s="8" t="n">
        <f aca="false">(VST_Assets!$D$5-N127)*INDEX(Prices!N:N,VST_Assets!$AP$5)*365*VST_Assets!$T$5*N126/1000000*(1+VST_RevAdj)</f>
        <v>0</v>
      </c>
      <c r="O134" s="8" t="n">
        <f aca="false">(VST_Assets!$D$5-O127)*INDEX(Prices!O:O,VST_Assets!$AP$5)*365*VST_Assets!$T$5*O126/1000000*(1+VST_RevAdj)</f>
        <v>0</v>
      </c>
      <c r="P134" s="8" t="n">
        <f aca="false">(VST_Assets!$D$5-P127)*INDEX(Prices!P:P,VST_Assets!$AP$5)*365*VST_Assets!$T$5*P126/1000000*(1+VST_RevAdj)</f>
        <v>0</v>
      </c>
      <c r="Q134" s="8" t="n">
        <f aca="false">(VST_Assets!$D$5-Q127)*INDEX(Prices!Q:Q,VST_Assets!$AP$5)*365*VST_Assets!$T$5*Q126/1000000*(1+VST_RevAdj)</f>
        <v>0</v>
      </c>
      <c r="R134" s="8" t="n">
        <f aca="false">(VST_Assets!$D$5-R127)*INDEX(Prices!R:R,VST_Assets!$AP$5)*365*VST_Assets!$T$5*R126/1000000*(1+VST_RevAdj)</f>
        <v>0</v>
      </c>
      <c r="S134" s="8" t="n">
        <f aca="false">(VST_Assets!$D$5-S127)*INDEX(Prices!S:S,VST_Assets!$AP$5)*365*VST_Assets!$T$5*S126/1000000*(1+VST_RevAdj)</f>
        <v>0</v>
      </c>
      <c r="T134" s="8" t="n">
        <f aca="false">(VST_Assets!$D$5-T127)*INDEX(Prices!T:T,VST_Assets!$AP$5)*365*VST_Assets!$T$5*T126/1000000*(1+VST_RevAdj)</f>
        <v>0</v>
      </c>
      <c r="U134" s="8" t="n">
        <f aca="false">(VST_Assets!$D$5-U127)*INDEX(Prices!U:U,VST_Assets!$AP$5)*365*VST_Assets!$T$5*U126/1000000*(1+VST_RevAdj)</f>
        <v>0</v>
      </c>
      <c r="V134" s="8" t="n">
        <f aca="false">(VST_Assets!$D$5-V127)*INDEX(Prices!V:V,VST_Assets!$AP$5)*365*VST_Assets!$T$5*V126/1000000*(1+VST_RevAdj)</f>
        <v>0</v>
      </c>
      <c r="W134" s="8" t="n">
        <f aca="false">(VST_Assets!$D$5-W127)*INDEX(Prices!W:W,VST_Assets!$AP$5)*365*VST_Assets!$T$5*W126/1000000*(1+VST_RevAdj)</f>
        <v>0</v>
      </c>
      <c r="X134" s="8" t="n">
        <f aca="false">(VST_Assets!$D$5-X127)*INDEX(Prices!X:X,VST_Assets!$AP$5)*365*VST_Assets!$T$5*X126/1000000*(1+VST_RevAdj)</f>
        <v>0</v>
      </c>
      <c r="Y134" s="8" t="n">
        <f aca="false">(VST_Assets!$D$5-Y127)*INDEX(Prices!Y:Y,VST_Assets!$AP$5)*365*VST_Assets!$T$5*Y126/1000000*(1+VST_RevAdj)</f>
        <v>0</v>
      </c>
      <c r="Z134" s="8" t="n">
        <f aca="false">(VST_Assets!$D$5-Z127)*INDEX(Prices!Z:Z,VST_Assets!$AP$5)*365*VST_Assets!$T$5*Z126/1000000*(1+VST_RevAdj)</f>
        <v>0</v>
      </c>
      <c r="AA134" s="8" t="n">
        <f aca="false">(VST_Assets!$D$5-AA127)*INDEX(Prices!AA:AA,VST_Assets!$AP$5)*365*VST_Assets!$T$5*AA126/1000000*(1+VST_RevAdj)</f>
        <v>0</v>
      </c>
      <c r="AB134" s="8" t="n">
        <f aca="false">(VST_Assets!$D$5-AB127)*INDEX(Prices!AB:AB,VST_Assets!$AP$5)*365*VST_Assets!$T$5*AB126/1000000*(1+VST_RevAdj)</f>
        <v>0</v>
      </c>
      <c r="AC134" s="8" t="n">
        <f aca="false">(VST_Assets!$D$5-AC127)*INDEX(Prices!AC:AC,VST_Assets!$AP$5)*365*VST_Assets!$T$5*AC126/1000000*(1+VST_RevAdj)</f>
        <v>0</v>
      </c>
      <c r="AD134" s="8" t="n">
        <f aca="false">(VST_Assets!$D$5-AD127)*INDEX(Prices!AD:AD,VST_Assets!$AP$5)*365*VST_Assets!$T$5*AD126/1000000*(1+VST_RevAdj)</f>
        <v>0</v>
      </c>
      <c r="AE134" s="8" t="n">
        <f aca="false">(VST_Assets!$D$5-AE127)*INDEX(Prices!AE:AE,VST_Assets!$AP$5)*365*VST_Assets!$T$5*AE126/1000000*(1+VST_RevAdj)</f>
        <v>0</v>
      </c>
      <c r="AF134" s="8" t="n">
        <f aca="false">(VST_Assets!$D$5-AF127)*INDEX(Prices!AF:AF,VST_Assets!$AP$5)*365*VST_Assets!$T$5*AF126/1000000*(1+VST_RevAdj)</f>
        <v>0</v>
      </c>
      <c r="AG134" s="8" t="n">
        <f aca="false">(VST_Assets!$D$5-AG127)*INDEX(Prices!AG:AG,VST_Assets!$AP$5)*365*VST_Assets!$T$5*AG126/1000000*(1+VST_RevAdj)</f>
        <v>0</v>
      </c>
      <c r="AH134" s="8" t="n">
        <f aca="false">(VST_Assets!$D$5-AH127)*INDEX(Prices!AH:AH,VST_Assets!$AP$5)*365*VST_Assets!$T$5*AH126/1000000*(1+VST_RevAdj)</f>
        <v>0</v>
      </c>
      <c r="AI134" s="8" t="n">
        <f aca="false">(VST_Assets!$D$5-AI127)*INDEX(Prices!AI:AI,VST_Assets!$AP$5)*365*VST_Assets!$T$5*AI126/1000000*(1+VST_RevAdj)</f>
        <v>0</v>
      </c>
      <c r="AJ134" s="8" t="n">
        <f aca="false">(VST_Assets!$D$5-AJ127)*INDEX(Prices!AJ:AJ,VST_Assets!$AP$5)*365*VST_Assets!$T$5*AJ126/1000000*(1+VST_RevAdj)</f>
        <v>0</v>
      </c>
      <c r="AK134" s="8" t="n">
        <f aca="false">(VST_Assets!$D$5-AK127)*INDEX(Prices!AK:AK,VST_Assets!$AP$5)*365*VST_Assets!$T$5*AK126/1000000*(1+VST_RevAdj)</f>
        <v>0</v>
      </c>
      <c r="AL134" s="8" t="n">
        <f aca="false">(VST_Assets!$D$5-AL127)*INDEX(Prices!AL:AL,VST_Assets!$AP$5)*365*VST_Assets!$T$5*AL126/1000000*(1+VST_RevAdj)</f>
        <v>0</v>
      </c>
      <c r="AM134" s="8" t="n">
        <f aca="false">(VST_Assets!$D$5-AM127)*INDEX(Prices!AM:AM,VST_Assets!$AP$5)*365*VST_Assets!$T$5*AM126/1000000*(1+VST_RevAdj)</f>
        <v>0</v>
      </c>
      <c r="AN134" s="8" t="n">
        <f aca="false">(VST_Assets!$D$5-AN127)*INDEX(Prices!AN:AN,VST_Assets!$AP$5)*365*VST_Assets!$T$5*AN126/1000000*(1+VST_RevAdj)</f>
        <v>0</v>
      </c>
      <c r="AO134" s="8" t="n">
        <f aca="false">(VST_Assets!$D$5-AO127)*INDEX(Prices!AO:AO,VST_Assets!$AP$5)*365*VST_Assets!$T$5*AO126/1000000*(1+VST_RevAdj)</f>
        <v>0</v>
      </c>
      <c r="AP134" s="8" t="n">
        <f aca="false">(VST_Assets!$D$5-AP127)*INDEX(Prices!AP:AP,VST_Assets!$AP$5)*365*VST_Assets!$T$5*AP126/1000000*(1+VST_RevAdj)</f>
        <v>0</v>
      </c>
      <c r="AQ134" s="8" t="n">
        <f aca="false">(VST_Assets!$D$5-AQ127)*INDEX(Prices!AQ:AQ,VST_Assets!$AP$5)*365*VST_Assets!$T$5*AQ126/1000000*(1+VST_RevAdj)</f>
        <v>0</v>
      </c>
      <c r="AR134" s="8" t="n">
        <f aca="false">(VST_Assets!$D$5-AR127)*INDEX(Prices!AR:AR,VST_Assets!$AP$5)*365*VST_Assets!$T$5*AR126/1000000*(1+VST_RevAdj)</f>
        <v>0</v>
      </c>
      <c r="AS134" s="8" t="n">
        <f aca="false">(VST_Assets!$D$5-AS127)*INDEX(Prices!AS:AS,VST_Assets!$AP$5)*365*VST_Assets!$T$5*AS126/1000000*(1+VST_RevAdj)</f>
        <v>0</v>
      </c>
    </row>
    <row r="135" customFormat="false" ht="15" hidden="false" customHeight="false" outlineLevel="0" collapsed="false">
      <c r="A135" s="6" t="s">
        <v>443</v>
      </c>
      <c r="B135" s="6" t="s">
        <v>444</v>
      </c>
      <c r="C135" s="9" t="n">
        <f aca="false">SUM(G135:AS135)</f>
        <v>0</v>
      </c>
      <c r="G135" s="8" t="n">
        <f aca="false">G129*(VST_Assets!$AD$5+VST_PPAAdj)/1000000*(1+VST_RevAdj)</f>
        <v>0</v>
      </c>
      <c r="H135" s="8" t="n">
        <f aca="false">H129*(VST_Assets!$AD$5+VST_PPAAdj)/1000000*(1+VST_RevAdj)</f>
        <v>0</v>
      </c>
      <c r="I135" s="8" t="n">
        <f aca="false">I129*(VST_Assets!$AD$5+VST_PPAAdj)/1000000*(1+VST_RevAdj)</f>
        <v>0</v>
      </c>
      <c r="J135" s="8" t="n">
        <f aca="false">J129*(VST_Assets!$AD$5+VST_PPAAdj)/1000000*(1+VST_RevAdj)</f>
        <v>0</v>
      </c>
      <c r="K135" s="8" t="n">
        <f aca="false">K129*(VST_Assets!$AD$5+VST_PPAAdj)/1000000*(1+VST_RevAdj)</f>
        <v>0</v>
      </c>
      <c r="L135" s="8" t="n">
        <f aca="false">L129*(VST_Assets!$AD$5+VST_PPAAdj)/1000000*(1+VST_RevAdj)</f>
        <v>0</v>
      </c>
      <c r="M135" s="8" t="n">
        <f aca="false">M129*(VST_Assets!$AD$5+VST_PPAAdj)/1000000*(1+VST_RevAdj)</f>
        <v>0</v>
      </c>
      <c r="N135" s="8" t="n">
        <f aca="false">N129*(VST_Assets!$AD$5+VST_PPAAdj)/1000000*(1+VST_RevAdj)</f>
        <v>0</v>
      </c>
      <c r="O135" s="8" t="n">
        <f aca="false">O129*(VST_Assets!$AD$5+VST_PPAAdj)/1000000*(1+VST_RevAdj)</f>
        <v>0</v>
      </c>
      <c r="P135" s="8" t="n">
        <f aca="false">P129*(VST_Assets!$AD$5+VST_PPAAdj)/1000000*(1+VST_RevAdj)</f>
        <v>0</v>
      </c>
      <c r="Q135" s="8" t="n">
        <f aca="false">Q129*(VST_Assets!$AD$5+VST_PPAAdj)/1000000*(1+VST_RevAdj)</f>
        <v>0</v>
      </c>
      <c r="R135" s="8" t="n">
        <f aca="false">R129*(VST_Assets!$AD$5+VST_PPAAdj)/1000000*(1+VST_RevAdj)</f>
        <v>0</v>
      </c>
      <c r="S135" s="8" t="n">
        <f aca="false">S129*(VST_Assets!$AD$5+VST_PPAAdj)/1000000*(1+VST_RevAdj)</f>
        <v>0</v>
      </c>
      <c r="T135" s="8" t="n">
        <f aca="false">T129*(VST_Assets!$AD$5+VST_PPAAdj)/1000000*(1+VST_RevAdj)</f>
        <v>0</v>
      </c>
      <c r="U135" s="8" t="n">
        <f aca="false">U129*(VST_Assets!$AD$5+VST_PPAAdj)/1000000*(1+VST_RevAdj)</f>
        <v>0</v>
      </c>
      <c r="V135" s="8" t="n">
        <f aca="false">V129*(VST_Assets!$AD$5+VST_PPAAdj)/1000000*(1+VST_RevAdj)</f>
        <v>0</v>
      </c>
      <c r="W135" s="8" t="n">
        <f aca="false">W129*(VST_Assets!$AD$5+VST_PPAAdj)/1000000*(1+VST_RevAdj)</f>
        <v>0</v>
      </c>
      <c r="X135" s="8" t="n">
        <f aca="false">X129*(VST_Assets!$AD$5+VST_PPAAdj)/1000000*(1+VST_RevAdj)</f>
        <v>0</v>
      </c>
      <c r="Y135" s="8" t="n">
        <f aca="false">Y129*(VST_Assets!$AD$5+VST_PPAAdj)/1000000*(1+VST_RevAdj)</f>
        <v>0</v>
      </c>
      <c r="Z135" s="8" t="n">
        <f aca="false">Z129*(VST_Assets!$AD$5+VST_PPAAdj)/1000000*(1+VST_RevAdj)</f>
        <v>0</v>
      </c>
      <c r="AA135" s="8" t="n">
        <f aca="false">AA129*(VST_Assets!$AD$5+VST_PPAAdj)/1000000*(1+VST_RevAdj)</f>
        <v>0</v>
      </c>
      <c r="AB135" s="8" t="n">
        <f aca="false">AB129*(VST_Assets!$AD$5+VST_PPAAdj)/1000000*(1+VST_RevAdj)</f>
        <v>0</v>
      </c>
      <c r="AC135" s="8" t="n">
        <f aca="false">AC129*(VST_Assets!$AD$5+VST_PPAAdj)/1000000*(1+VST_RevAdj)</f>
        <v>0</v>
      </c>
      <c r="AD135" s="8" t="n">
        <f aca="false">AD129*(VST_Assets!$AD$5+VST_PPAAdj)/1000000*(1+VST_RevAdj)</f>
        <v>0</v>
      </c>
      <c r="AE135" s="8" t="n">
        <f aca="false">AE129*(VST_Assets!$AD$5+VST_PPAAdj)/1000000*(1+VST_RevAdj)</f>
        <v>0</v>
      </c>
      <c r="AF135" s="8" t="n">
        <f aca="false">AF129*(VST_Assets!$AD$5+VST_PPAAdj)/1000000*(1+VST_RevAdj)</f>
        <v>0</v>
      </c>
      <c r="AG135" s="8" t="n">
        <f aca="false">AG129*(VST_Assets!$AD$5+VST_PPAAdj)/1000000*(1+VST_RevAdj)</f>
        <v>0</v>
      </c>
      <c r="AH135" s="8" t="n">
        <f aca="false">AH129*(VST_Assets!$AD$5+VST_PPAAdj)/1000000*(1+VST_RevAdj)</f>
        <v>0</v>
      </c>
      <c r="AI135" s="8" t="n">
        <f aca="false">AI129*(VST_Assets!$AD$5+VST_PPAAdj)/1000000*(1+VST_RevAdj)</f>
        <v>0</v>
      </c>
      <c r="AJ135" s="8" t="n">
        <f aca="false">AJ129*(VST_Assets!$AD$5+VST_PPAAdj)/1000000*(1+VST_RevAdj)</f>
        <v>0</v>
      </c>
      <c r="AK135" s="8" t="n">
        <f aca="false">AK129*(VST_Assets!$AD$5+VST_PPAAdj)/1000000*(1+VST_RevAdj)</f>
        <v>0</v>
      </c>
      <c r="AL135" s="8" t="n">
        <f aca="false">AL129*(VST_Assets!$AD$5+VST_PPAAdj)/1000000*(1+VST_RevAdj)</f>
        <v>0</v>
      </c>
      <c r="AM135" s="8" t="n">
        <f aca="false">AM129*(VST_Assets!$AD$5+VST_PPAAdj)/1000000*(1+VST_RevAdj)</f>
        <v>0</v>
      </c>
      <c r="AN135" s="8" t="n">
        <f aca="false">AN129*(VST_Assets!$AD$5+VST_PPAAdj)/1000000*(1+VST_RevAdj)</f>
        <v>0</v>
      </c>
      <c r="AO135" s="8" t="n">
        <f aca="false">AO129*(VST_Assets!$AD$5+VST_PPAAdj)/1000000*(1+VST_RevAdj)</f>
        <v>0</v>
      </c>
      <c r="AP135" s="8" t="n">
        <f aca="false">AP129*(VST_Assets!$AD$5+VST_PPAAdj)/1000000*(1+VST_RevAdj)</f>
        <v>0</v>
      </c>
      <c r="AQ135" s="8" t="n">
        <f aca="false">AQ129*(VST_Assets!$AD$5+VST_PPAAdj)/1000000*(1+VST_RevAdj)</f>
        <v>0</v>
      </c>
      <c r="AR135" s="8" t="n">
        <f aca="false">AR129*(VST_Assets!$AD$5+VST_PPAAdj)/1000000*(1+VST_RevAdj)</f>
        <v>0</v>
      </c>
      <c r="AS135" s="8" t="n">
        <f aca="false">AS129*(VST_Assets!$AD$5+VST_PPAAdj)/1000000*(1+VST_RevAdj)</f>
        <v>0</v>
      </c>
    </row>
    <row r="136" customFormat="false" ht="15" hidden="false" customHeight="false" outlineLevel="0" collapsed="false">
      <c r="A136" s="6" t="s">
        <v>445</v>
      </c>
      <c r="B136" s="6" t="s">
        <v>446</v>
      </c>
      <c r="C136" s="9" t="n">
        <f aca="false">SUM(G136:AS136)</f>
        <v>0</v>
      </c>
      <c r="G136" s="8" t="n">
        <f aca="false">IF(G$3&lt;=VST_Assets!$V$5,G128*VST_Assets!$U$5,0)/1000000*(1+VST_RevAdj)</f>
        <v>0</v>
      </c>
      <c r="H136" s="8" t="n">
        <f aca="false">IF(H$3&lt;=VST_Assets!$V$5,H128*VST_Assets!$U$5,0)/1000000*(1+VST_RevAdj)</f>
        <v>0</v>
      </c>
      <c r="I136" s="8" t="n">
        <f aca="false">IF(I$3&lt;=VST_Assets!$V$5,I128*VST_Assets!$U$5,0)/1000000*(1+VST_RevAdj)</f>
        <v>0</v>
      </c>
      <c r="J136" s="8" t="n">
        <f aca="false">IF(J$3&lt;=VST_Assets!$V$5,J128*VST_Assets!$U$5,0)/1000000*(1+VST_RevAdj)</f>
        <v>0</v>
      </c>
      <c r="K136" s="8" t="n">
        <f aca="false">IF(K$3&lt;=VST_Assets!$V$5,K128*VST_Assets!$U$5,0)/1000000*(1+VST_RevAdj)</f>
        <v>0</v>
      </c>
      <c r="L136" s="8" t="n">
        <f aca="false">IF(L$3&lt;=VST_Assets!$V$5,L128*VST_Assets!$U$5,0)/1000000*(1+VST_RevAdj)</f>
        <v>0</v>
      </c>
      <c r="M136" s="8" t="n">
        <f aca="false">IF(M$3&lt;=VST_Assets!$V$5,M128*VST_Assets!$U$5,0)/1000000*(1+VST_RevAdj)</f>
        <v>0</v>
      </c>
      <c r="N136" s="8" t="n">
        <f aca="false">IF(N$3&lt;=VST_Assets!$V$5,N128*VST_Assets!$U$5,0)/1000000*(1+VST_RevAdj)</f>
        <v>0</v>
      </c>
      <c r="O136" s="8" t="n">
        <f aca="false">IF(O$3&lt;=VST_Assets!$V$5,O128*VST_Assets!$U$5,0)/1000000*(1+VST_RevAdj)</f>
        <v>0</v>
      </c>
      <c r="P136" s="8" t="n">
        <f aca="false">IF(P$3&lt;=VST_Assets!$V$5,P128*VST_Assets!$U$5,0)/1000000*(1+VST_RevAdj)</f>
        <v>0</v>
      </c>
      <c r="Q136" s="8" t="n">
        <f aca="false">IF(Q$3&lt;=VST_Assets!$V$5,Q128*VST_Assets!$U$5,0)/1000000*(1+VST_RevAdj)</f>
        <v>0</v>
      </c>
      <c r="R136" s="8" t="n">
        <f aca="false">IF(R$3&lt;=VST_Assets!$V$5,R128*VST_Assets!$U$5,0)/1000000*(1+VST_RevAdj)</f>
        <v>0</v>
      </c>
      <c r="S136" s="8" t="n">
        <f aca="false">IF(S$3&lt;=VST_Assets!$V$5,S128*VST_Assets!$U$5,0)/1000000*(1+VST_RevAdj)</f>
        <v>0</v>
      </c>
      <c r="T136" s="8" t="n">
        <f aca="false">IF(T$3&lt;=VST_Assets!$V$5,T128*VST_Assets!$U$5,0)/1000000*(1+VST_RevAdj)</f>
        <v>0</v>
      </c>
      <c r="U136" s="8" t="n">
        <f aca="false">IF(U$3&lt;=VST_Assets!$V$5,U128*VST_Assets!$U$5,0)/1000000*(1+VST_RevAdj)</f>
        <v>0</v>
      </c>
      <c r="V136" s="8" t="n">
        <f aca="false">IF(V$3&lt;=VST_Assets!$V$5,V128*VST_Assets!$U$5,0)/1000000*(1+VST_RevAdj)</f>
        <v>0</v>
      </c>
      <c r="W136" s="8" t="n">
        <f aca="false">IF(W$3&lt;=VST_Assets!$V$5,W128*VST_Assets!$U$5,0)/1000000*(1+VST_RevAdj)</f>
        <v>0</v>
      </c>
      <c r="X136" s="8" t="n">
        <f aca="false">IF(X$3&lt;=VST_Assets!$V$5,X128*VST_Assets!$U$5,0)/1000000*(1+VST_RevAdj)</f>
        <v>0</v>
      </c>
      <c r="Y136" s="8" t="n">
        <f aca="false">IF(Y$3&lt;=VST_Assets!$V$5,Y128*VST_Assets!$U$5,0)/1000000*(1+VST_RevAdj)</f>
        <v>0</v>
      </c>
      <c r="Z136" s="8" t="n">
        <f aca="false">IF(Z$3&lt;=VST_Assets!$V$5,Z128*VST_Assets!$U$5,0)/1000000*(1+VST_RevAdj)</f>
        <v>0</v>
      </c>
      <c r="AA136" s="8" t="n">
        <f aca="false">IF(AA$3&lt;=VST_Assets!$V$5,AA128*VST_Assets!$U$5,0)/1000000*(1+VST_RevAdj)</f>
        <v>0</v>
      </c>
      <c r="AB136" s="8" t="n">
        <f aca="false">IF(AB$3&lt;=VST_Assets!$V$5,AB128*VST_Assets!$U$5,0)/1000000*(1+VST_RevAdj)</f>
        <v>0</v>
      </c>
      <c r="AC136" s="8" t="n">
        <f aca="false">IF(AC$3&lt;=VST_Assets!$V$5,AC128*VST_Assets!$U$5,0)/1000000*(1+VST_RevAdj)</f>
        <v>0</v>
      </c>
      <c r="AD136" s="8" t="n">
        <f aca="false">IF(AD$3&lt;=VST_Assets!$V$5,AD128*VST_Assets!$U$5,0)/1000000*(1+VST_RevAdj)</f>
        <v>0</v>
      </c>
      <c r="AE136" s="8" t="n">
        <f aca="false">IF(AE$3&lt;=VST_Assets!$V$5,AE128*VST_Assets!$U$5,0)/1000000*(1+VST_RevAdj)</f>
        <v>0</v>
      </c>
      <c r="AF136" s="8" t="n">
        <f aca="false">IF(AF$3&lt;=VST_Assets!$V$5,AF128*VST_Assets!$U$5,0)/1000000*(1+VST_RevAdj)</f>
        <v>0</v>
      </c>
      <c r="AG136" s="8" t="n">
        <f aca="false">IF(AG$3&lt;=VST_Assets!$V$5,AG128*VST_Assets!$U$5,0)/1000000*(1+VST_RevAdj)</f>
        <v>0</v>
      </c>
      <c r="AH136" s="8" t="n">
        <f aca="false">IF(AH$3&lt;=VST_Assets!$V$5,AH128*VST_Assets!$U$5,0)/1000000*(1+VST_RevAdj)</f>
        <v>0</v>
      </c>
      <c r="AI136" s="8" t="n">
        <f aca="false">IF(AI$3&lt;=VST_Assets!$V$5,AI128*VST_Assets!$U$5,0)/1000000*(1+VST_RevAdj)</f>
        <v>0</v>
      </c>
      <c r="AJ136" s="8" t="n">
        <f aca="false">IF(AJ$3&lt;=VST_Assets!$V$5,AJ128*VST_Assets!$U$5,0)/1000000*(1+VST_RevAdj)</f>
        <v>0</v>
      </c>
      <c r="AK136" s="8" t="n">
        <f aca="false">IF(AK$3&lt;=VST_Assets!$V$5,AK128*VST_Assets!$U$5,0)/1000000*(1+VST_RevAdj)</f>
        <v>0</v>
      </c>
      <c r="AL136" s="8" t="n">
        <f aca="false">IF(AL$3&lt;=VST_Assets!$V$5,AL128*VST_Assets!$U$5,0)/1000000*(1+VST_RevAdj)</f>
        <v>0</v>
      </c>
      <c r="AM136" s="8" t="n">
        <f aca="false">IF(AM$3&lt;=VST_Assets!$V$5,AM128*VST_Assets!$U$5,0)/1000000*(1+VST_RevAdj)</f>
        <v>0</v>
      </c>
      <c r="AN136" s="8" t="n">
        <f aca="false">IF(AN$3&lt;=VST_Assets!$V$5,AN128*VST_Assets!$U$5,0)/1000000*(1+VST_RevAdj)</f>
        <v>0</v>
      </c>
      <c r="AO136" s="8" t="n">
        <f aca="false">IF(AO$3&lt;=VST_Assets!$V$5,AO128*VST_Assets!$U$5,0)/1000000*(1+VST_RevAdj)</f>
        <v>0</v>
      </c>
      <c r="AP136" s="8" t="n">
        <f aca="false">IF(AP$3&lt;=VST_Assets!$V$5,AP128*VST_Assets!$U$5,0)/1000000*(1+VST_RevAdj)</f>
        <v>0</v>
      </c>
      <c r="AQ136" s="8" t="n">
        <f aca="false">IF(AQ$3&lt;=VST_Assets!$V$5,AQ128*VST_Assets!$U$5,0)/1000000*(1+VST_RevAdj)</f>
        <v>0</v>
      </c>
      <c r="AR136" s="8" t="n">
        <f aca="false">IF(AR$3&lt;=VST_Assets!$V$5,AR128*VST_Assets!$U$5,0)/1000000*(1+VST_RevAdj)</f>
        <v>0</v>
      </c>
      <c r="AS136" s="8" t="n">
        <f aca="false">IF(AS$3&lt;=VST_Assets!$V$5,AS128*VST_Assets!$U$5,0)/1000000*(1+VST_RevAdj)</f>
        <v>0</v>
      </c>
    </row>
    <row r="137" customFormat="false" ht="15" hidden="false" customHeight="false" outlineLevel="0" collapsed="false">
      <c r="A137" s="6" t="s">
        <v>447</v>
      </c>
      <c r="B137" s="6" t="s">
        <v>448</v>
      </c>
      <c r="C137" s="9" t="n">
        <f aca="false">SUM(G137:AS137)</f>
        <v>63842.5044030747</v>
      </c>
      <c r="G137" s="8" t="n">
        <f aca="false">G133+G134+G135+G136</f>
        <v>2691.3348</v>
      </c>
      <c r="H137" s="8" t="n">
        <f aca="false">H133+H134+H135+H136</f>
        <v>2801.1852</v>
      </c>
      <c r="I137" s="8" t="n">
        <f aca="false">I133+I134+I135+I136</f>
        <v>2886.68891758104</v>
      </c>
      <c r="J137" s="8" t="n">
        <f aca="false">J133+J134+J135+J136</f>
        <v>2975.61278386532</v>
      </c>
      <c r="K137" s="8" t="n">
        <f aca="false">K133+K134+K135+K136</f>
        <v>3035.12503954263</v>
      </c>
      <c r="L137" s="8" t="n">
        <f aca="false">L133+L134+L135+L136</f>
        <v>3095.82754033348</v>
      </c>
      <c r="M137" s="8" t="n">
        <f aca="false">M133+M134+M135+M136</f>
        <v>3157.74409114015</v>
      </c>
      <c r="N137" s="8" t="n">
        <f aca="false">N133+N134+N135+N136</f>
        <v>3220.89897296295</v>
      </c>
      <c r="O137" s="8" t="n">
        <f aca="false">O133+O134+O135+O136</f>
        <v>3285.31695242221</v>
      </c>
      <c r="P137" s="8" t="n">
        <f aca="false">P133+P134+P135+P136</f>
        <v>3351.02329147066</v>
      </c>
      <c r="Q137" s="8" t="n">
        <f aca="false">Q133+Q134+Q135+Q136</f>
        <v>3418.04375730007</v>
      </c>
      <c r="R137" s="8" t="n">
        <f aca="false">R133+R134+R135+R136</f>
        <v>3486.40463244607</v>
      </c>
      <c r="S137" s="8" t="n">
        <f aca="false">S133+S134+S135+S136</f>
        <v>3556.13272509499</v>
      </c>
      <c r="T137" s="8" t="n">
        <f aca="false">T133+T134+T135+T136</f>
        <v>3627.25537959689</v>
      </c>
      <c r="U137" s="8" t="n">
        <f aca="false">U133+U134+U135+U136</f>
        <v>3699.80048718883</v>
      </c>
      <c r="V137" s="8" t="n">
        <f aca="false">V133+V134+V135+V136</f>
        <v>3773.79649693261</v>
      </c>
      <c r="W137" s="8" t="n">
        <f aca="false">W133+W134+W135+W136</f>
        <v>3849.27242687126</v>
      </c>
      <c r="X137" s="8" t="n">
        <f aca="false">X133+X134+X135+X136</f>
        <v>3926.25787540869</v>
      </c>
      <c r="Y137" s="8" t="n">
        <f aca="false">Y133+Y134+Y135+Y136</f>
        <v>4004.78303291686</v>
      </c>
      <c r="Z137" s="8" t="n">
        <f aca="false">Z133+Z134+Z135+Z136</f>
        <v>0</v>
      </c>
      <c r="AA137" s="8" t="n">
        <f aca="false">AA133+AA134+AA135+AA136</f>
        <v>0</v>
      </c>
      <c r="AB137" s="8" t="n">
        <f aca="false">AB133+AB134+AB135+AB136</f>
        <v>0</v>
      </c>
      <c r="AC137" s="8" t="n">
        <f aca="false">AC133+AC134+AC135+AC136</f>
        <v>0</v>
      </c>
      <c r="AD137" s="8" t="n">
        <f aca="false">AD133+AD134+AD135+AD136</f>
        <v>0</v>
      </c>
      <c r="AE137" s="8" t="n">
        <f aca="false">AE133+AE134+AE135+AE136</f>
        <v>0</v>
      </c>
      <c r="AF137" s="8" t="n">
        <f aca="false">AF133+AF134+AF135+AF136</f>
        <v>0</v>
      </c>
      <c r="AG137" s="8" t="n">
        <f aca="false">AG133+AG134+AG135+AG136</f>
        <v>0</v>
      </c>
      <c r="AH137" s="8" t="n">
        <f aca="false">AH133+AH134+AH135+AH136</f>
        <v>0</v>
      </c>
      <c r="AI137" s="8" t="n">
        <f aca="false">AI133+AI134+AI135+AI136</f>
        <v>0</v>
      </c>
      <c r="AJ137" s="8" t="n">
        <f aca="false">AJ133+AJ134+AJ135+AJ136</f>
        <v>0</v>
      </c>
      <c r="AK137" s="8" t="n">
        <f aca="false">AK133+AK134+AK135+AK136</f>
        <v>0</v>
      </c>
      <c r="AL137" s="8" t="n">
        <f aca="false">AL133+AL134+AL135+AL136</f>
        <v>0</v>
      </c>
      <c r="AM137" s="8" t="n">
        <f aca="false">AM133+AM134+AM135+AM136</f>
        <v>0</v>
      </c>
      <c r="AN137" s="8" t="n">
        <f aca="false">AN133+AN134+AN135+AN136</f>
        <v>0</v>
      </c>
      <c r="AO137" s="8" t="n">
        <f aca="false">AO133+AO134+AO135+AO136</f>
        <v>0</v>
      </c>
      <c r="AP137" s="8" t="n">
        <f aca="false">AP133+AP134+AP135+AP136</f>
        <v>0</v>
      </c>
      <c r="AQ137" s="8" t="n">
        <f aca="false">AQ133+AQ134+AQ135+AQ136</f>
        <v>0</v>
      </c>
      <c r="AR137" s="8" t="n">
        <f aca="false">AR133+AR134+AR135+AR136</f>
        <v>0</v>
      </c>
      <c r="AS137" s="8" t="n">
        <f aca="false">AS133+AS134+AS135+AS136</f>
        <v>0</v>
      </c>
    </row>
    <row r="138" customFormat="false" ht="15" hidden="false" customHeight="false" outlineLevel="0" collapsed="false">
      <c r="A138" s="6" t="s">
        <v>449</v>
      </c>
      <c r="B138" s="6" t="s">
        <v>450</v>
      </c>
      <c r="C138" s="9" t="n">
        <f aca="false">SUM(G138:AS138)</f>
        <v>35526.6590889039</v>
      </c>
      <c r="G138" s="8" t="n">
        <f aca="false">((VST_Assets!$K$5*G130+VST_Assets!$M$5*G$4)*G128*G132+VST_Assets!$N$5*(1+VST_Assets!$Q$5)^(G$3-2026)*(G128+G129))/1000000*(1+VST_FuelAdj)</f>
        <v>1524.7784772</v>
      </c>
      <c r="H138" s="8" t="n">
        <f aca="false">((VST_Assets!$K$5*H130+VST_Assets!$M$5*H$4)*H128*H132+VST_Assets!$N$5*(1+VST_Assets!$Q$5)^(H$3-2026)*(H128+H129))/1000000*(1+VST_FuelAdj)</f>
        <v>1555.274046744</v>
      </c>
      <c r="I138" s="8" t="n">
        <f aca="false">((VST_Assets!$K$5*I130+VST_Assets!$M$5*I$4)*I128*I132+VST_Assets!$N$5*(1+VST_Assets!$Q$5)^(I$3-2026)*(I128+I129))/1000000*(1+VST_FuelAdj)</f>
        <v>1621.35176466384</v>
      </c>
      <c r="J138" s="8" t="n">
        <f aca="false">((VST_Assets!$K$5*J130+VST_Assets!$M$5*J$4)*J128*J132+VST_Assets!$N$5*(1+VST_Assets!$Q$5)^(J$3-2026)*(J128+J129))/1000000*(1+VST_FuelAdj)</f>
        <v>1653.77879995712</v>
      </c>
      <c r="K138" s="8" t="n">
        <f aca="false">((VST_Assets!$K$5*K130+VST_Assets!$M$5*K$4)*K128*K132+VST_Assets!$N$5*(1+VST_Assets!$Q$5)^(K$3-2026)*(K128+K129))/1000000*(1+VST_FuelAdj)</f>
        <v>1686.85437595626</v>
      </c>
      <c r="L138" s="8" t="n">
        <f aca="false">((VST_Assets!$K$5*L130+VST_Assets!$M$5*L$4)*L128*L132+VST_Assets!$N$5*(1+VST_Assets!$Q$5)^(L$3-2026)*(L128+L129))/1000000*(1+VST_FuelAdj)</f>
        <v>1720.59146347538</v>
      </c>
      <c r="M138" s="8" t="n">
        <f aca="false">((VST_Assets!$K$5*M130+VST_Assets!$M$5*M$4)*M128*M132+VST_Assets!$N$5*(1+VST_Assets!$Q$5)^(M$3-2026)*(M128+M129))/1000000*(1+VST_FuelAdj)</f>
        <v>1755.00329274489</v>
      </c>
      <c r="N138" s="8" t="n">
        <f aca="false">((VST_Assets!$K$5*N130+VST_Assets!$M$5*N$4)*N128*N132+VST_Assets!$N$5*(1+VST_Assets!$Q$5)^(N$3-2026)*(N128+N129))/1000000*(1+VST_FuelAdj)</f>
        <v>1790.10335859979</v>
      </c>
      <c r="O138" s="8" t="n">
        <f aca="false">((VST_Assets!$K$5*O130+VST_Assets!$M$5*O$4)*O128*O132+VST_Assets!$N$5*(1+VST_Assets!$Q$5)^(O$3-2026)*(O128+O129))/1000000*(1+VST_FuelAdj)</f>
        <v>1825.90542577179</v>
      </c>
      <c r="P138" s="8" t="n">
        <f aca="false">((VST_Assets!$K$5*P130+VST_Assets!$M$5*P$4)*P128*P132+VST_Assets!$N$5*(1+VST_Assets!$Q$5)^(P$3-2026)*(P128+P129))/1000000*(1+VST_FuelAdj)</f>
        <v>1862.42353428722</v>
      </c>
      <c r="Q138" s="8" t="n">
        <f aca="false">((VST_Assets!$K$5*Q130+VST_Assets!$M$5*Q$4)*Q128*Q132+VST_Assets!$N$5*(1+VST_Assets!$Q$5)^(Q$3-2026)*(Q128+Q129))/1000000*(1+VST_FuelAdj)</f>
        <v>1899.67200497297</v>
      </c>
      <c r="R138" s="8" t="n">
        <f aca="false">((VST_Assets!$K$5*R130+VST_Assets!$M$5*R$4)*R128*R132+VST_Assets!$N$5*(1+VST_Assets!$Q$5)^(R$3-2026)*(R128+R129))/1000000*(1+VST_FuelAdj)</f>
        <v>1937.66544507243</v>
      </c>
      <c r="S138" s="8" t="n">
        <f aca="false">((VST_Assets!$K$5*S130+VST_Assets!$M$5*S$4)*S128*S132+VST_Assets!$N$5*(1+VST_Assets!$Q$5)^(S$3-2026)*(S128+S129))/1000000*(1+VST_FuelAdj)</f>
        <v>1976.41875397387</v>
      </c>
      <c r="T138" s="8" t="n">
        <f aca="false">((VST_Assets!$K$5*T130+VST_Assets!$M$5*T$4)*T128*T132+VST_Assets!$N$5*(1+VST_Assets!$Q$5)^(T$3-2026)*(T128+T129))/1000000*(1+VST_FuelAdj)</f>
        <v>2015.94712905335</v>
      </c>
      <c r="U138" s="8" t="n">
        <f aca="false">((VST_Assets!$K$5*U130+VST_Assets!$M$5*U$4)*U128*U132+VST_Assets!$N$5*(1+VST_Assets!$Q$5)^(U$3-2026)*(U128+U129))/1000000*(1+VST_FuelAdj)</f>
        <v>2056.26607163442</v>
      </c>
      <c r="V138" s="8" t="n">
        <f aca="false">((VST_Assets!$K$5*V130+VST_Assets!$M$5*V$4)*V128*V132+VST_Assets!$N$5*(1+VST_Assets!$Q$5)^(V$3-2026)*(V128+V129))/1000000*(1+VST_FuelAdj)</f>
        <v>2097.39139306711</v>
      </c>
      <c r="W138" s="8" t="n">
        <f aca="false">((VST_Assets!$K$5*W130+VST_Assets!$M$5*W$4)*W128*W132+VST_Assets!$N$5*(1+VST_Assets!$Q$5)^(W$3-2026)*(W128+W129))/1000000*(1+VST_FuelAdj)</f>
        <v>2139.33922092845</v>
      </c>
      <c r="X138" s="8" t="n">
        <f aca="false">((VST_Assets!$K$5*X130+VST_Assets!$M$5*X$4)*X128*X132+VST_Assets!$N$5*(1+VST_Assets!$Q$5)^(X$3-2026)*(X128+X129))/1000000*(1+VST_FuelAdj)</f>
        <v>2182.12600534702</v>
      </c>
      <c r="Y138" s="8" t="n">
        <f aca="false">((VST_Assets!$K$5*Y130+VST_Assets!$M$5*Y$4)*Y128*Y132+VST_Assets!$N$5*(1+VST_Assets!$Q$5)^(Y$3-2026)*(Y128+Y129))/1000000*(1+VST_FuelAdj)</f>
        <v>2225.76852545396</v>
      </c>
      <c r="Z138" s="8" t="n">
        <f aca="false">((VST_Assets!$K$5*Z130+VST_Assets!$M$5*Z$4)*Z128*Z132+VST_Assets!$N$5*(1+VST_Assets!$Q$5)^(Z$3-2026)*(Z128+Z129))/1000000*(1+VST_FuelAdj)</f>
        <v>0</v>
      </c>
      <c r="AA138" s="8" t="n">
        <f aca="false">((VST_Assets!$K$5*AA130+VST_Assets!$M$5*AA$4)*AA128*AA132+VST_Assets!$N$5*(1+VST_Assets!$Q$5)^(AA$3-2026)*(AA128+AA129))/1000000*(1+VST_FuelAdj)</f>
        <v>0</v>
      </c>
      <c r="AB138" s="8" t="n">
        <f aca="false">((VST_Assets!$K$5*AB130+VST_Assets!$M$5*AB$4)*AB128*AB132+VST_Assets!$N$5*(1+VST_Assets!$Q$5)^(AB$3-2026)*(AB128+AB129))/1000000*(1+VST_FuelAdj)</f>
        <v>0</v>
      </c>
      <c r="AC138" s="8" t="n">
        <f aca="false">((VST_Assets!$K$5*AC130+VST_Assets!$M$5*AC$4)*AC128*AC132+VST_Assets!$N$5*(1+VST_Assets!$Q$5)^(AC$3-2026)*(AC128+AC129))/1000000*(1+VST_FuelAdj)</f>
        <v>0</v>
      </c>
      <c r="AD138" s="8" t="n">
        <f aca="false">((VST_Assets!$K$5*AD130+VST_Assets!$M$5*AD$4)*AD128*AD132+VST_Assets!$N$5*(1+VST_Assets!$Q$5)^(AD$3-2026)*(AD128+AD129))/1000000*(1+VST_FuelAdj)</f>
        <v>0</v>
      </c>
      <c r="AE138" s="8" t="n">
        <f aca="false">((VST_Assets!$K$5*AE130+VST_Assets!$M$5*AE$4)*AE128*AE132+VST_Assets!$N$5*(1+VST_Assets!$Q$5)^(AE$3-2026)*(AE128+AE129))/1000000*(1+VST_FuelAdj)</f>
        <v>0</v>
      </c>
      <c r="AF138" s="8" t="n">
        <f aca="false">((VST_Assets!$K$5*AF130+VST_Assets!$M$5*AF$4)*AF128*AF132+VST_Assets!$N$5*(1+VST_Assets!$Q$5)^(AF$3-2026)*(AF128+AF129))/1000000*(1+VST_FuelAdj)</f>
        <v>0</v>
      </c>
      <c r="AG138" s="8" t="n">
        <f aca="false">((VST_Assets!$K$5*AG130+VST_Assets!$M$5*AG$4)*AG128*AG132+VST_Assets!$N$5*(1+VST_Assets!$Q$5)^(AG$3-2026)*(AG128+AG129))/1000000*(1+VST_FuelAdj)</f>
        <v>0</v>
      </c>
      <c r="AH138" s="8" t="n">
        <f aca="false">((VST_Assets!$K$5*AH130+VST_Assets!$M$5*AH$4)*AH128*AH132+VST_Assets!$N$5*(1+VST_Assets!$Q$5)^(AH$3-2026)*(AH128+AH129))/1000000*(1+VST_FuelAdj)</f>
        <v>0</v>
      </c>
      <c r="AI138" s="8" t="n">
        <f aca="false">((VST_Assets!$K$5*AI130+VST_Assets!$M$5*AI$4)*AI128*AI132+VST_Assets!$N$5*(1+VST_Assets!$Q$5)^(AI$3-2026)*(AI128+AI129))/1000000*(1+VST_FuelAdj)</f>
        <v>0</v>
      </c>
      <c r="AJ138" s="8" t="n">
        <f aca="false">((VST_Assets!$K$5*AJ130+VST_Assets!$M$5*AJ$4)*AJ128*AJ132+VST_Assets!$N$5*(1+VST_Assets!$Q$5)^(AJ$3-2026)*(AJ128+AJ129))/1000000*(1+VST_FuelAdj)</f>
        <v>0</v>
      </c>
      <c r="AK138" s="8" t="n">
        <f aca="false">((VST_Assets!$K$5*AK130+VST_Assets!$M$5*AK$4)*AK128*AK132+VST_Assets!$N$5*(1+VST_Assets!$Q$5)^(AK$3-2026)*(AK128+AK129))/1000000*(1+VST_FuelAdj)</f>
        <v>0</v>
      </c>
      <c r="AL138" s="8" t="n">
        <f aca="false">((VST_Assets!$K$5*AL130+VST_Assets!$M$5*AL$4)*AL128*AL132+VST_Assets!$N$5*(1+VST_Assets!$Q$5)^(AL$3-2026)*(AL128+AL129))/1000000*(1+VST_FuelAdj)</f>
        <v>0</v>
      </c>
      <c r="AM138" s="8" t="n">
        <f aca="false">((VST_Assets!$K$5*AM130+VST_Assets!$M$5*AM$4)*AM128*AM132+VST_Assets!$N$5*(1+VST_Assets!$Q$5)^(AM$3-2026)*(AM128+AM129))/1000000*(1+VST_FuelAdj)</f>
        <v>0</v>
      </c>
      <c r="AN138" s="8" t="n">
        <f aca="false">((VST_Assets!$K$5*AN130+VST_Assets!$M$5*AN$4)*AN128*AN132+VST_Assets!$N$5*(1+VST_Assets!$Q$5)^(AN$3-2026)*(AN128+AN129))/1000000*(1+VST_FuelAdj)</f>
        <v>0</v>
      </c>
      <c r="AO138" s="8" t="n">
        <f aca="false">((VST_Assets!$K$5*AO130+VST_Assets!$M$5*AO$4)*AO128*AO132+VST_Assets!$N$5*(1+VST_Assets!$Q$5)^(AO$3-2026)*(AO128+AO129))/1000000*(1+VST_FuelAdj)</f>
        <v>0</v>
      </c>
      <c r="AP138" s="8" t="n">
        <f aca="false">((VST_Assets!$K$5*AP130+VST_Assets!$M$5*AP$4)*AP128*AP132+VST_Assets!$N$5*(1+VST_Assets!$Q$5)^(AP$3-2026)*(AP128+AP129))/1000000*(1+VST_FuelAdj)</f>
        <v>0</v>
      </c>
      <c r="AQ138" s="8" t="n">
        <f aca="false">((VST_Assets!$K$5*AQ130+VST_Assets!$M$5*AQ$4)*AQ128*AQ132+VST_Assets!$N$5*(1+VST_Assets!$Q$5)^(AQ$3-2026)*(AQ128+AQ129))/1000000*(1+VST_FuelAdj)</f>
        <v>0</v>
      </c>
      <c r="AR138" s="8" t="n">
        <f aca="false">((VST_Assets!$K$5*AR130+VST_Assets!$M$5*AR$4)*AR128*AR132+VST_Assets!$N$5*(1+VST_Assets!$Q$5)^(AR$3-2026)*(AR128+AR129))/1000000*(1+VST_FuelAdj)</f>
        <v>0</v>
      </c>
      <c r="AS138" s="8" t="n">
        <f aca="false">((VST_Assets!$K$5*AS130+VST_Assets!$M$5*AS$4)*AS128*AS132+VST_Assets!$N$5*(1+VST_Assets!$Q$5)^(AS$3-2026)*(AS128+AS129))/1000000*(1+VST_FuelAdj)</f>
        <v>0</v>
      </c>
    </row>
    <row r="139" customFormat="false" ht="15" hidden="false" customHeight="false" outlineLevel="0" collapsed="false">
      <c r="A139" s="6" t="s">
        <v>451</v>
      </c>
      <c r="B139" s="6" t="s">
        <v>452</v>
      </c>
      <c r="C139" s="9" t="n">
        <f aca="false">SUM(G139:AS139)</f>
        <v>28315.8453141709</v>
      </c>
      <c r="G139" s="8" t="n">
        <f aca="false">G137-G138</f>
        <v>1166.5563228</v>
      </c>
      <c r="H139" s="8" t="n">
        <f aca="false">H137-H138</f>
        <v>1245.911153256</v>
      </c>
      <c r="I139" s="8" t="n">
        <f aca="false">I137-I138</f>
        <v>1265.3371529172</v>
      </c>
      <c r="J139" s="8" t="n">
        <f aca="false">J137-J138</f>
        <v>1321.8339839082</v>
      </c>
      <c r="K139" s="8" t="n">
        <f aca="false">K137-K138</f>
        <v>1348.27066358637</v>
      </c>
      <c r="L139" s="8" t="n">
        <f aca="false">L137-L138</f>
        <v>1375.2360768581</v>
      </c>
      <c r="M139" s="8" t="n">
        <f aca="false">M137-M138</f>
        <v>1402.74079839526</v>
      </c>
      <c r="N139" s="8" t="n">
        <f aca="false">N137-N138</f>
        <v>1430.79561436316</v>
      </c>
      <c r="O139" s="8" t="n">
        <f aca="false">O137-O138</f>
        <v>1459.41152665043</v>
      </c>
      <c r="P139" s="8" t="n">
        <f aca="false">P137-P138</f>
        <v>1488.59975718343</v>
      </c>
      <c r="Q139" s="8" t="n">
        <f aca="false">Q137-Q138</f>
        <v>1518.3717523271</v>
      </c>
      <c r="R139" s="8" t="n">
        <f aca="false">R137-R138</f>
        <v>1548.73918737365</v>
      </c>
      <c r="S139" s="8" t="n">
        <f aca="false">S137-S138</f>
        <v>1579.71397112112</v>
      </c>
      <c r="T139" s="8" t="n">
        <f aca="false">T137-T138</f>
        <v>1611.30825054354</v>
      </c>
      <c r="U139" s="8" t="n">
        <f aca="false">U137-U138</f>
        <v>1643.53441555441</v>
      </c>
      <c r="V139" s="8" t="n">
        <f aca="false">V137-V138</f>
        <v>1676.4051038655</v>
      </c>
      <c r="W139" s="8" t="n">
        <f aca="false">W137-W138</f>
        <v>1709.93320594281</v>
      </c>
      <c r="X139" s="8" t="n">
        <f aca="false">X137-X138</f>
        <v>1744.13187006167</v>
      </c>
      <c r="Y139" s="8" t="n">
        <f aca="false">Y137-Y138</f>
        <v>1779.0145074629</v>
      </c>
      <c r="Z139" s="8" t="n">
        <f aca="false">Z137-Z138</f>
        <v>0</v>
      </c>
      <c r="AA139" s="8" t="n">
        <f aca="false">AA137-AA138</f>
        <v>0</v>
      </c>
      <c r="AB139" s="8" t="n">
        <f aca="false">AB137-AB138</f>
        <v>0</v>
      </c>
      <c r="AC139" s="8" t="n">
        <f aca="false">AC137-AC138</f>
        <v>0</v>
      </c>
      <c r="AD139" s="8" t="n">
        <f aca="false">AD137-AD138</f>
        <v>0</v>
      </c>
      <c r="AE139" s="8" t="n">
        <f aca="false">AE137-AE138</f>
        <v>0</v>
      </c>
      <c r="AF139" s="8" t="n">
        <f aca="false">AF137-AF138</f>
        <v>0</v>
      </c>
      <c r="AG139" s="8" t="n">
        <f aca="false">AG137-AG138</f>
        <v>0</v>
      </c>
      <c r="AH139" s="8" t="n">
        <f aca="false">AH137-AH138</f>
        <v>0</v>
      </c>
      <c r="AI139" s="8" t="n">
        <f aca="false">AI137-AI138</f>
        <v>0</v>
      </c>
      <c r="AJ139" s="8" t="n">
        <f aca="false">AJ137-AJ138</f>
        <v>0</v>
      </c>
      <c r="AK139" s="8" t="n">
        <f aca="false">AK137-AK138</f>
        <v>0</v>
      </c>
      <c r="AL139" s="8" t="n">
        <f aca="false">AL137-AL138</f>
        <v>0</v>
      </c>
      <c r="AM139" s="8" t="n">
        <f aca="false">AM137-AM138</f>
        <v>0</v>
      </c>
      <c r="AN139" s="8" t="n">
        <f aca="false">AN137-AN138</f>
        <v>0</v>
      </c>
      <c r="AO139" s="8" t="n">
        <f aca="false">AO137-AO138</f>
        <v>0</v>
      </c>
      <c r="AP139" s="8" t="n">
        <f aca="false">AP137-AP138</f>
        <v>0</v>
      </c>
      <c r="AQ139" s="8" t="n">
        <f aca="false">AQ137-AQ138</f>
        <v>0</v>
      </c>
      <c r="AR139" s="8" t="n">
        <f aca="false">AR137-AR138</f>
        <v>0</v>
      </c>
      <c r="AS139" s="8" t="n">
        <f aca="false">AS137-AS138</f>
        <v>0</v>
      </c>
    </row>
    <row r="140" customFormat="false" ht="15" hidden="false" customHeight="false" outlineLevel="0" collapsed="false">
      <c r="A140" s="6" t="s">
        <v>453</v>
      </c>
      <c r="B140" s="6" t="s">
        <v>454</v>
      </c>
      <c r="C140" s="9" t="n">
        <f aca="false">SUM(G140:AS140)</f>
        <v>7082.40041887099</v>
      </c>
      <c r="G140" s="8" t="n">
        <f aca="false">(VST_Assets!$R$5*VST_Assets!$D$5*1000*G$4*G126+VST_Assets!$O$5*(1+VST_Assets!$Q$5)^(G$3-2026)*(G128+G129))/1000000*(1+VST_OMAdj)</f>
        <v>310.08</v>
      </c>
      <c r="H140" s="8" t="n">
        <f aca="false">(VST_Assets!$R$5*VST_Assets!$D$5*1000*H$4*H126+VST_Assets!$O$5*(1+VST_Assets!$Q$5)^(H$3-2026)*(H128+H129))/1000000*(1+VST_OMAdj)</f>
        <v>316.2816</v>
      </c>
      <c r="I140" s="8" t="n">
        <f aca="false">(VST_Assets!$R$5*VST_Assets!$D$5*1000*I$4*I126+VST_Assets!$O$5*(1+VST_Assets!$Q$5)^(I$3-2026)*(I128+I129))/1000000*(1+VST_OMAdj)</f>
        <v>322.607232</v>
      </c>
      <c r="J140" s="8" t="n">
        <f aca="false">(VST_Assets!$R$5*VST_Assets!$D$5*1000*J$4*J126+VST_Assets!$O$5*(1+VST_Assets!$Q$5)^(J$3-2026)*(J128+J129))/1000000*(1+VST_OMAdj)</f>
        <v>329.05937664</v>
      </c>
      <c r="K140" s="8" t="n">
        <f aca="false">(VST_Assets!$R$5*VST_Assets!$D$5*1000*K$4*K126+VST_Assets!$O$5*(1+VST_Assets!$Q$5)^(K$3-2026)*(K128+K129))/1000000*(1+VST_OMAdj)</f>
        <v>335.6405641728</v>
      </c>
      <c r="L140" s="8" t="n">
        <f aca="false">(VST_Assets!$R$5*VST_Assets!$D$5*1000*L$4*L126+VST_Assets!$O$5*(1+VST_Assets!$Q$5)^(L$3-2026)*(L128+L129))/1000000*(1+VST_OMAdj)</f>
        <v>342.353375456256</v>
      </c>
      <c r="M140" s="8" t="n">
        <f aca="false">(VST_Assets!$R$5*VST_Assets!$D$5*1000*M$4*M126+VST_Assets!$O$5*(1+VST_Assets!$Q$5)^(M$3-2026)*(M128+M129))/1000000*(1+VST_OMAdj)</f>
        <v>349.200442965381</v>
      </c>
      <c r="N140" s="8" t="n">
        <f aca="false">(VST_Assets!$R$5*VST_Assets!$D$5*1000*N$4*N126+VST_Assets!$O$5*(1+VST_Assets!$Q$5)^(N$3-2026)*(N128+N129))/1000000*(1+VST_OMAdj)</f>
        <v>356.184451824689</v>
      </c>
      <c r="O140" s="8" t="n">
        <f aca="false">(VST_Assets!$R$5*VST_Assets!$D$5*1000*O$4*O126+VST_Assets!$O$5*(1+VST_Assets!$Q$5)^(O$3-2026)*(O128+O129))/1000000*(1+VST_OMAdj)</f>
        <v>363.308140861183</v>
      </c>
      <c r="P140" s="8" t="n">
        <f aca="false">(VST_Assets!$R$5*VST_Assets!$D$5*1000*P$4*P126+VST_Assets!$O$5*(1+VST_Assets!$Q$5)^(P$3-2026)*(P128+P129))/1000000*(1+VST_OMAdj)</f>
        <v>370.574303678406</v>
      </c>
      <c r="Q140" s="8" t="n">
        <f aca="false">(VST_Assets!$R$5*VST_Assets!$D$5*1000*Q$4*Q126+VST_Assets!$O$5*(1+VST_Assets!$Q$5)^(Q$3-2026)*(Q128+Q129))/1000000*(1+VST_OMAdj)</f>
        <v>377.985789751974</v>
      </c>
      <c r="R140" s="8" t="n">
        <f aca="false">(VST_Assets!$R$5*VST_Assets!$D$5*1000*R$4*R126+VST_Assets!$O$5*(1+VST_Assets!$Q$5)^(R$3-2026)*(R128+R129))/1000000*(1+VST_OMAdj)</f>
        <v>385.545505547014</v>
      </c>
      <c r="S140" s="8" t="n">
        <f aca="false">(VST_Assets!$R$5*VST_Assets!$D$5*1000*S$4*S126+VST_Assets!$O$5*(1+VST_Assets!$Q$5)^(S$3-2026)*(S128+S129))/1000000*(1+VST_OMAdj)</f>
        <v>393.256415657954</v>
      </c>
      <c r="T140" s="8" t="n">
        <f aca="false">(VST_Assets!$R$5*VST_Assets!$D$5*1000*T$4*T126+VST_Assets!$O$5*(1+VST_Assets!$Q$5)^(T$3-2026)*(T128+T129))/1000000*(1+VST_OMAdj)</f>
        <v>401.121543971113</v>
      </c>
      <c r="U140" s="8" t="n">
        <f aca="false">(VST_Assets!$R$5*VST_Assets!$D$5*1000*U$4*U126+VST_Assets!$O$5*(1+VST_Assets!$Q$5)^(U$3-2026)*(U128+U129))/1000000*(1+VST_OMAdj)</f>
        <v>409.143974850536</v>
      </c>
      <c r="V140" s="8" t="n">
        <f aca="false">(VST_Assets!$R$5*VST_Assets!$D$5*1000*V$4*V126+VST_Assets!$O$5*(1+VST_Assets!$Q$5)^(V$3-2026)*(V128+V129))/1000000*(1+VST_OMAdj)</f>
        <v>417.326854347546</v>
      </c>
      <c r="W140" s="8" t="n">
        <f aca="false">(VST_Assets!$R$5*VST_Assets!$D$5*1000*W$4*W126+VST_Assets!$O$5*(1+VST_Assets!$Q$5)^(W$3-2026)*(W128+W129))/1000000*(1+VST_OMAdj)</f>
        <v>425.673391434497</v>
      </c>
      <c r="X140" s="8" t="n">
        <f aca="false">(VST_Assets!$R$5*VST_Assets!$D$5*1000*X$4*X126+VST_Assets!$O$5*(1+VST_Assets!$Q$5)^(X$3-2026)*(X128+X129))/1000000*(1+VST_OMAdj)</f>
        <v>434.186859263187</v>
      </c>
      <c r="Y140" s="8" t="n">
        <f aca="false">(VST_Assets!$R$5*VST_Assets!$D$5*1000*Y$4*Y126+VST_Assets!$O$5*(1+VST_Assets!$Q$5)^(Y$3-2026)*(Y128+Y129))/1000000*(1+VST_OMAdj)</f>
        <v>442.870596448451</v>
      </c>
      <c r="Z140" s="8" t="n">
        <f aca="false">(VST_Assets!$R$5*VST_Assets!$D$5*1000*Z$4*Z126+VST_Assets!$O$5*(1+VST_Assets!$Q$5)^(Z$3-2026)*(Z128+Z129))/1000000*(1+VST_OMAdj)</f>
        <v>0</v>
      </c>
      <c r="AA140" s="8" t="n">
        <f aca="false">(VST_Assets!$R$5*VST_Assets!$D$5*1000*AA$4*AA126+VST_Assets!$O$5*(1+VST_Assets!$Q$5)^(AA$3-2026)*(AA128+AA129))/1000000*(1+VST_OMAdj)</f>
        <v>0</v>
      </c>
      <c r="AB140" s="8" t="n">
        <f aca="false">(VST_Assets!$R$5*VST_Assets!$D$5*1000*AB$4*AB126+VST_Assets!$O$5*(1+VST_Assets!$Q$5)^(AB$3-2026)*(AB128+AB129))/1000000*(1+VST_OMAdj)</f>
        <v>0</v>
      </c>
      <c r="AC140" s="8" t="n">
        <f aca="false">(VST_Assets!$R$5*VST_Assets!$D$5*1000*AC$4*AC126+VST_Assets!$O$5*(1+VST_Assets!$Q$5)^(AC$3-2026)*(AC128+AC129))/1000000*(1+VST_OMAdj)</f>
        <v>0</v>
      </c>
      <c r="AD140" s="8" t="n">
        <f aca="false">(VST_Assets!$R$5*VST_Assets!$D$5*1000*AD$4*AD126+VST_Assets!$O$5*(1+VST_Assets!$Q$5)^(AD$3-2026)*(AD128+AD129))/1000000*(1+VST_OMAdj)</f>
        <v>0</v>
      </c>
      <c r="AE140" s="8" t="n">
        <f aca="false">(VST_Assets!$R$5*VST_Assets!$D$5*1000*AE$4*AE126+VST_Assets!$O$5*(1+VST_Assets!$Q$5)^(AE$3-2026)*(AE128+AE129))/1000000*(1+VST_OMAdj)</f>
        <v>0</v>
      </c>
      <c r="AF140" s="8" t="n">
        <f aca="false">(VST_Assets!$R$5*VST_Assets!$D$5*1000*AF$4*AF126+VST_Assets!$O$5*(1+VST_Assets!$Q$5)^(AF$3-2026)*(AF128+AF129))/1000000*(1+VST_OMAdj)</f>
        <v>0</v>
      </c>
      <c r="AG140" s="8" t="n">
        <f aca="false">(VST_Assets!$R$5*VST_Assets!$D$5*1000*AG$4*AG126+VST_Assets!$O$5*(1+VST_Assets!$Q$5)^(AG$3-2026)*(AG128+AG129))/1000000*(1+VST_OMAdj)</f>
        <v>0</v>
      </c>
      <c r="AH140" s="8" t="n">
        <f aca="false">(VST_Assets!$R$5*VST_Assets!$D$5*1000*AH$4*AH126+VST_Assets!$O$5*(1+VST_Assets!$Q$5)^(AH$3-2026)*(AH128+AH129))/1000000*(1+VST_OMAdj)</f>
        <v>0</v>
      </c>
      <c r="AI140" s="8" t="n">
        <f aca="false">(VST_Assets!$R$5*VST_Assets!$D$5*1000*AI$4*AI126+VST_Assets!$O$5*(1+VST_Assets!$Q$5)^(AI$3-2026)*(AI128+AI129))/1000000*(1+VST_OMAdj)</f>
        <v>0</v>
      </c>
      <c r="AJ140" s="8" t="n">
        <f aca="false">(VST_Assets!$R$5*VST_Assets!$D$5*1000*AJ$4*AJ126+VST_Assets!$O$5*(1+VST_Assets!$Q$5)^(AJ$3-2026)*(AJ128+AJ129))/1000000*(1+VST_OMAdj)</f>
        <v>0</v>
      </c>
      <c r="AK140" s="8" t="n">
        <f aca="false">(VST_Assets!$R$5*VST_Assets!$D$5*1000*AK$4*AK126+VST_Assets!$O$5*(1+VST_Assets!$Q$5)^(AK$3-2026)*(AK128+AK129))/1000000*(1+VST_OMAdj)</f>
        <v>0</v>
      </c>
      <c r="AL140" s="8" t="n">
        <f aca="false">(VST_Assets!$R$5*VST_Assets!$D$5*1000*AL$4*AL126+VST_Assets!$O$5*(1+VST_Assets!$Q$5)^(AL$3-2026)*(AL128+AL129))/1000000*(1+VST_OMAdj)</f>
        <v>0</v>
      </c>
      <c r="AM140" s="8" t="n">
        <f aca="false">(VST_Assets!$R$5*VST_Assets!$D$5*1000*AM$4*AM126+VST_Assets!$O$5*(1+VST_Assets!$Q$5)^(AM$3-2026)*(AM128+AM129))/1000000*(1+VST_OMAdj)</f>
        <v>0</v>
      </c>
      <c r="AN140" s="8" t="n">
        <f aca="false">(VST_Assets!$R$5*VST_Assets!$D$5*1000*AN$4*AN126+VST_Assets!$O$5*(1+VST_Assets!$Q$5)^(AN$3-2026)*(AN128+AN129))/1000000*(1+VST_OMAdj)</f>
        <v>0</v>
      </c>
      <c r="AO140" s="8" t="n">
        <f aca="false">(VST_Assets!$R$5*VST_Assets!$D$5*1000*AO$4*AO126+VST_Assets!$O$5*(1+VST_Assets!$Q$5)^(AO$3-2026)*(AO128+AO129))/1000000*(1+VST_OMAdj)</f>
        <v>0</v>
      </c>
      <c r="AP140" s="8" t="n">
        <f aca="false">(VST_Assets!$R$5*VST_Assets!$D$5*1000*AP$4*AP126+VST_Assets!$O$5*(1+VST_Assets!$Q$5)^(AP$3-2026)*(AP128+AP129))/1000000*(1+VST_OMAdj)</f>
        <v>0</v>
      </c>
      <c r="AQ140" s="8" t="n">
        <f aca="false">(VST_Assets!$R$5*VST_Assets!$D$5*1000*AQ$4*AQ126+VST_Assets!$O$5*(1+VST_Assets!$Q$5)^(AQ$3-2026)*(AQ128+AQ129))/1000000*(1+VST_OMAdj)</f>
        <v>0</v>
      </c>
      <c r="AR140" s="8" t="n">
        <f aca="false">(VST_Assets!$R$5*VST_Assets!$D$5*1000*AR$4*AR126+VST_Assets!$O$5*(1+VST_Assets!$Q$5)^(AR$3-2026)*(AR128+AR129))/1000000*(1+VST_OMAdj)</f>
        <v>0</v>
      </c>
      <c r="AS140" s="8" t="n">
        <f aca="false">(VST_Assets!$R$5*VST_Assets!$D$5*1000*AS$4*AS126+VST_Assets!$O$5*(1+VST_Assets!$Q$5)^(AS$3-2026)*(AS128+AS129))/1000000*(1+VST_OMAdj)</f>
        <v>0</v>
      </c>
    </row>
    <row r="141" customFormat="false" ht="15" hidden="false" customHeight="false" outlineLevel="0" collapsed="false">
      <c r="A141" s="6" t="s">
        <v>455</v>
      </c>
      <c r="B141" s="6" t="s">
        <v>456</v>
      </c>
      <c r="C141" s="9" t="n">
        <f aca="false">SUM(G141:AS141)</f>
        <v>21233.4448952999</v>
      </c>
      <c r="G141" s="8" t="n">
        <f aca="false">G139-G140</f>
        <v>856.4763228</v>
      </c>
      <c r="H141" s="8" t="n">
        <f aca="false">H139-H140</f>
        <v>929.629553256</v>
      </c>
      <c r="I141" s="8" t="n">
        <f aca="false">I139-I140</f>
        <v>942.7299209172</v>
      </c>
      <c r="J141" s="8" t="n">
        <f aca="false">J139-J140</f>
        <v>992.774607268205</v>
      </c>
      <c r="K141" s="8" t="n">
        <f aca="false">K139-K140</f>
        <v>1012.63009941357</v>
      </c>
      <c r="L141" s="8" t="n">
        <f aca="false">L139-L140</f>
        <v>1032.88270140184</v>
      </c>
      <c r="M141" s="8" t="n">
        <f aca="false">M139-M140</f>
        <v>1053.54035542988</v>
      </c>
      <c r="N141" s="8" t="n">
        <f aca="false">N139-N140</f>
        <v>1074.61116253848</v>
      </c>
      <c r="O141" s="8" t="n">
        <f aca="false">O139-O140</f>
        <v>1096.10338578924</v>
      </c>
      <c r="P141" s="8" t="n">
        <f aca="false">P139-P140</f>
        <v>1118.02545350503</v>
      </c>
      <c r="Q141" s="8" t="n">
        <f aca="false">Q139-Q140</f>
        <v>1140.38596257513</v>
      </c>
      <c r="R141" s="8" t="n">
        <f aca="false">R139-R140</f>
        <v>1163.19368182663</v>
      </c>
      <c r="S141" s="8" t="n">
        <f aca="false">S139-S140</f>
        <v>1186.45755546316</v>
      </c>
      <c r="T141" s="8" t="n">
        <f aca="false">T139-T140</f>
        <v>1210.18670657243</v>
      </c>
      <c r="U141" s="8" t="n">
        <f aca="false">U139-U140</f>
        <v>1234.39044070388</v>
      </c>
      <c r="V141" s="8" t="n">
        <f aca="false">V139-V140</f>
        <v>1259.07824951795</v>
      </c>
      <c r="W141" s="8" t="n">
        <f aca="false">W139-W140</f>
        <v>1284.25981450831</v>
      </c>
      <c r="X141" s="8" t="n">
        <f aca="false">X139-X140</f>
        <v>1309.94501079848</v>
      </c>
      <c r="Y141" s="8" t="n">
        <f aca="false">Y139-Y140</f>
        <v>1336.14391101445</v>
      </c>
      <c r="Z141" s="8" t="n">
        <f aca="false">Z139-Z140</f>
        <v>0</v>
      </c>
      <c r="AA141" s="8" t="n">
        <f aca="false">AA139-AA140</f>
        <v>0</v>
      </c>
      <c r="AB141" s="8" t="n">
        <f aca="false">AB139-AB140</f>
        <v>0</v>
      </c>
      <c r="AC141" s="8" t="n">
        <f aca="false">AC139-AC140</f>
        <v>0</v>
      </c>
      <c r="AD141" s="8" t="n">
        <f aca="false">AD139-AD140</f>
        <v>0</v>
      </c>
      <c r="AE141" s="8" t="n">
        <f aca="false">AE139-AE140</f>
        <v>0</v>
      </c>
      <c r="AF141" s="8" t="n">
        <f aca="false">AF139-AF140</f>
        <v>0</v>
      </c>
      <c r="AG141" s="8" t="n">
        <f aca="false">AG139-AG140</f>
        <v>0</v>
      </c>
      <c r="AH141" s="8" t="n">
        <f aca="false">AH139-AH140</f>
        <v>0</v>
      </c>
      <c r="AI141" s="8" t="n">
        <f aca="false">AI139-AI140</f>
        <v>0</v>
      </c>
      <c r="AJ141" s="8" t="n">
        <f aca="false">AJ139-AJ140</f>
        <v>0</v>
      </c>
      <c r="AK141" s="8" t="n">
        <f aca="false">AK139-AK140</f>
        <v>0</v>
      </c>
      <c r="AL141" s="8" t="n">
        <f aca="false">AL139-AL140</f>
        <v>0</v>
      </c>
      <c r="AM141" s="8" t="n">
        <f aca="false">AM139-AM140</f>
        <v>0</v>
      </c>
      <c r="AN141" s="8" t="n">
        <f aca="false">AN139-AN140</f>
        <v>0</v>
      </c>
      <c r="AO141" s="8" t="n">
        <f aca="false">AO139-AO140</f>
        <v>0</v>
      </c>
      <c r="AP141" s="8" t="n">
        <f aca="false">AP139-AP140</f>
        <v>0</v>
      </c>
      <c r="AQ141" s="8" t="n">
        <f aca="false">AQ139-AQ140</f>
        <v>0</v>
      </c>
      <c r="AR141" s="8" t="n">
        <f aca="false">AR139-AR140</f>
        <v>0</v>
      </c>
      <c r="AS141" s="8" t="n">
        <f aca="false">AS139-AS140</f>
        <v>0</v>
      </c>
    </row>
    <row r="142" customFormat="false" ht="15" hidden="false" customHeight="false" outlineLevel="0" collapsed="false">
      <c r="A142" s="6" t="s">
        <v>457</v>
      </c>
      <c r="B142" s="6" t="s">
        <v>458</v>
      </c>
      <c r="C142" s="9" t="n">
        <f aca="false">SUM(G142:AS142)</f>
        <v>2655.90015707662</v>
      </c>
      <c r="G142" s="8" t="n">
        <f aca="false">((VST_Assets!$S$5*VST_Assets!$D$5*1000*G$4*G126+VST_Assets!$P$5*(1+VST_Assets!$Q$5)^(G$3-2026)*(G128+G129))/1000000+IF(G$3=VST_Assets!$AH$5,VST_Assets!$AG$5,0))*(1+VST_CapexAdj)</f>
        <v>116.28</v>
      </c>
      <c r="H142" s="8" t="n">
        <f aca="false">((VST_Assets!$S$5*VST_Assets!$D$5*1000*H$4*H126+VST_Assets!$P$5*(1+VST_Assets!$Q$5)^(H$3-2026)*(H128+H129))/1000000+IF(H$3=VST_Assets!$AH$5,VST_Assets!$AG$5,0))*(1+VST_CapexAdj)</f>
        <v>118.6056</v>
      </c>
      <c r="I142" s="8" t="n">
        <f aca="false">((VST_Assets!$S$5*VST_Assets!$D$5*1000*I$4*I126+VST_Assets!$P$5*(1+VST_Assets!$Q$5)^(I$3-2026)*(I128+I129))/1000000+IF(I$3=VST_Assets!$AH$5,VST_Assets!$AG$5,0))*(1+VST_CapexAdj)</f>
        <v>120.977712</v>
      </c>
      <c r="J142" s="8" t="n">
        <f aca="false">((VST_Assets!$S$5*VST_Assets!$D$5*1000*J$4*J126+VST_Assets!$P$5*(1+VST_Assets!$Q$5)^(J$3-2026)*(J128+J129))/1000000+IF(J$3=VST_Assets!$AH$5,VST_Assets!$AG$5,0))*(1+VST_CapexAdj)</f>
        <v>123.39726624</v>
      </c>
      <c r="K142" s="8" t="n">
        <f aca="false">((VST_Assets!$S$5*VST_Assets!$D$5*1000*K$4*K126+VST_Assets!$P$5*(1+VST_Assets!$Q$5)^(K$3-2026)*(K128+K129))/1000000+IF(K$3=VST_Assets!$AH$5,VST_Assets!$AG$5,0))*(1+VST_CapexAdj)</f>
        <v>125.8652115648</v>
      </c>
      <c r="L142" s="8" t="n">
        <f aca="false">((VST_Assets!$S$5*VST_Assets!$D$5*1000*L$4*L126+VST_Assets!$P$5*(1+VST_Assets!$Q$5)^(L$3-2026)*(L128+L129))/1000000+IF(L$3=VST_Assets!$AH$5,VST_Assets!$AG$5,0))*(1+VST_CapexAdj)</f>
        <v>128.382515796096</v>
      </c>
      <c r="M142" s="8" t="n">
        <f aca="false">((VST_Assets!$S$5*VST_Assets!$D$5*1000*M$4*M126+VST_Assets!$P$5*(1+VST_Assets!$Q$5)^(M$3-2026)*(M128+M129))/1000000+IF(M$3=VST_Assets!$AH$5,VST_Assets!$AG$5,0))*(1+VST_CapexAdj)</f>
        <v>130.950166112018</v>
      </c>
      <c r="N142" s="8" t="n">
        <f aca="false">((VST_Assets!$S$5*VST_Assets!$D$5*1000*N$4*N126+VST_Assets!$P$5*(1+VST_Assets!$Q$5)^(N$3-2026)*(N128+N129))/1000000+IF(N$3=VST_Assets!$AH$5,VST_Assets!$AG$5,0))*(1+VST_CapexAdj)</f>
        <v>133.569169434258</v>
      </c>
      <c r="O142" s="8" t="n">
        <f aca="false">((VST_Assets!$S$5*VST_Assets!$D$5*1000*O$4*O126+VST_Assets!$P$5*(1+VST_Assets!$Q$5)^(O$3-2026)*(O128+O129))/1000000+IF(O$3=VST_Assets!$AH$5,VST_Assets!$AG$5,0))*(1+VST_CapexAdj)</f>
        <v>136.240552822943</v>
      </c>
      <c r="P142" s="8" t="n">
        <f aca="false">((VST_Assets!$S$5*VST_Assets!$D$5*1000*P$4*P126+VST_Assets!$P$5*(1+VST_Assets!$Q$5)^(P$3-2026)*(P128+P129))/1000000+IF(P$3=VST_Assets!$AH$5,VST_Assets!$AG$5,0))*(1+VST_CapexAdj)</f>
        <v>138.965363879402</v>
      </c>
      <c r="Q142" s="8" t="n">
        <f aca="false">((VST_Assets!$S$5*VST_Assets!$D$5*1000*Q$4*Q126+VST_Assets!$P$5*(1+VST_Assets!$Q$5)^(Q$3-2026)*(Q128+Q129))/1000000+IF(Q$3=VST_Assets!$AH$5,VST_Assets!$AG$5,0))*(1+VST_CapexAdj)</f>
        <v>141.74467115699</v>
      </c>
      <c r="R142" s="8" t="n">
        <f aca="false">((VST_Assets!$S$5*VST_Assets!$D$5*1000*R$4*R126+VST_Assets!$P$5*(1+VST_Assets!$Q$5)^(R$3-2026)*(R128+R129))/1000000+IF(R$3=VST_Assets!$AH$5,VST_Assets!$AG$5,0))*(1+VST_CapexAdj)</f>
        <v>144.57956458013</v>
      </c>
      <c r="S142" s="8" t="n">
        <f aca="false">((VST_Assets!$S$5*VST_Assets!$D$5*1000*S$4*S126+VST_Assets!$P$5*(1+VST_Assets!$Q$5)^(S$3-2026)*(S128+S129))/1000000+IF(S$3=VST_Assets!$AH$5,VST_Assets!$AG$5,0))*(1+VST_CapexAdj)</f>
        <v>147.471155871733</v>
      </c>
      <c r="T142" s="8" t="n">
        <f aca="false">((VST_Assets!$S$5*VST_Assets!$D$5*1000*T$4*T126+VST_Assets!$P$5*(1+VST_Assets!$Q$5)^(T$3-2026)*(T128+T129))/1000000+IF(T$3=VST_Assets!$AH$5,VST_Assets!$AG$5,0))*(1+VST_CapexAdj)</f>
        <v>150.420578989167</v>
      </c>
      <c r="U142" s="8" t="n">
        <f aca="false">((VST_Assets!$S$5*VST_Assets!$D$5*1000*U$4*U126+VST_Assets!$P$5*(1+VST_Assets!$Q$5)^(U$3-2026)*(U128+U129))/1000000+IF(U$3=VST_Assets!$AH$5,VST_Assets!$AG$5,0))*(1+VST_CapexAdj)</f>
        <v>153.428990568951</v>
      </c>
      <c r="V142" s="8" t="n">
        <f aca="false">((VST_Assets!$S$5*VST_Assets!$D$5*1000*V$4*V126+VST_Assets!$P$5*(1+VST_Assets!$Q$5)^(V$3-2026)*(V128+V129))/1000000+IF(V$3=VST_Assets!$AH$5,VST_Assets!$AG$5,0))*(1+VST_CapexAdj)</f>
        <v>156.49757038033</v>
      </c>
      <c r="W142" s="8" t="n">
        <f aca="false">((VST_Assets!$S$5*VST_Assets!$D$5*1000*W$4*W126+VST_Assets!$P$5*(1+VST_Assets!$Q$5)^(W$3-2026)*(W128+W129))/1000000+IF(W$3=VST_Assets!$AH$5,VST_Assets!$AG$5,0))*(1+VST_CapexAdj)</f>
        <v>159.627521787936</v>
      </c>
      <c r="X142" s="8" t="n">
        <f aca="false">((VST_Assets!$S$5*VST_Assets!$D$5*1000*X$4*X126+VST_Assets!$P$5*(1+VST_Assets!$Q$5)^(X$3-2026)*(X128+X129))/1000000+IF(X$3=VST_Assets!$AH$5,VST_Assets!$AG$5,0))*(1+VST_CapexAdj)</f>
        <v>162.820072223695</v>
      </c>
      <c r="Y142" s="8" t="n">
        <f aca="false">((VST_Assets!$S$5*VST_Assets!$D$5*1000*Y$4*Y126+VST_Assets!$P$5*(1+VST_Assets!$Q$5)^(Y$3-2026)*(Y128+Y129))/1000000+IF(Y$3=VST_Assets!$AH$5,VST_Assets!$AG$5,0))*(1+VST_CapexAdj)</f>
        <v>166.076473668169</v>
      </c>
      <c r="Z142" s="8" t="n">
        <f aca="false">((VST_Assets!$S$5*VST_Assets!$D$5*1000*Z$4*Z126+VST_Assets!$P$5*(1+VST_Assets!$Q$5)^(Z$3-2026)*(Z128+Z129))/1000000+IF(Z$3=VST_Assets!$AH$5,VST_Assets!$AG$5,0))*(1+VST_CapexAdj)</f>
        <v>0</v>
      </c>
      <c r="AA142" s="8" t="n">
        <f aca="false">((VST_Assets!$S$5*VST_Assets!$D$5*1000*AA$4*AA126+VST_Assets!$P$5*(1+VST_Assets!$Q$5)^(AA$3-2026)*(AA128+AA129))/1000000+IF(AA$3=VST_Assets!$AH$5,VST_Assets!$AG$5,0))*(1+VST_CapexAdj)</f>
        <v>0</v>
      </c>
      <c r="AB142" s="8" t="n">
        <f aca="false">((VST_Assets!$S$5*VST_Assets!$D$5*1000*AB$4*AB126+VST_Assets!$P$5*(1+VST_Assets!$Q$5)^(AB$3-2026)*(AB128+AB129))/1000000+IF(AB$3=VST_Assets!$AH$5,VST_Assets!$AG$5,0))*(1+VST_CapexAdj)</f>
        <v>0</v>
      </c>
      <c r="AC142" s="8" t="n">
        <f aca="false">((VST_Assets!$S$5*VST_Assets!$D$5*1000*AC$4*AC126+VST_Assets!$P$5*(1+VST_Assets!$Q$5)^(AC$3-2026)*(AC128+AC129))/1000000+IF(AC$3=VST_Assets!$AH$5,VST_Assets!$AG$5,0))*(1+VST_CapexAdj)</f>
        <v>0</v>
      </c>
      <c r="AD142" s="8" t="n">
        <f aca="false">((VST_Assets!$S$5*VST_Assets!$D$5*1000*AD$4*AD126+VST_Assets!$P$5*(1+VST_Assets!$Q$5)^(AD$3-2026)*(AD128+AD129))/1000000+IF(AD$3=VST_Assets!$AH$5,VST_Assets!$AG$5,0))*(1+VST_CapexAdj)</f>
        <v>0</v>
      </c>
      <c r="AE142" s="8" t="n">
        <f aca="false">((VST_Assets!$S$5*VST_Assets!$D$5*1000*AE$4*AE126+VST_Assets!$P$5*(1+VST_Assets!$Q$5)^(AE$3-2026)*(AE128+AE129))/1000000+IF(AE$3=VST_Assets!$AH$5,VST_Assets!$AG$5,0))*(1+VST_CapexAdj)</f>
        <v>0</v>
      </c>
      <c r="AF142" s="8" t="n">
        <f aca="false">((VST_Assets!$S$5*VST_Assets!$D$5*1000*AF$4*AF126+VST_Assets!$P$5*(1+VST_Assets!$Q$5)^(AF$3-2026)*(AF128+AF129))/1000000+IF(AF$3=VST_Assets!$AH$5,VST_Assets!$AG$5,0))*(1+VST_CapexAdj)</f>
        <v>0</v>
      </c>
      <c r="AG142" s="8" t="n">
        <f aca="false">((VST_Assets!$S$5*VST_Assets!$D$5*1000*AG$4*AG126+VST_Assets!$P$5*(1+VST_Assets!$Q$5)^(AG$3-2026)*(AG128+AG129))/1000000+IF(AG$3=VST_Assets!$AH$5,VST_Assets!$AG$5,0))*(1+VST_CapexAdj)</f>
        <v>0</v>
      </c>
      <c r="AH142" s="8" t="n">
        <f aca="false">((VST_Assets!$S$5*VST_Assets!$D$5*1000*AH$4*AH126+VST_Assets!$P$5*(1+VST_Assets!$Q$5)^(AH$3-2026)*(AH128+AH129))/1000000+IF(AH$3=VST_Assets!$AH$5,VST_Assets!$AG$5,0))*(1+VST_CapexAdj)</f>
        <v>0</v>
      </c>
      <c r="AI142" s="8" t="n">
        <f aca="false">((VST_Assets!$S$5*VST_Assets!$D$5*1000*AI$4*AI126+VST_Assets!$P$5*(1+VST_Assets!$Q$5)^(AI$3-2026)*(AI128+AI129))/1000000+IF(AI$3=VST_Assets!$AH$5,VST_Assets!$AG$5,0))*(1+VST_CapexAdj)</f>
        <v>0</v>
      </c>
      <c r="AJ142" s="8" t="n">
        <f aca="false">((VST_Assets!$S$5*VST_Assets!$D$5*1000*AJ$4*AJ126+VST_Assets!$P$5*(1+VST_Assets!$Q$5)^(AJ$3-2026)*(AJ128+AJ129))/1000000+IF(AJ$3=VST_Assets!$AH$5,VST_Assets!$AG$5,0))*(1+VST_CapexAdj)</f>
        <v>0</v>
      </c>
      <c r="AK142" s="8" t="n">
        <f aca="false">((VST_Assets!$S$5*VST_Assets!$D$5*1000*AK$4*AK126+VST_Assets!$P$5*(1+VST_Assets!$Q$5)^(AK$3-2026)*(AK128+AK129))/1000000+IF(AK$3=VST_Assets!$AH$5,VST_Assets!$AG$5,0))*(1+VST_CapexAdj)</f>
        <v>0</v>
      </c>
      <c r="AL142" s="8" t="n">
        <f aca="false">((VST_Assets!$S$5*VST_Assets!$D$5*1000*AL$4*AL126+VST_Assets!$P$5*(1+VST_Assets!$Q$5)^(AL$3-2026)*(AL128+AL129))/1000000+IF(AL$3=VST_Assets!$AH$5,VST_Assets!$AG$5,0))*(1+VST_CapexAdj)</f>
        <v>0</v>
      </c>
      <c r="AM142" s="8" t="n">
        <f aca="false">((VST_Assets!$S$5*VST_Assets!$D$5*1000*AM$4*AM126+VST_Assets!$P$5*(1+VST_Assets!$Q$5)^(AM$3-2026)*(AM128+AM129))/1000000+IF(AM$3=VST_Assets!$AH$5,VST_Assets!$AG$5,0))*(1+VST_CapexAdj)</f>
        <v>0</v>
      </c>
      <c r="AN142" s="8" t="n">
        <f aca="false">((VST_Assets!$S$5*VST_Assets!$D$5*1000*AN$4*AN126+VST_Assets!$P$5*(1+VST_Assets!$Q$5)^(AN$3-2026)*(AN128+AN129))/1000000+IF(AN$3=VST_Assets!$AH$5,VST_Assets!$AG$5,0))*(1+VST_CapexAdj)</f>
        <v>0</v>
      </c>
      <c r="AO142" s="8" t="n">
        <f aca="false">((VST_Assets!$S$5*VST_Assets!$D$5*1000*AO$4*AO126+VST_Assets!$P$5*(1+VST_Assets!$Q$5)^(AO$3-2026)*(AO128+AO129))/1000000+IF(AO$3=VST_Assets!$AH$5,VST_Assets!$AG$5,0))*(1+VST_CapexAdj)</f>
        <v>0</v>
      </c>
      <c r="AP142" s="8" t="n">
        <f aca="false">((VST_Assets!$S$5*VST_Assets!$D$5*1000*AP$4*AP126+VST_Assets!$P$5*(1+VST_Assets!$Q$5)^(AP$3-2026)*(AP128+AP129))/1000000+IF(AP$3=VST_Assets!$AH$5,VST_Assets!$AG$5,0))*(1+VST_CapexAdj)</f>
        <v>0</v>
      </c>
      <c r="AQ142" s="8" t="n">
        <f aca="false">((VST_Assets!$S$5*VST_Assets!$D$5*1000*AQ$4*AQ126+VST_Assets!$P$5*(1+VST_Assets!$Q$5)^(AQ$3-2026)*(AQ128+AQ129))/1000000+IF(AQ$3=VST_Assets!$AH$5,VST_Assets!$AG$5,0))*(1+VST_CapexAdj)</f>
        <v>0</v>
      </c>
      <c r="AR142" s="8" t="n">
        <f aca="false">((VST_Assets!$S$5*VST_Assets!$D$5*1000*AR$4*AR126+VST_Assets!$P$5*(1+VST_Assets!$Q$5)^(AR$3-2026)*(AR128+AR129))/1000000+IF(AR$3=VST_Assets!$AH$5,VST_Assets!$AG$5,0))*(1+VST_CapexAdj)</f>
        <v>0</v>
      </c>
      <c r="AS142" s="8" t="n">
        <f aca="false">((VST_Assets!$S$5*VST_Assets!$D$5*1000*AS$4*AS126+VST_Assets!$P$5*(1+VST_Assets!$Q$5)^(AS$3-2026)*(AS128+AS129))/1000000+IF(AS$3=VST_Assets!$AH$5,VST_Assets!$AG$5,0))*(1+VST_CapexAdj)</f>
        <v>0</v>
      </c>
    </row>
    <row r="143" customFormat="false" ht="15" hidden="false" customHeight="false" outlineLevel="0" collapsed="false">
      <c r="A143" s="6" t="s">
        <v>459</v>
      </c>
      <c r="B143" s="6" t="s">
        <v>460</v>
      </c>
      <c r="C143" s="9" t="n">
        <f aca="false">SUM(G143:AS143)</f>
        <v>18577.5447382233</v>
      </c>
      <c r="G143" s="8" t="n">
        <f aca="false">IF(VST_Assets!$Y$5=1,MAX(0,G141-G142),G141-G142)</f>
        <v>740.1963228</v>
      </c>
      <c r="H143" s="8" t="n">
        <f aca="false">IF(VST_Assets!$Y$5=1,MAX(0,H141-H142),H141-H142)</f>
        <v>811.023953256</v>
      </c>
      <c r="I143" s="8" t="n">
        <f aca="false">IF(VST_Assets!$Y$5=1,MAX(0,I141-I142),I141-I142)</f>
        <v>821.7522089172</v>
      </c>
      <c r="J143" s="8" t="n">
        <f aca="false">IF(VST_Assets!$Y$5=1,MAX(0,J141-J142),J141-J142)</f>
        <v>869.377341028205</v>
      </c>
      <c r="K143" s="8" t="n">
        <f aca="false">IF(VST_Assets!$Y$5=1,MAX(0,K141-K142),K141-K142)</f>
        <v>886.764887848769</v>
      </c>
      <c r="L143" s="8" t="n">
        <f aca="false">IF(VST_Assets!$Y$5=1,MAX(0,L141-L142),L141-L142)</f>
        <v>904.500185605745</v>
      </c>
      <c r="M143" s="8" t="n">
        <f aca="false">IF(VST_Assets!$Y$5=1,MAX(0,M141-M142),M141-M142)</f>
        <v>922.590189317859</v>
      </c>
      <c r="N143" s="8" t="n">
        <f aca="false">IF(VST_Assets!$Y$5=1,MAX(0,N141-N142),N141-N142)</f>
        <v>941.041993104217</v>
      </c>
      <c r="O143" s="8" t="n">
        <f aca="false">IF(VST_Assets!$Y$5=1,MAX(0,O141-O142),O141-O142)</f>
        <v>959.862832966301</v>
      </c>
      <c r="P143" s="8" t="n">
        <f aca="false">IF(VST_Assets!$Y$5=1,MAX(0,P141-P142),P141-P142)</f>
        <v>979.060089625626</v>
      </c>
      <c r="Q143" s="8" t="n">
        <f aca="false">IF(VST_Assets!$Y$5=1,MAX(0,Q141-Q142),Q141-Q142)</f>
        <v>998.64129141814</v>
      </c>
      <c r="R143" s="8" t="n">
        <f aca="false">IF(VST_Assets!$Y$5=1,MAX(0,R141-R142),R141-R142)</f>
        <v>1018.6141172465</v>
      </c>
      <c r="S143" s="8" t="n">
        <f aca="false">IF(VST_Assets!$Y$5=1,MAX(0,S141-S142),S141-S142)</f>
        <v>1038.98639959143</v>
      </c>
      <c r="T143" s="8" t="n">
        <f aca="false">IF(VST_Assets!$Y$5=1,MAX(0,T141-T142),T141-T142)</f>
        <v>1059.76612758326</v>
      </c>
      <c r="U143" s="8" t="n">
        <f aca="false">IF(VST_Assets!$Y$5=1,MAX(0,U141-U142),U141-U142)</f>
        <v>1080.96145013493</v>
      </c>
      <c r="V143" s="8" t="n">
        <f aca="false">IF(VST_Assets!$Y$5=1,MAX(0,V141-V142),V141-V142)</f>
        <v>1102.58067913762</v>
      </c>
      <c r="W143" s="8" t="n">
        <f aca="false">IF(VST_Assets!$Y$5=1,MAX(0,W141-W142),W141-W142)</f>
        <v>1124.63229272038</v>
      </c>
      <c r="X143" s="8" t="n">
        <f aca="false">IF(VST_Assets!$Y$5=1,MAX(0,X141-X142),X141-X142)</f>
        <v>1147.12493857479</v>
      </c>
      <c r="Y143" s="8" t="n">
        <f aca="false">IF(VST_Assets!$Y$5=1,MAX(0,Y141-Y142),Y141-Y142)</f>
        <v>1170.06743734628</v>
      </c>
      <c r="Z143" s="8" t="n">
        <f aca="false">IF(VST_Assets!$Y$5=1,MAX(0,Z141-Z142),Z141-Z142)</f>
        <v>0</v>
      </c>
      <c r="AA143" s="8" t="n">
        <f aca="false">IF(VST_Assets!$Y$5=1,MAX(0,AA141-AA142),AA141-AA142)</f>
        <v>0</v>
      </c>
      <c r="AB143" s="8" t="n">
        <f aca="false">IF(VST_Assets!$Y$5=1,MAX(0,AB141-AB142),AB141-AB142)</f>
        <v>0</v>
      </c>
      <c r="AC143" s="8" t="n">
        <f aca="false">IF(VST_Assets!$Y$5=1,MAX(0,AC141-AC142),AC141-AC142)</f>
        <v>0</v>
      </c>
      <c r="AD143" s="8" t="n">
        <f aca="false">IF(VST_Assets!$Y$5=1,MAX(0,AD141-AD142),AD141-AD142)</f>
        <v>0</v>
      </c>
      <c r="AE143" s="8" t="n">
        <f aca="false">IF(VST_Assets!$Y$5=1,MAX(0,AE141-AE142),AE141-AE142)</f>
        <v>0</v>
      </c>
      <c r="AF143" s="8" t="n">
        <f aca="false">IF(VST_Assets!$Y$5=1,MAX(0,AF141-AF142),AF141-AF142)</f>
        <v>0</v>
      </c>
      <c r="AG143" s="8" t="n">
        <f aca="false">IF(VST_Assets!$Y$5=1,MAX(0,AG141-AG142),AG141-AG142)</f>
        <v>0</v>
      </c>
      <c r="AH143" s="8" t="n">
        <f aca="false">IF(VST_Assets!$Y$5=1,MAX(0,AH141-AH142),AH141-AH142)</f>
        <v>0</v>
      </c>
      <c r="AI143" s="8" t="n">
        <f aca="false">IF(VST_Assets!$Y$5=1,MAX(0,AI141-AI142),AI141-AI142)</f>
        <v>0</v>
      </c>
      <c r="AJ143" s="8" t="n">
        <f aca="false">IF(VST_Assets!$Y$5=1,MAX(0,AJ141-AJ142),AJ141-AJ142)</f>
        <v>0</v>
      </c>
      <c r="AK143" s="8" t="n">
        <f aca="false">IF(VST_Assets!$Y$5=1,MAX(0,AK141-AK142),AK141-AK142)</f>
        <v>0</v>
      </c>
      <c r="AL143" s="8" t="n">
        <f aca="false">IF(VST_Assets!$Y$5=1,MAX(0,AL141-AL142),AL141-AL142)</f>
        <v>0</v>
      </c>
      <c r="AM143" s="8" t="n">
        <f aca="false">IF(VST_Assets!$Y$5=1,MAX(0,AM141-AM142),AM141-AM142)</f>
        <v>0</v>
      </c>
      <c r="AN143" s="8" t="n">
        <f aca="false">IF(VST_Assets!$Y$5=1,MAX(0,AN141-AN142),AN141-AN142)</f>
        <v>0</v>
      </c>
      <c r="AO143" s="8" t="n">
        <f aca="false">IF(VST_Assets!$Y$5=1,MAX(0,AO141-AO142),AO141-AO142)</f>
        <v>0</v>
      </c>
      <c r="AP143" s="8" t="n">
        <f aca="false">IF(VST_Assets!$Y$5=1,MAX(0,AP141-AP142),AP141-AP142)</f>
        <v>0</v>
      </c>
      <c r="AQ143" s="8" t="n">
        <f aca="false">IF(VST_Assets!$Y$5=1,MAX(0,AQ141-AQ142),AQ141-AQ142)</f>
        <v>0</v>
      </c>
      <c r="AR143" s="8" t="n">
        <f aca="false">IF(VST_Assets!$Y$5=1,MAX(0,AR141-AR142),AR141-AR142)</f>
        <v>0</v>
      </c>
      <c r="AS143" s="8" t="n">
        <f aca="false">IF(VST_Assets!$Y$5=1,MAX(0,AS141-AS142),AS141-AS142)</f>
        <v>0</v>
      </c>
    </row>
    <row r="144" customFormat="false" ht="15" hidden="false" customHeight="false" outlineLevel="0" collapsed="false">
      <c r="A144" s="6" t="s">
        <v>461</v>
      </c>
      <c r="B144" s="6" t="s">
        <v>462</v>
      </c>
      <c r="C144" s="9" t="n">
        <f aca="false">SUM(G144:AS144)</f>
        <v>0</v>
      </c>
      <c r="G144" s="8" t="n">
        <f aca="false">IF(AND(VST_Assets!$W$5=1,G$3&lt;=PTCLast,G128&gt;0),G128*MAX(0,PTCCredit*(1+Infl)^(G$3-PTCBase)-0.8*MAX(0,(G133+G134+G136)*1000000/MAX(1,G128)-PTCThresh*(1+Infl)^(G$3-PTCBase)))/1000000,0)</f>
        <v>0</v>
      </c>
      <c r="H144" s="8" t="n">
        <f aca="false">IF(AND(VST_Assets!$W$5=1,H$3&lt;=PTCLast,H128&gt;0),H128*MAX(0,PTCCredit*(1+Infl)^(H$3-PTCBase)-0.8*MAX(0,(H133+H134+H136)*1000000/MAX(1,H128)-PTCThresh*(1+Infl)^(H$3-PTCBase)))/1000000,0)</f>
        <v>0</v>
      </c>
      <c r="I144" s="8" t="n">
        <f aca="false">IF(AND(VST_Assets!$W$5=1,I$3&lt;=PTCLast,I128&gt;0),I128*MAX(0,PTCCredit*(1+Infl)^(I$3-PTCBase)-0.8*MAX(0,(I133+I134+I136)*1000000/MAX(1,I128)-PTCThresh*(1+Infl)^(I$3-PTCBase)))/1000000,0)</f>
        <v>0</v>
      </c>
      <c r="J144" s="8" t="n">
        <f aca="false">IF(AND(VST_Assets!$W$5=1,J$3&lt;=PTCLast,J128&gt;0),J128*MAX(0,PTCCredit*(1+Infl)^(J$3-PTCBase)-0.8*MAX(0,(J133+J134+J136)*1000000/MAX(1,J128)-PTCThresh*(1+Infl)^(J$3-PTCBase)))/1000000,0)</f>
        <v>0</v>
      </c>
      <c r="K144" s="8" t="n">
        <f aca="false">IF(AND(VST_Assets!$W$5=1,K$3&lt;=PTCLast,K128&gt;0),K128*MAX(0,PTCCredit*(1+Infl)^(K$3-PTCBase)-0.8*MAX(0,(K133+K134+K136)*1000000/MAX(1,K128)-PTCThresh*(1+Infl)^(K$3-PTCBase)))/1000000,0)</f>
        <v>0</v>
      </c>
      <c r="L144" s="8" t="n">
        <f aca="false">IF(AND(VST_Assets!$W$5=1,L$3&lt;=PTCLast,L128&gt;0),L128*MAX(0,PTCCredit*(1+Infl)^(L$3-PTCBase)-0.8*MAX(0,(L133+L134+L136)*1000000/MAX(1,L128)-PTCThresh*(1+Infl)^(L$3-PTCBase)))/1000000,0)</f>
        <v>0</v>
      </c>
      <c r="M144" s="8" t="n">
        <f aca="false">IF(AND(VST_Assets!$W$5=1,M$3&lt;=PTCLast,M128&gt;0),M128*MAX(0,PTCCredit*(1+Infl)^(M$3-PTCBase)-0.8*MAX(0,(M133+M134+M136)*1000000/MAX(1,M128)-PTCThresh*(1+Infl)^(M$3-PTCBase)))/1000000,0)</f>
        <v>0</v>
      </c>
      <c r="N144" s="8" t="n">
        <f aca="false">IF(AND(VST_Assets!$W$5=1,N$3&lt;=PTCLast,N128&gt;0),N128*MAX(0,PTCCredit*(1+Infl)^(N$3-PTCBase)-0.8*MAX(0,(N133+N134+N136)*1000000/MAX(1,N128)-PTCThresh*(1+Infl)^(N$3-PTCBase)))/1000000,0)</f>
        <v>0</v>
      </c>
      <c r="O144" s="8" t="n">
        <f aca="false">IF(AND(VST_Assets!$W$5=1,O$3&lt;=PTCLast,O128&gt;0),O128*MAX(0,PTCCredit*(1+Infl)^(O$3-PTCBase)-0.8*MAX(0,(O133+O134+O136)*1000000/MAX(1,O128)-PTCThresh*(1+Infl)^(O$3-PTCBase)))/1000000,0)</f>
        <v>0</v>
      </c>
      <c r="P144" s="8" t="n">
        <f aca="false">IF(AND(VST_Assets!$W$5=1,P$3&lt;=PTCLast,P128&gt;0),P128*MAX(0,PTCCredit*(1+Infl)^(P$3-PTCBase)-0.8*MAX(0,(P133+P134+P136)*1000000/MAX(1,P128)-PTCThresh*(1+Infl)^(P$3-PTCBase)))/1000000,0)</f>
        <v>0</v>
      </c>
      <c r="Q144" s="8" t="n">
        <f aca="false">IF(AND(VST_Assets!$W$5=1,Q$3&lt;=PTCLast,Q128&gt;0),Q128*MAX(0,PTCCredit*(1+Infl)^(Q$3-PTCBase)-0.8*MAX(0,(Q133+Q134+Q136)*1000000/MAX(1,Q128)-PTCThresh*(1+Infl)^(Q$3-PTCBase)))/1000000,0)</f>
        <v>0</v>
      </c>
      <c r="R144" s="8" t="n">
        <f aca="false">IF(AND(VST_Assets!$W$5=1,R$3&lt;=PTCLast,R128&gt;0),R128*MAX(0,PTCCredit*(1+Infl)^(R$3-PTCBase)-0.8*MAX(0,(R133+R134+R136)*1000000/MAX(1,R128)-PTCThresh*(1+Infl)^(R$3-PTCBase)))/1000000,0)</f>
        <v>0</v>
      </c>
      <c r="S144" s="8" t="n">
        <f aca="false">IF(AND(VST_Assets!$W$5=1,S$3&lt;=PTCLast,S128&gt;0),S128*MAX(0,PTCCredit*(1+Infl)^(S$3-PTCBase)-0.8*MAX(0,(S133+S134+S136)*1000000/MAX(1,S128)-PTCThresh*(1+Infl)^(S$3-PTCBase)))/1000000,0)</f>
        <v>0</v>
      </c>
      <c r="T144" s="8" t="n">
        <f aca="false">IF(AND(VST_Assets!$W$5=1,T$3&lt;=PTCLast,T128&gt;0),T128*MAX(0,PTCCredit*(1+Infl)^(T$3-PTCBase)-0.8*MAX(0,(T133+T134+T136)*1000000/MAX(1,T128)-PTCThresh*(1+Infl)^(T$3-PTCBase)))/1000000,0)</f>
        <v>0</v>
      </c>
      <c r="U144" s="8" t="n">
        <f aca="false">IF(AND(VST_Assets!$W$5=1,U$3&lt;=PTCLast,U128&gt;0),U128*MAX(0,PTCCredit*(1+Infl)^(U$3-PTCBase)-0.8*MAX(0,(U133+U134+U136)*1000000/MAX(1,U128)-PTCThresh*(1+Infl)^(U$3-PTCBase)))/1000000,0)</f>
        <v>0</v>
      </c>
      <c r="V144" s="8" t="n">
        <f aca="false">IF(AND(VST_Assets!$W$5=1,V$3&lt;=PTCLast,V128&gt;0),V128*MAX(0,PTCCredit*(1+Infl)^(V$3-PTCBase)-0.8*MAX(0,(V133+V134+V136)*1000000/MAX(1,V128)-PTCThresh*(1+Infl)^(V$3-PTCBase)))/1000000,0)</f>
        <v>0</v>
      </c>
      <c r="W144" s="8" t="n">
        <f aca="false">IF(AND(VST_Assets!$W$5=1,W$3&lt;=PTCLast,W128&gt;0),W128*MAX(0,PTCCredit*(1+Infl)^(W$3-PTCBase)-0.8*MAX(0,(W133+W134+W136)*1000000/MAX(1,W128)-PTCThresh*(1+Infl)^(W$3-PTCBase)))/1000000,0)</f>
        <v>0</v>
      </c>
      <c r="X144" s="8" t="n">
        <f aca="false">IF(AND(VST_Assets!$W$5=1,X$3&lt;=PTCLast,X128&gt;0),X128*MAX(0,PTCCredit*(1+Infl)^(X$3-PTCBase)-0.8*MAX(0,(X133+X134+X136)*1000000/MAX(1,X128)-PTCThresh*(1+Infl)^(X$3-PTCBase)))/1000000,0)</f>
        <v>0</v>
      </c>
      <c r="Y144" s="8" t="n">
        <f aca="false">IF(AND(VST_Assets!$W$5=1,Y$3&lt;=PTCLast,Y128&gt;0),Y128*MAX(0,PTCCredit*(1+Infl)^(Y$3-PTCBase)-0.8*MAX(0,(Y133+Y134+Y136)*1000000/MAX(1,Y128)-PTCThresh*(1+Infl)^(Y$3-PTCBase)))/1000000,0)</f>
        <v>0</v>
      </c>
      <c r="Z144" s="8" t="n">
        <f aca="false">IF(AND(VST_Assets!$W$5=1,Z$3&lt;=PTCLast,Z128&gt;0),Z128*MAX(0,PTCCredit*(1+Infl)^(Z$3-PTCBase)-0.8*MAX(0,(Z133+Z134+Z136)*1000000/MAX(1,Z128)-PTCThresh*(1+Infl)^(Z$3-PTCBase)))/1000000,0)</f>
        <v>0</v>
      </c>
      <c r="AA144" s="8" t="n">
        <f aca="false">IF(AND(VST_Assets!$W$5=1,AA$3&lt;=PTCLast,AA128&gt;0),AA128*MAX(0,PTCCredit*(1+Infl)^(AA$3-PTCBase)-0.8*MAX(0,(AA133+AA134+AA136)*1000000/MAX(1,AA128)-PTCThresh*(1+Infl)^(AA$3-PTCBase)))/1000000,0)</f>
        <v>0</v>
      </c>
      <c r="AB144" s="8" t="n">
        <f aca="false">IF(AND(VST_Assets!$W$5=1,AB$3&lt;=PTCLast,AB128&gt;0),AB128*MAX(0,PTCCredit*(1+Infl)^(AB$3-PTCBase)-0.8*MAX(0,(AB133+AB134+AB136)*1000000/MAX(1,AB128)-PTCThresh*(1+Infl)^(AB$3-PTCBase)))/1000000,0)</f>
        <v>0</v>
      </c>
      <c r="AC144" s="8" t="n">
        <f aca="false">IF(AND(VST_Assets!$W$5=1,AC$3&lt;=PTCLast,AC128&gt;0),AC128*MAX(0,PTCCredit*(1+Infl)^(AC$3-PTCBase)-0.8*MAX(0,(AC133+AC134+AC136)*1000000/MAX(1,AC128)-PTCThresh*(1+Infl)^(AC$3-PTCBase)))/1000000,0)</f>
        <v>0</v>
      </c>
      <c r="AD144" s="8" t="n">
        <f aca="false">IF(AND(VST_Assets!$W$5=1,AD$3&lt;=PTCLast,AD128&gt;0),AD128*MAX(0,PTCCredit*(1+Infl)^(AD$3-PTCBase)-0.8*MAX(0,(AD133+AD134+AD136)*1000000/MAX(1,AD128)-PTCThresh*(1+Infl)^(AD$3-PTCBase)))/1000000,0)</f>
        <v>0</v>
      </c>
      <c r="AE144" s="8" t="n">
        <f aca="false">IF(AND(VST_Assets!$W$5=1,AE$3&lt;=PTCLast,AE128&gt;0),AE128*MAX(0,PTCCredit*(1+Infl)^(AE$3-PTCBase)-0.8*MAX(0,(AE133+AE134+AE136)*1000000/MAX(1,AE128)-PTCThresh*(1+Infl)^(AE$3-PTCBase)))/1000000,0)</f>
        <v>0</v>
      </c>
      <c r="AF144" s="8" t="n">
        <f aca="false">IF(AND(VST_Assets!$W$5=1,AF$3&lt;=PTCLast,AF128&gt;0),AF128*MAX(0,PTCCredit*(1+Infl)^(AF$3-PTCBase)-0.8*MAX(0,(AF133+AF134+AF136)*1000000/MAX(1,AF128)-PTCThresh*(1+Infl)^(AF$3-PTCBase)))/1000000,0)</f>
        <v>0</v>
      </c>
      <c r="AG144" s="8" t="n">
        <f aca="false">IF(AND(VST_Assets!$W$5=1,AG$3&lt;=PTCLast,AG128&gt;0),AG128*MAX(0,PTCCredit*(1+Infl)^(AG$3-PTCBase)-0.8*MAX(0,(AG133+AG134+AG136)*1000000/MAX(1,AG128)-PTCThresh*(1+Infl)^(AG$3-PTCBase)))/1000000,0)</f>
        <v>0</v>
      </c>
      <c r="AH144" s="8" t="n">
        <f aca="false">IF(AND(VST_Assets!$W$5=1,AH$3&lt;=PTCLast,AH128&gt;0),AH128*MAX(0,PTCCredit*(1+Infl)^(AH$3-PTCBase)-0.8*MAX(0,(AH133+AH134+AH136)*1000000/MAX(1,AH128)-PTCThresh*(1+Infl)^(AH$3-PTCBase)))/1000000,0)</f>
        <v>0</v>
      </c>
      <c r="AI144" s="8" t="n">
        <f aca="false">IF(AND(VST_Assets!$W$5=1,AI$3&lt;=PTCLast,AI128&gt;0),AI128*MAX(0,PTCCredit*(1+Infl)^(AI$3-PTCBase)-0.8*MAX(0,(AI133+AI134+AI136)*1000000/MAX(1,AI128)-PTCThresh*(1+Infl)^(AI$3-PTCBase)))/1000000,0)</f>
        <v>0</v>
      </c>
      <c r="AJ144" s="8" t="n">
        <f aca="false">IF(AND(VST_Assets!$W$5=1,AJ$3&lt;=PTCLast,AJ128&gt;0),AJ128*MAX(0,PTCCredit*(1+Infl)^(AJ$3-PTCBase)-0.8*MAX(0,(AJ133+AJ134+AJ136)*1000000/MAX(1,AJ128)-PTCThresh*(1+Infl)^(AJ$3-PTCBase)))/1000000,0)</f>
        <v>0</v>
      </c>
      <c r="AK144" s="8" t="n">
        <f aca="false">IF(AND(VST_Assets!$W$5=1,AK$3&lt;=PTCLast,AK128&gt;0),AK128*MAX(0,PTCCredit*(1+Infl)^(AK$3-PTCBase)-0.8*MAX(0,(AK133+AK134+AK136)*1000000/MAX(1,AK128)-PTCThresh*(1+Infl)^(AK$3-PTCBase)))/1000000,0)</f>
        <v>0</v>
      </c>
      <c r="AL144" s="8" t="n">
        <f aca="false">IF(AND(VST_Assets!$W$5=1,AL$3&lt;=PTCLast,AL128&gt;0),AL128*MAX(0,PTCCredit*(1+Infl)^(AL$3-PTCBase)-0.8*MAX(0,(AL133+AL134+AL136)*1000000/MAX(1,AL128)-PTCThresh*(1+Infl)^(AL$3-PTCBase)))/1000000,0)</f>
        <v>0</v>
      </c>
      <c r="AM144" s="8" t="n">
        <f aca="false">IF(AND(VST_Assets!$W$5=1,AM$3&lt;=PTCLast,AM128&gt;0),AM128*MAX(0,PTCCredit*(1+Infl)^(AM$3-PTCBase)-0.8*MAX(0,(AM133+AM134+AM136)*1000000/MAX(1,AM128)-PTCThresh*(1+Infl)^(AM$3-PTCBase)))/1000000,0)</f>
        <v>0</v>
      </c>
      <c r="AN144" s="8" t="n">
        <f aca="false">IF(AND(VST_Assets!$W$5=1,AN$3&lt;=PTCLast,AN128&gt;0),AN128*MAX(0,PTCCredit*(1+Infl)^(AN$3-PTCBase)-0.8*MAX(0,(AN133+AN134+AN136)*1000000/MAX(1,AN128)-PTCThresh*(1+Infl)^(AN$3-PTCBase)))/1000000,0)</f>
        <v>0</v>
      </c>
      <c r="AO144" s="8" t="n">
        <f aca="false">IF(AND(VST_Assets!$W$5=1,AO$3&lt;=PTCLast,AO128&gt;0),AO128*MAX(0,PTCCredit*(1+Infl)^(AO$3-PTCBase)-0.8*MAX(0,(AO133+AO134+AO136)*1000000/MAX(1,AO128)-PTCThresh*(1+Infl)^(AO$3-PTCBase)))/1000000,0)</f>
        <v>0</v>
      </c>
      <c r="AP144" s="8" t="n">
        <f aca="false">IF(AND(VST_Assets!$W$5=1,AP$3&lt;=PTCLast,AP128&gt;0),AP128*MAX(0,PTCCredit*(1+Infl)^(AP$3-PTCBase)-0.8*MAX(0,(AP133+AP134+AP136)*1000000/MAX(1,AP128)-PTCThresh*(1+Infl)^(AP$3-PTCBase)))/1000000,0)</f>
        <v>0</v>
      </c>
      <c r="AQ144" s="8" t="n">
        <f aca="false">IF(AND(VST_Assets!$W$5=1,AQ$3&lt;=PTCLast,AQ128&gt;0),AQ128*MAX(0,PTCCredit*(1+Infl)^(AQ$3-PTCBase)-0.8*MAX(0,(AQ133+AQ134+AQ136)*1000000/MAX(1,AQ128)-PTCThresh*(1+Infl)^(AQ$3-PTCBase)))/1000000,0)</f>
        <v>0</v>
      </c>
      <c r="AR144" s="8" t="n">
        <f aca="false">IF(AND(VST_Assets!$W$5=1,AR$3&lt;=PTCLast,AR128&gt;0),AR128*MAX(0,PTCCredit*(1+Infl)^(AR$3-PTCBase)-0.8*MAX(0,(AR133+AR134+AR136)*1000000/MAX(1,AR128)-PTCThresh*(1+Infl)^(AR$3-PTCBase)))/1000000,0)</f>
        <v>0</v>
      </c>
      <c r="AS144" s="8" t="n">
        <f aca="false">IF(AND(VST_Assets!$W$5=1,AS$3&lt;=PTCLast,AS128&gt;0),AS128*MAX(0,PTCCredit*(1+Infl)^(AS$3-PTCBase)-0.8*MAX(0,(AS133+AS134+AS136)*1000000/MAX(1,AS128)-PTCThresh*(1+Infl)^(AS$3-PTCBase)))/1000000,0)</f>
        <v>0</v>
      </c>
    </row>
    <row r="145" customFormat="false" ht="15" hidden="false" customHeight="false" outlineLevel="0" collapsed="false">
      <c r="A145" s="6" t="s">
        <v>463</v>
      </c>
      <c r="B145" s="6" t="s">
        <v>464</v>
      </c>
      <c r="G145" s="8" t="n">
        <f aca="false">G135-G129*(VST_Assets!$N$5*(1+VST_FuelAdj)+VST_Assets!$O$5*(1+VST_OMAdj)+VST_Assets!$P$5*(1+VST_CapexAdj))*(1+VST_Assets!$Q$5)^(G$3-2026)/1000000</f>
        <v>0</v>
      </c>
      <c r="H145" s="8" t="n">
        <f aca="false">H135-H129*(VST_Assets!$N$5*(1+VST_FuelAdj)+VST_Assets!$O$5*(1+VST_OMAdj)+VST_Assets!$P$5*(1+VST_CapexAdj))*(1+VST_Assets!$Q$5)^(H$3-2026)/1000000</f>
        <v>0</v>
      </c>
      <c r="I145" s="8" t="n">
        <f aca="false">I135-I129*(VST_Assets!$N$5*(1+VST_FuelAdj)+VST_Assets!$O$5*(1+VST_OMAdj)+VST_Assets!$P$5*(1+VST_CapexAdj))*(1+VST_Assets!$Q$5)^(I$3-2026)/1000000</f>
        <v>0</v>
      </c>
      <c r="J145" s="8" t="n">
        <f aca="false">J135-J129*(VST_Assets!$N$5*(1+VST_FuelAdj)+VST_Assets!$O$5*(1+VST_OMAdj)+VST_Assets!$P$5*(1+VST_CapexAdj))*(1+VST_Assets!$Q$5)^(J$3-2026)/1000000</f>
        <v>0</v>
      </c>
      <c r="K145" s="8" t="n">
        <f aca="false">K135-K129*(VST_Assets!$N$5*(1+VST_FuelAdj)+VST_Assets!$O$5*(1+VST_OMAdj)+VST_Assets!$P$5*(1+VST_CapexAdj))*(1+VST_Assets!$Q$5)^(K$3-2026)/1000000</f>
        <v>0</v>
      </c>
      <c r="L145" s="8" t="n">
        <f aca="false">L135-L129*(VST_Assets!$N$5*(1+VST_FuelAdj)+VST_Assets!$O$5*(1+VST_OMAdj)+VST_Assets!$P$5*(1+VST_CapexAdj))*(1+VST_Assets!$Q$5)^(L$3-2026)/1000000</f>
        <v>0</v>
      </c>
      <c r="M145" s="8" t="n">
        <f aca="false">M135-M129*(VST_Assets!$N$5*(1+VST_FuelAdj)+VST_Assets!$O$5*(1+VST_OMAdj)+VST_Assets!$P$5*(1+VST_CapexAdj))*(1+VST_Assets!$Q$5)^(M$3-2026)/1000000</f>
        <v>0</v>
      </c>
      <c r="N145" s="8" t="n">
        <f aca="false">N135-N129*(VST_Assets!$N$5*(1+VST_FuelAdj)+VST_Assets!$O$5*(1+VST_OMAdj)+VST_Assets!$P$5*(1+VST_CapexAdj))*(1+VST_Assets!$Q$5)^(N$3-2026)/1000000</f>
        <v>0</v>
      </c>
      <c r="O145" s="8" t="n">
        <f aca="false">O135-O129*(VST_Assets!$N$5*(1+VST_FuelAdj)+VST_Assets!$O$5*(1+VST_OMAdj)+VST_Assets!$P$5*(1+VST_CapexAdj))*(1+VST_Assets!$Q$5)^(O$3-2026)/1000000</f>
        <v>0</v>
      </c>
      <c r="P145" s="8" t="n">
        <f aca="false">P135-P129*(VST_Assets!$N$5*(1+VST_FuelAdj)+VST_Assets!$O$5*(1+VST_OMAdj)+VST_Assets!$P$5*(1+VST_CapexAdj))*(1+VST_Assets!$Q$5)^(P$3-2026)/1000000</f>
        <v>0</v>
      </c>
      <c r="Q145" s="8" t="n">
        <f aca="false">Q135-Q129*(VST_Assets!$N$5*(1+VST_FuelAdj)+VST_Assets!$O$5*(1+VST_OMAdj)+VST_Assets!$P$5*(1+VST_CapexAdj))*(1+VST_Assets!$Q$5)^(Q$3-2026)/1000000</f>
        <v>0</v>
      </c>
      <c r="R145" s="8" t="n">
        <f aca="false">R135-R129*(VST_Assets!$N$5*(1+VST_FuelAdj)+VST_Assets!$O$5*(1+VST_OMAdj)+VST_Assets!$P$5*(1+VST_CapexAdj))*(1+VST_Assets!$Q$5)^(R$3-2026)/1000000</f>
        <v>0</v>
      </c>
      <c r="S145" s="8" t="n">
        <f aca="false">S135-S129*(VST_Assets!$N$5*(1+VST_FuelAdj)+VST_Assets!$O$5*(1+VST_OMAdj)+VST_Assets!$P$5*(1+VST_CapexAdj))*(1+VST_Assets!$Q$5)^(S$3-2026)/1000000</f>
        <v>0</v>
      </c>
      <c r="T145" s="8" t="n">
        <f aca="false">T135-T129*(VST_Assets!$N$5*(1+VST_FuelAdj)+VST_Assets!$O$5*(1+VST_OMAdj)+VST_Assets!$P$5*(1+VST_CapexAdj))*(1+VST_Assets!$Q$5)^(T$3-2026)/1000000</f>
        <v>0</v>
      </c>
      <c r="U145" s="8" t="n">
        <f aca="false">U135-U129*(VST_Assets!$N$5*(1+VST_FuelAdj)+VST_Assets!$O$5*(1+VST_OMAdj)+VST_Assets!$P$5*(1+VST_CapexAdj))*(1+VST_Assets!$Q$5)^(U$3-2026)/1000000</f>
        <v>0</v>
      </c>
      <c r="V145" s="8" t="n">
        <f aca="false">V135-V129*(VST_Assets!$N$5*(1+VST_FuelAdj)+VST_Assets!$O$5*(1+VST_OMAdj)+VST_Assets!$P$5*(1+VST_CapexAdj))*(1+VST_Assets!$Q$5)^(V$3-2026)/1000000</f>
        <v>0</v>
      </c>
      <c r="W145" s="8" t="n">
        <f aca="false">W135-W129*(VST_Assets!$N$5*(1+VST_FuelAdj)+VST_Assets!$O$5*(1+VST_OMAdj)+VST_Assets!$P$5*(1+VST_CapexAdj))*(1+VST_Assets!$Q$5)^(W$3-2026)/1000000</f>
        <v>0</v>
      </c>
      <c r="X145" s="8" t="n">
        <f aca="false">X135-X129*(VST_Assets!$N$5*(1+VST_FuelAdj)+VST_Assets!$O$5*(1+VST_OMAdj)+VST_Assets!$P$5*(1+VST_CapexAdj))*(1+VST_Assets!$Q$5)^(X$3-2026)/1000000</f>
        <v>0</v>
      </c>
      <c r="Y145" s="8" t="n">
        <f aca="false">Y135-Y129*(VST_Assets!$N$5*(1+VST_FuelAdj)+VST_Assets!$O$5*(1+VST_OMAdj)+VST_Assets!$P$5*(1+VST_CapexAdj))*(1+VST_Assets!$Q$5)^(Y$3-2026)/1000000</f>
        <v>0</v>
      </c>
      <c r="Z145" s="8" t="n">
        <f aca="false">Z135-Z129*(VST_Assets!$N$5*(1+VST_FuelAdj)+VST_Assets!$O$5*(1+VST_OMAdj)+VST_Assets!$P$5*(1+VST_CapexAdj))*(1+VST_Assets!$Q$5)^(Z$3-2026)/1000000</f>
        <v>0</v>
      </c>
      <c r="AA145" s="8" t="n">
        <f aca="false">AA135-AA129*(VST_Assets!$N$5*(1+VST_FuelAdj)+VST_Assets!$O$5*(1+VST_OMAdj)+VST_Assets!$P$5*(1+VST_CapexAdj))*(1+VST_Assets!$Q$5)^(AA$3-2026)/1000000</f>
        <v>0</v>
      </c>
      <c r="AB145" s="8" t="n">
        <f aca="false">AB135-AB129*(VST_Assets!$N$5*(1+VST_FuelAdj)+VST_Assets!$O$5*(1+VST_OMAdj)+VST_Assets!$P$5*(1+VST_CapexAdj))*(1+VST_Assets!$Q$5)^(AB$3-2026)/1000000</f>
        <v>0</v>
      </c>
      <c r="AC145" s="8" t="n">
        <f aca="false">AC135-AC129*(VST_Assets!$N$5*(1+VST_FuelAdj)+VST_Assets!$O$5*(1+VST_OMAdj)+VST_Assets!$P$5*(1+VST_CapexAdj))*(1+VST_Assets!$Q$5)^(AC$3-2026)/1000000</f>
        <v>0</v>
      </c>
      <c r="AD145" s="8" t="n">
        <f aca="false">AD135-AD129*(VST_Assets!$N$5*(1+VST_FuelAdj)+VST_Assets!$O$5*(1+VST_OMAdj)+VST_Assets!$P$5*(1+VST_CapexAdj))*(1+VST_Assets!$Q$5)^(AD$3-2026)/1000000</f>
        <v>0</v>
      </c>
      <c r="AE145" s="8" t="n">
        <f aca="false">AE135-AE129*(VST_Assets!$N$5*(1+VST_FuelAdj)+VST_Assets!$O$5*(1+VST_OMAdj)+VST_Assets!$P$5*(1+VST_CapexAdj))*(1+VST_Assets!$Q$5)^(AE$3-2026)/1000000</f>
        <v>0</v>
      </c>
      <c r="AF145" s="8" t="n">
        <f aca="false">AF135-AF129*(VST_Assets!$N$5*(1+VST_FuelAdj)+VST_Assets!$O$5*(1+VST_OMAdj)+VST_Assets!$P$5*(1+VST_CapexAdj))*(1+VST_Assets!$Q$5)^(AF$3-2026)/1000000</f>
        <v>0</v>
      </c>
      <c r="AG145" s="8" t="n">
        <f aca="false">AG135-AG129*(VST_Assets!$N$5*(1+VST_FuelAdj)+VST_Assets!$O$5*(1+VST_OMAdj)+VST_Assets!$P$5*(1+VST_CapexAdj))*(1+VST_Assets!$Q$5)^(AG$3-2026)/1000000</f>
        <v>0</v>
      </c>
      <c r="AH145" s="8" t="n">
        <f aca="false">AH135-AH129*(VST_Assets!$N$5*(1+VST_FuelAdj)+VST_Assets!$O$5*(1+VST_OMAdj)+VST_Assets!$P$5*(1+VST_CapexAdj))*(1+VST_Assets!$Q$5)^(AH$3-2026)/1000000</f>
        <v>0</v>
      </c>
      <c r="AI145" s="8" t="n">
        <f aca="false">AI135-AI129*(VST_Assets!$N$5*(1+VST_FuelAdj)+VST_Assets!$O$5*(1+VST_OMAdj)+VST_Assets!$P$5*(1+VST_CapexAdj))*(1+VST_Assets!$Q$5)^(AI$3-2026)/1000000</f>
        <v>0</v>
      </c>
      <c r="AJ145" s="8" t="n">
        <f aca="false">AJ135-AJ129*(VST_Assets!$N$5*(1+VST_FuelAdj)+VST_Assets!$O$5*(1+VST_OMAdj)+VST_Assets!$P$5*(1+VST_CapexAdj))*(1+VST_Assets!$Q$5)^(AJ$3-2026)/1000000</f>
        <v>0</v>
      </c>
      <c r="AK145" s="8" t="n">
        <f aca="false">AK135-AK129*(VST_Assets!$N$5*(1+VST_FuelAdj)+VST_Assets!$O$5*(1+VST_OMAdj)+VST_Assets!$P$5*(1+VST_CapexAdj))*(1+VST_Assets!$Q$5)^(AK$3-2026)/1000000</f>
        <v>0</v>
      </c>
      <c r="AL145" s="8" t="n">
        <f aca="false">AL135-AL129*(VST_Assets!$N$5*(1+VST_FuelAdj)+VST_Assets!$O$5*(1+VST_OMAdj)+VST_Assets!$P$5*(1+VST_CapexAdj))*(1+VST_Assets!$Q$5)^(AL$3-2026)/1000000</f>
        <v>0</v>
      </c>
      <c r="AM145" s="8" t="n">
        <f aca="false">AM135-AM129*(VST_Assets!$N$5*(1+VST_FuelAdj)+VST_Assets!$O$5*(1+VST_OMAdj)+VST_Assets!$P$5*(1+VST_CapexAdj))*(1+VST_Assets!$Q$5)^(AM$3-2026)/1000000</f>
        <v>0</v>
      </c>
      <c r="AN145" s="8" t="n">
        <f aca="false">AN135-AN129*(VST_Assets!$N$5*(1+VST_FuelAdj)+VST_Assets!$O$5*(1+VST_OMAdj)+VST_Assets!$P$5*(1+VST_CapexAdj))*(1+VST_Assets!$Q$5)^(AN$3-2026)/1000000</f>
        <v>0</v>
      </c>
      <c r="AO145" s="8" t="n">
        <f aca="false">AO135-AO129*(VST_Assets!$N$5*(1+VST_FuelAdj)+VST_Assets!$O$5*(1+VST_OMAdj)+VST_Assets!$P$5*(1+VST_CapexAdj))*(1+VST_Assets!$Q$5)^(AO$3-2026)/1000000</f>
        <v>0</v>
      </c>
      <c r="AP145" s="8" t="n">
        <f aca="false">AP135-AP129*(VST_Assets!$N$5*(1+VST_FuelAdj)+VST_Assets!$O$5*(1+VST_OMAdj)+VST_Assets!$P$5*(1+VST_CapexAdj))*(1+VST_Assets!$Q$5)^(AP$3-2026)/1000000</f>
        <v>0</v>
      </c>
      <c r="AQ145" s="8" t="n">
        <f aca="false">AQ135-AQ129*(VST_Assets!$N$5*(1+VST_FuelAdj)+VST_Assets!$O$5*(1+VST_OMAdj)+VST_Assets!$P$5*(1+VST_CapexAdj))*(1+VST_Assets!$Q$5)^(AQ$3-2026)/1000000</f>
        <v>0</v>
      </c>
      <c r="AR145" s="8" t="n">
        <f aca="false">AR135-AR129*(VST_Assets!$N$5*(1+VST_FuelAdj)+VST_Assets!$O$5*(1+VST_OMAdj)+VST_Assets!$P$5*(1+VST_CapexAdj))*(1+VST_Assets!$Q$5)^(AR$3-2026)/1000000</f>
        <v>0</v>
      </c>
      <c r="AS145" s="8" t="n">
        <f aca="false">AS135-AS129*(VST_Assets!$N$5*(1+VST_FuelAdj)+VST_Assets!$O$5*(1+VST_OMAdj)+VST_Assets!$P$5*(1+VST_CapexAdj))*(1+VST_Assets!$Q$5)^(AS$3-2026)/1000000</f>
        <v>0</v>
      </c>
    </row>
    <row r="146" customFormat="false" ht="15" hidden="false" customHeight="false" outlineLevel="0" collapsed="false">
      <c r="A146" s="6" t="s">
        <v>465</v>
      </c>
      <c r="B146" s="6" t="s">
        <v>466</v>
      </c>
      <c r="G146" s="8" t="n">
        <f aca="false">G143-G145</f>
        <v>740.1963228</v>
      </c>
      <c r="H146" s="8" t="n">
        <f aca="false">H143-H145</f>
        <v>811.023953256</v>
      </c>
      <c r="I146" s="8" t="n">
        <f aca="false">I143-I145</f>
        <v>821.7522089172</v>
      </c>
      <c r="J146" s="8" t="n">
        <f aca="false">J143-J145</f>
        <v>869.377341028205</v>
      </c>
      <c r="K146" s="8" t="n">
        <f aca="false">K143-K145</f>
        <v>886.764887848769</v>
      </c>
      <c r="L146" s="8" t="n">
        <f aca="false">L143-L145</f>
        <v>904.500185605745</v>
      </c>
      <c r="M146" s="8" t="n">
        <f aca="false">M143-M145</f>
        <v>922.590189317859</v>
      </c>
      <c r="N146" s="8" t="n">
        <f aca="false">N143-N145</f>
        <v>941.041993104217</v>
      </c>
      <c r="O146" s="8" t="n">
        <f aca="false">O143-O145</f>
        <v>959.862832966301</v>
      </c>
      <c r="P146" s="8" t="n">
        <f aca="false">P143-P145</f>
        <v>979.060089625626</v>
      </c>
      <c r="Q146" s="8" t="n">
        <f aca="false">Q143-Q145</f>
        <v>998.64129141814</v>
      </c>
      <c r="R146" s="8" t="n">
        <f aca="false">R143-R145</f>
        <v>1018.6141172465</v>
      </c>
      <c r="S146" s="8" t="n">
        <f aca="false">S143-S145</f>
        <v>1038.98639959143</v>
      </c>
      <c r="T146" s="8" t="n">
        <f aca="false">T143-T145</f>
        <v>1059.76612758326</v>
      </c>
      <c r="U146" s="8" t="n">
        <f aca="false">U143-U145</f>
        <v>1080.96145013493</v>
      </c>
      <c r="V146" s="8" t="n">
        <f aca="false">V143-V145</f>
        <v>1102.58067913762</v>
      </c>
      <c r="W146" s="8" t="n">
        <f aca="false">W143-W145</f>
        <v>1124.63229272038</v>
      </c>
      <c r="X146" s="8" t="n">
        <f aca="false">X143-X145</f>
        <v>1147.12493857479</v>
      </c>
      <c r="Y146" s="8" t="n">
        <f aca="false">Y143-Y145</f>
        <v>1170.06743734628</v>
      </c>
      <c r="Z146" s="8" t="n">
        <f aca="false">Z143-Z145</f>
        <v>0</v>
      </c>
      <c r="AA146" s="8" t="n">
        <f aca="false">AA143-AA145</f>
        <v>0</v>
      </c>
      <c r="AB146" s="8" t="n">
        <f aca="false">AB143-AB145</f>
        <v>0</v>
      </c>
      <c r="AC146" s="8" t="n">
        <f aca="false">AC143-AC145</f>
        <v>0</v>
      </c>
      <c r="AD146" s="8" t="n">
        <f aca="false">AD143-AD145</f>
        <v>0</v>
      </c>
      <c r="AE146" s="8" t="n">
        <f aca="false">AE143-AE145</f>
        <v>0</v>
      </c>
      <c r="AF146" s="8" t="n">
        <f aca="false">AF143-AF145</f>
        <v>0</v>
      </c>
      <c r="AG146" s="8" t="n">
        <f aca="false">AG143-AG145</f>
        <v>0</v>
      </c>
      <c r="AH146" s="8" t="n">
        <f aca="false">AH143-AH145</f>
        <v>0</v>
      </c>
      <c r="AI146" s="8" t="n">
        <f aca="false">AI143-AI145</f>
        <v>0</v>
      </c>
      <c r="AJ146" s="8" t="n">
        <f aca="false">AJ143-AJ145</f>
        <v>0</v>
      </c>
      <c r="AK146" s="8" t="n">
        <f aca="false">AK143-AK145</f>
        <v>0</v>
      </c>
      <c r="AL146" s="8" t="n">
        <f aca="false">AL143-AL145</f>
        <v>0</v>
      </c>
      <c r="AM146" s="8" t="n">
        <f aca="false">AM143-AM145</f>
        <v>0</v>
      </c>
      <c r="AN146" s="8" t="n">
        <f aca="false">AN143-AN145</f>
        <v>0</v>
      </c>
      <c r="AO146" s="8" t="n">
        <f aca="false">AO143-AO145</f>
        <v>0</v>
      </c>
      <c r="AP146" s="8" t="n">
        <f aca="false">AP143-AP145</f>
        <v>0</v>
      </c>
      <c r="AQ146" s="8" t="n">
        <f aca="false">AQ143-AQ145</f>
        <v>0</v>
      </c>
      <c r="AR146" s="8" t="n">
        <f aca="false">AR143-AR145</f>
        <v>0</v>
      </c>
      <c r="AS146" s="8" t="n">
        <f aca="false">AS143-AS145</f>
        <v>0</v>
      </c>
    </row>
    <row r="147" customFormat="false" ht="15" hidden="false" customHeight="false" outlineLevel="0" collapsed="false">
      <c r="A147" s="6" t="s">
        <v>467</v>
      </c>
      <c r="B147" s="6" t="s">
        <v>468</v>
      </c>
      <c r="G147" s="8" t="n">
        <f aca="false">G146*(1-TaxRate)+G144</f>
        <v>592.15705824</v>
      </c>
      <c r="H147" s="8" t="n">
        <f aca="false">H146*(1-TaxRate)+H144</f>
        <v>648.8191626048</v>
      </c>
      <c r="I147" s="8" t="n">
        <f aca="false">I146*(1-TaxRate)+I144</f>
        <v>657.40176713376</v>
      </c>
      <c r="J147" s="8" t="n">
        <f aca="false">J146*(1-TaxRate)+J144</f>
        <v>695.501872822564</v>
      </c>
      <c r="K147" s="8" t="n">
        <f aca="false">K146*(1-TaxRate)+K144</f>
        <v>709.411910279015</v>
      </c>
      <c r="L147" s="8" t="n">
        <f aca="false">L146*(1-TaxRate)+L144</f>
        <v>723.600148484596</v>
      </c>
      <c r="M147" s="8" t="n">
        <f aca="false">M146*(1-TaxRate)+M144</f>
        <v>738.072151454288</v>
      </c>
      <c r="N147" s="8" t="n">
        <f aca="false">N146*(1-TaxRate)+N144</f>
        <v>752.833594483373</v>
      </c>
      <c r="O147" s="8" t="n">
        <f aca="false">O146*(1-TaxRate)+O144</f>
        <v>767.890266373041</v>
      </c>
      <c r="P147" s="8" t="n">
        <f aca="false">P146*(1-TaxRate)+P144</f>
        <v>783.248071700501</v>
      </c>
      <c r="Q147" s="8" t="n">
        <f aca="false">Q146*(1-TaxRate)+Q144</f>
        <v>798.913033134512</v>
      </c>
      <c r="R147" s="8" t="n">
        <f aca="false">R146*(1-TaxRate)+R144</f>
        <v>814.891293797202</v>
      </c>
      <c r="S147" s="8" t="n">
        <f aca="false">S146*(1-TaxRate)+S144</f>
        <v>831.189119673145</v>
      </c>
      <c r="T147" s="8" t="n">
        <f aca="false">T146*(1-TaxRate)+T144</f>
        <v>847.812902066609</v>
      </c>
      <c r="U147" s="8" t="n">
        <f aca="false">U146*(1-TaxRate)+U144</f>
        <v>864.769160107941</v>
      </c>
      <c r="V147" s="8" t="n">
        <f aca="false">V146*(1-TaxRate)+V144</f>
        <v>882.0645433101</v>
      </c>
      <c r="W147" s="8" t="n">
        <f aca="false">W146*(1-TaxRate)+W144</f>
        <v>899.705834176302</v>
      </c>
      <c r="X147" s="8" t="n">
        <f aca="false">X146*(1-TaxRate)+X144</f>
        <v>917.699950859828</v>
      </c>
      <c r="Y147" s="8" t="n">
        <f aca="false">Y146*(1-TaxRate)+Y144</f>
        <v>936.053949877024</v>
      </c>
      <c r="Z147" s="8" t="n">
        <f aca="false">Z146*(1-TaxRate)+Z144</f>
        <v>0</v>
      </c>
      <c r="AA147" s="8" t="n">
        <f aca="false">AA146*(1-TaxRate)+AA144</f>
        <v>0</v>
      </c>
      <c r="AB147" s="8" t="n">
        <f aca="false">AB146*(1-TaxRate)+AB144</f>
        <v>0</v>
      </c>
      <c r="AC147" s="8" t="n">
        <f aca="false">AC146*(1-TaxRate)+AC144</f>
        <v>0</v>
      </c>
      <c r="AD147" s="8" t="n">
        <f aca="false">AD146*(1-TaxRate)+AD144</f>
        <v>0</v>
      </c>
      <c r="AE147" s="8" t="n">
        <f aca="false">AE146*(1-TaxRate)+AE144</f>
        <v>0</v>
      </c>
      <c r="AF147" s="8" t="n">
        <f aca="false">AF146*(1-TaxRate)+AF144</f>
        <v>0</v>
      </c>
      <c r="AG147" s="8" t="n">
        <f aca="false">AG146*(1-TaxRate)+AG144</f>
        <v>0</v>
      </c>
      <c r="AH147" s="8" t="n">
        <f aca="false">AH146*(1-TaxRate)+AH144</f>
        <v>0</v>
      </c>
      <c r="AI147" s="8" t="n">
        <f aca="false">AI146*(1-TaxRate)+AI144</f>
        <v>0</v>
      </c>
      <c r="AJ147" s="8" t="n">
        <f aca="false">AJ146*(1-TaxRate)+AJ144</f>
        <v>0</v>
      </c>
      <c r="AK147" s="8" t="n">
        <f aca="false">AK146*(1-TaxRate)+AK144</f>
        <v>0</v>
      </c>
      <c r="AL147" s="8" t="n">
        <f aca="false">AL146*(1-TaxRate)+AL144</f>
        <v>0</v>
      </c>
      <c r="AM147" s="8" t="n">
        <f aca="false">AM146*(1-TaxRate)+AM144</f>
        <v>0</v>
      </c>
      <c r="AN147" s="8" t="n">
        <f aca="false">AN146*(1-TaxRate)+AN144</f>
        <v>0</v>
      </c>
      <c r="AO147" s="8" t="n">
        <f aca="false">AO146*(1-TaxRate)+AO144</f>
        <v>0</v>
      </c>
      <c r="AP147" s="8" t="n">
        <f aca="false">AP146*(1-TaxRate)+AP144</f>
        <v>0</v>
      </c>
      <c r="AQ147" s="8" t="n">
        <f aca="false">AQ146*(1-TaxRate)+AQ144</f>
        <v>0</v>
      </c>
      <c r="AR147" s="8" t="n">
        <f aca="false">AR146*(1-TaxRate)+AR144</f>
        <v>0</v>
      </c>
      <c r="AS147" s="8" t="n">
        <f aca="false">AS146*(1-TaxRate)+AS144</f>
        <v>0</v>
      </c>
    </row>
    <row r="148" customFormat="false" ht="15" hidden="false" customHeight="false" outlineLevel="0" collapsed="false">
      <c r="A148" s="6" t="s">
        <v>469</v>
      </c>
      <c r="B148" s="6" t="s">
        <v>470</v>
      </c>
      <c r="G148" s="8" t="n">
        <f aca="false">G145*(1-TaxRate)</f>
        <v>0</v>
      </c>
      <c r="H148" s="8" t="n">
        <f aca="false">H145*(1-TaxRate)</f>
        <v>0</v>
      </c>
      <c r="I148" s="8" t="n">
        <f aca="false">I145*(1-TaxRate)</f>
        <v>0</v>
      </c>
      <c r="J148" s="8" t="n">
        <f aca="false">J145*(1-TaxRate)</f>
        <v>0</v>
      </c>
      <c r="K148" s="8" t="n">
        <f aca="false">K145*(1-TaxRate)</f>
        <v>0</v>
      </c>
      <c r="L148" s="8" t="n">
        <f aca="false">L145*(1-TaxRate)</f>
        <v>0</v>
      </c>
      <c r="M148" s="8" t="n">
        <f aca="false">M145*(1-TaxRate)</f>
        <v>0</v>
      </c>
      <c r="N148" s="8" t="n">
        <f aca="false">N145*(1-TaxRate)</f>
        <v>0</v>
      </c>
      <c r="O148" s="8" t="n">
        <f aca="false">O145*(1-TaxRate)</f>
        <v>0</v>
      </c>
      <c r="P148" s="8" t="n">
        <f aca="false">P145*(1-TaxRate)</f>
        <v>0</v>
      </c>
      <c r="Q148" s="8" t="n">
        <f aca="false">Q145*(1-TaxRate)</f>
        <v>0</v>
      </c>
      <c r="R148" s="8" t="n">
        <f aca="false">R145*(1-TaxRate)</f>
        <v>0</v>
      </c>
      <c r="S148" s="8" t="n">
        <f aca="false">S145*(1-TaxRate)</f>
        <v>0</v>
      </c>
      <c r="T148" s="8" t="n">
        <f aca="false">T145*(1-TaxRate)</f>
        <v>0</v>
      </c>
      <c r="U148" s="8" t="n">
        <f aca="false">U145*(1-TaxRate)</f>
        <v>0</v>
      </c>
      <c r="V148" s="8" t="n">
        <f aca="false">V145*(1-TaxRate)</f>
        <v>0</v>
      </c>
      <c r="W148" s="8" t="n">
        <f aca="false">W145*(1-TaxRate)</f>
        <v>0</v>
      </c>
      <c r="X148" s="8" t="n">
        <f aca="false">X145*(1-TaxRate)</f>
        <v>0</v>
      </c>
      <c r="Y148" s="8" t="n">
        <f aca="false">Y145*(1-TaxRate)</f>
        <v>0</v>
      </c>
      <c r="Z148" s="8" t="n">
        <f aca="false">Z145*(1-TaxRate)</f>
        <v>0</v>
      </c>
      <c r="AA148" s="8" t="n">
        <f aca="false">AA145*(1-TaxRate)</f>
        <v>0</v>
      </c>
      <c r="AB148" s="8" t="n">
        <f aca="false">AB145*(1-TaxRate)</f>
        <v>0</v>
      </c>
      <c r="AC148" s="8" t="n">
        <f aca="false">AC145*(1-TaxRate)</f>
        <v>0</v>
      </c>
      <c r="AD148" s="8" t="n">
        <f aca="false">AD145*(1-TaxRate)</f>
        <v>0</v>
      </c>
      <c r="AE148" s="8" t="n">
        <f aca="false">AE145*(1-TaxRate)</f>
        <v>0</v>
      </c>
      <c r="AF148" s="8" t="n">
        <f aca="false">AF145*(1-TaxRate)</f>
        <v>0</v>
      </c>
      <c r="AG148" s="8" t="n">
        <f aca="false">AG145*(1-TaxRate)</f>
        <v>0</v>
      </c>
      <c r="AH148" s="8" t="n">
        <f aca="false">AH145*(1-TaxRate)</f>
        <v>0</v>
      </c>
      <c r="AI148" s="8" t="n">
        <f aca="false">AI145*(1-TaxRate)</f>
        <v>0</v>
      </c>
      <c r="AJ148" s="8" t="n">
        <f aca="false">AJ145*(1-TaxRate)</f>
        <v>0</v>
      </c>
      <c r="AK148" s="8" t="n">
        <f aca="false">AK145*(1-TaxRate)</f>
        <v>0</v>
      </c>
      <c r="AL148" s="8" t="n">
        <f aca="false">AL145*(1-TaxRate)</f>
        <v>0</v>
      </c>
      <c r="AM148" s="8" t="n">
        <f aca="false">AM145*(1-TaxRate)</f>
        <v>0</v>
      </c>
      <c r="AN148" s="8" t="n">
        <f aca="false">AN145*(1-TaxRate)</f>
        <v>0</v>
      </c>
      <c r="AO148" s="8" t="n">
        <f aca="false">AO145*(1-TaxRate)</f>
        <v>0</v>
      </c>
      <c r="AP148" s="8" t="n">
        <f aca="false">AP145*(1-TaxRate)</f>
        <v>0</v>
      </c>
      <c r="AQ148" s="8" t="n">
        <f aca="false">AQ145*(1-TaxRate)</f>
        <v>0</v>
      </c>
      <c r="AR148" s="8" t="n">
        <f aca="false">AR145*(1-TaxRate)</f>
        <v>0</v>
      </c>
      <c r="AS148" s="8" t="n">
        <f aca="false">AS145*(1-TaxRate)</f>
        <v>0</v>
      </c>
    </row>
    <row r="149" customFormat="false" ht="15" hidden="false" customHeight="false" outlineLevel="0" collapsed="false">
      <c r="A149" s="6" t="s">
        <v>471</v>
      </c>
      <c r="B149" s="6" t="s">
        <v>472</v>
      </c>
      <c r="G149" s="42" t="n">
        <f aca="false">(1+VST_Assets!$AE$5)^-(G$3+0.5-ValDate)</f>
        <v>0.934199026996437</v>
      </c>
      <c r="H149" s="42" t="n">
        <f aca="false">(1+VST_Assets!$AE$5)^-(H$3+0.5-ValDate)</f>
        <v>0.853149796343778</v>
      </c>
      <c r="I149" s="42" t="n">
        <f aca="false">(1+VST_Assets!$AE$5)^-(I$3+0.5-ValDate)</f>
        <v>0.779132234103907</v>
      </c>
      <c r="J149" s="42" t="n">
        <f aca="false">(1+VST_Assets!$AE$5)^-(J$3+0.5-ValDate)</f>
        <v>0.711536286852883</v>
      </c>
      <c r="K149" s="42" t="n">
        <f aca="false">(1+VST_Assets!$AE$5)^-(K$3+0.5-ValDate)</f>
        <v>0.649804828176149</v>
      </c>
      <c r="L149" s="42" t="n">
        <f aca="false">(1+VST_Assets!$AE$5)^-(L$3+0.5-ValDate)</f>
        <v>0.593429066827533</v>
      </c>
      <c r="M149" s="42" t="n">
        <f aca="false">(1+VST_Assets!$AE$5)^-(M$3+0.5-ValDate)</f>
        <v>0.541944353267154</v>
      </c>
      <c r="N149" s="42" t="n">
        <f aca="false">(1+VST_Assets!$AE$5)^-(N$3+0.5-ValDate)</f>
        <v>0.494926350015666</v>
      </c>
      <c r="O149" s="42" t="n">
        <f aca="false">(1+VST_Assets!$AE$5)^-(O$3+0.5-ValDate)</f>
        <v>0.451987534260882</v>
      </c>
      <c r="P149" s="42" t="n">
        <f aca="false">(1+VST_Assets!$AE$5)^-(P$3+0.5-ValDate)</f>
        <v>0.412774003891216</v>
      </c>
      <c r="Q149" s="42" t="n">
        <f aca="false">(1+VST_Assets!$AE$5)^-(Q$3+0.5-ValDate)</f>
        <v>0.376962560631248</v>
      </c>
      <c r="R149" s="42" t="n">
        <f aca="false">(1+VST_Assets!$AE$5)^-(R$3+0.5-ValDate)</f>
        <v>0.344258046238582</v>
      </c>
      <c r="S149" s="42" t="n">
        <f aca="false">(1+VST_Assets!$AE$5)^-(S$3+0.5-ValDate)</f>
        <v>0.314390909806925</v>
      </c>
      <c r="T149" s="42" t="n">
        <f aca="false">(1+VST_Assets!$AE$5)^-(T$3+0.5-ValDate)</f>
        <v>0.287114986125045</v>
      </c>
      <c r="U149" s="42" t="n">
        <f aca="false">(1+VST_Assets!$AE$5)^-(U$3+0.5-ValDate)</f>
        <v>0.262205466780863</v>
      </c>
      <c r="V149" s="42" t="n">
        <f aca="false">(1+VST_Assets!$AE$5)^-(V$3+0.5-ValDate)</f>
        <v>0.23945704728846</v>
      </c>
      <c r="W149" s="42" t="n">
        <f aca="false">(1+VST_Assets!$AE$5)^-(W$3+0.5-ValDate)</f>
        <v>0.21868223496663</v>
      </c>
      <c r="X149" s="42" t="n">
        <f aca="false">(1+VST_Assets!$AE$5)^-(X$3+0.5-ValDate)</f>
        <v>0.199709803622493</v>
      </c>
      <c r="Y149" s="42" t="n">
        <f aca="false">(1+VST_Assets!$AE$5)^-(Y$3+0.5-ValDate)</f>
        <v>0.182383382303647</v>
      </c>
      <c r="Z149" s="42" t="n">
        <f aca="false">(1+VST_Assets!$AE$5)^-(Z$3+0.5-ValDate)</f>
        <v>0.166560166487348</v>
      </c>
      <c r="AA149" s="42" t="n">
        <f aca="false">(1+VST_Assets!$AE$5)^-(AA$3+0.5-ValDate)</f>
        <v>0.152109741084336</v>
      </c>
      <c r="AB149" s="42" t="n">
        <f aca="false">(1+VST_Assets!$AE$5)^-(AB$3+0.5-ValDate)</f>
        <v>0.138913005556472</v>
      </c>
      <c r="AC149" s="42" t="n">
        <f aca="false">(1+VST_Assets!$AE$5)^-(AC$3+0.5-ValDate)</f>
        <v>0.126861192289015</v>
      </c>
      <c r="AD149" s="42" t="n">
        <f aca="false">(1+VST_Assets!$AE$5)^-(AD$3+0.5-ValDate)</f>
        <v>0.115854970126955</v>
      </c>
      <c r="AE149" s="42" t="n">
        <f aca="false">(1+VST_Assets!$AE$5)^-(AE$3+0.5-ValDate)</f>
        <v>0.105803625686716</v>
      </c>
      <c r="AF149" s="42" t="n">
        <f aca="false">(1+VST_Assets!$AE$5)^-(AF$3+0.5-ValDate)</f>
        <v>0.0966243156956315</v>
      </c>
      <c r="AG149" s="42" t="n">
        <f aca="false">(1+VST_Assets!$AE$5)^-(AG$3+0.5-ValDate)</f>
        <v>0.0882413841969238</v>
      </c>
      <c r="AH149" s="42" t="n">
        <f aca="false">(1+VST_Assets!$AE$5)^-(AH$3+0.5-ValDate)</f>
        <v>0.0805857389926244</v>
      </c>
      <c r="AI149" s="42" t="n">
        <f aca="false">(1+VST_Assets!$AE$5)^-(AI$3+0.5-ValDate)</f>
        <v>0.0735942821850451</v>
      </c>
      <c r="AJ149" s="42" t="n">
        <f aca="false">(1+VST_Assets!$AE$5)^-(AJ$3+0.5-ValDate)</f>
        <v>0.0672093901233289</v>
      </c>
      <c r="AK149" s="42" t="n">
        <f aca="false">(1+VST_Assets!$AE$5)^-(AK$3+0.5-ValDate)</f>
        <v>0.0613784384687935</v>
      </c>
      <c r="AL149" s="42" t="n">
        <f aca="false">(1+VST_Assets!$AE$5)^-(AL$3+0.5-ValDate)</f>
        <v>0.0560533684646516</v>
      </c>
      <c r="AM149" s="42" t="n">
        <f aca="false">(1+VST_Assets!$AE$5)^-(AM$3+0.5-ValDate)</f>
        <v>0.0511902908352983</v>
      </c>
      <c r="AN149" s="42" t="n">
        <f aca="false">(1+VST_Assets!$AE$5)^-(AN$3+0.5-ValDate)</f>
        <v>0.0467491240505007</v>
      </c>
      <c r="AO149" s="42" t="n">
        <f aca="false">(1+VST_Assets!$AE$5)^-(AO$3+0.5-ValDate)</f>
        <v>0.04269326397306</v>
      </c>
      <c r="AP149" s="42" t="n">
        <f aca="false">(1+VST_Assets!$AE$5)^-(AP$3+0.5-ValDate)</f>
        <v>0.0389892821671781</v>
      </c>
      <c r="AQ149" s="42" t="n">
        <f aca="false">(1+VST_Assets!$AE$5)^-(AQ$3+0.5-ValDate)</f>
        <v>0.0356066503809846</v>
      </c>
      <c r="AR149" s="42" t="n">
        <f aca="false">(1+VST_Assets!$AE$5)^-(AR$3+0.5-ValDate)</f>
        <v>0.032517488932406</v>
      </c>
      <c r="AS149" s="42" t="n">
        <f aca="false">(1+VST_Assets!$AE$5)^-(AS$3+0.5-ValDate)</f>
        <v>0.0296963369245717</v>
      </c>
    </row>
    <row r="150" customFormat="false" ht="15" hidden="false" customHeight="false" outlineLevel="0" collapsed="false">
      <c r="A150" s="6" t="s">
        <v>473</v>
      </c>
      <c r="B150" s="6" t="s">
        <v>474</v>
      </c>
      <c r="G150" s="42" t="n">
        <f aca="false">(1+VST_Assets!$AF$5)^-(G$3+0.5-ValDate)</f>
        <v>0.934199026996437</v>
      </c>
      <c r="H150" s="42" t="n">
        <f aca="false">(1+VST_Assets!$AF$5)^-(H$3+0.5-ValDate)</f>
        <v>0.853149796343778</v>
      </c>
      <c r="I150" s="42" t="n">
        <f aca="false">(1+VST_Assets!$AF$5)^-(I$3+0.5-ValDate)</f>
        <v>0.779132234103907</v>
      </c>
      <c r="J150" s="42" t="n">
        <f aca="false">(1+VST_Assets!$AF$5)^-(J$3+0.5-ValDate)</f>
        <v>0.711536286852883</v>
      </c>
      <c r="K150" s="42" t="n">
        <f aca="false">(1+VST_Assets!$AF$5)^-(K$3+0.5-ValDate)</f>
        <v>0.649804828176149</v>
      </c>
      <c r="L150" s="42" t="n">
        <f aca="false">(1+VST_Assets!$AF$5)^-(L$3+0.5-ValDate)</f>
        <v>0.593429066827533</v>
      </c>
      <c r="M150" s="42" t="n">
        <f aca="false">(1+VST_Assets!$AF$5)^-(M$3+0.5-ValDate)</f>
        <v>0.541944353267154</v>
      </c>
      <c r="N150" s="42" t="n">
        <f aca="false">(1+VST_Assets!$AF$5)^-(N$3+0.5-ValDate)</f>
        <v>0.494926350015666</v>
      </c>
      <c r="O150" s="42" t="n">
        <f aca="false">(1+VST_Assets!$AF$5)^-(O$3+0.5-ValDate)</f>
        <v>0.451987534260882</v>
      </c>
      <c r="P150" s="42" t="n">
        <f aca="false">(1+VST_Assets!$AF$5)^-(P$3+0.5-ValDate)</f>
        <v>0.412774003891216</v>
      </c>
      <c r="Q150" s="42" t="n">
        <f aca="false">(1+VST_Assets!$AF$5)^-(Q$3+0.5-ValDate)</f>
        <v>0.376962560631248</v>
      </c>
      <c r="R150" s="42" t="n">
        <f aca="false">(1+VST_Assets!$AF$5)^-(R$3+0.5-ValDate)</f>
        <v>0.344258046238582</v>
      </c>
      <c r="S150" s="42" t="n">
        <f aca="false">(1+VST_Assets!$AF$5)^-(S$3+0.5-ValDate)</f>
        <v>0.314390909806925</v>
      </c>
      <c r="T150" s="42" t="n">
        <f aca="false">(1+VST_Assets!$AF$5)^-(T$3+0.5-ValDate)</f>
        <v>0.287114986125045</v>
      </c>
      <c r="U150" s="42" t="n">
        <f aca="false">(1+VST_Assets!$AF$5)^-(U$3+0.5-ValDate)</f>
        <v>0.262205466780863</v>
      </c>
      <c r="V150" s="42" t="n">
        <f aca="false">(1+VST_Assets!$AF$5)^-(V$3+0.5-ValDate)</f>
        <v>0.23945704728846</v>
      </c>
      <c r="W150" s="42" t="n">
        <f aca="false">(1+VST_Assets!$AF$5)^-(W$3+0.5-ValDate)</f>
        <v>0.21868223496663</v>
      </c>
      <c r="X150" s="42" t="n">
        <f aca="false">(1+VST_Assets!$AF$5)^-(X$3+0.5-ValDate)</f>
        <v>0.199709803622493</v>
      </c>
      <c r="Y150" s="42" t="n">
        <f aca="false">(1+VST_Assets!$AF$5)^-(Y$3+0.5-ValDate)</f>
        <v>0.182383382303647</v>
      </c>
      <c r="Z150" s="42" t="n">
        <f aca="false">(1+VST_Assets!$AF$5)^-(Z$3+0.5-ValDate)</f>
        <v>0.166560166487348</v>
      </c>
      <c r="AA150" s="42" t="n">
        <f aca="false">(1+VST_Assets!$AF$5)^-(AA$3+0.5-ValDate)</f>
        <v>0.152109741084336</v>
      </c>
      <c r="AB150" s="42" t="n">
        <f aca="false">(1+VST_Assets!$AF$5)^-(AB$3+0.5-ValDate)</f>
        <v>0.138913005556472</v>
      </c>
      <c r="AC150" s="42" t="n">
        <f aca="false">(1+VST_Assets!$AF$5)^-(AC$3+0.5-ValDate)</f>
        <v>0.126861192289015</v>
      </c>
      <c r="AD150" s="42" t="n">
        <f aca="false">(1+VST_Assets!$AF$5)^-(AD$3+0.5-ValDate)</f>
        <v>0.115854970126955</v>
      </c>
      <c r="AE150" s="42" t="n">
        <f aca="false">(1+VST_Assets!$AF$5)^-(AE$3+0.5-ValDate)</f>
        <v>0.105803625686716</v>
      </c>
      <c r="AF150" s="42" t="n">
        <f aca="false">(1+VST_Assets!$AF$5)^-(AF$3+0.5-ValDate)</f>
        <v>0.0966243156956315</v>
      </c>
      <c r="AG150" s="42" t="n">
        <f aca="false">(1+VST_Assets!$AF$5)^-(AG$3+0.5-ValDate)</f>
        <v>0.0882413841969238</v>
      </c>
      <c r="AH150" s="42" t="n">
        <f aca="false">(1+VST_Assets!$AF$5)^-(AH$3+0.5-ValDate)</f>
        <v>0.0805857389926244</v>
      </c>
      <c r="AI150" s="42" t="n">
        <f aca="false">(1+VST_Assets!$AF$5)^-(AI$3+0.5-ValDate)</f>
        <v>0.0735942821850451</v>
      </c>
      <c r="AJ150" s="42" t="n">
        <f aca="false">(1+VST_Assets!$AF$5)^-(AJ$3+0.5-ValDate)</f>
        <v>0.0672093901233289</v>
      </c>
      <c r="AK150" s="42" t="n">
        <f aca="false">(1+VST_Assets!$AF$5)^-(AK$3+0.5-ValDate)</f>
        <v>0.0613784384687935</v>
      </c>
      <c r="AL150" s="42" t="n">
        <f aca="false">(1+VST_Assets!$AF$5)^-(AL$3+0.5-ValDate)</f>
        <v>0.0560533684646516</v>
      </c>
      <c r="AM150" s="42" t="n">
        <f aca="false">(1+VST_Assets!$AF$5)^-(AM$3+0.5-ValDate)</f>
        <v>0.0511902908352983</v>
      </c>
      <c r="AN150" s="42" t="n">
        <f aca="false">(1+VST_Assets!$AF$5)^-(AN$3+0.5-ValDate)</f>
        <v>0.0467491240505007</v>
      </c>
      <c r="AO150" s="42" t="n">
        <f aca="false">(1+VST_Assets!$AF$5)^-(AO$3+0.5-ValDate)</f>
        <v>0.04269326397306</v>
      </c>
      <c r="AP150" s="42" t="n">
        <f aca="false">(1+VST_Assets!$AF$5)^-(AP$3+0.5-ValDate)</f>
        <v>0.0389892821671781</v>
      </c>
      <c r="AQ150" s="42" t="n">
        <f aca="false">(1+VST_Assets!$AF$5)^-(AQ$3+0.5-ValDate)</f>
        <v>0.0356066503809846</v>
      </c>
      <c r="AR150" s="42" t="n">
        <f aca="false">(1+VST_Assets!$AF$5)^-(AR$3+0.5-ValDate)</f>
        <v>0.032517488932406</v>
      </c>
      <c r="AS150" s="42" t="n">
        <f aca="false">(1+VST_Assets!$AF$5)^-(AS$3+0.5-ValDate)</f>
        <v>0.0296963369245717</v>
      </c>
    </row>
    <row r="151" customFormat="false" ht="15" hidden="false" customHeight="false" outlineLevel="0" collapsed="false">
      <c r="A151" s="6" t="s">
        <v>475</v>
      </c>
      <c r="B151" s="6" t="s">
        <v>476</v>
      </c>
      <c r="C151" s="43" t="n">
        <f aca="false">SUM(G151:AS151)</f>
        <v>6522.3064434811</v>
      </c>
      <c r="D151" s="8" t="n">
        <f aca="false">SUMIF($G$3:$AS$3,"&lt;="&amp;Horizon,G151:AS151)</f>
        <v>2113.81021169528</v>
      </c>
      <c r="E151" s="8" t="n">
        <f aca="false">(C151-D151)*(1+VST_Assets!$AE$5)^(Horizon+1-ValDate)</f>
        <v>6483.36512299785</v>
      </c>
      <c r="G151" s="8" t="n">
        <f aca="false">G147*G149</f>
        <v>553.192547636881</v>
      </c>
      <c r="H151" s="8" t="n">
        <f aca="false">H147*H149</f>
        <v>553.539936440226</v>
      </c>
      <c r="I151" s="8" t="n">
        <f aca="false">I147*I149</f>
        <v>512.202907530783</v>
      </c>
      <c r="J151" s="8" t="n">
        <f aca="false">J147*J149</f>
        <v>494.874820087393</v>
      </c>
      <c r="K151" s="8" t="n">
        <f aca="false">K147*K149</f>
        <v>460.979284464969</v>
      </c>
      <c r="L151" s="8" t="n">
        <f aca="false">L147*L149</f>
        <v>429.405360871478</v>
      </c>
      <c r="M151" s="8" t="n">
        <f aca="false">M147*M149</f>
        <v>399.994034784391</v>
      </c>
      <c r="N151" s="8" t="n">
        <f aca="false">N147*N149</f>
        <v>372.59718308683</v>
      </c>
      <c r="O151" s="8" t="n">
        <f aca="false">O147*O149</f>
        <v>347.076828080882</v>
      </c>
      <c r="P151" s="8" t="n">
        <f aca="false">P147*P149</f>
        <v>323.30444259589</v>
      </c>
      <c r="Q151" s="8" t="n">
        <f aca="false">Q147*Q149</f>
        <v>301.160302692063</v>
      </c>
      <c r="R151" s="8" t="n">
        <f aca="false">R147*R149</f>
        <v>280.532884699455</v>
      </c>
      <c r="S151" s="8" t="n">
        <f aca="false">S147*S149</f>
        <v>261.318303555657</v>
      </c>
      <c r="T151" s="8" t="n">
        <f aca="false">T147*T149</f>
        <v>243.419789613489</v>
      </c>
      <c r="U151" s="8" t="n">
        <f aca="false">U147*U149</f>
        <v>226.747201283798</v>
      </c>
      <c r="V151" s="8" t="n">
        <f aca="false">V147*V149</f>
        <v>211.21657105888</v>
      </c>
      <c r="W151" s="8" t="n">
        <f aca="false">W147*W149</f>
        <v>196.74968263019</v>
      </c>
      <c r="X151" s="8" t="n">
        <f aca="false">X147*X149</f>
        <v>183.273676970588</v>
      </c>
      <c r="Y151" s="8" t="n">
        <f aca="false">Y147*Y149</f>
        <v>170.72068539726</v>
      </c>
      <c r="Z151" s="8" t="n">
        <f aca="false">Z147*Z149</f>
        <v>0</v>
      </c>
      <c r="AA151" s="8" t="n">
        <f aca="false">AA147*AA149</f>
        <v>0</v>
      </c>
      <c r="AB151" s="8" t="n">
        <f aca="false">AB147*AB149</f>
        <v>0</v>
      </c>
      <c r="AC151" s="8" t="n">
        <f aca="false">AC147*AC149</f>
        <v>0</v>
      </c>
      <c r="AD151" s="8" t="n">
        <f aca="false">AD147*AD149</f>
        <v>0</v>
      </c>
      <c r="AE151" s="8" t="n">
        <f aca="false">AE147*AE149</f>
        <v>0</v>
      </c>
      <c r="AF151" s="8" t="n">
        <f aca="false">AF147*AF149</f>
        <v>0</v>
      </c>
      <c r="AG151" s="8" t="n">
        <f aca="false">AG147*AG149</f>
        <v>0</v>
      </c>
      <c r="AH151" s="8" t="n">
        <f aca="false">AH147*AH149</f>
        <v>0</v>
      </c>
      <c r="AI151" s="8" t="n">
        <f aca="false">AI147*AI149</f>
        <v>0</v>
      </c>
      <c r="AJ151" s="8" t="n">
        <f aca="false">AJ147*AJ149</f>
        <v>0</v>
      </c>
      <c r="AK151" s="8" t="n">
        <f aca="false">AK147*AK149</f>
        <v>0</v>
      </c>
      <c r="AL151" s="8" t="n">
        <f aca="false">AL147*AL149</f>
        <v>0</v>
      </c>
      <c r="AM151" s="8" t="n">
        <f aca="false">AM147*AM149</f>
        <v>0</v>
      </c>
      <c r="AN151" s="8" t="n">
        <f aca="false">AN147*AN149</f>
        <v>0</v>
      </c>
      <c r="AO151" s="8" t="n">
        <f aca="false">AO147*AO149</f>
        <v>0</v>
      </c>
      <c r="AP151" s="8" t="n">
        <f aca="false">AP147*AP149</f>
        <v>0</v>
      </c>
      <c r="AQ151" s="8" t="n">
        <f aca="false">AQ147*AQ149</f>
        <v>0</v>
      </c>
      <c r="AR151" s="8" t="n">
        <f aca="false">AR147*AR149</f>
        <v>0</v>
      </c>
      <c r="AS151" s="8" t="n">
        <f aca="false">AS147*AS149</f>
        <v>0</v>
      </c>
    </row>
    <row r="152" customFormat="false" ht="15" hidden="false" customHeight="false" outlineLevel="0" collapsed="false">
      <c r="A152" s="6" t="s">
        <v>477</v>
      </c>
      <c r="B152" s="6" t="s">
        <v>478</v>
      </c>
      <c r="C152" s="43" t="n">
        <f aca="false">SUM(G152:AS152)</f>
        <v>0</v>
      </c>
      <c r="D152" s="8" t="n">
        <f aca="false">SUMIF($G$3:$AS$3,"&lt;="&amp;Horizon,G152:AS152)</f>
        <v>0</v>
      </c>
      <c r="E152" s="8" t="n">
        <f aca="false">(C152-D152)*(1+VST_Assets!$AF$5)^(Horizon+1-ValDate)</f>
        <v>0</v>
      </c>
      <c r="G152" s="8" t="n">
        <f aca="false">G148*G150</f>
        <v>0</v>
      </c>
      <c r="H152" s="8" t="n">
        <f aca="false">H148*H150</f>
        <v>0</v>
      </c>
      <c r="I152" s="8" t="n">
        <f aca="false">I148*I150</f>
        <v>0</v>
      </c>
      <c r="J152" s="8" t="n">
        <f aca="false">J148*J150</f>
        <v>0</v>
      </c>
      <c r="K152" s="8" t="n">
        <f aca="false">K148*K150</f>
        <v>0</v>
      </c>
      <c r="L152" s="8" t="n">
        <f aca="false">L148*L150</f>
        <v>0</v>
      </c>
      <c r="M152" s="8" t="n">
        <f aca="false">M148*M150</f>
        <v>0</v>
      </c>
      <c r="N152" s="8" t="n">
        <f aca="false">N148*N150</f>
        <v>0</v>
      </c>
      <c r="O152" s="8" t="n">
        <f aca="false">O148*O150</f>
        <v>0</v>
      </c>
      <c r="P152" s="8" t="n">
        <f aca="false">P148*P150</f>
        <v>0</v>
      </c>
      <c r="Q152" s="8" t="n">
        <f aca="false">Q148*Q150</f>
        <v>0</v>
      </c>
      <c r="R152" s="8" t="n">
        <f aca="false">R148*R150</f>
        <v>0</v>
      </c>
      <c r="S152" s="8" t="n">
        <f aca="false">S148*S150</f>
        <v>0</v>
      </c>
      <c r="T152" s="8" t="n">
        <f aca="false">T148*T150</f>
        <v>0</v>
      </c>
      <c r="U152" s="8" t="n">
        <f aca="false">U148*U150</f>
        <v>0</v>
      </c>
      <c r="V152" s="8" t="n">
        <f aca="false">V148*V150</f>
        <v>0</v>
      </c>
      <c r="W152" s="8" t="n">
        <f aca="false">W148*W150</f>
        <v>0</v>
      </c>
      <c r="X152" s="8" t="n">
        <f aca="false">X148*X150</f>
        <v>0</v>
      </c>
      <c r="Y152" s="8" t="n">
        <f aca="false">Y148*Y150</f>
        <v>0</v>
      </c>
      <c r="Z152" s="8" t="n">
        <f aca="false">Z148*Z150</f>
        <v>0</v>
      </c>
      <c r="AA152" s="8" t="n">
        <f aca="false">AA148*AA150</f>
        <v>0</v>
      </c>
      <c r="AB152" s="8" t="n">
        <f aca="false">AB148*AB150</f>
        <v>0</v>
      </c>
      <c r="AC152" s="8" t="n">
        <f aca="false">AC148*AC150</f>
        <v>0</v>
      </c>
      <c r="AD152" s="8" t="n">
        <f aca="false">AD148*AD150</f>
        <v>0</v>
      </c>
      <c r="AE152" s="8" t="n">
        <f aca="false">AE148*AE150</f>
        <v>0</v>
      </c>
      <c r="AF152" s="8" t="n">
        <f aca="false">AF148*AF150</f>
        <v>0</v>
      </c>
      <c r="AG152" s="8" t="n">
        <f aca="false">AG148*AG150</f>
        <v>0</v>
      </c>
      <c r="AH152" s="8" t="n">
        <f aca="false">AH148*AH150</f>
        <v>0</v>
      </c>
      <c r="AI152" s="8" t="n">
        <f aca="false">AI148*AI150</f>
        <v>0</v>
      </c>
      <c r="AJ152" s="8" t="n">
        <f aca="false">AJ148*AJ150</f>
        <v>0</v>
      </c>
      <c r="AK152" s="8" t="n">
        <f aca="false">AK148*AK150</f>
        <v>0</v>
      </c>
      <c r="AL152" s="8" t="n">
        <f aca="false">AL148*AL150</f>
        <v>0</v>
      </c>
      <c r="AM152" s="8" t="n">
        <f aca="false">AM148*AM150</f>
        <v>0</v>
      </c>
      <c r="AN152" s="8" t="n">
        <f aca="false">AN148*AN150</f>
        <v>0</v>
      </c>
      <c r="AO152" s="8" t="n">
        <f aca="false">AO148*AO150</f>
        <v>0</v>
      </c>
      <c r="AP152" s="8" t="n">
        <f aca="false">AP148*AP150</f>
        <v>0</v>
      </c>
      <c r="AQ152" s="8" t="n">
        <f aca="false">AQ148*AQ150</f>
        <v>0</v>
      </c>
      <c r="AR152" s="8" t="n">
        <f aca="false">AR148*AR150</f>
        <v>0</v>
      </c>
      <c r="AS152" s="8" t="n">
        <f aca="false">AS148*AS150</f>
        <v>0</v>
      </c>
    </row>
    <row r="153" customFormat="false" ht="15" hidden="false" customHeight="false" outlineLevel="0" collapsed="false">
      <c r="A153" s="6" t="s">
        <v>479</v>
      </c>
      <c r="B153" s="6" t="s">
        <v>480</v>
      </c>
      <c r="C153" s="43" t="n">
        <f aca="false">IF(VST_Assets!$H$5="$/kW",VST_Assets!$D$5*VST_Assets!$AI$5*(1+0.4*(PJMWLR/PJMWLRBase-1))/1000,0)</f>
        <v>0</v>
      </c>
      <c r="E153" s="8" t="n">
        <f aca="false">C153</f>
        <v>0</v>
      </c>
      <c r="G153" s="8" t="n">
        <f aca="false">0</f>
        <v>0</v>
      </c>
      <c r="H153" s="8" t="n">
        <f aca="false">0</f>
        <v>0</v>
      </c>
      <c r="I153" s="8" t="n">
        <f aca="false">0</f>
        <v>0</v>
      </c>
      <c r="J153" s="8" t="n">
        <f aca="false">0</f>
        <v>0</v>
      </c>
      <c r="K153" s="8" t="n">
        <f aca="false">0</f>
        <v>0</v>
      </c>
      <c r="L153" s="8" t="n">
        <f aca="false">0</f>
        <v>0</v>
      </c>
      <c r="M153" s="8" t="n">
        <f aca="false">0</f>
        <v>0</v>
      </c>
      <c r="N153" s="8" t="n">
        <f aca="false">0</f>
        <v>0</v>
      </c>
      <c r="O153" s="8" t="n">
        <f aca="false">0</f>
        <v>0</v>
      </c>
      <c r="P153" s="8" t="n">
        <f aca="false">0</f>
        <v>0</v>
      </c>
      <c r="Q153" s="8" t="n">
        <f aca="false">0</f>
        <v>0</v>
      </c>
      <c r="R153" s="8" t="n">
        <f aca="false">0</f>
        <v>0</v>
      </c>
      <c r="S153" s="8" t="n">
        <f aca="false">0</f>
        <v>0</v>
      </c>
      <c r="T153" s="8" t="n">
        <f aca="false">0</f>
        <v>0</v>
      </c>
      <c r="U153" s="8" t="n">
        <f aca="false">0</f>
        <v>0</v>
      </c>
      <c r="V153" s="8" t="n">
        <f aca="false">0</f>
        <v>0</v>
      </c>
      <c r="W153" s="8" t="n">
        <f aca="false">0</f>
        <v>0</v>
      </c>
      <c r="X153" s="8" t="n">
        <f aca="false">0</f>
        <v>0</v>
      </c>
      <c r="Y153" s="8" t="n">
        <f aca="false">0</f>
        <v>0</v>
      </c>
      <c r="Z153" s="8" t="n">
        <f aca="false">0</f>
        <v>0</v>
      </c>
      <c r="AA153" s="8" t="n">
        <f aca="false">0</f>
        <v>0</v>
      </c>
      <c r="AB153" s="8" t="n">
        <f aca="false">0</f>
        <v>0</v>
      </c>
      <c r="AC153" s="8" t="n">
        <f aca="false">0</f>
        <v>0</v>
      </c>
      <c r="AD153" s="8" t="n">
        <f aca="false">0</f>
        <v>0</v>
      </c>
      <c r="AE153" s="8" t="n">
        <f aca="false">0</f>
        <v>0</v>
      </c>
      <c r="AF153" s="8" t="n">
        <f aca="false">0</f>
        <v>0</v>
      </c>
      <c r="AG153" s="8" t="n">
        <f aca="false">0</f>
        <v>0</v>
      </c>
      <c r="AH153" s="8" t="n">
        <f aca="false">0</f>
        <v>0</v>
      </c>
      <c r="AI153" s="8" t="n">
        <f aca="false">0</f>
        <v>0</v>
      </c>
      <c r="AJ153" s="8" t="n">
        <f aca="false">0</f>
        <v>0</v>
      </c>
      <c r="AK153" s="8" t="n">
        <f aca="false">0</f>
        <v>0</v>
      </c>
      <c r="AL153" s="8" t="n">
        <f aca="false">0</f>
        <v>0</v>
      </c>
      <c r="AM153" s="8" t="n">
        <f aca="false">0</f>
        <v>0</v>
      </c>
      <c r="AN153" s="8" t="n">
        <f aca="false">0</f>
        <v>0</v>
      </c>
      <c r="AO153" s="8" t="n">
        <f aca="false">0</f>
        <v>0</v>
      </c>
      <c r="AP153" s="8" t="n">
        <f aca="false">0</f>
        <v>0</v>
      </c>
      <c r="AQ153" s="8" t="n">
        <f aca="false">0</f>
        <v>0</v>
      </c>
      <c r="AR153" s="8" t="n">
        <f aca="false">0</f>
        <v>0</v>
      </c>
      <c r="AS153" s="8" t="n">
        <f aca="false">0</f>
        <v>0</v>
      </c>
    </row>
    <row r="155" customFormat="false" ht="15" hidden="false" customHeight="false" outlineLevel="0" collapsed="false">
      <c r="A155" s="54" t="str">
        <f aca="false">VST_Assets!$A$6</f>
        <v>Gas - ERCOT peakers</v>
      </c>
    </row>
    <row r="156" customFormat="false" ht="15" hidden="false" customHeight="false" outlineLevel="0" collapsed="false">
      <c r="A156" s="6" t="s">
        <v>425</v>
      </c>
      <c r="B156" s="6" t="s">
        <v>426</v>
      </c>
      <c r="G156" s="47" t="n">
        <f aca="false">IF(AND(G$3&gt;=VST_Assets!$E$6,G$3&lt;=VST_Assets!$F$6,VST_Assets!$H$6="Cashflow"),1,0)</f>
        <v>1</v>
      </c>
      <c r="H156" s="47" t="n">
        <f aca="false">IF(AND(H$3&gt;=VST_Assets!$E$6,H$3&lt;=VST_Assets!$F$6,VST_Assets!$H$6="Cashflow"),1,0)</f>
        <v>1</v>
      </c>
      <c r="I156" s="47" t="n">
        <f aca="false">IF(AND(I$3&gt;=VST_Assets!$E$6,I$3&lt;=VST_Assets!$F$6,VST_Assets!$H$6="Cashflow"),1,0)</f>
        <v>1</v>
      </c>
      <c r="J156" s="47" t="n">
        <f aca="false">IF(AND(J$3&gt;=VST_Assets!$E$6,J$3&lt;=VST_Assets!$F$6,VST_Assets!$H$6="Cashflow"),1,0)</f>
        <v>1</v>
      </c>
      <c r="K156" s="47" t="n">
        <f aca="false">IF(AND(K$3&gt;=VST_Assets!$E$6,K$3&lt;=VST_Assets!$F$6,VST_Assets!$H$6="Cashflow"),1,0)</f>
        <v>1</v>
      </c>
      <c r="L156" s="47" t="n">
        <f aca="false">IF(AND(L$3&gt;=VST_Assets!$E$6,L$3&lt;=VST_Assets!$F$6,VST_Assets!$H$6="Cashflow"),1,0)</f>
        <v>1</v>
      </c>
      <c r="M156" s="47" t="n">
        <f aca="false">IF(AND(M$3&gt;=VST_Assets!$E$6,M$3&lt;=VST_Assets!$F$6,VST_Assets!$H$6="Cashflow"),1,0)</f>
        <v>1</v>
      </c>
      <c r="N156" s="47" t="n">
        <f aca="false">IF(AND(N$3&gt;=VST_Assets!$E$6,N$3&lt;=VST_Assets!$F$6,VST_Assets!$H$6="Cashflow"),1,0)</f>
        <v>1</v>
      </c>
      <c r="O156" s="47" t="n">
        <f aca="false">IF(AND(O$3&gt;=VST_Assets!$E$6,O$3&lt;=VST_Assets!$F$6,VST_Assets!$H$6="Cashflow"),1,0)</f>
        <v>1</v>
      </c>
      <c r="P156" s="47" t="n">
        <f aca="false">IF(AND(P$3&gt;=VST_Assets!$E$6,P$3&lt;=VST_Assets!$F$6,VST_Assets!$H$6="Cashflow"),1,0)</f>
        <v>1</v>
      </c>
      <c r="Q156" s="47" t="n">
        <f aca="false">IF(AND(Q$3&gt;=VST_Assets!$E$6,Q$3&lt;=VST_Assets!$F$6,VST_Assets!$H$6="Cashflow"),1,0)</f>
        <v>1</v>
      </c>
      <c r="R156" s="47" t="n">
        <f aca="false">IF(AND(R$3&gt;=VST_Assets!$E$6,R$3&lt;=VST_Assets!$F$6,VST_Assets!$H$6="Cashflow"),1,0)</f>
        <v>1</v>
      </c>
      <c r="S156" s="47" t="n">
        <f aca="false">IF(AND(S$3&gt;=VST_Assets!$E$6,S$3&lt;=VST_Assets!$F$6,VST_Assets!$H$6="Cashflow"),1,0)</f>
        <v>1</v>
      </c>
      <c r="T156" s="47" t="n">
        <f aca="false">IF(AND(T$3&gt;=VST_Assets!$E$6,T$3&lt;=VST_Assets!$F$6,VST_Assets!$H$6="Cashflow"),1,0)</f>
        <v>1</v>
      </c>
      <c r="U156" s="47" t="n">
        <f aca="false">IF(AND(U$3&gt;=VST_Assets!$E$6,U$3&lt;=VST_Assets!$F$6,VST_Assets!$H$6="Cashflow"),1,0)</f>
        <v>0</v>
      </c>
      <c r="V156" s="47" t="n">
        <f aca="false">IF(AND(V$3&gt;=VST_Assets!$E$6,V$3&lt;=VST_Assets!$F$6,VST_Assets!$H$6="Cashflow"),1,0)</f>
        <v>0</v>
      </c>
      <c r="W156" s="47" t="n">
        <f aca="false">IF(AND(W$3&gt;=VST_Assets!$E$6,W$3&lt;=VST_Assets!$F$6,VST_Assets!$H$6="Cashflow"),1,0)</f>
        <v>0</v>
      </c>
      <c r="X156" s="47" t="n">
        <f aca="false">IF(AND(X$3&gt;=VST_Assets!$E$6,X$3&lt;=VST_Assets!$F$6,VST_Assets!$H$6="Cashflow"),1,0)</f>
        <v>0</v>
      </c>
      <c r="Y156" s="47" t="n">
        <f aca="false">IF(AND(Y$3&gt;=VST_Assets!$E$6,Y$3&lt;=VST_Assets!$F$6,VST_Assets!$H$6="Cashflow"),1,0)</f>
        <v>0</v>
      </c>
      <c r="Z156" s="47" t="n">
        <f aca="false">IF(AND(Z$3&gt;=VST_Assets!$E$6,Z$3&lt;=VST_Assets!$F$6,VST_Assets!$H$6="Cashflow"),1,0)</f>
        <v>0</v>
      </c>
      <c r="AA156" s="47" t="n">
        <f aca="false">IF(AND(AA$3&gt;=VST_Assets!$E$6,AA$3&lt;=VST_Assets!$F$6,VST_Assets!$H$6="Cashflow"),1,0)</f>
        <v>0</v>
      </c>
      <c r="AB156" s="47" t="n">
        <f aca="false">IF(AND(AB$3&gt;=VST_Assets!$E$6,AB$3&lt;=VST_Assets!$F$6,VST_Assets!$H$6="Cashflow"),1,0)</f>
        <v>0</v>
      </c>
      <c r="AC156" s="47" t="n">
        <f aca="false">IF(AND(AC$3&gt;=VST_Assets!$E$6,AC$3&lt;=VST_Assets!$F$6,VST_Assets!$H$6="Cashflow"),1,0)</f>
        <v>0</v>
      </c>
      <c r="AD156" s="47" t="n">
        <f aca="false">IF(AND(AD$3&gt;=VST_Assets!$E$6,AD$3&lt;=VST_Assets!$F$6,VST_Assets!$H$6="Cashflow"),1,0)</f>
        <v>0</v>
      </c>
      <c r="AE156" s="47" t="n">
        <f aca="false">IF(AND(AE$3&gt;=VST_Assets!$E$6,AE$3&lt;=VST_Assets!$F$6,VST_Assets!$H$6="Cashflow"),1,0)</f>
        <v>0</v>
      </c>
      <c r="AF156" s="47" t="n">
        <f aca="false">IF(AND(AF$3&gt;=VST_Assets!$E$6,AF$3&lt;=VST_Assets!$F$6,VST_Assets!$H$6="Cashflow"),1,0)</f>
        <v>0</v>
      </c>
      <c r="AG156" s="47" t="n">
        <f aca="false">IF(AND(AG$3&gt;=VST_Assets!$E$6,AG$3&lt;=VST_Assets!$F$6,VST_Assets!$H$6="Cashflow"),1,0)</f>
        <v>0</v>
      </c>
      <c r="AH156" s="47" t="n">
        <f aca="false">IF(AND(AH$3&gt;=VST_Assets!$E$6,AH$3&lt;=VST_Assets!$F$6,VST_Assets!$H$6="Cashflow"),1,0)</f>
        <v>0</v>
      </c>
      <c r="AI156" s="47" t="n">
        <f aca="false">IF(AND(AI$3&gt;=VST_Assets!$E$6,AI$3&lt;=VST_Assets!$F$6,VST_Assets!$H$6="Cashflow"),1,0)</f>
        <v>0</v>
      </c>
      <c r="AJ156" s="47" t="n">
        <f aca="false">IF(AND(AJ$3&gt;=VST_Assets!$E$6,AJ$3&lt;=VST_Assets!$F$6,VST_Assets!$H$6="Cashflow"),1,0)</f>
        <v>0</v>
      </c>
      <c r="AK156" s="47" t="n">
        <f aca="false">IF(AND(AK$3&gt;=VST_Assets!$E$6,AK$3&lt;=VST_Assets!$F$6,VST_Assets!$H$6="Cashflow"),1,0)</f>
        <v>0</v>
      </c>
      <c r="AL156" s="47" t="n">
        <f aca="false">IF(AND(AL$3&gt;=VST_Assets!$E$6,AL$3&lt;=VST_Assets!$F$6,VST_Assets!$H$6="Cashflow"),1,0)</f>
        <v>0</v>
      </c>
      <c r="AM156" s="47" t="n">
        <f aca="false">IF(AND(AM$3&gt;=VST_Assets!$E$6,AM$3&lt;=VST_Assets!$F$6,VST_Assets!$H$6="Cashflow"),1,0)</f>
        <v>0</v>
      </c>
      <c r="AN156" s="47" t="n">
        <f aca="false">IF(AND(AN$3&gt;=VST_Assets!$E$6,AN$3&lt;=VST_Assets!$F$6,VST_Assets!$H$6="Cashflow"),1,0)</f>
        <v>0</v>
      </c>
      <c r="AO156" s="47" t="n">
        <f aca="false">IF(AND(AO$3&gt;=VST_Assets!$E$6,AO$3&lt;=VST_Assets!$F$6,VST_Assets!$H$6="Cashflow"),1,0)</f>
        <v>0</v>
      </c>
      <c r="AP156" s="47" t="n">
        <f aca="false">IF(AND(AP$3&gt;=VST_Assets!$E$6,AP$3&lt;=VST_Assets!$F$6,VST_Assets!$H$6="Cashflow"),1,0)</f>
        <v>0</v>
      </c>
      <c r="AQ156" s="47" t="n">
        <f aca="false">IF(AND(AQ$3&gt;=VST_Assets!$E$6,AQ$3&lt;=VST_Assets!$F$6,VST_Assets!$H$6="Cashflow"),1,0)</f>
        <v>0</v>
      </c>
      <c r="AR156" s="47" t="n">
        <f aca="false">IF(AND(AR$3&gt;=VST_Assets!$E$6,AR$3&lt;=VST_Assets!$F$6,VST_Assets!$H$6="Cashflow"),1,0)</f>
        <v>0</v>
      </c>
      <c r="AS156" s="47" t="n">
        <f aca="false">IF(AND(AS$3&gt;=VST_Assets!$E$6,AS$3&lt;=VST_Assets!$F$6,VST_Assets!$H$6="Cashflow"),1,0)</f>
        <v>0</v>
      </c>
    </row>
    <row r="157" customFormat="false" ht="15" hidden="false" customHeight="false" outlineLevel="0" collapsed="false">
      <c r="A157" s="6" t="s">
        <v>427</v>
      </c>
      <c r="B157" s="6" t="s">
        <v>428</v>
      </c>
      <c r="G157" s="9" t="n">
        <f aca="false">IF(AND(G$3&gt;=VST_Assets!$AA$6,G$3&lt;=VST_Assets!$AB$6),MIN(VST_Assets!$D$6,VST_Assets!$Z$6*MIN(1,(G$3-VST_Assets!$AA$6+1)/MAX(1,VST_Assets!$AC$6))),0)*G156</f>
        <v>0</v>
      </c>
      <c r="H157" s="9" t="n">
        <f aca="false">IF(AND(H$3&gt;=VST_Assets!$AA$6,H$3&lt;=VST_Assets!$AB$6),MIN(VST_Assets!$D$6,VST_Assets!$Z$6*MIN(1,(H$3-VST_Assets!$AA$6+1)/MAX(1,VST_Assets!$AC$6))),0)*H156</f>
        <v>0</v>
      </c>
      <c r="I157" s="9" t="n">
        <f aca="false">IF(AND(I$3&gt;=VST_Assets!$AA$6,I$3&lt;=VST_Assets!$AB$6),MIN(VST_Assets!$D$6,VST_Assets!$Z$6*MIN(1,(I$3-VST_Assets!$AA$6+1)/MAX(1,VST_Assets!$AC$6))),0)*I156</f>
        <v>0</v>
      </c>
      <c r="J157" s="9" t="n">
        <f aca="false">IF(AND(J$3&gt;=VST_Assets!$AA$6,J$3&lt;=VST_Assets!$AB$6),MIN(VST_Assets!$D$6,VST_Assets!$Z$6*MIN(1,(J$3-VST_Assets!$AA$6+1)/MAX(1,VST_Assets!$AC$6))),0)*J156</f>
        <v>0</v>
      </c>
      <c r="K157" s="9" t="n">
        <f aca="false">IF(AND(K$3&gt;=VST_Assets!$AA$6,K$3&lt;=VST_Assets!$AB$6),MIN(VST_Assets!$D$6,VST_Assets!$Z$6*MIN(1,(K$3-VST_Assets!$AA$6+1)/MAX(1,VST_Assets!$AC$6))),0)*K156</f>
        <v>0</v>
      </c>
      <c r="L157" s="9" t="n">
        <f aca="false">IF(AND(L$3&gt;=VST_Assets!$AA$6,L$3&lt;=VST_Assets!$AB$6),MIN(VST_Assets!$D$6,VST_Assets!$Z$6*MIN(1,(L$3-VST_Assets!$AA$6+1)/MAX(1,VST_Assets!$AC$6))),0)*L156</f>
        <v>0</v>
      </c>
      <c r="M157" s="9" t="n">
        <f aca="false">IF(AND(M$3&gt;=VST_Assets!$AA$6,M$3&lt;=VST_Assets!$AB$6),MIN(VST_Assets!$D$6,VST_Assets!$Z$6*MIN(1,(M$3-VST_Assets!$AA$6+1)/MAX(1,VST_Assets!$AC$6))),0)*M156</f>
        <v>0</v>
      </c>
      <c r="N157" s="9" t="n">
        <f aca="false">IF(AND(N$3&gt;=VST_Assets!$AA$6,N$3&lt;=VST_Assets!$AB$6),MIN(VST_Assets!$D$6,VST_Assets!$Z$6*MIN(1,(N$3-VST_Assets!$AA$6+1)/MAX(1,VST_Assets!$AC$6))),0)*N156</f>
        <v>0</v>
      </c>
      <c r="O157" s="9" t="n">
        <f aca="false">IF(AND(O$3&gt;=VST_Assets!$AA$6,O$3&lt;=VST_Assets!$AB$6),MIN(VST_Assets!$D$6,VST_Assets!$Z$6*MIN(1,(O$3-VST_Assets!$AA$6+1)/MAX(1,VST_Assets!$AC$6))),0)*O156</f>
        <v>0</v>
      </c>
      <c r="P157" s="9" t="n">
        <f aca="false">IF(AND(P$3&gt;=VST_Assets!$AA$6,P$3&lt;=VST_Assets!$AB$6),MIN(VST_Assets!$D$6,VST_Assets!$Z$6*MIN(1,(P$3-VST_Assets!$AA$6+1)/MAX(1,VST_Assets!$AC$6))),0)*P156</f>
        <v>0</v>
      </c>
      <c r="Q157" s="9" t="n">
        <f aca="false">IF(AND(Q$3&gt;=VST_Assets!$AA$6,Q$3&lt;=VST_Assets!$AB$6),MIN(VST_Assets!$D$6,VST_Assets!$Z$6*MIN(1,(Q$3-VST_Assets!$AA$6+1)/MAX(1,VST_Assets!$AC$6))),0)*Q156</f>
        <v>0</v>
      </c>
      <c r="R157" s="9" t="n">
        <f aca="false">IF(AND(R$3&gt;=VST_Assets!$AA$6,R$3&lt;=VST_Assets!$AB$6),MIN(VST_Assets!$D$6,VST_Assets!$Z$6*MIN(1,(R$3-VST_Assets!$AA$6+1)/MAX(1,VST_Assets!$AC$6))),0)*R156</f>
        <v>0</v>
      </c>
      <c r="S157" s="9" t="n">
        <f aca="false">IF(AND(S$3&gt;=VST_Assets!$AA$6,S$3&lt;=VST_Assets!$AB$6),MIN(VST_Assets!$D$6,VST_Assets!$Z$6*MIN(1,(S$3-VST_Assets!$AA$6+1)/MAX(1,VST_Assets!$AC$6))),0)*S156</f>
        <v>0</v>
      </c>
      <c r="T157" s="9" t="n">
        <f aca="false">IF(AND(T$3&gt;=VST_Assets!$AA$6,T$3&lt;=VST_Assets!$AB$6),MIN(VST_Assets!$D$6,VST_Assets!$Z$6*MIN(1,(T$3-VST_Assets!$AA$6+1)/MAX(1,VST_Assets!$AC$6))),0)*T156</f>
        <v>0</v>
      </c>
      <c r="U157" s="9" t="n">
        <f aca="false">IF(AND(U$3&gt;=VST_Assets!$AA$6,U$3&lt;=VST_Assets!$AB$6),MIN(VST_Assets!$D$6,VST_Assets!$Z$6*MIN(1,(U$3-VST_Assets!$AA$6+1)/MAX(1,VST_Assets!$AC$6))),0)*U156</f>
        <v>0</v>
      </c>
      <c r="V157" s="9" t="n">
        <f aca="false">IF(AND(V$3&gt;=VST_Assets!$AA$6,V$3&lt;=VST_Assets!$AB$6),MIN(VST_Assets!$D$6,VST_Assets!$Z$6*MIN(1,(V$3-VST_Assets!$AA$6+1)/MAX(1,VST_Assets!$AC$6))),0)*V156</f>
        <v>0</v>
      </c>
      <c r="W157" s="9" t="n">
        <f aca="false">IF(AND(W$3&gt;=VST_Assets!$AA$6,W$3&lt;=VST_Assets!$AB$6),MIN(VST_Assets!$D$6,VST_Assets!$Z$6*MIN(1,(W$3-VST_Assets!$AA$6+1)/MAX(1,VST_Assets!$AC$6))),0)*W156</f>
        <v>0</v>
      </c>
      <c r="X157" s="9" t="n">
        <f aca="false">IF(AND(X$3&gt;=VST_Assets!$AA$6,X$3&lt;=VST_Assets!$AB$6),MIN(VST_Assets!$D$6,VST_Assets!$Z$6*MIN(1,(X$3-VST_Assets!$AA$6+1)/MAX(1,VST_Assets!$AC$6))),0)*X156</f>
        <v>0</v>
      </c>
      <c r="Y157" s="9" t="n">
        <f aca="false">IF(AND(Y$3&gt;=VST_Assets!$AA$6,Y$3&lt;=VST_Assets!$AB$6),MIN(VST_Assets!$D$6,VST_Assets!$Z$6*MIN(1,(Y$3-VST_Assets!$AA$6+1)/MAX(1,VST_Assets!$AC$6))),0)*Y156</f>
        <v>0</v>
      </c>
      <c r="Z157" s="9" t="n">
        <f aca="false">IF(AND(Z$3&gt;=VST_Assets!$AA$6,Z$3&lt;=VST_Assets!$AB$6),MIN(VST_Assets!$D$6,VST_Assets!$Z$6*MIN(1,(Z$3-VST_Assets!$AA$6+1)/MAX(1,VST_Assets!$AC$6))),0)*Z156</f>
        <v>0</v>
      </c>
      <c r="AA157" s="9" t="n">
        <f aca="false">IF(AND(AA$3&gt;=VST_Assets!$AA$6,AA$3&lt;=VST_Assets!$AB$6),MIN(VST_Assets!$D$6,VST_Assets!$Z$6*MIN(1,(AA$3-VST_Assets!$AA$6+1)/MAX(1,VST_Assets!$AC$6))),0)*AA156</f>
        <v>0</v>
      </c>
      <c r="AB157" s="9" t="n">
        <f aca="false">IF(AND(AB$3&gt;=VST_Assets!$AA$6,AB$3&lt;=VST_Assets!$AB$6),MIN(VST_Assets!$D$6,VST_Assets!$Z$6*MIN(1,(AB$3-VST_Assets!$AA$6+1)/MAX(1,VST_Assets!$AC$6))),0)*AB156</f>
        <v>0</v>
      </c>
      <c r="AC157" s="9" t="n">
        <f aca="false">IF(AND(AC$3&gt;=VST_Assets!$AA$6,AC$3&lt;=VST_Assets!$AB$6),MIN(VST_Assets!$D$6,VST_Assets!$Z$6*MIN(1,(AC$3-VST_Assets!$AA$6+1)/MAX(1,VST_Assets!$AC$6))),0)*AC156</f>
        <v>0</v>
      </c>
      <c r="AD157" s="9" t="n">
        <f aca="false">IF(AND(AD$3&gt;=VST_Assets!$AA$6,AD$3&lt;=VST_Assets!$AB$6),MIN(VST_Assets!$D$6,VST_Assets!$Z$6*MIN(1,(AD$3-VST_Assets!$AA$6+1)/MAX(1,VST_Assets!$AC$6))),0)*AD156</f>
        <v>0</v>
      </c>
      <c r="AE157" s="9" t="n">
        <f aca="false">IF(AND(AE$3&gt;=VST_Assets!$AA$6,AE$3&lt;=VST_Assets!$AB$6),MIN(VST_Assets!$D$6,VST_Assets!$Z$6*MIN(1,(AE$3-VST_Assets!$AA$6+1)/MAX(1,VST_Assets!$AC$6))),0)*AE156</f>
        <v>0</v>
      </c>
      <c r="AF157" s="9" t="n">
        <f aca="false">IF(AND(AF$3&gt;=VST_Assets!$AA$6,AF$3&lt;=VST_Assets!$AB$6),MIN(VST_Assets!$D$6,VST_Assets!$Z$6*MIN(1,(AF$3-VST_Assets!$AA$6+1)/MAX(1,VST_Assets!$AC$6))),0)*AF156</f>
        <v>0</v>
      </c>
      <c r="AG157" s="9" t="n">
        <f aca="false">IF(AND(AG$3&gt;=VST_Assets!$AA$6,AG$3&lt;=VST_Assets!$AB$6),MIN(VST_Assets!$D$6,VST_Assets!$Z$6*MIN(1,(AG$3-VST_Assets!$AA$6+1)/MAX(1,VST_Assets!$AC$6))),0)*AG156</f>
        <v>0</v>
      </c>
      <c r="AH157" s="9" t="n">
        <f aca="false">IF(AND(AH$3&gt;=VST_Assets!$AA$6,AH$3&lt;=VST_Assets!$AB$6),MIN(VST_Assets!$D$6,VST_Assets!$Z$6*MIN(1,(AH$3-VST_Assets!$AA$6+1)/MAX(1,VST_Assets!$AC$6))),0)*AH156</f>
        <v>0</v>
      </c>
      <c r="AI157" s="9" t="n">
        <f aca="false">IF(AND(AI$3&gt;=VST_Assets!$AA$6,AI$3&lt;=VST_Assets!$AB$6),MIN(VST_Assets!$D$6,VST_Assets!$Z$6*MIN(1,(AI$3-VST_Assets!$AA$6+1)/MAX(1,VST_Assets!$AC$6))),0)*AI156</f>
        <v>0</v>
      </c>
      <c r="AJ157" s="9" t="n">
        <f aca="false">IF(AND(AJ$3&gt;=VST_Assets!$AA$6,AJ$3&lt;=VST_Assets!$AB$6),MIN(VST_Assets!$D$6,VST_Assets!$Z$6*MIN(1,(AJ$3-VST_Assets!$AA$6+1)/MAX(1,VST_Assets!$AC$6))),0)*AJ156</f>
        <v>0</v>
      </c>
      <c r="AK157" s="9" t="n">
        <f aca="false">IF(AND(AK$3&gt;=VST_Assets!$AA$6,AK$3&lt;=VST_Assets!$AB$6),MIN(VST_Assets!$D$6,VST_Assets!$Z$6*MIN(1,(AK$3-VST_Assets!$AA$6+1)/MAX(1,VST_Assets!$AC$6))),0)*AK156</f>
        <v>0</v>
      </c>
      <c r="AL157" s="9" t="n">
        <f aca="false">IF(AND(AL$3&gt;=VST_Assets!$AA$6,AL$3&lt;=VST_Assets!$AB$6),MIN(VST_Assets!$D$6,VST_Assets!$Z$6*MIN(1,(AL$3-VST_Assets!$AA$6+1)/MAX(1,VST_Assets!$AC$6))),0)*AL156</f>
        <v>0</v>
      </c>
      <c r="AM157" s="9" t="n">
        <f aca="false">IF(AND(AM$3&gt;=VST_Assets!$AA$6,AM$3&lt;=VST_Assets!$AB$6),MIN(VST_Assets!$D$6,VST_Assets!$Z$6*MIN(1,(AM$3-VST_Assets!$AA$6+1)/MAX(1,VST_Assets!$AC$6))),0)*AM156</f>
        <v>0</v>
      </c>
      <c r="AN157" s="9" t="n">
        <f aca="false">IF(AND(AN$3&gt;=VST_Assets!$AA$6,AN$3&lt;=VST_Assets!$AB$6),MIN(VST_Assets!$D$6,VST_Assets!$Z$6*MIN(1,(AN$3-VST_Assets!$AA$6+1)/MAX(1,VST_Assets!$AC$6))),0)*AN156</f>
        <v>0</v>
      </c>
      <c r="AO157" s="9" t="n">
        <f aca="false">IF(AND(AO$3&gt;=VST_Assets!$AA$6,AO$3&lt;=VST_Assets!$AB$6),MIN(VST_Assets!$D$6,VST_Assets!$Z$6*MIN(1,(AO$3-VST_Assets!$AA$6+1)/MAX(1,VST_Assets!$AC$6))),0)*AO156</f>
        <v>0</v>
      </c>
      <c r="AP157" s="9" t="n">
        <f aca="false">IF(AND(AP$3&gt;=VST_Assets!$AA$6,AP$3&lt;=VST_Assets!$AB$6),MIN(VST_Assets!$D$6,VST_Assets!$Z$6*MIN(1,(AP$3-VST_Assets!$AA$6+1)/MAX(1,VST_Assets!$AC$6))),0)*AP156</f>
        <v>0</v>
      </c>
      <c r="AQ157" s="9" t="n">
        <f aca="false">IF(AND(AQ$3&gt;=VST_Assets!$AA$6,AQ$3&lt;=VST_Assets!$AB$6),MIN(VST_Assets!$D$6,VST_Assets!$Z$6*MIN(1,(AQ$3-VST_Assets!$AA$6+1)/MAX(1,VST_Assets!$AC$6))),0)*AQ156</f>
        <v>0</v>
      </c>
      <c r="AR157" s="9" t="n">
        <f aca="false">IF(AND(AR$3&gt;=VST_Assets!$AA$6,AR$3&lt;=VST_Assets!$AB$6),MIN(VST_Assets!$D$6,VST_Assets!$Z$6*MIN(1,(AR$3-VST_Assets!$AA$6+1)/MAX(1,VST_Assets!$AC$6))),0)*AR156</f>
        <v>0</v>
      </c>
      <c r="AS157" s="9" t="n">
        <f aca="false">IF(AND(AS$3&gt;=VST_Assets!$AA$6,AS$3&lt;=VST_Assets!$AB$6),MIN(VST_Assets!$D$6,VST_Assets!$Z$6*MIN(1,(AS$3-VST_Assets!$AA$6+1)/MAX(1,VST_Assets!$AC$6))),0)*AS156</f>
        <v>0</v>
      </c>
    </row>
    <row r="158" customFormat="false" ht="15" hidden="false" customHeight="false" outlineLevel="0" collapsed="false">
      <c r="A158" s="6" t="s">
        <v>429</v>
      </c>
      <c r="B158" s="6" t="s">
        <v>430</v>
      </c>
      <c r="G158" s="9" t="n">
        <f aca="false">(VST_Assets!$D$6-G157)*8760*VST_Assets!$I$6*G156</f>
        <v>1208880</v>
      </c>
      <c r="H158" s="9" t="n">
        <f aca="false">(VST_Assets!$D$6-H157)*8760*VST_Assets!$I$6*H156</f>
        <v>1208880</v>
      </c>
      <c r="I158" s="9" t="n">
        <f aca="false">(VST_Assets!$D$6-I157)*8760*VST_Assets!$I$6*I156</f>
        <v>1208880</v>
      </c>
      <c r="J158" s="9" t="n">
        <f aca="false">(VST_Assets!$D$6-J157)*8760*VST_Assets!$I$6*J156</f>
        <v>1208880</v>
      </c>
      <c r="K158" s="9" t="n">
        <f aca="false">(VST_Assets!$D$6-K157)*8760*VST_Assets!$I$6*K156</f>
        <v>1208880</v>
      </c>
      <c r="L158" s="9" t="n">
        <f aca="false">(VST_Assets!$D$6-L157)*8760*VST_Assets!$I$6*L156</f>
        <v>1208880</v>
      </c>
      <c r="M158" s="9" t="n">
        <f aca="false">(VST_Assets!$D$6-M157)*8760*VST_Assets!$I$6*M156</f>
        <v>1208880</v>
      </c>
      <c r="N158" s="9" t="n">
        <f aca="false">(VST_Assets!$D$6-N157)*8760*VST_Assets!$I$6*N156</f>
        <v>1208880</v>
      </c>
      <c r="O158" s="9" t="n">
        <f aca="false">(VST_Assets!$D$6-O157)*8760*VST_Assets!$I$6*O156</f>
        <v>1208880</v>
      </c>
      <c r="P158" s="9" t="n">
        <f aca="false">(VST_Assets!$D$6-P157)*8760*VST_Assets!$I$6*P156</f>
        <v>1208880</v>
      </c>
      <c r="Q158" s="9" t="n">
        <f aca="false">(VST_Assets!$D$6-Q157)*8760*VST_Assets!$I$6*Q156</f>
        <v>1208880</v>
      </c>
      <c r="R158" s="9" t="n">
        <f aca="false">(VST_Assets!$D$6-R157)*8760*VST_Assets!$I$6*R156</f>
        <v>1208880</v>
      </c>
      <c r="S158" s="9" t="n">
        <f aca="false">(VST_Assets!$D$6-S157)*8760*VST_Assets!$I$6*S156</f>
        <v>1208880</v>
      </c>
      <c r="T158" s="9" t="n">
        <f aca="false">(VST_Assets!$D$6-T157)*8760*VST_Assets!$I$6*T156</f>
        <v>1208880</v>
      </c>
      <c r="U158" s="9" t="n">
        <f aca="false">(VST_Assets!$D$6-U157)*8760*VST_Assets!$I$6*U156</f>
        <v>0</v>
      </c>
      <c r="V158" s="9" t="n">
        <f aca="false">(VST_Assets!$D$6-V157)*8760*VST_Assets!$I$6*V156</f>
        <v>0</v>
      </c>
      <c r="W158" s="9" t="n">
        <f aca="false">(VST_Assets!$D$6-W157)*8760*VST_Assets!$I$6*W156</f>
        <v>0</v>
      </c>
      <c r="X158" s="9" t="n">
        <f aca="false">(VST_Assets!$D$6-X157)*8760*VST_Assets!$I$6*X156</f>
        <v>0</v>
      </c>
      <c r="Y158" s="9" t="n">
        <f aca="false">(VST_Assets!$D$6-Y157)*8760*VST_Assets!$I$6*Y156</f>
        <v>0</v>
      </c>
      <c r="Z158" s="9" t="n">
        <f aca="false">(VST_Assets!$D$6-Z157)*8760*VST_Assets!$I$6*Z156</f>
        <v>0</v>
      </c>
      <c r="AA158" s="9" t="n">
        <f aca="false">(VST_Assets!$D$6-AA157)*8760*VST_Assets!$I$6*AA156</f>
        <v>0</v>
      </c>
      <c r="AB158" s="9" t="n">
        <f aca="false">(VST_Assets!$D$6-AB157)*8760*VST_Assets!$I$6*AB156</f>
        <v>0</v>
      </c>
      <c r="AC158" s="9" t="n">
        <f aca="false">(VST_Assets!$D$6-AC157)*8760*VST_Assets!$I$6*AC156</f>
        <v>0</v>
      </c>
      <c r="AD158" s="9" t="n">
        <f aca="false">(VST_Assets!$D$6-AD157)*8760*VST_Assets!$I$6*AD156</f>
        <v>0</v>
      </c>
      <c r="AE158" s="9" t="n">
        <f aca="false">(VST_Assets!$D$6-AE157)*8760*VST_Assets!$I$6*AE156</f>
        <v>0</v>
      </c>
      <c r="AF158" s="9" t="n">
        <f aca="false">(VST_Assets!$D$6-AF157)*8760*VST_Assets!$I$6*AF156</f>
        <v>0</v>
      </c>
      <c r="AG158" s="9" t="n">
        <f aca="false">(VST_Assets!$D$6-AG157)*8760*VST_Assets!$I$6*AG156</f>
        <v>0</v>
      </c>
      <c r="AH158" s="9" t="n">
        <f aca="false">(VST_Assets!$D$6-AH157)*8760*VST_Assets!$I$6*AH156</f>
        <v>0</v>
      </c>
      <c r="AI158" s="9" t="n">
        <f aca="false">(VST_Assets!$D$6-AI157)*8760*VST_Assets!$I$6*AI156</f>
        <v>0</v>
      </c>
      <c r="AJ158" s="9" t="n">
        <f aca="false">(VST_Assets!$D$6-AJ157)*8760*VST_Assets!$I$6*AJ156</f>
        <v>0</v>
      </c>
      <c r="AK158" s="9" t="n">
        <f aca="false">(VST_Assets!$D$6-AK157)*8760*VST_Assets!$I$6*AK156</f>
        <v>0</v>
      </c>
      <c r="AL158" s="9" t="n">
        <f aca="false">(VST_Assets!$D$6-AL157)*8760*VST_Assets!$I$6*AL156</f>
        <v>0</v>
      </c>
      <c r="AM158" s="9" t="n">
        <f aca="false">(VST_Assets!$D$6-AM157)*8760*VST_Assets!$I$6*AM156</f>
        <v>0</v>
      </c>
      <c r="AN158" s="9" t="n">
        <f aca="false">(VST_Assets!$D$6-AN157)*8760*VST_Assets!$I$6*AN156</f>
        <v>0</v>
      </c>
      <c r="AO158" s="9" t="n">
        <f aca="false">(VST_Assets!$D$6-AO157)*8760*VST_Assets!$I$6*AO156</f>
        <v>0</v>
      </c>
      <c r="AP158" s="9" t="n">
        <f aca="false">(VST_Assets!$D$6-AP157)*8760*VST_Assets!$I$6*AP156</f>
        <v>0</v>
      </c>
      <c r="AQ158" s="9" t="n">
        <f aca="false">(VST_Assets!$D$6-AQ157)*8760*VST_Assets!$I$6*AQ156</f>
        <v>0</v>
      </c>
      <c r="AR158" s="9" t="n">
        <f aca="false">(VST_Assets!$D$6-AR157)*8760*VST_Assets!$I$6*AR156</f>
        <v>0</v>
      </c>
      <c r="AS158" s="9" t="n">
        <f aca="false">(VST_Assets!$D$6-AS157)*8760*VST_Assets!$I$6*AS156</f>
        <v>0</v>
      </c>
    </row>
    <row r="159" customFormat="false" ht="15" hidden="false" customHeight="false" outlineLevel="0" collapsed="false">
      <c r="A159" s="6" t="s">
        <v>431</v>
      </c>
      <c r="B159" s="6" t="s">
        <v>432</v>
      </c>
      <c r="G159" s="9" t="n">
        <f aca="false">G157*8760*VST_Assets!$I$6*G156</f>
        <v>0</v>
      </c>
      <c r="H159" s="9" t="n">
        <f aca="false">H157*8760*VST_Assets!$I$6*H156</f>
        <v>0</v>
      </c>
      <c r="I159" s="9" t="n">
        <f aca="false">I157*8760*VST_Assets!$I$6*I156</f>
        <v>0</v>
      </c>
      <c r="J159" s="9" t="n">
        <f aca="false">J157*8760*VST_Assets!$I$6*J156</f>
        <v>0</v>
      </c>
      <c r="K159" s="9" t="n">
        <f aca="false">K157*8760*VST_Assets!$I$6*K156</f>
        <v>0</v>
      </c>
      <c r="L159" s="9" t="n">
        <f aca="false">L157*8760*VST_Assets!$I$6*L156</f>
        <v>0</v>
      </c>
      <c r="M159" s="9" t="n">
        <f aca="false">M157*8760*VST_Assets!$I$6*M156</f>
        <v>0</v>
      </c>
      <c r="N159" s="9" t="n">
        <f aca="false">N157*8760*VST_Assets!$I$6*N156</f>
        <v>0</v>
      </c>
      <c r="O159" s="9" t="n">
        <f aca="false">O157*8760*VST_Assets!$I$6*O156</f>
        <v>0</v>
      </c>
      <c r="P159" s="9" t="n">
        <f aca="false">P157*8760*VST_Assets!$I$6*P156</f>
        <v>0</v>
      </c>
      <c r="Q159" s="9" t="n">
        <f aca="false">Q157*8760*VST_Assets!$I$6*Q156</f>
        <v>0</v>
      </c>
      <c r="R159" s="9" t="n">
        <f aca="false">R157*8760*VST_Assets!$I$6*R156</f>
        <v>0</v>
      </c>
      <c r="S159" s="9" t="n">
        <f aca="false">S157*8760*VST_Assets!$I$6*S156</f>
        <v>0</v>
      </c>
      <c r="T159" s="9" t="n">
        <f aca="false">T157*8760*VST_Assets!$I$6*T156</f>
        <v>0</v>
      </c>
      <c r="U159" s="9" t="n">
        <f aca="false">U157*8760*VST_Assets!$I$6*U156</f>
        <v>0</v>
      </c>
      <c r="V159" s="9" t="n">
        <f aca="false">V157*8760*VST_Assets!$I$6*V156</f>
        <v>0</v>
      </c>
      <c r="W159" s="9" t="n">
        <f aca="false">W157*8760*VST_Assets!$I$6*W156</f>
        <v>0</v>
      </c>
      <c r="X159" s="9" t="n">
        <f aca="false">X157*8760*VST_Assets!$I$6*X156</f>
        <v>0</v>
      </c>
      <c r="Y159" s="9" t="n">
        <f aca="false">Y157*8760*VST_Assets!$I$6*Y156</f>
        <v>0</v>
      </c>
      <c r="Z159" s="9" t="n">
        <f aca="false">Z157*8760*VST_Assets!$I$6*Z156</f>
        <v>0</v>
      </c>
      <c r="AA159" s="9" t="n">
        <f aca="false">AA157*8760*VST_Assets!$I$6*AA156</f>
        <v>0</v>
      </c>
      <c r="AB159" s="9" t="n">
        <f aca="false">AB157*8760*VST_Assets!$I$6*AB156</f>
        <v>0</v>
      </c>
      <c r="AC159" s="9" t="n">
        <f aca="false">AC157*8760*VST_Assets!$I$6*AC156</f>
        <v>0</v>
      </c>
      <c r="AD159" s="9" t="n">
        <f aca="false">AD157*8760*VST_Assets!$I$6*AD156</f>
        <v>0</v>
      </c>
      <c r="AE159" s="9" t="n">
        <f aca="false">AE157*8760*VST_Assets!$I$6*AE156</f>
        <v>0</v>
      </c>
      <c r="AF159" s="9" t="n">
        <f aca="false">AF157*8760*VST_Assets!$I$6*AF156</f>
        <v>0</v>
      </c>
      <c r="AG159" s="9" t="n">
        <f aca="false">AG157*8760*VST_Assets!$I$6*AG156</f>
        <v>0</v>
      </c>
      <c r="AH159" s="9" t="n">
        <f aca="false">AH157*8760*VST_Assets!$I$6*AH156</f>
        <v>0</v>
      </c>
      <c r="AI159" s="9" t="n">
        <f aca="false">AI157*8760*VST_Assets!$I$6*AI156</f>
        <v>0</v>
      </c>
      <c r="AJ159" s="9" t="n">
        <f aca="false">AJ157*8760*VST_Assets!$I$6*AJ156</f>
        <v>0</v>
      </c>
      <c r="AK159" s="9" t="n">
        <f aca="false">AK157*8760*VST_Assets!$I$6*AK156</f>
        <v>0</v>
      </c>
      <c r="AL159" s="9" t="n">
        <f aca="false">AL157*8760*VST_Assets!$I$6*AL156</f>
        <v>0</v>
      </c>
      <c r="AM159" s="9" t="n">
        <f aca="false">AM157*8760*VST_Assets!$I$6*AM156</f>
        <v>0</v>
      </c>
      <c r="AN159" s="9" t="n">
        <f aca="false">AN157*8760*VST_Assets!$I$6*AN156</f>
        <v>0</v>
      </c>
      <c r="AO159" s="9" t="n">
        <f aca="false">AO157*8760*VST_Assets!$I$6*AO156</f>
        <v>0</v>
      </c>
      <c r="AP159" s="9" t="n">
        <f aca="false">AP157*8760*VST_Assets!$I$6*AP156</f>
        <v>0</v>
      </c>
      <c r="AQ159" s="9" t="n">
        <f aca="false">AQ157*8760*VST_Assets!$I$6*AQ156</f>
        <v>0</v>
      </c>
      <c r="AR159" s="9" t="n">
        <f aca="false">AR157*8760*VST_Assets!$I$6*AR156</f>
        <v>0</v>
      </c>
      <c r="AS159" s="9" t="n">
        <f aca="false">AS157*8760*VST_Assets!$I$6*AS156</f>
        <v>0</v>
      </c>
    </row>
    <row r="160" customFormat="false" ht="15" hidden="false" customHeight="false" outlineLevel="0" collapsed="false">
      <c r="A160" s="6" t="s">
        <v>433</v>
      </c>
      <c r="B160" s="6" t="s">
        <v>434</v>
      </c>
      <c r="G160" s="7" t="n">
        <f aca="false">IF(ISNUMBER(VST_Assets!$L$6),VST_Assets!$L$6*G$4,INDEX(Prices!G:G,VST_Assets!$AO$6)+FuelAdder*G$4)</f>
        <v>4.131</v>
      </c>
      <c r="H160" s="7" t="n">
        <f aca="false">IF(ISNUMBER(VST_Assets!$L$6),VST_Assets!$L$6*H$4,INDEX(Prices!H:H,VST_Assets!$AO$6)+FuelAdder*H$4)</f>
        <v>4.21362</v>
      </c>
      <c r="I160" s="7" t="n">
        <f aca="false">IF(ISNUMBER(VST_Assets!$L$6),VST_Assets!$L$6*I$4,INDEX(Prices!I:I,VST_Assets!$AO$6)+FuelAdder*I$4)</f>
        <v>4.4040132</v>
      </c>
      <c r="J160" s="7" t="n">
        <f aca="false">IF(ISNUMBER(VST_Assets!$L$6),VST_Assets!$L$6*J$4,INDEX(Prices!J:J,VST_Assets!$AO$6)+FuelAdder*J$4)</f>
        <v>4.492093464</v>
      </c>
      <c r="K160" s="7" t="n">
        <f aca="false">IF(ISNUMBER(VST_Assets!$L$6),VST_Assets!$L$6*K$4,INDEX(Prices!K:K,VST_Assets!$AO$6)+FuelAdder*K$4)</f>
        <v>4.58193533328</v>
      </c>
      <c r="L160" s="7" t="n">
        <f aca="false">IF(ISNUMBER(VST_Assets!$L$6),VST_Assets!$L$6*L$4,INDEX(Prices!L:L,VST_Assets!$AO$6)+FuelAdder*L$4)</f>
        <v>4.6735740399456</v>
      </c>
      <c r="M160" s="7" t="n">
        <f aca="false">IF(ISNUMBER(VST_Assets!$L$6),VST_Assets!$L$6*M$4,INDEX(Prices!M:M,VST_Assets!$AO$6)+FuelAdder*M$4)</f>
        <v>4.76704552074451</v>
      </c>
      <c r="N160" s="7" t="n">
        <f aca="false">IF(ISNUMBER(VST_Assets!$L$6),VST_Assets!$L$6*N$4,INDEX(Prices!N:N,VST_Assets!$AO$6)+FuelAdder*N$4)</f>
        <v>4.8623864311594</v>
      </c>
      <c r="O160" s="7" t="n">
        <f aca="false">IF(ISNUMBER(VST_Assets!$L$6),VST_Assets!$L$6*O$4,INDEX(Prices!O:O,VST_Assets!$AO$6)+FuelAdder*O$4)</f>
        <v>4.95963415978259</v>
      </c>
      <c r="P160" s="7" t="n">
        <f aca="false">IF(ISNUMBER(VST_Assets!$L$6),VST_Assets!$L$6*P$4,INDEX(Prices!P:P,VST_Assets!$AO$6)+FuelAdder*P$4)</f>
        <v>5.05882684297824</v>
      </c>
      <c r="Q160" s="7" t="n">
        <f aca="false">IF(ISNUMBER(VST_Assets!$L$6),VST_Assets!$L$6*Q$4,INDEX(Prices!Q:Q,VST_Assets!$AO$6)+FuelAdder*Q$4)</f>
        <v>5.16000337983781</v>
      </c>
      <c r="R160" s="7" t="n">
        <f aca="false">IF(ISNUMBER(VST_Assets!$L$6),VST_Assets!$L$6*R$4,INDEX(Prices!R:R,VST_Assets!$AO$6)+FuelAdder*R$4)</f>
        <v>5.26320344743456</v>
      </c>
      <c r="S160" s="7" t="n">
        <f aca="false">IF(ISNUMBER(VST_Assets!$L$6),VST_Assets!$L$6*S$4,INDEX(Prices!S:S,VST_Assets!$AO$6)+FuelAdder*S$4)</f>
        <v>5.36846751638326</v>
      </c>
      <c r="T160" s="7" t="n">
        <f aca="false">IF(ISNUMBER(VST_Assets!$L$6),VST_Assets!$L$6*T$4,INDEX(Prices!T:T,VST_Assets!$AO$6)+FuelAdder*T$4)</f>
        <v>5.47583686671092</v>
      </c>
      <c r="U160" s="7" t="n">
        <f aca="false">IF(ISNUMBER(VST_Assets!$L$6),VST_Assets!$L$6*U$4,INDEX(Prices!U:U,VST_Assets!$AO$6)+FuelAdder*U$4)</f>
        <v>5.58535360404514</v>
      </c>
      <c r="V160" s="7" t="n">
        <f aca="false">IF(ISNUMBER(VST_Assets!$L$6),VST_Assets!$L$6*V$4,INDEX(Prices!V:V,VST_Assets!$AO$6)+FuelAdder*V$4)</f>
        <v>5.69706067612604</v>
      </c>
      <c r="W160" s="7" t="n">
        <f aca="false">IF(ISNUMBER(VST_Assets!$L$6),VST_Assets!$L$6*W$4,INDEX(Prices!W:W,VST_Assets!$AO$6)+FuelAdder*W$4)</f>
        <v>5.81100188964856</v>
      </c>
      <c r="X160" s="7" t="n">
        <f aca="false">IF(ISNUMBER(VST_Assets!$L$6),VST_Assets!$L$6*X$4,INDEX(Prices!X:X,VST_Assets!$AO$6)+FuelAdder*X$4)</f>
        <v>5.92722192744153</v>
      </c>
      <c r="Y160" s="7" t="n">
        <f aca="false">IF(ISNUMBER(VST_Assets!$L$6),VST_Assets!$L$6*Y$4,INDEX(Prices!Y:Y,VST_Assets!$AO$6)+FuelAdder*Y$4)</f>
        <v>6.04576636599037</v>
      </c>
      <c r="Z160" s="7" t="n">
        <f aca="false">IF(ISNUMBER(VST_Assets!$L$6),VST_Assets!$L$6*Z$4,INDEX(Prices!Z:Z,VST_Assets!$AO$6)+FuelAdder*Z$4)</f>
        <v>6.16668169331017</v>
      </c>
      <c r="AA160" s="7" t="n">
        <f aca="false">IF(ISNUMBER(VST_Assets!$L$6),VST_Assets!$L$6*AA$4,INDEX(Prices!AA:AA,VST_Assets!$AO$6)+FuelAdder*AA$4)</f>
        <v>6.29001532717638</v>
      </c>
      <c r="AB160" s="7" t="n">
        <f aca="false">IF(ISNUMBER(VST_Assets!$L$6),VST_Assets!$L$6*AB$4,INDEX(Prices!AB:AB,VST_Assets!$AO$6)+FuelAdder*AB$4)</f>
        <v>6.4158156337199</v>
      </c>
      <c r="AC160" s="7" t="n">
        <f aca="false">IF(ISNUMBER(VST_Assets!$L$6),VST_Assets!$L$6*AC$4,INDEX(Prices!AC:AC,VST_Assets!$AO$6)+FuelAdder*AC$4)</f>
        <v>6.5441319463943</v>
      </c>
      <c r="AD160" s="7" t="n">
        <f aca="false">IF(ISNUMBER(VST_Assets!$L$6),VST_Assets!$L$6*AD$4,INDEX(Prices!AD:AD,VST_Assets!$AO$6)+FuelAdder*AD$4)</f>
        <v>6.67501458532219</v>
      </c>
      <c r="AE160" s="7" t="n">
        <f aca="false">IF(ISNUMBER(VST_Assets!$L$6),VST_Assets!$L$6*AE$4,INDEX(Prices!AE:AE,VST_Assets!$AO$6)+FuelAdder*AE$4)</f>
        <v>6.80851487702863</v>
      </c>
      <c r="AF160" s="7" t="n">
        <f aca="false">IF(ISNUMBER(VST_Assets!$L$6),VST_Assets!$L$6*AF$4,INDEX(Prices!AF:AF,VST_Assets!$AO$6)+FuelAdder*AF$4)</f>
        <v>6.94468517456921</v>
      </c>
      <c r="AG160" s="7" t="n">
        <f aca="false">IF(ISNUMBER(VST_Assets!$L$6),VST_Assets!$L$6*AG$4,INDEX(Prices!AG:AG,VST_Assets!$AO$6)+FuelAdder*AG$4)</f>
        <v>7.08357887806059</v>
      </c>
      <c r="AH160" s="7" t="n">
        <f aca="false">IF(ISNUMBER(VST_Assets!$L$6),VST_Assets!$L$6*AH$4,INDEX(Prices!AH:AH,VST_Assets!$AO$6)+FuelAdder*AH$4)</f>
        <v>7.2252504556218</v>
      </c>
      <c r="AI160" s="7" t="n">
        <f aca="false">IF(ISNUMBER(VST_Assets!$L$6),VST_Assets!$L$6*AI$4,INDEX(Prices!AI:AI,VST_Assets!$AO$6)+FuelAdder*AI$4)</f>
        <v>7.36975546473424</v>
      </c>
      <c r="AJ160" s="7" t="n">
        <f aca="false">IF(ISNUMBER(VST_Assets!$L$6),VST_Assets!$L$6*AJ$4,INDEX(Prices!AJ:AJ,VST_Assets!$AO$6)+FuelAdder*AJ$4)</f>
        <v>7.51715057402892</v>
      </c>
      <c r="AK160" s="7" t="n">
        <f aca="false">IF(ISNUMBER(VST_Assets!$L$6),VST_Assets!$L$6*AK$4,INDEX(Prices!AK:AK,VST_Assets!$AO$6)+FuelAdder*AK$4)</f>
        <v>7.6674935855095</v>
      </c>
      <c r="AL160" s="7" t="n">
        <f aca="false">IF(ISNUMBER(VST_Assets!$L$6),VST_Assets!$L$6*AL$4,INDEX(Prices!AL:AL,VST_Assets!$AO$6)+FuelAdder*AL$4)</f>
        <v>7.82084345721969</v>
      </c>
      <c r="AM160" s="7" t="n">
        <f aca="false">IF(ISNUMBER(VST_Assets!$L$6),VST_Assets!$L$6*AM$4,INDEX(Prices!AM:AM,VST_Assets!$AO$6)+FuelAdder*AM$4)</f>
        <v>7.97726032636409</v>
      </c>
      <c r="AN160" s="7" t="n">
        <f aca="false">IF(ISNUMBER(VST_Assets!$L$6),VST_Assets!$L$6*AN$4,INDEX(Prices!AN:AN,VST_Assets!$AO$6)+FuelAdder*AN$4)</f>
        <v>8.13680553289137</v>
      </c>
      <c r="AO160" s="7" t="n">
        <f aca="false">IF(ISNUMBER(VST_Assets!$L$6),VST_Assets!$L$6*AO$4,INDEX(Prices!AO:AO,VST_Assets!$AO$6)+FuelAdder*AO$4)</f>
        <v>8.29954164354919</v>
      </c>
      <c r="AP160" s="7" t="n">
        <f aca="false">IF(ISNUMBER(VST_Assets!$L$6),VST_Assets!$L$6*AP$4,INDEX(Prices!AP:AP,VST_Assets!$AO$6)+FuelAdder*AP$4)</f>
        <v>8.46553247642018</v>
      </c>
      <c r="AQ160" s="7" t="n">
        <f aca="false">IF(ISNUMBER(VST_Assets!$L$6),VST_Assets!$L$6*AQ$4,INDEX(Prices!AQ:AQ,VST_Assets!$AO$6)+FuelAdder*AQ$4)</f>
        <v>8.63484312594858</v>
      </c>
      <c r="AR160" s="7" t="n">
        <f aca="false">IF(ISNUMBER(VST_Assets!$L$6),VST_Assets!$L$6*AR$4,INDEX(Prices!AR:AR,VST_Assets!$AO$6)+FuelAdder*AR$4)</f>
        <v>8.80753998846755</v>
      </c>
      <c r="AS160" s="7" t="n">
        <f aca="false">IF(ISNUMBER(VST_Assets!$L$6),VST_Assets!$L$6*AS$4,INDEX(Prices!AS:AS,VST_Assets!$AO$6)+FuelAdder*AS$4)</f>
        <v>8.9836907882369</v>
      </c>
    </row>
    <row r="161" customFormat="false" ht="15" hidden="false" customHeight="false" outlineLevel="0" collapsed="false">
      <c r="A161" s="6" t="s">
        <v>435</v>
      </c>
      <c r="B161" s="6" t="s">
        <v>436</v>
      </c>
      <c r="G161" s="7" t="n">
        <f aca="false">INDEX(Prices!G:G,VST_Assets!$AN$6)*VST_Assets!$J$6-VST_Assets!$K$6*G160-VST_Assets!$M$6*G$4</f>
        <v>74.0245</v>
      </c>
      <c r="H161" s="7" t="n">
        <f aca="false">INDEX(Prices!H:H,VST_Assets!$AN$6)*VST_Assets!$J$6-VST_Assets!$K$6*H160-VST_Assets!$M$6*H$4</f>
        <v>78.05499</v>
      </c>
      <c r="I161" s="7" t="n">
        <f aca="false">INDEX(Prices!I:I,VST_Assets!$AN$6)*VST_Assets!$J$6-VST_Assets!$K$6*I160-VST_Assets!$M$6*I$4</f>
        <v>79.8436469</v>
      </c>
      <c r="J161" s="7" t="n">
        <f aca="false">INDEX(Prices!J:J,VST_Assets!$AN$6)*VST_Assets!$J$6-VST_Assets!$K$6*J160-VST_Assets!$M$6*J$4</f>
        <v>82.860181848</v>
      </c>
      <c r="K161" s="7" t="n">
        <f aca="false">INDEX(Prices!K:K,VST_Assets!$AN$6)*VST_Assets!$J$6-VST_Assets!$K$6*K160-VST_Assets!$M$6*K$4</f>
        <v>84.51738548496</v>
      </c>
      <c r="L161" s="7" t="n">
        <f aca="false">INDEX(Prices!L:L,VST_Assets!$AN$6)*VST_Assets!$J$6-VST_Assets!$K$6*L160-VST_Assets!$M$6*L$4</f>
        <v>86.2077331946592</v>
      </c>
      <c r="M161" s="7" t="n">
        <f aca="false">INDEX(Prices!M:M,VST_Assets!$AN$6)*VST_Assets!$J$6-VST_Assets!$K$6*M160-VST_Assets!$M$6*M$4</f>
        <v>87.9318878585524</v>
      </c>
      <c r="N161" s="7" t="n">
        <f aca="false">INDEX(Prices!N:N,VST_Assets!$AN$6)*VST_Assets!$J$6-VST_Assets!$K$6*N160-VST_Assets!$M$6*N$4</f>
        <v>89.6905256157235</v>
      </c>
      <c r="O161" s="7" t="n">
        <f aca="false">INDEX(Prices!O:O,VST_Assets!$AN$6)*VST_Assets!$J$6-VST_Assets!$K$6*O160-VST_Assets!$M$6*O$4</f>
        <v>91.4843361280379</v>
      </c>
      <c r="P161" s="7" t="n">
        <f aca="false">INDEX(Prices!P:P,VST_Assets!$AN$6)*VST_Assets!$J$6-VST_Assets!$K$6*P160-VST_Assets!$M$6*P$4</f>
        <v>93.3140228505987</v>
      </c>
      <c r="Q161" s="7" t="n">
        <f aca="false">INDEX(Prices!Q:Q,VST_Assets!$AN$6)*VST_Assets!$J$6-VST_Assets!$K$6*Q160-VST_Assets!$M$6*Q$4</f>
        <v>95.1803033076107</v>
      </c>
      <c r="R161" s="7" t="n">
        <f aca="false">INDEX(Prices!R:R,VST_Assets!$AN$6)*VST_Assets!$J$6-VST_Assets!$K$6*R160-VST_Assets!$M$6*R$4</f>
        <v>97.0839093737629</v>
      </c>
      <c r="S161" s="7" t="n">
        <f aca="false">INDEX(Prices!S:S,VST_Assets!$AN$6)*VST_Assets!$J$6-VST_Assets!$K$6*S160-VST_Assets!$M$6*S$4</f>
        <v>99.0255875612381</v>
      </c>
      <c r="T161" s="7" t="n">
        <f aca="false">INDEX(Prices!T:T,VST_Assets!$AN$6)*VST_Assets!$J$6-VST_Assets!$K$6*T160-VST_Assets!$M$6*T$4</f>
        <v>101.006099312463</v>
      </c>
      <c r="U161" s="7" t="n">
        <f aca="false">INDEX(Prices!U:U,VST_Assets!$AN$6)*VST_Assets!$J$6-VST_Assets!$K$6*U160-VST_Assets!$M$6*U$4</f>
        <v>103.026221298712</v>
      </c>
      <c r="V161" s="7" t="n">
        <f aca="false">INDEX(Prices!V:V,VST_Assets!$AN$6)*VST_Assets!$J$6-VST_Assets!$K$6*V160-VST_Assets!$M$6*V$4</f>
        <v>105.086745724686</v>
      </c>
      <c r="W161" s="7" t="n">
        <f aca="false">INDEX(Prices!W:W,VST_Assets!$AN$6)*VST_Assets!$J$6-VST_Assets!$K$6*W160-VST_Assets!$M$6*W$4</f>
        <v>107.18848063918</v>
      </c>
      <c r="X161" s="7" t="n">
        <f aca="false">INDEX(Prices!X:X,VST_Assets!$AN$6)*VST_Assets!$J$6-VST_Assets!$K$6*X160-VST_Assets!$M$6*X$4</f>
        <v>109.332250251964</v>
      </c>
      <c r="Y161" s="7" t="n">
        <f aca="false">INDEX(Prices!Y:Y,VST_Assets!$AN$6)*VST_Assets!$J$6-VST_Assets!$K$6*Y160-VST_Assets!$M$6*Y$4</f>
        <v>111.518895257003</v>
      </c>
      <c r="Z161" s="7" t="n">
        <f aca="false">INDEX(Prices!Z:Z,VST_Assets!$AN$6)*VST_Assets!$J$6-VST_Assets!$K$6*Z160-VST_Assets!$M$6*Z$4</f>
        <v>113.749273162143</v>
      </c>
      <c r="AA161" s="7" t="n">
        <f aca="false">INDEX(Prices!AA:AA,VST_Assets!$AN$6)*VST_Assets!$J$6-VST_Assets!$K$6*AA160-VST_Assets!$M$6*AA$4</f>
        <v>116.024258625386</v>
      </c>
      <c r="AB161" s="7" t="n">
        <f aca="false">INDEX(Prices!AB:AB,VST_Assets!$AN$6)*VST_Assets!$J$6-VST_Assets!$K$6*AB160-VST_Assets!$M$6*AB$4</f>
        <v>118.344743797894</v>
      </c>
      <c r="AC161" s="7" t="n">
        <f aca="false">INDEX(Prices!AC:AC,VST_Assets!$AN$6)*VST_Assets!$J$6-VST_Assets!$K$6*AC160-VST_Assets!$M$6*AC$4</f>
        <v>120.711638673852</v>
      </c>
      <c r="AD161" s="7" t="n">
        <f aca="false">INDEX(Prices!AD:AD,VST_Assets!$AN$6)*VST_Assets!$J$6-VST_Assets!$K$6*AD160-VST_Assets!$M$6*AD$4</f>
        <v>123.125871447329</v>
      </c>
      <c r="AE161" s="7" t="n">
        <f aca="false">INDEX(Prices!AE:AE,VST_Assets!$AN$6)*VST_Assets!$J$6-VST_Assets!$K$6*AE160-VST_Assets!$M$6*AE$4</f>
        <v>125.588388876275</v>
      </c>
      <c r="AF161" s="7" t="n">
        <f aca="false">INDEX(Prices!AF:AF,VST_Assets!$AN$6)*VST_Assets!$J$6-VST_Assets!$K$6*AF160-VST_Assets!$M$6*AF$4</f>
        <v>128.100156653801</v>
      </c>
      <c r="AG161" s="7" t="n">
        <f aca="false">INDEX(Prices!AG:AG,VST_Assets!$AN$6)*VST_Assets!$J$6-VST_Assets!$K$6*AG160-VST_Assets!$M$6*AG$4</f>
        <v>130.662159786877</v>
      </c>
      <c r="AH161" s="7" t="n">
        <f aca="false">INDEX(Prices!AH:AH,VST_Assets!$AN$6)*VST_Assets!$J$6-VST_Assets!$K$6*AH160-VST_Assets!$M$6*AH$4</f>
        <v>133.275402982614</v>
      </c>
      <c r="AI161" s="7" t="n">
        <f aca="false">INDEX(Prices!AI:AI,VST_Assets!$AN$6)*VST_Assets!$J$6-VST_Assets!$K$6*AI160-VST_Assets!$M$6*AI$4</f>
        <v>135.940911042267</v>
      </c>
      <c r="AJ161" s="7" t="n">
        <f aca="false">INDEX(Prices!AJ:AJ,VST_Assets!$AN$6)*VST_Assets!$J$6-VST_Assets!$K$6*AJ160-VST_Assets!$M$6*AJ$4</f>
        <v>138.659729263112</v>
      </c>
      <c r="AK161" s="7" t="n">
        <f aca="false">INDEX(Prices!AK:AK,VST_Assets!$AN$6)*VST_Assets!$J$6-VST_Assets!$K$6*AK160-VST_Assets!$M$6*AK$4</f>
        <v>141.432923848374</v>
      </c>
      <c r="AL161" s="7" t="n">
        <f aca="false">INDEX(Prices!AL:AL,VST_Assets!$AN$6)*VST_Assets!$J$6-VST_Assets!$K$6*AL160-VST_Assets!$M$6*AL$4</f>
        <v>144.261582325342</v>
      </c>
      <c r="AM161" s="7" t="n">
        <f aca="false">INDEX(Prices!AM:AM,VST_Assets!$AN$6)*VST_Assets!$J$6-VST_Assets!$K$6*AM160-VST_Assets!$M$6*AM$4</f>
        <v>147.146813971848</v>
      </c>
      <c r="AN161" s="7" t="n">
        <f aca="false">INDEX(Prices!AN:AN,VST_Assets!$AN$6)*VST_Assets!$J$6-VST_Assets!$K$6*AN160-VST_Assets!$M$6*AN$4</f>
        <v>150.089750251285</v>
      </c>
      <c r="AO161" s="7" t="n">
        <f aca="false">INDEX(Prices!AO:AO,VST_Assets!$AN$6)*VST_Assets!$J$6-VST_Assets!$K$6*AO160-VST_Assets!$M$6*AO$4</f>
        <v>153.091545256311</v>
      </c>
      <c r="AP161" s="7" t="n">
        <f aca="false">INDEX(Prices!AP:AP,VST_Assets!$AN$6)*VST_Assets!$J$6-VST_Assets!$K$6*AP160-VST_Assets!$M$6*AP$4</f>
        <v>156.153376161437</v>
      </c>
      <c r="AQ161" s="7" t="n">
        <f aca="false">INDEX(Prices!AQ:AQ,VST_Assets!$AN$6)*VST_Assets!$J$6-VST_Assets!$K$6*AQ160-VST_Assets!$M$6*AQ$4</f>
        <v>159.276443684666</v>
      </c>
      <c r="AR161" s="7" t="n">
        <f aca="false">INDEX(Prices!AR:AR,VST_Assets!$AN$6)*VST_Assets!$J$6-VST_Assets!$K$6*AR160-VST_Assets!$M$6*AR$4</f>
        <v>162.461972558359</v>
      </c>
      <c r="AS161" s="7" t="n">
        <f aca="false">INDEX(Prices!AS:AS,VST_Assets!$AN$6)*VST_Assets!$J$6-VST_Assets!$K$6*AS160-VST_Assets!$M$6*AS$4</f>
        <v>165.711212009527</v>
      </c>
    </row>
    <row r="162" customFormat="false" ht="15" hidden="false" customHeight="false" outlineLevel="0" collapsed="false">
      <c r="A162" s="6" t="s">
        <v>437</v>
      </c>
      <c r="B162" s="6" t="s">
        <v>438</v>
      </c>
      <c r="G162" s="47" t="n">
        <f aca="false">IF(VST_Assets!$X$6=1,IF(G161&gt;0,1,0),1)</f>
        <v>1</v>
      </c>
      <c r="H162" s="47" t="n">
        <f aca="false">IF(VST_Assets!$X$6=1,IF(H161&gt;0,1,0),1)</f>
        <v>1</v>
      </c>
      <c r="I162" s="47" t="n">
        <f aca="false">IF(VST_Assets!$X$6=1,IF(I161&gt;0,1,0),1)</f>
        <v>1</v>
      </c>
      <c r="J162" s="47" t="n">
        <f aca="false">IF(VST_Assets!$X$6=1,IF(J161&gt;0,1,0),1)</f>
        <v>1</v>
      </c>
      <c r="K162" s="47" t="n">
        <f aca="false">IF(VST_Assets!$X$6=1,IF(K161&gt;0,1,0),1)</f>
        <v>1</v>
      </c>
      <c r="L162" s="47" t="n">
        <f aca="false">IF(VST_Assets!$X$6=1,IF(L161&gt;0,1,0),1)</f>
        <v>1</v>
      </c>
      <c r="M162" s="47" t="n">
        <f aca="false">IF(VST_Assets!$X$6=1,IF(M161&gt;0,1,0),1)</f>
        <v>1</v>
      </c>
      <c r="N162" s="47" t="n">
        <f aca="false">IF(VST_Assets!$X$6=1,IF(N161&gt;0,1,0),1)</f>
        <v>1</v>
      </c>
      <c r="O162" s="47" t="n">
        <f aca="false">IF(VST_Assets!$X$6=1,IF(O161&gt;0,1,0),1)</f>
        <v>1</v>
      </c>
      <c r="P162" s="47" t="n">
        <f aca="false">IF(VST_Assets!$X$6=1,IF(P161&gt;0,1,0),1)</f>
        <v>1</v>
      </c>
      <c r="Q162" s="47" t="n">
        <f aca="false">IF(VST_Assets!$X$6=1,IF(Q161&gt;0,1,0),1)</f>
        <v>1</v>
      </c>
      <c r="R162" s="47" t="n">
        <f aca="false">IF(VST_Assets!$X$6=1,IF(R161&gt;0,1,0),1)</f>
        <v>1</v>
      </c>
      <c r="S162" s="47" t="n">
        <f aca="false">IF(VST_Assets!$X$6=1,IF(S161&gt;0,1,0),1)</f>
        <v>1</v>
      </c>
      <c r="T162" s="47" t="n">
        <f aca="false">IF(VST_Assets!$X$6=1,IF(T161&gt;0,1,0),1)</f>
        <v>1</v>
      </c>
      <c r="U162" s="47" t="n">
        <f aca="false">IF(VST_Assets!$X$6=1,IF(U161&gt;0,1,0),1)</f>
        <v>1</v>
      </c>
      <c r="V162" s="47" t="n">
        <f aca="false">IF(VST_Assets!$X$6=1,IF(V161&gt;0,1,0),1)</f>
        <v>1</v>
      </c>
      <c r="W162" s="47" t="n">
        <f aca="false">IF(VST_Assets!$X$6=1,IF(W161&gt;0,1,0),1)</f>
        <v>1</v>
      </c>
      <c r="X162" s="47" t="n">
        <f aca="false">IF(VST_Assets!$X$6=1,IF(X161&gt;0,1,0),1)</f>
        <v>1</v>
      </c>
      <c r="Y162" s="47" t="n">
        <f aca="false">IF(VST_Assets!$X$6=1,IF(Y161&gt;0,1,0),1)</f>
        <v>1</v>
      </c>
      <c r="Z162" s="47" t="n">
        <f aca="false">IF(VST_Assets!$X$6=1,IF(Z161&gt;0,1,0),1)</f>
        <v>1</v>
      </c>
      <c r="AA162" s="47" t="n">
        <f aca="false">IF(VST_Assets!$X$6=1,IF(AA161&gt;0,1,0),1)</f>
        <v>1</v>
      </c>
      <c r="AB162" s="47" t="n">
        <f aca="false">IF(VST_Assets!$X$6=1,IF(AB161&gt;0,1,0),1)</f>
        <v>1</v>
      </c>
      <c r="AC162" s="47" t="n">
        <f aca="false">IF(VST_Assets!$X$6=1,IF(AC161&gt;0,1,0),1)</f>
        <v>1</v>
      </c>
      <c r="AD162" s="47" t="n">
        <f aca="false">IF(VST_Assets!$X$6=1,IF(AD161&gt;0,1,0),1)</f>
        <v>1</v>
      </c>
      <c r="AE162" s="47" t="n">
        <f aca="false">IF(VST_Assets!$X$6=1,IF(AE161&gt;0,1,0),1)</f>
        <v>1</v>
      </c>
      <c r="AF162" s="47" t="n">
        <f aca="false">IF(VST_Assets!$X$6=1,IF(AF161&gt;0,1,0),1)</f>
        <v>1</v>
      </c>
      <c r="AG162" s="47" t="n">
        <f aca="false">IF(VST_Assets!$X$6=1,IF(AG161&gt;0,1,0),1)</f>
        <v>1</v>
      </c>
      <c r="AH162" s="47" t="n">
        <f aca="false">IF(VST_Assets!$X$6=1,IF(AH161&gt;0,1,0),1)</f>
        <v>1</v>
      </c>
      <c r="AI162" s="47" t="n">
        <f aca="false">IF(VST_Assets!$X$6=1,IF(AI161&gt;0,1,0),1)</f>
        <v>1</v>
      </c>
      <c r="AJ162" s="47" t="n">
        <f aca="false">IF(VST_Assets!$X$6=1,IF(AJ161&gt;0,1,0),1)</f>
        <v>1</v>
      </c>
      <c r="AK162" s="47" t="n">
        <f aca="false">IF(VST_Assets!$X$6=1,IF(AK161&gt;0,1,0),1)</f>
        <v>1</v>
      </c>
      <c r="AL162" s="47" t="n">
        <f aca="false">IF(VST_Assets!$X$6=1,IF(AL161&gt;0,1,0),1)</f>
        <v>1</v>
      </c>
      <c r="AM162" s="47" t="n">
        <f aca="false">IF(VST_Assets!$X$6=1,IF(AM161&gt;0,1,0),1)</f>
        <v>1</v>
      </c>
      <c r="AN162" s="47" t="n">
        <f aca="false">IF(VST_Assets!$X$6=1,IF(AN161&gt;0,1,0),1)</f>
        <v>1</v>
      </c>
      <c r="AO162" s="47" t="n">
        <f aca="false">IF(VST_Assets!$X$6=1,IF(AO161&gt;0,1,0),1)</f>
        <v>1</v>
      </c>
      <c r="AP162" s="47" t="n">
        <f aca="false">IF(VST_Assets!$X$6=1,IF(AP161&gt;0,1,0),1)</f>
        <v>1</v>
      </c>
      <c r="AQ162" s="47" t="n">
        <f aca="false">IF(VST_Assets!$X$6=1,IF(AQ161&gt;0,1,0),1)</f>
        <v>1</v>
      </c>
      <c r="AR162" s="47" t="n">
        <f aca="false">IF(VST_Assets!$X$6=1,IF(AR161&gt;0,1,0),1)</f>
        <v>1</v>
      </c>
      <c r="AS162" s="47" t="n">
        <f aca="false">IF(VST_Assets!$X$6=1,IF(AS161&gt;0,1,0),1)</f>
        <v>1</v>
      </c>
    </row>
    <row r="163" customFormat="false" ht="15" hidden="false" customHeight="false" outlineLevel="0" collapsed="false">
      <c r="A163" s="6" t="s">
        <v>439</v>
      </c>
      <c r="B163" s="6" t="s">
        <v>440</v>
      </c>
      <c r="C163" s="9" t="n">
        <f aca="false">SUM(G163:AS163)</f>
        <v>2453.43938738373</v>
      </c>
      <c r="G163" s="8" t="n">
        <f aca="false">G158*INDEX(Prices!G:G,VST_Assets!$AN$6)*VST_Assets!$J$6*G162/1000000*(1+VST_RevAdj)</f>
        <v>148.0878</v>
      </c>
      <c r="H163" s="8" t="n">
        <f aca="false">H158*INDEX(Prices!H:H,VST_Assets!$AN$6)*VST_Assets!$J$6*H162/1000000*(1+VST_RevAdj)</f>
        <v>154.1322</v>
      </c>
      <c r="I163" s="8" t="n">
        <f aca="false">I158*INDEX(Prices!I:I,VST_Assets!$AN$6)*VST_Assets!$J$6*I162/1000000*(1+VST_RevAdj)</f>
        <v>158.83695001044</v>
      </c>
      <c r="J163" s="8" t="n">
        <f aca="false">J158*INDEX(Prices!J:J,VST_Assets!$AN$6)*VST_Assets!$J$6*J162/1000000*(1+VST_RevAdj)</f>
        <v>163.729890021298</v>
      </c>
      <c r="K163" s="8" t="n">
        <f aca="false">K158*INDEX(Prices!K:K,VST_Assets!$AN$6)*VST_Assets!$J$6*K162/1000000*(1+VST_RevAdj)</f>
        <v>167.004487821724</v>
      </c>
      <c r="L163" s="8" t="n">
        <f aca="false">L158*INDEX(Prices!L:L,VST_Assets!$AN$6)*VST_Assets!$J$6*L162/1000000*(1+VST_RevAdj)</f>
        <v>170.344577578158</v>
      </c>
      <c r="M163" s="8" t="n">
        <f aca="false">M158*INDEX(Prices!M:M,VST_Assets!$AN$6)*VST_Assets!$J$6*M162/1000000*(1+VST_RevAdj)</f>
        <v>173.751469129721</v>
      </c>
      <c r="N163" s="8" t="n">
        <f aca="false">N158*INDEX(Prices!N:N,VST_Assets!$AN$6)*VST_Assets!$J$6*N162/1000000*(1+VST_RevAdj)</f>
        <v>177.226498512316</v>
      </c>
      <c r="O163" s="8" t="n">
        <f aca="false">O158*INDEX(Prices!O:O,VST_Assets!$AN$6)*VST_Assets!$J$6*O162/1000000*(1+VST_RevAdj)</f>
        <v>180.771028482562</v>
      </c>
      <c r="P163" s="8" t="n">
        <f aca="false">P158*INDEX(Prices!P:P,VST_Assets!$AN$6)*VST_Assets!$J$6*P162/1000000*(1+VST_RevAdj)</f>
        <v>184.386449052213</v>
      </c>
      <c r="Q163" s="8" t="n">
        <f aca="false">Q158*INDEX(Prices!Q:Q,VST_Assets!$AN$6)*VST_Assets!$J$6*Q162/1000000*(1+VST_RevAdj)</f>
        <v>188.074178033257</v>
      </c>
      <c r="R163" s="8" t="n">
        <f aca="false">R158*INDEX(Prices!R:R,VST_Assets!$AN$6)*VST_Assets!$J$6*R162/1000000*(1+VST_RevAdj)</f>
        <v>191.835661593923</v>
      </c>
      <c r="S163" s="8" t="n">
        <f aca="false">S158*INDEX(Prices!S:S,VST_Assets!$AN$6)*VST_Assets!$J$6*S162/1000000*(1+VST_RevAdj)</f>
        <v>195.672374825801</v>
      </c>
      <c r="T163" s="8" t="n">
        <f aca="false">T158*INDEX(Prices!T:T,VST_Assets!$AN$6)*VST_Assets!$J$6*T162/1000000*(1+VST_RevAdj)</f>
        <v>199.585822322317</v>
      </c>
      <c r="U163" s="8" t="n">
        <f aca="false">U158*INDEX(Prices!U:U,VST_Assets!$AN$6)*VST_Assets!$J$6*U162/1000000*(1+VST_RevAdj)</f>
        <v>0</v>
      </c>
      <c r="V163" s="8" t="n">
        <f aca="false">V158*INDEX(Prices!V:V,VST_Assets!$AN$6)*VST_Assets!$J$6*V162/1000000*(1+VST_RevAdj)</f>
        <v>0</v>
      </c>
      <c r="W163" s="8" t="n">
        <f aca="false">W158*INDEX(Prices!W:W,VST_Assets!$AN$6)*VST_Assets!$J$6*W162/1000000*(1+VST_RevAdj)</f>
        <v>0</v>
      </c>
      <c r="X163" s="8" t="n">
        <f aca="false">X158*INDEX(Prices!X:X,VST_Assets!$AN$6)*VST_Assets!$J$6*X162/1000000*(1+VST_RevAdj)</f>
        <v>0</v>
      </c>
      <c r="Y163" s="8" t="n">
        <f aca="false">Y158*INDEX(Prices!Y:Y,VST_Assets!$AN$6)*VST_Assets!$J$6*Y162/1000000*(1+VST_RevAdj)</f>
        <v>0</v>
      </c>
      <c r="Z163" s="8" t="n">
        <f aca="false">Z158*INDEX(Prices!Z:Z,VST_Assets!$AN$6)*VST_Assets!$J$6*Z162/1000000*(1+VST_RevAdj)</f>
        <v>0</v>
      </c>
      <c r="AA163" s="8" t="n">
        <f aca="false">AA158*INDEX(Prices!AA:AA,VST_Assets!$AN$6)*VST_Assets!$J$6*AA162/1000000*(1+VST_RevAdj)</f>
        <v>0</v>
      </c>
      <c r="AB163" s="8" t="n">
        <f aca="false">AB158*INDEX(Prices!AB:AB,VST_Assets!$AN$6)*VST_Assets!$J$6*AB162/1000000*(1+VST_RevAdj)</f>
        <v>0</v>
      </c>
      <c r="AC163" s="8" t="n">
        <f aca="false">AC158*INDEX(Prices!AC:AC,VST_Assets!$AN$6)*VST_Assets!$J$6*AC162/1000000*(1+VST_RevAdj)</f>
        <v>0</v>
      </c>
      <c r="AD163" s="8" t="n">
        <f aca="false">AD158*INDEX(Prices!AD:AD,VST_Assets!$AN$6)*VST_Assets!$J$6*AD162/1000000*(1+VST_RevAdj)</f>
        <v>0</v>
      </c>
      <c r="AE163" s="8" t="n">
        <f aca="false">AE158*INDEX(Prices!AE:AE,VST_Assets!$AN$6)*VST_Assets!$J$6*AE162/1000000*(1+VST_RevAdj)</f>
        <v>0</v>
      </c>
      <c r="AF163" s="8" t="n">
        <f aca="false">AF158*INDEX(Prices!AF:AF,VST_Assets!$AN$6)*VST_Assets!$J$6*AF162/1000000*(1+VST_RevAdj)</f>
        <v>0</v>
      </c>
      <c r="AG163" s="8" t="n">
        <f aca="false">AG158*INDEX(Prices!AG:AG,VST_Assets!$AN$6)*VST_Assets!$J$6*AG162/1000000*(1+VST_RevAdj)</f>
        <v>0</v>
      </c>
      <c r="AH163" s="8" t="n">
        <f aca="false">AH158*INDEX(Prices!AH:AH,VST_Assets!$AN$6)*VST_Assets!$J$6*AH162/1000000*(1+VST_RevAdj)</f>
        <v>0</v>
      </c>
      <c r="AI163" s="8" t="n">
        <f aca="false">AI158*INDEX(Prices!AI:AI,VST_Assets!$AN$6)*VST_Assets!$J$6*AI162/1000000*(1+VST_RevAdj)</f>
        <v>0</v>
      </c>
      <c r="AJ163" s="8" t="n">
        <f aca="false">AJ158*INDEX(Prices!AJ:AJ,VST_Assets!$AN$6)*VST_Assets!$J$6*AJ162/1000000*(1+VST_RevAdj)</f>
        <v>0</v>
      </c>
      <c r="AK163" s="8" t="n">
        <f aca="false">AK158*INDEX(Prices!AK:AK,VST_Assets!$AN$6)*VST_Assets!$J$6*AK162/1000000*(1+VST_RevAdj)</f>
        <v>0</v>
      </c>
      <c r="AL163" s="8" t="n">
        <f aca="false">AL158*INDEX(Prices!AL:AL,VST_Assets!$AN$6)*VST_Assets!$J$6*AL162/1000000*(1+VST_RevAdj)</f>
        <v>0</v>
      </c>
      <c r="AM163" s="8" t="n">
        <f aca="false">AM158*INDEX(Prices!AM:AM,VST_Assets!$AN$6)*VST_Assets!$J$6*AM162/1000000*(1+VST_RevAdj)</f>
        <v>0</v>
      </c>
      <c r="AN163" s="8" t="n">
        <f aca="false">AN158*INDEX(Prices!AN:AN,VST_Assets!$AN$6)*VST_Assets!$J$6*AN162/1000000*(1+VST_RevAdj)</f>
        <v>0</v>
      </c>
      <c r="AO163" s="8" t="n">
        <f aca="false">AO158*INDEX(Prices!AO:AO,VST_Assets!$AN$6)*VST_Assets!$J$6*AO162/1000000*(1+VST_RevAdj)</f>
        <v>0</v>
      </c>
      <c r="AP163" s="8" t="n">
        <f aca="false">AP158*INDEX(Prices!AP:AP,VST_Assets!$AN$6)*VST_Assets!$J$6*AP162/1000000*(1+VST_RevAdj)</f>
        <v>0</v>
      </c>
      <c r="AQ163" s="8" t="n">
        <f aca="false">AQ158*INDEX(Prices!AQ:AQ,VST_Assets!$AN$6)*VST_Assets!$J$6*AQ162/1000000*(1+VST_RevAdj)</f>
        <v>0</v>
      </c>
      <c r="AR163" s="8" t="n">
        <f aca="false">AR158*INDEX(Prices!AR:AR,VST_Assets!$AN$6)*VST_Assets!$J$6*AR162/1000000*(1+VST_RevAdj)</f>
        <v>0</v>
      </c>
      <c r="AS163" s="8" t="n">
        <f aca="false">AS158*INDEX(Prices!AS:AS,VST_Assets!$AN$6)*VST_Assets!$J$6*AS162/1000000*(1+VST_RevAdj)</f>
        <v>0</v>
      </c>
    </row>
    <row r="164" customFormat="false" ht="15" hidden="false" customHeight="false" outlineLevel="0" collapsed="false">
      <c r="A164" s="6" t="s">
        <v>441</v>
      </c>
      <c r="B164" s="6" t="s">
        <v>442</v>
      </c>
      <c r="C164" s="9" t="n">
        <f aca="false">SUM(G164:AS164)</f>
        <v>0</v>
      </c>
      <c r="G164" s="8" t="n">
        <f aca="false">(VST_Assets!$D$6-G157)*INDEX(Prices!G:G,VST_Assets!$AP$6)*365*VST_Assets!$T$6*G156/1000000*(1+VST_RevAdj)</f>
        <v>0</v>
      </c>
      <c r="H164" s="8" t="n">
        <f aca="false">(VST_Assets!$D$6-H157)*INDEX(Prices!H:H,VST_Assets!$AP$6)*365*VST_Assets!$T$6*H156/1000000*(1+VST_RevAdj)</f>
        <v>0</v>
      </c>
      <c r="I164" s="8" t="n">
        <f aca="false">(VST_Assets!$D$6-I157)*INDEX(Prices!I:I,VST_Assets!$AP$6)*365*VST_Assets!$T$6*I156/1000000*(1+VST_RevAdj)</f>
        <v>0</v>
      </c>
      <c r="J164" s="8" t="n">
        <f aca="false">(VST_Assets!$D$6-J157)*INDEX(Prices!J:J,VST_Assets!$AP$6)*365*VST_Assets!$T$6*J156/1000000*(1+VST_RevAdj)</f>
        <v>0</v>
      </c>
      <c r="K164" s="8" t="n">
        <f aca="false">(VST_Assets!$D$6-K157)*INDEX(Prices!K:K,VST_Assets!$AP$6)*365*VST_Assets!$T$6*K156/1000000*(1+VST_RevAdj)</f>
        <v>0</v>
      </c>
      <c r="L164" s="8" t="n">
        <f aca="false">(VST_Assets!$D$6-L157)*INDEX(Prices!L:L,VST_Assets!$AP$6)*365*VST_Assets!$T$6*L156/1000000*(1+VST_RevAdj)</f>
        <v>0</v>
      </c>
      <c r="M164" s="8" t="n">
        <f aca="false">(VST_Assets!$D$6-M157)*INDEX(Prices!M:M,VST_Assets!$AP$6)*365*VST_Assets!$T$6*M156/1000000*(1+VST_RevAdj)</f>
        <v>0</v>
      </c>
      <c r="N164" s="8" t="n">
        <f aca="false">(VST_Assets!$D$6-N157)*INDEX(Prices!N:N,VST_Assets!$AP$6)*365*VST_Assets!$T$6*N156/1000000*(1+VST_RevAdj)</f>
        <v>0</v>
      </c>
      <c r="O164" s="8" t="n">
        <f aca="false">(VST_Assets!$D$6-O157)*INDEX(Prices!O:O,VST_Assets!$AP$6)*365*VST_Assets!$T$6*O156/1000000*(1+VST_RevAdj)</f>
        <v>0</v>
      </c>
      <c r="P164" s="8" t="n">
        <f aca="false">(VST_Assets!$D$6-P157)*INDEX(Prices!P:P,VST_Assets!$AP$6)*365*VST_Assets!$T$6*P156/1000000*(1+VST_RevAdj)</f>
        <v>0</v>
      </c>
      <c r="Q164" s="8" t="n">
        <f aca="false">(VST_Assets!$D$6-Q157)*INDEX(Prices!Q:Q,VST_Assets!$AP$6)*365*VST_Assets!$T$6*Q156/1000000*(1+VST_RevAdj)</f>
        <v>0</v>
      </c>
      <c r="R164" s="8" t="n">
        <f aca="false">(VST_Assets!$D$6-R157)*INDEX(Prices!R:R,VST_Assets!$AP$6)*365*VST_Assets!$T$6*R156/1000000*(1+VST_RevAdj)</f>
        <v>0</v>
      </c>
      <c r="S164" s="8" t="n">
        <f aca="false">(VST_Assets!$D$6-S157)*INDEX(Prices!S:S,VST_Assets!$AP$6)*365*VST_Assets!$T$6*S156/1000000*(1+VST_RevAdj)</f>
        <v>0</v>
      </c>
      <c r="T164" s="8" t="n">
        <f aca="false">(VST_Assets!$D$6-T157)*INDEX(Prices!T:T,VST_Assets!$AP$6)*365*VST_Assets!$T$6*T156/1000000*(1+VST_RevAdj)</f>
        <v>0</v>
      </c>
      <c r="U164" s="8" t="n">
        <f aca="false">(VST_Assets!$D$6-U157)*INDEX(Prices!U:U,VST_Assets!$AP$6)*365*VST_Assets!$T$6*U156/1000000*(1+VST_RevAdj)</f>
        <v>0</v>
      </c>
      <c r="V164" s="8" t="n">
        <f aca="false">(VST_Assets!$D$6-V157)*INDEX(Prices!V:V,VST_Assets!$AP$6)*365*VST_Assets!$T$6*V156/1000000*(1+VST_RevAdj)</f>
        <v>0</v>
      </c>
      <c r="W164" s="8" t="n">
        <f aca="false">(VST_Assets!$D$6-W157)*INDEX(Prices!W:W,VST_Assets!$AP$6)*365*VST_Assets!$T$6*W156/1000000*(1+VST_RevAdj)</f>
        <v>0</v>
      </c>
      <c r="X164" s="8" t="n">
        <f aca="false">(VST_Assets!$D$6-X157)*INDEX(Prices!X:X,VST_Assets!$AP$6)*365*VST_Assets!$T$6*X156/1000000*(1+VST_RevAdj)</f>
        <v>0</v>
      </c>
      <c r="Y164" s="8" t="n">
        <f aca="false">(VST_Assets!$D$6-Y157)*INDEX(Prices!Y:Y,VST_Assets!$AP$6)*365*VST_Assets!$T$6*Y156/1000000*(1+VST_RevAdj)</f>
        <v>0</v>
      </c>
      <c r="Z164" s="8" t="n">
        <f aca="false">(VST_Assets!$D$6-Z157)*INDEX(Prices!Z:Z,VST_Assets!$AP$6)*365*VST_Assets!$T$6*Z156/1000000*(1+VST_RevAdj)</f>
        <v>0</v>
      </c>
      <c r="AA164" s="8" t="n">
        <f aca="false">(VST_Assets!$D$6-AA157)*INDEX(Prices!AA:AA,VST_Assets!$AP$6)*365*VST_Assets!$T$6*AA156/1000000*(1+VST_RevAdj)</f>
        <v>0</v>
      </c>
      <c r="AB164" s="8" t="n">
        <f aca="false">(VST_Assets!$D$6-AB157)*INDEX(Prices!AB:AB,VST_Assets!$AP$6)*365*VST_Assets!$T$6*AB156/1000000*(1+VST_RevAdj)</f>
        <v>0</v>
      </c>
      <c r="AC164" s="8" t="n">
        <f aca="false">(VST_Assets!$D$6-AC157)*INDEX(Prices!AC:AC,VST_Assets!$AP$6)*365*VST_Assets!$T$6*AC156/1000000*(1+VST_RevAdj)</f>
        <v>0</v>
      </c>
      <c r="AD164" s="8" t="n">
        <f aca="false">(VST_Assets!$D$6-AD157)*INDEX(Prices!AD:AD,VST_Assets!$AP$6)*365*VST_Assets!$T$6*AD156/1000000*(1+VST_RevAdj)</f>
        <v>0</v>
      </c>
      <c r="AE164" s="8" t="n">
        <f aca="false">(VST_Assets!$D$6-AE157)*INDEX(Prices!AE:AE,VST_Assets!$AP$6)*365*VST_Assets!$T$6*AE156/1000000*(1+VST_RevAdj)</f>
        <v>0</v>
      </c>
      <c r="AF164" s="8" t="n">
        <f aca="false">(VST_Assets!$D$6-AF157)*INDEX(Prices!AF:AF,VST_Assets!$AP$6)*365*VST_Assets!$T$6*AF156/1000000*(1+VST_RevAdj)</f>
        <v>0</v>
      </c>
      <c r="AG164" s="8" t="n">
        <f aca="false">(VST_Assets!$D$6-AG157)*INDEX(Prices!AG:AG,VST_Assets!$AP$6)*365*VST_Assets!$T$6*AG156/1000000*(1+VST_RevAdj)</f>
        <v>0</v>
      </c>
      <c r="AH164" s="8" t="n">
        <f aca="false">(VST_Assets!$D$6-AH157)*INDEX(Prices!AH:AH,VST_Assets!$AP$6)*365*VST_Assets!$T$6*AH156/1000000*(1+VST_RevAdj)</f>
        <v>0</v>
      </c>
      <c r="AI164" s="8" t="n">
        <f aca="false">(VST_Assets!$D$6-AI157)*INDEX(Prices!AI:AI,VST_Assets!$AP$6)*365*VST_Assets!$T$6*AI156/1000000*(1+VST_RevAdj)</f>
        <v>0</v>
      </c>
      <c r="AJ164" s="8" t="n">
        <f aca="false">(VST_Assets!$D$6-AJ157)*INDEX(Prices!AJ:AJ,VST_Assets!$AP$6)*365*VST_Assets!$T$6*AJ156/1000000*(1+VST_RevAdj)</f>
        <v>0</v>
      </c>
      <c r="AK164" s="8" t="n">
        <f aca="false">(VST_Assets!$D$6-AK157)*INDEX(Prices!AK:AK,VST_Assets!$AP$6)*365*VST_Assets!$T$6*AK156/1000000*(1+VST_RevAdj)</f>
        <v>0</v>
      </c>
      <c r="AL164" s="8" t="n">
        <f aca="false">(VST_Assets!$D$6-AL157)*INDEX(Prices!AL:AL,VST_Assets!$AP$6)*365*VST_Assets!$T$6*AL156/1000000*(1+VST_RevAdj)</f>
        <v>0</v>
      </c>
      <c r="AM164" s="8" t="n">
        <f aca="false">(VST_Assets!$D$6-AM157)*INDEX(Prices!AM:AM,VST_Assets!$AP$6)*365*VST_Assets!$T$6*AM156/1000000*(1+VST_RevAdj)</f>
        <v>0</v>
      </c>
      <c r="AN164" s="8" t="n">
        <f aca="false">(VST_Assets!$D$6-AN157)*INDEX(Prices!AN:AN,VST_Assets!$AP$6)*365*VST_Assets!$T$6*AN156/1000000*(1+VST_RevAdj)</f>
        <v>0</v>
      </c>
      <c r="AO164" s="8" t="n">
        <f aca="false">(VST_Assets!$D$6-AO157)*INDEX(Prices!AO:AO,VST_Assets!$AP$6)*365*VST_Assets!$T$6*AO156/1000000*(1+VST_RevAdj)</f>
        <v>0</v>
      </c>
      <c r="AP164" s="8" t="n">
        <f aca="false">(VST_Assets!$D$6-AP157)*INDEX(Prices!AP:AP,VST_Assets!$AP$6)*365*VST_Assets!$T$6*AP156/1000000*(1+VST_RevAdj)</f>
        <v>0</v>
      </c>
      <c r="AQ164" s="8" t="n">
        <f aca="false">(VST_Assets!$D$6-AQ157)*INDEX(Prices!AQ:AQ,VST_Assets!$AP$6)*365*VST_Assets!$T$6*AQ156/1000000*(1+VST_RevAdj)</f>
        <v>0</v>
      </c>
      <c r="AR164" s="8" t="n">
        <f aca="false">(VST_Assets!$D$6-AR157)*INDEX(Prices!AR:AR,VST_Assets!$AP$6)*365*VST_Assets!$T$6*AR156/1000000*(1+VST_RevAdj)</f>
        <v>0</v>
      </c>
      <c r="AS164" s="8" t="n">
        <f aca="false">(VST_Assets!$D$6-AS157)*INDEX(Prices!AS:AS,VST_Assets!$AP$6)*365*VST_Assets!$T$6*AS156/1000000*(1+VST_RevAdj)</f>
        <v>0</v>
      </c>
    </row>
    <row r="165" customFormat="false" ht="15" hidden="false" customHeight="false" outlineLevel="0" collapsed="false">
      <c r="A165" s="6" t="s">
        <v>443</v>
      </c>
      <c r="B165" s="6" t="s">
        <v>444</v>
      </c>
      <c r="C165" s="9" t="n">
        <f aca="false">SUM(G165:AS165)</f>
        <v>0</v>
      </c>
      <c r="G165" s="8" t="n">
        <f aca="false">G159*(VST_Assets!$AD$6+VST_PPAAdj)/1000000*(1+VST_RevAdj)</f>
        <v>0</v>
      </c>
      <c r="H165" s="8" t="n">
        <f aca="false">H159*(VST_Assets!$AD$6+VST_PPAAdj)/1000000*(1+VST_RevAdj)</f>
        <v>0</v>
      </c>
      <c r="I165" s="8" t="n">
        <f aca="false">I159*(VST_Assets!$AD$6+VST_PPAAdj)/1000000*(1+VST_RevAdj)</f>
        <v>0</v>
      </c>
      <c r="J165" s="8" t="n">
        <f aca="false">J159*(VST_Assets!$AD$6+VST_PPAAdj)/1000000*(1+VST_RevAdj)</f>
        <v>0</v>
      </c>
      <c r="K165" s="8" t="n">
        <f aca="false">K159*(VST_Assets!$AD$6+VST_PPAAdj)/1000000*(1+VST_RevAdj)</f>
        <v>0</v>
      </c>
      <c r="L165" s="8" t="n">
        <f aca="false">L159*(VST_Assets!$AD$6+VST_PPAAdj)/1000000*(1+VST_RevAdj)</f>
        <v>0</v>
      </c>
      <c r="M165" s="8" t="n">
        <f aca="false">M159*(VST_Assets!$AD$6+VST_PPAAdj)/1000000*(1+VST_RevAdj)</f>
        <v>0</v>
      </c>
      <c r="N165" s="8" t="n">
        <f aca="false">N159*(VST_Assets!$AD$6+VST_PPAAdj)/1000000*(1+VST_RevAdj)</f>
        <v>0</v>
      </c>
      <c r="O165" s="8" t="n">
        <f aca="false">O159*(VST_Assets!$AD$6+VST_PPAAdj)/1000000*(1+VST_RevAdj)</f>
        <v>0</v>
      </c>
      <c r="P165" s="8" t="n">
        <f aca="false">P159*(VST_Assets!$AD$6+VST_PPAAdj)/1000000*(1+VST_RevAdj)</f>
        <v>0</v>
      </c>
      <c r="Q165" s="8" t="n">
        <f aca="false">Q159*(VST_Assets!$AD$6+VST_PPAAdj)/1000000*(1+VST_RevAdj)</f>
        <v>0</v>
      </c>
      <c r="R165" s="8" t="n">
        <f aca="false">R159*(VST_Assets!$AD$6+VST_PPAAdj)/1000000*(1+VST_RevAdj)</f>
        <v>0</v>
      </c>
      <c r="S165" s="8" t="n">
        <f aca="false">S159*(VST_Assets!$AD$6+VST_PPAAdj)/1000000*(1+VST_RevAdj)</f>
        <v>0</v>
      </c>
      <c r="T165" s="8" t="n">
        <f aca="false">T159*(VST_Assets!$AD$6+VST_PPAAdj)/1000000*(1+VST_RevAdj)</f>
        <v>0</v>
      </c>
      <c r="U165" s="8" t="n">
        <f aca="false">U159*(VST_Assets!$AD$6+VST_PPAAdj)/1000000*(1+VST_RevAdj)</f>
        <v>0</v>
      </c>
      <c r="V165" s="8" t="n">
        <f aca="false">V159*(VST_Assets!$AD$6+VST_PPAAdj)/1000000*(1+VST_RevAdj)</f>
        <v>0</v>
      </c>
      <c r="W165" s="8" t="n">
        <f aca="false">W159*(VST_Assets!$AD$6+VST_PPAAdj)/1000000*(1+VST_RevAdj)</f>
        <v>0</v>
      </c>
      <c r="X165" s="8" t="n">
        <f aca="false">X159*(VST_Assets!$AD$6+VST_PPAAdj)/1000000*(1+VST_RevAdj)</f>
        <v>0</v>
      </c>
      <c r="Y165" s="8" t="n">
        <f aca="false">Y159*(VST_Assets!$AD$6+VST_PPAAdj)/1000000*(1+VST_RevAdj)</f>
        <v>0</v>
      </c>
      <c r="Z165" s="8" t="n">
        <f aca="false">Z159*(VST_Assets!$AD$6+VST_PPAAdj)/1000000*(1+VST_RevAdj)</f>
        <v>0</v>
      </c>
      <c r="AA165" s="8" t="n">
        <f aca="false">AA159*(VST_Assets!$AD$6+VST_PPAAdj)/1000000*(1+VST_RevAdj)</f>
        <v>0</v>
      </c>
      <c r="AB165" s="8" t="n">
        <f aca="false">AB159*(VST_Assets!$AD$6+VST_PPAAdj)/1000000*(1+VST_RevAdj)</f>
        <v>0</v>
      </c>
      <c r="AC165" s="8" t="n">
        <f aca="false">AC159*(VST_Assets!$AD$6+VST_PPAAdj)/1000000*(1+VST_RevAdj)</f>
        <v>0</v>
      </c>
      <c r="AD165" s="8" t="n">
        <f aca="false">AD159*(VST_Assets!$AD$6+VST_PPAAdj)/1000000*(1+VST_RevAdj)</f>
        <v>0</v>
      </c>
      <c r="AE165" s="8" t="n">
        <f aca="false">AE159*(VST_Assets!$AD$6+VST_PPAAdj)/1000000*(1+VST_RevAdj)</f>
        <v>0</v>
      </c>
      <c r="AF165" s="8" t="n">
        <f aca="false">AF159*(VST_Assets!$AD$6+VST_PPAAdj)/1000000*(1+VST_RevAdj)</f>
        <v>0</v>
      </c>
      <c r="AG165" s="8" t="n">
        <f aca="false">AG159*(VST_Assets!$AD$6+VST_PPAAdj)/1000000*(1+VST_RevAdj)</f>
        <v>0</v>
      </c>
      <c r="AH165" s="8" t="n">
        <f aca="false">AH159*(VST_Assets!$AD$6+VST_PPAAdj)/1000000*(1+VST_RevAdj)</f>
        <v>0</v>
      </c>
      <c r="AI165" s="8" t="n">
        <f aca="false">AI159*(VST_Assets!$AD$6+VST_PPAAdj)/1000000*(1+VST_RevAdj)</f>
        <v>0</v>
      </c>
      <c r="AJ165" s="8" t="n">
        <f aca="false">AJ159*(VST_Assets!$AD$6+VST_PPAAdj)/1000000*(1+VST_RevAdj)</f>
        <v>0</v>
      </c>
      <c r="AK165" s="8" t="n">
        <f aca="false">AK159*(VST_Assets!$AD$6+VST_PPAAdj)/1000000*(1+VST_RevAdj)</f>
        <v>0</v>
      </c>
      <c r="AL165" s="8" t="n">
        <f aca="false">AL159*(VST_Assets!$AD$6+VST_PPAAdj)/1000000*(1+VST_RevAdj)</f>
        <v>0</v>
      </c>
      <c r="AM165" s="8" t="n">
        <f aca="false">AM159*(VST_Assets!$AD$6+VST_PPAAdj)/1000000*(1+VST_RevAdj)</f>
        <v>0</v>
      </c>
      <c r="AN165" s="8" t="n">
        <f aca="false">AN159*(VST_Assets!$AD$6+VST_PPAAdj)/1000000*(1+VST_RevAdj)</f>
        <v>0</v>
      </c>
      <c r="AO165" s="8" t="n">
        <f aca="false">AO159*(VST_Assets!$AD$6+VST_PPAAdj)/1000000*(1+VST_RevAdj)</f>
        <v>0</v>
      </c>
      <c r="AP165" s="8" t="n">
        <f aca="false">AP159*(VST_Assets!$AD$6+VST_PPAAdj)/1000000*(1+VST_RevAdj)</f>
        <v>0</v>
      </c>
      <c r="AQ165" s="8" t="n">
        <f aca="false">AQ159*(VST_Assets!$AD$6+VST_PPAAdj)/1000000*(1+VST_RevAdj)</f>
        <v>0</v>
      </c>
      <c r="AR165" s="8" t="n">
        <f aca="false">AR159*(VST_Assets!$AD$6+VST_PPAAdj)/1000000*(1+VST_RevAdj)</f>
        <v>0</v>
      </c>
      <c r="AS165" s="8" t="n">
        <f aca="false">AS159*(VST_Assets!$AD$6+VST_PPAAdj)/1000000*(1+VST_RevAdj)</f>
        <v>0</v>
      </c>
    </row>
    <row r="166" customFormat="false" ht="15" hidden="false" customHeight="false" outlineLevel="0" collapsed="false">
      <c r="A166" s="6" t="s">
        <v>445</v>
      </c>
      <c r="B166" s="6" t="s">
        <v>446</v>
      </c>
      <c r="C166" s="9" t="n">
        <f aca="false">SUM(G166:AS166)</f>
        <v>0</v>
      </c>
      <c r="G166" s="8" t="n">
        <f aca="false">IF(G$3&lt;=VST_Assets!$V$6,G158*VST_Assets!$U$6,0)/1000000*(1+VST_RevAdj)</f>
        <v>0</v>
      </c>
      <c r="H166" s="8" t="n">
        <f aca="false">IF(H$3&lt;=VST_Assets!$V$6,H158*VST_Assets!$U$6,0)/1000000*(1+VST_RevAdj)</f>
        <v>0</v>
      </c>
      <c r="I166" s="8" t="n">
        <f aca="false">IF(I$3&lt;=VST_Assets!$V$6,I158*VST_Assets!$U$6,0)/1000000*(1+VST_RevAdj)</f>
        <v>0</v>
      </c>
      <c r="J166" s="8" t="n">
        <f aca="false">IF(J$3&lt;=VST_Assets!$V$6,J158*VST_Assets!$U$6,0)/1000000*(1+VST_RevAdj)</f>
        <v>0</v>
      </c>
      <c r="K166" s="8" t="n">
        <f aca="false">IF(K$3&lt;=VST_Assets!$V$6,K158*VST_Assets!$U$6,0)/1000000*(1+VST_RevAdj)</f>
        <v>0</v>
      </c>
      <c r="L166" s="8" t="n">
        <f aca="false">IF(L$3&lt;=VST_Assets!$V$6,L158*VST_Assets!$U$6,0)/1000000*(1+VST_RevAdj)</f>
        <v>0</v>
      </c>
      <c r="M166" s="8" t="n">
        <f aca="false">IF(M$3&lt;=VST_Assets!$V$6,M158*VST_Assets!$U$6,0)/1000000*(1+VST_RevAdj)</f>
        <v>0</v>
      </c>
      <c r="N166" s="8" t="n">
        <f aca="false">IF(N$3&lt;=VST_Assets!$V$6,N158*VST_Assets!$U$6,0)/1000000*(1+VST_RevAdj)</f>
        <v>0</v>
      </c>
      <c r="O166" s="8" t="n">
        <f aca="false">IF(O$3&lt;=VST_Assets!$V$6,O158*VST_Assets!$U$6,0)/1000000*(1+VST_RevAdj)</f>
        <v>0</v>
      </c>
      <c r="P166" s="8" t="n">
        <f aca="false">IF(P$3&lt;=VST_Assets!$V$6,P158*VST_Assets!$U$6,0)/1000000*(1+VST_RevAdj)</f>
        <v>0</v>
      </c>
      <c r="Q166" s="8" t="n">
        <f aca="false">IF(Q$3&lt;=VST_Assets!$V$6,Q158*VST_Assets!$U$6,0)/1000000*(1+VST_RevAdj)</f>
        <v>0</v>
      </c>
      <c r="R166" s="8" t="n">
        <f aca="false">IF(R$3&lt;=VST_Assets!$V$6,R158*VST_Assets!$U$6,0)/1000000*(1+VST_RevAdj)</f>
        <v>0</v>
      </c>
      <c r="S166" s="8" t="n">
        <f aca="false">IF(S$3&lt;=VST_Assets!$V$6,S158*VST_Assets!$U$6,0)/1000000*(1+VST_RevAdj)</f>
        <v>0</v>
      </c>
      <c r="T166" s="8" t="n">
        <f aca="false">IF(T$3&lt;=VST_Assets!$V$6,T158*VST_Assets!$U$6,0)/1000000*(1+VST_RevAdj)</f>
        <v>0</v>
      </c>
      <c r="U166" s="8" t="n">
        <f aca="false">IF(U$3&lt;=VST_Assets!$V$6,U158*VST_Assets!$U$6,0)/1000000*(1+VST_RevAdj)</f>
        <v>0</v>
      </c>
      <c r="V166" s="8" t="n">
        <f aca="false">IF(V$3&lt;=VST_Assets!$V$6,V158*VST_Assets!$U$6,0)/1000000*(1+VST_RevAdj)</f>
        <v>0</v>
      </c>
      <c r="W166" s="8" t="n">
        <f aca="false">IF(W$3&lt;=VST_Assets!$V$6,W158*VST_Assets!$U$6,0)/1000000*(1+VST_RevAdj)</f>
        <v>0</v>
      </c>
      <c r="X166" s="8" t="n">
        <f aca="false">IF(X$3&lt;=VST_Assets!$V$6,X158*VST_Assets!$U$6,0)/1000000*(1+VST_RevAdj)</f>
        <v>0</v>
      </c>
      <c r="Y166" s="8" t="n">
        <f aca="false">IF(Y$3&lt;=VST_Assets!$V$6,Y158*VST_Assets!$U$6,0)/1000000*(1+VST_RevAdj)</f>
        <v>0</v>
      </c>
      <c r="Z166" s="8" t="n">
        <f aca="false">IF(Z$3&lt;=VST_Assets!$V$6,Z158*VST_Assets!$U$6,0)/1000000*(1+VST_RevAdj)</f>
        <v>0</v>
      </c>
      <c r="AA166" s="8" t="n">
        <f aca="false">IF(AA$3&lt;=VST_Assets!$V$6,AA158*VST_Assets!$U$6,0)/1000000*(1+VST_RevAdj)</f>
        <v>0</v>
      </c>
      <c r="AB166" s="8" t="n">
        <f aca="false">IF(AB$3&lt;=VST_Assets!$V$6,AB158*VST_Assets!$U$6,0)/1000000*(1+VST_RevAdj)</f>
        <v>0</v>
      </c>
      <c r="AC166" s="8" t="n">
        <f aca="false">IF(AC$3&lt;=VST_Assets!$V$6,AC158*VST_Assets!$U$6,0)/1000000*(1+VST_RevAdj)</f>
        <v>0</v>
      </c>
      <c r="AD166" s="8" t="n">
        <f aca="false">IF(AD$3&lt;=VST_Assets!$V$6,AD158*VST_Assets!$U$6,0)/1000000*(1+VST_RevAdj)</f>
        <v>0</v>
      </c>
      <c r="AE166" s="8" t="n">
        <f aca="false">IF(AE$3&lt;=VST_Assets!$V$6,AE158*VST_Assets!$U$6,0)/1000000*(1+VST_RevAdj)</f>
        <v>0</v>
      </c>
      <c r="AF166" s="8" t="n">
        <f aca="false">IF(AF$3&lt;=VST_Assets!$V$6,AF158*VST_Assets!$U$6,0)/1000000*(1+VST_RevAdj)</f>
        <v>0</v>
      </c>
      <c r="AG166" s="8" t="n">
        <f aca="false">IF(AG$3&lt;=VST_Assets!$V$6,AG158*VST_Assets!$U$6,0)/1000000*(1+VST_RevAdj)</f>
        <v>0</v>
      </c>
      <c r="AH166" s="8" t="n">
        <f aca="false">IF(AH$3&lt;=VST_Assets!$V$6,AH158*VST_Assets!$U$6,0)/1000000*(1+VST_RevAdj)</f>
        <v>0</v>
      </c>
      <c r="AI166" s="8" t="n">
        <f aca="false">IF(AI$3&lt;=VST_Assets!$V$6,AI158*VST_Assets!$U$6,0)/1000000*(1+VST_RevAdj)</f>
        <v>0</v>
      </c>
      <c r="AJ166" s="8" t="n">
        <f aca="false">IF(AJ$3&lt;=VST_Assets!$V$6,AJ158*VST_Assets!$U$6,0)/1000000*(1+VST_RevAdj)</f>
        <v>0</v>
      </c>
      <c r="AK166" s="8" t="n">
        <f aca="false">IF(AK$3&lt;=VST_Assets!$V$6,AK158*VST_Assets!$U$6,0)/1000000*(1+VST_RevAdj)</f>
        <v>0</v>
      </c>
      <c r="AL166" s="8" t="n">
        <f aca="false">IF(AL$3&lt;=VST_Assets!$V$6,AL158*VST_Assets!$U$6,0)/1000000*(1+VST_RevAdj)</f>
        <v>0</v>
      </c>
      <c r="AM166" s="8" t="n">
        <f aca="false">IF(AM$3&lt;=VST_Assets!$V$6,AM158*VST_Assets!$U$6,0)/1000000*(1+VST_RevAdj)</f>
        <v>0</v>
      </c>
      <c r="AN166" s="8" t="n">
        <f aca="false">IF(AN$3&lt;=VST_Assets!$V$6,AN158*VST_Assets!$U$6,0)/1000000*(1+VST_RevAdj)</f>
        <v>0</v>
      </c>
      <c r="AO166" s="8" t="n">
        <f aca="false">IF(AO$3&lt;=VST_Assets!$V$6,AO158*VST_Assets!$U$6,0)/1000000*(1+VST_RevAdj)</f>
        <v>0</v>
      </c>
      <c r="AP166" s="8" t="n">
        <f aca="false">IF(AP$3&lt;=VST_Assets!$V$6,AP158*VST_Assets!$U$6,0)/1000000*(1+VST_RevAdj)</f>
        <v>0</v>
      </c>
      <c r="AQ166" s="8" t="n">
        <f aca="false">IF(AQ$3&lt;=VST_Assets!$V$6,AQ158*VST_Assets!$U$6,0)/1000000*(1+VST_RevAdj)</f>
        <v>0</v>
      </c>
      <c r="AR166" s="8" t="n">
        <f aca="false">IF(AR$3&lt;=VST_Assets!$V$6,AR158*VST_Assets!$U$6,0)/1000000*(1+VST_RevAdj)</f>
        <v>0</v>
      </c>
      <c r="AS166" s="8" t="n">
        <f aca="false">IF(AS$3&lt;=VST_Assets!$V$6,AS158*VST_Assets!$U$6,0)/1000000*(1+VST_RevAdj)</f>
        <v>0</v>
      </c>
    </row>
    <row r="167" customFormat="false" ht="15" hidden="false" customHeight="false" outlineLevel="0" collapsed="false">
      <c r="A167" s="6" t="s">
        <v>447</v>
      </c>
      <c r="B167" s="6" t="s">
        <v>448</v>
      </c>
      <c r="C167" s="9" t="n">
        <f aca="false">SUM(G167:AS167)</f>
        <v>2453.43938738373</v>
      </c>
      <c r="G167" s="8" t="n">
        <f aca="false">G163+G164+G165+G166</f>
        <v>148.0878</v>
      </c>
      <c r="H167" s="8" t="n">
        <f aca="false">H163+H164+H165+H166</f>
        <v>154.1322</v>
      </c>
      <c r="I167" s="8" t="n">
        <f aca="false">I163+I164+I165+I166</f>
        <v>158.83695001044</v>
      </c>
      <c r="J167" s="8" t="n">
        <f aca="false">J163+J164+J165+J166</f>
        <v>163.729890021298</v>
      </c>
      <c r="K167" s="8" t="n">
        <f aca="false">K163+K164+K165+K166</f>
        <v>167.004487821724</v>
      </c>
      <c r="L167" s="8" t="n">
        <f aca="false">L163+L164+L165+L166</f>
        <v>170.344577578158</v>
      </c>
      <c r="M167" s="8" t="n">
        <f aca="false">M163+M164+M165+M166</f>
        <v>173.751469129721</v>
      </c>
      <c r="N167" s="8" t="n">
        <f aca="false">N163+N164+N165+N166</f>
        <v>177.226498512316</v>
      </c>
      <c r="O167" s="8" t="n">
        <f aca="false">O163+O164+O165+O166</f>
        <v>180.771028482562</v>
      </c>
      <c r="P167" s="8" t="n">
        <f aca="false">P163+P164+P165+P166</f>
        <v>184.386449052213</v>
      </c>
      <c r="Q167" s="8" t="n">
        <f aca="false">Q163+Q164+Q165+Q166</f>
        <v>188.074178033257</v>
      </c>
      <c r="R167" s="8" t="n">
        <f aca="false">R163+R164+R165+R166</f>
        <v>191.835661593923</v>
      </c>
      <c r="S167" s="8" t="n">
        <f aca="false">S163+S164+S165+S166</f>
        <v>195.672374825801</v>
      </c>
      <c r="T167" s="8" t="n">
        <f aca="false">T163+T164+T165+T166</f>
        <v>199.585822322317</v>
      </c>
      <c r="U167" s="8" t="n">
        <f aca="false">U163+U164+U165+U166</f>
        <v>0</v>
      </c>
      <c r="V167" s="8" t="n">
        <f aca="false">V163+V164+V165+V166</f>
        <v>0</v>
      </c>
      <c r="W167" s="8" t="n">
        <f aca="false">W163+W164+W165+W166</f>
        <v>0</v>
      </c>
      <c r="X167" s="8" t="n">
        <f aca="false">X163+X164+X165+X166</f>
        <v>0</v>
      </c>
      <c r="Y167" s="8" t="n">
        <f aca="false">Y163+Y164+Y165+Y166</f>
        <v>0</v>
      </c>
      <c r="Z167" s="8" t="n">
        <f aca="false">Z163+Z164+Z165+Z166</f>
        <v>0</v>
      </c>
      <c r="AA167" s="8" t="n">
        <f aca="false">AA163+AA164+AA165+AA166</f>
        <v>0</v>
      </c>
      <c r="AB167" s="8" t="n">
        <f aca="false">AB163+AB164+AB165+AB166</f>
        <v>0</v>
      </c>
      <c r="AC167" s="8" t="n">
        <f aca="false">AC163+AC164+AC165+AC166</f>
        <v>0</v>
      </c>
      <c r="AD167" s="8" t="n">
        <f aca="false">AD163+AD164+AD165+AD166</f>
        <v>0</v>
      </c>
      <c r="AE167" s="8" t="n">
        <f aca="false">AE163+AE164+AE165+AE166</f>
        <v>0</v>
      </c>
      <c r="AF167" s="8" t="n">
        <f aca="false">AF163+AF164+AF165+AF166</f>
        <v>0</v>
      </c>
      <c r="AG167" s="8" t="n">
        <f aca="false">AG163+AG164+AG165+AG166</f>
        <v>0</v>
      </c>
      <c r="AH167" s="8" t="n">
        <f aca="false">AH163+AH164+AH165+AH166</f>
        <v>0</v>
      </c>
      <c r="AI167" s="8" t="n">
        <f aca="false">AI163+AI164+AI165+AI166</f>
        <v>0</v>
      </c>
      <c r="AJ167" s="8" t="n">
        <f aca="false">AJ163+AJ164+AJ165+AJ166</f>
        <v>0</v>
      </c>
      <c r="AK167" s="8" t="n">
        <f aca="false">AK163+AK164+AK165+AK166</f>
        <v>0</v>
      </c>
      <c r="AL167" s="8" t="n">
        <f aca="false">AL163+AL164+AL165+AL166</f>
        <v>0</v>
      </c>
      <c r="AM167" s="8" t="n">
        <f aca="false">AM163+AM164+AM165+AM166</f>
        <v>0</v>
      </c>
      <c r="AN167" s="8" t="n">
        <f aca="false">AN163+AN164+AN165+AN166</f>
        <v>0</v>
      </c>
      <c r="AO167" s="8" t="n">
        <f aca="false">AO163+AO164+AO165+AO166</f>
        <v>0</v>
      </c>
      <c r="AP167" s="8" t="n">
        <f aca="false">AP163+AP164+AP165+AP166</f>
        <v>0</v>
      </c>
      <c r="AQ167" s="8" t="n">
        <f aca="false">AQ163+AQ164+AQ165+AQ166</f>
        <v>0</v>
      </c>
      <c r="AR167" s="8" t="n">
        <f aca="false">AR163+AR164+AR165+AR166</f>
        <v>0</v>
      </c>
      <c r="AS167" s="8" t="n">
        <f aca="false">AS163+AS164+AS165+AS166</f>
        <v>0</v>
      </c>
    </row>
    <row r="168" customFormat="false" ht="15" hidden="false" customHeight="false" outlineLevel="0" collapsed="false">
      <c r="A168" s="6" t="s">
        <v>449</v>
      </c>
      <c r="B168" s="6" t="s">
        <v>450</v>
      </c>
      <c r="C168" s="9" t="n">
        <f aca="false">SUM(G168:AS168)</f>
        <v>954.156057089214</v>
      </c>
      <c r="G168" s="8" t="n">
        <f aca="false">((VST_Assets!$K$6*G160+VST_Assets!$M$6*G$4)*G158*G162+VST_Assets!$N$6*(1+VST_Assets!$Q$6)^(G$3-2026)*(G158+G159))/1000000*(1+VST_FuelAdj)</f>
        <v>58.60106244</v>
      </c>
      <c r="H168" s="8" t="n">
        <f aca="false">((VST_Assets!$K$6*H160+VST_Assets!$M$6*H$4)*H158*H162+VST_Assets!$N$6*(1+VST_Assets!$Q$6)^(H$3-2026)*(H158+H159))/1000000*(1+VST_FuelAdj)</f>
        <v>59.7730836888</v>
      </c>
      <c r="I168" s="8" t="n">
        <f aca="false">((VST_Assets!$K$6*I160+VST_Assets!$M$6*I$4)*I158*I162+VST_Assets!$N$6*(1+VST_Assets!$Q$6)^(I$3-2026)*(I158+I159))/1000000*(1+VST_FuelAdj)</f>
        <v>62.315562145968</v>
      </c>
      <c r="J168" s="8" t="n">
        <f aca="false">((VST_Assets!$K$6*J160+VST_Assets!$M$6*J$4)*J158*J162+VST_Assets!$N$6*(1+VST_Assets!$Q$6)^(J$3-2026)*(J158+J159))/1000000*(1+VST_FuelAdj)</f>
        <v>63.5618733888874</v>
      </c>
      <c r="K168" s="8" t="n">
        <f aca="false">((VST_Assets!$K$6*K160+VST_Assets!$M$6*K$4)*K158*K162+VST_Assets!$N$6*(1+VST_Assets!$Q$6)^(K$3-2026)*(K158+K159))/1000000*(1+VST_FuelAdj)</f>
        <v>64.8331108566651</v>
      </c>
      <c r="L168" s="8" t="n">
        <f aca="false">((VST_Assets!$K$6*L160+VST_Assets!$M$6*L$4)*L158*L162+VST_Assets!$N$6*(1+VST_Assets!$Q$6)^(L$3-2026)*(L158+L159))/1000000*(1+VST_FuelAdj)</f>
        <v>66.1297730737984</v>
      </c>
      <c r="M168" s="8" t="n">
        <f aca="false">((VST_Assets!$K$6*M160+VST_Assets!$M$6*M$4)*M158*M162+VST_Assets!$N$6*(1+VST_Assets!$Q$6)^(M$3-2026)*(M158+M159))/1000000*(1+VST_FuelAdj)</f>
        <v>67.4523685352744</v>
      </c>
      <c r="N168" s="8" t="n">
        <f aca="false">((VST_Assets!$K$6*N160+VST_Assets!$M$6*N$4)*N158*N162+VST_Assets!$N$6*(1+VST_Assets!$Q$6)^(N$3-2026)*(N158+N159))/1000000*(1+VST_FuelAdj)</f>
        <v>68.8014159059799</v>
      </c>
      <c r="O168" s="8" t="n">
        <f aca="false">((VST_Assets!$K$6*O160+VST_Assets!$M$6*O$4)*O158*O162+VST_Assets!$N$6*(1+VST_Assets!$Q$6)^(O$3-2026)*(O158+O159))/1000000*(1+VST_FuelAdj)</f>
        <v>70.1774442240995</v>
      </c>
      <c r="P168" s="8" t="n">
        <f aca="false">((VST_Assets!$K$6*P160+VST_Assets!$M$6*P$4)*P158*P162+VST_Assets!$N$6*(1+VST_Assets!$Q$6)^(P$3-2026)*(P158+P159))/1000000*(1+VST_FuelAdj)</f>
        <v>71.5809931085815</v>
      </c>
      <c r="Q168" s="8" t="n">
        <f aca="false">((VST_Assets!$K$6*Q160+VST_Assets!$M$6*Q$4)*Q158*Q162+VST_Assets!$N$6*(1+VST_Assets!$Q$6)^(Q$3-2026)*(Q158+Q159))/1000000*(1+VST_FuelAdj)</f>
        <v>73.0126129707531</v>
      </c>
      <c r="R168" s="8" t="n">
        <f aca="false">((VST_Assets!$K$6*R160+VST_Assets!$M$6*R$4)*R158*R162+VST_Assets!$N$6*(1+VST_Assets!$Q$6)^(R$3-2026)*(R158+R159))/1000000*(1+VST_FuelAdj)</f>
        <v>74.4728652301682</v>
      </c>
      <c r="S168" s="8" t="n">
        <f aca="false">((VST_Assets!$K$6*S160+VST_Assets!$M$6*S$4)*S158*S162+VST_Assets!$N$6*(1+VST_Assets!$Q$6)^(S$3-2026)*(S158+S159))/1000000*(1+VST_FuelAdj)</f>
        <v>75.9623225347715</v>
      </c>
      <c r="T168" s="8" t="n">
        <f aca="false">((VST_Assets!$K$6*T160+VST_Assets!$M$6*T$4)*T158*T162+VST_Assets!$N$6*(1+VST_Assets!$Q$6)^(T$3-2026)*(T158+T159))/1000000*(1+VST_FuelAdj)</f>
        <v>77.481568985467</v>
      </c>
      <c r="U168" s="8" t="n">
        <f aca="false">((VST_Assets!$K$6*U160+VST_Assets!$M$6*U$4)*U158*U162+VST_Assets!$N$6*(1+VST_Assets!$Q$6)^(U$3-2026)*(U158+U159))/1000000*(1+VST_FuelAdj)</f>
        <v>0</v>
      </c>
      <c r="V168" s="8" t="n">
        <f aca="false">((VST_Assets!$K$6*V160+VST_Assets!$M$6*V$4)*V158*V162+VST_Assets!$N$6*(1+VST_Assets!$Q$6)^(V$3-2026)*(V158+V159))/1000000*(1+VST_FuelAdj)</f>
        <v>0</v>
      </c>
      <c r="W168" s="8" t="n">
        <f aca="false">((VST_Assets!$K$6*W160+VST_Assets!$M$6*W$4)*W158*W162+VST_Assets!$N$6*(1+VST_Assets!$Q$6)^(W$3-2026)*(W158+W159))/1000000*(1+VST_FuelAdj)</f>
        <v>0</v>
      </c>
      <c r="X168" s="8" t="n">
        <f aca="false">((VST_Assets!$K$6*X160+VST_Assets!$M$6*X$4)*X158*X162+VST_Assets!$N$6*(1+VST_Assets!$Q$6)^(X$3-2026)*(X158+X159))/1000000*(1+VST_FuelAdj)</f>
        <v>0</v>
      </c>
      <c r="Y168" s="8" t="n">
        <f aca="false">((VST_Assets!$K$6*Y160+VST_Assets!$M$6*Y$4)*Y158*Y162+VST_Assets!$N$6*(1+VST_Assets!$Q$6)^(Y$3-2026)*(Y158+Y159))/1000000*(1+VST_FuelAdj)</f>
        <v>0</v>
      </c>
      <c r="Z168" s="8" t="n">
        <f aca="false">((VST_Assets!$K$6*Z160+VST_Assets!$M$6*Z$4)*Z158*Z162+VST_Assets!$N$6*(1+VST_Assets!$Q$6)^(Z$3-2026)*(Z158+Z159))/1000000*(1+VST_FuelAdj)</f>
        <v>0</v>
      </c>
      <c r="AA168" s="8" t="n">
        <f aca="false">((VST_Assets!$K$6*AA160+VST_Assets!$M$6*AA$4)*AA158*AA162+VST_Assets!$N$6*(1+VST_Assets!$Q$6)^(AA$3-2026)*(AA158+AA159))/1000000*(1+VST_FuelAdj)</f>
        <v>0</v>
      </c>
      <c r="AB168" s="8" t="n">
        <f aca="false">((VST_Assets!$K$6*AB160+VST_Assets!$M$6*AB$4)*AB158*AB162+VST_Assets!$N$6*(1+VST_Assets!$Q$6)^(AB$3-2026)*(AB158+AB159))/1000000*(1+VST_FuelAdj)</f>
        <v>0</v>
      </c>
      <c r="AC168" s="8" t="n">
        <f aca="false">((VST_Assets!$K$6*AC160+VST_Assets!$M$6*AC$4)*AC158*AC162+VST_Assets!$N$6*(1+VST_Assets!$Q$6)^(AC$3-2026)*(AC158+AC159))/1000000*(1+VST_FuelAdj)</f>
        <v>0</v>
      </c>
      <c r="AD168" s="8" t="n">
        <f aca="false">((VST_Assets!$K$6*AD160+VST_Assets!$M$6*AD$4)*AD158*AD162+VST_Assets!$N$6*(1+VST_Assets!$Q$6)^(AD$3-2026)*(AD158+AD159))/1000000*(1+VST_FuelAdj)</f>
        <v>0</v>
      </c>
      <c r="AE168" s="8" t="n">
        <f aca="false">((VST_Assets!$K$6*AE160+VST_Assets!$M$6*AE$4)*AE158*AE162+VST_Assets!$N$6*(1+VST_Assets!$Q$6)^(AE$3-2026)*(AE158+AE159))/1000000*(1+VST_FuelAdj)</f>
        <v>0</v>
      </c>
      <c r="AF168" s="8" t="n">
        <f aca="false">((VST_Assets!$K$6*AF160+VST_Assets!$M$6*AF$4)*AF158*AF162+VST_Assets!$N$6*(1+VST_Assets!$Q$6)^(AF$3-2026)*(AF158+AF159))/1000000*(1+VST_FuelAdj)</f>
        <v>0</v>
      </c>
      <c r="AG168" s="8" t="n">
        <f aca="false">((VST_Assets!$K$6*AG160+VST_Assets!$M$6*AG$4)*AG158*AG162+VST_Assets!$N$6*(1+VST_Assets!$Q$6)^(AG$3-2026)*(AG158+AG159))/1000000*(1+VST_FuelAdj)</f>
        <v>0</v>
      </c>
      <c r="AH168" s="8" t="n">
        <f aca="false">((VST_Assets!$K$6*AH160+VST_Assets!$M$6*AH$4)*AH158*AH162+VST_Assets!$N$6*(1+VST_Assets!$Q$6)^(AH$3-2026)*(AH158+AH159))/1000000*(1+VST_FuelAdj)</f>
        <v>0</v>
      </c>
      <c r="AI168" s="8" t="n">
        <f aca="false">((VST_Assets!$K$6*AI160+VST_Assets!$M$6*AI$4)*AI158*AI162+VST_Assets!$N$6*(1+VST_Assets!$Q$6)^(AI$3-2026)*(AI158+AI159))/1000000*(1+VST_FuelAdj)</f>
        <v>0</v>
      </c>
      <c r="AJ168" s="8" t="n">
        <f aca="false">((VST_Assets!$K$6*AJ160+VST_Assets!$M$6*AJ$4)*AJ158*AJ162+VST_Assets!$N$6*(1+VST_Assets!$Q$6)^(AJ$3-2026)*(AJ158+AJ159))/1000000*(1+VST_FuelAdj)</f>
        <v>0</v>
      </c>
      <c r="AK168" s="8" t="n">
        <f aca="false">((VST_Assets!$K$6*AK160+VST_Assets!$M$6*AK$4)*AK158*AK162+VST_Assets!$N$6*(1+VST_Assets!$Q$6)^(AK$3-2026)*(AK158+AK159))/1000000*(1+VST_FuelAdj)</f>
        <v>0</v>
      </c>
      <c r="AL168" s="8" t="n">
        <f aca="false">((VST_Assets!$K$6*AL160+VST_Assets!$M$6*AL$4)*AL158*AL162+VST_Assets!$N$6*(1+VST_Assets!$Q$6)^(AL$3-2026)*(AL158+AL159))/1000000*(1+VST_FuelAdj)</f>
        <v>0</v>
      </c>
      <c r="AM168" s="8" t="n">
        <f aca="false">((VST_Assets!$K$6*AM160+VST_Assets!$M$6*AM$4)*AM158*AM162+VST_Assets!$N$6*(1+VST_Assets!$Q$6)^(AM$3-2026)*(AM158+AM159))/1000000*(1+VST_FuelAdj)</f>
        <v>0</v>
      </c>
      <c r="AN168" s="8" t="n">
        <f aca="false">((VST_Assets!$K$6*AN160+VST_Assets!$M$6*AN$4)*AN158*AN162+VST_Assets!$N$6*(1+VST_Assets!$Q$6)^(AN$3-2026)*(AN158+AN159))/1000000*(1+VST_FuelAdj)</f>
        <v>0</v>
      </c>
      <c r="AO168" s="8" t="n">
        <f aca="false">((VST_Assets!$K$6*AO160+VST_Assets!$M$6*AO$4)*AO158*AO162+VST_Assets!$N$6*(1+VST_Assets!$Q$6)^(AO$3-2026)*(AO158+AO159))/1000000*(1+VST_FuelAdj)</f>
        <v>0</v>
      </c>
      <c r="AP168" s="8" t="n">
        <f aca="false">((VST_Assets!$K$6*AP160+VST_Assets!$M$6*AP$4)*AP158*AP162+VST_Assets!$N$6*(1+VST_Assets!$Q$6)^(AP$3-2026)*(AP158+AP159))/1000000*(1+VST_FuelAdj)</f>
        <v>0</v>
      </c>
      <c r="AQ168" s="8" t="n">
        <f aca="false">((VST_Assets!$K$6*AQ160+VST_Assets!$M$6*AQ$4)*AQ158*AQ162+VST_Assets!$N$6*(1+VST_Assets!$Q$6)^(AQ$3-2026)*(AQ158+AQ159))/1000000*(1+VST_FuelAdj)</f>
        <v>0</v>
      </c>
      <c r="AR168" s="8" t="n">
        <f aca="false">((VST_Assets!$K$6*AR160+VST_Assets!$M$6*AR$4)*AR158*AR162+VST_Assets!$N$6*(1+VST_Assets!$Q$6)^(AR$3-2026)*(AR158+AR159))/1000000*(1+VST_FuelAdj)</f>
        <v>0</v>
      </c>
      <c r="AS168" s="8" t="n">
        <f aca="false">((VST_Assets!$K$6*AS160+VST_Assets!$M$6*AS$4)*AS158*AS162+VST_Assets!$N$6*(1+VST_Assets!$Q$6)^(AS$3-2026)*(AS158+AS159))/1000000*(1+VST_FuelAdj)</f>
        <v>0</v>
      </c>
    </row>
    <row r="169" customFormat="false" ht="15" hidden="false" customHeight="false" outlineLevel="0" collapsed="false">
      <c r="A169" s="6" t="s">
        <v>451</v>
      </c>
      <c r="B169" s="6" t="s">
        <v>452</v>
      </c>
      <c r="C169" s="9" t="n">
        <f aca="false">SUM(G169:AS169)</f>
        <v>1499.28333029452</v>
      </c>
      <c r="G169" s="8" t="n">
        <f aca="false">G167-G168</f>
        <v>89.48673756</v>
      </c>
      <c r="H169" s="8" t="n">
        <f aca="false">H167-H168</f>
        <v>94.3591163112</v>
      </c>
      <c r="I169" s="8" t="n">
        <f aca="false">I167-I168</f>
        <v>96.521387864472</v>
      </c>
      <c r="J169" s="8" t="n">
        <f aca="false">J167-J168</f>
        <v>100.16801663241</v>
      </c>
      <c r="K169" s="8" t="n">
        <f aca="false">K167-K168</f>
        <v>102.171376965058</v>
      </c>
      <c r="L169" s="8" t="n">
        <f aca="false">L167-L168</f>
        <v>104.21480450436</v>
      </c>
      <c r="M169" s="8" t="n">
        <f aca="false">M167-M168</f>
        <v>106.299100594447</v>
      </c>
      <c r="N169" s="8" t="n">
        <f aca="false">N167-N168</f>
        <v>108.425082606336</v>
      </c>
      <c r="O169" s="8" t="n">
        <f aca="false">O167-O168</f>
        <v>110.593584258462</v>
      </c>
      <c r="P169" s="8" t="n">
        <f aca="false">P167-P168</f>
        <v>112.805455943632</v>
      </c>
      <c r="Q169" s="8" t="n">
        <f aca="false">Q167-Q168</f>
        <v>115.061565062504</v>
      </c>
      <c r="R169" s="8" t="n">
        <f aca="false">R167-R168</f>
        <v>117.362796363755</v>
      </c>
      <c r="S169" s="8" t="n">
        <f aca="false">S167-S168</f>
        <v>119.71005229103</v>
      </c>
      <c r="T169" s="8" t="n">
        <f aca="false">T167-T168</f>
        <v>122.10425333685</v>
      </c>
      <c r="U169" s="8" t="n">
        <f aca="false">U167-U168</f>
        <v>0</v>
      </c>
      <c r="V169" s="8" t="n">
        <f aca="false">V167-V168</f>
        <v>0</v>
      </c>
      <c r="W169" s="8" t="n">
        <f aca="false">W167-W168</f>
        <v>0</v>
      </c>
      <c r="X169" s="8" t="n">
        <f aca="false">X167-X168</f>
        <v>0</v>
      </c>
      <c r="Y169" s="8" t="n">
        <f aca="false">Y167-Y168</f>
        <v>0</v>
      </c>
      <c r="Z169" s="8" t="n">
        <f aca="false">Z167-Z168</f>
        <v>0</v>
      </c>
      <c r="AA169" s="8" t="n">
        <f aca="false">AA167-AA168</f>
        <v>0</v>
      </c>
      <c r="AB169" s="8" t="n">
        <f aca="false">AB167-AB168</f>
        <v>0</v>
      </c>
      <c r="AC169" s="8" t="n">
        <f aca="false">AC167-AC168</f>
        <v>0</v>
      </c>
      <c r="AD169" s="8" t="n">
        <f aca="false">AD167-AD168</f>
        <v>0</v>
      </c>
      <c r="AE169" s="8" t="n">
        <f aca="false">AE167-AE168</f>
        <v>0</v>
      </c>
      <c r="AF169" s="8" t="n">
        <f aca="false">AF167-AF168</f>
        <v>0</v>
      </c>
      <c r="AG169" s="8" t="n">
        <f aca="false">AG167-AG168</f>
        <v>0</v>
      </c>
      <c r="AH169" s="8" t="n">
        <f aca="false">AH167-AH168</f>
        <v>0</v>
      </c>
      <c r="AI169" s="8" t="n">
        <f aca="false">AI167-AI168</f>
        <v>0</v>
      </c>
      <c r="AJ169" s="8" t="n">
        <f aca="false">AJ167-AJ168</f>
        <v>0</v>
      </c>
      <c r="AK169" s="8" t="n">
        <f aca="false">AK167-AK168</f>
        <v>0</v>
      </c>
      <c r="AL169" s="8" t="n">
        <f aca="false">AL167-AL168</f>
        <v>0</v>
      </c>
      <c r="AM169" s="8" t="n">
        <f aca="false">AM167-AM168</f>
        <v>0</v>
      </c>
      <c r="AN169" s="8" t="n">
        <f aca="false">AN167-AN168</f>
        <v>0</v>
      </c>
      <c r="AO169" s="8" t="n">
        <f aca="false">AO167-AO168</f>
        <v>0</v>
      </c>
      <c r="AP169" s="8" t="n">
        <f aca="false">AP167-AP168</f>
        <v>0</v>
      </c>
      <c r="AQ169" s="8" t="n">
        <f aca="false">AQ167-AQ168</f>
        <v>0</v>
      </c>
      <c r="AR169" s="8" t="n">
        <f aca="false">AR167-AR168</f>
        <v>0</v>
      </c>
      <c r="AS169" s="8" t="n">
        <f aca="false">AS167-AS168</f>
        <v>0</v>
      </c>
    </row>
    <row r="170" customFormat="false" ht="15" hidden="false" customHeight="false" outlineLevel="0" collapsed="false">
      <c r="A170" s="6" t="s">
        <v>453</v>
      </c>
      <c r="B170" s="6" t="s">
        <v>454</v>
      </c>
      <c r="C170" s="9" t="n">
        <f aca="false">SUM(G170:AS170)</f>
        <v>674.547460330948</v>
      </c>
      <c r="G170" s="8" t="n">
        <f aca="false">(VST_Assets!$R$6*VST_Assets!$D$6*1000*G$4*G156+VST_Assets!$O$6*(1+VST_Assets!$Q$6)^(G$3-2026)*(G158+G159))/1000000*(1+VST_OMAdj)</f>
        <v>42.228</v>
      </c>
      <c r="H170" s="8" t="n">
        <f aca="false">(VST_Assets!$R$6*VST_Assets!$D$6*1000*H$4*H156+VST_Assets!$O$6*(1+VST_Assets!$Q$6)^(H$3-2026)*(H158+H159))/1000000*(1+VST_OMAdj)</f>
        <v>43.07256</v>
      </c>
      <c r="I170" s="8" t="n">
        <f aca="false">(VST_Assets!$R$6*VST_Assets!$D$6*1000*I$4*I156+VST_Assets!$O$6*(1+VST_Assets!$Q$6)^(I$3-2026)*(I158+I159))/1000000*(1+VST_OMAdj)</f>
        <v>43.9340112</v>
      </c>
      <c r="J170" s="8" t="n">
        <f aca="false">(VST_Assets!$R$6*VST_Assets!$D$6*1000*J$4*J156+VST_Assets!$O$6*(1+VST_Assets!$Q$6)^(J$3-2026)*(J158+J159))/1000000*(1+VST_OMAdj)</f>
        <v>44.812691424</v>
      </c>
      <c r="K170" s="8" t="n">
        <f aca="false">(VST_Assets!$R$6*VST_Assets!$D$6*1000*K$4*K156+VST_Assets!$O$6*(1+VST_Assets!$Q$6)^(K$3-2026)*(K158+K159))/1000000*(1+VST_OMAdj)</f>
        <v>45.70894525248</v>
      </c>
      <c r="L170" s="8" t="n">
        <f aca="false">(VST_Assets!$R$6*VST_Assets!$D$6*1000*L$4*L156+VST_Assets!$O$6*(1+VST_Assets!$Q$6)^(L$3-2026)*(L158+L159))/1000000*(1+VST_OMAdj)</f>
        <v>46.6231241575296</v>
      </c>
      <c r="M170" s="8" t="n">
        <f aca="false">(VST_Assets!$R$6*VST_Assets!$D$6*1000*M$4*M156+VST_Assets!$O$6*(1+VST_Assets!$Q$6)^(M$3-2026)*(M158+M159))/1000000*(1+VST_OMAdj)</f>
        <v>47.5555866406802</v>
      </c>
      <c r="N170" s="8" t="n">
        <f aca="false">(VST_Assets!$R$6*VST_Assets!$D$6*1000*N$4*N156+VST_Assets!$O$6*(1+VST_Assets!$Q$6)^(N$3-2026)*(N158+N159))/1000000*(1+VST_OMAdj)</f>
        <v>48.5066983734938</v>
      </c>
      <c r="O170" s="8" t="n">
        <f aca="false">(VST_Assets!$R$6*VST_Assets!$D$6*1000*O$4*O156+VST_Assets!$O$6*(1+VST_Assets!$Q$6)^(O$3-2026)*(O158+O159))/1000000*(1+VST_OMAdj)</f>
        <v>49.4768323409637</v>
      </c>
      <c r="P170" s="8" t="n">
        <f aca="false">(VST_Assets!$R$6*VST_Assets!$D$6*1000*P$4*P156+VST_Assets!$O$6*(1+VST_Assets!$Q$6)^(P$3-2026)*(P158+P159))/1000000*(1+VST_OMAdj)</f>
        <v>50.466368987783</v>
      </c>
      <c r="Q170" s="8" t="n">
        <f aca="false">(VST_Assets!$R$6*VST_Assets!$D$6*1000*Q$4*Q156+VST_Assets!$O$6*(1+VST_Assets!$Q$6)^(Q$3-2026)*(Q158+Q159))/1000000*(1+VST_OMAdj)</f>
        <v>51.4756963675386</v>
      </c>
      <c r="R170" s="8" t="n">
        <f aca="false">(VST_Assets!$R$6*VST_Assets!$D$6*1000*R$4*R156+VST_Assets!$O$6*(1+VST_Assets!$Q$6)^(R$3-2026)*(R158+R159))/1000000*(1+VST_OMAdj)</f>
        <v>52.5052102948894</v>
      </c>
      <c r="S170" s="8" t="n">
        <f aca="false">(VST_Assets!$R$6*VST_Assets!$D$6*1000*S$4*S156+VST_Assets!$O$6*(1+VST_Assets!$Q$6)^(S$3-2026)*(S158+S159))/1000000*(1+VST_OMAdj)</f>
        <v>53.5553145007872</v>
      </c>
      <c r="T170" s="8" t="n">
        <f aca="false">(VST_Assets!$R$6*VST_Assets!$D$6*1000*T$4*T156+VST_Assets!$O$6*(1+VST_Assets!$Q$6)^(T$3-2026)*(T158+T159))/1000000*(1+VST_OMAdj)</f>
        <v>54.6264207908029</v>
      </c>
      <c r="U170" s="8" t="n">
        <f aca="false">(VST_Assets!$R$6*VST_Assets!$D$6*1000*U$4*U156+VST_Assets!$O$6*(1+VST_Assets!$Q$6)^(U$3-2026)*(U158+U159))/1000000*(1+VST_OMAdj)</f>
        <v>0</v>
      </c>
      <c r="V170" s="8" t="n">
        <f aca="false">(VST_Assets!$R$6*VST_Assets!$D$6*1000*V$4*V156+VST_Assets!$O$6*(1+VST_Assets!$Q$6)^(V$3-2026)*(V158+V159))/1000000*(1+VST_OMAdj)</f>
        <v>0</v>
      </c>
      <c r="W170" s="8" t="n">
        <f aca="false">(VST_Assets!$R$6*VST_Assets!$D$6*1000*W$4*W156+VST_Assets!$O$6*(1+VST_Assets!$Q$6)^(W$3-2026)*(W158+W159))/1000000*(1+VST_OMAdj)</f>
        <v>0</v>
      </c>
      <c r="X170" s="8" t="n">
        <f aca="false">(VST_Assets!$R$6*VST_Assets!$D$6*1000*X$4*X156+VST_Assets!$O$6*(1+VST_Assets!$Q$6)^(X$3-2026)*(X158+X159))/1000000*(1+VST_OMAdj)</f>
        <v>0</v>
      </c>
      <c r="Y170" s="8" t="n">
        <f aca="false">(VST_Assets!$R$6*VST_Assets!$D$6*1000*Y$4*Y156+VST_Assets!$O$6*(1+VST_Assets!$Q$6)^(Y$3-2026)*(Y158+Y159))/1000000*(1+VST_OMAdj)</f>
        <v>0</v>
      </c>
      <c r="Z170" s="8" t="n">
        <f aca="false">(VST_Assets!$R$6*VST_Assets!$D$6*1000*Z$4*Z156+VST_Assets!$O$6*(1+VST_Assets!$Q$6)^(Z$3-2026)*(Z158+Z159))/1000000*(1+VST_OMAdj)</f>
        <v>0</v>
      </c>
      <c r="AA170" s="8" t="n">
        <f aca="false">(VST_Assets!$R$6*VST_Assets!$D$6*1000*AA$4*AA156+VST_Assets!$O$6*(1+VST_Assets!$Q$6)^(AA$3-2026)*(AA158+AA159))/1000000*(1+VST_OMAdj)</f>
        <v>0</v>
      </c>
      <c r="AB170" s="8" t="n">
        <f aca="false">(VST_Assets!$R$6*VST_Assets!$D$6*1000*AB$4*AB156+VST_Assets!$O$6*(1+VST_Assets!$Q$6)^(AB$3-2026)*(AB158+AB159))/1000000*(1+VST_OMAdj)</f>
        <v>0</v>
      </c>
      <c r="AC170" s="8" t="n">
        <f aca="false">(VST_Assets!$R$6*VST_Assets!$D$6*1000*AC$4*AC156+VST_Assets!$O$6*(1+VST_Assets!$Q$6)^(AC$3-2026)*(AC158+AC159))/1000000*(1+VST_OMAdj)</f>
        <v>0</v>
      </c>
      <c r="AD170" s="8" t="n">
        <f aca="false">(VST_Assets!$R$6*VST_Assets!$D$6*1000*AD$4*AD156+VST_Assets!$O$6*(1+VST_Assets!$Q$6)^(AD$3-2026)*(AD158+AD159))/1000000*(1+VST_OMAdj)</f>
        <v>0</v>
      </c>
      <c r="AE170" s="8" t="n">
        <f aca="false">(VST_Assets!$R$6*VST_Assets!$D$6*1000*AE$4*AE156+VST_Assets!$O$6*(1+VST_Assets!$Q$6)^(AE$3-2026)*(AE158+AE159))/1000000*(1+VST_OMAdj)</f>
        <v>0</v>
      </c>
      <c r="AF170" s="8" t="n">
        <f aca="false">(VST_Assets!$R$6*VST_Assets!$D$6*1000*AF$4*AF156+VST_Assets!$O$6*(1+VST_Assets!$Q$6)^(AF$3-2026)*(AF158+AF159))/1000000*(1+VST_OMAdj)</f>
        <v>0</v>
      </c>
      <c r="AG170" s="8" t="n">
        <f aca="false">(VST_Assets!$R$6*VST_Assets!$D$6*1000*AG$4*AG156+VST_Assets!$O$6*(1+VST_Assets!$Q$6)^(AG$3-2026)*(AG158+AG159))/1000000*(1+VST_OMAdj)</f>
        <v>0</v>
      </c>
      <c r="AH170" s="8" t="n">
        <f aca="false">(VST_Assets!$R$6*VST_Assets!$D$6*1000*AH$4*AH156+VST_Assets!$O$6*(1+VST_Assets!$Q$6)^(AH$3-2026)*(AH158+AH159))/1000000*(1+VST_OMAdj)</f>
        <v>0</v>
      </c>
      <c r="AI170" s="8" t="n">
        <f aca="false">(VST_Assets!$R$6*VST_Assets!$D$6*1000*AI$4*AI156+VST_Assets!$O$6*(1+VST_Assets!$Q$6)^(AI$3-2026)*(AI158+AI159))/1000000*(1+VST_OMAdj)</f>
        <v>0</v>
      </c>
      <c r="AJ170" s="8" t="n">
        <f aca="false">(VST_Assets!$R$6*VST_Assets!$D$6*1000*AJ$4*AJ156+VST_Assets!$O$6*(1+VST_Assets!$Q$6)^(AJ$3-2026)*(AJ158+AJ159))/1000000*(1+VST_OMAdj)</f>
        <v>0</v>
      </c>
      <c r="AK170" s="8" t="n">
        <f aca="false">(VST_Assets!$R$6*VST_Assets!$D$6*1000*AK$4*AK156+VST_Assets!$O$6*(1+VST_Assets!$Q$6)^(AK$3-2026)*(AK158+AK159))/1000000*(1+VST_OMAdj)</f>
        <v>0</v>
      </c>
      <c r="AL170" s="8" t="n">
        <f aca="false">(VST_Assets!$R$6*VST_Assets!$D$6*1000*AL$4*AL156+VST_Assets!$O$6*(1+VST_Assets!$Q$6)^(AL$3-2026)*(AL158+AL159))/1000000*(1+VST_OMAdj)</f>
        <v>0</v>
      </c>
      <c r="AM170" s="8" t="n">
        <f aca="false">(VST_Assets!$R$6*VST_Assets!$D$6*1000*AM$4*AM156+VST_Assets!$O$6*(1+VST_Assets!$Q$6)^(AM$3-2026)*(AM158+AM159))/1000000*(1+VST_OMAdj)</f>
        <v>0</v>
      </c>
      <c r="AN170" s="8" t="n">
        <f aca="false">(VST_Assets!$R$6*VST_Assets!$D$6*1000*AN$4*AN156+VST_Assets!$O$6*(1+VST_Assets!$Q$6)^(AN$3-2026)*(AN158+AN159))/1000000*(1+VST_OMAdj)</f>
        <v>0</v>
      </c>
      <c r="AO170" s="8" t="n">
        <f aca="false">(VST_Assets!$R$6*VST_Assets!$D$6*1000*AO$4*AO156+VST_Assets!$O$6*(1+VST_Assets!$Q$6)^(AO$3-2026)*(AO158+AO159))/1000000*(1+VST_OMAdj)</f>
        <v>0</v>
      </c>
      <c r="AP170" s="8" t="n">
        <f aca="false">(VST_Assets!$R$6*VST_Assets!$D$6*1000*AP$4*AP156+VST_Assets!$O$6*(1+VST_Assets!$Q$6)^(AP$3-2026)*(AP158+AP159))/1000000*(1+VST_OMAdj)</f>
        <v>0</v>
      </c>
      <c r="AQ170" s="8" t="n">
        <f aca="false">(VST_Assets!$R$6*VST_Assets!$D$6*1000*AQ$4*AQ156+VST_Assets!$O$6*(1+VST_Assets!$Q$6)^(AQ$3-2026)*(AQ158+AQ159))/1000000*(1+VST_OMAdj)</f>
        <v>0</v>
      </c>
      <c r="AR170" s="8" t="n">
        <f aca="false">(VST_Assets!$R$6*VST_Assets!$D$6*1000*AR$4*AR156+VST_Assets!$O$6*(1+VST_Assets!$Q$6)^(AR$3-2026)*(AR158+AR159))/1000000*(1+VST_OMAdj)</f>
        <v>0</v>
      </c>
      <c r="AS170" s="8" t="n">
        <f aca="false">(VST_Assets!$R$6*VST_Assets!$D$6*1000*AS$4*AS156+VST_Assets!$O$6*(1+VST_Assets!$Q$6)^(AS$3-2026)*(AS158+AS159))/1000000*(1+VST_OMAdj)</f>
        <v>0</v>
      </c>
    </row>
    <row r="171" customFormat="false" ht="15" hidden="false" customHeight="false" outlineLevel="0" collapsed="false">
      <c r="A171" s="6" t="s">
        <v>455</v>
      </c>
      <c r="B171" s="6" t="s">
        <v>456</v>
      </c>
      <c r="C171" s="9" t="n">
        <f aca="false">SUM(G171:AS171)</f>
        <v>824.735869963567</v>
      </c>
      <c r="G171" s="8" t="n">
        <f aca="false">G169-G170</f>
        <v>47.25873756</v>
      </c>
      <c r="H171" s="8" t="n">
        <f aca="false">H169-H170</f>
        <v>51.2865563112</v>
      </c>
      <c r="I171" s="8" t="n">
        <f aca="false">I169-I170</f>
        <v>52.587376664472</v>
      </c>
      <c r="J171" s="8" t="n">
        <f aca="false">J169-J170</f>
        <v>55.3553252084102</v>
      </c>
      <c r="K171" s="8" t="n">
        <f aca="false">K169-K170</f>
        <v>56.4624317125784</v>
      </c>
      <c r="L171" s="8" t="n">
        <f aca="false">L169-L170</f>
        <v>57.59168034683</v>
      </c>
      <c r="M171" s="8" t="n">
        <f aca="false">M169-M170</f>
        <v>58.7435139537666</v>
      </c>
      <c r="N171" s="8" t="n">
        <f aca="false">N169-N170</f>
        <v>59.918384232842</v>
      </c>
      <c r="O171" s="8" t="n">
        <f aca="false">O169-O170</f>
        <v>61.1167519174988</v>
      </c>
      <c r="P171" s="8" t="n">
        <f aca="false">P169-P170</f>
        <v>62.3390869558488</v>
      </c>
      <c r="Q171" s="8" t="n">
        <f aca="false">Q169-Q170</f>
        <v>63.5858686949658</v>
      </c>
      <c r="R171" s="8" t="n">
        <f aca="false">R169-R170</f>
        <v>64.8575860688651</v>
      </c>
      <c r="S171" s="8" t="n">
        <f aca="false">S169-S170</f>
        <v>66.1547377902424</v>
      </c>
      <c r="T171" s="8" t="n">
        <f aca="false">T169-T170</f>
        <v>67.4778325460472</v>
      </c>
      <c r="U171" s="8" t="n">
        <f aca="false">U169-U170</f>
        <v>0</v>
      </c>
      <c r="V171" s="8" t="n">
        <f aca="false">V169-V170</f>
        <v>0</v>
      </c>
      <c r="W171" s="8" t="n">
        <f aca="false">W169-W170</f>
        <v>0</v>
      </c>
      <c r="X171" s="8" t="n">
        <f aca="false">X169-X170</f>
        <v>0</v>
      </c>
      <c r="Y171" s="8" t="n">
        <f aca="false">Y169-Y170</f>
        <v>0</v>
      </c>
      <c r="Z171" s="8" t="n">
        <f aca="false">Z169-Z170</f>
        <v>0</v>
      </c>
      <c r="AA171" s="8" t="n">
        <f aca="false">AA169-AA170</f>
        <v>0</v>
      </c>
      <c r="AB171" s="8" t="n">
        <f aca="false">AB169-AB170</f>
        <v>0</v>
      </c>
      <c r="AC171" s="8" t="n">
        <f aca="false">AC169-AC170</f>
        <v>0</v>
      </c>
      <c r="AD171" s="8" t="n">
        <f aca="false">AD169-AD170</f>
        <v>0</v>
      </c>
      <c r="AE171" s="8" t="n">
        <f aca="false">AE169-AE170</f>
        <v>0</v>
      </c>
      <c r="AF171" s="8" t="n">
        <f aca="false">AF169-AF170</f>
        <v>0</v>
      </c>
      <c r="AG171" s="8" t="n">
        <f aca="false">AG169-AG170</f>
        <v>0</v>
      </c>
      <c r="AH171" s="8" t="n">
        <f aca="false">AH169-AH170</f>
        <v>0</v>
      </c>
      <c r="AI171" s="8" t="n">
        <f aca="false">AI169-AI170</f>
        <v>0</v>
      </c>
      <c r="AJ171" s="8" t="n">
        <f aca="false">AJ169-AJ170</f>
        <v>0</v>
      </c>
      <c r="AK171" s="8" t="n">
        <f aca="false">AK169-AK170</f>
        <v>0</v>
      </c>
      <c r="AL171" s="8" t="n">
        <f aca="false">AL169-AL170</f>
        <v>0</v>
      </c>
      <c r="AM171" s="8" t="n">
        <f aca="false">AM169-AM170</f>
        <v>0</v>
      </c>
      <c r="AN171" s="8" t="n">
        <f aca="false">AN169-AN170</f>
        <v>0</v>
      </c>
      <c r="AO171" s="8" t="n">
        <f aca="false">AO169-AO170</f>
        <v>0</v>
      </c>
      <c r="AP171" s="8" t="n">
        <f aca="false">AP169-AP170</f>
        <v>0</v>
      </c>
      <c r="AQ171" s="8" t="n">
        <f aca="false">AQ169-AQ170</f>
        <v>0</v>
      </c>
      <c r="AR171" s="8" t="n">
        <f aca="false">AR169-AR170</f>
        <v>0</v>
      </c>
      <c r="AS171" s="8" t="n">
        <f aca="false">AS169-AS170</f>
        <v>0</v>
      </c>
    </row>
    <row r="172" customFormat="false" ht="15" hidden="false" customHeight="false" outlineLevel="0" collapsed="false">
      <c r="A172" s="6" t="s">
        <v>457</v>
      </c>
      <c r="B172" s="6" t="s">
        <v>458</v>
      </c>
      <c r="C172" s="9" t="n">
        <f aca="false">SUM(G172:AS172)</f>
        <v>187.374294536375</v>
      </c>
      <c r="G172" s="8" t="n">
        <f aca="false">((VST_Assets!$S$6*VST_Assets!$D$6*1000*G$4*G156+VST_Assets!$P$6*(1+VST_Assets!$Q$6)^(G$3-2026)*(G158+G159))/1000000+IF(G$3=VST_Assets!$AH$6,VST_Assets!$AG$6,0))*(1+VST_CapexAdj)</f>
        <v>11.73</v>
      </c>
      <c r="H172" s="8" t="n">
        <f aca="false">((VST_Assets!$S$6*VST_Assets!$D$6*1000*H$4*H156+VST_Assets!$P$6*(1+VST_Assets!$Q$6)^(H$3-2026)*(H158+H159))/1000000+IF(H$3=VST_Assets!$AH$6,VST_Assets!$AG$6,0))*(1+VST_CapexAdj)</f>
        <v>11.9646</v>
      </c>
      <c r="I172" s="8" t="n">
        <f aca="false">((VST_Assets!$S$6*VST_Assets!$D$6*1000*I$4*I156+VST_Assets!$P$6*(1+VST_Assets!$Q$6)^(I$3-2026)*(I158+I159))/1000000+IF(I$3=VST_Assets!$AH$6,VST_Assets!$AG$6,0))*(1+VST_CapexAdj)</f>
        <v>12.203892</v>
      </c>
      <c r="J172" s="8" t="n">
        <f aca="false">((VST_Assets!$S$6*VST_Assets!$D$6*1000*J$4*J156+VST_Assets!$P$6*(1+VST_Assets!$Q$6)^(J$3-2026)*(J158+J159))/1000000+IF(J$3=VST_Assets!$AH$6,VST_Assets!$AG$6,0))*(1+VST_CapexAdj)</f>
        <v>12.44796984</v>
      </c>
      <c r="K172" s="8" t="n">
        <f aca="false">((VST_Assets!$S$6*VST_Assets!$D$6*1000*K$4*K156+VST_Assets!$P$6*(1+VST_Assets!$Q$6)^(K$3-2026)*(K158+K159))/1000000+IF(K$3=VST_Assets!$AH$6,VST_Assets!$AG$6,0))*(1+VST_CapexAdj)</f>
        <v>12.6969292368</v>
      </c>
      <c r="L172" s="8" t="n">
        <f aca="false">((VST_Assets!$S$6*VST_Assets!$D$6*1000*L$4*L156+VST_Assets!$P$6*(1+VST_Assets!$Q$6)^(L$3-2026)*(L158+L159))/1000000+IF(L$3=VST_Assets!$AH$6,VST_Assets!$AG$6,0))*(1+VST_CapexAdj)</f>
        <v>12.950867821536</v>
      </c>
      <c r="M172" s="8" t="n">
        <f aca="false">((VST_Assets!$S$6*VST_Assets!$D$6*1000*M$4*M156+VST_Assets!$P$6*(1+VST_Assets!$Q$6)^(M$3-2026)*(M158+M159))/1000000+IF(M$3=VST_Assets!$AH$6,VST_Assets!$AG$6,0))*(1+VST_CapexAdj)</f>
        <v>13.2098851779667</v>
      </c>
      <c r="N172" s="8" t="n">
        <f aca="false">((VST_Assets!$S$6*VST_Assets!$D$6*1000*N$4*N156+VST_Assets!$P$6*(1+VST_Assets!$Q$6)^(N$3-2026)*(N158+N159))/1000000+IF(N$3=VST_Assets!$AH$6,VST_Assets!$AG$6,0))*(1+VST_CapexAdj)</f>
        <v>13.4740828815261</v>
      </c>
      <c r="O172" s="8" t="n">
        <f aca="false">((VST_Assets!$S$6*VST_Assets!$D$6*1000*O$4*O156+VST_Assets!$P$6*(1+VST_Assets!$Q$6)^(O$3-2026)*(O158+O159))/1000000+IF(O$3=VST_Assets!$AH$6,VST_Assets!$AG$6,0))*(1+VST_CapexAdj)</f>
        <v>13.7435645391566</v>
      </c>
      <c r="P172" s="8" t="n">
        <f aca="false">((VST_Assets!$S$6*VST_Assets!$D$6*1000*P$4*P156+VST_Assets!$P$6*(1+VST_Assets!$Q$6)^(P$3-2026)*(P158+P159))/1000000+IF(P$3=VST_Assets!$AH$6,VST_Assets!$AG$6,0))*(1+VST_CapexAdj)</f>
        <v>14.0184358299397</v>
      </c>
      <c r="Q172" s="8" t="n">
        <f aca="false">((VST_Assets!$S$6*VST_Assets!$D$6*1000*Q$4*Q156+VST_Assets!$P$6*(1+VST_Assets!$Q$6)^(Q$3-2026)*(Q158+Q159))/1000000+IF(Q$3=VST_Assets!$AH$6,VST_Assets!$AG$6,0))*(1+VST_CapexAdj)</f>
        <v>14.2988045465385</v>
      </c>
      <c r="R172" s="8" t="n">
        <f aca="false">((VST_Assets!$S$6*VST_Assets!$D$6*1000*R$4*R156+VST_Assets!$P$6*(1+VST_Assets!$Q$6)^(R$3-2026)*(R158+R159))/1000000+IF(R$3=VST_Assets!$AH$6,VST_Assets!$AG$6,0))*(1+VST_CapexAdj)</f>
        <v>14.5847806374693</v>
      </c>
      <c r="S172" s="8" t="n">
        <f aca="false">((VST_Assets!$S$6*VST_Assets!$D$6*1000*S$4*S156+VST_Assets!$P$6*(1+VST_Assets!$Q$6)^(S$3-2026)*(S158+S159))/1000000+IF(S$3=VST_Assets!$AH$6,VST_Assets!$AG$6,0))*(1+VST_CapexAdj)</f>
        <v>14.8764762502187</v>
      </c>
      <c r="T172" s="8" t="n">
        <f aca="false">((VST_Assets!$S$6*VST_Assets!$D$6*1000*T$4*T156+VST_Assets!$P$6*(1+VST_Assets!$Q$6)^(T$3-2026)*(T158+T159))/1000000+IF(T$3=VST_Assets!$AH$6,VST_Assets!$AG$6,0))*(1+VST_CapexAdj)</f>
        <v>15.174005775223</v>
      </c>
      <c r="U172" s="8" t="n">
        <f aca="false">((VST_Assets!$S$6*VST_Assets!$D$6*1000*U$4*U156+VST_Assets!$P$6*(1+VST_Assets!$Q$6)^(U$3-2026)*(U158+U159))/1000000+IF(U$3=VST_Assets!$AH$6,VST_Assets!$AG$6,0))*(1+VST_CapexAdj)</f>
        <v>0</v>
      </c>
      <c r="V172" s="8" t="n">
        <f aca="false">((VST_Assets!$S$6*VST_Assets!$D$6*1000*V$4*V156+VST_Assets!$P$6*(1+VST_Assets!$Q$6)^(V$3-2026)*(V158+V159))/1000000+IF(V$3=VST_Assets!$AH$6,VST_Assets!$AG$6,0))*(1+VST_CapexAdj)</f>
        <v>0</v>
      </c>
      <c r="W172" s="8" t="n">
        <f aca="false">((VST_Assets!$S$6*VST_Assets!$D$6*1000*W$4*W156+VST_Assets!$P$6*(1+VST_Assets!$Q$6)^(W$3-2026)*(W158+W159))/1000000+IF(W$3=VST_Assets!$AH$6,VST_Assets!$AG$6,0))*(1+VST_CapexAdj)</f>
        <v>0</v>
      </c>
      <c r="X172" s="8" t="n">
        <f aca="false">((VST_Assets!$S$6*VST_Assets!$D$6*1000*X$4*X156+VST_Assets!$P$6*(1+VST_Assets!$Q$6)^(X$3-2026)*(X158+X159))/1000000+IF(X$3=VST_Assets!$AH$6,VST_Assets!$AG$6,0))*(1+VST_CapexAdj)</f>
        <v>0</v>
      </c>
      <c r="Y172" s="8" t="n">
        <f aca="false">((VST_Assets!$S$6*VST_Assets!$D$6*1000*Y$4*Y156+VST_Assets!$P$6*(1+VST_Assets!$Q$6)^(Y$3-2026)*(Y158+Y159))/1000000+IF(Y$3=VST_Assets!$AH$6,VST_Assets!$AG$6,0))*(1+VST_CapexAdj)</f>
        <v>0</v>
      </c>
      <c r="Z172" s="8" t="n">
        <f aca="false">((VST_Assets!$S$6*VST_Assets!$D$6*1000*Z$4*Z156+VST_Assets!$P$6*(1+VST_Assets!$Q$6)^(Z$3-2026)*(Z158+Z159))/1000000+IF(Z$3=VST_Assets!$AH$6,VST_Assets!$AG$6,0))*(1+VST_CapexAdj)</f>
        <v>0</v>
      </c>
      <c r="AA172" s="8" t="n">
        <f aca="false">((VST_Assets!$S$6*VST_Assets!$D$6*1000*AA$4*AA156+VST_Assets!$P$6*(1+VST_Assets!$Q$6)^(AA$3-2026)*(AA158+AA159))/1000000+IF(AA$3=VST_Assets!$AH$6,VST_Assets!$AG$6,0))*(1+VST_CapexAdj)</f>
        <v>0</v>
      </c>
      <c r="AB172" s="8" t="n">
        <f aca="false">((VST_Assets!$S$6*VST_Assets!$D$6*1000*AB$4*AB156+VST_Assets!$P$6*(1+VST_Assets!$Q$6)^(AB$3-2026)*(AB158+AB159))/1000000+IF(AB$3=VST_Assets!$AH$6,VST_Assets!$AG$6,0))*(1+VST_CapexAdj)</f>
        <v>0</v>
      </c>
      <c r="AC172" s="8" t="n">
        <f aca="false">((VST_Assets!$S$6*VST_Assets!$D$6*1000*AC$4*AC156+VST_Assets!$P$6*(1+VST_Assets!$Q$6)^(AC$3-2026)*(AC158+AC159))/1000000+IF(AC$3=VST_Assets!$AH$6,VST_Assets!$AG$6,0))*(1+VST_CapexAdj)</f>
        <v>0</v>
      </c>
      <c r="AD172" s="8" t="n">
        <f aca="false">((VST_Assets!$S$6*VST_Assets!$D$6*1000*AD$4*AD156+VST_Assets!$P$6*(1+VST_Assets!$Q$6)^(AD$3-2026)*(AD158+AD159))/1000000+IF(AD$3=VST_Assets!$AH$6,VST_Assets!$AG$6,0))*(1+VST_CapexAdj)</f>
        <v>0</v>
      </c>
      <c r="AE172" s="8" t="n">
        <f aca="false">((VST_Assets!$S$6*VST_Assets!$D$6*1000*AE$4*AE156+VST_Assets!$P$6*(1+VST_Assets!$Q$6)^(AE$3-2026)*(AE158+AE159))/1000000+IF(AE$3=VST_Assets!$AH$6,VST_Assets!$AG$6,0))*(1+VST_CapexAdj)</f>
        <v>0</v>
      </c>
      <c r="AF172" s="8" t="n">
        <f aca="false">((VST_Assets!$S$6*VST_Assets!$D$6*1000*AF$4*AF156+VST_Assets!$P$6*(1+VST_Assets!$Q$6)^(AF$3-2026)*(AF158+AF159))/1000000+IF(AF$3=VST_Assets!$AH$6,VST_Assets!$AG$6,0))*(1+VST_CapexAdj)</f>
        <v>0</v>
      </c>
      <c r="AG172" s="8" t="n">
        <f aca="false">((VST_Assets!$S$6*VST_Assets!$D$6*1000*AG$4*AG156+VST_Assets!$P$6*(1+VST_Assets!$Q$6)^(AG$3-2026)*(AG158+AG159))/1000000+IF(AG$3=VST_Assets!$AH$6,VST_Assets!$AG$6,0))*(1+VST_CapexAdj)</f>
        <v>0</v>
      </c>
      <c r="AH172" s="8" t="n">
        <f aca="false">((VST_Assets!$S$6*VST_Assets!$D$6*1000*AH$4*AH156+VST_Assets!$P$6*(1+VST_Assets!$Q$6)^(AH$3-2026)*(AH158+AH159))/1000000+IF(AH$3=VST_Assets!$AH$6,VST_Assets!$AG$6,0))*(1+VST_CapexAdj)</f>
        <v>0</v>
      </c>
      <c r="AI172" s="8" t="n">
        <f aca="false">((VST_Assets!$S$6*VST_Assets!$D$6*1000*AI$4*AI156+VST_Assets!$P$6*(1+VST_Assets!$Q$6)^(AI$3-2026)*(AI158+AI159))/1000000+IF(AI$3=VST_Assets!$AH$6,VST_Assets!$AG$6,0))*(1+VST_CapexAdj)</f>
        <v>0</v>
      </c>
      <c r="AJ172" s="8" t="n">
        <f aca="false">((VST_Assets!$S$6*VST_Assets!$D$6*1000*AJ$4*AJ156+VST_Assets!$P$6*(1+VST_Assets!$Q$6)^(AJ$3-2026)*(AJ158+AJ159))/1000000+IF(AJ$3=VST_Assets!$AH$6,VST_Assets!$AG$6,0))*(1+VST_CapexAdj)</f>
        <v>0</v>
      </c>
      <c r="AK172" s="8" t="n">
        <f aca="false">((VST_Assets!$S$6*VST_Assets!$D$6*1000*AK$4*AK156+VST_Assets!$P$6*(1+VST_Assets!$Q$6)^(AK$3-2026)*(AK158+AK159))/1000000+IF(AK$3=VST_Assets!$AH$6,VST_Assets!$AG$6,0))*(1+VST_CapexAdj)</f>
        <v>0</v>
      </c>
      <c r="AL172" s="8" t="n">
        <f aca="false">((VST_Assets!$S$6*VST_Assets!$D$6*1000*AL$4*AL156+VST_Assets!$P$6*(1+VST_Assets!$Q$6)^(AL$3-2026)*(AL158+AL159))/1000000+IF(AL$3=VST_Assets!$AH$6,VST_Assets!$AG$6,0))*(1+VST_CapexAdj)</f>
        <v>0</v>
      </c>
      <c r="AM172" s="8" t="n">
        <f aca="false">((VST_Assets!$S$6*VST_Assets!$D$6*1000*AM$4*AM156+VST_Assets!$P$6*(1+VST_Assets!$Q$6)^(AM$3-2026)*(AM158+AM159))/1000000+IF(AM$3=VST_Assets!$AH$6,VST_Assets!$AG$6,0))*(1+VST_CapexAdj)</f>
        <v>0</v>
      </c>
      <c r="AN172" s="8" t="n">
        <f aca="false">((VST_Assets!$S$6*VST_Assets!$D$6*1000*AN$4*AN156+VST_Assets!$P$6*(1+VST_Assets!$Q$6)^(AN$3-2026)*(AN158+AN159))/1000000+IF(AN$3=VST_Assets!$AH$6,VST_Assets!$AG$6,0))*(1+VST_CapexAdj)</f>
        <v>0</v>
      </c>
      <c r="AO172" s="8" t="n">
        <f aca="false">((VST_Assets!$S$6*VST_Assets!$D$6*1000*AO$4*AO156+VST_Assets!$P$6*(1+VST_Assets!$Q$6)^(AO$3-2026)*(AO158+AO159))/1000000+IF(AO$3=VST_Assets!$AH$6,VST_Assets!$AG$6,0))*(1+VST_CapexAdj)</f>
        <v>0</v>
      </c>
      <c r="AP172" s="8" t="n">
        <f aca="false">((VST_Assets!$S$6*VST_Assets!$D$6*1000*AP$4*AP156+VST_Assets!$P$6*(1+VST_Assets!$Q$6)^(AP$3-2026)*(AP158+AP159))/1000000+IF(AP$3=VST_Assets!$AH$6,VST_Assets!$AG$6,0))*(1+VST_CapexAdj)</f>
        <v>0</v>
      </c>
      <c r="AQ172" s="8" t="n">
        <f aca="false">((VST_Assets!$S$6*VST_Assets!$D$6*1000*AQ$4*AQ156+VST_Assets!$P$6*(1+VST_Assets!$Q$6)^(AQ$3-2026)*(AQ158+AQ159))/1000000+IF(AQ$3=VST_Assets!$AH$6,VST_Assets!$AG$6,0))*(1+VST_CapexAdj)</f>
        <v>0</v>
      </c>
      <c r="AR172" s="8" t="n">
        <f aca="false">((VST_Assets!$S$6*VST_Assets!$D$6*1000*AR$4*AR156+VST_Assets!$P$6*(1+VST_Assets!$Q$6)^(AR$3-2026)*(AR158+AR159))/1000000+IF(AR$3=VST_Assets!$AH$6,VST_Assets!$AG$6,0))*(1+VST_CapexAdj)</f>
        <v>0</v>
      </c>
      <c r="AS172" s="8" t="n">
        <f aca="false">((VST_Assets!$S$6*VST_Assets!$D$6*1000*AS$4*AS156+VST_Assets!$P$6*(1+VST_Assets!$Q$6)^(AS$3-2026)*(AS158+AS159))/1000000+IF(AS$3=VST_Assets!$AH$6,VST_Assets!$AG$6,0))*(1+VST_CapexAdj)</f>
        <v>0</v>
      </c>
    </row>
    <row r="173" customFormat="false" ht="15" hidden="false" customHeight="false" outlineLevel="0" collapsed="false">
      <c r="A173" s="6" t="s">
        <v>459</v>
      </c>
      <c r="B173" s="6" t="s">
        <v>460</v>
      </c>
      <c r="C173" s="9" t="n">
        <f aca="false">SUM(G173:AS173)</f>
        <v>637.361575427193</v>
      </c>
      <c r="G173" s="8" t="n">
        <f aca="false">IF(VST_Assets!$Y$6=1,MAX(0,G171-G172),G171-G172)</f>
        <v>35.52873756</v>
      </c>
      <c r="H173" s="8" t="n">
        <f aca="false">IF(VST_Assets!$Y$6=1,MAX(0,H171-H172),H171-H172)</f>
        <v>39.3219563112</v>
      </c>
      <c r="I173" s="8" t="n">
        <f aca="false">IF(VST_Assets!$Y$6=1,MAX(0,I171-I172),I171-I172)</f>
        <v>40.383484664472</v>
      </c>
      <c r="J173" s="8" t="n">
        <f aca="false">IF(VST_Assets!$Y$6=1,MAX(0,J171-J172),J171-J172)</f>
        <v>42.9073553684102</v>
      </c>
      <c r="K173" s="8" t="n">
        <f aca="false">IF(VST_Assets!$Y$6=1,MAX(0,K171-K172),K171-K172)</f>
        <v>43.7655024757784</v>
      </c>
      <c r="L173" s="8" t="n">
        <f aca="false">IF(VST_Assets!$Y$6=1,MAX(0,L171-L172),L171-L172)</f>
        <v>44.640812525294</v>
      </c>
      <c r="M173" s="8" t="n">
        <f aca="false">IF(VST_Assets!$Y$6=1,MAX(0,M171-M172),M171-M172)</f>
        <v>45.5336287757999</v>
      </c>
      <c r="N173" s="8" t="n">
        <f aca="false">IF(VST_Assets!$Y$6=1,MAX(0,N171-N172),N171-N172)</f>
        <v>46.4443013513159</v>
      </c>
      <c r="O173" s="8" t="n">
        <f aca="false">IF(VST_Assets!$Y$6=1,MAX(0,O171-O172),O171-O172)</f>
        <v>47.3731873783422</v>
      </c>
      <c r="P173" s="8" t="n">
        <f aca="false">IF(VST_Assets!$Y$6=1,MAX(0,P171-P172),P171-P172)</f>
        <v>48.320651125909</v>
      </c>
      <c r="Q173" s="8" t="n">
        <f aca="false">IF(VST_Assets!$Y$6=1,MAX(0,Q171-Q172),Q171-Q172)</f>
        <v>49.2870641484273</v>
      </c>
      <c r="R173" s="8" t="n">
        <f aca="false">IF(VST_Assets!$Y$6=1,MAX(0,R171-R172),R171-R172)</f>
        <v>50.2728054313958</v>
      </c>
      <c r="S173" s="8" t="n">
        <f aca="false">IF(VST_Assets!$Y$6=1,MAX(0,S171-S172),S171-S172)</f>
        <v>51.2782615400237</v>
      </c>
      <c r="T173" s="8" t="n">
        <f aca="false">IF(VST_Assets!$Y$6=1,MAX(0,T171-T172),T171-T172)</f>
        <v>52.3038267708242</v>
      </c>
      <c r="U173" s="8" t="n">
        <f aca="false">IF(VST_Assets!$Y$6=1,MAX(0,U171-U172),U171-U172)</f>
        <v>0</v>
      </c>
      <c r="V173" s="8" t="n">
        <f aca="false">IF(VST_Assets!$Y$6=1,MAX(0,V171-V172),V171-V172)</f>
        <v>0</v>
      </c>
      <c r="W173" s="8" t="n">
        <f aca="false">IF(VST_Assets!$Y$6=1,MAX(0,W171-W172),W171-W172)</f>
        <v>0</v>
      </c>
      <c r="X173" s="8" t="n">
        <f aca="false">IF(VST_Assets!$Y$6=1,MAX(0,X171-X172),X171-X172)</f>
        <v>0</v>
      </c>
      <c r="Y173" s="8" t="n">
        <f aca="false">IF(VST_Assets!$Y$6=1,MAX(0,Y171-Y172),Y171-Y172)</f>
        <v>0</v>
      </c>
      <c r="Z173" s="8" t="n">
        <f aca="false">IF(VST_Assets!$Y$6=1,MAX(0,Z171-Z172),Z171-Z172)</f>
        <v>0</v>
      </c>
      <c r="AA173" s="8" t="n">
        <f aca="false">IF(VST_Assets!$Y$6=1,MAX(0,AA171-AA172),AA171-AA172)</f>
        <v>0</v>
      </c>
      <c r="AB173" s="8" t="n">
        <f aca="false">IF(VST_Assets!$Y$6=1,MAX(0,AB171-AB172),AB171-AB172)</f>
        <v>0</v>
      </c>
      <c r="AC173" s="8" t="n">
        <f aca="false">IF(VST_Assets!$Y$6=1,MAX(0,AC171-AC172),AC171-AC172)</f>
        <v>0</v>
      </c>
      <c r="AD173" s="8" t="n">
        <f aca="false">IF(VST_Assets!$Y$6=1,MAX(0,AD171-AD172),AD171-AD172)</f>
        <v>0</v>
      </c>
      <c r="AE173" s="8" t="n">
        <f aca="false">IF(VST_Assets!$Y$6=1,MAX(0,AE171-AE172),AE171-AE172)</f>
        <v>0</v>
      </c>
      <c r="AF173" s="8" t="n">
        <f aca="false">IF(VST_Assets!$Y$6=1,MAX(0,AF171-AF172),AF171-AF172)</f>
        <v>0</v>
      </c>
      <c r="AG173" s="8" t="n">
        <f aca="false">IF(VST_Assets!$Y$6=1,MAX(0,AG171-AG172),AG171-AG172)</f>
        <v>0</v>
      </c>
      <c r="AH173" s="8" t="n">
        <f aca="false">IF(VST_Assets!$Y$6=1,MAX(0,AH171-AH172),AH171-AH172)</f>
        <v>0</v>
      </c>
      <c r="AI173" s="8" t="n">
        <f aca="false">IF(VST_Assets!$Y$6=1,MAX(0,AI171-AI172),AI171-AI172)</f>
        <v>0</v>
      </c>
      <c r="AJ173" s="8" t="n">
        <f aca="false">IF(VST_Assets!$Y$6=1,MAX(0,AJ171-AJ172),AJ171-AJ172)</f>
        <v>0</v>
      </c>
      <c r="AK173" s="8" t="n">
        <f aca="false">IF(VST_Assets!$Y$6=1,MAX(0,AK171-AK172),AK171-AK172)</f>
        <v>0</v>
      </c>
      <c r="AL173" s="8" t="n">
        <f aca="false">IF(VST_Assets!$Y$6=1,MAX(0,AL171-AL172),AL171-AL172)</f>
        <v>0</v>
      </c>
      <c r="AM173" s="8" t="n">
        <f aca="false">IF(VST_Assets!$Y$6=1,MAX(0,AM171-AM172),AM171-AM172)</f>
        <v>0</v>
      </c>
      <c r="AN173" s="8" t="n">
        <f aca="false">IF(VST_Assets!$Y$6=1,MAX(0,AN171-AN172),AN171-AN172)</f>
        <v>0</v>
      </c>
      <c r="AO173" s="8" t="n">
        <f aca="false">IF(VST_Assets!$Y$6=1,MAX(0,AO171-AO172),AO171-AO172)</f>
        <v>0</v>
      </c>
      <c r="AP173" s="8" t="n">
        <f aca="false">IF(VST_Assets!$Y$6=1,MAX(0,AP171-AP172),AP171-AP172)</f>
        <v>0</v>
      </c>
      <c r="AQ173" s="8" t="n">
        <f aca="false">IF(VST_Assets!$Y$6=1,MAX(0,AQ171-AQ172),AQ171-AQ172)</f>
        <v>0</v>
      </c>
      <c r="AR173" s="8" t="n">
        <f aca="false">IF(VST_Assets!$Y$6=1,MAX(0,AR171-AR172),AR171-AR172)</f>
        <v>0</v>
      </c>
      <c r="AS173" s="8" t="n">
        <f aca="false">IF(VST_Assets!$Y$6=1,MAX(0,AS171-AS172),AS171-AS172)</f>
        <v>0</v>
      </c>
    </row>
    <row r="174" customFormat="false" ht="15" hidden="false" customHeight="false" outlineLevel="0" collapsed="false">
      <c r="A174" s="6" t="s">
        <v>461</v>
      </c>
      <c r="B174" s="6" t="s">
        <v>462</v>
      </c>
      <c r="C174" s="9" t="n">
        <f aca="false">SUM(G174:AS174)</f>
        <v>0</v>
      </c>
      <c r="G174" s="8" t="n">
        <f aca="false">IF(AND(VST_Assets!$W$6=1,G$3&lt;=PTCLast,G158&gt;0),G158*MAX(0,PTCCredit*(1+Infl)^(G$3-PTCBase)-0.8*MAX(0,(G163+G164+G166)*1000000/MAX(1,G158)-PTCThresh*(1+Infl)^(G$3-PTCBase)))/1000000,0)</f>
        <v>0</v>
      </c>
      <c r="H174" s="8" t="n">
        <f aca="false">IF(AND(VST_Assets!$W$6=1,H$3&lt;=PTCLast,H158&gt;0),H158*MAX(0,PTCCredit*(1+Infl)^(H$3-PTCBase)-0.8*MAX(0,(H163+H164+H166)*1000000/MAX(1,H158)-PTCThresh*(1+Infl)^(H$3-PTCBase)))/1000000,0)</f>
        <v>0</v>
      </c>
      <c r="I174" s="8" t="n">
        <f aca="false">IF(AND(VST_Assets!$W$6=1,I$3&lt;=PTCLast,I158&gt;0),I158*MAX(0,PTCCredit*(1+Infl)^(I$3-PTCBase)-0.8*MAX(0,(I163+I164+I166)*1000000/MAX(1,I158)-PTCThresh*(1+Infl)^(I$3-PTCBase)))/1000000,0)</f>
        <v>0</v>
      </c>
      <c r="J174" s="8" t="n">
        <f aca="false">IF(AND(VST_Assets!$W$6=1,J$3&lt;=PTCLast,J158&gt;0),J158*MAX(0,PTCCredit*(1+Infl)^(J$3-PTCBase)-0.8*MAX(0,(J163+J164+J166)*1000000/MAX(1,J158)-PTCThresh*(1+Infl)^(J$3-PTCBase)))/1000000,0)</f>
        <v>0</v>
      </c>
      <c r="K174" s="8" t="n">
        <f aca="false">IF(AND(VST_Assets!$W$6=1,K$3&lt;=PTCLast,K158&gt;0),K158*MAX(0,PTCCredit*(1+Infl)^(K$3-PTCBase)-0.8*MAX(0,(K163+K164+K166)*1000000/MAX(1,K158)-PTCThresh*(1+Infl)^(K$3-PTCBase)))/1000000,0)</f>
        <v>0</v>
      </c>
      <c r="L174" s="8" t="n">
        <f aca="false">IF(AND(VST_Assets!$W$6=1,L$3&lt;=PTCLast,L158&gt;0),L158*MAX(0,PTCCredit*(1+Infl)^(L$3-PTCBase)-0.8*MAX(0,(L163+L164+L166)*1000000/MAX(1,L158)-PTCThresh*(1+Infl)^(L$3-PTCBase)))/1000000,0)</f>
        <v>0</v>
      </c>
      <c r="M174" s="8" t="n">
        <f aca="false">IF(AND(VST_Assets!$W$6=1,M$3&lt;=PTCLast,M158&gt;0),M158*MAX(0,PTCCredit*(1+Infl)^(M$3-PTCBase)-0.8*MAX(0,(M163+M164+M166)*1000000/MAX(1,M158)-PTCThresh*(1+Infl)^(M$3-PTCBase)))/1000000,0)</f>
        <v>0</v>
      </c>
      <c r="N174" s="8" t="n">
        <f aca="false">IF(AND(VST_Assets!$W$6=1,N$3&lt;=PTCLast,N158&gt;0),N158*MAX(0,PTCCredit*(1+Infl)^(N$3-PTCBase)-0.8*MAX(0,(N163+N164+N166)*1000000/MAX(1,N158)-PTCThresh*(1+Infl)^(N$3-PTCBase)))/1000000,0)</f>
        <v>0</v>
      </c>
      <c r="O174" s="8" t="n">
        <f aca="false">IF(AND(VST_Assets!$W$6=1,O$3&lt;=PTCLast,O158&gt;0),O158*MAX(0,PTCCredit*(1+Infl)^(O$3-PTCBase)-0.8*MAX(0,(O163+O164+O166)*1000000/MAX(1,O158)-PTCThresh*(1+Infl)^(O$3-PTCBase)))/1000000,0)</f>
        <v>0</v>
      </c>
      <c r="P174" s="8" t="n">
        <f aca="false">IF(AND(VST_Assets!$W$6=1,P$3&lt;=PTCLast,P158&gt;0),P158*MAX(0,PTCCredit*(1+Infl)^(P$3-PTCBase)-0.8*MAX(0,(P163+P164+P166)*1000000/MAX(1,P158)-PTCThresh*(1+Infl)^(P$3-PTCBase)))/1000000,0)</f>
        <v>0</v>
      </c>
      <c r="Q174" s="8" t="n">
        <f aca="false">IF(AND(VST_Assets!$W$6=1,Q$3&lt;=PTCLast,Q158&gt;0),Q158*MAX(0,PTCCredit*(1+Infl)^(Q$3-PTCBase)-0.8*MAX(0,(Q163+Q164+Q166)*1000000/MAX(1,Q158)-PTCThresh*(1+Infl)^(Q$3-PTCBase)))/1000000,0)</f>
        <v>0</v>
      </c>
      <c r="R174" s="8" t="n">
        <f aca="false">IF(AND(VST_Assets!$W$6=1,R$3&lt;=PTCLast,R158&gt;0),R158*MAX(0,PTCCredit*(1+Infl)^(R$3-PTCBase)-0.8*MAX(0,(R163+R164+R166)*1000000/MAX(1,R158)-PTCThresh*(1+Infl)^(R$3-PTCBase)))/1000000,0)</f>
        <v>0</v>
      </c>
      <c r="S174" s="8" t="n">
        <f aca="false">IF(AND(VST_Assets!$W$6=1,S$3&lt;=PTCLast,S158&gt;0),S158*MAX(0,PTCCredit*(1+Infl)^(S$3-PTCBase)-0.8*MAX(0,(S163+S164+S166)*1000000/MAX(1,S158)-PTCThresh*(1+Infl)^(S$3-PTCBase)))/1000000,0)</f>
        <v>0</v>
      </c>
      <c r="T174" s="8" t="n">
        <f aca="false">IF(AND(VST_Assets!$W$6=1,T$3&lt;=PTCLast,T158&gt;0),T158*MAX(0,PTCCredit*(1+Infl)^(T$3-PTCBase)-0.8*MAX(0,(T163+T164+T166)*1000000/MAX(1,T158)-PTCThresh*(1+Infl)^(T$3-PTCBase)))/1000000,0)</f>
        <v>0</v>
      </c>
      <c r="U174" s="8" t="n">
        <f aca="false">IF(AND(VST_Assets!$W$6=1,U$3&lt;=PTCLast,U158&gt;0),U158*MAX(0,PTCCredit*(1+Infl)^(U$3-PTCBase)-0.8*MAX(0,(U163+U164+U166)*1000000/MAX(1,U158)-PTCThresh*(1+Infl)^(U$3-PTCBase)))/1000000,0)</f>
        <v>0</v>
      </c>
      <c r="V174" s="8" t="n">
        <f aca="false">IF(AND(VST_Assets!$W$6=1,V$3&lt;=PTCLast,V158&gt;0),V158*MAX(0,PTCCredit*(1+Infl)^(V$3-PTCBase)-0.8*MAX(0,(V163+V164+V166)*1000000/MAX(1,V158)-PTCThresh*(1+Infl)^(V$3-PTCBase)))/1000000,0)</f>
        <v>0</v>
      </c>
      <c r="W174" s="8" t="n">
        <f aca="false">IF(AND(VST_Assets!$W$6=1,W$3&lt;=PTCLast,W158&gt;0),W158*MAX(0,PTCCredit*(1+Infl)^(W$3-PTCBase)-0.8*MAX(0,(W163+W164+W166)*1000000/MAX(1,W158)-PTCThresh*(1+Infl)^(W$3-PTCBase)))/1000000,0)</f>
        <v>0</v>
      </c>
      <c r="X174" s="8" t="n">
        <f aca="false">IF(AND(VST_Assets!$W$6=1,X$3&lt;=PTCLast,X158&gt;0),X158*MAX(0,PTCCredit*(1+Infl)^(X$3-PTCBase)-0.8*MAX(0,(X163+X164+X166)*1000000/MAX(1,X158)-PTCThresh*(1+Infl)^(X$3-PTCBase)))/1000000,0)</f>
        <v>0</v>
      </c>
      <c r="Y174" s="8" t="n">
        <f aca="false">IF(AND(VST_Assets!$W$6=1,Y$3&lt;=PTCLast,Y158&gt;0),Y158*MAX(0,PTCCredit*(1+Infl)^(Y$3-PTCBase)-0.8*MAX(0,(Y163+Y164+Y166)*1000000/MAX(1,Y158)-PTCThresh*(1+Infl)^(Y$3-PTCBase)))/1000000,0)</f>
        <v>0</v>
      </c>
      <c r="Z174" s="8" t="n">
        <f aca="false">IF(AND(VST_Assets!$W$6=1,Z$3&lt;=PTCLast,Z158&gt;0),Z158*MAX(0,PTCCredit*(1+Infl)^(Z$3-PTCBase)-0.8*MAX(0,(Z163+Z164+Z166)*1000000/MAX(1,Z158)-PTCThresh*(1+Infl)^(Z$3-PTCBase)))/1000000,0)</f>
        <v>0</v>
      </c>
      <c r="AA174" s="8" t="n">
        <f aca="false">IF(AND(VST_Assets!$W$6=1,AA$3&lt;=PTCLast,AA158&gt;0),AA158*MAX(0,PTCCredit*(1+Infl)^(AA$3-PTCBase)-0.8*MAX(0,(AA163+AA164+AA166)*1000000/MAX(1,AA158)-PTCThresh*(1+Infl)^(AA$3-PTCBase)))/1000000,0)</f>
        <v>0</v>
      </c>
      <c r="AB174" s="8" t="n">
        <f aca="false">IF(AND(VST_Assets!$W$6=1,AB$3&lt;=PTCLast,AB158&gt;0),AB158*MAX(0,PTCCredit*(1+Infl)^(AB$3-PTCBase)-0.8*MAX(0,(AB163+AB164+AB166)*1000000/MAX(1,AB158)-PTCThresh*(1+Infl)^(AB$3-PTCBase)))/1000000,0)</f>
        <v>0</v>
      </c>
      <c r="AC174" s="8" t="n">
        <f aca="false">IF(AND(VST_Assets!$W$6=1,AC$3&lt;=PTCLast,AC158&gt;0),AC158*MAX(0,PTCCredit*(1+Infl)^(AC$3-PTCBase)-0.8*MAX(0,(AC163+AC164+AC166)*1000000/MAX(1,AC158)-PTCThresh*(1+Infl)^(AC$3-PTCBase)))/1000000,0)</f>
        <v>0</v>
      </c>
      <c r="AD174" s="8" t="n">
        <f aca="false">IF(AND(VST_Assets!$W$6=1,AD$3&lt;=PTCLast,AD158&gt;0),AD158*MAX(0,PTCCredit*(1+Infl)^(AD$3-PTCBase)-0.8*MAX(0,(AD163+AD164+AD166)*1000000/MAX(1,AD158)-PTCThresh*(1+Infl)^(AD$3-PTCBase)))/1000000,0)</f>
        <v>0</v>
      </c>
      <c r="AE174" s="8" t="n">
        <f aca="false">IF(AND(VST_Assets!$W$6=1,AE$3&lt;=PTCLast,AE158&gt;0),AE158*MAX(0,PTCCredit*(1+Infl)^(AE$3-PTCBase)-0.8*MAX(0,(AE163+AE164+AE166)*1000000/MAX(1,AE158)-PTCThresh*(1+Infl)^(AE$3-PTCBase)))/1000000,0)</f>
        <v>0</v>
      </c>
      <c r="AF174" s="8" t="n">
        <f aca="false">IF(AND(VST_Assets!$W$6=1,AF$3&lt;=PTCLast,AF158&gt;0),AF158*MAX(0,PTCCredit*(1+Infl)^(AF$3-PTCBase)-0.8*MAX(0,(AF163+AF164+AF166)*1000000/MAX(1,AF158)-PTCThresh*(1+Infl)^(AF$3-PTCBase)))/1000000,0)</f>
        <v>0</v>
      </c>
      <c r="AG174" s="8" t="n">
        <f aca="false">IF(AND(VST_Assets!$W$6=1,AG$3&lt;=PTCLast,AG158&gt;0),AG158*MAX(0,PTCCredit*(1+Infl)^(AG$3-PTCBase)-0.8*MAX(0,(AG163+AG164+AG166)*1000000/MAX(1,AG158)-PTCThresh*(1+Infl)^(AG$3-PTCBase)))/1000000,0)</f>
        <v>0</v>
      </c>
      <c r="AH174" s="8" t="n">
        <f aca="false">IF(AND(VST_Assets!$W$6=1,AH$3&lt;=PTCLast,AH158&gt;0),AH158*MAX(0,PTCCredit*(1+Infl)^(AH$3-PTCBase)-0.8*MAX(0,(AH163+AH164+AH166)*1000000/MAX(1,AH158)-PTCThresh*(1+Infl)^(AH$3-PTCBase)))/1000000,0)</f>
        <v>0</v>
      </c>
      <c r="AI174" s="8" t="n">
        <f aca="false">IF(AND(VST_Assets!$W$6=1,AI$3&lt;=PTCLast,AI158&gt;0),AI158*MAX(0,PTCCredit*(1+Infl)^(AI$3-PTCBase)-0.8*MAX(0,(AI163+AI164+AI166)*1000000/MAX(1,AI158)-PTCThresh*(1+Infl)^(AI$3-PTCBase)))/1000000,0)</f>
        <v>0</v>
      </c>
      <c r="AJ174" s="8" t="n">
        <f aca="false">IF(AND(VST_Assets!$W$6=1,AJ$3&lt;=PTCLast,AJ158&gt;0),AJ158*MAX(0,PTCCredit*(1+Infl)^(AJ$3-PTCBase)-0.8*MAX(0,(AJ163+AJ164+AJ166)*1000000/MAX(1,AJ158)-PTCThresh*(1+Infl)^(AJ$3-PTCBase)))/1000000,0)</f>
        <v>0</v>
      </c>
      <c r="AK174" s="8" t="n">
        <f aca="false">IF(AND(VST_Assets!$W$6=1,AK$3&lt;=PTCLast,AK158&gt;0),AK158*MAX(0,PTCCredit*(1+Infl)^(AK$3-PTCBase)-0.8*MAX(0,(AK163+AK164+AK166)*1000000/MAX(1,AK158)-PTCThresh*(1+Infl)^(AK$3-PTCBase)))/1000000,0)</f>
        <v>0</v>
      </c>
      <c r="AL174" s="8" t="n">
        <f aca="false">IF(AND(VST_Assets!$W$6=1,AL$3&lt;=PTCLast,AL158&gt;0),AL158*MAX(0,PTCCredit*(1+Infl)^(AL$3-PTCBase)-0.8*MAX(0,(AL163+AL164+AL166)*1000000/MAX(1,AL158)-PTCThresh*(1+Infl)^(AL$3-PTCBase)))/1000000,0)</f>
        <v>0</v>
      </c>
      <c r="AM174" s="8" t="n">
        <f aca="false">IF(AND(VST_Assets!$W$6=1,AM$3&lt;=PTCLast,AM158&gt;0),AM158*MAX(0,PTCCredit*(1+Infl)^(AM$3-PTCBase)-0.8*MAX(0,(AM163+AM164+AM166)*1000000/MAX(1,AM158)-PTCThresh*(1+Infl)^(AM$3-PTCBase)))/1000000,0)</f>
        <v>0</v>
      </c>
      <c r="AN174" s="8" t="n">
        <f aca="false">IF(AND(VST_Assets!$W$6=1,AN$3&lt;=PTCLast,AN158&gt;0),AN158*MAX(0,PTCCredit*(1+Infl)^(AN$3-PTCBase)-0.8*MAX(0,(AN163+AN164+AN166)*1000000/MAX(1,AN158)-PTCThresh*(1+Infl)^(AN$3-PTCBase)))/1000000,0)</f>
        <v>0</v>
      </c>
      <c r="AO174" s="8" t="n">
        <f aca="false">IF(AND(VST_Assets!$W$6=1,AO$3&lt;=PTCLast,AO158&gt;0),AO158*MAX(0,PTCCredit*(1+Infl)^(AO$3-PTCBase)-0.8*MAX(0,(AO163+AO164+AO166)*1000000/MAX(1,AO158)-PTCThresh*(1+Infl)^(AO$3-PTCBase)))/1000000,0)</f>
        <v>0</v>
      </c>
      <c r="AP174" s="8" t="n">
        <f aca="false">IF(AND(VST_Assets!$W$6=1,AP$3&lt;=PTCLast,AP158&gt;0),AP158*MAX(0,PTCCredit*(1+Infl)^(AP$3-PTCBase)-0.8*MAX(0,(AP163+AP164+AP166)*1000000/MAX(1,AP158)-PTCThresh*(1+Infl)^(AP$3-PTCBase)))/1000000,0)</f>
        <v>0</v>
      </c>
      <c r="AQ174" s="8" t="n">
        <f aca="false">IF(AND(VST_Assets!$W$6=1,AQ$3&lt;=PTCLast,AQ158&gt;0),AQ158*MAX(0,PTCCredit*(1+Infl)^(AQ$3-PTCBase)-0.8*MAX(0,(AQ163+AQ164+AQ166)*1000000/MAX(1,AQ158)-PTCThresh*(1+Infl)^(AQ$3-PTCBase)))/1000000,0)</f>
        <v>0</v>
      </c>
      <c r="AR174" s="8" t="n">
        <f aca="false">IF(AND(VST_Assets!$W$6=1,AR$3&lt;=PTCLast,AR158&gt;0),AR158*MAX(0,PTCCredit*(1+Infl)^(AR$3-PTCBase)-0.8*MAX(0,(AR163+AR164+AR166)*1000000/MAX(1,AR158)-PTCThresh*(1+Infl)^(AR$3-PTCBase)))/1000000,0)</f>
        <v>0</v>
      </c>
      <c r="AS174" s="8" t="n">
        <f aca="false">IF(AND(VST_Assets!$W$6=1,AS$3&lt;=PTCLast,AS158&gt;0),AS158*MAX(0,PTCCredit*(1+Infl)^(AS$3-PTCBase)-0.8*MAX(0,(AS163+AS164+AS166)*1000000/MAX(1,AS158)-PTCThresh*(1+Infl)^(AS$3-PTCBase)))/1000000,0)</f>
        <v>0</v>
      </c>
    </row>
    <row r="175" customFormat="false" ht="15" hidden="false" customHeight="false" outlineLevel="0" collapsed="false">
      <c r="A175" s="6" t="s">
        <v>463</v>
      </c>
      <c r="B175" s="6" t="s">
        <v>464</v>
      </c>
      <c r="G175" s="8" t="n">
        <f aca="false">G165-G159*(VST_Assets!$N$6*(1+VST_FuelAdj)+VST_Assets!$O$6*(1+VST_OMAdj)+VST_Assets!$P$6*(1+VST_CapexAdj))*(1+VST_Assets!$Q$6)^(G$3-2026)/1000000</f>
        <v>0</v>
      </c>
      <c r="H175" s="8" t="n">
        <f aca="false">H165-H159*(VST_Assets!$N$6*(1+VST_FuelAdj)+VST_Assets!$O$6*(1+VST_OMAdj)+VST_Assets!$P$6*(1+VST_CapexAdj))*(1+VST_Assets!$Q$6)^(H$3-2026)/1000000</f>
        <v>0</v>
      </c>
      <c r="I175" s="8" t="n">
        <f aca="false">I165-I159*(VST_Assets!$N$6*(1+VST_FuelAdj)+VST_Assets!$O$6*(1+VST_OMAdj)+VST_Assets!$P$6*(1+VST_CapexAdj))*(1+VST_Assets!$Q$6)^(I$3-2026)/1000000</f>
        <v>0</v>
      </c>
      <c r="J175" s="8" t="n">
        <f aca="false">J165-J159*(VST_Assets!$N$6*(1+VST_FuelAdj)+VST_Assets!$O$6*(1+VST_OMAdj)+VST_Assets!$P$6*(1+VST_CapexAdj))*(1+VST_Assets!$Q$6)^(J$3-2026)/1000000</f>
        <v>0</v>
      </c>
      <c r="K175" s="8" t="n">
        <f aca="false">K165-K159*(VST_Assets!$N$6*(1+VST_FuelAdj)+VST_Assets!$O$6*(1+VST_OMAdj)+VST_Assets!$P$6*(1+VST_CapexAdj))*(1+VST_Assets!$Q$6)^(K$3-2026)/1000000</f>
        <v>0</v>
      </c>
      <c r="L175" s="8" t="n">
        <f aca="false">L165-L159*(VST_Assets!$N$6*(1+VST_FuelAdj)+VST_Assets!$O$6*(1+VST_OMAdj)+VST_Assets!$P$6*(1+VST_CapexAdj))*(1+VST_Assets!$Q$6)^(L$3-2026)/1000000</f>
        <v>0</v>
      </c>
      <c r="M175" s="8" t="n">
        <f aca="false">M165-M159*(VST_Assets!$N$6*(1+VST_FuelAdj)+VST_Assets!$O$6*(1+VST_OMAdj)+VST_Assets!$P$6*(1+VST_CapexAdj))*(1+VST_Assets!$Q$6)^(M$3-2026)/1000000</f>
        <v>0</v>
      </c>
      <c r="N175" s="8" t="n">
        <f aca="false">N165-N159*(VST_Assets!$N$6*(1+VST_FuelAdj)+VST_Assets!$O$6*(1+VST_OMAdj)+VST_Assets!$P$6*(1+VST_CapexAdj))*(1+VST_Assets!$Q$6)^(N$3-2026)/1000000</f>
        <v>0</v>
      </c>
      <c r="O175" s="8" t="n">
        <f aca="false">O165-O159*(VST_Assets!$N$6*(1+VST_FuelAdj)+VST_Assets!$O$6*(1+VST_OMAdj)+VST_Assets!$P$6*(1+VST_CapexAdj))*(1+VST_Assets!$Q$6)^(O$3-2026)/1000000</f>
        <v>0</v>
      </c>
      <c r="P175" s="8" t="n">
        <f aca="false">P165-P159*(VST_Assets!$N$6*(1+VST_FuelAdj)+VST_Assets!$O$6*(1+VST_OMAdj)+VST_Assets!$P$6*(1+VST_CapexAdj))*(1+VST_Assets!$Q$6)^(P$3-2026)/1000000</f>
        <v>0</v>
      </c>
      <c r="Q175" s="8" t="n">
        <f aca="false">Q165-Q159*(VST_Assets!$N$6*(1+VST_FuelAdj)+VST_Assets!$O$6*(1+VST_OMAdj)+VST_Assets!$P$6*(1+VST_CapexAdj))*(1+VST_Assets!$Q$6)^(Q$3-2026)/1000000</f>
        <v>0</v>
      </c>
      <c r="R175" s="8" t="n">
        <f aca="false">R165-R159*(VST_Assets!$N$6*(1+VST_FuelAdj)+VST_Assets!$O$6*(1+VST_OMAdj)+VST_Assets!$P$6*(1+VST_CapexAdj))*(1+VST_Assets!$Q$6)^(R$3-2026)/1000000</f>
        <v>0</v>
      </c>
      <c r="S175" s="8" t="n">
        <f aca="false">S165-S159*(VST_Assets!$N$6*(1+VST_FuelAdj)+VST_Assets!$O$6*(1+VST_OMAdj)+VST_Assets!$P$6*(1+VST_CapexAdj))*(1+VST_Assets!$Q$6)^(S$3-2026)/1000000</f>
        <v>0</v>
      </c>
      <c r="T175" s="8" t="n">
        <f aca="false">T165-T159*(VST_Assets!$N$6*(1+VST_FuelAdj)+VST_Assets!$O$6*(1+VST_OMAdj)+VST_Assets!$P$6*(1+VST_CapexAdj))*(1+VST_Assets!$Q$6)^(T$3-2026)/1000000</f>
        <v>0</v>
      </c>
      <c r="U175" s="8" t="n">
        <f aca="false">U165-U159*(VST_Assets!$N$6*(1+VST_FuelAdj)+VST_Assets!$O$6*(1+VST_OMAdj)+VST_Assets!$P$6*(1+VST_CapexAdj))*(1+VST_Assets!$Q$6)^(U$3-2026)/1000000</f>
        <v>0</v>
      </c>
      <c r="V175" s="8" t="n">
        <f aca="false">V165-V159*(VST_Assets!$N$6*(1+VST_FuelAdj)+VST_Assets!$O$6*(1+VST_OMAdj)+VST_Assets!$P$6*(1+VST_CapexAdj))*(1+VST_Assets!$Q$6)^(V$3-2026)/1000000</f>
        <v>0</v>
      </c>
      <c r="W175" s="8" t="n">
        <f aca="false">W165-W159*(VST_Assets!$N$6*(1+VST_FuelAdj)+VST_Assets!$O$6*(1+VST_OMAdj)+VST_Assets!$P$6*(1+VST_CapexAdj))*(1+VST_Assets!$Q$6)^(W$3-2026)/1000000</f>
        <v>0</v>
      </c>
      <c r="X175" s="8" t="n">
        <f aca="false">X165-X159*(VST_Assets!$N$6*(1+VST_FuelAdj)+VST_Assets!$O$6*(1+VST_OMAdj)+VST_Assets!$P$6*(1+VST_CapexAdj))*(1+VST_Assets!$Q$6)^(X$3-2026)/1000000</f>
        <v>0</v>
      </c>
      <c r="Y175" s="8" t="n">
        <f aca="false">Y165-Y159*(VST_Assets!$N$6*(1+VST_FuelAdj)+VST_Assets!$O$6*(1+VST_OMAdj)+VST_Assets!$P$6*(1+VST_CapexAdj))*(1+VST_Assets!$Q$6)^(Y$3-2026)/1000000</f>
        <v>0</v>
      </c>
      <c r="Z175" s="8" t="n">
        <f aca="false">Z165-Z159*(VST_Assets!$N$6*(1+VST_FuelAdj)+VST_Assets!$O$6*(1+VST_OMAdj)+VST_Assets!$P$6*(1+VST_CapexAdj))*(1+VST_Assets!$Q$6)^(Z$3-2026)/1000000</f>
        <v>0</v>
      </c>
      <c r="AA175" s="8" t="n">
        <f aca="false">AA165-AA159*(VST_Assets!$N$6*(1+VST_FuelAdj)+VST_Assets!$O$6*(1+VST_OMAdj)+VST_Assets!$P$6*(1+VST_CapexAdj))*(1+VST_Assets!$Q$6)^(AA$3-2026)/1000000</f>
        <v>0</v>
      </c>
      <c r="AB175" s="8" t="n">
        <f aca="false">AB165-AB159*(VST_Assets!$N$6*(1+VST_FuelAdj)+VST_Assets!$O$6*(1+VST_OMAdj)+VST_Assets!$P$6*(1+VST_CapexAdj))*(1+VST_Assets!$Q$6)^(AB$3-2026)/1000000</f>
        <v>0</v>
      </c>
      <c r="AC175" s="8" t="n">
        <f aca="false">AC165-AC159*(VST_Assets!$N$6*(1+VST_FuelAdj)+VST_Assets!$O$6*(1+VST_OMAdj)+VST_Assets!$P$6*(1+VST_CapexAdj))*(1+VST_Assets!$Q$6)^(AC$3-2026)/1000000</f>
        <v>0</v>
      </c>
      <c r="AD175" s="8" t="n">
        <f aca="false">AD165-AD159*(VST_Assets!$N$6*(1+VST_FuelAdj)+VST_Assets!$O$6*(1+VST_OMAdj)+VST_Assets!$P$6*(1+VST_CapexAdj))*(1+VST_Assets!$Q$6)^(AD$3-2026)/1000000</f>
        <v>0</v>
      </c>
      <c r="AE175" s="8" t="n">
        <f aca="false">AE165-AE159*(VST_Assets!$N$6*(1+VST_FuelAdj)+VST_Assets!$O$6*(1+VST_OMAdj)+VST_Assets!$P$6*(1+VST_CapexAdj))*(1+VST_Assets!$Q$6)^(AE$3-2026)/1000000</f>
        <v>0</v>
      </c>
      <c r="AF175" s="8" t="n">
        <f aca="false">AF165-AF159*(VST_Assets!$N$6*(1+VST_FuelAdj)+VST_Assets!$O$6*(1+VST_OMAdj)+VST_Assets!$P$6*(1+VST_CapexAdj))*(1+VST_Assets!$Q$6)^(AF$3-2026)/1000000</f>
        <v>0</v>
      </c>
      <c r="AG175" s="8" t="n">
        <f aca="false">AG165-AG159*(VST_Assets!$N$6*(1+VST_FuelAdj)+VST_Assets!$O$6*(1+VST_OMAdj)+VST_Assets!$P$6*(1+VST_CapexAdj))*(1+VST_Assets!$Q$6)^(AG$3-2026)/1000000</f>
        <v>0</v>
      </c>
      <c r="AH175" s="8" t="n">
        <f aca="false">AH165-AH159*(VST_Assets!$N$6*(1+VST_FuelAdj)+VST_Assets!$O$6*(1+VST_OMAdj)+VST_Assets!$P$6*(1+VST_CapexAdj))*(1+VST_Assets!$Q$6)^(AH$3-2026)/1000000</f>
        <v>0</v>
      </c>
      <c r="AI175" s="8" t="n">
        <f aca="false">AI165-AI159*(VST_Assets!$N$6*(1+VST_FuelAdj)+VST_Assets!$O$6*(1+VST_OMAdj)+VST_Assets!$P$6*(1+VST_CapexAdj))*(1+VST_Assets!$Q$6)^(AI$3-2026)/1000000</f>
        <v>0</v>
      </c>
      <c r="AJ175" s="8" t="n">
        <f aca="false">AJ165-AJ159*(VST_Assets!$N$6*(1+VST_FuelAdj)+VST_Assets!$O$6*(1+VST_OMAdj)+VST_Assets!$P$6*(1+VST_CapexAdj))*(1+VST_Assets!$Q$6)^(AJ$3-2026)/1000000</f>
        <v>0</v>
      </c>
      <c r="AK175" s="8" t="n">
        <f aca="false">AK165-AK159*(VST_Assets!$N$6*(1+VST_FuelAdj)+VST_Assets!$O$6*(1+VST_OMAdj)+VST_Assets!$P$6*(1+VST_CapexAdj))*(1+VST_Assets!$Q$6)^(AK$3-2026)/1000000</f>
        <v>0</v>
      </c>
      <c r="AL175" s="8" t="n">
        <f aca="false">AL165-AL159*(VST_Assets!$N$6*(1+VST_FuelAdj)+VST_Assets!$O$6*(1+VST_OMAdj)+VST_Assets!$P$6*(1+VST_CapexAdj))*(1+VST_Assets!$Q$6)^(AL$3-2026)/1000000</f>
        <v>0</v>
      </c>
      <c r="AM175" s="8" t="n">
        <f aca="false">AM165-AM159*(VST_Assets!$N$6*(1+VST_FuelAdj)+VST_Assets!$O$6*(1+VST_OMAdj)+VST_Assets!$P$6*(1+VST_CapexAdj))*(1+VST_Assets!$Q$6)^(AM$3-2026)/1000000</f>
        <v>0</v>
      </c>
      <c r="AN175" s="8" t="n">
        <f aca="false">AN165-AN159*(VST_Assets!$N$6*(1+VST_FuelAdj)+VST_Assets!$O$6*(1+VST_OMAdj)+VST_Assets!$P$6*(1+VST_CapexAdj))*(1+VST_Assets!$Q$6)^(AN$3-2026)/1000000</f>
        <v>0</v>
      </c>
      <c r="AO175" s="8" t="n">
        <f aca="false">AO165-AO159*(VST_Assets!$N$6*(1+VST_FuelAdj)+VST_Assets!$O$6*(1+VST_OMAdj)+VST_Assets!$P$6*(1+VST_CapexAdj))*(1+VST_Assets!$Q$6)^(AO$3-2026)/1000000</f>
        <v>0</v>
      </c>
      <c r="AP175" s="8" t="n">
        <f aca="false">AP165-AP159*(VST_Assets!$N$6*(1+VST_FuelAdj)+VST_Assets!$O$6*(1+VST_OMAdj)+VST_Assets!$P$6*(1+VST_CapexAdj))*(1+VST_Assets!$Q$6)^(AP$3-2026)/1000000</f>
        <v>0</v>
      </c>
      <c r="AQ175" s="8" t="n">
        <f aca="false">AQ165-AQ159*(VST_Assets!$N$6*(1+VST_FuelAdj)+VST_Assets!$O$6*(1+VST_OMAdj)+VST_Assets!$P$6*(1+VST_CapexAdj))*(1+VST_Assets!$Q$6)^(AQ$3-2026)/1000000</f>
        <v>0</v>
      </c>
      <c r="AR175" s="8" t="n">
        <f aca="false">AR165-AR159*(VST_Assets!$N$6*(1+VST_FuelAdj)+VST_Assets!$O$6*(1+VST_OMAdj)+VST_Assets!$P$6*(1+VST_CapexAdj))*(1+VST_Assets!$Q$6)^(AR$3-2026)/1000000</f>
        <v>0</v>
      </c>
      <c r="AS175" s="8" t="n">
        <f aca="false">AS165-AS159*(VST_Assets!$N$6*(1+VST_FuelAdj)+VST_Assets!$O$6*(1+VST_OMAdj)+VST_Assets!$P$6*(1+VST_CapexAdj))*(1+VST_Assets!$Q$6)^(AS$3-2026)/1000000</f>
        <v>0</v>
      </c>
    </row>
    <row r="176" customFormat="false" ht="15" hidden="false" customHeight="false" outlineLevel="0" collapsed="false">
      <c r="A176" s="6" t="s">
        <v>465</v>
      </c>
      <c r="B176" s="6" t="s">
        <v>466</v>
      </c>
      <c r="G176" s="8" t="n">
        <f aca="false">G173-G175</f>
        <v>35.52873756</v>
      </c>
      <c r="H176" s="8" t="n">
        <f aca="false">H173-H175</f>
        <v>39.3219563112</v>
      </c>
      <c r="I176" s="8" t="n">
        <f aca="false">I173-I175</f>
        <v>40.383484664472</v>
      </c>
      <c r="J176" s="8" t="n">
        <f aca="false">J173-J175</f>
        <v>42.9073553684102</v>
      </c>
      <c r="K176" s="8" t="n">
        <f aca="false">K173-K175</f>
        <v>43.7655024757784</v>
      </c>
      <c r="L176" s="8" t="n">
        <f aca="false">L173-L175</f>
        <v>44.640812525294</v>
      </c>
      <c r="M176" s="8" t="n">
        <f aca="false">M173-M175</f>
        <v>45.5336287757999</v>
      </c>
      <c r="N176" s="8" t="n">
        <f aca="false">N173-N175</f>
        <v>46.4443013513159</v>
      </c>
      <c r="O176" s="8" t="n">
        <f aca="false">O173-O175</f>
        <v>47.3731873783422</v>
      </c>
      <c r="P176" s="8" t="n">
        <f aca="false">P173-P175</f>
        <v>48.320651125909</v>
      </c>
      <c r="Q176" s="8" t="n">
        <f aca="false">Q173-Q175</f>
        <v>49.2870641484273</v>
      </c>
      <c r="R176" s="8" t="n">
        <f aca="false">R173-R175</f>
        <v>50.2728054313958</v>
      </c>
      <c r="S176" s="8" t="n">
        <f aca="false">S173-S175</f>
        <v>51.2782615400237</v>
      </c>
      <c r="T176" s="8" t="n">
        <f aca="false">T173-T175</f>
        <v>52.3038267708242</v>
      </c>
      <c r="U176" s="8" t="n">
        <f aca="false">U173-U175</f>
        <v>0</v>
      </c>
      <c r="V176" s="8" t="n">
        <f aca="false">V173-V175</f>
        <v>0</v>
      </c>
      <c r="W176" s="8" t="n">
        <f aca="false">W173-W175</f>
        <v>0</v>
      </c>
      <c r="X176" s="8" t="n">
        <f aca="false">X173-X175</f>
        <v>0</v>
      </c>
      <c r="Y176" s="8" t="n">
        <f aca="false">Y173-Y175</f>
        <v>0</v>
      </c>
      <c r="Z176" s="8" t="n">
        <f aca="false">Z173-Z175</f>
        <v>0</v>
      </c>
      <c r="AA176" s="8" t="n">
        <f aca="false">AA173-AA175</f>
        <v>0</v>
      </c>
      <c r="AB176" s="8" t="n">
        <f aca="false">AB173-AB175</f>
        <v>0</v>
      </c>
      <c r="AC176" s="8" t="n">
        <f aca="false">AC173-AC175</f>
        <v>0</v>
      </c>
      <c r="AD176" s="8" t="n">
        <f aca="false">AD173-AD175</f>
        <v>0</v>
      </c>
      <c r="AE176" s="8" t="n">
        <f aca="false">AE173-AE175</f>
        <v>0</v>
      </c>
      <c r="AF176" s="8" t="n">
        <f aca="false">AF173-AF175</f>
        <v>0</v>
      </c>
      <c r="AG176" s="8" t="n">
        <f aca="false">AG173-AG175</f>
        <v>0</v>
      </c>
      <c r="AH176" s="8" t="n">
        <f aca="false">AH173-AH175</f>
        <v>0</v>
      </c>
      <c r="AI176" s="8" t="n">
        <f aca="false">AI173-AI175</f>
        <v>0</v>
      </c>
      <c r="AJ176" s="8" t="n">
        <f aca="false">AJ173-AJ175</f>
        <v>0</v>
      </c>
      <c r="AK176" s="8" t="n">
        <f aca="false">AK173-AK175</f>
        <v>0</v>
      </c>
      <c r="AL176" s="8" t="n">
        <f aca="false">AL173-AL175</f>
        <v>0</v>
      </c>
      <c r="AM176" s="8" t="n">
        <f aca="false">AM173-AM175</f>
        <v>0</v>
      </c>
      <c r="AN176" s="8" t="n">
        <f aca="false">AN173-AN175</f>
        <v>0</v>
      </c>
      <c r="AO176" s="8" t="n">
        <f aca="false">AO173-AO175</f>
        <v>0</v>
      </c>
      <c r="AP176" s="8" t="n">
        <f aca="false">AP173-AP175</f>
        <v>0</v>
      </c>
      <c r="AQ176" s="8" t="n">
        <f aca="false">AQ173-AQ175</f>
        <v>0</v>
      </c>
      <c r="AR176" s="8" t="n">
        <f aca="false">AR173-AR175</f>
        <v>0</v>
      </c>
      <c r="AS176" s="8" t="n">
        <f aca="false">AS173-AS175</f>
        <v>0</v>
      </c>
    </row>
    <row r="177" customFormat="false" ht="15" hidden="false" customHeight="false" outlineLevel="0" collapsed="false">
      <c r="A177" s="6" t="s">
        <v>467</v>
      </c>
      <c r="B177" s="6" t="s">
        <v>468</v>
      </c>
      <c r="G177" s="8" t="n">
        <f aca="false">G176*(1-TaxRate)+G174</f>
        <v>28.422990048</v>
      </c>
      <c r="H177" s="8" t="n">
        <f aca="false">H176*(1-TaxRate)+H174</f>
        <v>31.45756504896</v>
      </c>
      <c r="I177" s="8" t="n">
        <f aca="false">I176*(1-TaxRate)+I174</f>
        <v>32.3067877315776</v>
      </c>
      <c r="J177" s="8" t="n">
        <f aca="false">J176*(1-TaxRate)+J174</f>
        <v>34.3258842947282</v>
      </c>
      <c r="K177" s="8" t="n">
        <f aca="false">K176*(1-TaxRate)+K174</f>
        <v>35.0124019806228</v>
      </c>
      <c r="L177" s="8" t="n">
        <f aca="false">L176*(1-TaxRate)+L174</f>
        <v>35.7126500202352</v>
      </c>
      <c r="M177" s="8" t="n">
        <f aca="false">M176*(1-TaxRate)+M174</f>
        <v>36.4269030206399</v>
      </c>
      <c r="N177" s="8" t="n">
        <f aca="false">N176*(1-TaxRate)+N174</f>
        <v>37.1554410810527</v>
      </c>
      <c r="O177" s="8" t="n">
        <f aca="false">O176*(1-TaxRate)+O174</f>
        <v>37.8985499026738</v>
      </c>
      <c r="P177" s="8" t="n">
        <f aca="false">P176*(1-TaxRate)+P174</f>
        <v>38.6565209007272</v>
      </c>
      <c r="Q177" s="8" t="n">
        <f aca="false">Q176*(1-TaxRate)+Q174</f>
        <v>39.4296513187418</v>
      </c>
      <c r="R177" s="8" t="n">
        <f aca="false">R176*(1-TaxRate)+R174</f>
        <v>40.2182443451167</v>
      </c>
      <c r="S177" s="8" t="n">
        <f aca="false">S176*(1-TaxRate)+S174</f>
        <v>41.022609232019</v>
      </c>
      <c r="T177" s="8" t="n">
        <f aca="false">T176*(1-TaxRate)+T174</f>
        <v>41.8430614166593</v>
      </c>
      <c r="U177" s="8" t="n">
        <f aca="false">U176*(1-TaxRate)+U174</f>
        <v>0</v>
      </c>
      <c r="V177" s="8" t="n">
        <f aca="false">V176*(1-TaxRate)+V174</f>
        <v>0</v>
      </c>
      <c r="W177" s="8" t="n">
        <f aca="false">W176*(1-TaxRate)+W174</f>
        <v>0</v>
      </c>
      <c r="X177" s="8" t="n">
        <f aca="false">X176*(1-TaxRate)+X174</f>
        <v>0</v>
      </c>
      <c r="Y177" s="8" t="n">
        <f aca="false">Y176*(1-TaxRate)+Y174</f>
        <v>0</v>
      </c>
      <c r="Z177" s="8" t="n">
        <f aca="false">Z176*(1-TaxRate)+Z174</f>
        <v>0</v>
      </c>
      <c r="AA177" s="8" t="n">
        <f aca="false">AA176*(1-TaxRate)+AA174</f>
        <v>0</v>
      </c>
      <c r="AB177" s="8" t="n">
        <f aca="false">AB176*(1-TaxRate)+AB174</f>
        <v>0</v>
      </c>
      <c r="AC177" s="8" t="n">
        <f aca="false">AC176*(1-TaxRate)+AC174</f>
        <v>0</v>
      </c>
      <c r="AD177" s="8" t="n">
        <f aca="false">AD176*(1-TaxRate)+AD174</f>
        <v>0</v>
      </c>
      <c r="AE177" s="8" t="n">
        <f aca="false">AE176*(1-TaxRate)+AE174</f>
        <v>0</v>
      </c>
      <c r="AF177" s="8" t="n">
        <f aca="false">AF176*(1-TaxRate)+AF174</f>
        <v>0</v>
      </c>
      <c r="AG177" s="8" t="n">
        <f aca="false">AG176*(1-TaxRate)+AG174</f>
        <v>0</v>
      </c>
      <c r="AH177" s="8" t="n">
        <f aca="false">AH176*(1-TaxRate)+AH174</f>
        <v>0</v>
      </c>
      <c r="AI177" s="8" t="n">
        <f aca="false">AI176*(1-TaxRate)+AI174</f>
        <v>0</v>
      </c>
      <c r="AJ177" s="8" t="n">
        <f aca="false">AJ176*(1-TaxRate)+AJ174</f>
        <v>0</v>
      </c>
      <c r="AK177" s="8" t="n">
        <f aca="false">AK176*(1-TaxRate)+AK174</f>
        <v>0</v>
      </c>
      <c r="AL177" s="8" t="n">
        <f aca="false">AL176*(1-TaxRate)+AL174</f>
        <v>0</v>
      </c>
      <c r="AM177" s="8" t="n">
        <f aca="false">AM176*(1-TaxRate)+AM174</f>
        <v>0</v>
      </c>
      <c r="AN177" s="8" t="n">
        <f aca="false">AN176*(1-TaxRate)+AN174</f>
        <v>0</v>
      </c>
      <c r="AO177" s="8" t="n">
        <f aca="false">AO176*(1-TaxRate)+AO174</f>
        <v>0</v>
      </c>
      <c r="AP177" s="8" t="n">
        <f aca="false">AP176*(1-TaxRate)+AP174</f>
        <v>0</v>
      </c>
      <c r="AQ177" s="8" t="n">
        <f aca="false">AQ176*(1-TaxRate)+AQ174</f>
        <v>0</v>
      </c>
      <c r="AR177" s="8" t="n">
        <f aca="false">AR176*(1-TaxRate)+AR174</f>
        <v>0</v>
      </c>
      <c r="AS177" s="8" t="n">
        <f aca="false">AS176*(1-TaxRate)+AS174</f>
        <v>0</v>
      </c>
    </row>
    <row r="178" customFormat="false" ht="15" hidden="false" customHeight="false" outlineLevel="0" collapsed="false">
      <c r="A178" s="6" t="s">
        <v>469</v>
      </c>
      <c r="B178" s="6" t="s">
        <v>470</v>
      </c>
      <c r="G178" s="8" t="n">
        <f aca="false">G175*(1-TaxRate)</f>
        <v>0</v>
      </c>
      <c r="H178" s="8" t="n">
        <f aca="false">H175*(1-TaxRate)</f>
        <v>0</v>
      </c>
      <c r="I178" s="8" t="n">
        <f aca="false">I175*(1-TaxRate)</f>
        <v>0</v>
      </c>
      <c r="J178" s="8" t="n">
        <f aca="false">J175*(1-TaxRate)</f>
        <v>0</v>
      </c>
      <c r="K178" s="8" t="n">
        <f aca="false">K175*(1-TaxRate)</f>
        <v>0</v>
      </c>
      <c r="L178" s="8" t="n">
        <f aca="false">L175*(1-TaxRate)</f>
        <v>0</v>
      </c>
      <c r="M178" s="8" t="n">
        <f aca="false">M175*(1-TaxRate)</f>
        <v>0</v>
      </c>
      <c r="N178" s="8" t="n">
        <f aca="false">N175*(1-TaxRate)</f>
        <v>0</v>
      </c>
      <c r="O178" s="8" t="n">
        <f aca="false">O175*(1-TaxRate)</f>
        <v>0</v>
      </c>
      <c r="P178" s="8" t="n">
        <f aca="false">P175*(1-TaxRate)</f>
        <v>0</v>
      </c>
      <c r="Q178" s="8" t="n">
        <f aca="false">Q175*(1-TaxRate)</f>
        <v>0</v>
      </c>
      <c r="R178" s="8" t="n">
        <f aca="false">R175*(1-TaxRate)</f>
        <v>0</v>
      </c>
      <c r="S178" s="8" t="n">
        <f aca="false">S175*(1-TaxRate)</f>
        <v>0</v>
      </c>
      <c r="T178" s="8" t="n">
        <f aca="false">T175*(1-TaxRate)</f>
        <v>0</v>
      </c>
      <c r="U178" s="8" t="n">
        <f aca="false">U175*(1-TaxRate)</f>
        <v>0</v>
      </c>
      <c r="V178" s="8" t="n">
        <f aca="false">V175*(1-TaxRate)</f>
        <v>0</v>
      </c>
      <c r="W178" s="8" t="n">
        <f aca="false">W175*(1-TaxRate)</f>
        <v>0</v>
      </c>
      <c r="X178" s="8" t="n">
        <f aca="false">X175*(1-TaxRate)</f>
        <v>0</v>
      </c>
      <c r="Y178" s="8" t="n">
        <f aca="false">Y175*(1-TaxRate)</f>
        <v>0</v>
      </c>
      <c r="Z178" s="8" t="n">
        <f aca="false">Z175*(1-TaxRate)</f>
        <v>0</v>
      </c>
      <c r="AA178" s="8" t="n">
        <f aca="false">AA175*(1-TaxRate)</f>
        <v>0</v>
      </c>
      <c r="AB178" s="8" t="n">
        <f aca="false">AB175*(1-TaxRate)</f>
        <v>0</v>
      </c>
      <c r="AC178" s="8" t="n">
        <f aca="false">AC175*(1-TaxRate)</f>
        <v>0</v>
      </c>
      <c r="AD178" s="8" t="n">
        <f aca="false">AD175*(1-TaxRate)</f>
        <v>0</v>
      </c>
      <c r="AE178" s="8" t="n">
        <f aca="false">AE175*(1-TaxRate)</f>
        <v>0</v>
      </c>
      <c r="AF178" s="8" t="n">
        <f aca="false">AF175*(1-TaxRate)</f>
        <v>0</v>
      </c>
      <c r="AG178" s="8" t="n">
        <f aca="false">AG175*(1-TaxRate)</f>
        <v>0</v>
      </c>
      <c r="AH178" s="8" t="n">
        <f aca="false">AH175*(1-TaxRate)</f>
        <v>0</v>
      </c>
      <c r="AI178" s="8" t="n">
        <f aca="false">AI175*(1-TaxRate)</f>
        <v>0</v>
      </c>
      <c r="AJ178" s="8" t="n">
        <f aca="false">AJ175*(1-TaxRate)</f>
        <v>0</v>
      </c>
      <c r="AK178" s="8" t="n">
        <f aca="false">AK175*(1-TaxRate)</f>
        <v>0</v>
      </c>
      <c r="AL178" s="8" t="n">
        <f aca="false">AL175*(1-TaxRate)</f>
        <v>0</v>
      </c>
      <c r="AM178" s="8" t="n">
        <f aca="false">AM175*(1-TaxRate)</f>
        <v>0</v>
      </c>
      <c r="AN178" s="8" t="n">
        <f aca="false">AN175*(1-TaxRate)</f>
        <v>0</v>
      </c>
      <c r="AO178" s="8" t="n">
        <f aca="false">AO175*(1-TaxRate)</f>
        <v>0</v>
      </c>
      <c r="AP178" s="8" t="n">
        <f aca="false">AP175*(1-TaxRate)</f>
        <v>0</v>
      </c>
      <c r="AQ178" s="8" t="n">
        <f aca="false">AQ175*(1-TaxRate)</f>
        <v>0</v>
      </c>
      <c r="AR178" s="8" t="n">
        <f aca="false">AR175*(1-TaxRate)</f>
        <v>0</v>
      </c>
      <c r="AS178" s="8" t="n">
        <f aca="false">AS175*(1-TaxRate)</f>
        <v>0</v>
      </c>
    </row>
    <row r="179" customFormat="false" ht="15" hidden="false" customHeight="false" outlineLevel="0" collapsed="false">
      <c r="A179" s="6" t="s">
        <v>471</v>
      </c>
      <c r="B179" s="6" t="s">
        <v>472</v>
      </c>
      <c r="G179" s="42" t="n">
        <f aca="false">(1+VST_Assets!$AE$6)^-(G$3+0.5-ValDate)</f>
        <v>0.931012444622223</v>
      </c>
      <c r="H179" s="42" t="n">
        <f aca="false">(1+VST_Assets!$AE$6)^-(H$3+0.5-ValDate)</f>
        <v>0.846374949656566</v>
      </c>
      <c r="I179" s="42" t="n">
        <f aca="false">(1+VST_Assets!$AE$6)^-(I$3+0.5-ValDate)</f>
        <v>0.76943177241506</v>
      </c>
      <c r="J179" s="42" t="n">
        <f aca="false">(1+VST_Assets!$AE$6)^-(J$3+0.5-ValDate)</f>
        <v>0.699483429468236</v>
      </c>
      <c r="K179" s="42" t="n">
        <f aca="false">(1+VST_Assets!$AE$6)^-(K$3+0.5-ValDate)</f>
        <v>0.635894026789306</v>
      </c>
      <c r="L179" s="42" t="n">
        <f aca="false">(1+VST_Assets!$AE$6)^-(L$3+0.5-ValDate)</f>
        <v>0.578085478899369</v>
      </c>
      <c r="M179" s="42" t="n">
        <f aca="false">(1+VST_Assets!$AE$6)^-(M$3+0.5-ValDate)</f>
        <v>0.525532253544881</v>
      </c>
      <c r="N179" s="42" t="n">
        <f aca="false">(1+VST_Assets!$AE$6)^-(N$3+0.5-ValDate)</f>
        <v>0.47775659413171</v>
      </c>
      <c r="O179" s="42" t="n">
        <f aca="false">(1+VST_Assets!$AE$6)^-(O$3+0.5-ValDate)</f>
        <v>0.434324176483372</v>
      </c>
      <c r="P179" s="42" t="n">
        <f aca="false">(1+VST_Assets!$AE$6)^-(P$3+0.5-ValDate)</f>
        <v>0.394840160439429</v>
      </c>
      <c r="Q179" s="42" t="n">
        <f aca="false">(1+VST_Assets!$AE$6)^-(Q$3+0.5-ValDate)</f>
        <v>0.358945600399481</v>
      </c>
      <c r="R179" s="42" t="n">
        <f aca="false">(1+VST_Assets!$AE$6)^-(R$3+0.5-ValDate)</f>
        <v>0.326314182181347</v>
      </c>
      <c r="S179" s="42" t="n">
        <f aca="false">(1+VST_Assets!$AE$6)^-(S$3+0.5-ValDate)</f>
        <v>0.296649256528497</v>
      </c>
      <c r="T179" s="42" t="n">
        <f aca="false">(1+VST_Assets!$AE$6)^-(T$3+0.5-ValDate)</f>
        <v>0.269681142298634</v>
      </c>
      <c r="U179" s="42" t="n">
        <f aca="false">(1+VST_Assets!$AE$6)^-(U$3+0.5-ValDate)</f>
        <v>0.24516467481694</v>
      </c>
      <c r="V179" s="42" t="n">
        <f aca="false">(1+VST_Assets!$AE$6)^-(V$3+0.5-ValDate)</f>
        <v>0.222876977106309</v>
      </c>
      <c r="W179" s="42" t="n">
        <f aca="false">(1+VST_Assets!$AE$6)^-(W$3+0.5-ValDate)</f>
        <v>0.202615433733008</v>
      </c>
      <c r="X179" s="42" t="n">
        <f aca="false">(1+VST_Assets!$AE$6)^-(X$3+0.5-ValDate)</f>
        <v>0.184195848848189</v>
      </c>
      <c r="Y179" s="42" t="n">
        <f aca="false">(1+VST_Assets!$AE$6)^-(Y$3+0.5-ValDate)</f>
        <v>0.167450771680172</v>
      </c>
      <c r="Z179" s="42" t="n">
        <f aca="false">(1+VST_Assets!$AE$6)^-(Z$3+0.5-ValDate)</f>
        <v>0.152227974254702</v>
      </c>
      <c r="AA179" s="42" t="n">
        <f aca="false">(1+VST_Assets!$AE$6)^-(AA$3+0.5-ValDate)</f>
        <v>0.138389067504274</v>
      </c>
      <c r="AB179" s="42" t="n">
        <f aca="false">(1+VST_Assets!$AE$6)^-(AB$3+0.5-ValDate)</f>
        <v>0.125808243185704</v>
      </c>
      <c r="AC179" s="42" t="n">
        <f aca="false">(1+VST_Assets!$AE$6)^-(AC$3+0.5-ValDate)</f>
        <v>0.114371130168822</v>
      </c>
      <c r="AD179" s="42" t="n">
        <f aca="false">(1+VST_Assets!$AE$6)^-(AD$3+0.5-ValDate)</f>
        <v>0.103973754698929</v>
      </c>
      <c r="AE179" s="42" t="n">
        <f aca="false">(1+VST_Assets!$AE$6)^-(AE$3+0.5-ValDate)</f>
        <v>0.0945215951808443</v>
      </c>
      <c r="AF179" s="42" t="n">
        <f aca="false">(1+VST_Assets!$AE$6)^-(AF$3+0.5-ValDate)</f>
        <v>0.0859287228916766</v>
      </c>
      <c r="AG179" s="42" t="n">
        <f aca="false">(1+VST_Assets!$AE$6)^-(AG$3+0.5-ValDate)</f>
        <v>0.0781170208106151</v>
      </c>
      <c r="AH179" s="42" t="n">
        <f aca="false">(1+VST_Assets!$AE$6)^-(AH$3+0.5-ValDate)</f>
        <v>0.0710154734641955</v>
      </c>
      <c r="AI179" s="42" t="n">
        <f aca="false">(1+VST_Assets!$AE$6)^-(AI$3+0.5-ValDate)</f>
        <v>0.0645595213310868</v>
      </c>
      <c r="AJ179" s="42" t="n">
        <f aca="false">(1+VST_Assets!$AE$6)^-(AJ$3+0.5-ValDate)</f>
        <v>0.0586904739373517</v>
      </c>
      <c r="AK179" s="42" t="n">
        <f aca="false">(1+VST_Assets!$AE$6)^-(AK$3+0.5-ValDate)</f>
        <v>0.0533549763066833</v>
      </c>
      <c r="AL179" s="42" t="n">
        <f aca="false">(1+VST_Assets!$AE$6)^-(AL$3+0.5-ValDate)</f>
        <v>0.0485045239151667</v>
      </c>
      <c r="AM179" s="42" t="n">
        <f aca="false">(1+VST_Assets!$AE$6)^-(AM$3+0.5-ValDate)</f>
        <v>0.0440950217410606</v>
      </c>
      <c r="AN179" s="42" t="n">
        <f aca="false">(1+VST_Assets!$AE$6)^-(AN$3+0.5-ValDate)</f>
        <v>0.0400863834009642</v>
      </c>
      <c r="AO179" s="42" t="n">
        <f aca="false">(1+VST_Assets!$AE$6)^-(AO$3+0.5-ValDate)</f>
        <v>0.0364421667281493</v>
      </c>
      <c r="AP179" s="42" t="n">
        <f aca="false">(1+VST_Assets!$AE$6)^-(AP$3+0.5-ValDate)</f>
        <v>0.0331292424801357</v>
      </c>
      <c r="AQ179" s="42" t="n">
        <f aca="false">(1+VST_Assets!$AE$6)^-(AQ$3+0.5-ValDate)</f>
        <v>0.0301174931637597</v>
      </c>
      <c r="AR179" s="42" t="n">
        <f aca="false">(1+VST_Assets!$AE$6)^-(AR$3+0.5-ValDate)</f>
        <v>0.0273795392397815</v>
      </c>
      <c r="AS179" s="42" t="n">
        <f aca="false">(1+VST_Assets!$AE$6)^-(AS$3+0.5-ValDate)</f>
        <v>0.0248904902179832</v>
      </c>
    </row>
    <row r="180" customFormat="false" ht="15" hidden="false" customHeight="false" outlineLevel="0" collapsed="false">
      <c r="A180" s="6" t="s">
        <v>473</v>
      </c>
      <c r="B180" s="6" t="s">
        <v>474</v>
      </c>
      <c r="G180" s="42" t="n">
        <f aca="false">(1+VST_Assets!$AF$6)^-(G$3+0.5-ValDate)</f>
        <v>0.931012444622223</v>
      </c>
      <c r="H180" s="42" t="n">
        <f aca="false">(1+VST_Assets!$AF$6)^-(H$3+0.5-ValDate)</f>
        <v>0.846374949656566</v>
      </c>
      <c r="I180" s="42" t="n">
        <f aca="false">(1+VST_Assets!$AF$6)^-(I$3+0.5-ValDate)</f>
        <v>0.76943177241506</v>
      </c>
      <c r="J180" s="42" t="n">
        <f aca="false">(1+VST_Assets!$AF$6)^-(J$3+0.5-ValDate)</f>
        <v>0.699483429468236</v>
      </c>
      <c r="K180" s="42" t="n">
        <f aca="false">(1+VST_Assets!$AF$6)^-(K$3+0.5-ValDate)</f>
        <v>0.635894026789306</v>
      </c>
      <c r="L180" s="42" t="n">
        <f aca="false">(1+VST_Assets!$AF$6)^-(L$3+0.5-ValDate)</f>
        <v>0.578085478899369</v>
      </c>
      <c r="M180" s="42" t="n">
        <f aca="false">(1+VST_Assets!$AF$6)^-(M$3+0.5-ValDate)</f>
        <v>0.525532253544881</v>
      </c>
      <c r="N180" s="42" t="n">
        <f aca="false">(1+VST_Assets!$AF$6)^-(N$3+0.5-ValDate)</f>
        <v>0.47775659413171</v>
      </c>
      <c r="O180" s="42" t="n">
        <f aca="false">(1+VST_Assets!$AF$6)^-(O$3+0.5-ValDate)</f>
        <v>0.434324176483372</v>
      </c>
      <c r="P180" s="42" t="n">
        <f aca="false">(1+VST_Assets!$AF$6)^-(P$3+0.5-ValDate)</f>
        <v>0.394840160439429</v>
      </c>
      <c r="Q180" s="42" t="n">
        <f aca="false">(1+VST_Assets!$AF$6)^-(Q$3+0.5-ValDate)</f>
        <v>0.358945600399481</v>
      </c>
      <c r="R180" s="42" t="n">
        <f aca="false">(1+VST_Assets!$AF$6)^-(R$3+0.5-ValDate)</f>
        <v>0.326314182181347</v>
      </c>
      <c r="S180" s="42" t="n">
        <f aca="false">(1+VST_Assets!$AF$6)^-(S$3+0.5-ValDate)</f>
        <v>0.296649256528497</v>
      </c>
      <c r="T180" s="42" t="n">
        <f aca="false">(1+VST_Assets!$AF$6)^-(T$3+0.5-ValDate)</f>
        <v>0.269681142298634</v>
      </c>
      <c r="U180" s="42" t="n">
        <f aca="false">(1+VST_Assets!$AF$6)^-(U$3+0.5-ValDate)</f>
        <v>0.24516467481694</v>
      </c>
      <c r="V180" s="42" t="n">
        <f aca="false">(1+VST_Assets!$AF$6)^-(V$3+0.5-ValDate)</f>
        <v>0.222876977106309</v>
      </c>
      <c r="W180" s="42" t="n">
        <f aca="false">(1+VST_Assets!$AF$6)^-(W$3+0.5-ValDate)</f>
        <v>0.202615433733008</v>
      </c>
      <c r="X180" s="42" t="n">
        <f aca="false">(1+VST_Assets!$AF$6)^-(X$3+0.5-ValDate)</f>
        <v>0.184195848848189</v>
      </c>
      <c r="Y180" s="42" t="n">
        <f aca="false">(1+VST_Assets!$AF$6)^-(Y$3+0.5-ValDate)</f>
        <v>0.167450771680172</v>
      </c>
      <c r="Z180" s="42" t="n">
        <f aca="false">(1+VST_Assets!$AF$6)^-(Z$3+0.5-ValDate)</f>
        <v>0.152227974254702</v>
      </c>
      <c r="AA180" s="42" t="n">
        <f aca="false">(1+VST_Assets!$AF$6)^-(AA$3+0.5-ValDate)</f>
        <v>0.138389067504274</v>
      </c>
      <c r="AB180" s="42" t="n">
        <f aca="false">(1+VST_Assets!$AF$6)^-(AB$3+0.5-ValDate)</f>
        <v>0.125808243185704</v>
      </c>
      <c r="AC180" s="42" t="n">
        <f aca="false">(1+VST_Assets!$AF$6)^-(AC$3+0.5-ValDate)</f>
        <v>0.114371130168822</v>
      </c>
      <c r="AD180" s="42" t="n">
        <f aca="false">(1+VST_Assets!$AF$6)^-(AD$3+0.5-ValDate)</f>
        <v>0.103973754698929</v>
      </c>
      <c r="AE180" s="42" t="n">
        <f aca="false">(1+VST_Assets!$AF$6)^-(AE$3+0.5-ValDate)</f>
        <v>0.0945215951808443</v>
      </c>
      <c r="AF180" s="42" t="n">
        <f aca="false">(1+VST_Assets!$AF$6)^-(AF$3+0.5-ValDate)</f>
        <v>0.0859287228916766</v>
      </c>
      <c r="AG180" s="42" t="n">
        <f aca="false">(1+VST_Assets!$AF$6)^-(AG$3+0.5-ValDate)</f>
        <v>0.0781170208106151</v>
      </c>
      <c r="AH180" s="42" t="n">
        <f aca="false">(1+VST_Assets!$AF$6)^-(AH$3+0.5-ValDate)</f>
        <v>0.0710154734641955</v>
      </c>
      <c r="AI180" s="42" t="n">
        <f aca="false">(1+VST_Assets!$AF$6)^-(AI$3+0.5-ValDate)</f>
        <v>0.0645595213310868</v>
      </c>
      <c r="AJ180" s="42" t="n">
        <f aca="false">(1+VST_Assets!$AF$6)^-(AJ$3+0.5-ValDate)</f>
        <v>0.0586904739373517</v>
      </c>
      <c r="AK180" s="42" t="n">
        <f aca="false">(1+VST_Assets!$AF$6)^-(AK$3+0.5-ValDate)</f>
        <v>0.0533549763066833</v>
      </c>
      <c r="AL180" s="42" t="n">
        <f aca="false">(1+VST_Assets!$AF$6)^-(AL$3+0.5-ValDate)</f>
        <v>0.0485045239151667</v>
      </c>
      <c r="AM180" s="42" t="n">
        <f aca="false">(1+VST_Assets!$AF$6)^-(AM$3+0.5-ValDate)</f>
        <v>0.0440950217410606</v>
      </c>
      <c r="AN180" s="42" t="n">
        <f aca="false">(1+VST_Assets!$AF$6)^-(AN$3+0.5-ValDate)</f>
        <v>0.0400863834009642</v>
      </c>
      <c r="AO180" s="42" t="n">
        <f aca="false">(1+VST_Assets!$AF$6)^-(AO$3+0.5-ValDate)</f>
        <v>0.0364421667281493</v>
      </c>
      <c r="AP180" s="42" t="n">
        <f aca="false">(1+VST_Assets!$AF$6)^-(AP$3+0.5-ValDate)</f>
        <v>0.0331292424801357</v>
      </c>
      <c r="AQ180" s="42" t="n">
        <f aca="false">(1+VST_Assets!$AF$6)^-(AQ$3+0.5-ValDate)</f>
        <v>0.0301174931637597</v>
      </c>
      <c r="AR180" s="42" t="n">
        <f aca="false">(1+VST_Assets!$AF$6)^-(AR$3+0.5-ValDate)</f>
        <v>0.0273795392397815</v>
      </c>
      <c r="AS180" s="42" t="n">
        <f aca="false">(1+VST_Assets!$AF$6)^-(AS$3+0.5-ValDate)</f>
        <v>0.0248904902179832</v>
      </c>
    </row>
    <row r="181" customFormat="false" ht="15" hidden="false" customHeight="false" outlineLevel="0" collapsed="false">
      <c r="A181" s="6" t="s">
        <v>475</v>
      </c>
      <c r="B181" s="6" t="s">
        <v>476</v>
      </c>
      <c r="C181" s="43" t="n">
        <f aca="false">SUM(G181:AS181)</f>
        <v>264.213117684139</v>
      </c>
      <c r="D181" s="8" t="n">
        <f aca="false">SUMIF($G$3:$AS$3,"&lt;="&amp;Horizon,G181:AS181)</f>
        <v>101.955308694044</v>
      </c>
      <c r="E181" s="8" t="n">
        <f aca="false">(C181-D181)*(1+VST_Assets!$AE$6)^(Horizon+1-ValDate)</f>
        <v>243.290146105229</v>
      </c>
      <c r="G181" s="8" t="n">
        <f aca="false">G177*G179</f>
        <v>26.4621574480616</v>
      </c>
      <c r="H181" s="8" t="n">
        <f aca="false">H177*H179</f>
        <v>26.6248950346317</v>
      </c>
      <c r="I181" s="8" t="n">
        <f aca="false">I177*I179</f>
        <v>24.8578689453449</v>
      </c>
      <c r="J181" s="8" t="n">
        <f aca="false">J177*J179</f>
        <v>24.0103872660063</v>
      </c>
      <c r="K181" s="8" t="n">
        <f aca="false">K177*K179</f>
        <v>22.2641772830241</v>
      </c>
      <c r="L181" s="8" t="n">
        <f aca="false">L177*L179</f>
        <v>20.6449643897132</v>
      </c>
      <c r="M181" s="8" t="n">
        <f aca="false">M177*M179</f>
        <v>19.1435124340977</v>
      </c>
      <c r="N181" s="8" t="n">
        <f aca="false">N177*N179</f>
        <v>17.7512569843452</v>
      </c>
      <c r="O181" s="8" t="n">
        <f aca="false">O177*O179</f>
        <v>16.4602564763928</v>
      </c>
      <c r="P181" s="8" t="n">
        <f aca="false">P177*P179</f>
        <v>15.2631469144733</v>
      </c>
      <c r="Q181" s="8" t="n">
        <f aca="false">Q177*Q179</f>
        <v>14.153099866148</v>
      </c>
      <c r="R181" s="8" t="n">
        <f aca="false">R177*R179</f>
        <v>13.1237835122463</v>
      </c>
      <c r="S181" s="8" t="n">
        <f aca="false">S177*S179</f>
        <v>12.1693265295375</v>
      </c>
      <c r="T181" s="8" t="n">
        <f aca="false">T177*T179</f>
        <v>11.2842846001166</v>
      </c>
      <c r="U181" s="8" t="n">
        <f aca="false">U177*U179</f>
        <v>0</v>
      </c>
      <c r="V181" s="8" t="n">
        <f aca="false">V177*V179</f>
        <v>0</v>
      </c>
      <c r="W181" s="8" t="n">
        <f aca="false">W177*W179</f>
        <v>0</v>
      </c>
      <c r="X181" s="8" t="n">
        <f aca="false">X177*X179</f>
        <v>0</v>
      </c>
      <c r="Y181" s="8" t="n">
        <f aca="false">Y177*Y179</f>
        <v>0</v>
      </c>
      <c r="Z181" s="8" t="n">
        <f aca="false">Z177*Z179</f>
        <v>0</v>
      </c>
      <c r="AA181" s="8" t="n">
        <f aca="false">AA177*AA179</f>
        <v>0</v>
      </c>
      <c r="AB181" s="8" t="n">
        <f aca="false">AB177*AB179</f>
        <v>0</v>
      </c>
      <c r="AC181" s="8" t="n">
        <f aca="false">AC177*AC179</f>
        <v>0</v>
      </c>
      <c r="AD181" s="8" t="n">
        <f aca="false">AD177*AD179</f>
        <v>0</v>
      </c>
      <c r="AE181" s="8" t="n">
        <f aca="false">AE177*AE179</f>
        <v>0</v>
      </c>
      <c r="AF181" s="8" t="n">
        <f aca="false">AF177*AF179</f>
        <v>0</v>
      </c>
      <c r="AG181" s="8" t="n">
        <f aca="false">AG177*AG179</f>
        <v>0</v>
      </c>
      <c r="AH181" s="8" t="n">
        <f aca="false">AH177*AH179</f>
        <v>0</v>
      </c>
      <c r="AI181" s="8" t="n">
        <f aca="false">AI177*AI179</f>
        <v>0</v>
      </c>
      <c r="AJ181" s="8" t="n">
        <f aca="false">AJ177*AJ179</f>
        <v>0</v>
      </c>
      <c r="AK181" s="8" t="n">
        <f aca="false">AK177*AK179</f>
        <v>0</v>
      </c>
      <c r="AL181" s="8" t="n">
        <f aca="false">AL177*AL179</f>
        <v>0</v>
      </c>
      <c r="AM181" s="8" t="n">
        <f aca="false">AM177*AM179</f>
        <v>0</v>
      </c>
      <c r="AN181" s="8" t="n">
        <f aca="false">AN177*AN179</f>
        <v>0</v>
      </c>
      <c r="AO181" s="8" t="n">
        <f aca="false">AO177*AO179</f>
        <v>0</v>
      </c>
      <c r="AP181" s="8" t="n">
        <f aca="false">AP177*AP179</f>
        <v>0</v>
      </c>
      <c r="AQ181" s="8" t="n">
        <f aca="false">AQ177*AQ179</f>
        <v>0</v>
      </c>
      <c r="AR181" s="8" t="n">
        <f aca="false">AR177*AR179</f>
        <v>0</v>
      </c>
      <c r="AS181" s="8" t="n">
        <f aca="false">AS177*AS179</f>
        <v>0</v>
      </c>
    </row>
    <row r="182" customFormat="false" ht="15" hidden="false" customHeight="false" outlineLevel="0" collapsed="false">
      <c r="A182" s="6" t="s">
        <v>477</v>
      </c>
      <c r="B182" s="6" t="s">
        <v>478</v>
      </c>
      <c r="C182" s="43" t="n">
        <f aca="false">SUM(G182:AS182)</f>
        <v>0</v>
      </c>
      <c r="D182" s="8" t="n">
        <f aca="false">SUMIF($G$3:$AS$3,"&lt;="&amp;Horizon,G182:AS182)</f>
        <v>0</v>
      </c>
      <c r="E182" s="8" t="n">
        <f aca="false">(C182-D182)*(1+VST_Assets!$AF$6)^(Horizon+1-ValDate)</f>
        <v>0</v>
      </c>
      <c r="G182" s="8" t="n">
        <f aca="false">G178*G180</f>
        <v>0</v>
      </c>
      <c r="H182" s="8" t="n">
        <f aca="false">H178*H180</f>
        <v>0</v>
      </c>
      <c r="I182" s="8" t="n">
        <f aca="false">I178*I180</f>
        <v>0</v>
      </c>
      <c r="J182" s="8" t="n">
        <f aca="false">J178*J180</f>
        <v>0</v>
      </c>
      <c r="K182" s="8" t="n">
        <f aca="false">K178*K180</f>
        <v>0</v>
      </c>
      <c r="L182" s="8" t="n">
        <f aca="false">L178*L180</f>
        <v>0</v>
      </c>
      <c r="M182" s="8" t="n">
        <f aca="false">M178*M180</f>
        <v>0</v>
      </c>
      <c r="N182" s="8" t="n">
        <f aca="false">N178*N180</f>
        <v>0</v>
      </c>
      <c r="O182" s="8" t="n">
        <f aca="false">O178*O180</f>
        <v>0</v>
      </c>
      <c r="P182" s="8" t="n">
        <f aca="false">P178*P180</f>
        <v>0</v>
      </c>
      <c r="Q182" s="8" t="n">
        <f aca="false">Q178*Q180</f>
        <v>0</v>
      </c>
      <c r="R182" s="8" t="n">
        <f aca="false">R178*R180</f>
        <v>0</v>
      </c>
      <c r="S182" s="8" t="n">
        <f aca="false">S178*S180</f>
        <v>0</v>
      </c>
      <c r="T182" s="8" t="n">
        <f aca="false">T178*T180</f>
        <v>0</v>
      </c>
      <c r="U182" s="8" t="n">
        <f aca="false">U178*U180</f>
        <v>0</v>
      </c>
      <c r="V182" s="8" t="n">
        <f aca="false">V178*V180</f>
        <v>0</v>
      </c>
      <c r="W182" s="8" t="n">
        <f aca="false">W178*W180</f>
        <v>0</v>
      </c>
      <c r="X182" s="8" t="n">
        <f aca="false">X178*X180</f>
        <v>0</v>
      </c>
      <c r="Y182" s="8" t="n">
        <f aca="false">Y178*Y180</f>
        <v>0</v>
      </c>
      <c r="Z182" s="8" t="n">
        <f aca="false">Z178*Z180</f>
        <v>0</v>
      </c>
      <c r="AA182" s="8" t="n">
        <f aca="false">AA178*AA180</f>
        <v>0</v>
      </c>
      <c r="AB182" s="8" t="n">
        <f aca="false">AB178*AB180</f>
        <v>0</v>
      </c>
      <c r="AC182" s="8" t="n">
        <f aca="false">AC178*AC180</f>
        <v>0</v>
      </c>
      <c r="AD182" s="8" t="n">
        <f aca="false">AD178*AD180</f>
        <v>0</v>
      </c>
      <c r="AE182" s="8" t="n">
        <f aca="false">AE178*AE180</f>
        <v>0</v>
      </c>
      <c r="AF182" s="8" t="n">
        <f aca="false">AF178*AF180</f>
        <v>0</v>
      </c>
      <c r="AG182" s="8" t="n">
        <f aca="false">AG178*AG180</f>
        <v>0</v>
      </c>
      <c r="AH182" s="8" t="n">
        <f aca="false">AH178*AH180</f>
        <v>0</v>
      </c>
      <c r="AI182" s="8" t="n">
        <f aca="false">AI178*AI180</f>
        <v>0</v>
      </c>
      <c r="AJ182" s="8" t="n">
        <f aca="false">AJ178*AJ180</f>
        <v>0</v>
      </c>
      <c r="AK182" s="8" t="n">
        <f aca="false">AK178*AK180</f>
        <v>0</v>
      </c>
      <c r="AL182" s="8" t="n">
        <f aca="false">AL178*AL180</f>
        <v>0</v>
      </c>
      <c r="AM182" s="8" t="n">
        <f aca="false">AM178*AM180</f>
        <v>0</v>
      </c>
      <c r="AN182" s="8" t="n">
        <f aca="false">AN178*AN180</f>
        <v>0</v>
      </c>
      <c r="AO182" s="8" t="n">
        <f aca="false">AO178*AO180</f>
        <v>0</v>
      </c>
      <c r="AP182" s="8" t="n">
        <f aca="false">AP178*AP180</f>
        <v>0</v>
      </c>
      <c r="AQ182" s="8" t="n">
        <f aca="false">AQ178*AQ180</f>
        <v>0</v>
      </c>
      <c r="AR182" s="8" t="n">
        <f aca="false">AR178*AR180</f>
        <v>0</v>
      </c>
      <c r="AS182" s="8" t="n">
        <f aca="false">AS178*AS180</f>
        <v>0</v>
      </c>
    </row>
    <row r="183" customFormat="false" ht="15" hidden="false" customHeight="false" outlineLevel="0" collapsed="false">
      <c r="A183" s="6" t="s">
        <v>479</v>
      </c>
      <c r="B183" s="6" t="s">
        <v>480</v>
      </c>
      <c r="C183" s="43" t="n">
        <f aca="false">IF(VST_Assets!$H$6="$/kW",VST_Assets!$D$6*VST_Assets!$AI$6*(1+0.4*(PJMWLR/PJMWLRBase-1))/1000,0)</f>
        <v>0</v>
      </c>
      <c r="E183" s="8" t="n">
        <f aca="false">C183</f>
        <v>0</v>
      </c>
      <c r="G183" s="8" t="n">
        <f aca="false">0</f>
        <v>0</v>
      </c>
      <c r="H183" s="8" t="n">
        <f aca="false">0</f>
        <v>0</v>
      </c>
      <c r="I183" s="8" t="n">
        <f aca="false">0</f>
        <v>0</v>
      </c>
      <c r="J183" s="8" t="n">
        <f aca="false">0</f>
        <v>0</v>
      </c>
      <c r="K183" s="8" t="n">
        <f aca="false">0</f>
        <v>0</v>
      </c>
      <c r="L183" s="8" t="n">
        <f aca="false">0</f>
        <v>0</v>
      </c>
      <c r="M183" s="8" t="n">
        <f aca="false">0</f>
        <v>0</v>
      </c>
      <c r="N183" s="8" t="n">
        <f aca="false">0</f>
        <v>0</v>
      </c>
      <c r="O183" s="8" t="n">
        <f aca="false">0</f>
        <v>0</v>
      </c>
      <c r="P183" s="8" t="n">
        <f aca="false">0</f>
        <v>0</v>
      </c>
      <c r="Q183" s="8" t="n">
        <f aca="false">0</f>
        <v>0</v>
      </c>
      <c r="R183" s="8" t="n">
        <f aca="false">0</f>
        <v>0</v>
      </c>
      <c r="S183" s="8" t="n">
        <f aca="false">0</f>
        <v>0</v>
      </c>
      <c r="T183" s="8" t="n">
        <f aca="false">0</f>
        <v>0</v>
      </c>
      <c r="U183" s="8" t="n">
        <f aca="false">0</f>
        <v>0</v>
      </c>
      <c r="V183" s="8" t="n">
        <f aca="false">0</f>
        <v>0</v>
      </c>
      <c r="W183" s="8" t="n">
        <f aca="false">0</f>
        <v>0</v>
      </c>
      <c r="X183" s="8" t="n">
        <f aca="false">0</f>
        <v>0</v>
      </c>
      <c r="Y183" s="8" t="n">
        <f aca="false">0</f>
        <v>0</v>
      </c>
      <c r="Z183" s="8" t="n">
        <f aca="false">0</f>
        <v>0</v>
      </c>
      <c r="AA183" s="8" t="n">
        <f aca="false">0</f>
        <v>0</v>
      </c>
      <c r="AB183" s="8" t="n">
        <f aca="false">0</f>
        <v>0</v>
      </c>
      <c r="AC183" s="8" t="n">
        <f aca="false">0</f>
        <v>0</v>
      </c>
      <c r="AD183" s="8" t="n">
        <f aca="false">0</f>
        <v>0</v>
      </c>
      <c r="AE183" s="8" t="n">
        <f aca="false">0</f>
        <v>0</v>
      </c>
      <c r="AF183" s="8" t="n">
        <f aca="false">0</f>
        <v>0</v>
      </c>
      <c r="AG183" s="8" t="n">
        <f aca="false">0</f>
        <v>0</v>
      </c>
      <c r="AH183" s="8" t="n">
        <f aca="false">0</f>
        <v>0</v>
      </c>
      <c r="AI183" s="8" t="n">
        <f aca="false">0</f>
        <v>0</v>
      </c>
      <c r="AJ183" s="8" t="n">
        <f aca="false">0</f>
        <v>0</v>
      </c>
      <c r="AK183" s="8" t="n">
        <f aca="false">0</f>
        <v>0</v>
      </c>
      <c r="AL183" s="8" t="n">
        <f aca="false">0</f>
        <v>0</v>
      </c>
      <c r="AM183" s="8" t="n">
        <f aca="false">0</f>
        <v>0</v>
      </c>
      <c r="AN183" s="8" t="n">
        <f aca="false">0</f>
        <v>0</v>
      </c>
      <c r="AO183" s="8" t="n">
        <f aca="false">0</f>
        <v>0</v>
      </c>
      <c r="AP183" s="8" t="n">
        <f aca="false">0</f>
        <v>0</v>
      </c>
      <c r="AQ183" s="8" t="n">
        <f aca="false">0</f>
        <v>0</v>
      </c>
      <c r="AR183" s="8" t="n">
        <f aca="false">0</f>
        <v>0</v>
      </c>
      <c r="AS183" s="8" t="n">
        <f aca="false">0</f>
        <v>0</v>
      </c>
    </row>
    <row r="185" customFormat="false" ht="15" hidden="false" customHeight="false" outlineLevel="0" collapsed="false">
      <c r="A185" s="54" t="str">
        <f aca="false">VST_Assets!$A$7</f>
        <v>Gas - PJM CCGT (incl. Lotus)</v>
      </c>
    </row>
    <row r="186" customFormat="false" ht="15" hidden="false" customHeight="false" outlineLevel="0" collapsed="false">
      <c r="A186" s="6" t="s">
        <v>425</v>
      </c>
      <c r="B186" s="6" t="s">
        <v>426</v>
      </c>
      <c r="G186" s="47" t="n">
        <f aca="false">IF(AND(G$3&gt;=VST_Assets!$E$7,G$3&lt;=VST_Assets!$F$7,VST_Assets!$H$7="Cashflow"),1,0)</f>
        <v>1</v>
      </c>
      <c r="H186" s="47" t="n">
        <f aca="false">IF(AND(H$3&gt;=VST_Assets!$E$7,H$3&lt;=VST_Assets!$F$7,VST_Assets!$H$7="Cashflow"),1,0)</f>
        <v>1</v>
      </c>
      <c r="I186" s="47" t="n">
        <f aca="false">IF(AND(I$3&gt;=VST_Assets!$E$7,I$3&lt;=VST_Assets!$F$7,VST_Assets!$H$7="Cashflow"),1,0)</f>
        <v>1</v>
      </c>
      <c r="J186" s="47" t="n">
        <f aca="false">IF(AND(J$3&gt;=VST_Assets!$E$7,J$3&lt;=VST_Assets!$F$7,VST_Assets!$H$7="Cashflow"),1,0)</f>
        <v>1</v>
      </c>
      <c r="K186" s="47" t="n">
        <f aca="false">IF(AND(K$3&gt;=VST_Assets!$E$7,K$3&lt;=VST_Assets!$F$7,VST_Assets!$H$7="Cashflow"),1,0)</f>
        <v>1</v>
      </c>
      <c r="L186" s="47" t="n">
        <f aca="false">IF(AND(L$3&gt;=VST_Assets!$E$7,L$3&lt;=VST_Assets!$F$7,VST_Assets!$H$7="Cashflow"),1,0)</f>
        <v>1</v>
      </c>
      <c r="M186" s="47" t="n">
        <f aca="false">IF(AND(M$3&gt;=VST_Assets!$E$7,M$3&lt;=VST_Assets!$F$7,VST_Assets!$H$7="Cashflow"),1,0)</f>
        <v>1</v>
      </c>
      <c r="N186" s="47" t="n">
        <f aca="false">IF(AND(N$3&gt;=VST_Assets!$E$7,N$3&lt;=VST_Assets!$F$7,VST_Assets!$H$7="Cashflow"),1,0)</f>
        <v>1</v>
      </c>
      <c r="O186" s="47" t="n">
        <f aca="false">IF(AND(O$3&gt;=VST_Assets!$E$7,O$3&lt;=VST_Assets!$F$7,VST_Assets!$H$7="Cashflow"),1,0)</f>
        <v>1</v>
      </c>
      <c r="P186" s="47" t="n">
        <f aca="false">IF(AND(P$3&gt;=VST_Assets!$E$7,P$3&lt;=VST_Assets!$F$7,VST_Assets!$H$7="Cashflow"),1,0)</f>
        <v>1</v>
      </c>
      <c r="Q186" s="47" t="n">
        <f aca="false">IF(AND(Q$3&gt;=VST_Assets!$E$7,Q$3&lt;=VST_Assets!$F$7,VST_Assets!$H$7="Cashflow"),1,0)</f>
        <v>1</v>
      </c>
      <c r="R186" s="47" t="n">
        <f aca="false">IF(AND(R$3&gt;=VST_Assets!$E$7,R$3&lt;=VST_Assets!$F$7,VST_Assets!$H$7="Cashflow"),1,0)</f>
        <v>1</v>
      </c>
      <c r="S186" s="47" t="n">
        <f aca="false">IF(AND(S$3&gt;=VST_Assets!$E$7,S$3&lt;=VST_Assets!$F$7,VST_Assets!$H$7="Cashflow"),1,0)</f>
        <v>1</v>
      </c>
      <c r="T186" s="47" t="n">
        <f aca="false">IF(AND(T$3&gt;=VST_Assets!$E$7,T$3&lt;=VST_Assets!$F$7,VST_Assets!$H$7="Cashflow"),1,0)</f>
        <v>1</v>
      </c>
      <c r="U186" s="47" t="n">
        <f aca="false">IF(AND(U$3&gt;=VST_Assets!$E$7,U$3&lt;=VST_Assets!$F$7,VST_Assets!$H$7="Cashflow"),1,0)</f>
        <v>1</v>
      </c>
      <c r="V186" s="47" t="n">
        <f aca="false">IF(AND(V$3&gt;=VST_Assets!$E$7,V$3&lt;=VST_Assets!$F$7,VST_Assets!$H$7="Cashflow"),1,0)</f>
        <v>1</v>
      </c>
      <c r="W186" s="47" t="n">
        <f aca="false">IF(AND(W$3&gt;=VST_Assets!$E$7,W$3&lt;=VST_Assets!$F$7,VST_Assets!$H$7="Cashflow"),1,0)</f>
        <v>1</v>
      </c>
      <c r="X186" s="47" t="n">
        <f aca="false">IF(AND(X$3&gt;=VST_Assets!$E$7,X$3&lt;=VST_Assets!$F$7,VST_Assets!$H$7="Cashflow"),1,0)</f>
        <v>1</v>
      </c>
      <c r="Y186" s="47" t="n">
        <f aca="false">IF(AND(Y$3&gt;=VST_Assets!$E$7,Y$3&lt;=VST_Assets!$F$7,VST_Assets!$H$7="Cashflow"),1,0)</f>
        <v>1</v>
      </c>
      <c r="Z186" s="47" t="n">
        <f aca="false">IF(AND(Z$3&gt;=VST_Assets!$E$7,Z$3&lt;=VST_Assets!$F$7,VST_Assets!$H$7="Cashflow"),1,0)</f>
        <v>0</v>
      </c>
      <c r="AA186" s="47" t="n">
        <f aca="false">IF(AND(AA$3&gt;=VST_Assets!$E$7,AA$3&lt;=VST_Assets!$F$7,VST_Assets!$H$7="Cashflow"),1,0)</f>
        <v>0</v>
      </c>
      <c r="AB186" s="47" t="n">
        <f aca="false">IF(AND(AB$3&gt;=VST_Assets!$E$7,AB$3&lt;=VST_Assets!$F$7,VST_Assets!$H$7="Cashflow"),1,0)</f>
        <v>0</v>
      </c>
      <c r="AC186" s="47" t="n">
        <f aca="false">IF(AND(AC$3&gt;=VST_Assets!$E$7,AC$3&lt;=VST_Assets!$F$7,VST_Assets!$H$7="Cashflow"),1,0)</f>
        <v>0</v>
      </c>
      <c r="AD186" s="47" t="n">
        <f aca="false">IF(AND(AD$3&gt;=VST_Assets!$E$7,AD$3&lt;=VST_Assets!$F$7,VST_Assets!$H$7="Cashflow"),1,0)</f>
        <v>0</v>
      </c>
      <c r="AE186" s="47" t="n">
        <f aca="false">IF(AND(AE$3&gt;=VST_Assets!$E$7,AE$3&lt;=VST_Assets!$F$7,VST_Assets!$H$7="Cashflow"),1,0)</f>
        <v>0</v>
      </c>
      <c r="AF186" s="47" t="n">
        <f aca="false">IF(AND(AF$3&gt;=VST_Assets!$E$7,AF$3&lt;=VST_Assets!$F$7,VST_Assets!$H$7="Cashflow"),1,0)</f>
        <v>0</v>
      </c>
      <c r="AG186" s="47" t="n">
        <f aca="false">IF(AND(AG$3&gt;=VST_Assets!$E$7,AG$3&lt;=VST_Assets!$F$7,VST_Assets!$H$7="Cashflow"),1,0)</f>
        <v>0</v>
      </c>
      <c r="AH186" s="47" t="n">
        <f aca="false">IF(AND(AH$3&gt;=VST_Assets!$E$7,AH$3&lt;=VST_Assets!$F$7,VST_Assets!$H$7="Cashflow"),1,0)</f>
        <v>0</v>
      </c>
      <c r="AI186" s="47" t="n">
        <f aca="false">IF(AND(AI$3&gt;=VST_Assets!$E$7,AI$3&lt;=VST_Assets!$F$7,VST_Assets!$H$7="Cashflow"),1,0)</f>
        <v>0</v>
      </c>
      <c r="AJ186" s="47" t="n">
        <f aca="false">IF(AND(AJ$3&gt;=VST_Assets!$E$7,AJ$3&lt;=VST_Assets!$F$7,VST_Assets!$H$7="Cashflow"),1,0)</f>
        <v>0</v>
      </c>
      <c r="AK186" s="47" t="n">
        <f aca="false">IF(AND(AK$3&gt;=VST_Assets!$E$7,AK$3&lt;=VST_Assets!$F$7,VST_Assets!$H$7="Cashflow"),1,0)</f>
        <v>0</v>
      </c>
      <c r="AL186" s="47" t="n">
        <f aca="false">IF(AND(AL$3&gt;=VST_Assets!$E$7,AL$3&lt;=VST_Assets!$F$7,VST_Assets!$H$7="Cashflow"),1,0)</f>
        <v>0</v>
      </c>
      <c r="AM186" s="47" t="n">
        <f aca="false">IF(AND(AM$3&gt;=VST_Assets!$E$7,AM$3&lt;=VST_Assets!$F$7,VST_Assets!$H$7="Cashflow"),1,0)</f>
        <v>0</v>
      </c>
      <c r="AN186" s="47" t="n">
        <f aca="false">IF(AND(AN$3&gt;=VST_Assets!$E$7,AN$3&lt;=VST_Assets!$F$7,VST_Assets!$H$7="Cashflow"),1,0)</f>
        <v>0</v>
      </c>
      <c r="AO186" s="47" t="n">
        <f aca="false">IF(AND(AO$3&gt;=VST_Assets!$E$7,AO$3&lt;=VST_Assets!$F$7,VST_Assets!$H$7="Cashflow"),1,0)</f>
        <v>0</v>
      </c>
      <c r="AP186" s="47" t="n">
        <f aca="false">IF(AND(AP$3&gt;=VST_Assets!$E$7,AP$3&lt;=VST_Assets!$F$7,VST_Assets!$H$7="Cashflow"),1,0)</f>
        <v>0</v>
      </c>
      <c r="AQ186" s="47" t="n">
        <f aca="false">IF(AND(AQ$3&gt;=VST_Assets!$E$7,AQ$3&lt;=VST_Assets!$F$7,VST_Assets!$H$7="Cashflow"),1,0)</f>
        <v>0</v>
      </c>
      <c r="AR186" s="47" t="n">
        <f aca="false">IF(AND(AR$3&gt;=VST_Assets!$E$7,AR$3&lt;=VST_Assets!$F$7,VST_Assets!$H$7="Cashflow"),1,0)</f>
        <v>0</v>
      </c>
      <c r="AS186" s="47" t="n">
        <f aca="false">IF(AND(AS$3&gt;=VST_Assets!$E$7,AS$3&lt;=VST_Assets!$F$7,VST_Assets!$H$7="Cashflow"),1,0)</f>
        <v>0</v>
      </c>
    </row>
    <row r="187" customFormat="false" ht="15" hidden="false" customHeight="false" outlineLevel="0" collapsed="false">
      <c r="A187" s="6" t="s">
        <v>427</v>
      </c>
      <c r="B187" s="6" t="s">
        <v>428</v>
      </c>
      <c r="G187" s="9" t="n">
        <f aca="false">IF(AND(G$3&gt;=VST_Assets!$AA$7,G$3&lt;=VST_Assets!$AB$7),MIN(VST_Assets!$D$7,VST_Assets!$Z$7*MIN(1,(G$3-VST_Assets!$AA$7+1)/MAX(1,VST_Assets!$AC$7))),0)*G186</f>
        <v>0</v>
      </c>
      <c r="H187" s="9" t="n">
        <f aca="false">IF(AND(H$3&gt;=VST_Assets!$AA$7,H$3&lt;=VST_Assets!$AB$7),MIN(VST_Assets!$D$7,VST_Assets!$Z$7*MIN(1,(H$3-VST_Assets!$AA$7+1)/MAX(1,VST_Assets!$AC$7))),0)*H186</f>
        <v>0</v>
      </c>
      <c r="I187" s="9" t="n">
        <f aca="false">IF(AND(I$3&gt;=VST_Assets!$AA$7,I$3&lt;=VST_Assets!$AB$7),MIN(VST_Assets!$D$7,VST_Assets!$Z$7*MIN(1,(I$3-VST_Assets!$AA$7+1)/MAX(1,VST_Assets!$AC$7))),0)*I186</f>
        <v>0</v>
      </c>
      <c r="J187" s="9" t="n">
        <f aca="false">IF(AND(J$3&gt;=VST_Assets!$AA$7,J$3&lt;=VST_Assets!$AB$7),MIN(VST_Assets!$D$7,VST_Assets!$Z$7*MIN(1,(J$3-VST_Assets!$AA$7+1)/MAX(1,VST_Assets!$AC$7))),0)*J186</f>
        <v>0</v>
      </c>
      <c r="K187" s="9" t="n">
        <f aca="false">IF(AND(K$3&gt;=VST_Assets!$AA$7,K$3&lt;=VST_Assets!$AB$7),MIN(VST_Assets!$D$7,VST_Assets!$Z$7*MIN(1,(K$3-VST_Assets!$AA$7+1)/MAX(1,VST_Assets!$AC$7))),0)*K186</f>
        <v>0</v>
      </c>
      <c r="L187" s="9" t="n">
        <f aca="false">IF(AND(L$3&gt;=VST_Assets!$AA$7,L$3&lt;=VST_Assets!$AB$7),MIN(VST_Assets!$D$7,VST_Assets!$Z$7*MIN(1,(L$3-VST_Assets!$AA$7+1)/MAX(1,VST_Assets!$AC$7))),0)*L186</f>
        <v>0</v>
      </c>
      <c r="M187" s="9" t="n">
        <f aca="false">IF(AND(M$3&gt;=VST_Assets!$AA$7,M$3&lt;=VST_Assets!$AB$7),MIN(VST_Assets!$D$7,VST_Assets!$Z$7*MIN(1,(M$3-VST_Assets!$AA$7+1)/MAX(1,VST_Assets!$AC$7))),0)*M186</f>
        <v>0</v>
      </c>
      <c r="N187" s="9" t="n">
        <f aca="false">IF(AND(N$3&gt;=VST_Assets!$AA$7,N$3&lt;=VST_Assets!$AB$7),MIN(VST_Assets!$D$7,VST_Assets!$Z$7*MIN(1,(N$3-VST_Assets!$AA$7+1)/MAX(1,VST_Assets!$AC$7))),0)*N186</f>
        <v>0</v>
      </c>
      <c r="O187" s="9" t="n">
        <f aca="false">IF(AND(O$3&gt;=VST_Assets!$AA$7,O$3&lt;=VST_Assets!$AB$7),MIN(VST_Assets!$D$7,VST_Assets!$Z$7*MIN(1,(O$3-VST_Assets!$AA$7+1)/MAX(1,VST_Assets!$AC$7))),0)*O186</f>
        <v>0</v>
      </c>
      <c r="P187" s="9" t="n">
        <f aca="false">IF(AND(P$3&gt;=VST_Assets!$AA$7,P$3&lt;=VST_Assets!$AB$7),MIN(VST_Assets!$D$7,VST_Assets!$Z$7*MIN(1,(P$3-VST_Assets!$AA$7+1)/MAX(1,VST_Assets!$AC$7))),0)*P186</f>
        <v>0</v>
      </c>
      <c r="Q187" s="9" t="n">
        <f aca="false">IF(AND(Q$3&gt;=VST_Assets!$AA$7,Q$3&lt;=VST_Assets!$AB$7),MIN(VST_Assets!$D$7,VST_Assets!$Z$7*MIN(1,(Q$3-VST_Assets!$AA$7+1)/MAX(1,VST_Assets!$AC$7))),0)*Q186</f>
        <v>0</v>
      </c>
      <c r="R187" s="9" t="n">
        <f aca="false">IF(AND(R$3&gt;=VST_Assets!$AA$7,R$3&lt;=VST_Assets!$AB$7),MIN(VST_Assets!$D$7,VST_Assets!$Z$7*MIN(1,(R$3-VST_Assets!$AA$7+1)/MAX(1,VST_Assets!$AC$7))),0)*R186</f>
        <v>0</v>
      </c>
      <c r="S187" s="9" t="n">
        <f aca="false">IF(AND(S$3&gt;=VST_Assets!$AA$7,S$3&lt;=VST_Assets!$AB$7),MIN(VST_Assets!$D$7,VST_Assets!$Z$7*MIN(1,(S$3-VST_Assets!$AA$7+1)/MAX(1,VST_Assets!$AC$7))),0)*S186</f>
        <v>0</v>
      </c>
      <c r="T187" s="9" t="n">
        <f aca="false">IF(AND(T$3&gt;=VST_Assets!$AA$7,T$3&lt;=VST_Assets!$AB$7),MIN(VST_Assets!$D$7,VST_Assets!$Z$7*MIN(1,(T$3-VST_Assets!$AA$7+1)/MAX(1,VST_Assets!$AC$7))),0)*T186</f>
        <v>0</v>
      </c>
      <c r="U187" s="9" t="n">
        <f aca="false">IF(AND(U$3&gt;=VST_Assets!$AA$7,U$3&lt;=VST_Assets!$AB$7),MIN(VST_Assets!$D$7,VST_Assets!$Z$7*MIN(1,(U$3-VST_Assets!$AA$7+1)/MAX(1,VST_Assets!$AC$7))),0)*U186</f>
        <v>0</v>
      </c>
      <c r="V187" s="9" t="n">
        <f aca="false">IF(AND(V$3&gt;=VST_Assets!$AA$7,V$3&lt;=VST_Assets!$AB$7),MIN(VST_Assets!$D$7,VST_Assets!$Z$7*MIN(1,(V$3-VST_Assets!$AA$7+1)/MAX(1,VST_Assets!$AC$7))),0)*V186</f>
        <v>0</v>
      </c>
      <c r="W187" s="9" t="n">
        <f aca="false">IF(AND(W$3&gt;=VST_Assets!$AA$7,W$3&lt;=VST_Assets!$AB$7),MIN(VST_Assets!$D$7,VST_Assets!$Z$7*MIN(1,(W$3-VST_Assets!$AA$7+1)/MAX(1,VST_Assets!$AC$7))),0)*W186</f>
        <v>0</v>
      </c>
      <c r="X187" s="9" t="n">
        <f aca="false">IF(AND(X$3&gt;=VST_Assets!$AA$7,X$3&lt;=VST_Assets!$AB$7),MIN(VST_Assets!$D$7,VST_Assets!$Z$7*MIN(1,(X$3-VST_Assets!$AA$7+1)/MAX(1,VST_Assets!$AC$7))),0)*X186</f>
        <v>0</v>
      </c>
      <c r="Y187" s="9" t="n">
        <f aca="false">IF(AND(Y$3&gt;=VST_Assets!$AA$7,Y$3&lt;=VST_Assets!$AB$7),MIN(VST_Assets!$D$7,VST_Assets!$Z$7*MIN(1,(Y$3-VST_Assets!$AA$7+1)/MAX(1,VST_Assets!$AC$7))),0)*Y186</f>
        <v>0</v>
      </c>
      <c r="Z187" s="9" t="n">
        <f aca="false">IF(AND(Z$3&gt;=VST_Assets!$AA$7,Z$3&lt;=VST_Assets!$AB$7),MIN(VST_Assets!$D$7,VST_Assets!$Z$7*MIN(1,(Z$3-VST_Assets!$AA$7+1)/MAX(1,VST_Assets!$AC$7))),0)*Z186</f>
        <v>0</v>
      </c>
      <c r="AA187" s="9" t="n">
        <f aca="false">IF(AND(AA$3&gt;=VST_Assets!$AA$7,AA$3&lt;=VST_Assets!$AB$7),MIN(VST_Assets!$D$7,VST_Assets!$Z$7*MIN(1,(AA$3-VST_Assets!$AA$7+1)/MAX(1,VST_Assets!$AC$7))),0)*AA186</f>
        <v>0</v>
      </c>
      <c r="AB187" s="9" t="n">
        <f aca="false">IF(AND(AB$3&gt;=VST_Assets!$AA$7,AB$3&lt;=VST_Assets!$AB$7),MIN(VST_Assets!$D$7,VST_Assets!$Z$7*MIN(1,(AB$3-VST_Assets!$AA$7+1)/MAX(1,VST_Assets!$AC$7))),0)*AB186</f>
        <v>0</v>
      </c>
      <c r="AC187" s="9" t="n">
        <f aca="false">IF(AND(AC$3&gt;=VST_Assets!$AA$7,AC$3&lt;=VST_Assets!$AB$7),MIN(VST_Assets!$D$7,VST_Assets!$Z$7*MIN(1,(AC$3-VST_Assets!$AA$7+1)/MAX(1,VST_Assets!$AC$7))),0)*AC186</f>
        <v>0</v>
      </c>
      <c r="AD187" s="9" t="n">
        <f aca="false">IF(AND(AD$3&gt;=VST_Assets!$AA$7,AD$3&lt;=VST_Assets!$AB$7),MIN(VST_Assets!$D$7,VST_Assets!$Z$7*MIN(1,(AD$3-VST_Assets!$AA$7+1)/MAX(1,VST_Assets!$AC$7))),0)*AD186</f>
        <v>0</v>
      </c>
      <c r="AE187" s="9" t="n">
        <f aca="false">IF(AND(AE$3&gt;=VST_Assets!$AA$7,AE$3&lt;=VST_Assets!$AB$7),MIN(VST_Assets!$D$7,VST_Assets!$Z$7*MIN(1,(AE$3-VST_Assets!$AA$7+1)/MAX(1,VST_Assets!$AC$7))),0)*AE186</f>
        <v>0</v>
      </c>
      <c r="AF187" s="9" t="n">
        <f aca="false">IF(AND(AF$3&gt;=VST_Assets!$AA$7,AF$3&lt;=VST_Assets!$AB$7),MIN(VST_Assets!$D$7,VST_Assets!$Z$7*MIN(1,(AF$3-VST_Assets!$AA$7+1)/MAX(1,VST_Assets!$AC$7))),0)*AF186</f>
        <v>0</v>
      </c>
      <c r="AG187" s="9" t="n">
        <f aca="false">IF(AND(AG$3&gt;=VST_Assets!$AA$7,AG$3&lt;=VST_Assets!$AB$7),MIN(VST_Assets!$D$7,VST_Assets!$Z$7*MIN(1,(AG$3-VST_Assets!$AA$7+1)/MAX(1,VST_Assets!$AC$7))),0)*AG186</f>
        <v>0</v>
      </c>
      <c r="AH187" s="9" t="n">
        <f aca="false">IF(AND(AH$3&gt;=VST_Assets!$AA$7,AH$3&lt;=VST_Assets!$AB$7),MIN(VST_Assets!$D$7,VST_Assets!$Z$7*MIN(1,(AH$3-VST_Assets!$AA$7+1)/MAX(1,VST_Assets!$AC$7))),0)*AH186</f>
        <v>0</v>
      </c>
      <c r="AI187" s="9" t="n">
        <f aca="false">IF(AND(AI$3&gt;=VST_Assets!$AA$7,AI$3&lt;=VST_Assets!$AB$7),MIN(VST_Assets!$D$7,VST_Assets!$Z$7*MIN(1,(AI$3-VST_Assets!$AA$7+1)/MAX(1,VST_Assets!$AC$7))),0)*AI186</f>
        <v>0</v>
      </c>
      <c r="AJ187" s="9" t="n">
        <f aca="false">IF(AND(AJ$3&gt;=VST_Assets!$AA$7,AJ$3&lt;=VST_Assets!$AB$7),MIN(VST_Assets!$D$7,VST_Assets!$Z$7*MIN(1,(AJ$3-VST_Assets!$AA$7+1)/MAX(1,VST_Assets!$AC$7))),0)*AJ186</f>
        <v>0</v>
      </c>
      <c r="AK187" s="9" t="n">
        <f aca="false">IF(AND(AK$3&gt;=VST_Assets!$AA$7,AK$3&lt;=VST_Assets!$AB$7),MIN(VST_Assets!$D$7,VST_Assets!$Z$7*MIN(1,(AK$3-VST_Assets!$AA$7+1)/MAX(1,VST_Assets!$AC$7))),0)*AK186</f>
        <v>0</v>
      </c>
      <c r="AL187" s="9" t="n">
        <f aca="false">IF(AND(AL$3&gt;=VST_Assets!$AA$7,AL$3&lt;=VST_Assets!$AB$7),MIN(VST_Assets!$D$7,VST_Assets!$Z$7*MIN(1,(AL$3-VST_Assets!$AA$7+1)/MAX(1,VST_Assets!$AC$7))),0)*AL186</f>
        <v>0</v>
      </c>
      <c r="AM187" s="9" t="n">
        <f aca="false">IF(AND(AM$3&gt;=VST_Assets!$AA$7,AM$3&lt;=VST_Assets!$AB$7),MIN(VST_Assets!$D$7,VST_Assets!$Z$7*MIN(1,(AM$3-VST_Assets!$AA$7+1)/MAX(1,VST_Assets!$AC$7))),0)*AM186</f>
        <v>0</v>
      </c>
      <c r="AN187" s="9" t="n">
        <f aca="false">IF(AND(AN$3&gt;=VST_Assets!$AA$7,AN$3&lt;=VST_Assets!$AB$7),MIN(VST_Assets!$D$7,VST_Assets!$Z$7*MIN(1,(AN$3-VST_Assets!$AA$7+1)/MAX(1,VST_Assets!$AC$7))),0)*AN186</f>
        <v>0</v>
      </c>
      <c r="AO187" s="9" t="n">
        <f aca="false">IF(AND(AO$3&gt;=VST_Assets!$AA$7,AO$3&lt;=VST_Assets!$AB$7),MIN(VST_Assets!$D$7,VST_Assets!$Z$7*MIN(1,(AO$3-VST_Assets!$AA$7+1)/MAX(1,VST_Assets!$AC$7))),0)*AO186</f>
        <v>0</v>
      </c>
      <c r="AP187" s="9" t="n">
        <f aca="false">IF(AND(AP$3&gt;=VST_Assets!$AA$7,AP$3&lt;=VST_Assets!$AB$7),MIN(VST_Assets!$D$7,VST_Assets!$Z$7*MIN(1,(AP$3-VST_Assets!$AA$7+1)/MAX(1,VST_Assets!$AC$7))),0)*AP186</f>
        <v>0</v>
      </c>
      <c r="AQ187" s="9" t="n">
        <f aca="false">IF(AND(AQ$3&gt;=VST_Assets!$AA$7,AQ$3&lt;=VST_Assets!$AB$7),MIN(VST_Assets!$D$7,VST_Assets!$Z$7*MIN(1,(AQ$3-VST_Assets!$AA$7+1)/MAX(1,VST_Assets!$AC$7))),0)*AQ186</f>
        <v>0</v>
      </c>
      <c r="AR187" s="9" t="n">
        <f aca="false">IF(AND(AR$3&gt;=VST_Assets!$AA$7,AR$3&lt;=VST_Assets!$AB$7),MIN(VST_Assets!$D$7,VST_Assets!$Z$7*MIN(1,(AR$3-VST_Assets!$AA$7+1)/MAX(1,VST_Assets!$AC$7))),0)*AR186</f>
        <v>0</v>
      </c>
      <c r="AS187" s="9" t="n">
        <f aca="false">IF(AND(AS$3&gt;=VST_Assets!$AA$7,AS$3&lt;=VST_Assets!$AB$7),MIN(VST_Assets!$D$7,VST_Assets!$Z$7*MIN(1,(AS$3-VST_Assets!$AA$7+1)/MAX(1,VST_Assets!$AC$7))),0)*AS186</f>
        <v>0</v>
      </c>
    </row>
    <row r="188" customFormat="false" ht="15" hidden="false" customHeight="false" outlineLevel="0" collapsed="false">
      <c r="A188" s="6" t="s">
        <v>429</v>
      </c>
      <c r="B188" s="6" t="s">
        <v>430</v>
      </c>
      <c r="G188" s="9" t="n">
        <f aca="false">(VST_Assets!$D$7-G187)*8760*VST_Assets!$I$7*G186</f>
        <v>37230000</v>
      </c>
      <c r="H188" s="9" t="n">
        <f aca="false">(VST_Assets!$D$7-H187)*8760*VST_Assets!$I$7*H186</f>
        <v>37230000</v>
      </c>
      <c r="I188" s="9" t="n">
        <f aca="false">(VST_Assets!$D$7-I187)*8760*VST_Assets!$I$7*I186</f>
        <v>37230000</v>
      </c>
      <c r="J188" s="9" t="n">
        <f aca="false">(VST_Assets!$D$7-J187)*8760*VST_Assets!$I$7*J186</f>
        <v>37230000</v>
      </c>
      <c r="K188" s="9" t="n">
        <f aca="false">(VST_Assets!$D$7-K187)*8760*VST_Assets!$I$7*K186</f>
        <v>37230000</v>
      </c>
      <c r="L188" s="9" t="n">
        <f aca="false">(VST_Assets!$D$7-L187)*8760*VST_Assets!$I$7*L186</f>
        <v>37230000</v>
      </c>
      <c r="M188" s="9" t="n">
        <f aca="false">(VST_Assets!$D$7-M187)*8760*VST_Assets!$I$7*M186</f>
        <v>37230000</v>
      </c>
      <c r="N188" s="9" t="n">
        <f aca="false">(VST_Assets!$D$7-N187)*8760*VST_Assets!$I$7*N186</f>
        <v>37230000</v>
      </c>
      <c r="O188" s="9" t="n">
        <f aca="false">(VST_Assets!$D$7-O187)*8760*VST_Assets!$I$7*O186</f>
        <v>37230000</v>
      </c>
      <c r="P188" s="9" t="n">
        <f aca="false">(VST_Assets!$D$7-P187)*8760*VST_Assets!$I$7*P186</f>
        <v>37230000</v>
      </c>
      <c r="Q188" s="9" t="n">
        <f aca="false">(VST_Assets!$D$7-Q187)*8760*VST_Assets!$I$7*Q186</f>
        <v>37230000</v>
      </c>
      <c r="R188" s="9" t="n">
        <f aca="false">(VST_Assets!$D$7-R187)*8760*VST_Assets!$I$7*R186</f>
        <v>37230000</v>
      </c>
      <c r="S188" s="9" t="n">
        <f aca="false">(VST_Assets!$D$7-S187)*8760*VST_Assets!$I$7*S186</f>
        <v>37230000</v>
      </c>
      <c r="T188" s="9" t="n">
        <f aca="false">(VST_Assets!$D$7-T187)*8760*VST_Assets!$I$7*T186</f>
        <v>37230000</v>
      </c>
      <c r="U188" s="9" t="n">
        <f aca="false">(VST_Assets!$D$7-U187)*8760*VST_Assets!$I$7*U186</f>
        <v>37230000</v>
      </c>
      <c r="V188" s="9" t="n">
        <f aca="false">(VST_Assets!$D$7-V187)*8760*VST_Assets!$I$7*V186</f>
        <v>37230000</v>
      </c>
      <c r="W188" s="9" t="n">
        <f aca="false">(VST_Assets!$D$7-W187)*8760*VST_Assets!$I$7*W186</f>
        <v>37230000</v>
      </c>
      <c r="X188" s="9" t="n">
        <f aca="false">(VST_Assets!$D$7-X187)*8760*VST_Assets!$I$7*X186</f>
        <v>37230000</v>
      </c>
      <c r="Y188" s="9" t="n">
        <f aca="false">(VST_Assets!$D$7-Y187)*8760*VST_Assets!$I$7*Y186</f>
        <v>37230000</v>
      </c>
      <c r="Z188" s="9" t="n">
        <f aca="false">(VST_Assets!$D$7-Z187)*8760*VST_Assets!$I$7*Z186</f>
        <v>0</v>
      </c>
      <c r="AA188" s="9" t="n">
        <f aca="false">(VST_Assets!$D$7-AA187)*8760*VST_Assets!$I$7*AA186</f>
        <v>0</v>
      </c>
      <c r="AB188" s="9" t="n">
        <f aca="false">(VST_Assets!$D$7-AB187)*8760*VST_Assets!$I$7*AB186</f>
        <v>0</v>
      </c>
      <c r="AC188" s="9" t="n">
        <f aca="false">(VST_Assets!$D$7-AC187)*8760*VST_Assets!$I$7*AC186</f>
        <v>0</v>
      </c>
      <c r="AD188" s="9" t="n">
        <f aca="false">(VST_Assets!$D$7-AD187)*8760*VST_Assets!$I$7*AD186</f>
        <v>0</v>
      </c>
      <c r="AE188" s="9" t="n">
        <f aca="false">(VST_Assets!$D$7-AE187)*8760*VST_Assets!$I$7*AE186</f>
        <v>0</v>
      </c>
      <c r="AF188" s="9" t="n">
        <f aca="false">(VST_Assets!$D$7-AF187)*8760*VST_Assets!$I$7*AF186</f>
        <v>0</v>
      </c>
      <c r="AG188" s="9" t="n">
        <f aca="false">(VST_Assets!$D$7-AG187)*8760*VST_Assets!$I$7*AG186</f>
        <v>0</v>
      </c>
      <c r="AH188" s="9" t="n">
        <f aca="false">(VST_Assets!$D$7-AH187)*8760*VST_Assets!$I$7*AH186</f>
        <v>0</v>
      </c>
      <c r="AI188" s="9" t="n">
        <f aca="false">(VST_Assets!$D$7-AI187)*8760*VST_Assets!$I$7*AI186</f>
        <v>0</v>
      </c>
      <c r="AJ188" s="9" t="n">
        <f aca="false">(VST_Assets!$D$7-AJ187)*8760*VST_Assets!$I$7*AJ186</f>
        <v>0</v>
      </c>
      <c r="AK188" s="9" t="n">
        <f aca="false">(VST_Assets!$D$7-AK187)*8760*VST_Assets!$I$7*AK186</f>
        <v>0</v>
      </c>
      <c r="AL188" s="9" t="n">
        <f aca="false">(VST_Assets!$D$7-AL187)*8760*VST_Assets!$I$7*AL186</f>
        <v>0</v>
      </c>
      <c r="AM188" s="9" t="n">
        <f aca="false">(VST_Assets!$D$7-AM187)*8760*VST_Assets!$I$7*AM186</f>
        <v>0</v>
      </c>
      <c r="AN188" s="9" t="n">
        <f aca="false">(VST_Assets!$D$7-AN187)*8760*VST_Assets!$I$7*AN186</f>
        <v>0</v>
      </c>
      <c r="AO188" s="9" t="n">
        <f aca="false">(VST_Assets!$D$7-AO187)*8760*VST_Assets!$I$7*AO186</f>
        <v>0</v>
      </c>
      <c r="AP188" s="9" t="n">
        <f aca="false">(VST_Assets!$D$7-AP187)*8760*VST_Assets!$I$7*AP186</f>
        <v>0</v>
      </c>
      <c r="AQ188" s="9" t="n">
        <f aca="false">(VST_Assets!$D$7-AQ187)*8760*VST_Assets!$I$7*AQ186</f>
        <v>0</v>
      </c>
      <c r="AR188" s="9" t="n">
        <f aca="false">(VST_Assets!$D$7-AR187)*8760*VST_Assets!$I$7*AR186</f>
        <v>0</v>
      </c>
      <c r="AS188" s="9" t="n">
        <f aca="false">(VST_Assets!$D$7-AS187)*8760*VST_Assets!$I$7*AS186</f>
        <v>0</v>
      </c>
    </row>
    <row r="189" customFormat="false" ht="15" hidden="false" customHeight="false" outlineLevel="0" collapsed="false">
      <c r="A189" s="6" t="s">
        <v>431</v>
      </c>
      <c r="B189" s="6" t="s">
        <v>432</v>
      </c>
      <c r="G189" s="9" t="n">
        <f aca="false">G187*8760*VST_Assets!$I$7*G186</f>
        <v>0</v>
      </c>
      <c r="H189" s="9" t="n">
        <f aca="false">H187*8760*VST_Assets!$I$7*H186</f>
        <v>0</v>
      </c>
      <c r="I189" s="9" t="n">
        <f aca="false">I187*8760*VST_Assets!$I$7*I186</f>
        <v>0</v>
      </c>
      <c r="J189" s="9" t="n">
        <f aca="false">J187*8760*VST_Assets!$I$7*J186</f>
        <v>0</v>
      </c>
      <c r="K189" s="9" t="n">
        <f aca="false">K187*8760*VST_Assets!$I$7*K186</f>
        <v>0</v>
      </c>
      <c r="L189" s="9" t="n">
        <f aca="false">L187*8760*VST_Assets!$I$7*L186</f>
        <v>0</v>
      </c>
      <c r="M189" s="9" t="n">
        <f aca="false">M187*8760*VST_Assets!$I$7*M186</f>
        <v>0</v>
      </c>
      <c r="N189" s="9" t="n">
        <f aca="false">N187*8760*VST_Assets!$I$7*N186</f>
        <v>0</v>
      </c>
      <c r="O189" s="9" t="n">
        <f aca="false">O187*8760*VST_Assets!$I$7*O186</f>
        <v>0</v>
      </c>
      <c r="P189" s="9" t="n">
        <f aca="false">P187*8760*VST_Assets!$I$7*P186</f>
        <v>0</v>
      </c>
      <c r="Q189" s="9" t="n">
        <f aca="false">Q187*8760*VST_Assets!$I$7*Q186</f>
        <v>0</v>
      </c>
      <c r="R189" s="9" t="n">
        <f aca="false">R187*8760*VST_Assets!$I$7*R186</f>
        <v>0</v>
      </c>
      <c r="S189" s="9" t="n">
        <f aca="false">S187*8760*VST_Assets!$I$7*S186</f>
        <v>0</v>
      </c>
      <c r="T189" s="9" t="n">
        <f aca="false">T187*8760*VST_Assets!$I$7*T186</f>
        <v>0</v>
      </c>
      <c r="U189" s="9" t="n">
        <f aca="false">U187*8760*VST_Assets!$I$7*U186</f>
        <v>0</v>
      </c>
      <c r="V189" s="9" t="n">
        <f aca="false">V187*8760*VST_Assets!$I$7*V186</f>
        <v>0</v>
      </c>
      <c r="W189" s="9" t="n">
        <f aca="false">W187*8760*VST_Assets!$I$7*W186</f>
        <v>0</v>
      </c>
      <c r="X189" s="9" t="n">
        <f aca="false">X187*8760*VST_Assets!$I$7*X186</f>
        <v>0</v>
      </c>
      <c r="Y189" s="9" t="n">
        <f aca="false">Y187*8760*VST_Assets!$I$7*Y186</f>
        <v>0</v>
      </c>
      <c r="Z189" s="9" t="n">
        <f aca="false">Z187*8760*VST_Assets!$I$7*Z186</f>
        <v>0</v>
      </c>
      <c r="AA189" s="9" t="n">
        <f aca="false">AA187*8760*VST_Assets!$I$7*AA186</f>
        <v>0</v>
      </c>
      <c r="AB189" s="9" t="n">
        <f aca="false">AB187*8760*VST_Assets!$I$7*AB186</f>
        <v>0</v>
      </c>
      <c r="AC189" s="9" t="n">
        <f aca="false">AC187*8760*VST_Assets!$I$7*AC186</f>
        <v>0</v>
      </c>
      <c r="AD189" s="9" t="n">
        <f aca="false">AD187*8760*VST_Assets!$I$7*AD186</f>
        <v>0</v>
      </c>
      <c r="AE189" s="9" t="n">
        <f aca="false">AE187*8760*VST_Assets!$I$7*AE186</f>
        <v>0</v>
      </c>
      <c r="AF189" s="9" t="n">
        <f aca="false">AF187*8760*VST_Assets!$I$7*AF186</f>
        <v>0</v>
      </c>
      <c r="AG189" s="9" t="n">
        <f aca="false">AG187*8760*VST_Assets!$I$7*AG186</f>
        <v>0</v>
      </c>
      <c r="AH189" s="9" t="n">
        <f aca="false">AH187*8760*VST_Assets!$I$7*AH186</f>
        <v>0</v>
      </c>
      <c r="AI189" s="9" t="n">
        <f aca="false">AI187*8760*VST_Assets!$I$7*AI186</f>
        <v>0</v>
      </c>
      <c r="AJ189" s="9" t="n">
        <f aca="false">AJ187*8760*VST_Assets!$I$7*AJ186</f>
        <v>0</v>
      </c>
      <c r="AK189" s="9" t="n">
        <f aca="false">AK187*8760*VST_Assets!$I$7*AK186</f>
        <v>0</v>
      </c>
      <c r="AL189" s="9" t="n">
        <f aca="false">AL187*8760*VST_Assets!$I$7*AL186</f>
        <v>0</v>
      </c>
      <c r="AM189" s="9" t="n">
        <f aca="false">AM187*8760*VST_Assets!$I$7*AM186</f>
        <v>0</v>
      </c>
      <c r="AN189" s="9" t="n">
        <f aca="false">AN187*8760*VST_Assets!$I$7*AN186</f>
        <v>0</v>
      </c>
      <c r="AO189" s="9" t="n">
        <f aca="false">AO187*8760*VST_Assets!$I$7*AO186</f>
        <v>0</v>
      </c>
      <c r="AP189" s="9" t="n">
        <f aca="false">AP187*8760*VST_Assets!$I$7*AP186</f>
        <v>0</v>
      </c>
      <c r="AQ189" s="9" t="n">
        <f aca="false">AQ187*8760*VST_Assets!$I$7*AQ186</f>
        <v>0</v>
      </c>
      <c r="AR189" s="9" t="n">
        <f aca="false">AR187*8760*VST_Assets!$I$7*AR186</f>
        <v>0</v>
      </c>
      <c r="AS189" s="9" t="n">
        <f aca="false">AS187*8760*VST_Assets!$I$7*AS186</f>
        <v>0</v>
      </c>
    </row>
    <row r="190" customFormat="false" ht="15" hidden="false" customHeight="false" outlineLevel="0" collapsed="false">
      <c r="A190" s="6" t="s">
        <v>433</v>
      </c>
      <c r="B190" s="6" t="s">
        <v>434</v>
      </c>
      <c r="G190" s="7" t="n">
        <f aca="false">IF(ISNUMBER(VST_Assets!$L$7),VST_Assets!$L$7*G$4,INDEX(Prices!G:G,VST_Assets!$AO$7)+FuelAdder*G$4)</f>
        <v>3.927</v>
      </c>
      <c r="H190" s="7" t="n">
        <f aca="false">IF(ISNUMBER(VST_Assets!$L$7),VST_Assets!$L$7*H$4,INDEX(Prices!H:H,VST_Assets!$AO$7)+FuelAdder*H$4)</f>
        <v>4.00554</v>
      </c>
      <c r="I190" s="7" t="n">
        <f aca="false">IF(ISNUMBER(VST_Assets!$L$7),VST_Assets!$L$7*I$4,INDEX(Prices!I:I,VST_Assets!$AO$7)+FuelAdder*I$4)</f>
        <v>4.1917716</v>
      </c>
      <c r="J190" s="7" t="n">
        <f aca="false">IF(ISNUMBER(VST_Assets!$L$7),VST_Assets!$L$7*J$4,INDEX(Prices!J:J,VST_Assets!$AO$7)+FuelAdder*J$4)</f>
        <v>4.275607032</v>
      </c>
      <c r="K190" s="7" t="n">
        <f aca="false">IF(ISNUMBER(VST_Assets!$L$7),VST_Assets!$L$7*K$4,INDEX(Prices!K:K,VST_Assets!$AO$7)+FuelAdder*K$4)</f>
        <v>4.36111917264</v>
      </c>
      <c r="L190" s="7" t="n">
        <f aca="false">IF(ISNUMBER(VST_Assets!$L$7),VST_Assets!$L$7*L$4,INDEX(Prices!L:L,VST_Assets!$AO$7)+FuelAdder*L$4)</f>
        <v>4.4483415560928</v>
      </c>
      <c r="M190" s="7" t="n">
        <f aca="false">IF(ISNUMBER(VST_Assets!$L$7),VST_Assets!$L$7*M$4,INDEX(Prices!M:M,VST_Assets!$AO$7)+FuelAdder*M$4)</f>
        <v>4.53730838721466</v>
      </c>
      <c r="N190" s="7" t="n">
        <f aca="false">IF(ISNUMBER(VST_Assets!$L$7),VST_Assets!$L$7*N$4,INDEX(Prices!N:N,VST_Assets!$AO$7)+FuelAdder*N$4)</f>
        <v>4.62805455495895</v>
      </c>
      <c r="O190" s="7" t="n">
        <f aca="false">IF(ISNUMBER(VST_Assets!$L$7),VST_Assets!$L$7*O$4,INDEX(Prices!O:O,VST_Assets!$AO$7)+FuelAdder*O$4)</f>
        <v>4.72061564605813</v>
      </c>
      <c r="P190" s="7" t="n">
        <f aca="false">IF(ISNUMBER(VST_Assets!$L$7),VST_Assets!$L$7*P$4,INDEX(Prices!P:P,VST_Assets!$AO$7)+FuelAdder*P$4)</f>
        <v>4.81502795897929</v>
      </c>
      <c r="Q190" s="7" t="n">
        <f aca="false">IF(ISNUMBER(VST_Assets!$L$7),VST_Assets!$L$7*Q$4,INDEX(Prices!Q:Q,VST_Assets!$AO$7)+FuelAdder*Q$4)</f>
        <v>4.91132851815888</v>
      </c>
      <c r="R190" s="7" t="n">
        <f aca="false">IF(ISNUMBER(VST_Assets!$L$7),VST_Assets!$L$7*R$4,INDEX(Prices!R:R,VST_Assets!$AO$7)+FuelAdder*R$4)</f>
        <v>5.00955508852206</v>
      </c>
      <c r="S190" s="7" t="n">
        <f aca="false">IF(ISNUMBER(VST_Assets!$L$7),VST_Assets!$L$7*S$4,INDEX(Prices!S:S,VST_Assets!$AO$7)+FuelAdder*S$4)</f>
        <v>5.1097461902925</v>
      </c>
      <c r="T190" s="7" t="n">
        <f aca="false">IF(ISNUMBER(VST_Assets!$L$7),VST_Assets!$L$7*T$4,INDEX(Prices!T:T,VST_Assets!$AO$7)+FuelAdder*T$4)</f>
        <v>5.21194111409835</v>
      </c>
      <c r="U190" s="7" t="n">
        <f aca="false">IF(ISNUMBER(VST_Assets!$L$7),VST_Assets!$L$7*U$4,INDEX(Prices!U:U,VST_Assets!$AO$7)+FuelAdder*U$4)</f>
        <v>5.31617993638031</v>
      </c>
      <c r="V190" s="7" t="n">
        <f aca="false">IF(ISNUMBER(VST_Assets!$L$7),VST_Assets!$L$7*V$4,INDEX(Prices!V:V,VST_Assets!$AO$7)+FuelAdder*V$4)</f>
        <v>5.42250353510792</v>
      </c>
      <c r="W190" s="7" t="n">
        <f aca="false">IF(ISNUMBER(VST_Assets!$L$7),VST_Assets!$L$7*W$4,INDEX(Prices!W:W,VST_Assets!$AO$7)+FuelAdder*W$4)</f>
        <v>5.53095360581008</v>
      </c>
      <c r="X190" s="7" t="n">
        <f aca="false">IF(ISNUMBER(VST_Assets!$L$7),VST_Assets!$L$7*X$4,INDEX(Prices!X:X,VST_Assets!$AO$7)+FuelAdder*X$4)</f>
        <v>5.64157267792628</v>
      </c>
      <c r="Y190" s="7" t="n">
        <f aca="false">IF(ISNUMBER(VST_Assets!$L$7),VST_Assets!$L$7*Y$4,INDEX(Prices!Y:Y,VST_Assets!$AO$7)+FuelAdder*Y$4)</f>
        <v>5.75440413148481</v>
      </c>
      <c r="Z190" s="7" t="n">
        <f aca="false">IF(ISNUMBER(VST_Assets!$L$7),VST_Assets!$L$7*Z$4,INDEX(Prices!Z:Z,VST_Assets!$AO$7)+FuelAdder*Z$4)</f>
        <v>5.8694922141145</v>
      </c>
      <c r="AA190" s="7" t="n">
        <f aca="false">IF(ISNUMBER(VST_Assets!$L$7),VST_Assets!$L$7*AA$4,INDEX(Prices!AA:AA,VST_Assets!$AO$7)+FuelAdder*AA$4)</f>
        <v>5.98688205839679</v>
      </c>
      <c r="AB190" s="7" t="n">
        <f aca="false">IF(ISNUMBER(VST_Assets!$L$7),VST_Assets!$L$7*AB$4,INDEX(Prices!AB:AB,VST_Assets!$AO$7)+FuelAdder*AB$4)</f>
        <v>6.10661969956473</v>
      </c>
      <c r="AC190" s="7" t="n">
        <f aca="false">IF(ISNUMBER(VST_Assets!$L$7),VST_Assets!$L$7*AC$4,INDEX(Prices!AC:AC,VST_Assets!$AO$7)+FuelAdder*AC$4)</f>
        <v>6.22875209355602</v>
      </c>
      <c r="AD190" s="7" t="n">
        <f aca="false">IF(ISNUMBER(VST_Assets!$L$7),VST_Assets!$L$7*AD$4,INDEX(Prices!AD:AD,VST_Assets!$AO$7)+FuelAdder*AD$4)</f>
        <v>6.35332713542714</v>
      </c>
      <c r="AE190" s="7" t="n">
        <f aca="false">IF(ISNUMBER(VST_Assets!$L$7),VST_Assets!$L$7*AE$4,INDEX(Prices!AE:AE,VST_Assets!$AO$7)+FuelAdder*AE$4)</f>
        <v>6.48039367813569</v>
      </c>
      <c r="AF190" s="7" t="n">
        <f aca="false">IF(ISNUMBER(VST_Assets!$L$7),VST_Assets!$L$7*AF$4,INDEX(Prices!AF:AF,VST_Assets!$AO$7)+FuelAdder*AF$4)</f>
        <v>6.6100015516984</v>
      </c>
      <c r="AG190" s="7" t="n">
        <f aca="false">IF(ISNUMBER(VST_Assets!$L$7),VST_Assets!$L$7*AG$4,INDEX(Prices!AG:AG,VST_Assets!$AO$7)+FuelAdder*AG$4)</f>
        <v>6.74220158273237</v>
      </c>
      <c r="AH190" s="7" t="n">
        <f aca="false">IF(ISNUMBER(VST_Assets!$L$7),VST_Assets!$L$7*AH$4,INDEX(Prices!AH:AH,VST_Assets!$AO$7)+FuelAdder*AH$4)</f>
        <v>6.87704561438702</v>
      </c>
      <c r="AI190" s="7" t="n">
        <f aca="false">IF(ISNUMBER(VST_Assets!$L$7),VST_Assets!$L$7*AI$4,INDEX(Prices!AI:AI,VST_Assets!$AO$7)+FuelAdder*AI$4)</f>
        <v>7.01458652667476</v>
      </c>
      <c r="AJ190" s="7" t="n">
        <f aca="false">IF(ISNUMBER(VST_Assets!$L$7),VST_Assets!$L$7*AJ$4,INDEX(Prices!AJ:AJ,VST_Assets!$AO$7)+FuelAdder*AJ$4)</f>
        <v>7.15487825720825</v>
      </c>
      <c r="AK190" s="7" t="n">
        <f aca="false">IF(ISNUMBER(VST_Assets!$L$7),VST_Assets!$L$7*AK$4,INDEX(Prices!AK:AK,VST_Assets!$AO$7)+FuelAdder*AK$4)</f>
        <v>7.29797582235242</v>
      </c>
      <c r="AL190" s="7" t="n">
        <f aca="false">IF(ISNUMBER(VST_Assets!$L$7),VST_Assets!$L$7*AL$4,INDEX(Prices!AL:AL,VST_Assets!$AO$7)+FuelAdder*AL$4)</f>
        <v>7.44393533879947</v>
      </c>
      <c r="AM190" s="7" t="n">
        <f aca="false">IF(ISNUMBER(VST_Assets!$L$7),VST_Assets!$L$7*AM$4,INDEX(Prices!AM:AM,VST_Assets!$AO$7)+FuelAdder*AM$4)</f>
        <v>7.59281404557545</v>
      </c>
      <c r="AN190" s="7" t="n">
        <f aca="false">IF(ISNUMBER(VST_Assets!$L$7),VST_Assets!$L$7*AN$4,INDEX(Prices!AN:AN,VST_Assets!$AO$7)+FuelAdder*AN$4)</f>
        <v>7.74467032648696</v>
      </c>
      <c r="AO190" s="7" t="n">
        <f aca="false">IF(ISNUMBER(VST_Assets!$L$7),VST_Assets!$L$7*AO$4,INDEX(Prices!AO:AO,VST_Assets!$AO$7)+FuelAdder*AO$4)</f>
        <v>7.8995637330167</v>
      </c>
      <c r="AP190" s="7" t="n">
        <f aca="false">IF(ISNUMBER(VST_Assets!$L$7),VST_Assets!$L$7*AP$4,INDEX(Prices!AP:AP,VST_Assets!$AO$7)+FuelAdder*AP$4)</f>
        <v>8.05755500767704</v>
      </c>
      <c r="AQ190" s="7" t="n">
        <f aca="false">IF(ISNUMBER(VST_Assets!$L$7),VST_Assets!$L$7*AQ$4,INDEX(Prices!AQ:AQ,VST_Assets!$AO$7)+FuelAdder*AQ$4)</f>
        <v>8.21870610783058</v>
      </c>
      <c r="AR190" s="7" t="n">
        <f aca="false">IF(ISNUMBER(VST_Assets!$L$7),VST_Assets!$L$7*AR$4,INDEX(Prices!AR:AR,VST_Assets!$AO$7)+FuelAdder*AR$4)</f>
        <v>8.38308022998719</v>
      </c>
      <c r="AS190" s="7" t="n">
        <f aca="false">IF(ISNUMBER(VST_Assets!$L$7),VST_Assets!$L$7*AS$4,INDEX(Prices!AS:AS,VST_Assets!$AO$7)+FuelAdder*AS$4)</f>
        <v>8.55074183458693</v>
      </c>
    </row>
    <row r="191" customFormat="false" ht="15" hidden="false" customHeight="false" outlineLevel="0" collapsed="false">
      <c r="A191" s="6" t="s">
        <v>435</v>
      </c>
      <c r="B191" s="6" t="s">
        <v>436</v>
      </c>
      <c r="G191" s="7" t="n">
        <f aca="false">INDEX(Prices!G:G,VST_Assets!$AN$7)*VST_Assets!$J$7-VST_Assets!$K$7*G190-VST_Assets!$M$7*G$4</f>
        <v>41.5956</v>
      </c>
      <c r="H191" s="7" t="n">
        <f aca="false">INDEX(Prices!H:H,VST_Assets!$AN$7)*VST_Assets!$J$7-VST_Assets!$K$7*H190-VST_Assets!$M$7*H$4</f>
        <v>41.978712</v>
      </c>
      <c r="I191" s="7" t="n">
        <f aca="false">INDEX(Prices!I:I,VST_Assets!$AN$7)*VST_Assets!$J$7-VST_Assets!$K$7*I190-VST_Assets!$M$7*I$4</f>
        <v>34.399754898</v>
      </c>
      <c r="J191" s="7" t="n">
        <f aca="false">INDEX(Prices!J:J,VST_Assets!$AN$7)*VST_Assets!$J$7-VST_Assets!$K$7*J190-VST_Assets!$M$7*J$4</f>
        <v>31.92038318232</v>
      </c>
      <c r="K191" s="7" t="n">
        <f aca="false">INDEX(Prices!K:K,VST_Assets!$AN$7)*VST_Assets!$J$7-VST_Assets!$K$7*K190-VST_Assets!$M$7*K$4</f>
        <v>32.5587908459664</v>
      </c>
      <c r="L191" s="7" t="n">
        <f aca="false">INDEX(Prices!L:L,VST_Assets!$AN$7)*VST_Assets!$J$7-VST_Assets!$K$7*L190-VST_Assets!$M$7*L$4</f>
        <v>33.2099666628857</v>
      </c>
      <c r="M191" s="7" t="n">
        <f aca="false">INDEX(Prices!M:M,VST_Assets!$AN$7)*VST_Assets!$J$7-VST_Assets!$K$7*M190-VST_Assets!$M$7*M$4</f>
        <v>33.8741659961435</v>
      </c>
      <c r="N191" s="7" t="n">
        <f aca="false">INDEX(Prices!N:N,VST_Assets!$AN$7)*VST_Assets!$J$7-VST_Assets!$K$7*N190-VST_Assets!$M$7*N$4</f>
        <v>34.5516493160663</v>
      </c>
      <c r="O191" s="7" t="n">
        <f aca="false">INDEX(Prices!O:O,VST_Assets!$AN$7)*VST_Assets!$J$7-VST_Assets!$K$7*O190-VST_Assets!$M$7*O$4</f>
        <v>35.2426823023876</v>
      </c>
      <c r="P191" s="7" t="n">
        <f aca="false">INDEX(Prices!P:P,VST_Assets!$AN$7)*VST_Assets!$J$7-VST_Assets!$K$7*P190-VST_Assets!$M$7*P$4</f>
        <v>35.9475359484354</v>
      </c>
      <c r="Q191" s="7" t="n">
        <f aca="false">INDEX(Prices!Q:Q,VST_Assets!$AN$7)*VST_Assets!$J$7-VST_Assets!$K$7*Q190-VST_Assets!$M$7*Q$4</f>
        <v>36.6664866674041</v>
      </c>
      <c r="R191" s="7" t="n">
        <f aca="false">INDEX(Prices!R:R,VST_Assets!$AN$7)*VST_Assets!$J$7-VST_Assets!$K$7*R190-VST_Assets!$M$7*R$4</f>
        <v>37.3998164007522</v>
      </c>
      <c r="S191" s="7" t="n">
        <f aca="false">INDEX(Prices!S:S,VST_Assets!$AN$7)*VST_Assets!$J$7-VST_Assets!$K$7*S190-VST_Assets!$M$7*S$4</f>
        <v>38.1478127287672</v>
      </c>
      <c r="T191" s="7" t="n">
        <f aca="false">INDEX(Prices!T:T,VST_Assets!$AN$7)*VST_Assets!$J$7-VST_Assets!$K$7*T190-VST_Assets!$M$7*T$4</f>
        <v>38.9107689833426</v>
      </c>
      <c r="U191" s="7" t="n">
        <f aca="false">INDEX(Prices!U:U,VST_Assets!$AN$7)*VST_Assets!$J$7-VST_Assets!$K$7*U190-VST_Assets!$M$7*U$4</f>
        <v>39.6889843630094</v>
      </c>
      <c r="V191" s="7" t="n">
        <f aca="false">INDEX(Prices!V:V,VST_Assets!$AN$7)*VST_Assets!$J$7-VST_Assets!$K$7*V190-VST_Assets!$M$7*V$4</f>
        <v>40.4827640502696</v>
      </c>
      <c r="W191" s="7" t="n">
        <f aca="false">INDEX(Prices!W:W,VST_Assets!$AN$7)*VST_Assets!$J$7-VST_Assets!$K$7*W190-VST_Assets!$M$7*W$4</f>
        <v>41.292419331275</v>
      </c>
      <c r="X191" s="7" t="n">
        <f aca="false">INDEX(Prices!X:X,VST_Assets!$AN$7)*VST_Assets!$J$7-VST_Assets!$K$7*X190-VST_Assets!$M$7*X$4</f>
        <v>42.1182677179005</v>
      </c>
      <c r="Y191" s="7" t="n">
        <f aca="false">INDEX(Prices!Y:Y,VST_Assets!$AN$7)*VST_Assets!$J$7-VST_Assets!$K$7*Y190-VST_Assets!$M$7*Y$4</f>
        <v>42.9606330722585</v>
      </c>
      <c r="Z191" s="7" t="n">
        <f aca="false">INDEX(Prices!Z:Z,VST_Assets!$AN$7)*VST_Assets!$J$7-VST_Assets!$K$7*Z190-VST_Assets!$M$7*Z$4</f>
        <v>43.8198457337037</v>
      </c>
      <c r="AA191" s="7" t="n">
        <f aca="false">INDEX(Prices!AA:AA,VST_Assets!$AN$7)*VST_Assets!$J$7-VST_Assets!$K$7*AA190-VST_Assets!$M$7*AA$4</f>
        <v>44.6962426483778</v>
      </c>
      <c r="AB191" s="7" t="n">
        <f aca="false">INDEX(Prices!AB:AB,VST_Assets!$AN$7)*VST_Assets!$J$7-VST_Assets!$K$7*AB190-VST_Assets!$M$7*AB$4</f>
        <v>45.5901675013453</v>
      </c>
      <c r="AC191" s="7" t="n">
        <f aca="false">INDEX(Prices!AC:AC,VST_Assets!$AN$7)*VST_Assets!$J$7-VST_Assets!$K$7*AC190-VST_Assets!$M$7*AC$4</f>
        <v>46.5019708513722</v>
      </c>
      <c r="AD191" s="7" t="n">
        <f aca="false">INDEX(Prices!AD:AD,VST_Assets!$AN$7)*VST_Assets!$J$7-VST_Assets!$K$7*AD190-VST_Assets!$M$7*AD$4</f>
        <v>47.4320102683997</v>
      </c>
      <c r="AE191" s="7" t="n">
        <f aca="false">INDEX(Prices!AE:AE,VST_Assets!$AN$7)*VST_Assets!$J$7-VST_Assets!$K$7*AE190-VST_Assets!$M$7*AE$4</f>
        <v>48.3806504737677</v>
      </c>
      <c r="AF191" s="7" t="n">
        <f aca="false">INDEX(Prices!AF:AF,VST_Assets!$AN$7)*VST_Assets!$J$7-VST_Assets!$K$7*AF190-VST_Assets!$M$7*AF$4</f>
        <v>49.348263483243</v>
      </c>
      <c r="AG191" s="7" t="n">
        <f aca="false">INDEX(Prices!AG:AG,VST_Assets!$AN$7)*VST_Assets!$J$7-VST_Assets!$K$7*AG190-VST_Assets!$M$7*AG$4</f>
        <v>50.3352287529079</v>
      </c>
      <c r="AH191" s="7" t="n">
        <f aca="false">INDEX(Prices!AH:AH,VST_Assets!$AN$7)*VST_Assets!$J$7-VST_Assets!$K$7*AH190-VST_Assets!$M$7*AH$4</f>
        <v>51.3419333279661</v>
      </c>
      <c r="AI191" s="7" t="n">
        <f aca="false">INDEX(Prices!AI:AI,VST_Assets!$AN$7)*VST_Assets!$J$7-VST_Assets!$K$7*AI190-VST_Assets!$M$7*AI$4</f>
        <v>52.3687719945254</v>
      </c>
      <c r="AJ191" s="7" t="n">
        <f aca="false">INDEX(Prices!AJ:AJ,VST_Assets!$AN$7)*VST_Assets!$J$7-VST_Assets!$K$7*AJ190-VST_Assets!$M$7*AJ$4</f>
        <v>53.4161474344159</v>
      </c>
      <c r="AK191" s="7" t="n">
        <f aca="false">INDEX(Prices!AK:AK,VST_Assets!$AN$7)*VST_Assets!$J$7-VST_Assets!$K$7*AK190-VST_Assets!$M$7*AK$4</f>
        <v>54.4844703831042</v>
      </c>
      <c r="AL191" s="7" t="n">
        <f aca="false">INDEX(Prices!AL:AL,VST_Assets!$AN$7)*VST_Assets!$J$7-VST_Assets!$K$7*AL190-VST_Assets!$M$7*AL$4</f>
        <v>55.5741597907663</v>
      </c>
      <c r="AM191" s="7" t="n">
        <f aca="false">INDEX(Prices!AM:AM,VST_Assets!$AN$7)*VST_Assets!$J$7-VST_Assets!$K$7*AM190-VST_Assets!$M$7*AM$4</f>
        <v>56.6856429865816</v>
      </c>
      <c r="AN191" s="7" t="n">
        <f aca="false">INDEX(Prices!AN:AN,VST_Assets!$AN$7)*VST_Assets!$J$7-VST_Assets!$K$7*AN190-VST_Assets!$M$7*AN$4</f>
        <v>57.8193558463133</v>
      </c>
      <c r="AO191" s="7" t="n">
        <f aca="false">INDEX(Prices!AO:AO,VST_Assets!$AN$7)*VST_Assets!$J$7-VST_Assets!$K$7*AO190-VST_Assets!$M$7*AO$4</f>
        <v>58.9757429632395</v>
      </c>
      <c r="AP191" s="7" t="n">
        <f aca="false">INDEX(Prices!AP:AP,VST_Assets!$AN$7)*VST_Assets!$J$7-VST_Assets!$K$7*AP190-VST_Assets!$M$7*AP$4</f>
        <v>60.1552578225043</v>
      </c>
      <c r="AQ191" s="7" t="n">
        <f aca="false">INDEX(Prices!AQ:AQ,VST_Assets!$AN$7)*VST_Assets!$J$7-VST_Assets!$K$7*AQ190-VST_Assets!$M$7*AQ$4</f>
        <v>61.3583629789544</v>
      </c>
      <c r="AR191" s="7" t="n">
        <f aca="false">INDEX(Prices!AR:AR,VST_Assets!$AN$7)*VST_Assets!$J$7-VST_Assets!$K$7*AR190-VST_Assets!$M$7*AR$4</f>
        <v>62.5855302385335</v>
      </c>
      <c r="AS191" s="7" t="n">
        <f aca="false">INDEX(Prices!AS:AS,VST_Assets!$AN$7)*VST_Assets!$J$7-VST_Assets!$K$7*AS190-VST_Assets!$M$7*AS$4</f>
        <v>63.8372408433041</v>
      </c>
    </row>
    <row r="192" customFormat="false" ht="15" hidden="false" customHeight="false" outlineLevel="0" collapsed="false">
      <c r="A192" s="6" t="s">
        <v>437</v>
      </c>
      <c r="B192" s="6" t="s">
        <v>438</v>
      </c>
      <c r="G192" s="47" t="n">
        <f aca="false">IF(VST_Assets!$X$7=1,IF(G191&gt;0,1,0),1)</f>
        <v>1</v>
      </c>
      <c r="H192" s="47" t="n">
        <f aca="false">IF(VST_Assets!$X$7=1,IF(H191&gt;0,1,0),1)</f>
        <v>1</v>
      </c>
      <c r="I192" s="47" t="n">
        <f aca="false">IF(VST_Assets!$X$7=1,IF(I191&gt;0,1,0),1)</f>
        <v>1</v>
      </c>
      <c r="J192" s="47" t="n">
        <f aca="false">IF(VST_Assets!$X$7=1,IF(J191&gt;0,1,0),1)</f>
        <v>1</v>
      </c>
      <c r="K192" s="47" t="n">
        <f aca="false">IF(VST_Assets!$X$7=1,IF(K191&gt;0,1,0),1)</f>
        <v>1</v>
      </c>
      <c r="L192" s="47" t="n">
        <f aca="false">IF(VST_Assets!$X$7=1,IF(L191&gt;0,1,0),1)</f>
        <v>1</v>
      </c>
      <c r="M192" s="47" t="n">
        <f aca="false">IF(VST_Assets!$X$7=1,IF(M191&gt;0,1,0),1)</f>
        <v>1</v>
      </c>
      <c r="N192" s="47" t="n">
        <f aca="false">IF(VST_Assets!$X$7=1,IF(N191&gt;0,1,0),1)</f>
        <v>1</v>
      </c>
      <c r="O192" s="47" t="n">
        <f aca="false">IF(VST_Assets!$X$7=1,IF(O191&gt;0,1,0),1)</f>
        <v>1</v>
      </c>
      <c r="P192" s="47" t="n">
        <f aca="false">IF(VST_Assets!$X$7=1,IF(P191&gt;0,1,0),1)</f>
        <v>1</v>
      </c>
      <c r="Q192" s="47" t="n">
        <f aca="false">IF(VST_Assets!$X$7=1,IF(Q191&gt;0,1,0),1)</f>
        <v>1</v>
      </c>
      <c r="R192" s="47" t="n">
        <f aca="false">IF(VST_Assets!$X$7=1,IF(R191&gt;0,1,0),1)</f>
        <v>1</v>
      </c>
      <c r="S192" s="47" t="n">
        <f aca="false">IF(VST_Assets!$X$7=1,IF(S191&gt;0,1,0),1)</f>
        <v>1</v>
      </c>
      <c r="T192" s="47" t="n">
        <f aca="false">IF(VST_Assets!$X$7=1,IF(T191&gt;0,1,0),1)</f>
        <v>1</v>
      </c>
      <c r="U192" s="47" t="n">
        <f aca="false">IF(VST_Assets!$X$7=1,IF(U191&gt;0,1,0),1)</f>
        <v>1</v>
      </c>
      <c r="V192" s="47" t="n">
        <f aca="false">IF(VST_Assets!$X$7=1,IF(V191&gt;0,1,0),1)</f>
        <v>1</v>
      </c>
      <c r="W192" s="47" t="n">
        <f aca="false">IF(VST_Assets!$X$7=1,IF(W191&gt;0,1,0),1)</f>
        <v>1</v>
      </c>
      <c r="X192" s="47" t="n">
        <f aca="false">IF(VST_Assets!$X$7=1,IF(X191&gt;0,1,0),1)</f>
        <v>1</v>
      </c>
      <c r="Y192" s="47" t="n">
        <f aca="false">IF(VST_Assets!$X$7=1,IF(Y191&gt;0,1,0),1)</f>
        <v>1</v>
      </c>
      <c r="Z192" s="47" t="n">
        <f aca="false">IF(VST_Assets!$X$7=1,IF(Z191&gt;0,1,0),1)</f>
        <v>1</v>
      </c>
      <c r="AA192" s="47" t="n">
        <f aca="false">IF(VST_Assets!$X$7=1,IF(AA191&gt;0,1,0),1)</f>
        <v>1</v>
      </c>
      <c r="AB192" s="47" t="n">
        <f aca="false">IF(VST_Assets!$X$7=1,IF(AB191&gt;0,1,0),1)</f>
        <v>1</v>
      </c>
      <c r="AC192" s="47" t="n">
        <f aca="false">IF(VST_Assets!$X$7=1,IF(AC191&gt;0,1,0),1)</f>
        <v>1</v>
      </c>
      <c r="AD192" s="47" t="n">
        <f aca="false">IF(VST_Assets!$X$7=1,IF(AD191&gt;0,1,0),1)</f>
        <v>1</v>
      </c>
      <c r="AE192" s="47" t="n">
        <f aca="false">IF(VST_Assets!$X$7=1,IF(AE191&gt;0,1,0),1)</f>
        <v>1</v>
      </c>
      <c r="AF192" s="47" t="n">
        <f aca="false">IF(VST_Assets!$X$7=1,IF(AF191&gt;0,1,0),1)</f>
        <v>1</v>
      </c>
      <c r="AG192" s="47" t="n">
        <f aca="false">IF(VST_Assets!$X$7=1,IF(AG191&gt;0,1,0),1)</f>
        <v>1</v>
      </c>
      <c r="AH192" s="47" t="n">
        <f aca="false">IF(VST_Assets!$X$7=1,IF(AH191&gt;0,1,0),1)</f>
        <v>1</v>
      </c>
      <c r="AI192" s="47" t="n">
        <f aca="false">IF(VST_Assets!$X$7=1,IF(AI191&gt;0,1,0),1)</f>
        <v>1</v>
      </c>
      <c r="AJ192" s="47" t="n">
        <f aca="false">IF(VST_Assets!$X$7=1,IF(AJ191&gt;0,1,0),1)</f>
        <v>1</v>
      </c>
      <c r="AK192" s="47" t="n">
        <f aca="false">IF(VST_Assets!$X$7=1,IF(AK191&gt;0,1,0),1)</f>
        <v>1</v>
      </c>
      <c r="AL192" s="47" t="n">
        <f aca="false">IF(VST_Assets!$X$7=1,IF(AL191&gt;0,1,0),1)</f>
        <v>1</v>
      </c>
      <c r="AM192" s="47" t="n">
        <f aca="false">IF(VST_Assets!$X$7=1,IF(AM191&gt;0,1,0),1)</f>
        <v>1</v>
      </c>
      <c r="AN192" s="47" t="n">
        <f aca="false">IF(VST_Assets!$X$7=1,IF(AN191&gt;0,1,0),1)</f>
        <v>1</v>
      </c>
      <c r="AO192" s="47" t="n">
        <f aca="false">IF(VST_Assets!$X$7=1,IF(AO191&gt;0,1,0),1)</f>
        <v>1</v>
      </c>
      <c r="AP192" s="47" t="n">
        <f aca="false">IF(VST_Assets!$X$7=1,IF(AP191&gt;0,1,0),1)</f>
        <v>1</v>
      </c>
      <c r="AQ192" s="47" t="n">
        <f aca="false">IF(VST_Assets!$X$7=1,IF(AQ191&gt;0,1,0),1)</f>
        <v>1</v>
      </c>
      <c r="AR192" s="47" t="n">
        <f aca="false">IF(VST_Assets!$X$7=1,IF(AR191&gt;0,1,0),1)</f>
        <v>1</v>
      </c>
      <c r="AS192" s="47" t="n">
        <f aca="false">IF(VST_Assets!$X$7=1,IF(AS191&gt;0,1,0),1)</f>
        <v>1</v>
      </c>
    </row>
    <row r="193" customFormat="false" ht="15" hidden="false" customHeight="false" outlineLevel="0" collapsed="false">
      <c r="A193" s="6" t="s">
        <v>439</v>
      </c>
      <c r="B193" s="6" t="s">
        <v>440</v>
      </c>
      <c r="C193" s="9" t="n">
        <f aca="false">SUM(G193:AS193)</f>
        <v>54191.3066107551</v>
      </c>
      <c r="G193" s="8" t="n">
        <f aca="false">G188*INDEX(Prices!G:G,VST_Assets!$AN$7)*VST_Assets!$J$7*G192/1000000*(1+VST_RevAdj)</f>
        <v>2734.1712</v>
      </c>
      <c r="H193" s="8" t="n">
        <f aca="false">H188*INDEX(Prices!H:H,VST_Assets!$AN$7)*VST_Assets!$J$7*H192/1000000*(1+VST_RevAdj)</f>
        <v>2772.1458</v>
      </c>
      <c r="I193" s="8" t="n">
        <f aca="false">I188*INDEX(Prices!I:I,VST_Assets!$AN$7)*VST_Assets!$J$7*I192/1000000*(1+VST_RevAdj)</f>
        <v>2542.61311130214</v>
      </c>
      <c r="J193" s="8" t="n">
        <f aca="false">J188*INDEX(Prices!J:J,VST_Assets!$AN$7)*VST_Assets!$J$7*J192/1000000*(1+VST_RevAdj)</f>
        <v>2475.54430705637</v>
      </c>
      <c r="K193" s="8" t="n">
        <f aca="false">K188*INDEX(Prices!K:K,VST_Assets!$AN$7)*VST_Assets!$J$7*K192/1000000*(1+VST_RevAdj)</f>
        <v>2525.05519319749</v>
      </c>
      <c r="L193" s="8" t="n">
        <f aca="false">L188*INDEX(Prices!L:L,VST_Assets!$AN$7)*VST_Assets!$J$7*L192/1000000*(1+VST_RevAdj)</f>
        <v>2575.55629706144</v>
      </c>
      <c r="M193" s="8" t="n">
        <f aca="false">M188*INDEX(Prices!M:M,VST_Assets!$AN$7)*VST_Assets!$J$7*M192/1000000*(1+VST_RevAdj)</f>
        <v>2627.06742300267</v>
      </c>
      <c r="N193" s="8" t="n">
        <f aca="false">N188*INDEX(Prices!N:N,VST_Assets!$AN$7)*VST_Assets!$J$7*N192/1000000*(1+VST_RevAdj)</f>
        <v>2679.60877146273</v>
      </c>
      <c r="O193" s="8" t="n">
        <f aca="false">O188*INDEX(Prices!O:O,VST_Assets!$AN$7)*VST_Assets!$J$7*O192/1000000*(1+VST_RevAdj)</f>
        <v>2733.20094689198</v>
      </c>
      <c r="P193" s="8" t="n">
        <f aca="false">P188*INDEX(Prices!P:P,VST_Assets!$AN$7)*VST_Assets!$J$7*P192/1000000*(1+VST_RevAdj)</f>
        <v>2787.86496582982</v>
      </c>
      <c r="Q193" s="8" t="n">
        <f aca="false">Q188*INDEX(Prices!Q:Q,VST_Assets!$AN$7)*VST_Assets!$J$7*Q192/1000000*(1+VST_RevAdj)</f>
        <v>2843.62226514642</v>
      </c>
      <c r="R193" s="8" t="n">
        <f aca="false">R188*INDEX(Prices!R:R,VST_Assets!$AN$7)*VST_Assets!$J$7*R192/1000000*(1+VST_RevAdj)</f>
        <v>2900.49471044934</v>
      </c>
      <c r="S193" s="8" t="n">
        <f aca="false">S188*INDEX(Prices!S:S,VST_Assets!$AN$7)*VST_Assets!$J$7*S192/1000000*(1+VST_RevAdj)</f>
        <v>2958.50460465833</v>
      </c>
      <c r="T193" s="8" t="n">
        <f aca="false">T188*INDEX(Prices!T:T,VST_Assets!$AN$7)*VST_Assets!$J$7*T192/1000000*(1+VST_RevAdj)</f>
        <v>3017.6746967515</v>
      </c>
      <c r="U193" s="8" t="n">
        <f aca="false">U188*INDEX(Prices!U:U,VST_Assets!$AN$7)*VST_Assets!$J$7*U192/1000000*(1+VST_RevAdj)</f>
        <v>3078.02819068653</v>
      </c>
      <c r="V193" s="8" t="n">
        <f aca="false">V188*INDEX(Prices!V:V,VST_Assets!$AN$7)*VST_Assets!$J$7*V192/1000000*(1+VST_RevAdj)</f>
        <v>3139.58875450026</v>
      </c>
      <c r="W193" s="8" t="n">
        <f aca="false">W188*INDEX(Prices!W:W,VST_Assets!$AN$7)*VST_Assets!$J$7*W192/1000000*(1+VST_RevAdj)</f>
        <v>3202.38052959026</v>
      </c>
      <c r="X193" s="8" t="n">
        <f aca="false">X188*INDEX(Prices!X:X,VST_Assets!$AN$7)*VST_Assets!$J$7*X192/1000000*(1+VST_RevAdj)</f>
        <v>3266.42814018207</v>
      </c>
      <c r="Y193" s="8" t="n">
        <f aca="false">Y188*INDEX(Prices!Y:Y,VST_Assets!$AN$7)*VST_Assets!$J$7*Y192/1000000*(1+VST_RevAdj)</f>
        <v>3331.75670298571</v>
      </c>
      <c r="Z193" s="8" t="n">
        <f aca="false">Z188*INDEX(Prices!Z:Z,VST_Assets!$AN$7)*VST_Assets!$J$7*Z192/1000000*(1+VST_RevAdj)</f>
        <v>0</v>
      </c>
      <c r="AA193" s="8" t="n">
        <f aca="false">AA188*INDEX(Prices!AA:AA,VST_Assets!$AN$7)*VST_Assets!$J$7*AA192/1000000*(1+VST_RevAdj)</f>
        <v>0</v>
      </c>
      <c r="AB193" s="8" t="n">
        <f aca="false">AB188*INDEX(Prices!AB:AB,VST_Assets!$AN$7)*VST_Assets!$J$7*AB192/1000000*(1+VST_RevAdj)</f>
        <v>0</v>
      </c>
      <c r="AC193" s="8" t="n">
        <f aca="false">AC188*INDEX(Prices!AC:AC,VST_Assets!$AN$7)*VST_Assets!$J$7*AC192/1000000*(1+VST_RevAdj)</f>
        <v>0</v>
      </c>
      <c r="AD193" s="8" t="n">
        <f aca="false">AD188*INDEX(Prices!AD:AD,VST_Assets!$AN$7)*VST_Assets!$J$7*AD192/1000000*(1+VST_RevAdj)</f>
        <v>0</v>
      </c>
      <c r="AE193" s="8" t="n">
        <f aca="false">AE188*INDEX(Prices!AE:AE,VST_Assets!$AN$7)*VST_Assets!$J$7*AE192/1000000*(1+VST_RevAdj)</f>
        <v>0</v>
      </c>
      <c r="AF193" s="8" t="n">
        <f aca="false">AF188*INDEX(Prices!AF:AF,VST_Assets!$AN$7)*VST_Assets!$J$7*AF192/1000000*(1+VST_RevAdj)</f>
        <v>0</v>
      </c>
      <c r="AG193" s="8" t="n">
        <f aca="false">AG188*INDEX(Prices!AG:AG,VST_Assets!$AN$7)*VST_Assets!$J$7*AG192/1000000*(1+VST_RevAdj)</f>
        <v>0</v>
      </c>
      <c r="AH193" s="8" t="n">
        <f aca="false">AH188*INDEX(Prices!AH:AH,VST_Assets!$AN$7)*VST_Assets!$J$7*AH192/1000000*(1+VST_RevAdj)</f>
        <v>0</v>
      </c>
      <c r="AI193" s="8" t="n">
        <f aca="false">AI188*INDEX(Prices!AI:AI,VST_Assets!$AN$7)*VST_Assets!$J$7*AI192/1000000*(1+VST_RevAdj)</f>
        <v>0</v>
      </c>
      <c r="AJ193" s="8" t="n">
        <f aca="false">AJ188*INDEX(Prices!AJ:AJ,VST_Assets!$AN$7)*VST_Assets!$J$7*AJ192/1000000*(1+VST_RevAdj)</f>
        <v>0</v>
      </c>
      <c r="AK193" s="8" t="n">
        <f aca="false">AK188*INDEX(Prices!AK:AK,VST_Assets!$AN$7)*VST_Assets!$J$7*AK192/1000000*(1+VST_RevAdj)</f>
        <v>0</v>
      </c>
      <c r="AL193" s="8" t="n">
        <f aca="false">AL188*INDEX(Prices!AL:AL,VST_Assets!$AN$7)*VST_Assets!$J$7*AL192/1000000*(1+VST_RevAdj)</f>
        <v>0</v>
      </c>
      <c r="AM193" s="8" t="n">
        <f aca="false">AM188*INDEX(Prices!AM:AM,VST_Assets!$AN$7)*VST_Assets!$J$7*AM192/1000000*(1+VST_RevAdj)</f>
        <v>0</v>
      </c>
      <c r="AN193" s="8" t="n">
        <f aca="false">AN188*INDEX(Prices!AN:AN,VST_Assets!$AN$7)*VST_Assets!$J$7*AN192/1000000*(1+VST_RevAdj)</f>
        <v>0</v>
      </c>
      <c r="AO193" s="8" t="n">
        <f aca="false">AO188*INDEX(Prices!AO:AO,VST_Assets!$AN$7)*VST_Assets!$J$7*AO192/1000000*(1+VST_RevAdj)</f>
        <v>0</v>
      </c>
      <c r="AP193" s="8" t="n">
        <f aca="false">AP188*INDEX(Prices!AP:AP,VST_Assets!$AN$7)*VST_Assets!$J$7*AP192/1000000*(1+VST_RevAdj)</f>
        <v>0</v>
      </c>
      <c r="AQ193" s="8" t="n">
        <f aca="false">AQ188*INDEX(Prices!AQ:AQ,VST_Assets!$AN$7)*VST_Assets!$J$7*AQ192/1000000*(1+VST_RevAdj)</f>
        <v>0</v>
      </c>
      <c r="AR193" s="8" t="n">
        <f aca="false">AR188*INDEX(Prices!AR:AR,VST_Assets!$AN$7)*VST_Assets!$J$7*AR192/1000000*(1+VST_RevAdj)</f>
        <v>0</v>
      </c>
      <c r="AS193" s="8" t="n">
        <f aca="false">AS188*INDEX(Prices!AS:AS,VST_Assets!$AN$7)*VST_Assets!$J$7*AS192/1000000*(1+VST_RevAdj)</f>
        <v>0</v>
      </c>
    </row>
    <row r="194" customFormat="false" ht="15" hidden="false" customHeight="false" outlineLevel="0" collapsed="false">
      <c r="A194" s="6" t="s">
        <v>441</v>
      </c>
      <c r="B194" s="6" t="s">
        <v>442</v>
      </c>
      <c r="C194" s="9" t="n">
        <f aca="false">SUM(G194:AS194)</f>
        <v>13499.4505813799</v>
      </c>
      <c r="G194" s="8" t="n">
        <f aca="false">(VST_Assets!$D$7-G187)*INDEX(Prices!G:G,VST_Assets!$AP$7)*365*VST_Assets!$T$7*G186/1000000*(1+VST_RevAdj)</f>
        <v>802.600617</v>
      </c>
      <c r="H194" s="8" t="n">
        <f aca="false">(VST_Assets!$D$7-H187)*INDEX(Prices!H:H,VST_Assets!$AP$7)*365*VST_Assets!$T$7*H186/1000000*(1+VST_RevAdj)</f>
        <v>795.001974</v>
      </c>
      <c r="I194" s="8" t="n">
        <f aca="false">(VST_Assets!$D$7-I187)*INDEX(Prices!I:I,VST_Assets!$AP$7)*365*VST_Assets!$T$7*I186/1000000*(1+VST_RevAdj)</f>
        <v>672.250994363</v>
      </c>
      <c r="J194" s="8" t="n">
        <f aca="false">(VST_Assets!$D$7-J187)*INDEX(Prices!J:J,VST_Assets!$AP$7)*365*VST_Assets!$T$7*J186/1000000*(1+VST_RevAdj)</f>
        <v>602.46929228616</v>
      </c>
      <c r="K194" s="8" t="n">
        <f aca="false">(VST_Assets!$D$7-K187)*INDEX(Prices!K:K,VST_Assets!$AP$7)*365*VST_Assets!$T$7*K186/1000000*(1+VST_RevAdj)</f>
        <v>614.518678131883</v>
      </c>
      <c r="L194" s="8" t="n">
        <f aca="false">(VST_Assets!$D$7-L187)*INDEX(Prices!L:L,VST_Assets!$AP$7)*365*VST_Assets!$T$7*L186/1000000*(1+VST_RevAdj)</f>
        <v>626.809051694521</v>
      </c>
      <c r="M194" s="8" t="n">
        <f aca="false">(VST_Assets!$D$7-M187)*INDEX(Prices!M:M,VST_Assets!$AP$7)*365*VST_Assets!$T$7*M186/1000000*(1+VST_RevAdj)</f>
        <v>639.345232728411</v>
      </c>
      <c r="N194" s="8" t="n">
        <f aca="false">(VST_Assets!$D$7-N187)*INDEX(Prices!N:N,VST_Assets!$AP$7)*365*VST_Assets!$T$7*N186/1000000*(1+VST_RevAdj)</f>
        <v>652.13213738298</v>
      </c>
      <c r="O194" s="8" t="n">
        <f aca="false">(VST_Assets!$D$7-O187)*INDEX(Prices!O:O,VST_Assets!$AP$7)*365*VST_Assets!$T$7*O186/1000000*(1+VST_RevAdj)</f>
        <v>665.174780130639</v>
      </c>
      <c r="P194" s="8" t="n">
        <f aca="false">(VST_Assets!$D$7-P187)*INDEX(Prices!P:P,VST_Assets!$AP$7)*365*VST_Assets!$T$7*P186/1000000*(1+VST_RevAdj)</f>
        <v>678.478275733252</v>
      </c>
      <c r="Q194" s="8" t="n">
        <f aca="false">(VST_Assets!$D$7-Q187)*INDEX(Prices!Q:Q,VST_Assets!$AP$7)*365*VST_Assets!$T$7*Q186/1000000*(1+VST_RevAdj)</f>
        <v>692.047841247917</v>
      </c>
      <c r="R194" s="8" t="n">
        <f aca="false">(VST_Assets!$D$7-R187)*INDEX(Prices!R:R,VST_Assets!$AP$7)*365*VST_Assets!$T$7*R186/1000000*(1+VST_RevAdj)</f>
        <v>705.888798072875</v>
      </c>
      <c r="S194" s="8" t="n">
        <f aca="false">(VST_Assets!$D$7-S187)*INDEX(Prices!S:S,VST_Assets!$AP$7)*365*VST_Assets!$T$7*S186/1000000*(1+VST_RevAdj)</f>
        <v>720.006574034333</v>
      </c>
      <c r="T194" s="8" t="n">
        <f aca="false">(VST_Assets!$D$7-T187)*INDEX(Prices!T:T,VST_Assets!$AP$7)*365*VST_Assets!$T$7*T186/1000000*(1+VST_RevAdj)</f>
        <v>734.40670551502</v>
      </c>
      <c r="U194" s="8" t="n">
        <f aca="false">(VST_Assets!$D$7-U187)*INDEX(Prices!U:U,VST_Assets!$AP$7)*365*VST_Assets!$T$7*U186/1000000*(1+VST_RevAdj)</f>
        <v>749.09483962532</v>
      </c>
      <c r="V194" s="8" t="n">
        <f aca="false">(VST_Assets!$D$7-V187)*INDEX(Prices!V:V,VST_Assets!$AP$7)*365*VST_Assets!$T$7*V186/1000000*(1+VST_RevAdj)</f>
        <v>764.076736417826</v>
      </c>
      <c r="W194" s="8" t="n">
        <f aca="false">(VST_Assets!$D$7-W187)*INDEX(Prices!W:W,VST_Assets!$AP$7)*365*VST_Assets!$T$7*W186/1000000*(1+VST_RevAdj)</f>
        <v>779.358271146183</v>
      </c>
      <c r="X194" s="8" t="n">
        <f aca="false">(VST_Assets!$D$7-X187)*INDEX(Prices!X:X,VST_Assets!$AP$7)*365*VST_Assets!$T$7*X186/1000000*(1+VST_RevAdj)</f>
        <v>794.945436569107</v>
      </c>
      <c r="Y194" s="8" t="n">
        <f aca="false">(VST_Assets!$D$7-Y187)*INDEX(Prices!Y:Y,VST_Assets!$AP$7)*365*VST_Assets!$T$7*Y186/1000000*(1+VST_RevAdj)</f>
        <v>810.844345300489</v>
      </c>
      <c r="Z194" s="8" t="n">
        <f aca="false">(VST_Assets!$D$7-Z187)*INDEX(Prices!Z:Z,VST_Assets!$AP$7)*365*VST_Assets!$T$7*Z186/1000000*(1+VST_RevAdj)</f>
        <v>0</v>
      </c>
      <c r="AA194" s="8" t="n">
        <f aca="false">(VST_Assets!$D$7-AA187)*INDEX(Prices!AA:AA,VST_Assets!$AP$7)*365*VST_Assets!$T$7*AA186/1000000*(1+VST_RevAdj)</f>
        <v>0</v>
      </c>
      <c r="AB194" s="8" t="n">
        <f aca="false">(VST_Assets!$D$7-AB187)*INDEX(Prices!AB:AB,VST_Assets!$AP$7)*365*VST_Assets!$T$7*AB186/1000000*(1+VST_RevAdj)</f>
        <v>0</v>
      </c>
      <c r="AC194" s="8" t="n">
        <f aca="false">(VST_Assets!$D$7-AC187)*INDEX(Prices!AC:AC,VST_Assets!$AP$7)*365*VST_Assets!$T$7*AC186/1000000*(1+VST_RevAdj)</f>
        <v>0</v>
      </c>
      <c r="AD194" s="8" t="n">
        <f aca="false">(VST_Assets!$D$7-AD187)*INDEX(Prices!AD:AD,VST_Assets!$AP$7)*365*VST_Assets!$T$7*AD186/1000000*(1+VST_RevAdj)</f>
        <v>0</v>
      </c>
      <c r="AE194" s="8" t="n">
        <f aca="false">(VST_Assets!$D$7-AE187)*INDEX(Prices!AE:AE,VST_Assets!$AP$7)*365*VST_Assets!$T$7*AE186/1000000*(1+VST_RevAdj)</f>
        <v>0</v>
      </c>
      <c r="AF194" s="8" t="n">
        <f aca="false">(VST_Assets!$D$7-AF187)*INDEX(Prices!AF:AF,VST_Assets!$AP$7)*365*VST_Assets!$T$7*AF186/1000000*(1+VST_RevAdj)</f>
        <v>0</v>
      </c>
      <c r="AG194" s="8" t="n">
        <f aca="false">(VST_Assets!$D$7-AG187)*INDEX(Prices!AG:AG,VST_Assets!$AP$7)*365*VST_Assets!$T$7*AG186/1000000*(1+VST_RevAdj)</f>
        <v>0</v>
      </c>
      <c r="AH194" s="8" t="n">
        <f aca="false">(VST_Assets!$D$7-AH187)*INDEX(Prices!AH:AH,VST_Assets!$AP$7)*365*VST_Assets!$T$7*AH186/1000000*(1+VST_RevAdj)</f>
        <v>0</v>
      </c>
      <c r="AI194" s="8" t="n">
        <f aca="false">(VST_Assets!$D$7-AI187)*INDEX(Prices!AI:AI,VST_Assets!$AP$7)*365*VST_Assets!$T$7*AI186/1000000*(1+VST_RevAdj)</f>
        <v>0</v>
      </c>
      <c r="AJ194" s="8" t="n">
        <f aca="false">(VST_Assets!$D$7-AJ187)*INDEX(Prices!AJ:AJ,VST_Assets!$AP$7)*365*VST_Assets!$T$7*AJ186/1000000*(1+VST_RevAdj)</f>
        <v>0</v>
      </c>
      <c r="AK194" s="8" t="n">
        <f aca="false">(VST_Assets!$D$7-AK187)*INDEX(Prices!AK:AK,VST_Assets!$AP$7)*365*VST_Assets!$T$7*AK186/1000000*(1+VST_RevAdj)</f>
        <v>0</v>
      </c>
      <c r="AL194" s="8" t="n">
        <f aca="false">(VST_Assets!$D$7-AL187)*INDEX(Prices!AL:AL,VST_Assets!$AP$7)*365*VST_Assets!$T$7*AL186/1000000*(1+VST_RevAdj)</f>
        <v>0</v>
      </c>
      <c r="AM194" s="8" t="n">
        <f aca="false">(VST_Assets!$D$7-AM187)*INDEX(Prices!AM:AM,VST_Assets!$AP$7)*365*VST_Assets!$T$7*AM186/1000000*(1+VST_RevAdj)</f>
        <v>0</v>
      </c>
      <c r="AN194" s="8" t="n">
        <f aca="false">(VST_Assets!$D$7-AN187)*INDEX(Prices!AN:AN,VST_Assets!$AP$7)*365*VST_Assets!$T$7*AN186/1000000*(1+VST_RevAdj)</f>
        <v>0</v>
      </c>
      <c r="AO194" s="8" t="n">
        <f aca="false">(VST_Assets!$D$7-AO187)*INDEX(Prices!AO:AO,VST_Assets!$AP$7)*365*VST_Assets!$T$7*AO186/1000000*(1+VST_RevAdj)</f>
        <v>0</v>
      </c>
      <c r="AP194" s="8" t="n">
        <f aca="false">(VST_Assets!$D$7-AP187)*INDEX(Prices!AP:AP,VST_Assets!$AP$7)*365*VST_Assets!$T$7*AP186/1000000*(1+VST_RevAdj)</f>
        <v>0</v>
      </c>
      <c r="AQ194" s="8" t="n">
        <f aca="false">(VST_Assets!$D$7-AQ187)*INDEX(Prices!AQ:AQ,VST_Assets!$AP$7)*365*VST_Assets!$T$7*AQ186/1000000*(1+VST_RevAdj)</f>
        <v>0</v>
      </c>
      <c r="AR194" s="8" t="n">
        <f aca="false">(VST_Assets!$D$7-AR187)*INDEX(Prices!AR:AR,VST_Assets!$AP$7)*365*VST_Assets!$T$7*AR186/1000000*(1+VST_RevAdj)</f>
        <v>0</v>
      </c>
      <c r="AS194" s="8" t="n">
        <f aca="false">(VST_Assets!$D$7-AS187)*INDEX(Prices!AS:AS,VST_Assets!$AP$7)*365*VST_Assets!$T$7*AS186/1000000*(1+VST_RevAdj)</f>
        <v>0</v>
      </c>
    </row>
    <row r="195" customFormat="false" ht="15" hidden="false" customHeight="false" outlineLevel="0" collapsed="false">
      <c r="A195" s="6" t="s">
        <v>443</v>
      </c>
      <c r="B195" s="6" t="s">
        <v>444</v>
      </c>
      <c r="C195" s="9" t="n">
        <f aca="false">SUM(G195:AS195)</f>
        <v>0</v>
      </c>
      <c r="G195" s="8" t="n">
        <f aca="false">G189*(VST_Assets!$AD$7+VST_PPAAdj)/1000000*(1+VST_RevAdj)</f>
        <v>0</v>
      </c>
      <c r="H195" s="8" t="n">
        <f aca="false">H189*(VST_Assets!$AD$7+VST_PPAAdj)/1000000*(1+VST_RevAdj)</f>
        <v>0</v>
      </c>
      <c r="I195" s="8" t="n">
        <f aca="false">I189*(VST_Assets!$AD$7+VST_PPAAdj)/1000000*(1+VST_RevAdj)</f>
        <v>0</v>
      </c>
      <c r="J195" s="8" t="n">
        <f aca="false">J189*(VST_Assets!$AD$7+VST_PPAAdj)/1000000*(1+VST_RevAdj)</f>
        <v>0</v>
      </c>
      <c r="K195" s="8" t="n">
        <f aca="false">K189*(VST_Assets!$AD$7+VST_PPAAdj)/1000000*(1+VST_RevAdj)</f>
        <v>0</v>
      </c>
      <c r="L195" s="8" t="n">
        <f aca="false">L189*(VST_Assets!$AD$7+VST_PPAAdj)/1000000*(1+VST_RevAdj)</f>
        <v>0</v>
      </c>
      <c r="M195" s="8" t="n">
        <f aca="false">M189*(VST_Assets!$AD$7+VST_PPAAdj)/1000000*(1+VST_RevAdj)</f>
        <v>0</v>
      </c>
      <c r="N195" s="8" t="n">
        <f aca="false">N189*(VST_Assets!$AD$7+VST_PPAAdj)/1000000*(1+VST_RevAdj)</f>
        <v>0</v>
      </c>
      <c r="O195" s="8" t="n">
        <f aca="false">O189*(VST_Assets!$AD$7+VST_PPAAdj)/1000000*(1+VST_RevAdj)</f>
        <v>0</v>
      </c>
      <c r="P195" s="8" t="n">
        <f aca="false">P189*(VST_Assets!$AD$7+VST_PPAAdj)/1000000*(1+VST_RevAdj)</f>
        <v>0</v>
      </c>
      <c r="Q195" s="8" t="n">
        <f aca="false">Q189*(VST_Assets!$AD$7+VST_PPAAdj)/1000000*(1+VST_RevAdj)</f>
        <v>0</v>
      </c>
      <c r="R195" s="8" t="n">
        <f aca="false">R189*(VST_Assets!$AD$7+VST_PPAAdj)/1000000*(1+VST_RevAdj)</f>
        <v>0</v>
      </c>
      <c r="S195" s="8" t="n">
        <f aca="false">S189*(VST_Assets!$AD$7+VST_PPAAdj)/1000000*(1+VST_RevAdj)</f>
        <v>0</v>
      </c>
      <c r="T195" s="8" t="n">
        <f aca="false">T189*(VST_Assets!$AD$7+VST_PPAAdj)/1000000*(1+VST_RevAdj)</f>
        <v>0</v>
      </c>
      <c r="U195" s="8" t="n">
        <f aca="false">U189*(VST_Assets!$AD$7+VST_PPAAdj)/1000000*(1+VST_RevAdj)</f>
        <v>0</v>
      </c>
      <c r="V195" s="8" t="n">
        <f aca="false">V189*(VST_Assets!$AD$7+VST_PPAAdj)/1000000*(1+VST_RevAdj)</f>
        <v>0</v>
      </c>
      <c r="W195" s="8" t="n">
        <f aca="false">W189*(VST_Assets!$AD$7+VST_PPAAdj)/1000000*(1+VST_RevAdj)</f>
        <v>0</v>
      </c>
      <c r="X195" s="8" t="n">
        <f aca="false">X189*(VST_Assets!$AD$7+VST_PPAAdj)/1000000*(1+VST_RevAdj)</f>
        <v>0</v>
      </c>
      <c r="Y195" s="8" t="n">
        <f aca="false">Y189*(VST_Assets!$AD$7+VST_PPAAdj)/1000000*(1+VST_RevAdj)</f>
        <v>0</v>
      </c>
      <c r="Z195" s="8" t="n">
        <f aca="false">Z189*(VST_Assets!$AD$7+VST_PPAAdj)/1000000*(1+VST_RevAdj)</f>
        <v>0</v>
      </c>
      <c r="AA195" s="8" t="n">
        <f aca="false">AA189*(VST_Assets!$AD$7+VST_PPAAdj)/1000000*(1+VST_RevAdj)</f>
        <v>0</v>
      </c>
      <c r="AB195" s="8" t="n">
        <f aca="false">AB189*(VST_Assets!$AD$7+VST_PPAAdj)/1000000*(1+VST_RevAdj)</f>
        <v>0</v>
      </c>
      <c r="AC195" s="8" t="n">
        <f aca="false">AC189*(VST_Assets!$AD$7+VST_PPAAdj)/1000000*(1+VST_RevAdj)</f>
        <v>0</v>
      </c>
      <c r="AD195" s="8" t="n">
        <f aca="false">AD189*(VST_Assets!$AD$7+VST_PPAAdj)/1000000*(1+VST_RevAdj)</f>
        <v>0</v>
      </c>
      <c r="AE195" s="8" t="n">
        <f aca="false">AE189*(VST_Assets!$AD$7+VST_PPAAdj)/1000000*(1+VST_RevAdj)</f>
        <v>0</v>
      </c>
      <c r="AF195" s="8" t="n">
        <f aca="false">AF189*(VST_Assets!$AD$7+VST_PPAAdj)/1000000*(1+VST_RevAdj)</f>
        <v>0</v>
      </c>
      <c r="AG195" s="8" t="n">
        <f aca="false">AG189*(VST_Assets!$AD$7+VST_PPAAdj)/1000000*(1+VST_RevAdj)</f>
        <v>0</v>
      </c>
      <c r="AH195" s="8" t="n">
        <f aca="false">AH189*(VST_Assets!$AD$7+VST_PPAAdj)/1000000*(1+VST_RevAdj)</f>
        <v>0</v>
      </c>
      <c r="AI195" s="8" t="n">
        <f aca="false">AI189*(VST_Assets!$AD$7+VST_PPAAdj)/1000000*(1+VST_RevAdj)</f>
        <v>0</v>
      </c>
      <c r="AJ195" s="8" t="n">
        <f aca="false">AJ189*(VST_Assets!$AD$7+VST_PPAAdj)/1000000*(1+VST_RevAdj)</f>
        <v>0</v>
      </c>
      <c r="AK195" s="8" t="n">
        <f aca="false">AK189*(VST_Assets!$AD$7+VST_PPAAdj)/1000000*(1+VST_RevAdj)</f>
        <v>0</v>
      </c>
      <c r="AL195" s="8" t="n">
        <f aca="false">AL189*(VST_Assets!$AD$7+VST_PPAAdj)/1000000*(1+VST_RevAdj)</f>
        <v>0</v>
      </c>
      <c r="AM195" s="8" t="n">
        <f aca="false">AM189*(VST_Assets!$AD$7+VST_PPAAdj)/1000000*(1+VST_RevAdj)</f>
        <v>0</v>
      </c>
      <c r="AN195" s="8" t="n">
        <f aca="false">AN189*(VST_Assets!$AD$7+VST_PPAAdj)/1000000*(1+VST_RevAdj)</f>
        <v>0</v>
      </c>
      <c r="AO195" s="8" t="n">
        <f aca="false">AO189*(VST_Assets!$AD$7+VST_PPAAdj)/1000000*(1+VST_RevAdj)</f>
        <v>0</v>
      </c>
      <c r="AP195" s="8" t="n">
        <f aca="false">AP189*(VST_Assets!$AD$7+VST_PPAAdj)/1000000*(1+VST_RevAdj)</f>
        <v>0</v>
      </c>
      <c r="AQ195" s="8" t="n">
        <f aca="false">AQ189*(VST_Assets!$AD$7+VST_PPAAdj)/1000000*(1+VST_RevAdj)</f>
        <v>0</v>
      </c>
      <c r="AR195" s="8" t="n">
        <f aca="false">AR189*(VST_Assets!$AD$7+VST_PPAAdj)/1000000*(1+VST_RevAdj)</f>
        <v>0</v>
      </c>
      <c r="AS195" s="8" t="n">
        <f aca="false">AS189*(VST_Assets!$AD$7+VST_PPAAdj)/1000000*(1+VST_RevAdj)</f>
        <v>0</v>
      </c>
    </row>
    <row r="196" customFormat="false" ht="15" hidden="false" customHeight="false" outlineLevel="0" collapsed="false">
      <c r="A196" s="6" t="s">
        <v>445</v>
      </c>
      <c r="B196" s="6" t="s">
        <v>446</v>
      </c>
      <c r="C196" s="9" t="n">
        <f aca="false">SUM(G196:AS196)</f>
        <v>0</v>
      </c>
      <c r="G196" s="8" t="n">
        <f aca="false">IF(G$3&lt;=VST_Assets!$V$7,G188*VST_Assets!$U$7,0)/1000000*(1+VST_RevAdj)</f>
        <v>0</v>
      </c>
      <c r="H196" s="8" t="n">
        <f aca="false">IF(H$3&lt;=VST_Assets!$V$7,H188*VST_Assets!$U$7,0)/1000000*(1+VST_RevAdj)</f>
        <v>0</v>
      </c>
      <c r="I196" s="8" t="n">
        <f aca="false">IF(I$3&lt;=VST_Assets!$V$7,I188*VST_Assets!$U$7,0)/1000000*(1+VST_RevAdj)</f>
        <v>0</v>
      </c>
      <c r="J196" s="8" t="n">
        <f aca="false">IF(J$3&lt;=VST_Assets!$V$7,J188*VST_Assets!$U$7,0)/1000000*(1+VST_RevAdj)</f>
        <v>0</v>
      </c>
      <c r="K196" s="8" t="n">
        <f aca="false">IF(K$3&lt;=VST_Assets!$V$7,K188*VST_Assets!$U$7,0)/1000000*(1+VST_RevAdj)</f>
        <v>0</v>
      </c>
      <c r="L196" s="8" t="n">
        <f aca="false">IF(L$3&lt;=VST_Assets!$V$7,L188*VST_Assets!$U$7,0)/1000000*(1+VST_RevAdj)</f>
        <v>0</v>
      </c>
      <c r="M196" s="8" t="n">
        <f aca="false">IF(M$3&lt;=VST_Assets!$V$7,M188*VST_Assets!$U$7,0)/1000000*(1+VST_RevAdj)</f>
        <v>0</v>
      </c>
      <c r="N196" s="8" t="n">
        <f aca="false">IF(N$3&lt;=VST_Assets!$V$7,N188*VST_Assets!$U$7,0)/1000000*(1+VST_RevAdj)</f>
        <v>0</v>
      </c>
      <c r="O196" s="8" t="n">
        <f aca="false">IF(O$3&lt;=VST_Assets!$V$7,O188*VST_Assets!$U$7,0)/1000000*(1+VST_RevAdj)</f>
        <v>0</v>
      </c>
      <c r="P196" s="8" t="n">
        <f aca="false">IF(P$3&lt;=VST_Assets!$V$7,P188*VST_Assets!$U$7,0)/1000000*(1+VST_RevAdj)</f>
        <v>0</v>
      </c>
      <c r="Q196" s="8" t="n">
        <f aca="false">IF(Q$3&lt;=VST_Assets!$V$7,Q188*VST_Assets!$U$7,0)/1000000*(1+VST_RevAdj)</f>
        <v>0</v>
      </c>
      <c r="R196" s="8" t="n">
        <f aca="false">IF(R$3&lt;=VST_Assets!$V$7,R188*VST_Assets!$U$7,0)/1000000*(1+VST_RevAdj)</f>
        <v>0</v>
      </c>
      <c r="S196" s="8" t="n">
        <f aca="false">IF(S$3&lt;=VST_Assets!$V$7,S188*VST_Assets!$U$7,0)/1000000*(1+VST_RevAdj)</f>
        <v>0</v>
      </c>
      <c r="T196" s="8" t="n">
        <f aca="false">IF(T$3&lt;=VST_Assets!$V$7,T188*VST_Assets!$U$7,0)/1000000*(1+VST_RevAdj)</f>
        <v>0</v>
      </c>
      <c r="U196" s="8" t="n">
        <f aca="false">IF(U$3&lt;=VST_Assets!$V$7,U188*VST_Assets!$U$7,0)/1000000*(1+VST_RevAdj)</f>
        <v>0</v>
      </c>
      <c r="V196" s="8" t="n">
        <f aca="false">IF(V$3&lt;=VST_Assets!$V$7,V188*VST_Assets!$U$7,0)/1000000*(1+VST_RevAdj)</f>
        <v>0</v>
      </c>
      <c r="W196" s="8" t="n">
        <f aca="false">IF(W$3&lt;=VST_Assets!$V$7,W188*VST_Assets!$U$7,0)/1000000*(1+VST_RevAdj)</f>
        <v>0</v>
      </c>
      <c r="X196" s="8" t="n">
        <f aca="false">IF(X$3&lt;=VST_Assets!$V$7,X188*VST_Assets!$U$7,0)/1000000*(1+VST_RevAdj)</f>
        <v>0</v>
      </c>
      <c r="Y196" s="8" t="n">
        <f aca="false">IF(Y$3&lt;=VST_Assets!$V$7,Y188*VST_Assets!$U$7,0)/1000000*(1+VST_RevAdj)</f>
        <v>0</v>
      </c>
      <c r="Z196" s="8" t="n">
        <f aca="false">IF(Z$3&lt;=VST_Assets!$V$7,Z188*VST_Assets!$U$7,0)/1000000*(1+VST_RevAdj)</f>
        <v>0</v>
      </c>
      <c r="AA196" s="8" t="n">
        <f aca="false">IF(AA$3&lt;=VST_Assets!$V$7,AA188*VST_Assets!$U$7,0)/1000000*(1+VST_RevAdj)</f>
        <v>0</v>
      </c>
      <c r="AB196" s="8" t="n">
        <f aca="false">IF(AB$3&lt;=VST_Assets!$V$7,AB188*VST_Assets!$U$7,0)/1000000*(1+VST_RevAdj)</f>
        <v>0</v>
      </c>
      <c r="AC196" s="8" t="n">
        <f aca="false">IF(AC$3&lt;=VST_Assets!$V$7,AC188*VST_Assets!$U$7,0)/1000000*(1+VST_RevAdj)</f>
        <v>0</v>
      </c>
      <c r="AD196" s="8" t="n">
        <f aca="false">IF(AD$3&lt;=VST_Assets!$V$7,AD188*VST_Assets!$U$7,0)/1000000*(1+VST_RevAdj)</f>
        <v>0</v>
      </c>
      <c r="AE196" s="8" t="n">
        <f aca="false">IF(AE$3&lt;=VST_Assets!$V$7,AE188*VST_Assets!$U$7,0)/1000000*(1+VST_RevAdj)</f>
        <v>0</v>
      </c>
      <c r="AF196" s="8" t="n">
        <f aca="false">IF(AF$3&lt;=VST_Assets!$V$7,AF188*VST_Assets!$U$7,0)/1000000*(1+VST_RevAdj)</f>
        <v>0</v>
      </c>
      <c r="AG196" s="8" t="n">
        <f aca="false">IF(AG$3&lt;=VST_Assets!$V$7,AG188*VST_Assets!$U$7,0)/1000000*(1+VST_RevAdj)</f>
        <v>0</v>
      </c>
      <c r="AH196" s="8" t="n">
        <f aca="false">IF(AH$3&lt;=VST_Assets!$V$7,AH188*VST_Assets!$U$7,0)/1000000*(1+VST_RevAdj)</f>
        <v>0</v>
      </c>
      <c r="AI196" s="8" t="n">
        <f aca="false">IF(AI$3&lt;=VST_Assets!$V$7,AI188*VST_Assets!$U$7,0)/1000000*(1+VST_RevAdj)</f>
        <v>0</v>
      </c>
      <c r="AJ196" s="8" t="n">
        <f aca="false">IF(AJ$3&lt;=VST_Assets!$V$7,AJ188*VST_Assets!$U$7,0)/1000000*(1+VST_RevAdj)</f>
        <v>0</v>
      </c>
      <c r="AK196" s="8" t="n">
        <f aca="false">IF(AK$3&lt;=VST_Assets!$V$7,AK188*VST_Assets!$U$7,0)/1000000*(1+VST_RevAdj)</f>
        <v>0</v>
      </c>
      <c r="AL196" s="8" t="n">
        <f aca="false">IF(AL$3&lt;=VST_Assets!$V$7,AL188*VST_Assets!$U$7,0)/1000000*(1+VST_RevAdj)</f>
        <v>0</v>
      </c>
      <c r="AM196" s="8" t="n">
        <f aca="false">IF(AM$3&lt;=VST_Assets!$V$7,AM188*VST_Assets!$U$7,0)/1000000*(1+VST_RevAdj)</f>
        <v>0</v>
      </c>
      <c r="AN196" s="8" t="n">
        <f aca="false">IF(AN$3&lt;=VST_Assets!$V$7,AN188*VST_Assets!$U$7,0)/1000000*(1+VST_RevAdj)</f>
        <v>0</v>
      </c>
      <c r="AO196" s="8" t="n">
        <f aca="false">IF(AO$3&lt;=VST_Assets!$V$7,AO188*VST_Assets!$U$7,0)/1000000*(1+VST_RevAdj)</f>
        <v>0</v>
      </c>
      <c r="AP196" s="8" t="n">
        <f aca="false">IF(AP$3&lt;=VST_Assets!$V$7,AP188*VST_Assets!$U$7,0)/1000000*(1+VST_RevAdj)</f>
        <v>0</v>
      </c>
      <c r="AQ196" s="8" t="n">
        <f aca="false">IF(AQ$3&lt;=VST_Assets!$V$7,AQ188*VST_Assets!$U$7,0)/1000000*(1+VST_RevAdj)</f>
        <v>0</v>
      </c>
      <c r="AR196" s="8" t="n">
        <f aca="false">IF(AR$3&lt;=VST_Assets!$V$7,AR188*VST_Assets!$U$7,0)/1000000*(1+VST_RevAdj)</f>
        <v>0</v>
      </c>
      <c r="AS196" s="8" t="n">
        <f aca="false">IF(AS$3&lt;=VST_Assets!$V$7,AS188*VST_Assets!$U$7,0)/1000000*(1+VST_RevAdj)</f>
        <v>0</v>
      </c>
    </row>
    <row r="197" customFormat="false" ht="15" hidden="false" customHeight="false" outlineLevel="0" collapsed="false">
      <c r="A197" s="6" t="s">
        <v>447</v>
      </c>
      <c r="B197" s="6" t="s">
        <v>448</v>
      </c>
      <c r="C197" s="9" t="n">
        <f aca="false">SUM(G197:AS197)</f>
        <v>67690.757192135</v>
      </c>
      <c r="G197" s="8" t="n">
        <f aca="false">G193+G194+G195+G196</f>
        <v>3536.771817</v>
      </c>
      <c r="H197" s="8" t="n">
        <f aca="false">H193+H194+H195+H196</f>
        <v>3567.147774</v>
      </c>
      <c r="I197" s="8" t="n">
        <f aca="false">I193+I194+I195+I196</f>
        <v>3214.86410566514</v>
      </c>
      <c r="J197" s="8" t="n">
        <f aca="false">J193+J194+J195+J196</f>
        <v>3078.01359934253</v>
      </c>
      <c r="K197" s="8" t="n">
        <f aca="false">K193+K194+K195+K196</f>
        <v>3139.57387132938</v>
      </c>
      <c r="L197" s="8" t="n">
        <f aca="false">L193+L194+L195+L196</f>
        <v>3202.36534875596</v>
      </c>
      <c r="M197" s="8" t="n">
        <f aca="false">M193+M194+M195+M196</f>
        <v>3266.41265573108</v>
      </c>
      <c r="N197" s="8" t="n">
        <f aca="false">N193+N194+N195+N196</f>
        <v>3331.74090884571</v>
      </c>
      <c r="O197" s="8" t="n">
        <f aca="false">O193+O194+O195+O196</f>
        <v>3398.37572702262</v>
      </c>
      <c r="P197" s="8" t="n">
        <f aca="false">P193+P194+P195+P196</f>
        <v>3466.34324156307</v>
      </c>
      <c r="Q197" s="8" t="n">
        <f aca="false">Q193+Q194+Q195+Q196</f>
        <v>3535.67010639433</v>
      </c>
      <c r="R197" s="8" t="n">
        <f aca="false">R193+R194+R195+R196</f>
        <v>3606.38350852222</v>
      </c>
      <c r="S197" s="8" t="n">
        <f aca="false">S193+S194+S195+S196</f>
        <v>3678.51117869266</v>
      </c>
      <c r="T197" s="8" t="n">
        <f aca="false">T193+T194+T195+T196</f>
        <v>3752.08140226652</v>
      </c>
      <c r="U197" s="8" t="n">
        <f aca="false">U193+U194+U195+U196</f>
        <v>3827.12303031185</v>
      </c>
      <c r="V197" s="8" t="n">
        <f aca="false">V193+V194+V195+V196</f>
        <v>3903.66549091808</v>
      </c>
      <c r="W197" s="8" t="n">
        <f aca="false">W193+W194+W195+W196</f>
        <v>3981.73880073645</v>
      </c>
      <c r="X197" s="8" t="n">
        <f aca="false">X193+X194+X195+X196</f>
        <v>4061.37357675118</v>
      </c>
      <c r="Y197" s="8" t="n">
        <f aca="false">Y193+Y194+Y195+Y196</f>
        <v>4142.6010482862</v>
      </c>
      <c r="Z197" s="8" t="n">
        <f aca="false">Z193+Z194+Z195+Z196</f>
        <v>0</v>
      </c>
      <c r="AA197" s="8" t="n">
        <f aca="false">AA193+AA194+AA195+AA196</f>
        <v>0</v>
      </c>
      <c r="AB197" s="8" t="n">
        <f aca="false">AB193+AB194+AB195+AB196</f>
        <v>0</v>
      </c>
      <c r="AC197" s="8" t="n">
        <f aca="false">AC193+AC194+AC195+AC196</f>
        <v>0</v>
      </c>
      <c r="AD197" s="8" t="n">
        <f aca="false">AD193+AD194+AD195+AD196</f>
        <v>0</v>
      </c>
      <c r="AE197" s="8" t="n">
        <f aca="false">AE193+AE194+AE195+AE196</f>
        <v>0</v>
      </c>
      <c r="AF197" s="8" t="n">
        <f aca="false">AF193+AF194+AF195+AF196</f>
        <v>0</v>
      </c>
      <c r="AG197" s="8" t="n">
        <f aca="false">AG193+AG194+AG195+AG196</f>
        <v>0</v>
      </c>
      <c r="AH197" s="8" t="n">
        <f aca="false">AH193+AH194+AH195+AH196</f>
        <v>0</v>
      </c>
      <c r="AI197" s="8" t="n">
        <f aca="false">AI193+AI194+AI195+AI196</f>
        <v>0</v>
      </c>
      <c r="AJ197" s="8" t="n">
        <f aca="false">AJ193+AJ194+AJ195+AJ196</f>
        <v>0</v>
      </c>
      <c r="AK197" s="8" t="n">
        <f aca="false">AK193+AK194+AK195+AK196</f>
        <v>0</v>
      </c>
      <c r="AL197" s="8" t="n">
        <f aca="false">AL193+AL194+AL195+AL196</f>
        <v>0</v>
      </c>
      <c r="AM197" s="8" t="n">
        <f aca="false">AM193+AM194+AM195+AM196</f>
        <v>0</v>
      </c>
      <c r="AN197" s="8" t="n">
        <f aca="false">AN193+AN194+AN195+AN196</f>
        <v>0</v>
      </c>
      <c r="AO197" s="8" t="n">
        <f aca="false">AO193+AO194+AO195+AO196</f>
        <v>0</v>
      </c>
      <c r="AP197" s="8" t="n">
        <f aca="false">AP193+AP194+AP195+AP196</f>
        <v>0</v>
      </c>
      <c r="AQ197" s="8" t="n">
        <f aca="false">AQ193+AQ194+AQ195+AQ196</f>
        <v>0</v>
      </c>
      <c r="AR197" s="8" t="n">
        <f aca="false">AR193+AR194+AR195+AR196</f>
        <v>0</v>
      </c>
      <c r="AS197" s="8" t="n">
        <f aca="false">AS193+AS194+AS195+AS196</f>
        <v>0</v>
      </c>
    </row>
    <row r="198" customFormat="false" ht="15" hidden="false" customHeight="false" outlineLevel="0" collapsed="false">
      <c r="A198" s="6" t="s">
        <v>449</v>
      </c>
      <c r="B198" s="6" t="s">
        <v>450</v>
      </c>
      <c r="C198" s="9" t="n">
        <f aca="false">SUM(G198:AS198)</f>
        <v>27648.2825607418</v>
      </c>
      <c r="G198" s="8" t="n">
        <f aca="false">((VST_Assets!$K$7*G190+VST_Assets!$M$7*G$4)*G188*G192+VST_Assets!$N$7*(1+VST_Assets!$Q$7)^(G$3-2026)*(G188+G189))/1000000*(1+VST_FuelAdj)</f>
        <v>1185.567012</v>
      </c>
      <c r="H198" s="8" t="n">
        <f aca="false">((VST_Assets!$K$7*H190+VST_Assets!$M$7*H$4)*H188*H192+VST_Assets!$N$7*(1+VST_Assets!$Q$7)^(H$3-2026)*(H188+H189))/1000000*(1+VST_FuelAdj)</f>
        <v>1209.27835224</v>
      </c>
      <c r="I198" s="8" t="n">
        <f aca="false">((VST_Assets!$K$7*I190+VST_Assets!$M$7*I$4)*I188*I192+VST_Assets!$N$7*(1+VST_Assets!$Q$7)^(I$3-2026)*(I188+I189))/1000000*(1+VST_FuelAdj)</f>
        <v>1261.9102364496</v>
      </c>
      <c r="J198" s="8" t="n">
        <f aca="false">((VST_Assets!$K$7*J190+VST_Assets!$M$7*J$4)*J188*J192+VST_Assets!$N$7*(1+VST_Assets!$Q$7)^(J$3-2026)*(J188+J189))/1000000*(1+VST_FuelAdj)</f>
        <v>1287.14844117859</v>
      </c>
      <c r="K198" s="8" t="n">
        <f aca="false">((VST_Assets!$K$7*K190+VST_Assets!$M$7*K$4)*K188*K192+VST_Assets!$N$7*(1+VST_Assets!$Q$7)^(K$3-2026)*(K188+K189))/1000000*(1+VST_FuelAdj)</f>
        <v>1312.89141000216</v>
      </c>
      <c r="L198" s="8" t="n">
        <f aca="false">((VST_Assets!$K$7*L190+VST_Assets!$M$7*L$4)*L188*L192+VST_Assets!$N$7*(1+VST_Assets!$Q$7)^(L$3-2026)*(L188+L189))/1000000*(1+VST_FuelAdj)</f>
        <v>1339.14923820221</v>
      </c>
      <c r="M198" s="8" t="n">
        <f aca="false">((VST_Assets!$K$7*M190+VST_Assets!$M$7*M$4)*M188*M192+VST_Assets!$N$7*(1+VST_Assets!$Q$7)^(M$3-2026)*(M188+M189))/1000000*(1+VST_FuelAdj)</f>
        <v>1365.93222296625</v>
      </c>
      <c r="N198" s="8" t="n">
        <f aca="false">((VST_Assets!$K$7*N190+VST_Assets!$M$7*N$4)*N188*N192+VST_Assets!$N$7*(1+VST_Assets!$Q$7)^(N$3-2026)*(N188+N189))/1000000*(1+VST_FuelAdj)</f>
        <v>1393.25086742558</v>
      </c>
      <c r="O198" s="8" t="n">
        <f aca="false">((VST_Assets!$K$7*O190+VST_Assets!$M$7*O$4)*O188*O192+VST_Assets!$N$7*(1+VST_Assets!$Q$7)^(O$3-2026)*(O188+O189))/1000000*(1+VST_FuelAdj)</f>
        <v>1421.11588477409</v>
      </c>
      <c r="P198" s="8" t="n">
        <f aca="false">((VST_Assets!$K$7*P190+VST_Assets!$M$7*P$4)*P188*P192+VST_Assets!$N$7*(1+VST_Assets!$Q$7)^(P$3-2026)*(P188+P189))/1000000*(1+VST_FuelAdj)</f>
        <v>1449.53820246957</v>
      </c>
      <c r="Q198" s="8" t="n">
        <f aca="false">((VST_Assets!$K$7*Q190+VST_Assets!$M$7*Q$4)*Q188*Q192+VST_Assets!$N$7*(1+VST_Assets!$Q$7)^(Q$3-2026)*(Q188+Q189))/1000000*(1+VST_FuelAdj)</f>
        <v>1478.52896651896</v>
      </c>
      <c r="R198" s="8" t="n">
        <f aca="false">((VST_Assets!$K$7*R190+VST_Assets!$M$7*R$4)*R188*R192+VST_Assets!$N$7*(1+VST_Assets!$Q$7)^(R$3-2026)*(R188+R189))/1000000*(1+VST_FuelAdj)</f>
        <v>1508.09954584934</v>
      </c>
      <c r="S198" s="8" t="n">
        <f aca="false">((VST_Assets!$K$7*S190+VST_Assets!$M$7*S$4)*S188*S192+VST_Assets!$N$7*(1+VST_Assets!$Q$7)^(S$3-2026)*(S188+S189))/1000000*(1+VST_FuelAdj)</f>
        <v>1538.26153676633</v>
      </c>
      <c r="T198" s="8" t="n">
        <f aca="false">((VST_Assets!$K$7*T190+VST_Assets!$M$7*T$4)*T188*T192+VST_Assets!$N$7*(1+VST_Assets!$Q$7)^(T$3-2026)*(T188+T189))/1000000*(1+VST_FuelAdj)</f>
        <v>1569.02676750165</v>
      </c>
      <c r="U198" s="8" t="n">
        <f aca="false">((VST_Assets!$K$7*U190+VST_Assets!$M$7*U$4)*U188*U192+VST_Assets!$N$7*(1+VST_Assets!$Q$7)^(U$3-2026)*(U188+U189))/1000000*(1+VST_FuelAdj)</f>
        <v>1600.40730285169</v>
      </c>
      <c r="V198" s="8" t="n">
        <f aca="false">((VST_Assets!$K$7*V190+VST_Assets!$M$7*V$4)*V188*V192+VST_Assets!$N$7*(1+VST_Assets!$Q$7)^(V$3-2026)*(V188+V189))/1000000*(1+VST_FuelAdj)</f>
        <v>1632.41544890872</v>
      </c>
      <c r="W198" s="8" t="n">
        <f aca="false">((VST_Assets!$K$7*W190+VST_Assets!$M$7*W$4)*W188*W192+VST_Assets!$N$7*(1+VST_Assets!$Q$7)^(W$3-2026)*(W188+W189))/1000000*(1+VST_FuelAdj)</f>
        <v>1665.0637578869</v>
      </c>
      <c r="X198" s="8" t="n">
        <f aca="false">((VST_Assets!$K$7*X190+VST_Assets!$M$7*X$4)*X188*X192+VST_Assets!$N$7*(1+VST_Assets!$Q$7)^(X$3-2026)*(X188+X189))/1000000*(1+VST_FuelAdj)</f>
        <v>1698.36503304463</v>
      </c>
      <c r="Y198" s="8" t="n">
        <f aca="false">((VST_Assets!$K$7*Y190+VST_Assets!$M$7*Y$4)*Y188*Y192+VST_Assets!$N$7*(1+VST_Assets!$Q$7)^(Y$3-2026)*(Y188+Y189))/1000000*(1+VST_FuelAdj)</f>
        <v>1732.33233370553</v>
      </c>
      <c r="Z198" s="8" t="n">
        <f aca="false">((VST_Assets!$K$7*Z190+VST_Assets!$M$7*Z$4)*Z188*Z192+VST_Assets!$N$7*(1+VST_Assets!$Q$7)^(Z$3-2026)*(Z188+Z189))/1000000*(1+VST_FuelAdj)</f>
        <v>0</v>
      </c>
      <c r="AA198" s="8" t="n">
        <f aca="false">((VST_Assets!$K$7*AA190+VST_Assets!$M$7*AA$4)*AA188*AA192+VST_Assets!$N$7*(1+VST_Assets!$Q$7)^(AA$3-2026)*(AA188+AA189))/1000000*(1+VST_FuelAdj)</f>
        <v>0</v>
      </c>
      <c r="AB198" s="8" t="n">
        <f aca="false">((VST_Assets!$K$7*AB190+VST_Assets!$M$7*AB$4)*AB188*AB192+VST_Assets!$N$7*(1+VST_Assets!$Q$7)^(AB$3-2026)*(AB188+AB189))/1000000*(1+VST_FuelAdj)</f>
        <v>0</v>
      </c>
      <c r="AC198" s="8" t="n">
        <f aca="false">((VST_Assets!$K$7*AC190+VST_Assets!$M$7*AC$4)*AC188*AC192+VST_Assets!$N$7*(1+VST_Assets!$Q$7)^(AC$3-2026)*(AC188+AC189))/1000000*(1+VST_FuelAdj)</f>
        <v>0</v>
      </c>
      <c r="AD198" s="8" t="n">
        <f aca="false">((VST_Assets!$K$7*AD190+VST_Assets!$M$7*AD$4)*AD188*AD192+VST_Assets!$N$7*(1+VST_Assets!$Q$7)^(AD$3-2026)*(AD188+AD189))/1000000*(1+VST_FuelAdj)</f>
        <v>0</v>
      </c>
      <c r="AE198" s="8" t="n">
        <f aca="false">((VST_Assets!$K$7*AE190+VST_Assets!$M$7*AE$4)*AE188*AE192+VST_Assets!$N$7*(1+VST_Assets!$Q$7)^(AE$3-2026)*(AE188+AE189))/1000000*(1+VST_FuelAdj)</f>
        <v>0</v>
      </c>
      <c r="AF198" s="8" t="n">
        <f aca="false">((VST_Assets!$K$7*AF190+VST_Assets!$M$7*AF$4)*AF188*AF192+VST_Assets!$N$7*(1+VST_Assets!$Q$7)^(AF$3-2026)*(AF188+AF189))/1000000*(1+VST_FuelAdj)</f>
        <v>0</v>
      </c>
      <c r="AG198" s="8" t="n">
        <f aca="false">((VST_Assets!$K$7*AG190+VST_Assets!$M$7*AG$4)*AG188*AG192+VST_Assets!$N$7*(1+VST_Assets!$Q$7)^(AG$3-2026)*(AG188+AG189))/1000000*(1+VST_FuelAdj)</f>
        <v>0</v>
      </c>
      <c r="AH198" s="8" t="n">
        <f aca="false">((VST_Assets!$K$7*AH190+VST_Assets!$M$7*AH$4)*AH188*AH192+VST_Assets!$N$7*(1+VST_Assets!$Q$7)^(AH$3-2026)*(AH188+AH189))/1000000*(1+VST_FuelAdj)</f>
        <v>0</v>
      </c>
      <c r="AI198" s="8" t="n">
        <f aca="false">((VST_Assets!$K$7*AI190+VST_Assets!$M$7*AI$4)*AI188*AI192+VST_Assets!$N$7*(1+VST_Assets!$Q$7)^(AI$3-2026)*(AI188+AI189))/1000000*(1+VST_FuelAdj)</f>
        <v>0</v>
      </c>
      <c r="AJ198" s="8" t="n">
        <f aca="false">((VST_Assets!$K$7*AJ190+VST_Assets!$M$7*AJ$4)*AJ188*AJ192+VST_Assets!$N$7*(1+VST_Assets!$Q$7)^(AJ$3-2026)*(AJ188+AJ189))/1000000*(1+VST_FuelAdj)</f>
        <v>0</v>
      </c>
      <c r="AK198" s="8" t="n">
        <f aca="false">((VST_Assets!$K$7*AK190+VST_Assets!$M$7*AK$4)*AK188*AK192+VST_Assets!$N$7*(1+VST_Assets!$Q$7)^(AK$3-2026)*(AK188+AK189))/1000000*(1+VST_FuelAdj)</f>
        <v>0</v>
      </c>
      <c r="AL198" s="8" t="n">
        <f aca="false">((VST_Assets!$K$7*AL190+VST_Assets!$M$7*AL$4)*AL188*AL192+VST_Assets!$N$7*(1+VST_Assets!$Q$7)^(AL$3-2026)*(AL188+AL189))/1000000*(1+VST_FuelAdj)</f>
        <v>0</v>
      </c>
      <c r="AM198" s="8" t="n">
        <f aca="false">((VST_Assets!$K$7*AM190+VST_Assets!$M$7*AM$4)*AM188*AM192+VST_Assets!$N$7*(1+VST_Assets!$Q$7)^(AM$3-2026)*(AM188+AM189))/1000000*(1+VST_FuelAdj)</f>
        <v>0</v>
      </c>
      <c r="AN198" s="8" t="n">
        <f aca="false">((VST_Assets!$K$7*AN190+VST_Assets!$M$7*AN$4)*AN188*AN192+VST_Assets!$N$7*(1+VST_Assets!$Q$7)^(AN$3-2026)*(AN188+AN189))/1000000*(1+VST_FuelAdj)</f>
        <v>0</v>
      </c>
      <c r="AO198" s="8" t="n">
        <f aca="false">((VST_Assets!$K$7*AO190+VST_Assets!$M$7*AO$4)*AO188*AO192+VST_Assets!$N$7*(1+VST_Assets!$Q$7)^(AO$3-2026)*(AO188+AO189))/1000000*(1+VST_FuelAdj)</f>
        <v>0</v>
      </c>
      <c r="AP198" s="8" t="n">
        <f aca="false">((VST_Assets!$K$7*AP190+VST_Assets!$M$7*AP$4)*AP188*AP192+VST_Assets!$N$7*(1+VST_Assets!$Q$7)^(AP$3-2026)*(AP188+AP189))/1000000*(1+VST_FuelAdj)</f>
        <v>0</v>
      </c>
      <c r="AQ198" s="8" t="n">
        <f aca="false">((VST_Assets!$K$7*AQ190+VST_Assets!$M$7*AQ$4)*AQ188*AQ192+VST_Assets!$N$7*(1+VST_Assets!$Q$7)^(AQ$3-2026)*(AQ188+AQ189))/1000000*(1+VST_FuelAdj)</f>
        <v>0</v>
      </c>
      <c r="AR198" s="8" t="n">
        <f aca="false">((VST_Assets!$K$7*AR190+VST_Assets!$M$7*AR$4)*AR188*AR192+VST_Assets!$N$7*(1+VST_Assets!$Q$7)^(AR$3-2026)*(AR188+AR189))/1000000*(1+VST_FuelAdj)</f>
        <v>0</v>
      </c>
      <c r="AS198" s="8" t="n">
        <f aca="false">((VST_Assets!$K$7*AS190+VST_Assets!$M$7*AS$4)*AS188*AS192+VST_Assets!$N$7*(1+VST_Assets!$Q$7)^(AS$3-2026)*(AS188+AS189))/1000000*(1+VST_FuelAdj)</f>
        <v>0</v>
      </c>
    </row>
    <row r="199" customFormat="false" ht="15" hidden="false" customHeight="false" outlineLevel="0" collapsed="false">
      <c r="A199" s="6" t="s">
        <v>451</v>
      </c>
      <c r="B199" s="6" t="s">
        <v>452</v>
      </c>
      <c r="C199" s="9" t="n">
        <f aca="false">SUM(G199:AS199)</f>
        <v>40042.4746313932</v>
      </c>
      <c r="G199" s="8" t="n">
        <f aca="false">G197-G198</f>
        <v>2351.204805</v>
      </c>
      <c r="H199" s="8" t="n">
        <f aca="false">H197-H198</f>
        <v>2357.86942176</v>
      </c>
      <c r="I199" s="8" t="n">
        <f aca="false">I197-I198</f>
        <v>1952.95386921554</v>
      </c>
      <c r="J199" s="8" t="n">
        <f aca="false">J197-J198</f>
        <v>1790.86515816393</v>
      </c>
      <c r="K199" s="8" t="n">
        <f aca="false">K197-K198</f>
        <v>1826.68246132721</v>
      </c>
      <c r="L199" s="8" t="n">
        <f aca="false">L197-L198</f>
        <v>1863.21611055376</v>
      </c>
      <c r="M199" s="8" t="n">
        <f aca="false">M197-M198</f>
        <v>1900.48043276483</v>
      </c>
      <c r="N199" s="8" t="n">
        <f aca="false">N197-N198</f>
        <v>1938.49004142013</v>
      </c>
      <c r="O199" s="8" t="n">
        <f aca="false">O197-O198</f>
        <v>1977.25984224853</v>
      </c>
      <c r="P199" s="8" t="n">
        <f aca="false">P197-P198</f>
        <v>2016.8050390935</v>
      </c>
      <c r="Q199" s="8" t="n">
        <f aca="false">Q197-Q198</f>
        <v>2057.14113987537</v>
      </c>
      <c r="R199" s="8" t="n">
        <f aca="false">R197-R198</f>
        <v>2098.28396267288</v>
      </c>
      <c r="S199" s="8" t="n">
        <f aca="false">S197-S198</f>
        <v>2140.24964192634</v>
      </c>
      <c r="T199" s="8" t="n">
        <f aca="false">T197-T198</f>
        <v>2183.05463476486</v>
      </c>
      <c r="U199" s="8" t="n">
        <f aca="false">U197-U198</f>
        <v>2226.71572746016</v>
      </c>
      <c r="V199" s="8" t="n">
        <f aca="false">V197-V198</f>
        <v>2271.25004200936</v>
      </c>
      <c r="W199" s="8" t="n">
        <f aca="false">W197-W198</f>
        <v>2316.67504284955</v>
      </c>
      <c r="X199" s="8" t="n">
        <f aca="false">X197-X198</f>
        <v>2363.00854370654</v>
      </c>
      <c r="Y199" s="8" t="n">
        <f aca="false">Y197-Y198</f>
        <v>2410.26871458067</v>
      </c>
      <c r="Z199" s="8" t="n">
        <f aca="false">Z197-Z198</f>
        <v>0</v>
      </c>
      <c r="AA199" s="8" t="n">
        <f aca="false">AA197-AA198</f>
        <v>0</v>
      </c>
      <c r="AB199" s="8" t="n">
        <f aca="false">AB197-AB198</f>
        <v>0</v>
      </c>
      <c r="AC199" s="8" t="n">
        <f aca="false">AC197-AC198</f>
        <v>0</v>
      </c>
      <c r="AD199" s="8" t="n">
        <f aca="false">AD197-AD198</f>
        <v>0</v>
      </c>
      <c r="AE199" s="8" t="n">
        <f aca="false">AE197-AE198</f>
        <v>0</v>
      </c>
      <c r="AF199" s="8" t="n">
        <f aca="false">AF197-AF198</f>
        <v>0</v>
      </c>
      <c r="AG199" s="8" t="n">
        <f aca="false">AG197-AG198</f>
        <v>0</v>
      </c>
      <c r="AH199" s="8" t="n">
        <f aca="false">AH197-AH198</f>
        <v>0</v>
      </c>
      <c r="AI199" s="8" t="n">
        <f aca="false">AI197-AI198</f>
        <v>0</v>
      </c>
      <c r="AJ199" s="8" t="n">
        <f aca="false">AJ197-AJ198</f>
        <v>0</v>
      </c>
      <c r="AK199" s="8" t="n">
        <f aca="false">AK197-AK198</f>
        <v>0</v>
      </c>
      <c r="AL199" s="8" t="n">
        <f aca="false">AL197-AL198</f>
        <v>0</v>
      </c>
      <c r="AM199" s="8" t="n">
        <f aca="false">AM197-AM198</f>
        <v>0</v>
      </c>
      <c r="AN199" s="8" t="n">
        <f aca="false">AN197-AN198</f>
        <v>0</v>
      </c>
      <c r="AO199" s="8" t="n">
        <f aca="false">AO197-AO198</f>
        <v>0</v>
      </c>
      <c r="AP199" s="8" t="n">
        <f aca="false">AP197-AP198</f>
        <v>0</v>
      </c>
      <c r="AQ199" s="8" t="n">
        <f aca="false">AQ197-AQ198</f>
        <v>0</v>
      </c>
      <c r="AR199" s="8" t="n">
        <f aca="false">AR197-AR198</f>
        <v>0</v>
      </c>
      <c r="AS199" s="8" t="n">
        <f aca="false">AS197-AS198</f>
        <v>0</v>
      </c>
    </row>
    <row r="200" customFormat="false" ht="15" hidden="false" customHeight="false" outlineLevel="0" collapsed="false">
      <c r="A200" s="6" t="s">
        <v>453</v>
      </c>
      <c r="B200" s="6" t="s">
        <v>454</v>
      </c>
      <c r="C200" s="9" t="n">
        <f aca="false">SUM(G200:AS200)</f>
        <v>6336.88458530562</v>
      </c>
      <c r="G200" s="8" t="n">
        <f aca="false">(VST_Assets!$R$7*VST_Assets!$D$7*1000*G$4*G186+VST_Assets!$O$7*(1+VST_Assets!$Q$7)^(G$3-2026)*(G188+G189))/1000000*(1+VST_OMAdj)</f>
        <v>277.44</v>
      </c>
      <c r="H200" s="8" t="n">
        <f aca="false">(VST_Assets!$R$7*VST_Assets!$D$7*1000*H$4*H186+VST_Assets!$O$7*(1+VST_Assets!$Q$7)^(H$3-2026)*(H188+H189))/1000000*(1+VST_OMAdj)</f>
        <v>282.9888</v>
      </c>
      <c r="I200" s="8" t="n">
        <f aca="false">(VST_Assets!$R$7*VST_Assets!$D$7*1000*I$4*I186+VST_Assets!$O$7*(1+VST_Assets!$Q$7)^(I$3-2026)*(I188+I189))/1000000*(1+VST_OMAdj)</f>
        <v>288.648576</v>
      </c>
      <c r="J200" s="8" t="n">
        <f aca="false">(VST_Assets!$R$7*VST_Assets!$D$7*1000*J$4*J186+VST_Assets!$O$7*(1+VST_Assets!$Q$7)^(J$3-2026)*(J188+J189))/1000000*(1+VST_OMAdj)</f>
        <v>294.42154752</v>
      </c>
      <c r="K200" s="8" t="n">
        <f aca="false">(VST_Assets!$R$7*VST_Assets!$D$7*1000*K$4*K186+VST_Assets!$O$7*(1+VST_Assets!$Q$7)^(K$3-2026)*(K188+K189))/1000000*(1+VST_OMAdj)</f>
        <v>300.3099784704</v>
      </c>
      <c r="L200" s="8" t="n">
        <f aca="false">(VST_Assets!$R$7*VST_Assets!$D$7*1000*L$4*L186+VST_Assets!$O$7*(1+VST_Assets!$Q$7)^(L$3-2026)*(L188+L189))/1000000*(1+VST_OMAdj)</f>
        <v>306.316178039808</v>
      </c>
      <c r="M200" s="8" t="n">
        <f aca="false">(VST_Assets!$R$7*VST_Assets!$D$7*1000*M$4*M186+VST_Assets!$O$7*(1+VST_Assets!$Q$7)^(M$3-2026)*(M188+M189))/1000000*(1+VST_OMAdj)</f>
        <v>312.442501600604</v>
      </c>
      <c r="N200" s="8" t="n">
        <f aca="false">(VST_Assets!$R$7*VST_Assets!$D$7*1000*N$4*N186+VST_Assets!$O$7*(1+VST_Assets!$Q$7)^(N$3-2026)*(N188+N189))/1000000*(1+VST_OMAdj)</f>
        <v>318.691351632616</v>
      </c>
      <c r="O200" s="8" t="n">
        <f aca="false">(VST_Assets!$R$7*VST_Assets!$D$7*1000*O$4*O186+VST_Assets!$O$7*(1+VST_Assets!$Q$7)^(O$3-2026)*(O188+O189))/1000000*(1+VST_OMAdj)</f>
        <v>325.065178665269</v>
      </c>
      <c r="P200" s="8" t="n">
        <f aca="false">(VST_Assets!$R$7*VST_Assets!$D$7*1000*P$4*P186+VST_Assets!$O$7*(1+VST_Assets!$Q$7)^(P$3-2026)*(P188+P189))/1000000*(1+VST_OMAdj)</f>
        <v>331.566482238574</v>
      </c>
      <c r="Q200" s="8" t="n">
        <f aca="false">(VST_Assets!$R$7*VST_Assets!$D$7*1000*Q$4*Q186+VST_Assets!$O$7*(1+VST_Assets!$Q$7)^(Q$3-2026)*(Q188+Q189))/1000000*(1+VST_OMAdj)</f>
        <v>338.197811883346</v>
      </c>
      <c r="R200" s="8" t="n">
        <f aca="false">(VST_Assets!$R$7*VST_Assets!$D$7*1000*R$4*R186+VST_Assets!$O$7*(1+VST_Assets!$Q$7)^(R$3-2026)*(R188+R189))/1000000*(1+VST_OMAdj)</f>
        <v>344.961768121012</v>
      </c>
      <c r="S200" s="8" t="n">
        <f aca="false">(VST_Assets!$R$7*VST_Assets!$D$7*1000*S$4*S186+VST_Assets!$O$7*(1+VST_Assets!$Q$7)^(S$3-2026)*(S188+S189))/1000000*(1+VST_OMAdj)</f>
        <v>351.861003483433</v>
      </c>
      <c r="T200" s="8" t="n">
        <f aca="false">(VST_Assets!$R$7*VST_Assets!$D$7*1000*T$4*T186+VST_Assets!$O$7*(1+VST_Assets!$Q$7)^(T$3-2026)*(T188+T189))/1000000*(1+VST_OMAdj)</f>
        <v>358.898223553101</v>
      </c>
      <c r="U200" s="8" t="n">
        <f aca="false">(VST_Assets!$R$7*VST_Assets!$D$7*1000*U$4*U186+VST_Assets!$O$7*(1+VST_Assets!$Q$7)^(U$3-2026)*(U188+U189))/1000000*(1+VST_OMAdj)</f>
        <v>366.076188024163</v>
      </c>
      <c r="V200" s="8" t="n">
        <f aca="false">(VST_Assets!$R$7*VST_Assets!$D$7*1000*V$4*V186+VST_Assets!$O$7*(1+VST_Assets!$Q$7)^(V$3-2026)*(V188+V189))/1000000*(1+VST_OMAdj)</f>
        <v>373.397711784647</v>
      </c>
      <c r="W200" s="8" t="n">
        <f aca="false">(VST_Assets!$R$7*VST_Assets!$D$7*1000*W$4*W186+VST_Assets!$O$7*(1+VST_Assets!$Q$7)^(W$3-2026)*(W188+W189))/1000000*(1+VST_OMAdj)</f>
        <v>380.86566602034</v>
      </c>
      <c r="X200" s="8" t="n">
        <f aca="false">(VST_Assets!$R$7*VST_Assets!$D$7*1000*X$4*X186+VST_Assets!$O$7*(1+VST_Assets!$Q$7)^(X$3-2026)*(X188+X189))/1000000*(1+VST_OMAdj)</f>
        <v>388.482979340746</v>
      </c>
      <c r="Y200" s="8" t="n">
        <f aca="false">(VST_Assets!$R$7*VST_Assets!$D$7*1000*Y$4*Y186+VST_Assets!$O$7*(1+VST_Assets!$Q$7)^(Y$3-2026)*(Y188+Y189))/1000000*(1+VST_OMAdj)</f>
        <v>396.252638927561</v>
      </c>
      <c r="Z200" s="8" t="n">
        <f aca="false">(VST_Assets!$R$7*VST_Assets!$D$7*1000*Z$4*Z186+VST_Assets!$O$7*(1+VST_Assets!$Q$7)^(Z$3-2026)*(Z188+Z189))/1000000*(1+VST_OMAdj)</f>
        <v>0</v>
      </c>
      <c r="AA200" s="8" t="n">
        <f aca="false">(VST_Assets!$R$7*VST_Assets!$D$7*1000*AA$4*AA186+VST_Assets!$O$7*(1+VST_Assets!$Q$7)^(AA$3-2026)*(AA188+AA189))/1000000*(1+VST_OMAdj)</f>
        <v>0</v>
      </c>
      <c r="AB200" s="8" t="n">
        <f aca="false">(VST_Assets!$R$7*VST_Assets!$D$7*1000*AB$4*AB186+VST_Assets!$O$7*(1+VST_Assets!$Q$7)^(AB$3-2026)*(AB188+AB189))/1000000*(1+VST_OMAdj)</f>
        <v>0</v>
      </c>
      <c r="AC200" s="8" t="n">
        <f aca="false">(VST_Assets!$R$7*VST_Assets!$D$7*1000*AC$4*AC186+VST_Assets!$O$7*(1+VST_Assets!$Q$7)^(AC$3-2026)*(AC188+AC189))/1000000*(1+VST_OMAdj)</f>
        <v>0</v>
      </c>
      <c r="AD200" s="8" t="n">
        <f aca="false">(VST_Assets!$R$7*VST_Assets!$D$7*1000*AD$4*AD186+VST_Assets!$O$7*(1+VST_Assets!$Q$7)^(AD$3-2026)*(AD188+AD189))/1000000*(1+VST_OMAdj)</f>
        <v>0</v>
      </c>
      <c r="AE200" s="8" t="n">
        <f aca="false">(VST_Assets!$R$7*VST_Assets!$D$7*1000*AE$4*AE186+VST_Assets!$O$7*(1+VST_Assets!$Q$7)^(AE$3-2026)*(AE188+AE189))/1000000*(1+VST_OMAdj)</f>
        <v>0</v>
      </c>
      <c r="AF200" s="8" t="n">
        <f aca="false">(VST_Assets!$R$7*VST_Assets!$D$7*1000*AF$4*AF186+VST_Assets!$O$7*(1+VST_Assets!$Q$7)^(AF$3-2026)*(AF188+AF189))/1000000*(1+VST_OMAdj)</f>
        <v>0</v>
      </c>
      <c r="AG200" s="8" t="n">
        <f aca="false">(VST_Assets!$R$7*VST_Assets!$D$7*1000*AG$4*AG186+VST_Assets!$O$7*(1+VST_Assets!$Q$7)^(AG$3-2026)*(AG188+AG189))/1000000*(1+VST_OMAdj)</f>
        <v>0</v>
      </c>
      <c r="AH200" s="8" t="n">
        <f aca="false">(VST_Assets!$R$7*VST_Assets!$D$7*1000*AH$4*AH186+VST_Assets!$O$7*(1+VST_Assets!$Q$7)^(AH$3-2026)*(AH188+AH189))/1000000*(1+VST_OMAdj)</f>
        <v>0</v>
      </c>
      <c r="AI200" s="8" t="n">
        <f aca="false">(VST_Assets!$R$7*VST_Assets!$D$7*1000*AI$4*AI186+VST_Assets!$O$7*(1+VST_Assets!$Q$7)^(AI$3-2026)*(AI188+AI189))/1000000*(1+VST_OMAdj)</f>
        <v>0</v>
      </c>
      <c r="AJ200" s="8" t="n">
        <f aca="false">(VST_Assets!$R$7*VST_Assets!$D$7*1000*AJ$4*AJ186+VST_Assets!$O$7*(1+VST_Assets!$Q$7)^(AJ$3-2026)*(AJ188+AJ189))/1000000*(1+VST_OMAdj)</f>
        <v>0</v>
      </c>
      <c r="AK200" s="8" t="n">
        <f aca="false">(VST_Assets!$R$7*VST_Assets!$D$7*1000*AK$4*AK186+VST_Assets!$O$7*(1+VST_Assets!$Q$7)^(AK$3-2026)*(AK188+AK189))/1000000*(1+VST_OMAdj)</f>
        <v>0</v>
      </c>
      <c r="AL200" s="8" t="n">
        <f aca="false">(VST_Assets!$R$7*VST_Assets!$D$7*1000*AL$4*AL186+VST_Assets!$O$7*(1+VST_Assets!$Q$7)^(AL$3-2026)*(AL188+AL189))/1000000*(1+VST_OMAdj)</f>
        <v>0</v>
      </c>
      <c r="AM200" s="8" t="n">
        <f aca="false">(VST_Assets!$R$7*VST_Assets!$D$7*1000*AM$4*AM186+VST_Assets!$O$7*(1+VST_Assets!$Q$7)^(AM$3-2026)*(AM188+AM189))/1000000*(1+VST_OMAdj)</f>
        <v>0</v>
      </c>
      <c r="AN200" s="8" t="n">
        <f aca="false">(VST_Assets!$R$7*VST_Assets!$D$7*1000*AN$4*AN186+VST_Assets!$O$7*(1+VST_Assets!$Q$7)^(AN$3-2026)*(AN188+AN189))/1000000*(1+VST_OMAdj)</f>
        <v>0</v>
      </c>
      <c r="AO200" s="8" t="n">
        <f aca="false">(VST_Assets!$R$7*VST_Assets!$D$7*1000*AO$4*AO186+VST_Assets!$O$7*(1+VST_Assets!$Q$7)^(AO$3-2026)*(AO188+AO189))/1000000*(1+VST_OMAdj)</f>
        <v>0</v>
      </c>
      <c r="AP200" s="8" t="n">
        <f aca="false">(VST_Assets!$R$7*VST_Assets!$D$7*1000*AP$4*AP186+VST_Assets!$O$7*(1+VST_Assets!$Q$7)^(AP$3-2026)*(AP188+AP189))/1000000*(1+VST_OMAdj)</f>
        <v>0</v>
      </c>
      <c r="AQ200" s="8" t="n">
        <f aca="false">(VST_Assets!$R$7*VST_Assets!$D$7*1000*AQ$4*AQ186+VST_Assets!$O$7*(1+VST_Assets!$Q$7)^(AQ$3-2026)*(AQ188+AQ189))/1000000*(1+VST_OMAdj)</f>
        <v>0</v>
      </c>
      <c r="AR200" s="8" t="n">
        <f aca="false">(VST_Assets!$R$7*VST_Assets!$D$7*1000*AR$4*AR186+VST_Assets!$O$7*(1+VST_Assets!$Q$7)^(AR$3-2026)*(AR188+AR189))/1000000*(1+VST_OMAdj)</f>
        <v>0</v>
      </c>
      <c r="AS200" s="8" t="n">
        <f aca="false">(VST_Assets!$R$7*VST_Assets!$D$7*1000*AS$4*AS186+VST_Assets!$O$7*(1+VST_Assets!$Q$7)^(AS$3-2026)*(AS188+AS189))/1000000*(1+VST_OMAdj)</f>
        <v>0</v>
      </c>
    </row>
    <row r="201" customFormat="false" ht="15" hidden="false" customHeight="false" outlineLevel="0" collapsed="false">
      <c r="A201" s="6" t="s">
        <v>455</v>
      </c>
      <c r="B201" s="6" t="s">
        <v>456</v>
      </c>
      <c r="C201" s="9" t="n">
        <f aca="false">SUM(G201:AS201)</f>
        <v>33705.5900460876</v>
      </c>
      <c r="G201" s="8" t="n">
        <f aca="false">G199-G200</f>
        <v>2073.764805</v>
      </c>
      <c r="H201" s="8" t="n">
        <f aca="false">H199-H200</f>
        <v>2074.88062176</v>
      </c>
      <c r="I201" s="8" t="n">
        <f aca="false">I199-I200</f>
        <v>1664.30529321554</v>
      </c>
      <c r="J201" s="8" t="n">
        <f aca="false">J199-J200</f>
        <v>1496.44361064393</v>
      </c>
      <c r="K201" s="8" t="n">
        <f aca="false">K199-K200</f>
        <v>1526.37248285681</v>
      </c>
      <c r="L201" s="8" t="n">
        <f aca="false">L199-L200</f>
        <v>1556.89993251395</v>
      </c>
      <c r="M201" s="8" t="n">
        <f aca="false">M199-M200</f>
        <v>1588.03793116423</v>
      </c>
      <c r="N201" s="8" t="n">
        <f aca="false">N199-N200</f>
        <v>1619.79868978751</v>
      </c>
      <c r="O201" s="8" t="n">
        <f aca="false">O199-O200</f>
        <v>1652.19466358326</v>
      </c>
      <c r="P201" s="8" t="n">
        <f aca="false">P199-P200</f>
        <v>1685.23855685493</v>
      </c>
      <c r="Q201" s="8" t="n">
        <f aca="false">Q199-Q200</f>
        <v>1718.94332799203</v>
      </c>
      <c r="R201" s="8" t="n">
        <f aca="false">R199-R200</f>
        <v>1753.32219455187</v>
      </c>
      <c r="S201" s="8" t="n">
        <f aca="false">S199-S200</f>
        <v>1788.3886384429</v>
      </c>
      <c r="T201" s="8" t="n">
        <f aca="false">T199-T200</f>
        <v>1824.15641121176</v>
      </c>
      <c r="U201" s="8" t="n">
        <f aca="false">U199-U200</f>
        <v>1860.639539436</v>
      </c>
      <c r="V201" s="8" t="n">
        <f aca="false">V199-V200</f>
        <v>1897.85233022472</v>
      </c>
      <c r="W201" s="8" t="n">
        <f aca="false">W199-W200</f>
        <v>1935.80937682921</v>
      </c>
      <c r="X201" s="8" t="n">
        <f aca="false">X199-X200</f>
        <v>1974.5255643658</v>
      </c>
      <c r="Y201" s="8" t="n">
        <f aca="false">Y199-Y200</f>
        <v>2014.01607565311</v>
      </c>
      <c r="Z201" s="8" t="n">
        <f aca="false">Z199-Z200</f>
        <v>0</v>
      </c>
      <c r="AA201" s="8" t="n">
        <f aca="false">AA199-AA200</f>
        <v>0</v>
      </c>
      <c r="AB201" s="8" t="n">
        <f aca="false">AB199-AB200</f>
        <v>0</v>
      </c>
      <c r="AC201" s="8" t="n">
        <f aca="false">AC199-AC200</f>
        <v>0</v>
      </c>
      <c r="AD201" s="8" t="n">
        <f aca="false">AD199-AD200</f>
        <v>0</v>
      </c>
      <c r="AE201" s="8" t="n">
        <f aca="false">AE199-AE200</f>
        <v>0</v>
      </c>
      <c r="AF201" s="8" t="n">
        <f aca="false">AF199-AF200</f>
        <v>0</v>
      </c>
      <c r="AG201" s="8" t="n">
        <f aca="false">AG199-AG200</f>
        <v>0</v>
      </c>
      <c r="AH201" s="8" t="n">
        <f aca="false">AH199-AH200</f>
        <v>0</v>
      </c>
      <c r="AI201" s="8" t="n">
        <f aca="false">AI199-AI200</f>
        <v>0</v>
      </c>
      <c r="AJ201" s="8" t="n">
        <f aca="false">AJ199-AJ200</f>
        <v>0</v>
      </c>
      <c r="AK201" s="8" t="n">
        <f aca="false">AK199-AK200</f>
        <v>0</v>
      </c>
      <c r="AL201" s="8" t="n">
        <f aca="false">AL199-AL200</f>
        <v>0</v>
      </c>
      <c r="AM201" s="8" t="n">
        <f aca="false">AM199-AM200</f>
        <v>0</v>
      </c>
      <c r="AN201" s="8" t="n">
        <f aca="false">AN199-AN200</f>
        <v>0</v>
      </c>
      <c r="AO201" s="8" t="n">
        <f aca="false">AO199-AO200</f>
        <v>0</v>
      </c>
      <c r="AP201" s="8" t="n">
        <f aca="false">AP199-AP200</f>
        <v>0</v>
      </c>
      <c r="AQ201" s="8" t="n">
        <f aca="false">AQ199-AQ200</f>
        <v>0</v>
      </c>
      <c r="AR201" s="8" t="n">
        <f aca="false">AR199-AR200</f>
        <v>0</v>
      </c>
      <c r="AS201" s="8" t="n">
        <f aca="false">AS199-AS200</f>
        <v>0</v>
      </c>
    </row>
    <row r="202" customFormat="false" ht="15" hidden="false" customHeight="false" outlineLevel="0" collapsed="false">
      <c r="A202" s="6" t="s">
        <v>457</v>
      </c>
      <c r="B202" s="6" t="s">
        <v>458</v>
      </c>
      <c r="C202" s="9" t="n">
        <f aca="false">SUM(G202:AS202)</f>
        <v>2376.33171948961</v>
      </c>
      <c r="G202" s="8" t="n">
        <f aca="false">((VST_Assets!$S$7*VST_Assets!$D$7*1000*G$4*G186+VST_Assets!$P$7*(1+VST_Assets!$Q$7)^(G$3-2026)*(G188+G189))/1000000+IF(G$3=VST_Assets!$AH$7,VST_Assets!$AG$7,0))*(1+VST_CapexAdj)</f>
        <v>104.04</v>
      </c>
      <c r="H202" s="8" t="n">
        <f aca="false">((VST_Assets!$S$7*VST_Assets!$D$7*1000*H$4*H186+VST_Assets!$P$7*(1+VST_Assets!$Q$7)^(H$3-2026)*(H188+H189))/1000000+IF(H$3=VST_Assets!$AH$7,VST_Assets!$AG$7,0))*(1+VST_CapexAdj)</f>
        <v>106.1208</v>
      </c>
      <c r="I202" s="8" t="n">
        <f aca="false">((VST_Assets!$S$7*VST_Assets!$D$7*1000*I$4*I186+VST_Assets!$P$7*(1+VST_Assets!$Q$7)^(I$3-2026)*(I188+I189))/1000000+IF(I$3=VST_Assets!$AH$7,VST_Assets!$AG$7,0))*(1+VST_CapexAdj)</f>
        <v>108.243216</v>
      </c>
      <c r="J202" s="8" t="n">
        <f aca="false">((VST_Assets!$S$7*VST_Assets!$D$7*1000*J$4*J186+VST_Assets!$P$7*(1+VST_Assets!$Q$7)^(J$3-2026)*(J188+J189))/1000000+IF(J$3=VST_Assets!$AH$7,VST_Assets!$AG$7,0))*(1+VST_CapexAdj)</f>
        <v>110.40808032</v>
      </c>
      <c r="K202" s="8" t="n">
        <f aca="false">((VST_Assets!$S$7*VST_Assets!$D$7*1000*K$4*K186+VST_Assets!$P$7*(1+VST_Assets!$Q$7)^(K$3-2026)*(K188+K189))/1000000+IF(K$3=VST_Assets!$AH$7,VST_Assets!$AG$7,0))*(1+VST_CapexAdj)</f>
        <v>112.6162419264</v>
      </c>
      <c r="L202" s="8" t="n">
        <f aca="false">((VST_Assets!$S$7*VST_Assets!$D$7*1000*L$4*L186+VST_Assets!$P$7*(1+VST_Assets!$Q$7)^(L$3-2026)*(L188+L189))/1000000+IF(L$3=VST_Assets!$AH$7,VST_Assets!$AG$7,0))*(1+VST_CapexAdj)</f>
        <v>114.868566764928</v>
      </c>
      <c r="M202" s="8" t="n">
        <f aca="false">((VST_Assets!$S$7*VST_Assets!$D$7*1000*M$4*M186+VST_Assets!$P$7*(1+VST_Assets!$Q$7)^(M$3-2026)*(M188+M189))/1000000+IF(M$3=VST_Assets!$AH$7,VST_Assets!$AG$7,0))*(1+VST_CapexAdj)</f>
        <v>117.165938100227</v>
      </c>
      <c r="N202" s="8" t="n">
        <f aca="false">((VST_Assets!$S$7*VST_Assets!$D$7*1000*N$4*N186+VST_Assets!$P$7*(1+VST_Assets!$Q$7)^(N$3-2026)*(N188+N189))/1000000+IF(N$3=VST_Assets!$AH$7,VST_Assets!$AG$7,0))*(1+VST_CapexAdj)</f>
        <v>119.509256862231</v>
      </c>
      <c r="O202" s="8" t="n">
        <f aca="false">((VST_Assets!$S$7*VST_Assets!$D$7*1000*O$4*O186+VST_Assets!$P$7*(1+VST_Assets!$Q$7)^(O$3-2026)*(O188+O189))/1000000+IF(O$3=VST_Assets!$AH$7,VST_Assets!$AG$7,0))*(1+VST_CapexAdj)</f>
        <v>121.899441999476</v>
      </c>
      <c r="P202" s="8" t="n">
        <f aca="false">((VST_Assets!$S$7*VST_Assets!$D$7*1000*P$4*P186+VST_Assets!$P$7*(1+VST_Assets!$Q$7)^(P$3-2026)*(P188+P189))/1000000+IF(P$3=VST_Assets!$AH$7,VST_Assets!$AG$7,0))*(1+VST_CapexAdj)</f>
        <v>124.337430839465</v>
      </c>
      <c r="Q202" s="8" t="n">
        <f aca="false">((VST_Assets!$S$7*VST_Assets!$D$7*1000*Q$4*Q186+VST_Assets!$P$7*(1+VST_Assets!$Q$7)^(Q$3-2026)*(Q188+Q189))/1000000+IF(Q$3=VST_Assets!$AH$7,VST_Assets!$AG$7,0))*(1+VST_CapexAdj)</f>
        <v>126.824179456255</v>
      </c>
      <c r="R202" s="8" t="n">
        <f aca="false">((VST_Assets!$S$7*VST_Assets!$D$7*1000*R$4*R186+VST_Assets!$P$7*(1+VST_Assets!$Q$7)^(R$3-2026)*(R188+R189))/1000000+IF(R$3=VST_Assets!$AH$7,VST_Assets!$AG$7,0))*(1+VST_CapexAdj)</f>
        <v>129.36066304538</v>
      </c>
      <c r="S202" s="8" t="n">
        <f aca="false">((VST_Assets!$S$7*VST_Assets!$D$7*1000*S$4*S186+VST_Assets!$P$7*(1+VST_Assets!$Q$7)^(S$3-2026)*(S188+S189))/1000000+IF(S$3=VST_Assets!$AH$7,VST_Assets!$AG$7,0))*(1+VST_CapexAdj)</f>
        <v>131.947876306287</v>
      </c>
      <c r="T202" s="8" t="n">
        <f aca="false">((VST_Assets!$S$7*VST_Assets!$D$7*1000*T$4*T186+VST_Assets!$P$7*(1+VST_Assets!$Q$7)^(T$3-2026)*(T188+T189))/1000000+IF(T$3=VST_Assets!$AH$7,VST_Assets!$AG$7,0))*(1+VST_CapexAdj)</f>
        <v>134.586833832413</v>
      </c>
      <c r="U202" s="8" t="n">
        <f aca="false">((VST_Assets!$S$7*VST_Assets!$D$7*1000*U$4*U186+VST_Assets!$P$7*(1+VST_Assets!$Q$7)^(U$3-2026)*(U188+U189))/1000000+IF(U$3=VST_Assets!$AH$7,VST_Assets!$AG$7,0))*(1+VST_CapexAdj)</f>
        <v>137.278570509061</v>
      </c>
      <c r="V202" s="8" t="n">
        <f aca="false">((VST_Assets!$S$7*VST_Assets!$D$7*1000*V$4*V186+VST_Assets!$P$7*(1+VST_Assets!$Q$7)^(V$3-2026)*(V188+V189))/1000000+IF(V$3=VST_Assets!$AH$7,VST_Assets!$AG$7,0))*(1+VST_CapexAdj)</f>
        <v>140.024141919242</v>
      </c>
      <c r="W202" s="8" t="n">
        <f aca="false">((VST_Assets!$S$7*VST_Assets!$D$7*1000*W$4*W186+VST_Assets!$P$7*(1+VST_Assets!$Q$7)^(W$3-2026)*(W188+W189))/1000000+IF(W$3=VST_Assets!$AH$7,VST_Assets!$AG$7,0))*(1+VST_CapexAdj)</f>
        <v>142.824624757627</v>
      </c>
      <c r="X202" s="8" t="n">
        <f aca="false">((VST_Assets!$S$7*VST_Assets!$D$7*1000*X$4*X186+VST_Assets!$P$7*(1+VST_Assets!$Q$7)^(X$3-2026)*(X188+X189))/1000000+IF(X$3=VST_Assets!$AH$7,VST_Assets!$AG$7,0))*(1+VST_CapexAdj)</f>
        <v>145.68111725278</v>
      </c>
      <c r="Y202" s="8" t="n">
        <f aca="false">((VST_Assets!$S$7*VST_Assets!$D$7*1000*Y$4*Y186+VST_Assets!$P$7*(1+VST_Assets!$Q$7)^(Y$3-2026)*(Y188+Y189))/1000000+IF(Y$3=VST_Assets!$AH$7,VST_Assets!$AG$7,0))*(1+VST_CapexAdj)</f>
        <v>148.594739597835</v>
      </c>
      <c r="Z202" s="8" t="n">
        <f aca="false">((VST_Assets!$S$7*VST_Assets!$D$7*1000*Z$4*Z186+VST_Assets!$P$7*(1+VST_Assets!$Q$7)^(Z$3-2026)*(Z188+Z189))/1000000+IF(Z$3=VST_Assets!$AH$7,VST_Assets!$AG$7,0))*(1+VST_CapexAdj)</f>
        <v>0</v>
      </c>
      <c r="AA202" s="8" t="n">
        <f aca="false">((VST_Assets!$S$7*VST_Assets!$D$7*1000*AA$4*AA186+VST_Assets!$P$7*(1+VST_Assets!$Q$7)^(AA$3-2026)*(AA188+AA189))/1000000+IF(AA$3=VST_Assets!$AH$7,VST_Assets!$AG$7,0))*(1+VST_CapexAdj)</f>
        <v>0</v>
      </c>
      <c r="AB202" s="8" t="n">
        <f aca="false">((VST_Assets!$S$7*VST_Assets!$D$7*1000*AB$4*AB186+VST_Assets!$P$7*(1+VST_Assets!$Q$7)^(AB$3-2026)*(AB188+AB189))/1000000+IF(AB$3=VST_Assets!$AH$7,VST_Assets!$AG$7,0))*(1+VST_CapexAdj)</f>
        <v>0</v>
      </c>
      <c r="AC202" s="8" t="n">
        <f aca="false">((VST_Assets!$S$7*VST_Assets!$D$7*1000*AC$4*AC186+VST_Assets!$P$7*(1+VST_Assets!$Q$7)^(AC$3-2026)*(AC188+AC189))/1000000+IF(AC$3=VST_Assets!$AH$7,VST_Assets!$AG$7,0))*(1+VST_CapexAdj)</f>
        <v>0</v>
      </c>
      <c r="AD202" s="8" t="n">
        <f aca="false">((VST_Assets!$S$7*VST_Assets!$D$7*1000*AD$4*AD186+VST_Assets!$P$7*(1+VST_Assets!$Q$7)^(AD$3-2026)*(AD188+AD189))/1000000+IF(AD$3=VST_Assets!$AH$7,VST_Assets!$AG$7,0))*(1+VST_CapexAdj)</f>
        <v>0</v>
      </c>
      <c r="AE202" s="8" t="n">
        <f aca="false">((VST_Assets!$S$7*VST_Assets!$D$7*1000*AE$4*AE186+VST_Assets!$P$7*(1+VST_Assets!$Q$7)^(AE$3-2026)*(AE188+AE189))/1000000+IF(AE$3=VST_Assets!$AH$7,VST_Assets!$AG$7,0))*(1+VST_CapexAdj)</f>
        <v>0</v>
      </c>
      <c r="AF202" s="8" t="n">
        <f aca="false">((VST_Assets!$S$7*VST_Assets!$D$7*1000*AF$4*AF186+VST_Assets!$P$7*(1+VST_Assets!$Q$7)^(AF$3-2026)*(AF188+AF189))/1000000+IF(AF$3=VST_Assets!$AH$7,VST_Assets!$AG$7,0))*(1+VST_CapexAdj)</f>
        <v>0</v>
      </c>
      <c r="AG202" s="8" t="n">
        <f aca="false">((VST_Assets!$S$7*VST_Assets!$D$7*1000*AG$4*AG186+VST_Assets!$P$7*(1+VST_Assets!$Q$7)^(AG$3-2026)*(AG188+AG189))/1000000+IF(AG$3=VST_Assets!$AH$7,VST_Assets!$AG$7,0))*(1+VST_CapexAdj)</f>
        <v>0</v>
      </c>
      <c r="AH202" s="8" t="n">
        <f aca="false">((VST_Assets!$S$7*VST_Assets!$D$7*1000*AH$4*AH186+VST_Assets!$P$7*(1+VST_Assets!$Q$7)^(AH$3-2026)*(AH188+AH189))/1000000+IF(AH$3=VST_Assets!$AH$7,VST_Assets!$AG$7,0))*(1+VST_CapexAdj)</f>
        <v>0</v>
      </c>
      <c r="AI202" s="8" t="n">
        <f aca="false">((VST_Assets!$S$7*VST_Assets!$D$7*1000*AI$4*AI186+VST_Assets!$P$7*(1+VST_Assets!$Q$7)^(AI$3-2026)*(AI188+AI189))/1000000+IF(AI$3=VST_Assets!$AH$7,VST_Assets!$AG$7,0))*(1+VST_CapexAdj)</f>
        <v>0</v>
      </c>
      <c r="AJ202" s="8" t="n">
        <f aca="false">((VST_Assets!$S$7*VST_Assets!$D$7*1000*AJ$4*AJ186+VST_Assets!$P$7*(1+VST_Assets!$Q$7)^(AJ$3-2026)*(AJ188+AJ189))/1000000+IF(AJ$3=VST_Assets!$AH$7,VST_Assets!$AG$7,0))*(1+VST_CapexAdj)</f>
        <v>0</v>
      </c>
      <c r="AK202" s="8" t="n">
        <f aca="false">((VST_Assets!$S$7*VST_Assets!$D$7*1000*AK$4*AK186+VST_Assets!$P$7*(1+VST_Assets!$Q$7)^(AK$3-2026)*(AK188+AK189))/1000000+IF(AK$3=VST_Assets!$AH$7,VST_Assets!$AG$7,0))*(1+VST_CapexAdj)</f>
        <v>0</v>
      </c>
      <c r="AL202" s="8" t="n">
        <f aca="false">((VST_Assets!$S$7*VST_Assets!$D$7*1000*AL$4*AL186+VST_Assets!$P$7*(1+VST_Assets!$Q$7)^(AL$3-2026)*(AL188+AL189))/1000000+IF(AL$3=VST_Assets!$AH$7,VST_Assets!$AG$7,0))*(1+VST_CapexAdj)</f>
        <v>0</v>
      </c>
      <c r="AM202" s="8" t="n">
        <f aca="false">((VST_Assets!$S$7*VST_Assets!$D$7*1000*AM$4*AM186+VST_Assets!$P$7*(1+VST_Assets!$Q$7)^(AM$3-2026)*(AM188+AM189))/1000000+IF(AM$3=VST_Assets!$AH$7,VST_Assets!$AG$7,0))*(1+VST_CapexAdj)</f>
        <v>0</v>
      </c>
      <c r="AN202" s="8" t="n">
        <f aca="false">((VST_Assets!$S$7*VST_Assets!$D$7*1000*AN$4*AN186+VST_Assets!$P$7*(1+VST_Assets!$Q$7)^(AN$3-2026)*(AN188+AN189))/1000000+IF(AN$3=VST_Assets!$AH$7,VST_Assets!$AG$7,0))*(1+VST_CapexAdj)</f>
        <v>0</v>
      </c>
      <c r="AO202" s="8" t="n">
        <f aca="false">((VST_Assets!$S$7*VST_Assets!$D$7*1000*AO$4*AO186+VST_Assets!$P$7*(1+VST_Assets!$Q$7)^(AO$3-2026)*(AO188+AO189))/1000000+IF(AO$3=VST_Assets!$AH$7,VST_Assets!$AG$7,0))*(1+VST_CapexAdj)</f>
        <v>0</v>
      </c>
      <c r="AP202" s="8" t="n">
        <f aca="false">((VST_Assets!$S$7*VST_Assets!$D$7*1000*AP$4*AP186+VST_Assets!$P$7*(1+VST_Assets!$Q$7)^(AP$3-2026)*(AP188+AP189))/1000000+IF(AP$3=VST_Assets!$AH$7,VST_Assets!$AG$7,0))*(1+VST_CapexAdj)</f>
        <v>0</v>
      </c>
      <c r="AQ202" s="8" t="n">
        <f aca="false">((VST_Assets!$S$7*VST_Assets!$D$7*1000*AQ$4*AQ186+VST_Assets!$P$7*(1+VST_Assets!$Q$7)^(AQ$3-2026)*(AQ188+AQ189))/1000000+IF(AQ$3=VST_Assets!$AH$7,VST_Assets!$AG$7,0))*(1+VST_CapexAdj)</f>
        <v>0</v>
      </c>
      <c r="AR202" s="8" t="n">
        <f aca="false">((VST_Assets!$S$7*VST_Assets!$D$7*1000*AR$4*AR186+VST_Assets!$P$7*(1+VST_Assets!$Q$7)^(AR$3-2026)*(AR188+AR189))/1000000+IF(AR$3=VST_Assets!$AH$7,VST_Assets!$AG$7,0))*(1+VST_CapexAdj)</f>
        <v>0</v>
      </c>
      <c r="AS202" s="8" t="n">
        <f aca="false">((VST_Assets!$S$7*VST_Assets!$D$7*1000*AS$4*AS186+VST_Assets!$P$7*(1+VST_Assets!$Q$7)^(AS$3-2026)*(AS188+AS189))/1000000+IF(AS$3=VST_Assets!$AH$7,VST_Assets!$AG$7,0))*(1+VST_CapexAdj)</f>
        <v>0</v>
      </c>
    </row>
    <row r="203" customFormat="false" ht="15" hidden="false" customHeight="false" outlineLevel="0" collapsed="false">
      <c r="A203" s="6" t="s">
        <v>459</v>
      </c>
      <c r="B203" s="6" t="s">
        <v>460</v>
      </c>
      <c r="C203" s="9" t="n">
        <f aca="false">SUM(G203:AS203)</f>
        <v>31329.258326598</v>
      </c>
      <c r="G203" s="8" t="n">
        <f aca="false">IF(VST_Assets!$Y$7=1,MAX(0,G201-G202),G201-G202)</f>
        <v>1969.724805</v>
      </c>
      <c r="H203" s="8" t="n">
        <f aca="false">IF(VST_Assets!$Y$7=1,MAX(0,H201-H202),H201-H202)</f>
        <v>1968.75982176</v>
      </c>
      <c r="I203" s="8" t="n">
        <f aca="false">IF(VST_Assets!$Y$7=1,MAX(0,I201-I202),I201-I202)</f>
        <v>1556.06207721554</v>
      </c>
      <c r="J203" s="8" t="n">
        <f aca="false">IF(VST_Assets!$Y$7=1,MAX(0,J201-J202),J201-J202)</f>
        <v>1386.03553032393</v>
      </c>
      <c r="K203" s="8" t="n">
        <f aca="false">IF(VST_Assets!$Y$7=1,MAX(0,K201-K202),K201-K202)</f>
        <v>1413.75624093041</v>
      </c>
      <c r="L203" s="8" t="n">
        <f aca="false">IF(VST_Assets!$Y$7=1,MAX(0,L201-L202),L201-L202)</f>
        <v>1442.03136574902</v>
      </c>
      <c r="M203" s="8" t="n">
        <f aca="false">IF(VST_Assets!$Y$7=1,MAX(0,M201-M202),M201-M202)</f>
        <v>1470.871993064</v>
      </c>
      <c r="N203" s="8" t="n">
        <f aca="false">IF(VST_Assets!$Y$7=1,MAX(0,N201-N202),N201-N202)</f>
        <v>1500.28943292528</v>
      </c>
      <c r="O203" s="8" t="n">
        <f aca="false">IF(VST_Assets!$Y$7=1,MAX(0,O201-O202),O201-O202)</f>
        <v>1530.29522158379</v>
      </c>
      <c r="P203" s="8" t="n">
        <f aca="false">IF(VST_Assets!$Y$7=1,MAX(0,P201-P202),P201-P202)</f>
        <v>1560.90112601546</v>
      </c>
      <c r="Q203" s="8" t="n">
        <f aca="false">IF(VST_Assets!$Y$7=1,MAX(0,Q201-Q202),Q201-Q202)</f>
        <v>1592.11914853577</v>
      </c>
      <c r="R203" s="8" t="n">
        <f aca="false">IF(VST_Assets!$Y$7=1,MAX(0,R201-R202),R201-R202)</f>
        <v>1623.96153150649</v>
      </c>
      <c r="S203" s="8" t="n">
        <f aca="false">IF(VST_Assets!$Y$7=1,MAX(0,S201-S202),S201-S202)</f>
        <v>1656.44076213662</v>
      </c>
      <c r="T203" s="8" t="n">
        <f aca="false">IF(VST_Assets!$Y$7=1,MAX(0,T201-T202),T201-T202)</f>
        <v>1689.56957737935</v>
      </c>
      <c r="U203" s="8" t="n">
        <f aca="false">IF(VST_Assets!$Y$7=1,MAX(0,U201-U202),U201-U202)</f>
        <v>1723.36096892694</v>
      </c>
      <c r="V203" s="8" t="n">
        <f aca="false">IF(VST_Assets!$Y$7=1,MAX(0,V201-V202),V201-V202)</f>
        <v>1757.82818830547</v>
      </c>
      <c r="W203" s="8" t="n">
        <f aca="false">IF(VST_Assets!$Y$7=1,MAX(0,W201-W202),W201-W202)</f>
        <v>1792.98475207159</v>
      </c>
      <c r="X203" s="8" t="n">
        <f aca="false">IF(VST_Assets!$Y$7=1,MAX(0,X201-X202),X201-X202)</f>
        <v>1828.84444711302</v>
      </c>
      <c r="Y203" s="8" t="n">
        <f aca="false">IF(VST_Assets!$Y$7=1,MAX(0,Y201-Y202),Y201-Y202)</f>
        <v>1865.42133605528</v>
      </c>
      <c r="Z203" s="8" t="n">
        <f aca="false">IF(VST_Assets!$Y$7=1,MAX(0,Z201-Z202),Z201-Z202)</f>
        <v>0</v>
      </c>
      <c r="AA203" s="8" t="n">
        <f aca="false">IF(VST_Assets!$Y$7=1,MAX(0,AA201-AA202),AA201-AA202)</f>
        <v>0</v>
      </c>
      <c r="AB203" s="8" t="n">
        <f aca="false">IF(VST_Assets!$Y$7=1,MAX(0,AB201-AB202),AB201-AB202)</f>
        <v>0</v>
      </c>
      <c r="AC203" s="8" t="n">
        <f aca="false">IF(VST_Assets!$Y$7=1,MAX(0,AC201-AC202),AC201-AC202)</f>
        <v>0</v>
      </c>
      <c r="AD203" s="8" t="n">
        <f aca="false">IF(VST_Assets!$Y$7=1,MAX(0,AD201-AD202),AD201-AD202)</f>
        <v>0</v>
      </c>
      <c r="AE203" s="8" t="n">
        <f aca="false">IF(VST_Assets!$Y$7=1,MAX(0,AE201-AE202),AE201-AE202)</f>
        <v>0</v>
      </c>
      <c r="AF203" s="8" t="n">
        <f aca="false">IF(VST_Assets!$Y$7=1,MAX(0,AF201-AF202),AF201-AF202)</f>
        <v>0</v>
      </c>
      <c r="AG203" s="8" t="n">
        <f aca="false">IF(VST_Assets!$Y$7=1,MAX(0,AG201-AG202),AG201-AG202)</f>
        <v>0</v>
      </c>
      <c r="AH203" s="8" t="n">
        <f aca="false">IF(VST_Assets!$Y$7=1,MAX(0,AH201-AH202),AH201-AH202)</f>
        <v>0</v>
      </c>
      <c r="AI203" s="8" t="n">
        <f aca="false">IF(VST_Assets!$Y$7=1,MAX(0,AI201-AI202),AI201-AI202)</f>
        <v>0</v>
      </c>
      <c r="AJ203" s="8" t="n">
        <f aca="false">IF(VST_Assets!$Y$7=1,MAX(0,AJ201-AJ202),AJ201-AJ202)</f>
        <v>0</v>
      </c>
      <c r="AK203" s="8" t="n">
        <f aca="false">IF(VST_Assets!$Y$7=1,MAX(0,AK201-AK202),AK201-AK202)</f>
        <v>0</v>
      </c>
      <c r="AL203" s="8" t="n">
        <f aca="false">IF(VST_Assets!$Y$7=1,MAX(0,AL201-AL202),AL201-AL202)</f>
        <v>0</v>
      </c>
      <c r="AM203" s="8" t="n">
        <f aca="false">IF(VST_Assets!$Y$7=1,MAX(0,AM201-AM202),AM201-AM202)</f>
        <v>0</v>
      </c>
      <c r="AN203" s="8" t="n">
        <f aca="false">IF(VST_Assets!$Y$7=1,MAX(0,AN201-AN202),AN201-AN202)</f>
        <v>0</v>
      </c>
      <c r="AO203" s="8" t="n">
        <f aca="false">IF(VST_Assets!$Y$7=1,MAX(0,AO201-AO202),AO201-AO202)</f>
        <v>0</v>
      </c>
      <c r="AP203" s="8" t="n">
        <f aca="false">IF(VST_Assets!$Y$7=1,MAX(0,AP201-AP202),AP201-AP202)</f>
        <v>0</v>
      </c>
      <c r="AQ203" s="8" t="n">
        <f aca="false">IF(VST_Assets!$Y$7=1,MAX(0,AQ201-AQ202),AQ201-AQ202)</f>
        <v>0</v>
      </c>
      <c r="AR203" s="8" t="n">
        <f aca="false">IF(VST_Assets!$Y$7=1,MAX(0,AR201-AR202),AR201-AR202)</f>
        <v>0</v>
      </c>
      <c r="AS203" s="8" t="n">
        <f aca="false">IF(VST_Assets!$Y$7=1,MAX(0,AS201-AS202),AS201-AS202)</f>
        <v>0</v>
      </c>
    </row>
    <row r="204" customFormat="false" ht="15" hidden="false" customHeight="false" outlineLevel="0" collapsed="false">
      <c r="A204" s="6" t="s">
        <v>461</v>
      </c>
      <c r="B204" s="6" t="s">
        <v>462</v>
      </c>
      <c r="C204" s="9" t="n">
        <f aca="false">SUM(G204:AS204)</f>
        <v>0</v>
      </c>
      <c r="G204" s="8" t="n">
        <f aca="false">IF(AND(VST_Assets!$W$7=1,G$3&lt;=PTCLast,G188&gt;0),G188*MAX(0,PTCCredit*(1+Infl)^(G$3-PTCBase)-0.8*MAX(0,(G193+G194+G196)*1000000/MAX(1,G188)-PTCThresh*(1+Infl)^(G$3-PTCBase)))/1000000,0)</f>
        <v>0</v>
      </c>
      <c r="H204" s="8" t="n">
        <f aca="false">IF(AND(VST_Assets!$W$7=1,H$3&lt;=PTCLast,H188&gt;0),H188*MAX(0,PTCCredit*(1+Infl)^(H$3-PTCBase)-0.8*MAX(0,(H193+H194+H196)*1000000/MAX(1,H188)-PTCThresh*(1+Infl)^(H$3-PTCBase)))/1000000,0)</f>
        <v>0</v>
      </c>
      <c r="I204" s="8" t="n">
        <f aca="false">IF(AND(VST_Assets!$W$7=1,I$3&lt;=PTCLast,I188&gt;0),I188*MAX(0,PTCCredit*(1+Infl)^(I$3-PTCBase)-0.8*MAX(0,(I193+I194+I196)*1000000/MAX(1,I188)-PTCThresh*(1+Infl)^(I$3-PTCBase)))/1000000,0)</f>
        <v>0</v>
      </c>
      <c r="J204" s="8" t="n">
        <f aca="false">IF(AND(VST_Assets!$W$7=1,J$3&lt;=PTCLast,J188&gt;0),J188*MAX(0,PTCCredit*(1+Infl)^(J$3-PTCBase)-0.8*MAX(0,(J193+J194+J196)*1000000/MAX(1,J188)-PTCThresh*(1+Infl)^(J$3-PTCBase)))/1000000,0)</f>
        <v>0</v>
      </c>
      <c r="K204" s="8" t="n">
        <f aca="false">IF(AND(VST_Assets!$W$7=1,K$3&lt;=PTCLast,K188&gt;0),K188*MAX(0,PTCCredit*(1+Infl)^(K$3-PTCBase)-0.8*MAX(0,(K193+K194+K196)*1000000/MAX(1,K188)-PTCThresh*(1+Infl)^(K$3-PTCBase)))/1000000,0)</f>
        <v>0</v>
      </c>
      <c r="L204" s="8" t="n">
        <f aca="false">IF(AND(VST_Assets!$W$7=1,L$3&lt;=PTCLast,L188&gt;0),L188*MAX(0,PTCCredit*(1+Infl)^(L$3-PTCBase)-0.8*MAX(0,(L193+L194+L196)*1000000/MAX(1,L188)-PTCThresh*(1+Infl)^(L$3-PTCBase)))/1000000,0)</f>
        <v>0</v>
      </c>
      <c r="M204" s="8" t="n">
        <f aca="false">IF(AND(VST_Assets!$W$7=1,M$3&lt;=PTCLast,M188&gt;0),M188*MAX(0,PTCCredit*(1+Infl)^(M$3-PTCBase)-0.8*MAX(0,(M193+M194+M196)*1000000/MAX(1,M188)-PTCThresh*(1+Infl)^(M$3-PTCBase)))/1000000,0)</f>
        <v>0</v>
      </c>
      <c r="N204" s="8" t="n">
        <f aca="false">IF(AND(VST_Assets!$W$7=1,N$3&lt;=PTCLast,N188&gt;0),N188*MAX(0,PTCCredit*(1+Infl)^(N$3-PTCBase)-0.8*MAX(0,(N193+N194+N196)*1000000/MAX(1,N188)-PTCThresh*(1+Infl)^(N$3-PTCBase)))/1000000,0)</f>
        <v>0</v>
      </c>
      <c r="O204" s="8" t="n">
        <f aca="false">IF(AND(VST_Assets!$W$7=1,O$3&lt;=PTCLast,O188&gt;0),O188*MAX(0,PTCCredit*(1+Infl)^(O$3-PTCBase)-0.8*MAX(0,(O193+O194+O196)*1000000/MAX(1,O188)-PTCThresh*(1+Infl)^(O$3-PTCBase)))/1000000,0)</f>
        <v>0</v>
      </c>
      <c r="P204" s="8" t="n">
        <f aca="false">IF(AND(VST_Assets!$W$7=1,P$3&lt;=PTCLast,P188&gt;0),P188*MAX(0,PTCCredit*(1+Infl)^(P$3-PTCBase)-0.8*MAX(0,(P193+P194+P196)*1000000/MAX(1,P188)-PTCThresh*(1+Infl)^(P$3-PTCBase)))/1000000,0)</f>
        <v>0</v>
      </c>
      <c r="Q204" s="8" t="n">
        <f aca="false">IF(AND(VST_Assets!$W$7=1,Q$3&lt;=PTCLast,Q188&gt;0),Q188*MAX(0,PTCCredit*(1+Infl)^(Q$3-PTCBase)-0.8*MAX(0,(Q193+Q194+Q196)*1000000/MAX(1,Q188)-PTCThresh*(1+Infl)^(Q$3-PTCBase)))/1000000,0)</f>
        <v>0</v>
      </c>
      <c r="R204" s="8" t="n">
        <f aca="false">IF(AND(VST_Assets!$W$7=1,R$3&lt;=PTCLast,R188&gt;0),R188*MAX(0,PTCCredit*(1+Infl)^(R$3-PTCBase)-0.8*MAX(0,(R193+R194+R196)*1000000/MAX(1,R188)-PTCThresh*(1+Infl)^(R$3-PTCBase)))/1000000,0)</f>
        <v>0</v>
      </c>
      <c r="S204" s="8" t="n">
        <f aca="false">IF(AND(VST_Assets!$W$7=1,S$3&lt;=PTCLast,S188&gt;0),S188*MAX(0,PTCCredit*(1+Infl)^(S$3-PTCBase)-0.8*MAX(0,(S193+S194+S196)*1000000/MAX(1,S188)-PTCThresh*(1+Infl)^(S$3-PTCBase)))/1000000,0)</f>
        <v>0</v>
      </c>
      <c r="T204" s="8" t="n">
        <f aca="false">IF(AND(VST_Assets!$W$7=1,T$3&lt;=PTCLast,T188&gt;0),T188*MAX(0,PTCCredit*(1+Infl)^(T$3-PTCBase)-0.8*MAX(0,(T193+T194+T196)*1000000/MAX(1,T188)-PTCThresh*(1+Infl)^(T$3-PTCBase)))/1000000,0)</f>
        <v>0</v>
      </c>
      <c r="U204" s="8" t="n">
        <f aca="false">IF(AND(VST_Assets!$W$7=1,U$3&lt;=PTCLast,U188&gt;0),U188*MAX(0,PTCCredit*(1+Infl)^(U$3-PTCBase)-0.8*MAX(0,(U193+U194+U196)*1000000/MAX(1,U188)-PTCThresh*(1+Infl)^(U$3-PTCBase)))/1000000,0)</f>
        <v>0</v>
      </c>
      <c r="V204" s="8" t="n">
        <f aca="false">IF(AND(VST_Assets!$W$7=1,V$3&lt;=PTCLast,V188&gt;0),V188*MAX(0,PTCCredit*(1+Infl)^(V$3-PTCBase)-0.8*MAX(0,(V193+V194+V196)*1000000/MAX(1,V188)-PTCThresh*(1+Infl)^(V$3-PTCBase)))/1000000,0)</f>
        <v>0</v>
      </c>
      <c r="W204" s="8" t="n">
        <f aca="false">IF(AND(VST_Assets!$W$7=1,W$3&lt;=PTCLast,W188&gt;0),W188*MAX(0,PTCCredit*(1+Infl)^(W$3-PTCBase)-0.8*MAX(0,(W193+W194+W196)*1000000/MAX(1,W188)-PTCThresh*(1+Infl)^(W$3-PTCBase)))/1000000,0)</f>
        <v>0</v>
      </c>
      <c r="X204" s="8" t="n">
        <f aca="false">IF(AND(VST_Assets!$W$7=1,X$3&lt;=PTCLast,X188&gt;0),X188*MAX(0,PTCCredit*(1+Infl)^(X$3-PTCBase)-0.8*MAX(0,(X193+X194+X196)*1000000/MAX(1,X188)-PTCThresh*(1+Infl)^(X$3-PTCBase)))/1000000,0)</f>
        <v>0</v>
      </c>
      <c r="Y204" s="8" t="n">
        <f aca="false">IF(AND(VST_Assets!$W$7=1,Y$3&lt;=PTCLast,Y188&gt;0),Y188*MAX(0,PTCCredit*(1+Infl)^(Y$3-PTCBase)-0.8*MAX(0,(Y193+Y194+Y196)*1000000/MAX(1,Y188)-PTCThresh*(1+Infl)^(Y$3-PTCBase)))/1000000,0)</f>
        <v>0</v>
      </c>
      <c r="Z204" s="8" t="n">
        <f aca="false">IF(AND(VST_Assets!$W$7=1,Z$3&lt;=PTCLast,Z188&gt;0),Z188*MAX(0,PTCCredit*(1+Infl)^(Z$3-PTCBase)-0.8*MAX(0,(Z193+Z194+Z196)*1000000/MAX(1,Z188)-PTCThresh*(1+Infl)^(Z$3-PTCBase)))/1000000,0)</f>
        <v>0</v>
      </c>
      <c r="AA204" s="8" t="n">
        <f aca="false">IF(AND(VST_Assets!$W$7=1,AA$3&lt;=PTCLast,AA188&gt;0),AA188*MAX(0,PTCCredit*(1+Infl)^(AA$3-PTCBase)-0.8*MAX(0,(AA193+AA194+AA196)*1000000/MAX(1,AA188)-PTCThresh*(1+Infl)^(AA$3-PTCBase)))/1000000,0)</f>
        <v>0</v>
      </c>
      <c r="AB204" s="8" t="n">
        <f aca="false">IF(AND(VST_Assets!$W$7=1,AB$3&lt;=PTCLast,AB188&gt;0),AB188*MAX(0,PTCCredit*(1+Infl)^(AB$3-PTCBase)-0.8*MAX(0,(AB193+AB194+AB196)*1000000/MAX(1,AB188)-PTCThresh*(1+Infl)^(AB$3-PTCBase)))/1000000,0)</f>
        <v>0</v>
      </c>
      <c r="AC204" s="8" t="n">
        <f aca="false">IF(AND(VST_Assets!$W$7=1,AC$3&lt;=PTCLast,AC188&gt;0),AC188*MAX(0,PTCCredit*(1+Infl)^(AC$3-PTCBase)-0.8*MAX(0,(AC193+AC194+AC196)*1000000/MAX(1,AC188)-PTCThresh*(1+Infl)^(AC$3-PTCBase)))/1000000,0)</f>
        <v>0</v>
      </c>
      <c r="AD204" s="8" t="n">
        <f aca="false">IF(AND(VST_Assets!$W$7=1,AD$3&lt;=PTCLast,AD188&gt;0),AD188*MAX(0,PTCCredit*(1+Infl)^(AD$3-PTCBase)-0.8*MAX(0,(AD193+AD194+AD196)*1000000/MAX(1,AD188)-PTCThresh*(1+Infl)^(AD$3-PTCBase)))/1000000,0)</f>
        <v>0</v>
      </c>
      <c r="AE204" s="8" t="n">
        <f aca="false">IF(AND(VST_Assets!$W$7=1,AE$3&lt;=PTCLast,AE188&gt;0),AE188*MAX(0,PTCCredit*(1+Infl)^(AE$3-PTCBase)-0.8*MAX(0,(AE193+AE194+AE196)*1000000/MAX(1,AE188)-PTCThresh*(1+Infl)^(AE$3-PTCBase)))/1000000,0)</f>
        <v>0</v>
      </c>
      <c r="AF204" s="8" t="n">
        <f aca="false">IF(AND(VST_Assets!$W$7=1,AF$3&lt;=PTCLast,AF188&gt;0),AF188*MAX(0,PTCCredit*(1+Infl)^(AF$3-PTCBase)-0.8*MAX(0,(AF193+AF194+AF196)*1000000/MAX(1,AF188)-PTCThresh*(1+Infl)^(AF$3-PTCBase)))/1000000,0)</f>
        <v>0</v>
      </c>
      <c r="AG204" s="8" t="n">
        <f aca="false">IF(AND(VST_Assets!$W$7=1,AG$3&lt;=PTCLast,AG188&gt;0),AG188*MAX(0,PTCCredit*(1+Infl)^(AG$3-PTCBase)-0.8*MAX(0,(AG193+AG194+AG196)*1000000/MAX(1,AG188)-PTCThresh*(1+Infl)^(AG$3-PTCBase)))/1000000,0)</f>
        <v>0</v>
      </c>
      <c r="AH204" s="8" t="n">
        <f aca="false">IF(AND(VST_Assets!$W$7=1,AH$3&lt;=PTCLast,AH188&gt;0),AH188*MAX(0,PTCCredit*(1+Infl)^(AH$3-PTCBase)-0.8*MAX(0,(AH193+AH194+AH196)*1000000/MAX(1,AH188)-PTCThresh*(1+Infl)^(AH$3-PTCBase)))/1000000,0)</f>
        <v>0</v>
      </c>
      <c r="AI204" s="8" t="n">
        <f aca="false">IF(AND(VST_Assets!$W$7=1,AI$3&lt;=PTCLast,AI188&gt;0),AI188*MAX(0,PTCCredit*(1+Infl)^(AI$3-PTCBase)-0.8*MAX(0,(AI193+AI194+AI196)*1000000/MAX(1,AI188)-PTCThresh*(1+Infl)^(AI$3-PTCBase)))/1000000,0)</f>
        <v>0</v>
      </c>
      <c r="AJ204" s="8" t="n">
        <f aca="false">IF(AND(VST_Assets!$W$7=1,AJ$3&lt;=PTCLast,AJ188&gt;0),AJ188*MAX(0,PTCCredit*(1+Infl)^(AJ$3-PTCBase)-0.8*MAX(0,(AJ193+AJ194+AJ196)*1000000/MAX(1,AJ188)-PTCThresh*(1+Infl)^(AJ$3-PTCBase)))/1000000,0)</f>
        <v>0</v>
      </c>
      <c r="AK204" s="8" t="n">
        <f aca="false">IF(AND(VST_Assets!$W$7=1,AK$3&lt;=PTCLast,AK188&gt;0),AK188*MAX(0,PTCCredit*(1+Infl)^(AK$3-PTCBase)-0.8*MAX(0,(AK193+AK194+AK196)*1000000/MAX(1,AK188)-PTCThresh*(1+Infl)^(AK$3-PTCBase)))/1000000,0)</f>
        <v>0</v>
      </c>
      <c r="AL204" s="8" t="n">
        <f aca="false">IF(AND(VST_Assets!$W$7=1,AL$3&lt;=PTCLast,AL188&gt;0),AL188*MAX(0,PTCCredit*(1+Infl)^(AL$3-PTCBase)-0.8*MAX(0,(AL193+AL194+AL196)*1000000/MAX(1,AL188)-PTCThresh*(1+Infl)^(AL$3-PTCBase)))/1000000,0)</f>
        <v>0</v>
      </c>
      <c r="AM204" s="8" t="n">
        <f aca="false">IF(AND(VST_Assets!$W$7=1,AM$3&lt;=PTCLast,AM188&gt;0),AM188*MAX(0,PTCCredit*(1+Infl)^(AM$3-PTCBase)-0.8*MAX(0,(AM193+AM194+AM196)*1000000/MAX(1,AM188)-PTCThresh*(1+Infl)^(AM$3-PTCBase)))/1000000,0)</f>
        <v>0</v>
      </c>
      <c r="AN204" s="8" t="n">
        <f aca="false">IF(AND(VST_Assets!$W$7=1,AN$3&lt;=PTCLast,AN188&gt;0),AN188*MAX(0,PTCCredit*(1+Infl)^(AN$3-PTCBase)-0.8*MAX(0,(AN193+AN194+AN196)*1000000/MAX(1,AN188)-PTCThresh*(1+Infl)^(AN$3-PTCBase)))/1000000,0)</f>
        <v>0</v>
      </c>
      <c r="AO204" s="8" t="n">
        <f aca="false">IF(AND(VST_Assets!$W$7=1,AO$3&lt;=PTCLast,AO188&gt;0),AO188*MAX(0,PTCCredit*(1+Infl)^(AO$3-PTCBase)-0.8*MAX(0,(AO193+AO194+AO196)*1000000/MAX(1,AO188)-PTCThresh*(1+Infl)^(AO$3-PTCBase)))/1000000,0)</f>
        <v>0</v>
      </c>
      <c r="AP204" s="8" t="n">
        <f aca="false">IF(AND(VST_Assets!$W$7=1,AP$3&lt;=PTCLast,AP188&gt;0),AP188*MAX(0,PTCCredit*(1+Infl)^(AP$3-PTCBase)-0.8*MAX(0,(AP193+AP194+AP196)*1000000/MAX(1,AP188)-PTCThresh*(1+Infl)^(AP$3-PTCBase)))/1000000,0)</f>
        <v>0</v>
      </c>
      <c r="AQ204" s="8" t="n">
        <f aca="false">IF(AND(VST_Assets!$W$7=1,AQ$3&lt;=PTCLast,AQ188&gt;0),AQ188*MAX(0,PTCCredit*(1+Infl)^(AQ$3-PTCBase)-0.8*MAX(0,(AQ193+AQ194+AQ196)*1000000/MAX(1,AQ188)-PTCThresh*(1+Infl)^(AQ$3-PTCBase)))/1000000,0)</f>
        <v>0</v>
      </c>
      <c r="AR204" s="8" t="n">
        <f aca="false">IF(AND(VST_Assets!$W$7=1,AR$3&lt;=PTCLast,AR188&gt;0),AR188*MAX(0,PTCCredit*(1+Infl)^(AR$3-PTCBase)-0.8*MAX(0,(AR193+AR194+AR196)*1000000/MAX(1,AR188)-PTCThresh*(1+Infl)^(AR$3-PTCBase)))/1000000,0)</f>
        <v>0</v>
      </c>
      <c r="AS204" s="8" t="n">
        <f aca="false">IF(AND(VST_Assets!$W$7=1,AS$3&lt;=PTCLast,AS188&gt;0),AS188*MAX(0,PTCCredit*(1+Infl)^(AS$3-PTCBase)-0.8*MAX(0,(AS193+AS194+AS196)*1000000/MAX(1,AS188)-PTCThresh*(1+Infl)^(AS$3-PTCBase)))/1000000,0)</f>
        <v>0</v>
      </c>
    </row>
    <row r="205" customFormat="false" ht="15" hidden="false" customHeight="false" outlineLevel="0" collapsed="false">
      <c r="A205" s="6" t="s">
        <v>463</v>
      </c>
      <c r="B205" s="6" t="s">
        <v>464</v>
      </c>
      <c r="G205" s="8" t="n">
        <f aca="false">G195-G189*(VST_Assets!$N$7*(1+VST_FuelAdj)+VST_Assets!$O$7*(1+VST_OMAdj)+VST_Assets!$P$7*(1+VST_CapexAdj))*(1+VST_Assets!$Q$7)^(G$3-2026)/1000000</f>
        <v>0</v>
      </c>
      <c r="H205" s="8" t="n">
        <f aca="false">H195-H189*(VST_Assets!$N$7*(1+VST_FuelAdj)+VST_Assets!$O$7*(1+VST_OMAdj)+VST_Assets!$P$7*(1+VST_CapexAdj))*(1+VST_Assets!$Q$7)^(H$3-2026)/1000000</f>
        <v>0</v>
      </c>
      <c r="I205" s="8" t="n">
        <f aca="false">I195-I189*(VST_Assets!$N$7*(1+VST_FuelAdj)+VST_Assets!$O$7*(1+VST_OMAdj)+VST_Assets!$P$7*(1+VST_CapexAdj))*(1+VST_Assets!$Q$7)^(I$3-2026)/1000000</f>
        <v>0</v>
      </c>
      <c r="J205" s="8" t="n">
        <f aca="false">J195-J189*(VST_Assets!$N$7*(1+VST_FuelAdj)+VST_Assets!$O$7*(1+VST_OMAdj)+VST_Assets!$P$7*(1+VST_CapexAdj))*(1+VST_Assets!$Q$7)^(J$3-2026)/1000000</f>
        <v>0</v>
      </c>
      <c r="K205" s="8" t="n">
        <f aca="false">K195-K189*(VST_Assets!$N$7*(1+VST_FuelAdj)+VST_Assets!$O$7*(1+VST_OMAdj)+VST_Assets!$P$7*(1+VST_CapexAdj))*(1+VST_Assets!$Q$7)^(K$3-2026)/1000000</f>
        <v>0</v>
      </c>
      <c r="L205" s="8" t="n">
        <f aca="false">L195-L189*(VST_Assets!$N$7*(1+VST_FuelAdj)+VST_Assets!$O$7*(1+VST_OMAdj)+VST_Assets!$P$7*(1+VST_CapexAdj))*(1+VST_Assets!$Q$7)^(L$3-2026)/1000000</f>
        <v>0</v>
      </c>
      <c r="M205" s="8" t="n">
        <f aca="false">M195-M189*(VST_Assets!$N$7*(1+VST_FuelAdj)+VST_Assets!$O$7*(1+VST_OMAdj)+VST_Assets!$P$7*(1+VST_CapexAdj))*(1+VST_Assets!$Q$7)^(M$3-2026)/1000000</f>
        <v>0</v>
      </c>
      <c r="N205" s="8" t="n">
        <f aca="false">N195-N189*(VST_Assets!$N$7*(1+VST_FuelAdj)+VST_Assets!$O$7*(1+VST_OMAdj)+VST_Assets!$P$7*(1+VST_CapexAdj))*(1+VST_Assets!$Q$7)^(N$3-2026)/1000000</f>
        <v>0</v>
      </c>
      <c r="O205" s="8" t="n">
        <f aca="false">O195-O189*(VST_Assets!$N$7*(1+VST_FuelAdj)+VST_Assets!$O$7*(1+VST_OMAdj)+VST_Assets!$P$7*(1+VST_CapexAdj))*(1+VST_Assets!$Q$7)^(O$3-2026)/1000000</f>
        <v>0</v>
      </c>
      <c r="P205" s="8" t="n">
        <f aca="false">P195-P189*(VST_Assets!$N$7*(1+VST_FuelAdj)+VST_Assets!$O$7*(1+VST_OMAdj)+VST_Assets!$P$7*(1+VST_CapexAdj))*(1+VST_Assets!$Q$7)^(P$3-2026)/1000000</f>
        <v>0</v>
      </c>
      <c r="Q205" s="8" t="n">
        <f aca="false">Q195-Q189*(VST_Assets!$N$7*(1+VST_FuelAdj)+VST_Assets!$O$7*(1+VST_OMAdj)+VST_Assets!$P$7*(1+VST_CapexAdj))*(1+VST_Assets!$Q$7)^(Q$3-2026)/1000000</f>
        <v>0</v>
      </c>
      <c r="R205" s="8" t="n">
        <f aca="false">R195-R189*(VST_Assets!$N$7*(1+VST_FuelAdj)+VST_Assets!$O$7*(1+VST_OMAdj)+VST_Assets!$P$7*(1+VST_CapexAdj))*(1+VST_Assets!$Q$7)^(R$3-2026)/1000000</f>
        <v>0</v>
      </c>
      <c r="S205" s="8" t="n">
        <f aca="false">S195-S189*(VST_Assets!$N$7*(1+VST_FuelAdj)+VST_Assets!$O$7*(1+VST_OMAdj)+VST_Assets!$P$7*(1+VST_CapexAdj))*(1+VST_Assets!$Q$7)^(S$3-2026)/1000000</f>
        <v>0</v>
      </c>
      <c r="T205" s="8" t="n">
        <f aca="false">T195-T189*(VST_Assets!$N$7*(1+VST_FuelAdj)+VST_Assets!$O$7*(1+VST_OMAdj)+VST_Assets!$P$7*(1+VST_CapexAdj))*(1+VST_Assets!$Q$7)^(T$3-2026)/1000000</f>
        <v>0</v>
      </c>
      <c r="U205" s="8" t="n">
        <f aca="false">U195-U189*(VST_Assets!$N$7*(1+VST_FuelAdj)+VST_Assets!$O$7*(1+VST_OMAdj)+VST_Assets!$P$7*(1+VST_CapexAdj))*(1+VST_Assets!$Q$7)^(U$3-2026)/1000000</f>
        <v>0</v>
      </c>
      <c r="V205" s="8" t="n">
        <f aca="false">V195-V189*(VST_Assets!$N$7*(1+VST_FuelAdj)+VST_Assets!$O$7*(1+VST_OMAdj)+VST_Assets!$P$7*(1+VST_CapexAdj))*(1+VST_Assets!$Q$7)^(V$3-2026)/1000000</f>
        <v>0</v>
      </c>
      <c r="W205" s="8" t="n">
        <f aca="false">W195-W189*(VST_Assets!$N$7*(1+VST_FuelAdj)+VST_Assets!$O$7*(1+VST_OMAdj)+VST_Assets!$P$7*(1+VST_CapexAdj))*(1+VST_Assets!$Q$7)^(W$3-2026)/1000000</f>
        <v>0</v>
      </c>
      <c r="X205" s="8" t="n">
        <f aca="false">X195-X189*(VST_Assets!$N$7*(1+VST_FuelAdj)+VST_Assets!$O$7*(1+VST_OMAdj)+VST_Assets!$P$7*(1+VST_CapexAdj))*(1+VST_Assets!$Q$7)^(X$3-2026)/1000000</f>
        <v>0</v>
      </c>
      <c r="Y205" s="8" t="n">
        <f aca="false">Y195-Y189*(VST_Assets!$N$7*(1+VST_FuelAdj)+VST_Assets!$O$7*(1+VST_OMAdj)+VST_Assets!$P$7*(1+VST_CapexAdj))*(1+VST_Assets!$Q$7)^(Y$3-2026)/1000000</f>
        <v>0</v>
      </c>
      <c r="Z205" s="8" t="n">
        <f aca="false">Z195-Z189*(VST_Assets!$N$7*(1+VST_FuelAdj)+VST_Assets!$O$7*(1+VST_OMAdj)+VST_Assets!$P$7*(1+VST_CapexAdj))*(1+VST_Assets!$Q$7)^(Z$3-2026)/1000000</f>
        <v>0</v>
      </c>
      <c r="AA205" s="8" t="n">
        <f aca="false">AA195-AA189*(VST_Assets!$N$7*(1+VST_FuelAdj)+VST_Assets!$O$7*(1+VST_OMAdj)+VST_Assets!$P$7*(1+VST_CapexAdj))*(1+VST_Assets!$Q$7)^(AA$3-2026)/1000000</f>
        <v>0</v>
      </c>
      <c r="AB205" s="8" t="n">
        <f aca="false">AB195-AB189*(VST_Assets!$N$7*(1+VST_FuelAdj)+VST_Assets!$O$7*(1+VST_OMAdj)+VST_Assets!$P$7*(1+VST_CapexAdj))*(1+VST_Assets!$Q$7)^(AB$3-2026)/1000000</f>
        <v>0</v>
      </c>
      <c r="AC205" s="8" t="n">
        <f aca="false">AC195-AC189*(VST_Assets!$N$7*(1+VST_FuelAdj)+VST_Assets!$O$7*(1+VST_OMAdj)+VST_Assets!$P$7*(1+VST_CapexAdj))*(1+VST_Assets!$Q$7)^(AC$3-2026)/1000000</f>
        <v>0</v>
      </c>
      <c r="AD205" s="8" t="n">
        <f aca="false">AD195-AD189*(VST_Assets!$N$7*(1+VST_FuelAdj)+VST_Assets!$O$7*(1+VST_OMAdj)+VST_Assets!$P$7*(1+VST_CapexAdj))*(1+VST_Assets!$Q$7)^(AD$3-2026)/1000000</f>
        <v>0</v>
      </c>
      <c r="AE205" s="8" t="n">
        <f aca="false">AE195-AE189*(VST_Assets!$N$7*(1+VST_FuelAdj)+VST_Assets!$O$7*(1+VST_OMAdj)+VST_Assets!$P$7*(1+VST_CapexAdj))*(1+VST_Assets!$Q$7)^(AE$3-2026)/1000000</f>
        <v>0</v>
      </c>
      <c r="AF205" s="8" t="n">
        <f aca="false">AF195-AF189*(VST_Assets!$N$7*(1+VST_FuelAdj)+VST_Assets!$O$7*(1+VST_OMAdj)+VST_Assets!$P$7*(1+VST_CapexAdj))*(1+VST_Assets!$Q$7)^(AF$3-2026)/1000000</f>
        <v>0</v>
      </c>
      <c r="AG205" s="8" t="n">
        <f aca="false">AG195-AG189*(VST_Assets!$N$7*(1+VST_FuelAdj)+VST_Assets!$O$7*(1+VST_OMAdj)+VST_Assets!$P$7*(1+VST_CapexAdj))*(1+VST_Assets!$Q$7)^(AG$3-2026)/1000000</f>
        <v>0</v>
      </c>
      <c r="AH205" s="8" t="n">
        <f aca="false">AH195-AH189*(VST_Assets!$N$7*(1+VST_FuelAdj)+VST_Assets!$O$7*(1+VST_OMAdj)+VST_Assets!$P$7*(1+VST_CapexAdj))*(1+VST_Assets!$Q$7)^(AH$3-2026)/1000000</f>
        <v>0</v>
      </c>
      <c r="AI205" s="8" t="n">
        <f aca="false">AI195-AI189*(VST_Assets!$N$7*(1+VST_FuelAdj)+VST_Assets!$O$7*(1+VST_OMAdj)+VST_Assets!$P$7*(1+VST_CapexAdj))*(1+VST_Assets!$Q$7)^(AI$3-2026)/1000000</f>
        <v>0</v>
      </c>
      <c r="AJ205" s="8" t="n">
        <f aca="false">AJ195-AJ189*(VST_Assets!$N$7*(1+VST_FuelAdj)+VST_Assets!$O$7*(1+VST_OMAdj)+VST_Assets!$P$7*(1+VST_CapexAdj))*(1+VST_Assets!$Q$7)^(AJ$3-2026)/1000000</f>
        <v>0</v>
      </c>
      <c r="AK205" s="8" t="n">
        <f aca="false">AK195-AK189*(VST_Assets!$N$7*(1+VST_FuelAdj)+VST_Assets!$O$7*(1+VST_OMAdj)+VST_Assets!$P$7*(1+VST_CapexAdj))*(1+VST_Assets!$Q$7)^(AK$3-2026)/1000000</f>
        <v>0</v>
      </c>
      <c r="AL205" s="8" t="n">
        <f aca="false">AL195-AL189*(VST_Assets!$N$7*(1+VST_FuelAdj)+VST_Assets!$O$7*(1+VST_OMAdj)+VST_Assets!$P$7*(1+VST_CapexAdj))*(1+VST_Assets!$Q$7)^(AL$3-2026)/1000000</f>
        <v>0</v>
      </c>
      <c r="AM205" s="8" t="n">
        <f aca="false">AM195-AM189*(VST_Assets!$N$7*(1+VST_FuelAdj)+VST_Assets!$O$7*(1+VST_OMAdj)+VST_Assets!$P$7*(1+VST_CapexAdj))*(1+VST_Assets!$Q$7)^(AM$3-2026)/1000000</f>
        <v>0</v>
      </c>
      <c r="AN205" s="8" t="n">
        <f aca="false">AN195-AN189*(VST_Assets!$N$7*(1+VST_FuelAdj)+VST_Assets!$O$7*(1+VST_OMAdj)+VST_Assets!$P$7*(1+VST_CapexAdj))*(1+VST_Assets!$Q$7)^(AN$3-2026)/1000000</f>
        <v>0</v>
      </c>
      <c r="AO205" s="8" t="n">
        <f aca="false">AO195-AO189*(VST_Assets!$N$7*(1+VST_FuelAdj)+VST_Assets!$O$7*(1+VST_OMAdj)+VST_Assets!$P$7*(1+VST_CapexAdj))*(1+VST_Assets!$Q$7)^(AO$3-2026)/1000000</f>
        <v>0</v>
      </c>
      <c r="AP205" s="8" t="n">
        <f aca="false">AP195-AP189*(VST_Assets!$N$7*(1+VST_FuelAdj)+VST_Assets!$O$7*(1+VST_OMAdj)+VST_Assets!$P$7*(1+VST_CapexAdj))*(1+VST_Assets!$Q$7)^(AP$3-2026)/1000000</f>
        <v>0</v>
      </c>
      <c r="AQ205" s="8" t="n">
        <f aca="false">AQ195-AQ189*(VST_Assets!$N$7*(1+VST_FuelAdj)+VST_Assets!$O$7*(1+VST_OMAdj)+VST_Assets!$P$7*(1+VST_CapexAdj))*(1+VST_Assets!$Q$7)^(AQ$3-2026)/1000000</f>
        <v>0</v>
      </c>
      <c r="AR205" s="8" t="n">
        <f aca="false">AR195-AR189*(VST_Assets!$N$7*(1+VST_FuelAdj)+VST_Assets!$O$7*(1+VST_OMAdj)+VST_Assets!$P$7*(1+VST_CapexAdj))*(1+VST_Assets!$Q$7)^(AR$3-2026)/1000000</f>
        <v>0</v>
      </c>
      <c r="AS205" s="8" t="n">
        <f aca="false">AS195-AS189*(VST_Assets!$N$7*(1+VST_FuelAdj)+VST_Assets!$O$7*(1+VST_OMAdj)+VST_Assets!$P$7*(1+VST_CapexAdj))*(1+VST_Assets!$Q$7)^(AS$3-2026)/1000000</f>
        <v>0</v>
      </c>
    </row>
    <row r="206" customFormat="false" ht="15" hidden="false" customHeight="false" outlineLevel="0" collapsed="false">
      <c r="A206" s="6" t="s">
        <v>465</v>
      </c>
      <c r="B206" s="6" t="s">
        <v>466</v>
      </c>
      <c r="G206" s="8" t="n">
        <f aca="false">G203-G205</f>
        <v>1969.724805</v>
      </c>
      <c r="H206" s="8" t="n">
        <f aca="false">H203-H205</f>
        <v>1968.75982176</v>
      </c>
      <c r="I206" s="8" t="n">
        <f aca="false">I203-I205</f>
        <v>1556.06207721554</v>
      </c>
      <c r="J206" s="8" t="n">
        <f aca="false">J203-J205</f>
        <v>1386.03553032393</v>
      </c>
      <c r="K206" s="8" t="n">
        <f aca="false">K203-K205</f>
        <v>1413.75624093041</v>
      </c>
      <c r="L206" s="8" t="n">
        <f aca="false">L203-L205</f>
        <v>1442.03136574902</v>
      </c>
      <c r="M206" s="8" t="n">
        <f aca="false">M203-M205</f>
        <v>1470.871993064</v>
      </c>
      <c r="N206" s="8" t="n">
        <f aca="false">N203-N205</f>
        <v>1500.28943292528</v>
      </c>
      <c r="O206" s="8" t="n">
        <f aca="false">O203-O205</f>
        <v>1530.29522158379</v>
      </c>
      <c r="P206" s="8" t="n">
        <f aca="false">P203-P205</f>
        <v>1560.90112601546</v>
      </c>
      <c r="Q206" s="8" t="n">
        <f aca="false">Q203-Q205</f>
        <v>1592.11914853577</v>
      </c>
      <c r="R206" s="8" t="n">
        <f aca="false">R203-R205</f>
        <v>1623.96153150649</v>
      </c>
      <c r="S206" s="8" t="n">
        <f aca="false">S203-S205</f>
        <v>1656.44076213662</v>
      </c>
      <c r="T206" s="8" t="n">
        <f aca="false">T203-T205</f>
        <v>1689.56957737935</v>
      </c>
      <c r="U206" s="8" t="n">
        <f aca="false">U203-U205</f>
        <v>1723.36096892694</v>
      </c>
      <c r="V206" s="8" t="n">
        <f aca="false">V203-V205</f>
        <v>1757.82818830547</v>
      </c>
      <c r="W206" s="8" t="n">
        <f aca="false">W203-W205</f>
        <v>1792.98475207159</v>
      </c>
      <c r="X206" s="8" t="n">
        <f aca="false">X203-X205</f>
        <v>1828.84444711302</v>
      </c>
      <c r="Y206" s="8" t="n">
        <f aca="false">Y203-Y205</f>
        <v>1865.42133605528</v>
      </c>
      <c r="Z206" s="8" t="n">
        <f aca="false">Z203-Z205</f>
        <v>0</v>
      </c>
      <c r="AA206" s="8" t="n">
        <f aca="false">AA203-AA205</f>
        <v>0</v>
      </c>
      <c r="AB206" s="8" t="n">
        <f aca="false">AB203-AB205</f>
        <v>0</v>
      </c>
      <c r="AC206" s="8" t="n">
        <f aca="false">AC203-AC205</f>
        <v>0</v>
      </c>
      <c r="AD206" s="8" t="n">
        <f aca="false">AD203-AD205</f>
        <v>0</v>
      </c>
      <c r="AE206" s="8" t="n">
        <f aca="false">AE203-AE205</f>
        <v>0</v>
      </c>
      <c r="AF206" s="8" t="n">
        <f aca="false">AF203-AF205</f>
        <v>0</v>
      </c>
      <c r="AG206" s="8" t="n">
        <f aca="false">AG203-AG205</f>
        <v>0</v>
      </c>
      <c r="AH206" s="8" t="n">
        <f aca="false">AH203-AH205</f>
        <v>0</v>
      </c>
      <c r="AI206" s="8" t="n">
        <f aca="false">AI203-AI205</f>
        <v>0</v>
      </c>
      <c r="AJ206" s="8" t="n">
        <f aca="false">AJ203-AJ205</f>
        <v>0</v>
      </c>
      <c r="AK206" s="8" t="n">
        <f aca="false">AK203-AK205</f>
        <v>0</v>
      </c>
      <c r="AL206" s="8" t="n">
        <f aca="false">AL203-AL205</f>
        <v>0</v>
      </c>
      <c r="AM206" s="8" t="n">
        <f aca="false">AM203-AM205</f>
        <v>0</v>
      </c>
      <c r="AN206" s="8" t="n">
        <f aca="false">AN203-AN205</f>
        <v>0</v>
      </c>
      <c r="AO206" s="8" t="n">
        <f aca="false">AO203-AO205</f>
        <v>0</v>
      </c>
      <c r="AP206" s="8" t="n">
        <f aca="false">AP203-AP205</f>
        <v>0</v>
      </c>
      <c r="AQ206" s="8" t="n">
        <f aca="false">AQ203-AQ205</f>
        <v>0</v>
      </c>
      <c r="AR206" s="8" t="n">
        <f aca="false">AR203-AR205</f>
        <v>0</v>
      </c>
      <c r="AS206" s="8" t="n">
        <f aca="false">AS203-AS205</f>
        <v>0</v>
      </c>
    </row>
    <row r="207" customFormat="false" ht="15" hidden="false" customHeight="false" outlineLevel="0" collapsed="false">
      <c r="A207" s="6" t="s">
        <v>467</v>
      </c>
      <c r="B207" s="6" t="s">
        <v>468</v>
      </c>
      <c r="G207" s="8" t="n">
        <f aca="false">G206*(1-TaxRate)+G204</f>
        <v>1575.779844</v>
      </c>
      <c r="H207" s="8" t="n">
        <f aca="false">H206*(1-TaxRate)+H204</f>
        <v>1575.007857408</v>
      </c>
      <c r="I207" s="8" t="n">
        <f aca="false">I206*(1-TaxRate)+I204</f>
        <v>1244.84966177243</v>
      </c>
      <c r="J207" s="8" t="n">
        <f aca="false">J206*(1-TaxRate)+J204</f>
        <v>1108.82842425915</v>
      </c>
      <c r="K207" s="8" t="n">
        <f aca="false">K206*(1-TaxRate)+K204</f>
        <v>1131.00499274433</v>
      </c>
      <c r="L207" s="8" t="n">
        <f aca="false">L206*(1-TaxRate)+L204</f>
        <v>1153.62509259922</v>
      </c>
      <c r="M207" s="8" t="n">
        <f aca="false">M206*(1-TaxRate)+M204</f>
        <v>1176.6975944512</v>
      </c>
      <c r="N207" s="8" t="n">
        <f aca="false">N206*(1-TaxRate)+N204</f>
        <v>1200.23154634023</v>
      </c>
      <c r="O207" s="8" t="n">
        <f aca="false">O206*(1-TaxRate)+O204</f>
        <v>1224.23617726703</v>
      </c>
      <c r="P207" s="8" t="n">
        <f aca="false">P206*(1-TaxRate)+P204</f>
        <v>1248.72090081237</v>
      </c>
      <c r="Q207" s="8" t="n">
        <f aca="false">Q206*(1-TaxRate)+Q204</f>
        <v>1273.69531882862</v>
      </c>
      <c r="R207" s="8" t="n">
        <f aca="false">R206*(1-TaxRate)+R204</f>
        <v>1299.16922520519</v>
      </c>
      <c r="S207" s="8" t="n">
        <f aca="false">S206*(1-TaxRate)+S204</f>
        <v>1325.15260970929</v>
      </c>
      <c r="T207" s="8" t="n">
        <f aca="false">T206*(1-TaxRate)+T204</f>
        <v>1351.65566190348</v>
      </c>
      <c r="U207" s="8" t="n">
        <f aca="false">U206*(1-TaxRate)+U204</f>
        <v>1378.68877514155</v>
      </c>
      <c r="V207" s="8" t="n">
        <f aca="false">V206*(1-TaxRate)+V204</f>
        <v>1406.26255064438</v>
      </c>
      <c r="W207" s="8" t="n">
        <f aca="false">W206*(1-TaxRate)+W204</f>
        <v>1434.38780165727</v>
      </c>
      <c r="X207" s="8" t="n">
        <f aca="false">X206*(1-TaxRate)+X204</f>
        <v>1463.07555769041</v>
      </c>
      <c r="Y207" s="8" t="n">
        <f aca="false">Y206*(1-TaxRate)+Y204</f>
        <v>1492.33706884422</v>
      </c>
      <c r="Z207" s="8" t="n">
        <f aca="false">Z206*(1-TaxRate)+Z204</f>
        <v>0</v>
      </c>
      <c r="AA207" s="8" t="n">
        <f aca="false">AA206*(1-TaxRate)+AA204</f>
        <v>0</v>
      </c>
      <c r="AB207" s="8" t="n">
        <f aca="false">AB206*(1-TaxRate)+AB204</f>
        <v>0</v>
      </c>
      <c r="AC207" s="8" t="n">
        <f aca="false">AC206*(1-TaxRate)+AC204</f>
        <v>0</v>
      </c>
      <c r="AD207" s="8" t="n">
        <f aca="false">AD206*(1-TaxRate)+AD204</f>
        <v>0</v>
      </c>
      <c r="AE207" s="8" t="n">
        <f aca="false">AE206*(1-TaxRate)+AE204</f>
        <v>0</v>
      </c>
      <c r="AF207" s="8" t="n">
        <f aca="false">AF206*(1-TaxRate)+AF204</f>
        <v>0</v>
      </c>
      <c r="AG207" s="8" t="n">
        <f aca="false">AG206*(1-TaxRate)+AG204</f>
        <v>0</v>
      </c>
      <c r="AH207" s="8" t="n">
        <f aca="false">AH206*(1-TaxRate)+AH204</f>
        <v>0</v>
      </c>
      <c r="AI207" s="8" t="n">
        <f aca="false">AI206*(1-TaxRate)+AI204</f>
        <v>0</v>
      </c>
      <c r="AJ207" s="8" t="n">
        <f aca="false">AJ206*(1-TaxRate)+AJ204</f>
        <v>0</v>
      </c>
      <c r="AK207" s="8" t="n">
        <f aca="false">AK206*(1-TaxRate)+AK204</f>
        <v>0</v>
      </c>
      <c r="AL207" s="8" t="n">
        <f aca="false">AL206*(1-TaxRate)+AL204</f>
        <v>0</v>
      </c>
      <c r="AM207" s="8" t="n">
        <f aca="false">AM206*(1-TaxRate)+AM204</f>
        <v>0</v>
      </c>
      <c r="AN207" s="8" t="n">
        <f aca="false">AN206*(1-TaxRate)+AN204</f>
        <v>0</v>
      </c>
      <c r="AO207" s="8" t="n">
        <f aca="false">AO206*(1-TaxRate)+AO204</f>
        <v>0</v>
      </c>
      <c r="AP207" s="8" t="n">
        <f aca="false">AP206*(1-TaxRate)+AP204</f>
        <v>0</v>
      </c>
      <c r="AQ207" s="8" t="n">
        <f aca="false">AQ206*(1-TaxRate)+AQ204</f>
        <v>0</v>
      </c>
      <c r="AR207" s="8" t="n">
        <f aca="false">AR206*(1-TaxRate)+AR204</f>
        <v>0</v>
      </c>
      <c r="AS207" s="8" t="n">
        <f aca="false">AS206*(1-TaxRate)+AS204</f>
        <v>0</v>
      </c>
    </row>
    <row r="208" customFormat="false" ht="15" hidden="false" customHeight="false" outlineLevel="0" collapsed="false">
      <c r="A208" s="6" t="s">
        <v>469</v>
      </c>
      <c r="B208" s="6" t="s">
        <v>470</v>
      </c>
      <c r="G208" s="8" t="n">
        <f aca="false">G205*(1-TaxRate)</f>
        <v>0</v>
      </c>
      <c r="H208" s="8" t="n">
        <f aca="false">H205*(1-TaxRate)</f>
        <v>0</v>
      </c>
      <c r="I208" s="8" t="n">
        <f aca="false">I205*(1-TaxRate)</f>
        <v>0</v>
      </c>
      <c r="J208" s="8" t="n">
        <f aca="false">J205*(1-TaxRate)</f>
        <v>0</v>
      </c>
      <c r="K208" s="8" t="n">
        <f aca="false">K205*(1-TaxRate)</f>
        <v>0</v>
      </c>
      <c r="L208" s="8" t="n">
        <f aca="false">L205*(1-TaxRate)</f>
        <v>0</v>
      </c>
      <c r="M208" s="8" t="n">
        <f aca="false">M205*(1-TaxRate)</f>
        <v>0</v>
      </c>
      <c r="N208" s="8" t="n">
        <f aca="false">N205*(1-TaxRate)</f>
        <v>0</v>
      </c>
      <c r="O208" s="8" t="n">
        <f aca="false">O205*(1-TaxRate)</f>
        <v>0</v>
      </c>
      <c r="P208" s="8" t="n">
        <f aca="false">P205*(1-TaxRate)</f>
        <v>0</v>
      </c>
      <c r="Q208" s="8" t="n">
        <f aca="false">Q205*(1-TaxRate)</f>
        <v>0</v>
      </c>
      <c r="R208" s="8" t="n">
        <f aca="false">R205*(1-TaxRate)</f>
        <v>0</v>
      </c>
      <c r="S208" s="8" t="n">
        <f aca="false">S205*(1-TaxRate)</f>
        <v>0</v>
      </c>
      <c r="T208" s="8" t="n">
        <f aca="false">T205*(1-TaxRate)</f>
        <v>0</v>
      </c>
      <c r="U208" s="8" t="n">
        <f aca="false">U205*(1-TaxRate)</f>
        <v>0</v>
      </c>
      <c r="V208" s="8" t="n">
        <f aca="false">V205*(1-TaxRate)</f>
        <v>0</v>
      </c>
      <c r="W208" s="8" t="n">
        <f aca="false">W205*(1-TaxRate)</f>
        <v>0</v>
      </c>
      <c r="X208" s="8" t="n">
        <f aca="false">X205*(1-TaxRate)</f>
        <v>0</v>
      </c>
      <c r="Y208" s="8" t="n">
        <f aca="false">Y205*(1-TaxRate)</f>
        <v>0</v>
      </c>
      <c r="Z208" s="8" t="n">
        <f aca="false">Z205*(1-TaxRate)</f>
        <v>0</v>
      </c>
      <c r="AA208" s="8" t="n">
        <f aca="false">AA205*(1-TaxRate)</f>
        <v>0</v>
      </c>
      <c r="AB208" s="8" t="n">
        <f aca="false">AB205*(1-TaxRate)</f>
        <v>0</v>
      </c>
      <c r="AC208" s="8" t="n">
        <f aca="false">AC205*(1-TaxRate)</f>
        <v>0</v>
      </c>
      <c r="AD208" s="8" t="n">
        <f aca="false">AD205*(1-TaxRate)</f>
        <v>0</v>
      </c>
      <c r="AE208" s="8" t="n">
        <f aca="false">AE205*(1-TaxRate)</f>
        <v>0</v>
      </c>
      <c r="AF208" s="8" t="n">
        <f aca="false">AF205*(1-TaxRate)</f>
        <v>0</v>
      </c>
      <c r="AG208" s="8" t="n">
        <f aca="false">AG205*(1-TaxRate)</f>
        <v>0</v>
      </c>
      <c r="AH208" s="8" t="n">
        <f aca="false">AH205*(1-TaxRate)</f>
        <v>0</v>
      </c>
      <c r="AI208" s="8" t="n">
        <f aca="false">AI205*(1-TaxRate)</f>
        <v>0</v>
      </c>
      <c r="AJ208" s="8" t="n">
        <f aca="false">AJ205*(1-TaxRate)</f>
        <v>0</v>
      </c>
      <c r="AK208" s="8" t="n">
        <f aca="false">AK205*(1-TaxRate)</f>
        <v>0</v>
      </c>
      <c r="AL208" s="8" t="n">
        <f aca="false">AL205*(1-TaxRate)</f>
        <v>0</v>
      </c>
      <c r="AM208" s="8" t="n">
        <f aca="false">AM205*(1-TaxRate)</f>
        <v>0</v>
      </c>
      <c r="AN208" s="8" t="n">
        <f aca="false">AN205*(1-TaxRate)</f>
        <v>0</v>
      </c>
      <c r="AO208" s="8" t="n">
        <f aca="false">AO205*(1-TaxRate)</f>
        <v>0</v>
      </c>
      <c r="AP208" s="8" t="n">
        <f aca="false">AP205*(1-TaxRate)</f>
        <v>0</v>
      </c>
      <c r="AQ208" s="8" t="n">
        <f aca="false">AQ205*(1-TaxRate)</f>
        <v>0</v>
      </c>
      <c r="AR208" s="8" t="n">
        <f aca="false">AR205*(1-TaxRate)</f>
        <v>0</v>
      </c>
      <c r="AS208" s="8" t="n">
        <f aca="false">AS205*(1-TaxRate)</f>
        <v>0</v>
      </c>
    </row>
    <row r="209" customFormat="false" ht="15" hidden="false" customHeight="false" outlineLevel="0" collapsed="false">
      <c r="A209" s="6" t="s">
        <v>471</v>
      </c>
      <c r="B209" s="6" t="s">
        <v>472</v>
      </c>
      <c r="G209" s="42" t="n">
        <f aca="false">(1+VST_Assets!$AE$7)^-(G$3+0.5-ValDate)</f>
        <v>0.934199026996437</v>
      </c>
      <c r="H209" s="42" t="n">
        <f aca="false">(1+VST_Assets!$AE$7)^-(H$3+0.5-ValDate)</f>
        <v>0.853149796343778</v>
      </c>
      <c r="I209" s="42" t="n">
        <f aca="false">(1+VST_Assets!$AE$7)^-(I$3+0.5-ValDate)</f>
        <v>0.779132234103907</v>
      </c>
      <c r="J209" s="42" t="n">
        <f aca="false">(1+VST_Assets!$AE$7)^-(J$3+0.5-ValDate)</f>
        <v>0.711536286852883</v>
      </c>
      <c r="K209" s="42" t="n">
        <f aca="false">(1+VST_Assets!$AE$7)^-(K$3+0.5-ValDate)</f>
        <v>0.649804828176149</v>
      </c>
      <c r="L209" s="42" t="n">
        <f aca="false">(1+VST_Assets!$AE$7)^-(L$3+0.5-ValDate)</f>
        <v>0.593429066827533</v>
      </c>
      <c r="M209" s="42" t="n">
        <f aca="false">(1+VST_Assets!$AE$7)^-(M$3+0.5-ValDate)</f>
        <v>0.541944353267154</v>
      </c>
      <c r="N209" s="42" t="n">
        <f aca="false">(1+VST_Assets!$AE$7)^-(N$3+0.5-ValDate)</f>
        <v>0.494926350015666</v>
      </c>
      <c r="O209" s="42" t="n">
        <f aca="false">(1+VST_Assets!$AE$7)^-(O$3+0.5-ValDate)</f>
        <v>0.451987534260882</v>
      </c>
      <c r="P209" s="42" t="n">
        <f aca="false">(1+VST_Assets!$AE$7)^-(P$3+0.5-ValDate)</f>
        <v>0.412774003891216</v>
      </c>
      <c r="Q209" s="42" t="n">
        <f aca="false">(1+VST_Assets!$AE$7)^-(Q$3+0.5-ValDate)</f>
        <v>0.376962560631248</v>
      </c>
      <c r="R209" s="42" t="n">
        <f aca="false">(1+VST_Assets!$AE$7)^-(R$3+0.5-ValDate)</f>
        <v>0.344258046238582</v>
      </c>
      <c r="S209" s="42" t="n">
        <f aca="false">(1+VST_Assets!$AE$7)^-(S$3+0.5-ValDate)</f>
        <v>0.314390909806925</v>
      </c>
      <c r="T209" s="42" t="n">
        <f aca="false">(1+VST_Assets!$AE$7)^-(T$3+0.5-ValDate)</f>
        <v>0.287114986125045</v>
      </c>
      <c r="U209" s="42" t="n">
        <f aca="false">(1+VST_Assets!$AE$7)^-(U$3+0.5-ValDate)</f>
        <v>0.262205466780863</v>
      </c>
      <c r="V209" s="42" t="n">
        <f aca="false">(1+VST_Assets!$AE$7)^-(V$3+0.5-ValDate)</f>
        <v>0.23945704728846</v>
      </c>
      <c r="W209" s="42" t="n">
        <f aca="false">(1+VST_Assets!$AE$7)^-(W$3+0.5-ValDate)</f>
        <v>0.21868223496663</v>
      </c>
      <c r="X209" s="42" t="n">
        <f aca="false">(1+VST_Assets!$AE$7)^-(X$3+0.5-ValDate)</f>
        <v>0.199709803622493</v>
      </c>
      <c r="Y209" s="42" t="n">
        <f aca="false">(1+VST_Assets!$AE$7)^-(Y$3+0.5-ValDate)</f>
        <v>0.182383382303647</v>
      </c>
      <c r="Z209" s="42" t="n">
        <f aca="false">(1+VST_Assets!$AE$7)^-(Z$3+0.5-ValDate)</f>
        <v>0.166560166487348</v>
      </c>
      <c r="AA209" s="42" t="n">
        <f aca="false">(1+VST_Assets!$AE$7)^-(AA$3+0.5-ValDate)</f>
        <v>0.152109741084336</v>
      </c>
      <c r="AB209" s="42" t="n">
        <f aca="false">(1+VST_Assets!$AE$7)^-(AB$3+0.5-ValDate)</f>
        <v>0.138913005556472</v>
      </c>
      <c r="AC209" s="42" t="n">
        <f aca="false">(1+VST_Assets!$AE$7)^-(AC$3+0.5-ValDate)</f>
        <v>0.126861192289015</v>
      </c>
      <c r="AD209" s="42" t="n">
        <f aca="false">(1+VST_Assets!$AE$7)^-(AD$3+0.5-ValDate)</f>
        <v>0.115854970126955</v>
      </c>
      <c r="AE209" s="42" t="n">
        <f aca="false">(1+VST_Assets!$AE$7)^-(AE$3+0.5-ValDate)</f>
        <v>0.105803625686716</v>
      </c>
      <c r="AF209" s="42" t="n">
        <f aca="false">(1+VST_Assets!$AE$7)^-(AF$3+0.5-ValDate)</f>
        <v>0.0966243156956315</v>
      </c>
      <c r="AG209" s="42" t="n">
        <f aca="false">(1+VST_Assets!$AE$7)^-(AG$3+0.5-ValDate)</f>
        <v>0.0882413841969238</v>
      </c>
      <c r="AH209" s="42" t="n">
        <f aca="false">(1+VST_Assets!$AE$7)^-(AH$3+0.5-ValDate)</f>
        <v>0.0805857389926244</v>
      </c>
      <c r="AI209" s="42" t="n">
        <f aca="false">(1+VST_Assets!$AE$7)^-(AI$3+0.5-ValDate)</f>
        <v>0.0735942821850451</v>
      </c>
      <c r="AJ209" s="42" t="n">
        <f aca="false">(1+VST_Assets!$AE$7)^-(AJ$3+0.5-ValDate)</f>
        <v>0.0672093901233289</v>
      </c>
      <c r="AK209" s="42" t="n">
        <f aca="false">(1+VST_Assets!$AE$7)^-(AK$3+0.5-ValDate)</f>
        <v>0.0613784384687935</v>
      </c>
      <c r="AL209" s="42" t="n">
        <f aca="false">(1+VST_Assets!$AE$7)^-(AL$3+0.5-ValDate)</f>
        <v>0.0560533684646516</v>
      </c>
      <c r="AM209" s="42" t="n">
        <f aca="false">(1+VST_Assets!$AE$7)^-(AM$3+0.5-ValDate)</f>
        <v>0.0511902908352983</v>
      </c>
      <c r="AN209" s="42" t="n">
        <f aca="false">(1+VST_Assets!$AE$7)^-(AN$3+0.5-ValDate)</f>
        <v>0.0467491240505007</v>
      </c>
      <c r="AO209" s="42" t="n">
        <f aca="false">(1+VST_Assets!$AE$7)^-(AO$3+0.5-ValDate)</f>
        <v>0.04269326397306</v>
      </c>
      <c r="AP209" s="42" t="n">
        <f aca="false">(1+VST_Assets!$AE$7)^-(AP$3+0.5-ValDate)</f>
        <v>0.0389892821671781</v>
      </c>
      <c r="AQ209" s="42" t="n">
        <f aca="false">(1+VST_Assets!$AE$7)^-(AQ$3+0.5-ValDate)</f>
        <v>0.0356066503809846</v>
      </c>
      <c r="AR209" s="42" t="n">
        <f aca="false">(1+VST_Assets!$AE$7)^-(AR$3+0.5-ValDate)</f>
        <v>0.032517488932406</v>
      </c>
      <c r="AS209" s="42" t="n">
        <f aca="false">(1+VST_Assets!$AE$7)^-(AS$3+0.5-ValDate)</f>
        <v>0.0296963369245717</v>
      </c>
    </row>
    <row r="210" customFormat="false" ht="15" hidden="false" customHeight="false" outlineLevel="0" collapsed="false">
      <c r="A210" s="6" t="s">
        <v>473</v>
      </c>
      <c r="B210" s="6" t="s">
        <v>474</v>
      </c>
      <c r="G210" s="42" t="n">
        <f aca="false">(1+VST_Assets!$AF$7)^-(G$3+0.5-ValDate)</f>
        <v>0.934199026996437</v>
      </c>
      <c r="H210" s="42" t="n">
        <f aca="false">(1+VST_Assets!$AF$7)^-(H$3+0.5-ValDate)</f>
        <v>0.853149796343778</v>
      </c>
      <c r="I210" s="42" t="n">
        <f aca="false">(1+VST_Assets!$AF$7)^-(I$3+0.5-ValDate)</f>
        <v>0.779132234103907</v>
      </c>
      <c r="J210" s="42" t="n">
        <f aca="false">(1+VST_Assets!$AF$7)^-(J$3+0.5-ValDate)</f>
        <v>0.711536286852883</v>
      </c>
      <c r="K210" s="42" t="n">
        <f aca="false">(1+VST_Assets!$AF$7)^-(K$3+0.5-ValDate)</f>
        <v>0.649804828176149</v>
      </c>
      <c r="L210" s="42" t="n">
        <f aca="false">(1+VST_Assets!$AF$7)^-(L$3+0.5-ValDate)</f>
        <v>0.593429066827533</v>
      </c>
      <c r="M210" s="42" t="n">
        <f aca="false">(1+VST_Assets!$AF$7)^-(M$3+0.5-ValDate)</f>
        <v>0.541944353267154</v>
      </c>
      <c r="N210" s="42" t="n">
        <f aca="false">(1+VST_Assets!$AF$7)^-(N$3+0.5-ValDate)</f>
        <v>0.494926350015666</v>
      </c>
      <c r="O210" s="42" t="n">
        <f aca="false">(1+VST_Assets!$AF$7)^-(O$3+0.5-ValDate)</f>
        <v>0.451987534260882</v>
      </c>
      <c r="P210" s="42" t="n">
        <f aca="false">(1+VST_Assets!$AF$7)^-(P$3+0.5-ValDate)</f>
        <v>0.412774003891216</v>
      </c>
      <c r="Q210" s="42" t="n">
        <f aca="false">(1+VST_Assets!$AF$7)^-(Q$3+0.5-ValDate)</f>
        <v>0.376962560631248</v>
      </c>
      <c r="R210" s="42" t="n">
        <f aca="false">(1+VST_Assets!$AF$7)^-(R$3+0.5-ValDate)</f>
        <v>0.344258046238582</v>
      </c>
      <c r="S210" s="42" t="n">
        <f aca="false">(1+VST_Assets!$AF$7)^-(S$3+0.5-ValDate)</f>
        <v>0.314390909806925</v>
      </c>
      <c r="T210" s="42" t="n">
        <f aca="false">(1+VST_Assets!$AF$7)^-(T$3+0.5-ValDate)</f>
        <v>0.287114986125045</v>
      </c>
      <c r="U210" s="42" t="n">
        <f aca="false">(1+VST_Assets!$AF$7)^-(U$3+0.5-ValDate)</f>
        <v>0.262205466780863</v>
      </c>
      <c r="V210" s="42" t="n">
        <f aca="false">(1+VST_Assets!$AF$7)^-(V$3+0.5-ValDate)</f>
        <v>0.23945704728846</v>
      </c>
      <c r="W210" s="42" t="n">
        <f aca="false">(1+VST_Assets!$AF$7)^-(W$3+0.5-ValDate)</f>
        <v>0.21868223496663</v>
      </c>
      <c r="X210" s="42" t="n">
        <f aca="false">(1+VST_Assets!$AF$7)^-(X$3+0.5-ValDate)</f>
        <v>0.199709803622493</v>
      </c>
      <c r="Y210" s="42" t="n">
        <f aca="false">(1+VST_Assets!$AF$7)^-(Y$3+0.5-ValDate)</f>
        <v>0.182383382303647</v>
      </c>
      <c r="Z210" s="42" t="n">
        <f aca="false">(1+VST_Assets!$AF$7)^-(Z$3+0.5-ValDate)</f>
        <v>0.166560166487348</v>
      </c>
      <c r="AA210" s="42" t="n">
        <f aca="false">(1+VST_Assets!$AF$7)^-(AA$3+0.5-ValDate)</f>
        <v>0.152109741084336</v>
      </c>
      <c r="AB210" s="42" t="n">
        <f aca="false">(1+VST_Assets!$AF$7)^-(AB$3+0.5-ValDate)</f>
        <v>0.138913005556472</v>
      </c>
      <c r="AC210" s="42" t="n">
        <f aca="false">(1+VST_Assets!$AF$7)^-(AC$3+0.5-ValDate)</f>
        <v>0.126861192289015</v>
      </c>
      <c r="AD210" s="42" t="n">
        <f aca="false">(1+VST_Assets!$AF$7)^-(AD$3+0.5-ValDate)</f>
        <v>0.115854970126955</v>
      </c>
      <c r="AE210" s="42" t="n">
        <f aca="false">(1+VST_Assets!$AF$7)^-(AE$3+0.5-ValDate)</f>
        <v>0.105803625686716</v>
      </c>
      <c r="AF210" s="42" t="n">
        <f aca="false">(1+VST_Assets!$AF$7)^-(AF$3+0.5-ValDate)</f>
        <v>0.0966243156956315</v>
      </c>
      <c r="AG210" s="42" t="n">
        <f aca="false">(1+VST_Assets!$AF$7)^-(AG$3+0.5-ValDate)</f>
        <v>0.0882413841969238</v>
      </c>
      <c r="AH210" s="42" t="n">
        <f aca="false">(1+VST_Assets!$AF$7)^-(AH$3+0.5-ValDate)</f>
        <v>0.0805857389926244</v>
      </c>
      <c r="AI210" s="42" t="n">
        <f aca="false">(1+VST_Assets!$AF$7)^-(AI$3+0.5-ValDate)</f>
        <v>0.0735942821850451</v>
      </c>
      <c r="AJ210" s="42" t="n">
        <f aca="false">(1+VST_Assets!$AF$7)^-(AJ$3+0.5-ValDate)</f>
        <v>0.0672093901233289</v>
      </c>
      <c r="AK210" s="42" t="n">
        <f aca="false">(1+VST_Assets!$AF$7)^-(AK$3+0.5-ValDate)</f>
        <v>0.0613784384687935</v>
      </c>
      <c r="AL210" s="42" t="n">
        <f aca="false">(1+VST_Assets!$AF$7)^-(AL$3+0.5-ValDate)</f>
        <v>0.0560533684646516</v>
      </c>
      <c r="AM210" s="42" t="n">
        <f aca="false">(1+VST_Assets!$AF$7)^-(AM$3+0.5-ValDate)</f>
        <v>0.0511902908352983</v>
      </c>
      <c r="AN210" s="42" t="n">
        <f aca="false">(1+VST_Assets!$AF$7)^-(AN$3+0.5-ValDate)</f>
        <v>0.0467491240505007</v>
      </c>
      <c r="AO210" s="42" t="n">
        <f aca="false">(1+VST_Assets!$AF$7)^-(AO$3+0.5-ValDate)</f>
        <v>0.04269326397306</v>
      </c>
      <c r="AP210" s="42" t="n">
        <f aca="false">(1+VST_Assets!$AF$7)^-(AP$3+0.5-ValDate)</f>
        <v>0.0389892821671781</v>
      </c>
      <c r="AQ210" s="42" t="n">
        <f aca="false">(1+VST_Assets!$AF$7)^-(AQ$3+0.5-ValDate)</f>
        <v>0.0356066503809846</v>
      </c>
      <c r="AR210" s="42" t="n">
        <f aca="false">(1+VST_Assets!$AF$7)^-(AR$3+0.5-ValDate)</f>
        <v>0.032517488932406</v>
      </c>
      <c r="AS210" s="42" t="n">
        <f aca="false">(1+VST_Assets!$AF$7)^-(AS$3+0.5-ValDate)</f>
        <v>0.0296963369245717</v>
      </c>
    </row>
    <row r="211" customFormat="false" ht="15" hidden="false" customHeight="false" outlineLevel="0" collapsed="false">
      <c r="A211" s="6" t="s">
        <v>475</v>
      </c>
      <c r="B211" s="6" t="s">
        <v>476</v>
      </c>
      <c r="C211" s="43" t="n">
        <f aca="false">SUM(G211:AS211)</f>
        <v>11603.084603046</v>
      </c>
      <c r="D211" s="8" t="n">
        <f aca="false">SUMIF($G$3:$AS$3,"&lt;="&amp;Horizon,G211:AS211)</f>
        <v>4574.68378766742</v>
      </c>
      <c r="E211" s="8" t="n">
        <f aca="false">(C211-D211)*(1+VST_Assets!$AE$7)^(Horizon+1-ValDate)</f>
        <v>10336.3338247465</v>
      </c>
      <c r="G211" s="8" t="n">
        <f aca="false">G207*G209</f>
        <v>1472.0919970254</v>
      </c>
      <c r="H211" s="8" t="n">
        <f aca="false">H207*H209</f>
        <v>1343.71763278749</v>
      </c>
      <c r="I211" s="8" t="n">
        <f aca="false">I207*I209</f>
        <v>969.902498100248</v>
      </c>
      <c r="J211" s="8" t="n">
        <f aca="false">J207*J209</f>
        <v>788.971659754287</v>
      </c>
      <c r="K211" s="8" t="n">
        <f aca="false">K207*K209</f>
        <v>734.932504976596</v>
      </c>
      <c r="L211" s="8" t="n">
        <f aca="false">L207*L209</f>
        <v>684.59466216998</v>
      </c>
      <c r="M211" s="8" t="n">
        <f aca="false">M207*M209</f>
        <v>637.704616815871</v>
      </c>
      <c r="N211" s="8" t="n">
        <f aca="false">N207*N209</f>
        <v>594.026218403826</v>
      </c>
      <c r="O211" s="8" t="n">
        <f aca="false">O207*O209</f>
        <v>553.339491115892</v>
      </c>
      <c r="P211" s="8" t="n">
        <f aca="false">P207*P209</f>
        <v>515.439525970968</v>
      </c>
      <c r="Q211" s="8" t="n">
        <f aca="false">Q207*Q209</f>
        <v>480.135448849669</v>
      </c>
      <c r="R211" s="8" t="n">
        <f aca="false">R207*R209</f>
        <v>447.249459202432</v>
      </c>
      <c r="S211" s="8" t="n">
        <f aca="false">S207*S209</f>
        <v>416.615934599525</v>
      </c>
      <c r="T211" s="8" t="n">
        <f aca="false">T207*T209</f>
        <v>388.080596613257</v>
      </c>
      <c r="U211" s="8" t="n">
        <f aca="false">U207*U209</f>
        <v>361.499733831527</v>
      </c>
      <c r="V211" s="8" t="n">
        <f aca="false">V207*V209</f>
        <v>336.739478089641</v>
      </c>
      <c r="W211" s="8" t="n">
        <f aca="false">W207*W209</f>
        <v>313.675130275282</v>
      </c>
      <c r="X211" s="8" t="n">
        <f aca="false">X207*X209</f>
        <v>292.190532311222</v>
      </c>
      <c r="Y211" s="8" t="n">
        <f aca="false">Y207*Y209</f>
        <v>272.177482152919</v>
      </c>
      <c r="Z211" s="8" t="n">
        <f aca="false">Z207*Z209</f>
        <v>0</v>
      </c>
      <c r="AA211" s="8" t="n">
        <f aca="false">AA207*AA209</f>
        <v>0</v>
      </c>
      <c r="AB211" s="8" t="n">
        <f aca="false">AB207*AB209</f>
        <v>0</v>
      </c>
      <c r="AC211" s="8" t="n">
        <f aca="false">AC207*AC209</f>
        <v>0</v>
      </c>
      <c r="AD211" s="8" t="n">
        <f aca="false">AD207*AD209</f>
        <v>0</v>
      </c>
      <c r="AE211" s="8" t="n">
        <f aca="false">AE207*AE209</f>
        <v>0</v>
      </c>
      <c r="AF211" s="8" t="n">
        <f aca="false">AF207*AF209</f>
        <v>0</v>
      </c>
      <c r="AG211" s="8" t="n">
        <f aca="false">AG207*AG209</f>
        <v>0</v>
      </c>
      <c r="AH211" s="8" t="n">
        <f aca="false">AH207*AH209</f>
        <v>0</v>
      </c>
      <c r="AI211" s="8" t="n">
        <f aca="false">AI207*AI209</f>
        <v>0</v>
      </c>
      <c r="AJ211" s="8" t="n">
        <f aca="false">AJ207*AJ209</f>
        <v>0</v>
      </c>
      <c r="AK211" s="8" t="n">
        <f aca="false">AK207*AK209</f>
        <v>0</v>
      </c>
      <c r="AL211" s="8" t="n">
        <f aca="false">AL207*AL209</f>
        <v>0</v>
      </c>
      <c r="AM211" s="8" t="n">
        <f aca="false">AM207*AM209</f>
        <v>0</v>
      </c>
      <c r="AN211" s="8" t="n">
        <f aca="false">AN207*AN209</f>
        <v>0</v>
      </c>
      <c r="AO211" s="8" t="n">
        <f aca="false">AO207*AO209</f>
        <v>0</v>
      </c>
      <c r="AP211" s="8" t="n">
        <f aca="false">AP207*AP209</f>
        <v>0</v>
      </c>
      <c r="AQ211" s="8" t="n">
        <f aca="false">AQ207*AQ209</f>
        <v>0</v>
      </c>
      <c r="AR211" s="8" t="n">
        <f aca="false">AR207*AR209</f>
        <v>0</v>
      </c>
      <c r="AS211" s="8" t="n">
        <f aca="false">AS207*AS209</f>
        <v>0</v>
      </c>
    </row>
    <row r="212" customFormat="false" ht="15" hidden="false" customHeight="false" outlineLevel="0" collapsed="false">
      <c r="A212" s="6" t="s">
        <v>477</v>
      </c>
      <c r="B212" s="6" t="s">
        <v>478</v>
      </c>
      <c r="C212" s="43" t="n">
        <f aca="false">SUM(G212:AS212)</f>
        <v>0</v>
      </c>
      <c r="D212" s="8" t="n">
        <f aca="false">SUMIF($G$3:$AS$3,"&lt;="&amp;Horizon,G212:AS212)</f>
        <v>0</v>
      </c>
      <c r="E212" s="8" t="n">
        <f aca="false">(C212-D212)*(1+VST_Assets!$AF$7)^(Horizon+1-ValDate)</f>
        <v>0</v>
      </c>
      <c r="G212" s="8" t="n">
        <f aca="false">G208*G210</f>
        <v>0</v>
      </c>
      <c r="H212" s="8" t="n">
        <f aca="false">H208*H210</f>
        <v>0</v>
      </c>
      <c r="I212" s="8" t="n">
        <f aca="false">I208*I210</f>
        <v>0</v>
      </c>
      <c r="J212" s="8" t="n">
        <f aca="false">J208*J210</f>
        <v>0</v>
      </c>
      <c r="K212" s="8" t="n">
        <f aca="false">K208*K210</f>
        <v>0</v>
      </c>
      <c r="L212" s="8" t="n">
        <f aca="false">L208*L210</f>
        <v>0</v>
      </c>
      <c r="M212" s="8" t="n">
        <f aca="false">M208*M210</f>
        <v>0</v>
      </c>
      <c r="N212" s="8" t="n">
        <f aca="false">N208*N210</f>
        <v>0</v>
      </c>
      <c r="O212" s="8" t="n">
        <f aca="false">O208*O210</f>
        <v>0</v>
      </c>
      <c r="P212" s="8" t="n">
        <f aca="false">P208*P210</f>
        <v>0</v>
      </c>
      <c r="Q212" s="8" t="n">
        <f aca="false">Q208*Q210</f>
        <v>0</v>
      </c>
      <c r="R212" s="8" t="n">
        <f aca="false">R208*R210</f>
        <v>0</v>
      </c>
      <c r="S212" s="8" t="n">
        <f aca="false">S208*S210</f>
        <v>0</v>
      </c>
      <c r="T212" s="8" t="n">
        <f aca="false">T208*T210</f>
        <v>0</v>
      </c>
      <c r="U212" s="8" t="n">
        <f aca="false">U208*U210</f>
        <v>0</v>
      </c>
      <c r="V212" s="8" t="n">
        <f aca="false">V208*V210</f>
        <v>0</v>
      </c>
      <c r="W212" s="8" t="n">
        <f aca="false">W208*W210</f>
        <v>0</v>
      </c>
      <c r="X212" s="8" t="n">
        <f aca="false">X208*X210</f>
        <v>0</v>
      </c>
      <c r="Y212" s="8" t="n">
        <f aca="false">Y208*Y210</f>
        <v>0</v>
      </c>
      <c r="Z212" s="8" t="n">
        <f aca="false">Z208*Z210</f>
        <v>0</v>
      </c>
      <c r="AA212" s="8" t="n">
        <f aca="false">AA208*AA210</f>
        <v>0</v>
      </c>
      <c r="AB212" s="8" t="n">
        <f aca="false">AB208*AB210</f>
        <v>0</v>
      </c>
      <c r="AC212" s="8" t="n">
        <f aca="false">AC208*AC210</f>
        <v>0</v>
      </c>
      <c r="AD212" s="8" t="n">
        <f aca="false">AD208*AD210</f>
        <v>0</v>
      </c>
      <c r="AE212" s="8" t="n">
        <f aca="false">AE208*AE210</f>
        <v>0</v>
      </c>
      <c r="AF212" s="8" t="n">
        <f aca="false">AF208*AF210</f>
        <v>0</v>
      </c>
      <c r="AG212" s="8" t="n">
        <f aca="false">AG208*AG210</f>
        <v>0</v>
      </c>
      <c r="AH212" s="8" t="n">
        <f aca="false">AH208*AH210</f>
        <v>0</v>
      </c>
      <c r="AI212" s="8" t="n">
        <f aca="false">AI208*AI210</f>
        <v>0</v>
      </c>
      <c r="AJ212" s="8" t="n">
        <f aca="false">AJ208*AJ210</f>
        <v>0</v>
      </c>
      <c r="AK212" s="8" t="n">
        <f aca="false">AK208*AK210</f>
        <v>0</v>
      </c>
      <c r="AL212" s="8" t="n">
        <f aca="false">AL208*AL210</f>
        <v>0</v>
      </c>
      <c r="AM212" s="8" t="n">
        <f aca="false">AM208*AM210</f>
        <v>0</v>
      </c>
      <c r="AN212" s="8" t="n">
        <f aca="false">AN208*AN210</f>
        <v>0</v>
      </c>
      <c r="AO212" s="8" t="n">
        <f aca="false">AO208*AO210</f>
        <v>0</v>
      </c>
      <c r="AP212" s="8" t="n">
        <f aca="false">AP208*AP210</f>
        <v>0</v>
      </c>
      <c r="AQ212" s="8" t="n">
        <f aca="false">AQ208*AQ210</f>
        <v>0</v>
      </c>
      <c r="AR212" s="8" t="n">
        <f aca="false">AR208*AR210</f>
        <v>0</v>
      </c>
      <c r="AS212" s="8" t="n">
        <f aca="false">AS208*AS210</f>
        <v>0</v>
      </c>
    </row>
    <row r="213" customFormat="false" ht="15" hidden="false" customHeight="false" outlineLevel="0" collapsed="false">
      <c r="A213" s="6" t="s">
        <v>479</v>
      </c>
      <c r="B213" s="6" t="s">
        <v>480</v>
      </c>
      <c r="C213" s="43" t="n">
        <f aca="false">IF(VST_Assets!$H$7="$/kW",VST_Assets!$D$7*VST_Assets!$AI$7*(1+0.4*(PJMWLR/PJMWLRBase-1))/1000,0)</f>
        <v>0</v>
      </c>
      <c r="E213" s="8" t="n">
        <f aca="false">C213</f>
        <v>0</v>
      </c>
      <c r="G213" s="8" t="n">
        <f aca="false">0</f>
        <v>0</v>
      </c>
      <c r="H213" s="8" t="n">
        <f aca="false">0</f>
        <v>0</v>
      </c>
      <c r="I213" s="8" t="n">
        <f aca="false">0</f>
        <v>0</v>
      </c>
      <c r="J213" s="8" t="n">
        <f aca="false">0</f>
        <v>0</v>
      </c>
      <c r="K213" s="8" t="n">
        <f aca="false">0</f>
        <v>0</v>
      </c>
      <c r="L213" s="8" t="n">
        <f aca="false">0</f>
        <v>0</v>
      </c>
      <c r="M213" s="8" t="n">
        <f aca="false">0</f>
        <v>0</v>
      </c>
      <c r="N213" s="8" t="n">
        <f aca="false">0</f>
        <v>0</v>
      </c>
      <c r="O213" s="8" t="n">
        <f aca="false">0</f>
        <v>0</v>
      </c>
      <c r="P213" s="8" t="n">
        <f aca="false">0</f>
        <v>0</v>
      </c>
      <c r="Q213" s="8" t="n">
        <f aca="false">0</f>
        <v>0</v>
      </c>
      <c r="R213" s="8" t="n">
        <f aca="false">0</f>
        <v>0</v>
      </c>
      <c r="S213" s="8" t="n">
        <f aca="false">0</f>
        <v>0</v>
      </c>
      <c r="T213" s="8" t="n">
        <f aca="false">0</f>
        <v>0</v>
      </c>
      <c r="U213" s="8" t="n">
        <f aca="false">0</f>
        <v>0</v>
      </c>
      <c r="V213" s="8" t="n">
        <f aca="false">0</f>
        <v>0</v>
      </c>
      <c r="W213" s="8" t="n">
        <f aca="false">0</f>
        <v>0</v>
      </c>
      <c r="X213" s="8" t="n">
        <f aca="false">0</f>
        <v>0</v>
      </c>
      <c r="Y213" s="8" t="n">
        <f aca="false">0</f>
        <v>0</v>
      </c>
      <c r="Z213" s="8" t="n">
        <f aca="false">0</f>
        <v>0</v>
      </c>
      <c r="AA213" s="8" t="n">
        <f aca="false">0</f>
        <v>0</v>
      </c>
      <c r="AB213" s="8" t="n">
        <f aca="false">0</f>
        <v>0</v>
      </c>
      <c r="AC213" s="8" t="n">
        <f aca="false">0</f>
        <v>0</v>
      </c>
      <c r="AD213" s="8" t="n">
        <f aca="false">0</f>
        <v>0</v>
      </c>
      <c r="AE213" s="8" t="n">
        <f aca="false">0</f>
        <v>0</v>
      </c>
      <c r="AF213" s="8" t="n">
        <f aca="false">0</f>
        <v>0</v>
      </c>
      <c r="AG213" s="8" t="n">
        <f aca="false">0</f>
        <v>0</v>
      </c>
      <c r="AH213" s="8" t="n">
        <f aca="false">0</f>
        <v>0</v>
      </c>
      <c r="AI213" s="8" t="n">
        <f aca="false">0</f>
        <v>0</v>
      </c>
      <c r="AJ213" s="8" t="n">
        <f aca="false">0</f>
        <v>0</v>
      </c>
      <c r="AK213" s="8" t="n">
        <f aca="false">0</f>
        <v>0</v>
      </c>
      <c r="AL213" s="8" t="n">
        <f aca="false">0</f>
        <v>0</v>
      </c>
      <c r="AM213" s="8" t="n">
        <f aca="false">0</f>
        <v>0</v>
      </c>
      <c r="AN213" s="8" t="n">
        <f aca="false">0</f>
        <v>0</v>
      </c>
      <c r="AO213" s="8" t="n">
        <f aca="false">0</f>
        <v>0</v>
      </c>
      <c r="AP213" s="8" t="n">
        <f aca="false">0</f>
        <v>0</v>
      </c>
      <c r="AQ213" s="8" t="n">
        <f aca="false">0</f>
        <v>0</v>
      </c>
      <c r="AR213" s="8" t="n">
        <f aca="false">0</f>
        <v>0</v>
      </c>
      <c r="AS213" s="8" t="n">
        <f aca="false">0</f>
        <v>0</v>
      </c>
    </row>
    <row r="215" customFormat="false" ht="15" hidden="false" customHeight="false" outlineLevel="0" collapsed="false">
      <c r="A215" s="54" t="str">
        <f aca="false">VST_Assets!$A$8</f>
        <v>Gas - NY/NE CCGT</v>
      </c>
    </row>
    <row r="216" customFormat="false" ht="15" hidden="false" customHeight="false" outlineLevel="0" collapsed="false">
      <c r="A216" s="6" t="s">
        <v>425</v>
      </c>
      <c r="B216" s="6" t="s">
        <v>426</v>
      </c>
      <c r="G216" s="47" t="n">
        <f aca="false">IF(AND(G$3&gt;=VST_Assets!$E$8,G$3&lt;=VST_Assets!$F$8,VST_Assets!$H$8="Cashflow"),1,0)</f>
        <v>1</v>
      </c>
      <c r="H216" s="47" t="n">
        <f aca="false">IF(AND(H$3&gt;=VST_Assets!$E$8,H$3&lt;=VST_Assets!$F$8,VST_Assets!$H$8="Cashflow"),1,0)</f>
        <v>1</v>
      </c>
      <c r="I216" s="47" t="n">
        <f aca="false">IF(AND(I$3&gt;=VST_Assets!$E$8,I$3&lt;=VST_Assets!$F$8,VST_Assets!$H$8="Cashflow"),1,0)</f>
        <v>1</v>
      </c>
      <c r="J216" s="47" t="n">
        <f aca="false">IF(AND(J$3&gt;=VST_Assets!$E$8,J$3&lt;=VST_Assets!$F$8,VST_Assets!$H$8="Cashflow"),1,0)</f>
        <v>1</v>
      </c>
      <c r="K216" s="47" t="n">
        <f aca="false">IF(AND(K$3&gt;=VST_Assets!$E$8,K$3&lt;=VST_Assets!$F$8,VST_Assets!$H$8="Cashflow"),1,0)</f>
        <v>1</v>
      </c>
      <c r="L216" s="47" t="n">
        <f aca="false">IF(AND(L$3&gt;=VST_Assets!$E$8,L$3&lt;=VST_Assets!$F$8,VST_Assets!$H$8="Cashflow"),1,0)</f>
        <v>1</v>
      </c>
      <c r="M216" s="47" t="n">
        <f aca="false">IF(AND(M$3&gt;=VST_Assets!$E$8,M$3&lt;=VST_Assets!$F$8,VST_Assets!$H$8="Cashflow"),1,0)</f>
        <v>1</v>
      </c>
      <c r="N216" s="47" t="n">
        <f aca="false">IF(AND(N$3&gt;=VST_Assets!$E$8,N$3&lt;=VST_Assets!$F$8,VST_Assets!$H$8="Cashflow"),1,0)</f>
        <v>1</v>
      </c>
      <c r="O216" s="47" t="n">
        <f aca="false">IF(AND(O$3&gt;=VST_Assets!$E$8,O$3&lt;=VST_Assets!$F$8,VST_Assets!$H$8="Cashflow"),1,0)</f>
        <v>1</v>
      </c>
      <c r="P216" s="47" t="n">
        <f aca="false">IF(AND(P$3&gt;=VST_Assets!$E$8,P$3&lt;=VST_Assets!$F$8,VST_Assets!$H$8="Cashflow"),1,0)</f>
        <v>1</v>
      </c>
      <c r="Q216" s="47" t="n">
        <f aca="false">IF(AND(Q$3&gt;=VST_Assets!$E$8,Q$3&lt;=VST_Assets!$F$8,VST_Assets!$H$8="Cashflow"),1,0)</f>
        <v>1</v>
      </c>
      <c r="R216" s="47" t="n">
        <f aca="false">IF(AND(R$3&gt;=VST_Assets!$E$8,R$3&lt;=VST_Assets!$F$8,VST_Assets!$H$8="Cashflow"),1,0)</f>
        <v>1</v>
      </c>
      <c r="S216" s="47" t="n">
        <f aca="false">IF(AND(S$3&gt;=VST_Assets!$E$8,S$3&lt;=VST_Assets!$F$8,VST_Assets!$H$8="Cashflow"),1,0)</f>
        <v>1</v>
      </c>
      <c r="T216" s="47" t="n">
        <f aca="false">IF(AND(T$3&gt;=VST_Assets!$E$8,T$3&lt;=VST_Assets!$F$8,VST_Assets!$H$8="Cashflow"),1,0)</f>
        <v>1</v>
      </c>
      <c r="U216" s="47" t="n">
        <f aca="false">IF(AND(U$3&gt;=VST_Assets!$E$8,U$3&lt;=VST_Assets!$F$8,VST_Assets!$H$8="Cashflow"),1,0)</f>
        <v>1</v>
      </c>
      <c r="V216" s="47" t="n">
        <f aca="false">IF(AND(V$3&gt;=VST_Assets!$E$8,V$3&lt;=VST_Assets!$F$8,VST_Assets!$H$8="Cashflow"),1,0)</f>
        <v>1</v>
      </c>
      <c r="W216" s="47" t="n">
        <f aca="false">IF(AND(W$3&gt;=VST_Assets!$E$8,W$3&lt;=VST_Assets!$F$8,VST_Assets!$H$8="Cashflow"),1,0)</f>
        <v>1</v>
      </c>
      <c r="X216" s="47" t="n">
        <f aca="false">IF(AND(X$3&gt;=VST_Assets!$E$8,X$3&lt;=VST_Assets!$F$8,VST_Assets!$H$8="Cashflow"),1,0)</f>
        <v>1</v>
      </c>
      <c r="Y216" s="47" t="n">
        <f aca="false">IF(AND(Y$3&gt;=VST_Assets!$E$8,Y$3&lt;=VST_Assets!$F$8,VST_Assets!$H$8="Cashflow"),1,0)</f>
        <v>1</v>
      </c>
      <c r="Z216" s="47" t="n">
        <f aca="false">IF(AND(Z$3&gt;=VST_Assets!$E$8,Z$3&lt;=VST_Assets!$F$8,VST_Assets!$H$8="Cashflow"),1,0)</f>
        <v>0</v>
      </c>
      <c r="AA216" s="47" t="n">
        <f aca="false">IF(AND(AA$3&gt;=VST_Assets!$E$8,AA$3&lt;=VST_Assets!$F$8,VST_Assets!$H$8="Cashflow"),1,0)</f>
        <v>0</v>
      </c>
      <c r="AB216" s="47" t="n">
        <f aca="false">IF(AND(AB$3&gt;=VST_Assets!$E$8,AB$3&lt;=VST_Assets!$F$8,VST_Assets!$H$8="Cashflow"),1,0)</f>
        <v>0</v>
      </c>
      <c r="AC216" s="47" t="n">
        <f aca="false">IF(AND(AC$3&gt;=VST_Assets!$E$8,AC$3&lt;=VST_Assets!$F$8,VST_Assets!$H$8="Cashflow"),1,0)</f>
        <v>0</v>
      </c>
      <c r="AD216" s="47" t="n">
        <f aca="false">IF(AND(AD$3&gt;=VST_Assets!$E$8,AD$3&lt;=VST_Assets!$F$8,VST_Assets!$H$8="Cashflow"),1,0)</f>
        <v>0</v>
      </c>
      <c r="AE216" s="47" t="n">
        <f aca="false">IF(AND(AE$3&gt;=VST_Assets!$E$8,AE$3&lt;=VST_Assets!$F$8,VST_Assets!$H$8="Cashflow"),1,0)</f>
        <v>0</v>
      </c>
      <c r="AF216" s="47" t="n">
        <f aca="false">IF(AND(AF$3&gt;=VST_Assets!$E$8,AF$3&lt;=VST_Assets!$F$8,VST_Assets!$H$8="Cashflow"),1,0)</f>
        <v>0</v>
      </c>
      <c r="AG216" s="47" t="n">
        <f aca="false">IF(AND(AG$3&gt;=VST_Assets!$E$8,AG$3&lt;=VST_Assets!$F$8,VST_Assets!$H$8="Cashflow"),1,0)</f>
        <v>0</v>
      </c>
      <c r="AH216" s="47" t="n">
        <f aca="false">IF(AND(AH$3&gt;=VST_Assets!$E$8,AH$3&lt;=VST_Assets!$F$8,VST_Assets!$H$8="Cashflow"),1,0)</f>
        <v>0</v>
      </c>
      <c r="AI216" s="47" t="n">
        <f aca="false">IF(AND(AI$3&gt;=VST_Assets!$E$8,AI$3&lt;=VST_Assets!$F$8,VST_Assets!$H$8="Cashflow"),1,0)</f>
        <v>0</v>
      </c>
      <c r="AJ216" s="47" t="n">
        <f aca="false">IF(AND(AJ$3&gt;=VST_Assets!$E$8,AJ$3&lt;=VST_Assets!$F$8,VST_Assets!$H$8="Cashflow"),1,0)</f>
        <v>0</v>
      </c>
      <c r="AK216" s="47" t="n">
        <f aca="false">IF(AND(AK$3&gt;=VST_Assets!$E$8,AK$3&lt;=VST_Assets!$F$8,VST_Assets!$H$8="Cashflow"),1,0)</f>
        <v>0</v>
      </c>
      <c r="AL216" s="47" t="n">
        <f aca="false">IF(AND(AL$3&gt;=VST_Assets!$E$8,AL$3&lt;=VST_Assets!$F$8,VST_Assets!$H$8="Cashflow"),1,0)</f>
        <v>0</v>
      </c>
      <c r="AM216" s="47" t="n">
        <f aca="false">IF(AND(AM$3&gt;=VST_Assets!$E$8,AM$3&lt;=VST_Assets!$F$8,VST_Assets!$H$8="Cashflow"),1,0)</f>
        <v>0</v>
      </c>
      <c r="AN216" s="47" t="n">
        <f aca="false">IF(AND(AN$3&gt;=VST_Assets!$E$8,AN$3&lt;=VST_Assets!$F$8,VST_Assets!$H$8="Cashflow"),1,0)</f>
        <v>0</v>
      </c>
      <c r="AO216" s="47" t="n">
        <f aca="false">IF(AND(AO$3&gt;=VST_Assets!$E$8,AO$3&lt;=VST_Assets!$F$8,VST_Assets!$H$8="Cashflow"),1,0)</f>
        <v>0</v>
      </c>
      <c r="AP216" s="47" t="n">
        <f aca="false">IF(AND(AP$3&gt;=VST_Assets!$E$8,AP$3&lt;=VST_Assets!$F$8,VST_Assets!$H$8="Cashflow"),1,0)</f>
        <v>0</v>
      </c>
      <c r="AQ216" s="47" t="n">
        <f aca="false">IF(AND(AQ$3&gt;=VST_Assets!$E$8,AQ$3&lt;=VST_Assets!$F$8,VST_Assets!$H$8="Cashflow"),1,0)</f>
        <v>0</v>
      </c>
      <c r="AR216" s="47" t="n">
        <f aca="false">IF(AND(AR$3&gt;=VST_Assets!$E$8,AR$3&lt;=VST_Assets!$F$8,VST_Assets!$H$8="Cashflow"),1,0)</f>
        <v>0</v>
      </c>
      <c r="AS216" s="47" t="n">
        <f aca="false">IF(AND(AS$3&gt;=VST_Assets!$E$8,AS$3&lt;=VST_Assets!$F$8,VST_Assets!$H$8="Cashflow"),1,0)</f>
        <v>0</v>
      </c>
    </row>
    <row r="217" customFormat="false" ht="15" hidden="false" customHeight="false" outlineLevel="0" collapsed="false">
      <c r="A217" s="6" t="s">
        <v>427</v>
      </c>
      <c r="B217" s="6" t="s">
        <v>428</v>
      </c>
      <c r="G217" s="9" t="n">
        <f aca="false">IF(AND(G$3&gt;=VST_Assets!$AA$8,G$3&lt;=VST_Assets!$AB$8),MIN(VST_Assets!$D$8,VST_Assets!$Z$8*MIN(1,(G$3-VST_Assets!$AA$8+1)/MAX(1,VST_Assets!$AC$8))),0)*G216</f>
        <v>0</v>
      </c>
      <c r="H217" s="9" t="n">
        <f aca="false">IF(AND(H$3&gt;=VST_Assets!$AA$8,H$3&lt;=VST_Assets!$AB$8),MIN(VST_Assets!$D$8,VST_Assets!$Z$8*MIN(1,(H$3-VST_Assets!$AA$8+1)/MAX(1,VST_Assets!$AC$8))),0)*H216</f>
        <v>0</v>
      </c>
      <c r="I217" s="9" t="n">
        <f aca="false">IF(AND(I$3&gt;=VST_Assets!$AA$8,I$3&lt;=VST_Assets!$AB$8),MIN(VST_Assets!$D$8,VST_Assets!$Z$8*MIN(1,(I$3-VST_Assets!$AA$8+1)/MAX(1,VST_Assets!$AC$8))),0)*I216</f>
        <v>0</v>
      </c>
      <c r="J217" s="9" t="n">
        <f aca="false">IF(AND(J$3&gt;=VST_Assets!$AA$8,J$3&lt;=VST_Assets!$AB$8),MIN(VST_Assets!$D$8,VST_Assets!$Z$8*MIN(1,(J$3-VST_Assets!$AA$8+1)/MAX(1,VST_Assets!$AC$8))),0)*J216</f>
        <v>0</v>
      </c>
      <c r="K217" s="9" t="n">
        <f aca="false">IF(AND(K$3&gt;=VST_Assets!$AA$8,K$3&lt;=VST_Assets!$AB$8),MIN(VST_Assets!$D$8,VST_Assets!$Z$8*MIN(1,(K$3-VST_Assets!$AA$8+1)/MAX(1,VST_Assets!$AC$8))),0)*K216</f>
        <v>0</v>
      </c>
      <c r="L217" s="9" t="n">
        <f aca="false">IF(AND(L$3&gt;=VST_Assets!$AA$8,L$3&lt;=VST_Assets!$AB$8),MIN(VST_Assets!$D$8,VST_Assets!$Z$8*MIN(1,(L$3-VST_Assets!$AA$8+1)/MAX(1,VST_Assets!$AC$8))),0)*L216</f>
        <v>0</v>
      </c>
      <c r="M217" s="9" t="n">
        <f aca="false">IF(AND(M$3&gt;=VST_Assets!$AA$8,M$3&lt;=VST_Assets!$AB$8),MIN(VST_Assets!$D$8,VST_Assets!$Z$8*MIN(1,(M$3-VST_Assets!$AA$8+1)/MAX(1,VST_Assets!$AC$8))),0)*M216</f>
        <v>0</v>
      </c>
      <c r="N217" s="9" t="n">
        <f aca="false">IF(AND(N$3&gt;=VST_Assets!$AA$8,N$3&lt;=VST_Assets!$AB$8),MIN(VST_Assets!$D$8,VST_Assets!$Z$8*MIN(1,(N$3-VST_Assets!$AA$8+1)/MAX(1,VST_Assets!$AC$8))),0)*N216</f>
        <v>0</v>
      </c>
      <c r="O217" s="9" t="n">
        <f aca="false">IF(AND(O$3&gt;=VST_Assets!$AA$8,O$3&lt;=VST_Assets!$AB$8),MIN(VST_Assets!$D$8,VST_Assets!$Z$8*MIN(1,(O$3-VST_Assets!$AA$8+1)/MAX(1,VST_Assets!$AC$8))),0)*O216</f>
        <v>0</v>
      </c>
      <c r="P217" s="9" t="n">
        <f aca="false">IF(AND(P$3&gt;=VST_Assets!$AA$8,P$3&lt;=VST_Assets!$AB$8),MIN(VST_Assets!$D$8,VST_Assets!$Z$8*MIN(1,(P$3-VST_Assets!$AA$8+1)/MAX(1,VST_Assets!$AC$8))),0)*P216</f>
        <v>0</v>
      </c>
      <c r="Q217" s="9" t="n">
        <f aca="false">IF(AND(Q$3&gt;=VST_Assets!$AA$8,Q$3&lt;=VST_Assets!$AB$8),MIN(VST_Assets!$D$8,VST_Assets!$Z$8*MIN(1,(Q$3-VST_Assets!$AA$8+1)/MAX(1,VST_Assets!$AC$8))),0)*Q216</f>
        <v>0</v>
      </c>
      <c r="R217" s="9" t="n">
        <f aca="false">IF(AND(R$3&gt;=VST_Assets!$AA$8,R$3&lt;=VST_Assets!$AB$8),MIN(VST_Assets!$D$8,VST_Assets!$Z$8*MIN(1,(R$3-VST_Assets!$AA$8+1)/MAX(1,VST_Assets!$AC$8))),0)*R216</f>
        <v>0</v>
      </c>
      <c r="S217" s="9" t="n">
        <f aca="false">IF(AND(S$3&gt;=VST_Assets!$AA$8,S$3&lt;=VST_Assets!$AB$8),MIN(VST_Assets!$D$8,VST_Assets!$Z$8*MIN(1,(S$3-VST_Assets!$AA$8+1)/MAX(1,VST_Assets!$AC$8))),0)*S216</f>
        <v>0</v>
      </c>
      <c r="T217" s="9" t="n">
        <f aca="false">IF(AND(T$3&gt;=VST_Assets!$AA$8,T$3&lt;=VST_Assets!$AB$8),MIN(VST_Assets!$D$8,VST_Assets!$Z$8*MIN(1,(T$3-VST_Assets!$AA$8+1)/MAX(1,VST_Assets!$AC$8))),0)*T216</f>
        <v>0</v>
      </c>
      <c r="U217" s="9" t="n">
        <f aca="false">IF(AND(U$3&gt;=VST_Assets!$AA$8,U$3&lt;=VST_Assets!$AB$8),MIN(VST_Assets!$D$8,VST_Assets!$Z$8*MIN(1,(U$3-VST_Assets!$AA$8+1)/MAX(1,VST_Assets!$AC$8))),0)*U216</f>
        <v>0</v>
      </c>
      <c r="V217" s="9" t="n">
        <f aca="false">IF(AND(V$3&gt;=VST_Assets!$AA$8,V$3&lt;=VST_Assets!$AB$8),MIN(VST_Assets!$D$8,VST_Assets!$Z$8*MIN(1,(V$3-VST_Assets!$AA$8+1)/MAX(1,VST_Assets!$AC$8))),0)*V216</f>
        <v>0</v>
      </c>
      <c r="W217" s="9" t="n">
        <f aca="false">IF(AND(W$3&gt;=VST_Assets!$AA$8,W$3&lt;=VST_Assets!$AB$8),MIN(VST_Assets!$D$8,VST_Assets!$Z$8*MIN(1,(W$3-VST_Assets!$AA$8+1)/MAX(1,VST_Assets!$AC$8))),0)*W216</f>
        <v>0</v>
      </c>
      <c r="X217" s="9" t="n">
        <f aca="false">IF(AND(X$3&gt;=VST_Assets!$AA$8,X$3&lt;=VST_Assets!$AB$8),MIN(VST_Assets!$D$8,VST_Assets!$Z$8*MIN(1,(X$3-VST_Assets!$AA$8+1)/MAX(1,VST_Assets!$AC$8))),0)*X216</f>
        <v>0</v>
      </c>
      <c r="Y217" s="9" t="n">
        <f aca="false">IF(AND(Y$3&gt;=VST_Assets!$AA$8,Y$3&lt;=VST_Assets!$AB$8),MIN(VST_Assets!$D$8,VST_Assets!$Z$8*MIN(1,(Y$3-VST_Assets!$AA$8+1)/MAX(1,VST_Assets!$AC$8))),0)*Y216</f>
        <v>0</v>
      </c>
      <c r="Z217" s="9" t="n">
        <f aca="false">IF(AND(Z$3&gt;=VST_Assets!$AA$8,Z$3&lt;=VST_Assets!$AB$8),MIN(VST_Assets!$D$8,VST_Assets!$Z$8*MIN(1,(Z$3-VST_Assets!$AA$8+1)/MAX(1,VST_Assets!$AC$8))),0)*Z216</f>
        <v>0</v>
      </c>
      <c r="AA217" s="9" t="n">
        <f aca="false">IF(AND(AA$3&gt;=VST_Assets!$AA$8,AA$3&lt;=VST_Assets!$AB$8),MIN(VST_Assets!$D$8,VST_Assets!$Z$8*MIN(1,(AA$3-VST_Assets!$AA$8+1)/MAX(1,VST_Assets!$AC$8))),0)*AA216</f>
        <v>0</v>
      </c>
      <c r="AB217" s="9" t="n">
        <f aca="false">IF(AND(AB$3&gt;=VST_Assets!$AA$8,AB$3&lt;=VST_Assets!$AB$8),MIN(VST_Assets!$D$8,VST_Assets!$Z$8*MIN(1,(AB$3-VST_Assets!$AA$8+1)/MAX(1,VST_Assets!$AC$8))),0)*AB216</f>
        <v>0</v>
      </c>
      <c r="AC217" s="9" t="n">
        <f aca="false">IF(AND(AC$3&gt;=VST_Assets!$AA$8,AC$3&lt;=VST_Assets!$AB$8),MIN(VST_Assets!$D$8,VST_Assets!$Z$8*MIN(1,(AC$3-VST_Assets!$AA$8+1)/MAX(1,VST_Assets!$AC$8))),0)*AC216</f>
        <v>0</v>
      </c>
      <c r="AD217" s="9" t="n">
        <f aca="false">IF(AND(AD$3&gt;=VST_Assets!$AA$8,AD$3&lt;=VST_Assets!$AB$8),MIN(VST_Assets!$D$8,VST_Assets!$Z$8*MIN(1,(AD$3-VST_Assets!$AA$8+1)/MAX(1,VST_Assets!$AC$8))),0)*AD216</f>
        <v>0</v>
      </c>
      <c r="AE217" s="9" t="n">
        <f aca="false">IF(AND(AE$3&gt;=VST_Assets!$AA$8,AE$3&lt;=VST_Assets!$AB$8),MIN(VST_Assets!$D$8,VST_Assets!$Z$8*MIN(1,(AE$3-VST_Assets!$AA$8+1)/MAX(1,VST_Assets!$AC$8))),0)*AE216</f>
        <v>0</v>
      </c>
      <c r="AF217" s="9" t="n">
        <f aca="false">IF(AND(AF$3&gt;=VST_Assets!$AA$8,AF$3&lt;=VST_Assets!$AB$8),MIN(VST_Assets!$D$8,VST_Assets!$Z$8*MIN(1,(AF$3-VST_Assets!$AA$8+1)/MAX(1,VST_Assets!$AC$8))),0)*AF216</f>
        <v>0</v>
      </c>
      <c r="AG217" s="9" t="n">
        <f aca="false">IF(AND(AG$3&gt;=VST_Assets!$AA$8,AG$3&lt;=VST_Assets!$AB$8),MIN(VST_Assets!$D$8,VST_Assets!$Z$8*MIN(1,(AG$3-VST_Assets!$AA$8+1)/MAX(1,VST_Assets!$AC$8))),0)*AG216</f>
        <v>0</v>
      </c>
      <c r="AH217" s="9" t="n">
        <f aca="false">IF(AND(AH$3&gt;=VST_Assets!$AA$8,AH$3&lt;=VST_Assets!$AB$8),MIN(VST_Assets!$D$8,VST_Assets!$Z$8*MIN(1,(AH$3-VST_Assets!$AA$8+1)/MAX(1,VST_Assets!$AC$8))),0)*AH216</f>
        <v>0</v>
      </c>
      <c r="AI217" s="9" t="n">
        <f aca="false">IF(AND(AI$3&gt;=VST_Assets!$AA$8,AI$3&lt;=VST_Assets!$AB$8),MIN(VST_Assets!$D$8,VST_Assets!$Z$8*MIN(1,(AI$3-VST_Assets!$AA$8+1)/MAX(1,VST_Assets!$AC$8))),0)*AI216</f>
        <v>0</v>
      </c>
      <c r="AJ217" s="9" t="n">
        <f aca="false">IF(AND(AJ$3&gt;=VST_Assets!$AA$8,AJ$3&lt;=VST_Assets!$AB$8),MIN(VST_Assets!$D$8,VST_Assets!$Z$8*MIN(1,(AJ$3-VST_Assets!$AA$8+1)/MAX(1,VST_Assets!$AC$8))),0)*AJ216</f>
        <v>0</v>
      </c>
      <c r="AK217" s="9" t="n">
        <f aca="false">IF(AND(AK$3&gt;=VST_Assets!$AA$8,AK$3&lt;=VST_Assets!$AB$8),MIN(VST_Assets!$D$8,VST_Assets!$Z$8*MIN(1,(AK$3-VST_Assets!$AA$8+1)/MAX(1,VST_Assets!$AC$8))),0)*AK216</f>
        <v>0</v>
      </c>
      <c r="AL217" s="9" t="n">
        <f aca="false">IF(AND(AL$3&gt;=VST_Assets!$AA$8,AL$3&lt;=VST_Assets!$AB$8),MIN(VST_Assets!$D$8,VST_Assets!$Z$8*MIN(1,(AL$3-VST_Assets!$AA$8+1)/MAX(1,VST_Assets!$AC$8))),0)*AL216</f>
        <v>0</v>
      </c>
      <c r="AM217" s="9" t="n">
        <f aca="false">IF(AND(AM$3&gt;=VST_Assets!$AA$8,AM$3&lt;=VST_Assets!$AB$8),MIN(VST_Assets!$D$8,VST_Assets!$Z$8*MIN(1,(AM$3-VST_Assets!$AA$8+1)/MAX(1,VST_Assets!$AC$8))),0)*AM216</f>
        <v>0</v>
      </c>
      <c r="AN217" s="9" t="n">
        <f aca="false">IF(AND(AN$3&gt;=VST_Assets!$AA$8,AN$3&lt;=VST_Assets!$AB$8),MIN(VST_Assets!$D$8,VST_Assets!$Z$8*MIN(1,(AN$3-VST_Assets!$AA$8+1)/MAX(1,VST_Assets!$AC$8))),0)*AN216</f>
        <v>0</v>
      </c>
      <c r="AO217" s="9" t="n">
        <f aca="false">IF(AND(AO$3&gt;=VST_Assets!$AA$8,AO$3&lt;=VST_Assets!$AB$8),MIN(VST_Assets!$D$8,VST_Assets!$Z$8*MIN(1,(AO$3-VST_Assets!$AA$8+1)/MAX(1,VST_Assets!$AC$8))),0)*AO216</f>
        <v>0</v>
      </c>
      <c r="AP217" s="9" t="n">
        <f aca="false">IF(AND(AP$3&gt;=VST_Assets!$AA$8,AP$3&lt;=VST_Assets!$AB$8),MIN(VST_Assets!$D$8,VST_Assets!$Z$8*MIN(1,(AP$3-VST_Assets!$AA$8+1)/MAX(1,VST_Assets!$AC$8))),0)*AP216</f>
        <v>0</v>
      </c>
      <c r="AQ217" s="9" t="n">
        <f aca="false">IF(AND(AQ$3&gt;=VST_Assets!$AA$8,AQ$3&lt;=VST_Assets!$AB$8),MIN(VST_Assets!$D$8,VST_Assets!$Z$8*MIN(1,(AQ$3-VST_Assets!$AA$8+1)/MAX(1,VST_Assets!$AC$8))),0)*AQ216</f>
        <v>0</v>
      </c>
      <c r="AR217" s="9" t="n">
        <f aca="false">IF(AND(AR$3&gt;=VST_Assets!$AA$8,AR$3&lt;=VST_Assets!$AB$8),MIN(VST_Assets!$D$8,VST_Assets!$Z$8*MIN(1,(AR$3-VST_Assets!$AA$8+1)/MAX(1,VST_Assets!$AC$8))),0)*AR216</f>
        <v>0</v>
      </c>
      <c r="AS217" s="9" t="n">
        <f aca="false">IF(AND(AS$3&gt;=VST_Assets!$AA$8,AS$3&lt;=VST_Assets!$AB$8),MIN(VST_Assets!$D$8,VST_Assets!$Z$8*MIN(1,(AS$3-VST_Assets!$AA$8+1)/MAX(1,VST_Assets!$AC$8))),0)*AS216</f>
        <v>0</v>
      </c>
    </row>
    <row r="218" customFormat="false" ht="15" hidden="false" customHeight="false" outlineLevel="0" collapsed="false">
      <c r="A218" s="6" t="s">
        <v>429</v>
      </c>
      <c r="B218" s="6" t="s">
        <v>430</v>
      </c>
      <c r="G218" s="9" t="n">
        <f aca="false">(VST_Assets!$D$8-G217)*8760*VST_Assets!$I$8*G216</f>
        <v>12484314</v>
      </c>
      <c r="H218" s="9" t="n">
        <f aca="false">(VST_Assets!$D$8-H217)*8760*VST_Assets!$I$8*H216</f>
        <v>12484314</v>
      </c>
      <c r="I218" s="9" t="n">
        <f aca="false">(VST_Assets!$D$8-I217)*8760*VST_Assets!$I$8*I216</f>
        <v>12484314</v>
      </c>
      <c r="J218" s="9" t="n">
        <f aca="false">(VST_Assets!$D$8-J217)*8760*VST_Assets!$I$8*J216</f>
        <v>12484314</v>
      </c>
      <c r="K218" s="9" t="n">
        <f aca="false">(VST_Assets!$D$8-K217)*8760*VST_Assets!$I$8*K216</f>
        <v>12484314</v>
      </c>
      <c r="L218" s="9" t="n">
        <f aca="false">(VST_Assets!$D$8-L217)*8760*VST_Assets!$I$8*L216</f>
        <v>12484314</v>
      </c>
      <c r="M218" s="9" t="n">
        <f aca="false">(VST_Assets!$D$8-M217)*8760*VST_Assets!$I$8*M216</f>
        <v>12484314</v>
      </c>
      <c r="N218" s="9" t="n">
        <f aca="false">(VST_Assets!$D$8-N217)*8760*VST_Assets!$I$8*N216</f>
        <v>12484314</v>
      </c>
      <c r="O218" s="9" t="n">
        <f aca="false">(VST_Assets!$D$8-O217)*8760*VST_Assets!$I$8*O216</f>
        <v>12484314</v>
      </c>
      <c r="P218" s="9" t="n">
        <f aca="false">(VST_Assets!$D$8-P217)*8760*VST_Assets!$I$8*P216</f>
        <v>12484314</v>
      </c>
      <c r="Q218" s="9" t="n">
        <f aca="false">(VST_Assets!$D$8-Q217)*8760*VST_Assets!$I$8*Q216</f>
        <v>12484314</v>
      </c>
      <c r="R218" s="9" t="n">
        <f aca="false">(VST_Assets!$D$8-R217)*8760*VST_Assets!$I$8*R216</f>
        <v>12484314</v>
      </c>
      <c r="S218" s="9" t="n">
        <f aca="false">(VST_Assets!$D$8-S217)*8760*VST_Assets!$I$8*S216</f>
        <v>12484314</v>
      </c>
      <c r="T218" s="9" t="n">
        <f aca="false">(VST_Assets!$D$8-T217)*8760*VST_Assets!$I$8*T216</f>
        <v>12484314</v>
      </c>
      <c r="U218" s="9" t="n">
        <f aca="false">(VST_Assets!$D$8-U217)*8760*VST_Assets!$I$8*U216</f>
        <v>12484314</v>
      </c>
      <c r="V218" s="9" t="n">
        <f aca="false">(VST_Assets!$D$8-V217)*8760*VST_Assets!$I$8*V216</f>
        <v>12484314</v>
      </c>
      <c r="W218" s="9" t="n">
        <f aca="false">(VST_Assets!$D$8-W217)*8760*VST_Assets!$I$8*W216</f>
        <v>12484314</v>
      </c>
      <c r="X218" s="9" t="n">
        <f aca="false">(VST_Assets!$D$8-X217)*8760*VST_Assets!$I$8*X216</f>
        <v>12484314</v>
      </c>
      <c r="Y218" s="9" t="n">
        <f aca="false">(VST_Assets!$D$8-Y217)*8760*VST_Assets!$I$8*Y216</f>
        <v>12484314</v>
      </c>
      <c r="Z218" s="9" t="n">
        <f aca="false">(VST_Assets!$D$8-Z217)*8760*VST_Assets!$I$8*Z216</f>
        <v>0</v>
      </c>
      <c r="AA218" s="9" t="n">
        <f aca="false">(VST_Assets!$D$8-AA217)*8760*VST_Assets!$I$8*AA216</f>
        <v>0</v>
      </c>
      <c r="AB218" s="9" t="n">
        <f aca="false">(VST_Assets!$D$8-AB217)*8760*VST_Assets!$I$8*AB216</f>
        <v>0</v>
      </c>
      <c r="AC218" s="9" t="n">
        <f aca="false">(VST_Assets!$D$8-AC217)*8760*VST_Assets!$I$8*AC216</f>
        <v>0</v>
      </c>
      <c r="AD218" s="9" t="n">
        <f aca="false">(VST_Assets!$D$8-AD217)*8760*VST_Assets!$I$8*AD216</f>
        <v>0</v>
      </c>
      <c r="AE218" s="9" t="n">
        <f aca="false">(VST_Assets!$D$8-AE217)*8760*VST_Assets!$I$8*AE216</f>
        <v>0</v>
      </c>
      <c r="AF218" s="9" t="n">
        <f aca="false">(VST_Assets!$D$8-AF217)*8760*VST_Assets!$I$8*AF216</f>
        <v>0</v>
      </c>
      <c r="AG218" s="9" t="n">
        <f aca="false">(VST_Assets!$D$8-AG217)*8760*VST_Assets!$I$8*AG216</f>
        <v>0</v>
      </c>
      <c r="AH218" s="9" t="n">
        <f aca="false">(VST_Assets!$D$8-AH217)*8760*VST_Assets!$I$8*AH216</f>
        <v>0</v>
      </c>
      <c r="AI218" s="9" t="n">
        <f aca="false">(VST_Assets!$D$8-AI217)*8760*VST_Assets!$I$8*AI216</f>
        <v>0</v>
      </c>
      <c r="AJ218" s="9" t="n">
        <f aca="false">(VST_Assets!$D$8-AJ217)*8760*VST_Assets!$I$8*AJ216</f>
        <v>0</v>
      </c>
      <c r="AK218" s="9" t="n">
        <f aca="false">(VST_Assets!$D$8-AK217)*8760*VST_Assets!$I$8*AK216</f>
        <v>0</v>
      </c>
      <c r="AL218" s="9" t="n">
        <f aca="false">(VST_Assets!$D$8-AL217)*8760*VST_Assets!$I$8*AL216</f>
        <v>0</v>
      </c>
      <c r="AM218" s="9" t="n">
        <f aca="false">(VST_Assets!$D$8-AM217)*8760*VST_Assets!$I$8*AM216</f>
        <v>0</v>
      </c>
      <c r="AN218" s="9" t="n">
        <f aca="false">(VST_Assets!$D$8-AN217)*8760*VST_Assets!$I$8*AN216</f>
        <v>0</v>
      </c>
      <c r="AO218" s="9" t="n">
        <f aca="false">(VST_Assets!$D$8-AO217)*8760*VST_Assets!$I$8*AO216</f>
        <v>0</v>
      </c>
      <c r="AP218" s="9" t="n">
        <f aca="false">(VST_Assets!$D$8-AP217)*8760*VST_Assets!$I$8*AP216</f>
        <v>0</v>
      </c>
      <c r="AQ218" s="9" t="n">
        <f aca="false">(VST_Assets!$D$8-AQ217)*8760*VST_Assets!$I$8*AQ216</f>
        <v>0</v>
      </c>
      <c r="AR218" s="9" t="n">
        <f aca="false">(VST_Assets!$D$8-AR217)*8760*VST_Assets!$I$8*AR216</f>
        <v>0</v>
      </c>
      <c r="AS218" s="9" t="n">
        <f aca="false">(VST_Assets!$D$8-AS217)*8760*VST_Assets!$I$8*AS216</f>
        <v>0</v>
      </c>
    </row>
    <row r="219" customFormat="false" ht="15" hidden="false" customHeight="false" outlineLevel="0" collapsed="false">
      <c r="A219" s="6" t="s">
        <v>431</v>
      </c>
      <c r="B219" s="6" t="s">
        <v>432</v>
      </c>
      <c r="G219" s="9" t="n">
        <f aca="false">G217*8760*VST_Assets!$I$8*G216</f>
        <v>0</v>
      </c>
      <c r="H219" s="9" t="n">
        <f aca="false">H217*8760*VST_Assets!$I$8*H216</f>
        <v>0</v>
      </c>
      <c r="I219" s="9" t="n">
        <f aca="false">I217*8760*VST_Assets!$I$8*I216</f>
        <v>0</v>
      </c>
      <c r="J219" s="9" t="n">
        <f aca="false">J217*8760*VST_Assets!$I$8*J216</f>
        <v>0</v>
      </c>
      <c r="K219" s="9" t="n">
        <f aca="false">K217*8760*VST_Assets!$I$8*K216</f>
        <v>0</v>
      </c>
      <c r="L219" s="9" t="n">
        <f aca="false">L217*8760*VST_Assets!$I$8*L216</f>
        <v>0</v>
      </c>
      <c r="M219" s="9" t="n">
        <f aca="false">M217*8760*VST_Assets!$I$8*M216</f>
        <v>0</v>
      </c>
      <c r="N219" s="9" t="n">
        <f aca="false">N217*8760*VST_Assets!$I$8*N216</f>
        <v>0</v>
      </c>
      <c r="O219" s="9" t="n">
        <f aca="false">O217*8760*VST_Assets!$I$8*O216</f>
        <v>0</v>
      </c>
      <c r="P219" s="9" t="n">
        <f aca="false">P217*8760*VST_Assets!$I$8*P216</f>
        <v>0</v>
      </c>
      <c r="Q219" s="9" t="n">
        <f aca="false">Q217*8760*VST_Assets!$I$8*Q216</f>
        <v>0</v>
      </c>
      <c r="R219" s="9" t="n">
        <f aca="false">R217*8760*VST_Assets!$I$8*R216</f>
        <v>0</v>
      </c>
      <c r="S219" s="9" t="n">
        <f aca="false">S217*8760*VST_Assets!$I$8*S216</f>
        <v>0</v>
      </c>
      <c r="T219" s="9" t="n">
        <f aca="false">T217*8760*VST_Assets!$I$8*T216</f>
        <v>0</v>
      </c>
      <c r="U219" s="9" t="n">
        <f aca="false">U217*8760*VST_Assets!$I$8*U216</f>
        <v>0</v>
      </c>
      <c r="V219" s="9" t="n">
        <f aca="false">V217*8760*VST_Assets!$I$8*V216</f>
        <v>0</v>
      </c>
      <c r="W219" s="9" t="n">
        <f aca="false">W217*8760*VST_Assets!$I$8*W216</f>
        <v>0</v>
      </c>
      <c r="X219" s="9" t="n">
        <f aca="false">X217*8760*VST_Assets!$I$8*X216</f>
        <v>0</v>
      </c>
      <c r="Y219" s="9" t="n">
        <f aca="false">Y217*8760*VST_Assets!$I$8*Y216</f>
        <v>0</v>
      </c>
      <c r="Z219" s="9" t="n">
        <f aca="false">Z217*8760*VST_Assets!$I$8*Z216</f>
        <v>0</v>
      </c>
      <c r="AA219" s="9" t="n">
        <f aca="false">AA217*8760*VST_Assets!$I$8*AA216</f>
        <v>0</v>
      </c>
      <c r="AB219" s="9" t="n">
        <f aca="false">AB217*8760*VST_Assets!$I$8*AB216</f>
        <v>0</v>
      </c>
      <c r="AC219" s="9" t="n">
        <f aca="false">AC217*8760*VST_Assets!$I$8*AC216</f>
        <v>0</v>
      </c>
      <c r="AD219" s="9" t="n">
        <f aca="false">AD217*8760*VST_Assets!$I$8*AD216</f>
        <v>0</v>
      </c>
      <c r="AE219" s="9" t="n">
        <f aca="false">AE217*8760*VST_Assets!$I$8*AE216</f>
        <v>0</v>
      </c>
      <c r="AF219" s="9" t="n">
        <f aca="false">AF217*8760*VST_Assets!$I$8*AF216</f>
        <v>0</v>
      </c>
      <c r="AG219" s="9" t="n">
        <f aca="false">AG217*8760*VST_Assets!$I$8*AG216</f>
        <v>0</v>
      </c>
      <c r="AH219" s="9" t="n">
        <f aca="false">AH217*8760*VST_Assets!$I$8*AH216</f>
        <v>0</v>
      </c>
      <c r="AI219" s="9" t="n">
        <f aca="false">AI217*8760*VST_Assets!$I$8*AI216</f>
        <v>0</v>
      </c>
      <c r="AJ219" s="9" t="n">
        <f aca="false">AJ217*8760*VST_Assets!$I$8*AJ216</f>
        <v>0</v>
      </c>
      <c r="AK219" s="9" t="n">
        <f aca="false">AK217*8760*VST_Assets!$I$8*AK216</f>
        <v>0</v>
      </c>
      <c r="AL219" s="9" t="n">
        <f aca="false">AL217*8760*VST_Assets!$I$8*AL216</f>
        <v>0</v>
      </c>
      <c r="AM219" s="9" t="n">
        <f aca="false">AM217*8760*VST_Assets!$I$8*AM216</f>
        <v>0</v>
      </c>
      <c r="AN219" s="9" t="n">
        <f aca="false">AN217*8760*VST_Assets!$I$8*AN216</f>
        <v>0</v>
      </c>
      <c r="AO219" s="9" t="n">
        <f aca="false">AO217*8760*VST_Assets!$I$8*AO216</f>
        <v>0</v>
      </c>
      <c r="AP219" s="9" t="n">
        <f aca="false">AP217*8760*VST_Assets!$I$8*AP216</f>
        <v>0</v>
      </c>
      <c r="AQ219" s="9" t="n">
        <f aca="false">AQ217*8760*VST_Assets!$I$8*AQ216</f>
        <v>0</v>
      </c>
      <c r="AR219" s="9" t="n">
        <f aca="false">AR217*8760*VST_Assets!$I$8*AR216</f>
        <v>0</v>
      </c>
      <c r="AS219" s="9" t="n">
        <f aca="false">AS217*8760*VST_Assets!$I$8*AS216</f>
        <v>0</v>
      </c>
    </row>
    <row r="220" customFormat="false" ht="15" hidden="false" customHeight="false" outlineLevel="0" collapsed="false">
      <c r="A220" s="6" t="s">
        <v>433</v>
      </c>
      <c r="B220" s="6" t="s">
        <v>434</v>
      </c>
      <c r="G220" s="7" t="n">
        <f aca="false">IF(ISNUMBER(VST_Assets!$L$8),VST_Assets!$L$8*G$4,INDEX(Prices!G:G,VST_Assets!$AO$8)+FuelAdder*G$4)</f>
        <v>5.712</v>
      </c>
      <c r="H220" s="7" t="n">
        <f aca="false">IF(ISNUMBER(VST_Assets!$L$8),VST_Assets!$L$8*H$4,INDEX(Prices!H:H,VST_Assets!$AO$8)+FuelAdder*H$4)</f>
        <v>5.82624</v>
      </c>
      <c r="I220" s="7" t="n">
        <f aca="false">IF(ISNUMBER(VST_Assets!$L$8),VST_Assets!$L$8*I$4,INDEX(Prices!I:I,VST_Assets!$AO$8)+FuelAdder*I$4)</f>
        <v>6.0488856</v>
      </c>
      <c r="J220" s="7" t="n">
        <f aca="false">IF(ISNUMBER(VST_Assets!$L$8),VST_Assets!$L$8*J$4,INDEX(Prices!J:J,VST_Assets!$AO$8)+FuelAdder*J$4)</f>
        <v>6.169863312</v>
      </c>
      <c r="K220" s="7" t="n">
        <f aca="false">IF(ISNUMBER(VST_Assets!$L$8),VST_Assets!$L$8*K$4,INDEX(Prices!K:K,VST_Assets!$AO$8)+FuelAdder*K$4)</f>
        <v>6.29326057824</v>
      </c>
      <c r="L220" s="7" t="n">
        <f aca="false">IF(ISNUMBER(VST_Assets!$L$8),VST_Assets!$L$8*L$4,INDEX(Prices!L:L,VST_Assets!$AO$8)+FuelAdder*L$4)</f>
        <v>6.4191257898048</v>
      </c>
      <c r="M220" s="7" t="n">
        <f aca="false">IF(ISNUMBER(VST_Assets!$L$8),VST_Assets!$L$8*M$4,INDEX(Prices!M:M,VST_Assets!$AO$8)+FuelAdder*M$4)</f>
        <v>6.5475083056009</v>
      </c>
      <c r="N220" s="7" t="n">
        <f aca="false">IF(ISNUMBER(VST_Assets!$L$8),VST_Assets!$L$8*N$4,INDEX(Prices!N:N,VST_Assets!$AO$8)+FuelAdder*N$4)</f>
        <v>6.67845847171292</v>
      </c>
      <c r="O220" s="7" t="n">
        <f aca="false">IF(ISNUMBER(VST_Assets!$L$8),VST_Assets!$L$8*O$4,INDEX(Prices!O:O,VST_Assets!$AO$8)+FuelAdder*O$4)</f>
        <v>6.81202764114717</v>
      </c>
      <c r="P220" s="7" t="n">
        <f aca="false">IF(ISNUMBER(VST_Assets!$L$8),VST_Assets!$L$8*P$4,INDEX(Prices!P:P,VST_Assets!$AO$8)+FuelAdder*P$4)</f>
        <v>6.94826819397012</v>
      </c>
      <c r="Q220" s="7" t="n">
        <f aca="false">IF(ISNUMBER(VST_Assets!$L$8),VST_Assets!$L$8*Q$4,INDEX(Prices!Q:Q,VST_Assets!$AO$8)+FuelAdder*Q$4)</f>
        <v>7.08723355784952</v>
      </c>
      <c r="R220" s="7" t="n">
        <f aca="false">IF(ISNUMBER(VST_Assets!$L$8),VST_Assets!$L$8*R$4,INDEX(Prices!R:R,VST_Assets!$AO$8)+FuelAdder*R$4)</f>
        <v>7.22897822900651</v>
      </c>
      <c r="S220" s="7" t="n">
        <f aca="false">IF(ISNUMBER(VST_Assets!$L$8),VST_Assets!$L$8*S$4,INDEX(Prices!S:S,VST_Assets!$AO$8)+FuelAdder*S$4)</f>
        <v>7.37355779358664</v>
      </c>
      <c r="T220" s="7" t="n">
        <f aca="false">IF(ISNUMBER(VST_Assets!$L$8),VST_Assets!$L$8*T$4,INDEX(Prices!T:T,VST_Assets!$AO$8)+FuelAdder*T$4)</f>
        <v>7.52102894945837</v>
      </c>
      <c r="U220" s="7" t="n">
        <f aca="false">IF(ISNUMBER(VST_Assets!$L$8),VST_Assets!$L$8*U$4,INDEX(Prices!U:U,VST_Assets!$AO$8)+FuelAdder*U$4)</f>
        <v>7.67144952844754</v>
      </c>
      <c r="V220" s="7" t="n">
        <f aca="false">IF(ISNUMBER(VST_Assets!$L$8),VST_Assets!$L$8*V$4,INDEX(Prices!V:V,VST_Assets!$AO$8)+FuelAdder*V$4)</f>
        <v>7.82487851901649</v>
      </c>
      <c r="W220" s="7" t="n">
        <f aca="false">IF(ISNUMBER(VST_Assets!$L$8),VST_Assets!$L$8*W$4,INDEX(Prices!W:W,VST_Assets!$AO$8)+FuelAdder*W$4)</f>
        <v>7.98137608939682</v>
      </c>
      <c r="X220" s="7" t="n">
        <f aca="false">IF(ISNUMBER(VST_Assets!$L$8),VST_Assets!$L$8*X$4,INDEX(Prices!X:X,VST_Assets!$AO$8)+FuelAdder*X$4)</f>
        <v>8.14100361118476</v>
      </c>
      <c r="Y220" s="7" t="n">
        <f aca="false">IF(ISNUMBER(VST_Assets!$L$8),VST_Assets!$L$8*Y$4,INDEX(Prices!Y:Y,VST_Assets!$AO$8)+FuelAdder*Y$4)</f>
        <v>8.30382368340845</v>
      </c>
      <c r="Z220" s="7" t="n">
        <f aca="false">IF(ISNUMBER(VST_Assets!$L$8),VST_Assets!$L$8*Z$4,INDEX(Prices!Z:Z,VST_Assets!$AO$8)+FuelAdder*Z$4)</f>
        <v>8.46990015707662</v>
      </c>
      <c r="AA220" s="7" t="n">
        <f aca="false">IF(ISNUMBER(VST_Assets!$L$8),VST_Assets!$L$8*AA$4,INDEX(Prices!AA:AA,VST_Assets!$AO$8)+FuelAdder*AA$4)</f>
        <v>8.63929816021816</v>
      </c>
      <c r="AB220" s="7" t="n">
        <f aca="false">IF(ISNUMBER(VST_Assets!$L$8),VST_Assets!$L$8*AB$4,INDEX(Prices!AB:AB,VST_Assets!$AO$8)+FuelAdder*AB$4)</f>
        <v>8.81208412342252</v>
      </c>
      <c r="AC220" s="7" t="n">
        <f aca="false">IF(ISNUMBER(VST_Assets!$L$8),VST_Assets!$L$8*AC$4,INDEX(Prices!AC:AC,VST_Assets!$AO$8)+FuelAdder*AC$4)</f>
        <v>8.98832580589097</v>
      </c>
      <c r="AD220" s="7" t="n">
        <f aca="false">IF(ISNUMBER(VST_Assets!$L$8),VST_Assets!$L$8*AD$4,INDEX(Prices!AD:AD,VST_Assets!$AO$8)+FuelAdder*AD$4)</f>
        <v>9.16809232200879</v>
      </c>
      <c r="AE220" s="7" t="n">
        <f aca="false">IF(ISNUMBER(VST_Assets!$L$8),VST_Assets!$L$8*AE$4,INDEX(Prices!AE:AE,VST_Assets!$AO$8)+FuelAdder*AE$4)</f>
        <v>9.35145416844897</v>
      </c>
      <c r="AF220" s="7" t="n">
        <f aca="false">IF(ISNUMBER(VST_Assets!$L$8),VST_Assets!$L$8*AF$4,INDEX(Prices!AF:AF,VST_Assets!$AO$8)+FuelAdder*AF$4)</f>
        <v>9.53848325181794</v>
      </c>
      <c r="AG220" s="7" t="n">
        <f aca="false">IF(ISNUMBER(VST_Assets!$L$8),VST_Assets!$L$8*AG$4,INDEX(Prices!AG:AG,VST_Assets!$AO$8)+FuelAdder*AG$4)</f>
        <v>9.7292529168543</v>
      </c>
      <c r="AH220" s="7" t="n">
        <f aca="false">IF(ISNUMBER(VST_Assets!$L$8),VST_Assets!$L$8*AH$4,INDEX(Prices!AH:AH,VST_Assets!$AO$8)+FuelAdder*AH$4)</f>
        <v>9.92383797519139</v>
      </c>
      <c r="AI220" s="7" t="n">
        <f aca="false">IF(ISNUMBER(VST_Assets!$L$8),VST_Assets!$L$8*AI$4,INDEX(Prices!AI:AI,VST_Assets!$AO$8)+FuelAdder*AI$4)</f>
        <v>10.1223147346952</v>
      </c>
      <c r="AJ220" s="7" t="n">
        <f aca="false">IF(ISNUMBER(VST_Assets!$L$8),VST_Assets!$L$8*AJ$4,INDEX(Prices!AJ:AJ,VST_Assets!$AO$8)+FuelAdder*AJ$4)</f>
        <v>10.3247610293891</v>
      </c>
      <c r="AK220" s="7" t="n">
        <f aca="false">IF(ISNUMBER(VST_Assets!$L$8),VST_Assets!$L$8*AK$4,INDEX(Prices!AK:AK,VST_Assets!$AO$8)+FuelAdder*AK$4)</f>
        <v>10.5312562499769</v>
      </c>
      <c r="AL220" s="7" t="n">
        <f aca="false">IF(ISNUMBER(VST_Assets!$L$8),VST_Assets!$L$8*AL$4,INDEX(Prices!AL:AL,VST_Assets!$AO$8)+FuelAdder*AL$4)</f>
        <v>10.7418813749764</v>
      </c>
      <c r="AM220" s="7" t="n">
        <f aca="false">IF(ISNUMBER(VST_Assets!$L$8),VST_Assets!$L$8*AM$4,INDEX(Prices!AM:AM,VST_Assets!$AO$8)+FuelAdder*AM$4)</f>
        <v>10.956719002476</v>
      </c>
      <c r="AN220" s="7" t="n">
        <f aca="false">IF(ISNUMBER(VST_Assets!$L$8),VST_Assets!$L$8*AN$4,INDEX(Prices!AN:AN,VST_Assets!$AO$8)+FuelAdder*AN$4)</f>
        <v>11.1758533825255</v>
      </c>
      <c r="AO220" s="7" t="n">
        <f aca="false">IF(ISNUMBER(VST_Assets!$L$8),VST_Assets!$L$8*AO$4,INDEX(Prices!AO:AO,VST_Assets!$AO$8)+FuelAdder*AO$4)</f>
        <v>11.399370450176</v>
      </c>
      <c r="AP220" s="7" t="n">
        <f aca="false">IF(ISNUMBER(VST_Assets!$L$8),VST_Assets!$L$8*AP$4,INDEX(Prices!AP:AP,VST_Assets!$AO$8)+FuelAdder*AP$4)</f>
        <v>11.6273578591795</v>
      </c>
      <c r="AQ220" s="7" t="n">
        <f aca="false">IF(ISNUMBER(VST_Assets!$L$8),VST_Assets!$L$8*AQ$4,INDEX(Prices!AQ:AQ,VST_Assets!$AO$8)+FuelAdder*AQ$4)</f>
        <v>11.8599050163631</v>
      </c>
      <c r="AR220" s="7" t="n">
        <f aca="false">IF(ISNUMBER(VST_Assets!$L$8),VST_Assets!$L$8*AR$4,INDEX(Prices!AR:AR,VST_Assets!$AO$8)+FuelAdder*AR$4)</f>
        <v>12.0971031166904</v>
      </c>
      <c r="AS220" s="7" t="n">
        <f aca="false">IF(ISNUMBER(VST_Assets!$L$8),VST_Assets!$L$8*AS$4,INDEX(Prices!AS:AS,VST_Assets!$AO$8)+FuelAdder*AS$4)</f>
        <v>12.3390451790242</v>
      </c>
    </row>
    <row r="221" customFormat="false" ht="15" hidden="false" customHeight="false" outlineLevel="0" collapsed="false">
      <c r="A221" s="6" t="s">
        <v>435</v>
      </c>
      <c r="B221" s="6" t="s">
        <v>436</v>
      </c>
      <c r="G221" s="7" t="n">
        <f aca="false">INDEX(Prices!G:G,VST_Assets!$AN$8)*VST_Assets!$J$8-VST_Assets!$K$8*G220-VST_Assets!$M$8*G$4</f>
        <v>36.9516</v>
      </c>
      <c r="H221" s="7" t="n">
        <f aca="false">INDEX(Prices!H:H,VST_Assets!$AN$8)*VST_Assets!$J$8-VST_Assets!$K$8*H220-VST_Assets!$M$8*H$4</f>
        <v>37.191672</v>
      </c>
      <c r="I221" s="7" t="n">
        <f aca="false">INDEX(Prices!I:I,VST_Assets!$AN$8)*VST_Assets!$J$8-VST_Assets!$K$8*I220-VST_Assets!$M$8*I$4</f>
        <v>28.6614754506</v>
      </c>
      <c r="J221" s="7" t="n">
        <f aca="false">INDEX(Prices!J:J,VST_Assets!$AN$8)*VST_Assets!$J$8-VST_Assets!$K$8*J220-VST_Assets!$M$8*J$4</f>
        <v>25.713338325624</v>
      </c>
      <c r="K221" s="7" t="n">
        <f aca="false">INDEX(Prices!K:K,VST_Assets!$AN$8)*VST_Assets!$J$8-VST_Assets!$K$8*K220-VST_Assets!$M$8*K$4</f>
        <v>26.2276050921365</v>
      </c>
      <c r="L221" s="7" t="n">
        <f aca="false">INDEX(Prices!L:L,VST_Assets!$AN$8)*VST_Assets!$J$8-VST_Assets!$K$8*L220-VST_Assets!$M$8*L$4</f>
        <v>26.7521571939792</v>
      </c>
      <c r="M221" s="7" t="n">
        <f aca="false">INDEX(Prices!M:M,VST_Assets!$AN$8)*VST_Assets!$J$8-VST_Assets!$K$8*M220-VST_Assets!$M$8*M$4</f>
        <v>27.2872003378588</v>
      </c>
      <c r="N221" s="7" t="n">
        <f aca="false">INDEX(Prices!N:N,VST_Assets!$AN$8)*VST_Assets!$J$8-VST_Assets!$K$8*N220-VST_Assets!$M$8*N$4</f>
        <v>27.832944344616</v>
      </c>
      <c r="O221" s="7" t="n">
        <f aca="false">INDEX(Prices!O:O,VST_Assets!$AN$8)*VST_Assets!$J$8-VST_Assets!$K$8*O220-VST_Assets!$M$8*O$4</f>
        <v>28.3896032315083</v>
      </c>
      <c r="P221" s="7" t="n">
        <f aca="false">INDEX(Prices!P:P,VST_Assets!$AN$8)*VST_Assets!$J$8-VST_Assets!$K$8*P220-VST_Assets!$M$8*P$4</f>
        <v>28.9573952961385</v>
      </c>
      <c r="Q221" s="7" t="n">
        <f aca="false">INDEX(Prices!Q:Q,VST_Assets!$AN$8)*VST_Assets!$J$8-VST_Assets!$K$8*Q220-VST_Assets!$M$8*Q$4</f>
        <v>29.5365432020612</v>
      </c>
      <c r="R221" s="7" t="n">
        <f aca="false">INDEX(Prices!R:R,VST_Assets!$AN$8)*VST_Assets!$J$8-VST_Assets!$K$8*R220-VST_Assets!$M$8*R$4</f>
        <v>30.1272740661025</v>
      </c>
      <c r="S221" s="7" t="n">
        <f aca="false">INDEX(Prices!S:S,VST_Assets!$AN$8)*VST_Assets!$J$8-VST_Assets!$K$8*S220-VST_Assets!$M$8*S$4</f>
        <v>30.7298195474245</v>
      </c>
      <c r="T221" s="7" t="n">
        <f aca="false">INDEX(Prices!T:T,VST_Assets!$AN$8)*VST_Assets!$J$8-VST_Assets!$K$8*T220-VST_Assets!$M$8*T$4</f>
        <v>31.344415938373</v>
      </c>
      <c r="U221" s="7" t="n">
        <f aca="false">INDEX(Prices!U:U,VST_Assets!$AN$8)*VST_Assets!$J$8-VST_Assets!$K$8*U220-VST_Assets!$M$8*U$4</f>
        <v>31.9713042571405</v>
      </c>
      <c r="V221" s="7" t="n">
        <f aca="false">INDEX(Prices!V:V,VST_Assets!$AN$8)*VST_Assets!$J$8-VST_Assets!$K$8*V220-VST_Assets!$M$8*V$4</f>
        <v>32.6107303422833</v>
      </c>
      <c r="W221" s="7" t="n">
        <f aca="false">INDEX(Prices!W:W,VST_Assets!$AN$8)*VST_Assets!$J$8-VST_Assets!$K$8*W220-VST_Assets!$M$8*W$4</f>
        <v>33.262944949129</v>
      </c>
      <c r="X221" s="7" t="n">
        <f aca="false">INDEX(Prices!X:X,VST_Assets!$AN$8)*VST_Assets!$J$8-VST_Assets!$K$8*X220-VST_Assets!$M$8*X$4</f>
        <v>33.9282038481115</v>
      </c>
      <c r="Y221" s="7" t="n">
        <f aca="false">INDEX(Prices!Y:Y,VST_Assets!$AN$8)*VST_Assets!$J$8-VST_Assets!$K$8*Y220-VST_Assets!$M$8*Y$4</f>
        <v>34.6067679250738</v>
      </c>
      <c r="Z221" s="7" t="n">
        <f aca="false">INDEX(Prices!Z:Z,VST_Assets!$AN$8)*VST_Assets!$J$8-VST_Assets!$K$8*Z220-VST_Assets!$M$8*Z$4</f>
        <v>35.2989032835752</v>
      </c>
      <c r="AA221" s="7" t="n">
        <f aca="false">INDEX(Prices!AA:AA,VST_Assets!$AN$8)*VST_Assets!$J$8-VST_Assets!$K$8*AA220-VST_Assets!$M$8*AA$4</f>
        <v>36.0048813492467</v>
      </c>
      <c r="AB221" s="7" t="n">
        <f aca="false">INDEX(Prices!AB:AB,VST_Assets!$AN$8)*VST_Assets!$J$8-VST_Assets!$K$8*AB220-VST_Assets!$M$8*AB$4</f>
        <v>36.7249789762317</v>
      </c>
      <c r="AC221" s="7" t="n">
        <f aca="false">INDEX(Prices!AC:AC,VST_Assets!$AN$8)*VST_Assets!$J$8-VST_Assets!$K$8*AC220-VST_Assets!$M$8*AC$4</f>
        <v>37.4594785557563</v>
      </c>
      <c r="AD221" s="7" t="n">
        <f aca="false">INDEX(Prices!AD:AD,VST_Assets!$AN$8)*VST_Assets!$J$8-VST_Assets!$K$8*AD220-VST_Assets!$M$8*AD$4</f>
        <v>38.2086681268714</v>
      </c>
      <c r="AE221" s="7" t="n">
        <f aca="false">INDEX(Prices!AE:AE,VST_Assets!$AN$8)*VST_Assets!$J$8-VST_Assets!$K$8*AE220-VST_Assets!$M$8*AE$4</f>
        <v>38.9728414894089</v>
      </c>
      <c r="AF221" s="7" t="n">
        <f aca="false">INDEX(Prices!AF:AF,VST_Assets!$AN$8)*VST_Assets!$J$8-VST_Assets!$K$8*AF220-VST_Assets!$M$8*AF$4</f>
        <v>39.752298319197</v>
      </c>
      <c r="AG221" s="7" t="n">
        <f aca="false">INDEX(Prices!AG:AG,VST_Assets!$AN$8)*VST_Assets!$J$8-VST_Assets!$K$8*AG220-VST_Assets!$M$8*AG$4</f>
        <v>40.547344285581</v>
      </c>
      <c r="AH221" s="7" t="n">
        <f aca="false">INDEX(Prices!AH:AH,VST_Assets!$AN$8)*VST_Assets!$J$8-VST_Assets!$K$8*AH220-VST_Assets!$M$8*AH$4</f>
        <v>41.3582911712926</v>
      </c>
      <c r="AI221" s="7" t="n">
        <f aca="false">INDEX(Prices!AI:AI,VST_Assets!$AN$8)*VST_Assets!$J$8-VST_Assets!$K$8*AI220-VST_Assets!$M$8*AI$4</f>
        <v>42.1854569947184</v>
      </c>
      <c r="AJ221" s="7" t="n">
        <f aca="false">INDEX(Prices!AJ:AJ,VST_Assets!$AN$8)*VST_Assets!$J$8-VST_Assets!$K$8*AJ220-VST_Assets!$M$8*AJ$4</f>
        <v>43.0291661346128</v>
      </c>
      <c r="AK221" s="7" t="n">
        <f aca="false">INDEX(Prices!AK:AK,VST_Assets!$AN$8)*VST_Assets!$J$8-VST_Assets!$K$8*AK220-VST_Assets!$M$8*AK$4</f>
        <v>43.8897494573051</v>
      </c>
      <c r="AL221" s="7" t="n">
        <f aca="false">INDEX(Prices!AL:AL,VST_Assets!$AN$8)*VST_Assets!$J$8-VST_Assets!$K$8*AL220-VST_Assets!$M$8*AL$4</f>
        <v>44.7675444464512</v>
      </c>
      <c r="AM221" s="7" t="n">
        <f aca="false">INDEX(Prices!AM:AM,VST_Assets!$AN$8)*VST_Assets!$J$8-VST_Assets!$K$8*AM220-VST_Assets!$M$8*AM$4</f>
        <v>45.6628953353802</v>
      </c>
      <c r="AN221" s="7" t="n">
        <f aca="false">INDEX(Prices!AN:AN,VST_Assets!$AN$8)*VST_Assets!$J$8-VST_Assets!$K$8*AN220-VST_Assets!$M$8*AN$4</f>
        <v>46.5761532420878</v>
      </c>
      <c r="AO221" s="7" t="n">
        <f aca="false">INDEX(Prices!AO:AO,VST_Assets!$AN$8)*VST_Assets!$J$8-VST_Assets!$K$8*AO220-VST_Assets!$M$8*AO$4</f>
        <v>47.5076763069296</v>
      </c>
      <c r="AP221" s="7" t="n">
        <f aca="false">INDEX(Prices!AP:AP,VST_Assets!$AN$8)*VST_Assets!$J$8-VST_Assets!$K$8*AP220-VST_Assets!$M$8*AP$4</f>
        <v>48.4578298330681</v>
      </c>
      <c r="AQ221" s="7" t="n">
        <f aca="false">INDEX(Prices!AQ:AQ,VST_Assets!$AN$8)*VST_Assets!$J$8-VST_Assets!$K$8*AQ220-VST_Assets!$M$8*AQ$4</f>
        <v>49.4269864297295</v>
      </c>
      <c r="AR221" s="7" t="n">
        <f aca="false">INDEX(Prices!AR:AR,VST_Assets!$AN$8)*VST_Assets!$J$8-VST_Assets!$K$8*AR220-VST_Assets!$M$8*AR$4</f>
        <v>50.4155261583241</v>
      </c>
      <c r="AS221" s="7" t="n">
        <f aca="false">INDEX(Prices!AS:AS,VST_Assets!$AN$8)*VST_Assets!$J$8-VST_Assets!$K$8*AS220-VST_Assets!$M$8*AS$4</f>
        <v>51.4238366814906</v>
      </c>
    </row>
    <row r="222" customFormat="false" ht="15" hidden="false" customHeight="false" outlineLevel="0" collapsed="false">
      <c r="A222" s="6" t="s">
        <v>437</v>
      </c>
      <c r="B222" s="6" t="s">
        <v>438</v>
      </c>
      <c r="G222" s="47" t="n">
        <f aca="false">IF(VST_Assets!$X$8=1,IF(G221&gt;0,1,0),1)</f>
        <v>1</v>
      </c>
      <c r="H222" s="47" t="n">
        <f aca="false">IF(VST_Assets!$X$8=1,IF(H221&gt;0,1,0),1)</f>
        <v>1</v>
      </c>
      <c r="I222" s="47" t="n">
        <f aca="false">IF(VST_Assets!$X$8=1,IF(I221&gt;0,1,0),1)</f>
        <v>1</v>
      </c>
      <c r="J222" s="47" t="n">
        <f aca="false">IF(VST_Assets!$X$8=1,IF(J221&gt;0,1,0),1)</f>
        <v>1</v>
      </c>
      <c r="K222" s="47" t="n">
        <f aca="false">IF(VST_Assets!$X$8=1,IF(K221&gt;0,1,0),1)</f>
        <v>1</v>
      </c>
      <c r="L222" s="47" t="n">
        <f aca="false">IF(VST_Assets!$X$8=1,IF(L221&gt;0,1,0),1)</f>
        <v>1</v>
      </c>
      <c r="M222" s="47" t="n">
        <f aca="false">IF(VST_Assets!$X$8=1,IF(M221&gt;0,1,0),1)</f>
        <v>1</v>
      </c>
      <c r="N222" s="47" t="n">
        <f aca="false">IF(VST_Assets!$X$8=1,IF(N221&gt;0,1,0),1)</f>
        <v>1</v>
      </c>
      <c r="O222" s="47" t="n">
        <f aca="false">IF(VST_Assets!$X$8=1,IF(O221&gt;0,1,0),1)</f>
        <v>1</v>
      </c>
      <c r="P222" s="47" t="n">
        <f aca="false">IF(VST_Assets!$X$8=1,IF(P221&gt;0,1,0),1)</f>
        <v>1</v>
      </c>
      <c r="Q222" s="47" t="n">
        <f aca="false">IF(VST_Assets!$X$8=1,IF(Q221&gt;0,1,0),1)</f>
        <v>1</v>
      </c>
      <c r="R222" s="47" t="n">
        <f aca="false">IF(VST_Assets!$X$8=1,IF(R221&gt;0,1,0),1)</f>
        <v>1</v>
      </c>
      <c r="S222" s="47" t="n">
        <f aca="false">IF(VST_Assets!$X$8=1,IF(S221&gt;0,1,0),1)</f>
        <v>1</v>
      </c>
      <c r="T222" s="47" t="n">
        <f aca="false">IF(VST_Assets!$X$8=1,IF(T221&gt;0,1,0),1)</f>
        <v>1</v>
      </c>
      <c r="U222" s="47" t="n">
        <f aca="false">IF(VST_Assets!$X$8=1,IF(U221&gt;0,1,0),1)</f>
        <v>1</v>
      </c>
      <c r="V222" s="47" t="n">
        <f aca="false">IF(VST_Assets!$X$8=1,IF(V221&gt;0,1,0),1)</f>
        <v>1</v>
      </c>
      <c r="W222" s="47" t="n">
        <f aca="false">IF(VST_Assets!$X$8=1,IF(W221&gt;0,1,0),1)</f>
        <v>1</v>
      </c>
      <c r="X222" s="47" t="n">
        <f aca="false">IF(VST_Assets!$X$8=1,IF(X221&gt;0,1,0),1)</f>
        <v>1</v>
      </c>
      <c r="Y222" s="47" t="n">
        <f aca="false">IF(VST_Assets!$X$8=1,IF(Y221&gt;0,1,0),1)</f>
        <v>1</v>
      </c>
      <c r="Z222" s="47" t="n">
        <f aca="false">IF(VST_Assets!$X$8=1,IF(Z221&gt;0,1,0),1)</f>
        <v>1</v>
      </c>
      <c r="AA222" s="47" t="n">
        <f aca="false">IF(VST_Assets!$X$8=1,IF(AA221&gt;0,1,0),1)</f>
        <v>1</v>
      </c>
      <c r="AB222" s="47" t="n">
        <f aca="false">IF(VST_Assets!$X$8=1,IF(AB221&gt;0,1,0),1)</f>
        <v>1</v>
      </c>
      <c r="AC222" s="47" t="n">
        <f aca="false">IF(VST_Assets!$X$8=1,IF(AC221&gt;0,1,0),1)</f>
        <v>1</v>
      </c>
      <c r="AD222" s="47" t="n">
        <f aca="false">IF(VST_Assets!$X$8=1,IF(AD221&gt;0,1,0),1)</f>
        <v>1</v>
      </c>
      <c r="AE222" s="47" t="n">
        <f aca="false">IF(VST_Assets!$X$8=1,IF(AE221&gt;0,1,0),1)</f>
        <v>1</v>
      </c>
      <c r="AF222" s="47" t="n">
        <f aca="false">IF(VST_Assets!$X$8=1,IF(AF221&gt;0,1,0),1)</f>
        <v>1</v>
      </c>
      <c r="AG222" s="47" t="n">
        <f aca="false">IF(VST_Assets!$X$8=1,IF(AG221&gt;0,1,0),1)</f>
        <v>1</v>
      </c>
      <c r="AH222" s="47" t="n">
        <f aca="false">IF(VST_Assets!$X$8=1,IF(AH221&gt;0,1,0),1)</f>
        <v>1</v>
      </c>
      <c r="AI222" s="47" t="n">
        <f aca="false">IF(VST_Assets!$X$8=1,IF(AI221&gt;0,1,0),1)</f>
        <v>1</v>
      </c>
      <c r="AJ222" s="47" t="n">
        <f aca="false">IF(VST_Assets!$X$8=1,IF(AJ221&gt;0,1,0),1)</f>
        <v>1</v>
      </c>
      <c r="AK222" s="47" t="n">
        <f aca="false">IF(VST_Assets!$X$8=1,IF(AK221&gt;0,1,0),1)</f>
        <v>1</v>
      </c>
      <c r="AL222" s="47" t="n">
        <f aca="false">IF(VST_Assets!$X$8=1,IF(AL221&gt;0,1,0),1)</f>
        <v>1</v>
      </c>
      <c r="AM222" s="47" t="n">
        <f aca="false">IF(VST_Assets!$X$8=1,IF(AM221&gt;0,1,0),1)</f>
        <v>1</v>
      </c>
      <c r="AN222" s="47" t="n">
        <f aca="false">IF(VST_Assets!$X$8=1,IF(AN221&gt;0,1,0),1)</f>
        <v>1</v>
      </c>
      <c r="AO222" s="47" t="n">
        <f aca="false">IF(VST_Assets!$X$8=1,IF(AO221&gt;0,1,0),1)</f>
        <v>1</v>
      </c>
      <c r="AP222" s="47" t="n">
        <f aca="false">IF(VST_Assets!$X$8=1,IF(AP221&gt;0,1,0),1)</f>
        <v>1</v>
      </c>
      <c r="AQ222" s="47" t="n">
        <f aca="false">IF(VST_Assets!$X$8=1,IF(AQ221&gt;0,1,0),1)</f>
        <v>1</v>
      </c>
      <c r="AR222" s="47" t="n">
        <f aca="false">IF(VST_Assets!$X$8=1,IF(AR221&gt;0,1,0),1)</f>
        <v>1</v>
      </c>
      <c r="AS222" s="47" t="n">
        <f aca="false">IF(VST_Assets!$X$8=1,IF(AS221&gt;0,1,0),1)</f>
        <v>1</v>
      </c>
    </row>
    <row r="223" customFormat="false" ht="15" hidden="false" customHeight="false" outlineLevel="0" collapsed="false">
      <c r="A223" s="6" t="s">
        <v>439</v>
      </c>
      <c r="B223" s="6" t="s">
        <v>440</v>
      </c>
      <c r="C223" s="9" t="n">
        <f aca="false">SUM(G223:AS223)</f>
        <v>20202.9203826769</v>
      </c>
      <c r="G223" s="8" t="n">
        <f aca="false">G218*INDEX(Prices!G:G,VST_Assets!$AN$8)*VST_Assets!$J$8*G222/1000000*(1+VST_RevAdj)</f>
        <v>1019.319269472</v>
      </c>
      <c r="H223" s="8" t="n">
        <f aca="false">H218*INDEX(Prices!H:H,VST_Assets!$AN$8)*VST_Assets!$J$8*H222/1000000*(1+VST_RevAdj)</f>
        <v>1033.476481548</v>
      </c>
      <c r="I223" s="8" t="n">
        <f aca="false">I218*INDEX(Prices!I:I,VST_Assets!$AN$8)*VST_Assets!$J$8*I222/1000000*(1+VST_RevAdj)</f>
        <v>947.904995547619</v>
      </c>
      <c r="J223" s="8" t="n">
        <f aca="false">J218*INDEX(Prices!J:J,VST_Assets!$AN$8)*VST_Assets!$J$8*J222/1000000*(1+VST_RevAdj)</f>
        <v>922.901248690742</v>
      </c>
      <c r="K223" s="8" t="n">
        <f aca="false">K218*INDEX(Prices!K:K,VST_Assets!$AN$8)*VST_Assets!$J$8*K222/1000000*(1+VST_RevAdj)</f>
        <v>941.359273664557</v>
      </c>
      <c r="L223" s="8" t="n">
        <f aca="false">L218*INDEX(Prices!L:L,VST_Assets!$AN$8)*VST_Assets!$J$8*L222/1000000*(1+VST_RevAdj)</f>
        <v>960.186459137848</v>
      </c>
      <c r="M223" s="8" t="n">
        <f aca="false">M218*INDEX(Prices!M:M,VST_Assets!$AN$8)*VST_Assets!$J$8*M222/1000000*(1+VST_RevAdj)</f>
        <v>979.390188320605</v>
      </c>
      <c r="N223" s="8" t="n">
        <f aca="false">N218*INDEX(Prices!N:N,VST_Assets!$AN$8)*VST_Assets!$J$8*N222/1000000*(1+VST_RevAdj)</f>
        <v>998.977992087017</v>
      </c>
      <c r="O223" s="8" t="n">
        <f aca="false">O218*INDEX(Prices!O:O,VST_Assets!$AN$8)*VST_Assets!$J$8*O222/1000000*(1+VST_RevAdj)</f>
        <v>1018.95755192876</v>
      </c>
      <c r="P223" s="8" t="n">
        <f aca="false">P218*INDEX(Prices!P:P,VST_Assets!$AN$8)*VST_Assets!$J$8*P222/1000000*(1+VST_RevAdj)</f>
        <v>1039.33670296733</v>
      </c>
      <c r="Q223" s="8" t="n">
        <f aca="false">Q218*INDEX(Prices!Q:Q,VST_Assets!$AN$8)*VST_Assets!$J$8*Q222/1000000*(1+VST_RevAdj)</f>
        <v>1060.12343702668</v>
      </c>
      <c r="R223" s="8" t="n">
        <f aca="false">R218*INDEX(Prices!R:R,VST_Assets!$AN$8)*VST_Assets!$J$8*R222/1000000*(1+VST_RevAdj)</f>
        <v>1081.32590576721</v>
      </c>
      <c r="S223" s="8" t="n">
        <f aca="false">S218*INDEX(Prices!S:S,VST_Assets!$AN$8)*VST_Assets!$J$8*S222/1000000*(1+VST_RevAdj)</f>
        <v>1102.95242388256</v>
      </c>
      <c r="T223" s="8" t="n">
        <f aca="false">T218*INDEX(Prices!T:T,VST_Assets!$AN$8)*VST_Assets!$J$8*T222/1000000*(1+VST_RevAdj)</f>
        <v>1125.01147236021</v>
      </c>
      <c r="U223" s="8" t="n">
        <f aca="false">U218*INDEX(Prices!U:U,VST_Assets!$AN$8)*VST_Assets!$J$8*U222/1000000*(1+VST_RevAdj)</f>
        <v>1147.51170180741</v>
      </c>
      <c r="V223" s="8" t="n">
        <f aca="false">V218*INDEX(Prices!V:V,VST_Assets!$AN$8)*VST_Assets!$J$8*V222/1000000*(1+VST_RevAdj)</f>
        <v>1170.46193584356</v>
      </c>
      <c r="W223" s="8" t="n">
        <f aca="false">W218*INDEX(Prices!W:W,VST_Assets!$AN$8)*VST_Assets!$J$8*W222/1000000*(1+VST_RevAdj)</f>
        <v>1193.87117456043</v>
      </c>
      <c r="X223" s="8" t="n">
        <f aca="false">X218*INDEX(Prices!X:X,VST_Assets!$AN$8)*VST_Assets!$J$8*X222/1000000*(1+VST_RevAdj)</f>
        <v>1217.74859805164</v>
      </c>
      <c r="Y223" s="8" t="n">
        <f aca="false">Y218*INDEX(Prices!Y:Y,VST_Assets!$AN$8)*VST_Assets!$J$8*Y222/1000000*(1+VST_RevAdj)</f>
        <v>1242.10357001267</v>
      </c>
      <c r="Z223" s="8" t="n">
        <f aca="false">Z218*INDEX(Prices!Z:Z,VST_Assets!$AN$8)*VST_Assets!$J$8*Z222/1000000*(1+VST_RevAdj)</f>
        <v>0</v>
      </c>
      <c r="AA223" s="8" t="n">
        <f aca="false">AA218*INDEX(Prices!AA:AA,VST_Assets!$AN$8)*VST_Assets!$J$8*AA222/1000000*(1+VST_RevAdj)</f>
        <v>0</v>
      </c>
      <c r="AB223" s="8" t="n">
        <f aca="false">AB218*INDEX(Prices!AB:AB,VST_Assets!$AN$8)*VST_Assets!$J$8*AB222/1000000*(1+VST_RevAdj)</f>
        <v>0</v>
      </c>
      <c r="AC223" s="8" t="n">
        <f aca="false">AC218*INDEX(Prices!AC:AC,VST_Assets!$AN$8)*VST_Assets!$J$8*AC222/1000000*(1+VST_RevAdj)</f>
        <v>0</v>
      </c>
      <c r="AD223" s="8" t="n">
        <f aca="false">AD218*INDEX(Prices!AD:AD,VST_Assets!$AN$8)*VST_Assets!$J$8*AD222/1000000*(1+VST_RevAdj)</f>
        <v>0</v>
      </c>
      <c r="AE223" s="8" t="n">
        <f aca="false">AE218*INDEX(Prices!AE:AE,VST_Assets!$AN$8)*VST_Assets!$J$8*AE222/1000000*(1+VST_RevAdj)</f>
        <v>0</v>
      </c>
      <c r="AF223" s="8" t="n">
        <f aca="false">AF218*INDEX(Prices!AF:AF,VST_Assets!$AN$8)*VST_Assets!$J$8*AF222/1000000*(1+VST_RevAdj)</f>
        <v>0</v>
      </c>
      <c r="AG223" s="8" t="n">
        <f aca="false">AG218*INDEX(Prices!AG:AG,VST_Assets!$AN$8)*VST_Assets!$J$8*AG222/1000000*(1+VST_RevAdj)</f>
        <v>0</v>
      </c>
      <c r="AH223" s="8" t="n">
        <f aca="false">AH218*INDEX(Prices!AH:AH,VST_Assets!$AN$8)*VST_Assets!$J$8*AH222/1000000*(1+VST_RevAdj)</f>
        <v>0</v>
      </c>
      <c r="AI223" s="8" t="n">
        <f aca="false">AI218*INDEX(Prices!AI:AI,VST_Assets!$AN$8)*VST_Assets!$J$8*AI222/1000000*(1+VST_RevAdj)</f>
        <v>0</v>
      </c>
      <c r="AJ223" s="8" t="n">
        <f aca="false">AJ218*INDEX(Prices!AJ:AJ,VST_Assets!$AN$8)*VST_Assets!$J$8*AJ222/1000000*(1+VST_RevAdj)</f>
        <v>0</v>
      </c>
      <c r="AK223" s="8" t="n">
        <f aca="false">AK218*INDEX(Prices!AK:AK,VST_Assets!$AN$8)*VST_Assets!$J$8*AK222/1000000*(1+VST_RevAdj)</f>
        <v>0</v>
      </c>
      <c r="AL223" s="8" t="n">
        <f aca="false">AL218*INDEX(Prices!AL:AL,VST_Assets!$AN$8)*VST_Assets!$J$8*AL222/1000000*(1+VST_RevAdj)</f>
        <v>0</v>
      </c>
      <c r="AM223" s="8" t="n">
        <f aca="false">AM218*INDEX(Prices!AM:AM,VST_Assets!$AN$8)*VST_Assets!$J$8*AM222/1000000*(1+VST_RevAdj)</f>
        <v>0</v>
      </c>
      <c r="AN223" s="8" t="n">
        <f aca="false">AN218*INDEX(Prices!AN:AN,VST_Assets!$AN$8)*VST_Assets!$J$8*AN222/1000000*(1+VST_RevAdj)</f>
        <v>0</v>
      </c>
      <c r="AO223" s="8" t="n">
        <f aca="false">AO218*INDEX(Prices!AO:AO,VST_Assets!$AN$8)*VST_Assets!$J$8*AO222/1000000*(1+VST_RevAdj)</f>
        <v>0</v>
      </c>
      <c r="AP223" s="8" t="n">
        <f aca="false">AP218*INDEX(Prices!AP:AP,VST_Assets!$AN$8)*VST_Assets!$J$8*AP222/1000000*(1+VST_RevAdj)</f>
        <v>0</v>
      </c>
      <c r="AQ223" s="8" t="n">
        <f aca="false">AQ218*INDEX(Prices!AQ:AQ,VST_Assets!$AN$8)*VST_Assets!$J$8*AQ222/1000000*(1+VST_RevAdj)</f>
        <v>0</v>
      </c>
      <c r="AR223" s="8" t="n">
        <f aca="false">AR218*INDEX(Prices!AR:AR,VST_Assets!$AN$8)*VST_Assets!$J$8*AR222/1000000*(1+VST_RevAdj)</f>
        <v>0</v>
      </c>
      <c r="AS223" s="8" t="n">
        <f aca="false">AS218*INDEX(Prices!AS:AS,VST_Assets!$AN$8)*VST_Assets!$J$8*AS222/1000000*(1+VST_RevAdj)</f>
        <v>0</v>
      </c>
    </row>
    <row r="224" customFormat="false" ht="15" hidden="false" customHeight="false" outlineLevel="0" collapsed="false">
      <c r="A224" s="6" t="s">
        <v>441</v>
      </c>
      <c r="B224" s="6" t="s">
        <v>442</v>
      </c>
      <c r="C224" s="9" t="n">
        <f aca="false">SUM(G224:AS224)</f>
        <v>2310.6550128869</v>
      </c>
      <c r="G224" s="8" t="n">
        <f aca="false">(VST_Assets!$D$8-G217)*INDEX(Prices!G:G,VST_Assets!$AP$8)*365*VST_Assets!$T$8*G216/1000000*(1+VST_RevAdj)</f>
        <v>101.16455778</v>
      </c>
      <c r="H224" s="8" t="n">
        <f aca="false">(VST_Assets!$D$8-H217)*INDEX(Prices!H:H,VST_Assets!$AP$8)*365*VST_Assets!$T$8*H216/1000000*(1+VST_RevAdj)</f>
        <v>103.1878489356</v>
      </c>
      <c r="I224" s="8" t="n">
        <f aca="false">(VST_Assets!$D$8-I217)*INDEX(Prices!I:I,VST_Assets!$AP$8)*365*VST_Assets!$T$8*I216/1000000*(1+VST_RevAdj)</f>
        <v>105.251605914312</v>
      </c>
      <c r="J224" s="8" t="n">
        <f aca="false">(VST_Assets!$D$8-J217)*INDEX(Prices!J:J,VST_Assets!$AP$8)*365*VST_Assets!$T$8*J216/1000000*(1+VST_RevAdj)</f>
        <v>107.356638032598</v>
      </c>
      <c r="K224" s="8" t="n">
        <f aca="false">(VST_Assets!$D$8-K217)*INDEX(Prices!K:K,VST_Assets!$AP$8)*365*VST_Assets!$T$8*K216/1000000*(1+VST_RevAdj)</f>
        <v>109.50377079325</v>
      </c>
      <c r="L224" s="8" t="n">
        <f aca="false">(VST_Assets!$D$8-L217)*INDEX(Prices!L:L,VST_Assets!$AP$8)*365*VST_Assets!$T$8*L216/1000000*(1+VST_RevAdj)</f>
        <v>111.693846209115</v>
      </c>
      <c r="M224" s="8" t="n">
        <f aca="false">(VST_Assets!$D$8-M217)*INDEX(Prices!M:M,VST_Assets!$AP$8)*365*VST_Assets!$T$8*M216/1000000*(1+VST_RevAdj)</f>
        <v>113.927723133298</v>
      </c>
      <c r="N224" s="8" t="n">
        <f aca="false">(VST_Assets!$D$8-N217)*INDEX(Prices!N:N,VST_Assets!$AP$8)*365*VST_Assets!$T$8*N216/1000000*(1+VST_RevAdj)</f>
        <v>116.206277595963</v>
      </c>
      <c r="O224" s="8" t="n">
        <f aca="false">(VST_Assets!$D$8-O217)*INDEX(Prices!O:O,VST_Assets!$AP$8)*365*VST_Assets!$T$8*O216/1000000*(1+VST_RevAdj)</f>
        <v>118.530403147883</v>
      </c>
      <c r="P224" s="8" t="n">
        <f aca="false">(VST_Assets!$D$8-P217)*INDEX(Prices!P:P,VST_Assets!$AP$8)*365*VST_Assets!$T$8*P216/1000000*(1+VST_RevAdj)</f>
        <v>120.90101121084</v>
      </c>
      <c r="Q224" s="8" t="n">
        <f aca="false">(VST_Assets!$D$8-Q217)*INDEX(Prices!Q:Q,VST_Assets!$AP$8)*365*VST_Assets!$T$8*Q216/1000000*(1+VST_RevAdj)</f>
        <v>123.319031435057</v>
      </c>
      <c r="R224" s="8" t="n">
        <f aca="false">(VST_Assets!$D$8-R217)*INDEX(Prices!R:R,VST_Assets!$AP$8)*365*VST_Assets!$T$8*R216/1000000*(1+VST_RevAdj)</f>
        <v>125.785412063758</v>
      </c>
      <c r="S224" s="8" t="n">
        <f aca="false">(VST_Assets!$D$8-S217)*INDEX(Prices!S:S,VST_Assets!$AP$8)*365*VST_Assets!$T$8*S216/1000000*(1+VST_RevAdj)</f>
        <v>128.301120305034</v>
      </c>
      <c r="T224" s="8" t="n">
        <f aca="false">(VST_Assets!$D$8-T217)*INDEX(Prices!T:T,VST_Assets!$AP$8)*365*VST_Assets!$T$8*T216/1000000*(1+VST_RevAdj)</f>
        <v>130.867142711134</v>
      </c>
      <c r="U224" s="8" t="n">
        <f aca="false">(VST_Assets!$D$8-U217)*INDEX(Prices!U:U,VST_Assets!$AP$8)*365*VST_Assets!$T$8*U216/1000000*(1+VST_RevAdj)</f>
        <v>133.484485565357</v>
      </c>
      <c r="V224" s="8" t="n">
        <f aca="false">(VST_Assets!$D$8-V217)*INDEX(Prices!V:V,VST_Assets!$AP$8)*365*VST_Assets!$T$8*V216/1000000*(1+VST_RevAdj)</f>
        <v>136.154175276664</v>
      </c>
      <c r="W224" s="8" t="n">
        <f aca="false">(VST_Assets!$D$8-W217)*INDEX(Prices!W:W,VST_Assets!$AP$8)*365*VST_Assets!$T$8*W216/1000000*(1+VST_RevAdj)</f>
        <v>138.877258782197</v>
      </c>
      <c r="X224" s="8" t="n">
        <f aca="false">(VST_Assets!$D$8-X217)*INDEX(Prices!X:X,VST_Assets!$AP$8)*365*VST_Assets!$T$8*X216/1000000*(1+VST_RevAdj)</f>
        <v>141.654803957841</v>
      </c>
      <c r="Y224" s="8" t="n">
        <f aca="false">(VST_Assets!$D$8-Y217)*INDEX(Prices!Y:Y,VST_Assets!$AP$8)*365*VST_Assets!$T$8*Y216/1000000*(1+VST_RevAdj)</f>
        <v>144.487900036998</v>
      </c>
      <c r="Z224" s="8" t="n">
        <f aca="false">(VST_Assets!$D$8-Z217)*INDEX(Prices!Z:Z,VST_Assets!$AP$8)*365*VST_Assets!$T$8*Z216/1000000*(1+VST_RevAdj)</f>
        <v>0</v>
      </c>
      <c r="AA224" s="8" t="n">
        <f aca="false">(VST_Assets!$D$8-AA217)*INDEX(Prices!AA:AA,VST_Assets!$AP$8)*365*VST_Assets!$T$8*AA216/1000000*(1+VST_RevAdj)</f>
        <v>0</v>
      </c>
      <c r="AB224" s="8" t="n">
        <f aca="false">(VST_Assets!$D$8-AB217)*INDEX(Prices!AB:AB,VST_Assets!$AP$8)*365*VST_Assets!$T$8*AB216/1000000*(1+VST_RevAdj)</f>
        <v>0</v>
      </c>
      <c r="AC224" s="8" t="n">
        <f aca="false">(VST_Assets!$D$8-AC217)*INDEX(Prices!AC:AC,VST_Assets!$AP$8)*365*VST_Assets!$T$8*AC216/1000000*(1+VST_RevAdj)</f>
        <v>0</v>
      </c>
      <c r="AD224" s="8" t="n">
        <f aca="false">(VST_Assets!$D$8-AD217)*INDEX(Prices!AD:AD,VST_Assets!$AP$8)*365*VST_Assets!$T$8*AD216/1000000*(1+VST_RevAdj)</f>
        <v>0</v>
      </c>
      <c r="AE224" s="8" t="n">
        <f aca="false">(VST_Assets!$D$8-AE217)*INDEX(Prices!AE:AE,VST_Assets!$AP$8)*365*VST_Assets!$T$8*AE216/1000000*(1+VST_RevAdj)</f>
        <v>0</v>
      </c>
      <c r="AF224" s="8" t="n">
        <f aca="false">(VST_Assets!$D$8-AF217)*INDEX(Prices!AF:AF,VST_Assets!$AP$8)*365*VST_Assets!$T$8*AF216/1000000*(1+VST_RevAdj)</f>
        <v>0</v>
      </c>
      <c r="AG224" s="8" t="n">
        <f aca="false">(VST_Assets!$D$8-AG217)*INDEX(Prices!AG:AG,VST_Assets!$AP$8)*365*VST_Assets!$T$8*AG216/1000000*(1+VST_RevAdj)</f>
        <v>0</v>
      </c>
      <c r="AH224" s="8" t="n">
        <f aca="false">(VST_Assets!$D$8-AH217)*INDEX(Prices!AH:AH,VST_Assets!$AP$8)*365*VST_Assets!$T$8*AH216/1000000*(1+VST_RevAdj)</f>
        <v>0</v>
      </c>
      <c r="AI224" s="8" t="n">
        <f aca="false">(VST_Assets!$D$8-AI217)*INDEX(Prices!AI:AI,VST_Assets!$AP$8)*365*VST_Assets!$T$8*AI216/1000000*(1+VST_RevAdj)</f>
        <v>0</v>
      </c>
      <c r="AJ224" s="8" t="n">
        <f aca="false">(VST_Assets!$D$8-AJ217)*INDEX(Prices!AJ:AJ,VST_Assets!$AP$8)*365*VST_Assets!$T$8*AJ216/1000000*(1+VST_RevAdj)</f>
        <v>0</v>
      </c>
      <c r="AK224" s="8" t="n">
        <f aca="false">(VST_Assets!$D$8-AK217)*INDEX(Prices!AK:AK,VST_Assets!$AP$8)*365*VST_Assets!$T$8*AK216/1000000*(1+VST_RevAdj)</f>
        <v>0</v>
      </c>
      <c r="AL224" s="8" t="n">
        <f aca="false">(VST_Assets!$D$8-AL217)*INDEX(Prices!AL:AL,VST_Assets!$AP$8)*365*VST_Assets!$T$8*AL216/1000000*(1+VST_RevAdj)</f>
        <v>0</v>
      </c>
      <c r="AM224" s="8" t="n">
        <f aca="false">(VST_Assets!$D$8-AM217)*INDEX(Prices!AM:AM,VST_Assets!$AP$8)*365*VST_Assets!$T$8*AM216/1000000*(1+VST_RevAdj)</f>
        <v>0</v>
      </c>
      <c r="AN224" s="8" t="n">
        <f aca="false">(VST_Assets!$D$8-AN217)*INDEX(Prices!AN:AN,VST_Assets!$AP$8)*365*VST_Assets!$T$8*AN216/1000000*(1+VST_RevAdj)</f>
        <v>0</v>
      </c>
      <c r="AO224" s="8" t="n">
        <f aca="false">(VST_Assets!$D$8-AO217)*INDEX(Prices!AO:AO,VST_Assets!$AP$8)*365*VST_Assets!$T$8*AO216/1000000*(1+VST_RevAdj)</f>
        <v>0</v>
      </c>
      <c r="AP224" s="8" t="n">
        <f aca="false">(VST_Assets!$D$8-AP217)*INDEX(Prices!AP:AP,VST_Assets!$AP$8)*365*VST_Assets!$T$8*AP216/1000000*(1+VST_RevAdj)</f>
        <v>0</v>
      </c>
      <c r="AQ224" s="8" t="n">
        <f aca="false">(VST_Assets!$D$8-AQ217)*INDEX(Prices!AQ:AQ,VST_Assets!$AP$8)*365*VST_Assets!$T$8*AQ216/1000000*(1+VST_RevAdj)</f>
        <v>0</v>
      </c>
      <c r="AR224" s="8" t="n">
        <f aca="false">(VST_Assets!$D$8-AR217)*INDEX(Prices!AR:AR,VST_Assets!$AP$8)*365*VST_Assets!$T$8*AR216/1000000*(1+VST_RevAdj)</f>
        <v>0</v>
      </c>
      <c r="AS224" s="8" t="n">
        <f aca="false">(VST_Assets!$D$8-AS217)*INDEX(Prices!AS:AS,VST_Assets!$AP$8)*365*VST_Assets!$T$8*AS216/1000000*(1+VST_RevAdj)</f>
        <v>0</v>
      </c>
    </row>
    <row r="225" customFormat="false" ht="15" hidden="false" customHeight="false" outlineLevel="0" collapsed="false">
      <c r="A225" s="6" t="s">
        <v>443</v>
      </c>
      <c r="B225" s="6" t="s">
        <v>444</v>
      </c>
      <c r="C225" s="9" t="n">
        <f aca="false">SUM(G225:AS225)</f>
        <v>0</v>
      </c>
      <c r="G225" s="8" t="n">
        <f aca="false">G219*(VST_Assets!$AD$8+VST_PPAAdj)/1000000*(1+VST_RevAdj)</f>
        <v>0</v>
      </c>
      <c r="H225" s="8" t="n">
        <f aca="false">H219*(VST_Assets!$AD$8+VST_PPAAdj)/1000000*(1+VST_RevAdj)</f>
        <v>0</v>
      </c>
      <c r="I225" s="8" t="n">
        <f aca="false">I219*(VST_Assets!$AD$8+VST_PPAAdj)/1000000*(1+VST_RevAdj)</f>
        <v>0</v>
      </c>
      <c r="J225" s="8" t="n">
        <f aca="false">J219*(VST_Assets!$AD$8+VST_PPAAdj)/1000000*(1+VST_RevAdj)</f>
        <v>0</v>
      </c>
      <c r="K225" s="8" t="n">
        <f aca="false">K219*(VST_Assets!$AD$8+VST_PPAAdj)/1000000*(1+VST_RevAdj)</f>
        <v>0</v>
      </c>
      <c r="L225" s="8" t="n">
        <f aca="false">L219*(VST_Assets!$AD$8+VST_PPAAdj)/1000000*(1+VST_RevAdj)</f>
        <v>0</v>
      </c>
      <c r="M225" s="8" t="n">
        <f aca="false">M219*(VST_Assets!$AD$8+VST_PPAAdj)/1000000*(1+VST_RevAdj)</f>
        <v>0</v>
      </c>
      <c r="N225" s="8" t="n">
        <f aca="false">N219*(VST_Assets!$AD$8+VST_PPAAdj)/1000000*(1+VST_RevAdj)</f>
        <v>0</v>
      </c>
      <c r="O225" s="8" t="n">
        <f aca="false">O219*(VST_Assets!$AD$8+VST_PPAAdj)/1000000*(1+VST_RevAdj)</f>
        <v>0</v>
      </c>
      <c r="P225" s="8" t="n">
        <f aca="false">P219*(VST_Assets!$AD$8+VST_PPAAdj)/1000000*(1+VST_RevAdj)</f>
        <v>0</v>
      </c>
      <c r="Q225" s="8" t="n">
        <f aca="false">Q219*(VST_Assets!$AD$8+VST_PPAAdj)/1000000*(1+VST_RevAdj)</f>
        <v>0</v>
      </c>
      <c r="R225" s="8" t="n">
        <f aca="false">R219*(VST_Assets!$AD$8+VST_PPAAdj)/1000000*(1+VST_RevAdj)</f>
        <v>0</v>
      </c>
      <c r="S225" s="8" t="n">
        <f aca="false">S219*(VST_Assets!$AD$8+VST_PPAAdj)/1000000*(1+VST_RevAdj)</f>
        <v>0</v>
      </c>
      <c r="T225" s="8" t="n">
        <f aca="false">T219*(VST_Assets!$AD$8+VST_PPAAdj)/1000000*(1+VST_RevAdj)</f>
        <v>0</v>
      </c>
      <c r="U225" s="8" t="n">
        <f aca="false">U219*(VST_Assets!$AD$8+VST_PPAAdj)/1000000*(1+VST_RevAdj)</f>
        <v>0</v>
      </c>
      <c r="V225" s="8" t="n">
        <f aca="false">V219*(VST_Assets!$AD$8+VST_PPAAdj)/1000000*(1+VST_RevAdj)</f>
        <v>0</v>
      </c>
      <c r="W225" s="8" t="n">
        <f aca="false">W219*(VST_Assets!$AD$8+VST_PPAAdj)/1000000*(1+VST_RevAdj)</f>
        <v>0</v>
      </c>
      <c r="X225" s="8" t="n">
        <f aca="false">X219*(VST_Assets!$AD$8+VST_PPAAdj)/1000000*(1+VST_RevAdj)</f>
        <v>0</v>
      </c>
      <c r="Y225" s="8" t="n">
        <f aca="false">Y219*(VST_Assets!$AD$8+VST_PPAAdj)/1000000*(1+VST_RevAdj)</f>
        <v>0</v>
      </c>
      <c r="Z225" s="8" t="n">
        <f aca="false">Z219*(VST_Assets!$AD$8+VST_PPAAdj)/1000000*(1+VST_RevAdj)</f>
        <v>0</v>
      </c>
      <c r="AA225" s="8" t="n">
        <f aca="false">AA219*(VST_Assets!$AD$8+VST_PPAAdj)/1000000*(1+VST_RevAdj)</f>
        <v>0</v>
      </c>
      <c r="AB225" s="8" t="n">
        <f aca="false">AB219*(VST_Assets!$AD$8+VST_PPAAdj)/1000000*(1+VST_RevAdj)</f>
        <v>0</v>
      </c>
      <c r="AC225" s="8" t="n">
        <f aca="false">AC219*(VST_Assets!$AD$8+VST_PPAAdj)/1000000*(1+VST_RevAdj)</f>
        <v>0</v>
      </c>
      <c r="AD225" s="8" t="n">
        <f aca="false">AD219*(VST_Assets!$AD$8+VST_PPAAdj)/1000000*(1+VST_RevAdj)</f>
        <v>0</v>
      </c>
      <c r="AE225" s="8" t="n">
        <f aca="false">AE219*(VST_Assets!$AD$8+VST_PPAAdj)/1000000*(1+VST_RevAdj)</f>
        <v>0</v>
      </c>
      <c r="AF225" s="8" t="n">
        <f aca="false">AF219*(VST_Assets!$AD$8+VST_PPAAdj)/1000000*(1+VST_RevAdj)</f>
        <v>0</v>
      </c>
      <c r="AG225" s="8" t="n">
        <f aca="false">AG219*(VST_Assets!$AD$8+VST_PPAAdj)/1000000*(1+VST_RevAdj)</f>
        <v>0</v>
      </c>
      <c r="AH225" s="8" t="n">
        <f aca="false">AH219*(VST_Assets!$AD$8+VST_PPAAdj)/1000000*(1+VST_RevAdj)</f>
        <v>0</v>
      </c>
      <c r="AI225" s="8" t="n">
        <f aca="false">AI219*(VST_Assets!$AD$8+VST_PPAAdj)/1000000*(1+VST_RevAdj)</f>
        <v>0</v>
      </c>
      <c r="AJ225" s="8" t="n">
        <f aca="false">AJ219*(VST_Assets!$AD$8+VST_PPAAdj)/1000000*(1+VST_RevAdj)</f>
        <v>0</v>
      </c>
      <c r="AK225" s="8" t="n">
        <f aca="false">AK219*(VST_Assets!$AD$8+VST_PPAAdj)/1000000*(1+VST_RevAdj)</f>
        <v>0</v>
      </c>
      <c r="AL225" s="8" t="n">
        <f aca="false">AL219*(VST_Assets!$AD$8+VST_PPAAdj)/1000000*(1+VST_RevAdj)</f>
        <v>0</v>
      </c>
      <c r="AM225" s="8" t="n">
        <f aca="false">AM219*(VST_Assets!$AD$8+VST_PPAAdj)/1000000*(1+VST_RevAdj)</f>
        <v>0</v>
      </c>
      <c r="AN225" s="8" t="n">
        <f aca="false">AN219*(VST_Assets!$AD$8+VST_PPAAdj)/1000000*(1+VST_RevAdj)</f>
        <v>0</v>
      </c>
      <c r="AO225" s="8" t="n">
        <f aca="false">AO219*(VST_Assets!$AD$8+VST_PPAAdj)/1000000*(1+VST_RevAdj)</f>
        <v>0</v>
      </c>
      <c r="AP225" s="8" t="n">
        <f aca="false">AP219*(VST_Assets!$AD$8+VST_PPAAdj)/1000000*(1+VST_RevAdj)</f>
        <v>0</v>
      </c>
      <c r="AQ225" s="8" t="n">
        <f aca="false">AQ219*(VST_Assets!$AD$8+VST_PPAAdj)/1000000*(1+VST_RevAdj)</f>
        <v>0</v>
      </c>
      <c r="AR225" s="8" t="n">
        <f aca="false">AR219*(VST_Assets!$AD$8+VST_PPAAdj)/1000000*(1+VST_RevAdj)</f>
        <v>0</v>
      </c>
      <c r="AS225" s="8" t="n">
        <f aca="false">AS219*(VST_Assets!$AD$8+VST_PPAAdj)/1000000*(1+VST_RevAdj)</f>
        <v>0</v>
      </c>
    </row>
    <row r="226" customFormat="false" ht="15" hidden="false" customHeight="false" outlineLevel="0" collapsed="false">
      <c r="A226" s="6" t="s">
        <v>445</v>
      </c>
      <c r="B226" s="6" t="s">
        <v>446</v>
      </c>
      <c r="C226" s="9" t="n">
        <f aca="false">SUM(G226:AS226)</f>
        <v>0</v>
      </c>
      <c r="G226" s="8" t="n">
        <f aca="false">IF(G$3&lt;=VST_Assets!$V$8,G218*VST_Assets!$U$8,0)/1000000*(1+VST_RevAdj)</f>
        <v>0</v>
      </c>
      <c r="H226" s="8" t="n">
        <f aca="false">IF(H$3&lt;=VST_Assets!$V$8,H218*VST_Assets!$U$8,0)/1000000*(1+VST_RevAdj)</f>
        <v>0</v>
      </c>
      <c r="I226" s="8" t="n">
        <f aca="false">IF(I$3&lt;=VST_Assets!$V$8,I218*VST_Assets!$U$8,0)/1000000*(1+VST_RevAdj)</f>
        <v>0</v>
      </c>
      <c r="J226" s="8" t="n">
        <f aca="false">IF(J$3&lt;=VST_Assets!$V$8,J218*VST_Assets!$U$8,0)/1000000*(1+VST_RevAdj)</f>
        <v>0</v>
      </c>
      <c r="K226" s="8" t="n">
        <f aca="false">IF(K$3&lt;=VST_Assets!$V$8,K218*VST_Assets!$U$8,0)/1000000*(1+VST_RevAdj)</f>
        <v>0</v>
      </c>
      <c r="L226" s="8" t="n">
        <f aca="false">IF(L$3&lt;=VST_Assets!$V$8,L218*VST_Assets!$U$8,0)/1000000*(1+VST_RevAdj)</f>
        <v>0</v>
      </c>
      <c r="M226" s="8" t="n">
        <f aca="false">IF(M$3&lt;=VST_Assets!$V$8,M218*VST_Assets!$U$8,0)/1000000*(1+VST_RevAdj)</f>
        <v>0</v>
      </c>
      <c r="N226" s="8" t="n">
        <f aca="false">IF(N$3&lt;=VST_Assets!$V$8,N218*VST_Assets!$U$8,0)/1000000*(1+VST_RevAdj)</f>
        <v>0</v>
      </c>
      <c r="O226" s="8" t="n">
        <f aca="false">IF(O$3&lt;=VST_Assets!$V$8,O218*VST_Assets!$U$8,0)/1000000*(1+VST_RevAdj)</f>
        <v>0</v>
      </c>
      <c r="P226" s="8" t="n">
        <f aca="false">IF(P$3&lt;=VST_Assets!$V$8,P218*VST_Assets!$U$8,0)/1000000*(1+VST_RevAdj)</f>
        <v>0</v>
      </c>
      <c r="Q226" s="8" t="n">
        <f aca="false">IF(Q$3&lt;=VST_Assets!$V$8,Q218*VST_Assets!$U$8,0)/1000000*(1+VST_RevAdj)</f>
        <v>0</v>
      </c>
      <c r="R226" s="8" t="n">
        <f aca="false">IF(R$3&lt;=VST_Assets!$V$8,R218*VST_Assets!$U$8,0)/1000000*(1+VST_RevAdj)</f>
        <v>0</v>
      </c>
      <c r="S226" s="8" t="n">
        <f aca="false">IF(S$3&lt;=VST_Assets!$V$8,S218*VST_Assets!$U$8,0)/1000000*(1+VST_RevAdj)</f>
        <v>0</v>
      </c>
      <c r="T226" s="8" t="n">
        <f aca="false">IF(T$3&lt;=VST_Assets!$V$8,T218*VST_Assets!$U$8,0)/1000000*(1+VST_RevAdj)</f>
        <v>0</v>
      </c>
      <c r="U226" s="8" t="n">
        <f aca="false">IF(U$3&lt;=VST_Assets!$V$8,U218*VST_Assets!$U$8,0)/1000000*(1+VST_RevAdj)</f>
        <v>0</v>
      </c>
      <c r="V226" s="8" t="n">
        <f aca="false">IF(V$3&lt;=VST_Assets!$V$8,V218*VST_Assets!$U$8,0)/1000000*(1+VST_RevAdj)</f>
        <v>0</v>
      </c>
      <c r="W226" s="8" t="n">
        <f aca="false">IF(W$3&lt;=VST_Assets!$V$8,W218*VST_Assets!$U$8,0)/1000000*(1+VST_RevAdj)</f>
        <v>0</v>
      </c>
      <c r="X226" s="8" t="n">
        <f aca="false">IF(X$3&lt;=VST_Assets!$V$8,X218*VST_Assets!$U$8,0)/1000000*(1+VST_RevAdj)</f>
        <v>0</v>
      </c>
      <c r="Y226" s="8" t="n">
        <f aca="false">IF(Y$3&lt;=VST_Assets!$V$8,Y218*VST_Assets!$U$8,0)/1000000*(1+VST_RevAdj)</f>
        <v>0</v>
      </c>
      <c r="Z226" s="8" t="n">
        <f aca="false">IF(Z$3&lt;=VST_Assets!$V$8,Z218*VST_Assets!$U$8,0)/1000000*(1+VST_RevAdj)</f>
        <v>0</v>
      </c>
      <c r="AA226" s="8" t="n">
        <f aca="false">IF(AA$3&lt;=VST_Assets!$V$8,AA218*VST_Assets!$U$8,0)/1000000*(1+VST_RevAdj)</f>
        <v>0</v>
      </c>
      <c r="AB226" s="8" t="n">
        <f aca="false">IF(AB$3&lt;=VST_Assets!$V$8,AB218*VST_Assets!$U$8,0)/1000000*(1+VST_RevAdj)</f>
        <v>0</v>
      </c>
      <c r="AC226" s="8" t="n">
        <f aca="false">IF(AC$3&lt;=VST_Assets!$V$8,AC218*VST_Assets!$U$8,0)/1000000*(1+VST_RevAdj)</f>
        <v>0</v>
      </c>
      <c r="AD226" s="8" t="n">
        <f aca="false">IF(AD$3&lt;=VST_Assets!$V$8,AD218*VST_Assets!$U$8,0)/1000000*(1+VST_RevAdj)</f>
        <v>0</v>
      </c>
      <c r="AE226" s="8" t="n">
        <f aca="false">IF(AE$3&lt;=VST_Assets!$V$8,AE218*VST_Assets!$U$8,0)/1000000*(1+VST_RevAdj)</f>
        <v>0</v>
      </c>
      <c r="AF226" s="8" t="n">
        <f aca="false">IF(AF$3&lt;=VST_Assets!$V$8,AF218*VST_Assets!$U$8,0)/1000000*(1+VST_RevAdj)</f>
        <v>0</v>
      </c>
      <c r="AG226" s="8" t="n">
        <f aca="false">IF(AG$3&lt;=VST_Assets!$V$8,AG218*VST_Assets!$U$8,0)/1000000*(1+VST_RevAdj)</f>
        <v>0</v>
      </c>
      <c r="AH226" s="8" t="n">
        <f aca="false">IF(AH$3&lt;=VST_Assets!$V$8,AH218*VST_Assets!$U$8,0)/1000000*(1+VST_RevAdj)</f>
        <v>0</v>
      </c>
      <c r="AI226" s="8" t="n">
        <f aca="false">IF(AI$3&lt;=VST_Assets!$V$8,AI218*VST_Assets!$U$8,0)/1000000*(1+VST_RevAdj)</f>
        <v>0</v>
      </c>
      <c r="AJ226" s="8" t="n">
        <f aca="false">IF(AJ$3&lt;=VST_Assets!$V$8,AJ218*VST_Assets!$U$8,0)/1000000*(1+VST_RevAdj)</f>
        <v>0</v>
      </c>
      <c r="AK226" s="8" t="n">
        <f aca="false">IF(AK$3&lt;=VST_Assets!$V$8,AK218*VST_Assets!$U$8,0)/1000000*(1+VST_RevAdj)</f>
        <v>0</v>
      </c>
      <c r="AL226" s="8" t="n">
        <f aca="false">IF(AL$3&lt;=VST_Assets!$V$8,AL218*VST_Assets!$U$8,0)/1000000*(1+VST_RevAdj)</f>
        <v>0</v>
      </c>
      <c r="AM226" s="8" t="n">
        <f aca="false">IF(AM$3&lt;=VST_Assets!$V$8,AM218*VST_Assets!$U$8,0)/1000000*(1+VST_RevAdj)</f>
        <v>0</v>
      </c>
      <c r="AN226" s="8" t="n">
        <f aca="false">IF(AN$3&lt;=VST_Assets!$V$8,AN218*VST_Assets!$U$8,0)/1000000*(1+VST_RevAdj)</f>
        <v>0</v>
      </c>
      <c r="AO226" s="8" t="n">
        <f aca="false">IF(AO$3&lt;=VST_Assets!$V$8,AO218*VST_Assets!$U$8,0)/1000000*(1+VST_RevAdj)</f>
        <v>0</v>
      </c>
      <c r="AP226" s="8" t="n">
        <f aca="false">IF(AP$3&lt;=VST_Assets!$V$8,AP218*VST_Assets!$U$8,0)/1000000*(1+VST_RevAdj)</f>
        <v>0</v>
      </c>
      <c r="AQ226" s="8" t="n">
        <f aca="false">IF(AQ$3&lt;=VST_Assets!$V$8,AQ218*VST_Assets!$U$8,0)/1000000*(1+VST_RevAdj)</f>
        <v>0</v>
      </c>
      <c r="AR226" s="8" t="n">
        <f aca="false">IF(AR$3&lt;=VST_Assets!$V$8,AR218*VST_Assets!$U$8,0)/1000000*(1+VST_RevAdj)</f>
        <v>0</v>
      </c>
      <c r="AS226" s="8" t="n">
        <f aca="false">IF(AS$3&lt;=VST_Assets!$V$8,AS218*VST_Assets!$U$8,0)/1000000*(1+VST_RevAdj)</f>
        <v>0</v>
      </c>
    </row>
    <row r="227" customFormat="false" ht="15" hidden="false" customHeight="false" outlineLevel="0" collapsed="false">
      <c r="A227" s="6" t="s">
        <v>447</v>
      </c>
      <c r="B227" s="6" t="s">
        <v>448</v>
      </c>
      <c r="C227" s="9" t="n">
        <f aca="false">SUM(G227:AS227)</f>
        <v>22513.5753955638</v>
      </c>
      <c r="G227" s="8" t="n">
        <f aca="false">G223+G224+G225+G226</f>
        <v>1120.483827252</v>
      </c>
      <c r="H227" s="8" t="n">
        <f aca="false">H223+H224+H225+H226</f>
        <v>1136.6643304836</v>
      </c>
      <c r="I227" s="8" t="n">
        <f aca="false">I223+I224+I225+I226</f>
        <v>1053.15660146193</v>
      </c>
      <c r="J227" s="8" t="n">
        <f aca="false">J223+J224+J225+J226</f>
        <v>1030.25788672334</v>
      </c>
      <c r="K227" s="8" t="n">
        <f aca="false">K223+K224+K225+K226</f>
        <v>1050.86304445781</v>
      </c>
      <c r="L227" s="8" t="n">
        <f aca="false">L223+L224+L225+L226</f>
        <v>1071.88030534696</v>
      </c>
      <c r="M227" s="8" t="n">
        <f aca="false">M223+M224+M225+M226</f>
        <v>1093.3179114539</v>
      </c>
      <c r="N227" s="8" t="n">
        <f aca="false">N223+N224+N225+N226</f>
        <v>1115.18426968298</v>
      </c>
      <c r="O227" s="8" t="n">
        <f aca="false">O223+O224+O225+O226</f>
        <v>1137.48795507664</v>
      </c>
      <c r="P227" s="8" t="n">
        <f aca="false">P223+P224+P225+P226</f>
        <v>1160.23771417817</v>
      </c>
      <c r="Q227" s="8" t="n">
        <f aca="false">Q223+Q224+Q225+Q226</f>
        <v>1183.44246846174</v>
      </c>
      <c r="R227" s="8" t="n">
        <f aca="false">R223+R224+R225+R226</f>
        <v>1207.11131783097</v>
      </c>
      <c r="S227" s="8" t="n">
        <f aca="false">S223+S224+S225+S226</f>
        <v>1231.25354418759</v>
      </c>
      <c r="T227" s="8" t="n">
        <f aca="false">T223+T224+T225+T226</f>
        <v>1255.87861507134</v>
      </c>
      <c r="U227" s="8" t="n">
        <f aca="false">U223+U224+U225+U226</f>
        <v>1280.99618737277</v>
      </c>
      <c r="V227" s="8" t="n">
        <f aca="false">V223+V224+V225+V226</f>
        <v>1306.61611112022</v>
      </c>
      <c r="W227" s="8" t="n">
        <f aca="false">W223+W224+W225+W226</f>
        <v>1332.74843334263</v>
      </c>
      <c r="X227" s="8" t="n">
        <f aca="false">X223+X224+X225+X226</f>
        <v>1359.40340200948</v>
      </c>
      <c r="Y227" s="8" t="n">
        <f aca="false">Y223+Y224+Y225+Y226</f>
        <v>1386.59147004967</v>
      </c>
      <c r="Z227" s="8" t="n">
        <f aca="false">Z223+Z224+Z225+Z226</f>
        <v>0</v>
      </c>
      <c r="AA227" s="8" t="n">
        <f aca="false">AA223+AA224+AA225+AA226</f>
        <v>0</v>
      </c>
      <c r="AB227" s="8" t="n">
        <f aca="false">AB223+AB224+AB225+AB226</f>
        <v>0</v>
      </c>
      <c r="AC227" s="8" t="n">
        <f aca="false">AC223+AC224+AC225+AC226</f>
        <v>0</v>
      </c>
      <c r="AD227" s="8" t="n">
        <f aca="false">AD223+AD224+AD225+AD226</f>
        <v>0</v>
      </c>
      <c r="AE227" s="8" t="n">
        <f aca="false">AE223+AE224+AE225+AE226</f>
        <v>0</v>
      </c>
      <c r="AF227" s="8" t="n">
        <f aca="false">AF223+AF224+AF225+AF226</f>
        <v>0</v>
      </c>
      <c r="AG227" s="8" t="n">
        <f aca="false">AG223+AG224+AG225+AG226</f>
        <v>0</v>
      </c>
      <c r="AH227" s="8" t="n">
        <f aca="false">AH223+AH224+AH225+AH226</f>
        <v>0</v>
      </c>
      <c r="AI227" s="8" t="n">
        <f aca="false">AI223+AI224+AI225+AI226</f>
        <v>0</v>
      </c>
      <c r="AJ227" s="8" t="n">
        <f aca="false">AJ223+AJ224+AJ225+AJ226</f>
        <v>0</v>
      </c>
      <c r="AK227" s="8" t="n">
        <f aca="false">AK223+AK224+AK225+AK226</f>
        <v>0</v>
      </c>
      <c r="AL227" s="8" t="n">
        <f aca="false">AL223+AL224+AL225+AL226</f>
        <v>0</v>
      </c>
      <c r="AM227" s="8" t="n">
        <f aca="false">AM223+AM224+AM225+AM226</f>
        <v>0</v>
      </c>
      <c r="AN227" s="8" t="n">
        <f aca="false">AN223+AN224+AN225+AN226</f>
        <v>0</v>
      </c>
      <c r="AO227" s="8" t="n">
        <f aca="false">AO223+AO224+AO225+AO226</f>
        <v>0</v>
      </c>
      <c r="AP227" s="8" t="n">
        <f aca="false">AP223+AP224+AP225+AP226</f>
        <v>0</v>
      </c>
      <c r="AQ227" s="8" t="n">
        <f aca="false">AQ223+AQ224+AQ225+AQ226</f>
        <v>0</v>
      </c>
      <c r="AR227" s="8" t="n">
        <f aca="false">AR223+AR224+AR225+AR226</f>
        <v>0</v>
      </c>
      <c r="AS227" s="8" t="n">
        <f aca="false">AS223+AS224+AS225+AS226</f>
        <v>0</v>
      </c>
    </row>
    <row r="228" customFormat="false" ht="15" hidden="false" customHeight="false" outlineLevel="0" collapsed="false">
      <c r="A228" s="6" t="s">
        <v>449</v>
      </c>
      <c r="B228" s="6" t="s">
        <v>450</v>
      </c>
      <c r="C228" s="9" t="n">
        <f aca="false">SUM(G228:AS228)</f>
        <v>12936.0134946899</v>
      </c>
      <c r="G228" s="8" t="n">
        <f aca="false">((VST_Assets!$K$8*G220+VST_Assets!$M$8*G$4)*G218*G222+VST_Assets!$N$8*(1+VST_Assets!$Q$8)^(G$3-2026)*(G218+G219))/1000000*(1+VST_FuelAdj)</f>
        <v>558.0038922696</v>
      </c>
      <c r="H228" s="8" t="n">
        <f aca="false">((VST_Assets!$K$8*H220+VST_Assets!$M$8*H$4)*H218*H222+VST_Assets!$N$8*(1+VST_Assets!$Q$8)^(H$3-2026)*(H218+H219))/1000000*(1+VST_FuelAdj)</f>
        <v>569.163970114992</v>
      </c>
      <c r="I228" s="8" t="n">
        <f aca="false">((VST_Assets!$K$8*I220+VST_Assets!$M$8*I$4)*I218*I222+VST_Assets!$N$8*(1+VST_Assets!$Q$8)^(I$3-2026)*(I218+I219))/1000000*(1+VST_FuelAdj)</f>
        <v>590.086136319037</v>
      </c>
      <c r="J228" s="8" t="n">
        <f aca="false">((VST_Assets!$K$8*J220+VST_Assets!$M$8*J$4)*J218*J222+VST_Assets!$N$8*(1+VST_Assets!$Q$8)^(J$3-2026)*(J218+J219))/1000000*(1+VST_FuelAdj)</f>
        <v>601.887859045417</v>
      </c>
      <c r="K228" s="8" t="n">
        <f aca="false">((VST_Assets!$K$8*K220+VST_Assets!$M$8*K$4)*K218*K222+VST_Assets!$N$8*(1+VST_Assets!$Q$8)^(K$3-2026)*(K218+K219))/1000000*(1+VST_FuelAdj)</f>
        <v>613.925616226326</v>
      </c>
      <c r="L228" s="8" t="n">
        <f aca="false">((VST_Assets!$K$8*L220+VST_Assets!$M$8*L$4)*L218*L222+VST_Assets!$N$8*(1+VST_Assets!$Q$8)^(L$3-2026)*(L218+L219))/1000000*(1+VST_FuelAdj)</f>
        <v>626.204128550852</v>
      </c>
      <c r="M228" s="8" t="n">
        <f aca="false">((VST_Assets!$K$8*M220+VST_Assets!$M$8*M$4)*M218*M222+VST_Assets!$N$8*(1+VST_Assets!$Q$8)^(M$3-2026)*(M218+M219))/1000000*(1+VST_FuelAdj)</f>
        <v>638.728211121869</v>
      </c>
      <c r="N228" s="8" t="n">
        <f aca="false">((VST_Assets!$K$8*N220+VST_Assets!$M$8*N$4)*N218*N222+VST_Assets!$N$8*(1+VST_Assets!$Q$8)^(N$3-2026)*(N218+N219))/1000000*(1+VST_FuelAdj)</f>
        <v>651.502775344307</v>
      </c>
      <c r="O228" s="8" t="n">
        <f aca="false">((VST_Assets!$K$8*O220+VST_Assets!$M$8*O$4)*O218*O222+VST_Assets!$N$8*(1+VST_Assets!$Q$8)^(O$3-2026)*(O218+O219))/1000000*(1+VST_FuelAdj)</f>
        <v>664.532830851193</v>
      </c>
      <c r="P228" s="8" t="n">
        <f aca="false">((VST_Assets!$K$8*P220+VST_Assets!$M$8*P$4)*P218*P222+VST_Assets!$N$8*(1+VST_Assets!$Q$8)^(P$3-2026)*(P218+P219))/1000000*(1+VST_FuelAdj)</f>
        <v>677.823487468217</v>
      </c>
      <c r="Q228" s="8" t="n">
        <f aca="false">((VST_Assets!$K$8*Q220+VST_Assets!$M$8*Q$4)*Q218*Q222+VST_Assets!$N$8*(1+VST_Assets!$Q$8)^(Q$3-2026)*(Q218+Q219))/1000000*(1+VST_FuelAdj)</f>
        <v>691.379957217581</v>
      </c>
      <c r="R228" s="8" t="n">
        <f aca="false">((VST_Assets!$K$8*R220+VST_Assets!$M$8*R$4)*R218*R222+VST_Assets!$N$8*(1+VST_Assets!$Q$8)^(R$3-2026)*(R218+R219))/1000000*(1+VST_FuelAdj)</f>
        <v>705.207556361933</v>
      </c>
      <c r="S228" s="8" t="n">
        <f aca="false">((VST_Assets!$K$8*S220+VST_Assets!$M$8*S$4)*S218*S222+VST_Assets!$N$8*(1+VST_Assets!$Q$8)^(S$3-2026)*(S218+S219))/1000000*(1+VST_FuelAdj)</f>
        <v>719.311707489171</v>
      </c>
      <c r="T228" s="8" t="n">
        <f aca="false">((VST_Assets!$K$8*T220+VST_Assets!$M$8*T$4)*T218*T222+VST_Assets!$N$8*(1+VST_Assets!$Q$8)^(T$3-2026)*(T218+T219))/1000000*(1+VST_FuelAdj)</f>
        <v>733.697941638955</v>
      </c>
      <c r="U228" s="8" t="n">
        <f aca="false">((VST_Assets!$K$8*U220+VST_Assets!$M$8*U$4)*U218*U222+VST_Assets!$N$8*(1+VST_Assets!$Q$8)^(U$3-2026)*(U218+U219))/1000000*(1+VST_FuelAdj)</f>
        <v>748.371900471734</v>
      </c>
      <c r="V228" s="8" t="n">
        <f aca="false">((VST_Assets!$K$8*V220+VST_Assets!$M$8*V$4)*V218*V222+VST_Assets!$N$8*(1+VST_Assets!$Q$8)^(V$3-2026)*(V218+V219))/1000000*(1+VST_FuelAdj)</f>
        <v>763.339338481169</v>
      </c>
      <c r="W228" s="8" t="n">
        <f aca="false">((VST_Assets!$K$8*W220+VST_Assets!$M$8*W$4)*W218*W222+VST_Assets!$N$8*(1+VST_Assets!$Q$8)^(W$3-2026)*(W218+W219))/1000000*(1+VST_FuelAdj)</f>
        <v>778.606125250792</v>
      </c>
      <c r="X228" s="8" t="n">
        <f aca="false">((VST_Assets!$K$8*X220+VST_Assets!$M$8*X$4)*X218*X222+VST_Assets!$N$8*(1+VST_Assets!$Q$8)^(X$3-2026)*(X218+X219))/1000000*(1+VST_FuelAdj)</f>
        <v>794.178247755808</v>
      </c>
      <c r="Y228" s="8" t="n">
        <f aca="false">((VST_Assets!$K$8*Y220+VST_Assets!$M$8*Y$4)*Y218*Y222+VST_Assets!$N$8*(1+VST_Assets!$Q$8)^(Y$3-2026)*(Y218+Y219))/1000000*(1+VST_FuelAdj)</f>
        <v>810.061812710924</v>
      </c>
      <c r="Z228" s="8" t="n">
        <f aca="false">((VST_Assets!$K$8*Z220+VST_Assets!$M$8*Z$4)*Z218*Z222+VST_Assets!$N$8*(1+VST_Assets!$Q$8)^(Z$3-2026)*(Z218+Z219))/1000000*(1+VST_FuelAdj)</f>
        <v>0</v>
      </c>
      <c r="AA228" s="8" t="n">
        <f aca="false">((VST_Assets!$K$8*AA220+VST_Assets!$M$8*AA$4)*AA218*AA222+VST_Assets!$N$8*(1+VST_Assets!$Q$8)^(AA$3-2026)*(AA218+AA219))/1000000*(1+VST_FuelAdj)</f>
        <v>0</v>
      </c>
      <c r="AB228" s="8" t="n">
        <f aca="false">((VST_Assets!$K$8*AB220+VST_Assets!$M$8*AB$4)*AB218*AB222+VST_Assets!$N$8*(1+VST_Assets!$Q$8)^(AB$3-2026)*(AB218+AB219))/1000000*(1+VST_FuelAdj)</f>
        <v>0</v>
      </c>
      <c r="AC228" s="8" t="n">
        <f aca="false">((VST_Assets!$K$8*AC220+VST_Assets!$M$8*AC$4)*AC218*AC222+VST_Assets!$N$8*(1+VST_Assets!$Q$8)^(AC$3-2026)*(AC218+AC219))/1000000*(1+VST_FuelAdj)</f>
        <v>0</v>
      </c>
      <c r="AD228" s="8" t="n">
        <f aca="false">((VST_Assets!$K$8*AD220+VST_Assets!$M$8*AD$4)*AD218*AD222+VST_Assets!$N$8*(1+VST_Assets!$Q$8)^(AD$3-2026)*(AD218+AD219))/1000000*(1+VST_FuelAdj)</f>
        <v>0</v>
      </c>
      <c r="AE228" s="8" t="n">
        <f aca="false">((VST_Assets!$K$8*AE220+VST_Assets!$M$8*AE$4)*AE218*AE222+VST_Assets!$N$8*(1+VST_Assets!$Q$8)^(AE$3-2026)*(AE218+AE219))/1000000*(1+VST_FuelAdj)</f>
        <v>0</v>
      </c>
      <c r="AF228" s="8" t="n">
        <f aca="false">((VST_Assets!$K$8*AF220+VST_Assets!$M$8*AF$4)*AF218*AF222+VST_Assets!$N$8*(1+VST_Assets!$Q$8)^(AF$3-2026)*(AF218+AF219))/1000000*(1+VST_FuelAdj)</f>
        <v>0</v>
      </c>
      <c r="AG228" s="8" t="n">
        <f aca="false">((VST_Assets!$K$8*AG220+VST_Assets!$M$8*AG$4)*AG218*AG222+VST_Assets!$N$8*(1+VST_Assets!$Q$8)^(AG$3-2026)*(AG218+AG219))/1000000*(1+VST_FuelAdj)</f>
        <v>0</v>
      </c>
      <c r="AH228" s="8" t="n">
        <f aca="false">((VST_Assets!$K$8*AH220+VST_Assets!$M$8*AH$4)*AH218*AH222+VST_Assets!$N$8*(1+VST_Assets!$Q$8)^(AH$3-2026)*(AH218+AH219))/1000000*(1+VST_FuelAdj)</f>
        <v>0</v>
      </c>
      <c r="AI228" s="8" t="n">
        <f aca="false">((VST_Assets!$K$8*AI220+VST_Assets!$M$8*AI$4)*AI218*AI222+VST_Assets!$N$8*(1+VST_Assets!$Q$8)^(AI$3-2026)*(AI218+AI219))/1000000*(1+VST_FuelAdj)</f>
        <v>0</v>
      </c>
      <c r="AJ228" s="8" t="n">
        <f aca="false">((VST_Assets!$K$8*AJ220+VST_Assets!$M$8*AJ$4)*AJ218*AJ222+VST_Assets!$N$8*(1+VST_Assets!$Q$8)^(AJ$3-2026)*(AJ218+AJ219))/1000000*(1+VST_FuelAdj)</f>
        <v>0</v>
      </c>
      <c r="AK228" s="8" t="n">
        <f aca="false">((VST_Assets!$K$8*AK220+VST_Assets!$M$8*AK$4)*AK218*AK222+VST_Assets!$N$8*(1+VST_Assets!$Q$8)^(AK$3-2026)*(AK218+AK219))/1000000*(1+VST_FuelAdj)</f>
        <v>0</v>
      </c>
      <c r="AL228" s="8" t="n">
        <f aca="false">((VST_Assets!$K$8*AL220+VST_Assets!$M$8*AL$4)*AL218*AL222+VST_Assets!$N$8*(1+VST_Assets!$Q$8)^(AL$3-2026)*(AL218+AL219))/1000000*(1+VST_FuelAdj)</f>
        <v>0</v>
      </c>
      <c r="AM228" s="8" t="n">
        <f aca="false">((VST_Assets!$K$8*AM220+VST_Assets!$M$8*AM$4)*AM218*AM222+VST_Assets!$N$8*(1+VST_Assets!$Q$8)^(AM$3-2026)*(AM218+AM219))/1000000*(1+VST_FuelAdj)</f>
        <v>0</v>
      </c>
      <c r="AN228" s="8" t="n">
        <f aca="false">((VST_Assets!$K$8*AN220+VST_Assets!$M$8*AN$4)*AN218*AN222+VST_Assets!$N$8*(1+VST_Assets!$Q$8)^(AN$3-2026)*(AN218+AN219))/1000000*(1+VST_FuelAdj)</f>
        <v>0</v>
      </c>
      <c r="AO228" s="8" t="n">
        <f aca="false">((VST_Assets!$K$8*AO220+VST_Assets!$M$8*AO$4)*AO218*AO222+VST_Assets!$N$8*(1+VST_Assets!$Q$8)^(AO$3-2026)*(AO218+AO219))/1000000*(1+VST_FuelAdj)</f>
        <v>0</v>
      </c>
      <c r="AP228" s="8" t="n">
        <f aca="false">((VST_Assets!$K$8*AP220+VST_Assets!$M$8*AP$4)*AP218*AP222+VST_Assets!$N$8*(1+VST_Assets!$Q$8)^(AP$3-2026)*(AP218+AP219))/1000000*(1+VST_FuelAdj)</f>
        <v>0</v>
      </c>
      <c r="AQ228" s="8" t="n">
        <f aca="false">((VST_Assets!$K$8*AQ220+VST_Assets!$M$8*AQ$4)*AQ218*AQ222+VST_Assets!$N$8*(1+VST_Assets!$Q$8)^(AQ$3-2026)*(AQ218+AQ219))/1000000*(1+VST_FuelAdj)</f>
        <v>0</v>
      </c>
      <c r="AR228" s="8" t="n">
        <f aca="false">((VST_Assets!$K$8*AR220+VST_Assets!$M$8*AR$4)*AR218*AR222+VST_Assets!$N$8*(1+VST_Assets!$Q$8)^(AR$3-2026)*(AR218+AR219))/1000000*(1+VST_FuelAdj)</f>
        <v>0</v>
      </c>
      <c r="AS228" s="8" t="n">
        <f aca="false">((VST_Assets!$K$8*AS220+VST_Assets!$M$8*AS$4)*AS218*AS222+VST_Assets!$N$8*(1+VST_Assets!$Q$8)^(AS$3-2026)*(AS218+AS219))/1000000*(1+VST_FuelAdj)</f>
        <v>0</v>
      </c>
    </row>
    <row r="229" customFormat="false" ht="15" hidden="false" customHeight="false" outlineLevel="0" collapsed="false">
      <c r="A229" s="6" t="s">
        <v>451</v>
      </c>
      <c r="B229" s="6" t="s">
        <v>452</v>
      </c>
      <c r="C229" s="9" t="n">
        <f aca="false">SUM(G229:AS229)</f>
        <v>9577.56190087388</v>
      </c>
      <c r="G229" s="8" t="n">
        <f aca="false">G227-G228</f>
        <v>562.4799349824</v>
      </c>
      <c r="H229" s="8" t="n">
        <f aca="false">H227-H228</f>
        <v>567.500360368608</v>
      </c>
      <c r="I229" s="8" t="n">
        <f aca="false">I227-I228</f>
        <v>463.070465142894</v>
      </c>
      <c r="J229" s="8" t="n">
        <f aca="false">J227-J228</f>
        <v>428.370027677923</v>
      </c>
      <c r="K229" s="8" t="n">
        <f aca="false">K227-K228</f>
        <v>436.937428231481</v>
      </c>
      <c r="L229" s="8" t="n">
        <f aca="false">L227-L228</f>
        <v>445.676176796111</v>
      </c>
      <c r="M229" s="8" t="n">
        <f aca="false">M227-M228</f>
        <v>454.589700332033</v>
      </c>
      <c r="N229" s="8" t="n">
        <f aca="false">N227-N228</f>
        <v>463.681494338674</v>
      </c>
      <c r="O229" s="8" t="n">
        <f aca="false">O227-O228</f>
        <v>472.955124225447</v>
      </c>
      <c r="P229" s="8" t="n">
        <f aca="false">P227-P228</f>
        <v>482.414226709956</v>
      </c>
      <c r="Q229" s="8" t="n">
        <f aca="false">Q227-Q228</f>
        <v>492.062511244155</v>
      </c>
      <c r="R229" s="8" t="n">
        <f aca="false">R227-R228</f>
        <v>501.903761469038</v>
      </c>
      <c r="S229" s="8" t="n">
        <f aca="false">S227-S228</f>
        <v>511.941836698419</v>
      </c>
      <c r="T229" s="8" t="n">
        <f aca="false">T227-T228</f>
        <v>522.180673432387</v>
      </c>
      <c r="U229" s="8" t="n">
        <f aca="false">U227-U228</f>
        <v>532.624286901035</v>
      </c>
      <c r="V229" s="8" t="n">
        <f aca="false">V227-V228</f>
        <v>543.276772639056</v>
      </c>
      <c r="W229" s="8" t="n">
        <f aca="false">W227-W228</f>
        <v>554.142308091837</v>
      </c>
      <c r="X229" s="8" t="n">
        <f aca="false">X227-X228</f>
        <v>565.225154253674</v>
      </c>
      <c r="Y229" s="8" t="n">
        <f aca="false">Y227-Y228</f>
        <v>576.529657338747</v>
      </c>
      <c r="Z229" s="8" t="n">
        <f aca="false">Z227-Z228</f>
        <v>0</v>
      </c>
      <c r="AA229" s="8" t="n">
        <f aca="false">AA227-AA228</f>
        <v>0</v>
      </c>
      <c r="AB229" s="8" t="n">
        <f aca="false">AB227-AB228</f>
        <v>0</v>
      </c>
      <c r="AC229" s="8" t="n">
        <f aca="false">AC227-AC228</f>
        <v>0</v>
      </c>
      <c r="AD229" s="8" t="n">
        <f aca="false">AD227-AD228</f>
        <v>0</v>
      </c>
      <c r="AE229" s="8" t="n">
        <f aca="false">AE227-AE228</f>
        <v>0</v>
      </c>
      <c r="AF229" s="8" t="n">
        <f aca="false">AF227-AF228</f>
        <v>0</v>
      </c>
      <c r="AG229" s="8" t="n">
        <f aca="false">AG227-AG228</f>
        <v>0</v>
      </c>
      <c r="AH229" s="8" t="n">
        <f aca="false">AH227-AH228</f>
        <v>0</v>
      </c>
      <c r="AI229" s="8" t="n">
        <f aca="false">AI227-AI228</f>
        <v>0</v>
      </c>
      <c r="AJ229" s="8" t="n">
        <f aca="false">AJ227-AJ228</f>
        <v>0</v>
      </c>
      <c r="AK229" s="8" t="n">
        <f aca="false">AK227-AK228</f>
        <v>0</v>
      </c>
      <c r="AL229" s="8" t="n">
        <f aca="false">AL227-AL228</f>
        <v>0</v>
      </c>
      <c r="AM229" s="8" t="n">
        <f aca="false">AM227-AM228</f>
        <v>0</v>
      </c>
      <c r="AN229" s="8" t="n">
        <f aca="false">AN227-AN228</f>
        <v>0</v>
      </c>
      <c r="AO229" s="8" t="n">
        <f aca="false">AO227-AO228</f>
        <v>0</v>
      </c>
      <c r="AP229" s="8" t="n">
        <f aca="false">AP227-AP228</f>
        <v>0</v>
      </c>
      <c r="AQ229" s="8" t="n">
        <f aca="false">AQ227-AQ228</f>
        <v>0</v>
      </c>
      <c r="AR229" s="8" t="n">
        <f aca="false">AR227-AR228</f>
        <v>0</v>
      </c>
      <c r="AS229" s="8" t="n">
        <f aca="false">AS227-AS228</f>
        <v>0</v>
      </c>
    </row>
    <row r="230" customFormat="false" ht="15" hidden="false" customHeight="false" outlineLevel="0" collapsed="false">
      <c r="A230" s="6" t="s">
        <v>453</v>
      </c>
      <c r="B230" s="6" t="s">
        <v>454</v>
      </c>
      <c r="C230" s="9" t="n">
        <f aca="false">SUM(G230:AS230)</f>
        <v>2361.04864490152</v>
      </c>
      <c r="G230" s="8" t="n">
        <f aca="false">(VST_Assets!$R$8*VST_Assets!$D$8*1000*G$4*G216+VST_Assets!$O$8*(1+VST_Assets!$Q$8)^(G$3-2026)*(G218+G219))/1000000*(1+VST_OMAdj)</f>
        <v>103.37088</v>
      </c>
      <c r="H230" s="8" t="n">
        <f aca="false">(VST_Assets!$R$8*VST_Assets!$D$8*1000*H$4*H216+VST_Assets!$O$8*(1+VST_Assets!$Q$8)^(H$3-2026)*(H218+H219))/1000000*(1+VST_OMAdj)</f>
        <v>105.4382976</v>
      </c>
      <c r="I230" s="8" t="n">
        <f aca="false">(VST_Assets!$R$8*VST_Assets!$D$8*1000*I$4*I216+VST_Assets!$O$8*(1+VST_Assets!$Q$8)^(I$3-2026)*(I218+I219))/1000000*(1+VST_OMAdj)</f>
        <v>107.547063552</v>
      </c>
      <c r="J230" s="8" t="n">
        <f aca="false">(VST_Assets!$R$8*VST_Assets!$D$8*1000*J$4*J216+VST_Assets!$O$8*(1+VST_Assets!$Q$8)^(J$3-2026)*(J218+J219))/1000000*(1+VST_OMAdj)</f>
        <v>109.69800482304</v>
      </c>
      <c r="K230" s="8" t="n">
        <f aca="false">(VST_Assets!$R$8*VST_Assets!$D$8*1000*K$4*K216+VST_Assets!$O$8*(1+VST_Assets!$Q$8)^(K$3-2026)*(K218+K219))/1000000*(1+VST_OMAdj)</f>
        <v>111.891964919501</v>
      </c>
      <c r="L230" s="8" t="n">
        <f aca="false">(VST_Assets!$R$8*VST_Assets!$D$8*1000*L$4*L216+VST_Assets!$O$8*(1+VST_Assets!$Q$8)^(L$3-2026)*(L218+L219))/1000000*(1+VST_OMAdj)</f>
        <v>114.129804217891</v>
      </c>
      <c r="M230" s="8" t="n">
        <f aca="false">(VST_Assets!$R$8*VST_Assets!$D$8*1000*M$4*M216+VST_Assets!$O$8*(1+VST_Assets!$Q$8)^(M$3-2026)*(M218+M219))/1000000*(1+VST_OMAdj)</f>
        <v>116.412400302249</v>
      </c>
      <c r="N230" s="8" t="n">
        <f aca="false">(VST_Assets!$R$8*VST_Assets!$D$8*1000*N$4*N216+VST_Assets!$O$8*(1+VST_Assets!$Q$8)^(N$3-2026)*(N218+N219))/1000000*(1+VST_OMAdj)</f>
        <v>118.740648308294</v>
      </c>
      <c r="O230" s="8" t="n">
        <f aca="false">(VST_Assets!$R$8*VST_Assets!$D$8*1000*O$4*O216+VST_Assets!$O$8*(1+VST_Assets!$Q$8)^(O$3-2026)*(O218+O219))/1000000*(1+VST_OMAdj)</f>
        <v>121.115461274459</v>
      </c>
      <c r="P230" s="8" t="n">
        <f aca="false">(VST_Assets!$R$8*VST_Assets!$D$8*1000*P$4*P216+VST_Assets!$O$8*(1+VST_Assets!$Q$8)^(P$3-2026)*(P218+P219))/1000000*(1+VST_OMAdj)</f>
        <v>123.537770499949</v>
      </c>
      <c r="Q230" s="8" t="n">
        <f aca="false">(VST_Assets!$R$8*VST_Assets!$D$8*1000*Q$4*Q216+VST_Assets!$O$8*(1+VST_Assets!$Q$8)^(Q$3-2026)*(Q218+Q219))/1000000*(1+VST_OMAdj)</f>
        <v>126.008525909948</v>
      </c>
      <c r="R230" s="8" t="n">
        <f aca="false">(VST_Assets!$R$8*VST_Assets!$D$8*1000*R$4*R216+VST_Assets!$O$8*(1+VST_Assets!$Q$8)^(R$3-2026)*(R218+R219))/1000000*(1+VST_OMAdj)</f>
        <v>128.528696428147</v>
      </c>
      <c r="S230" s="8" t="n">
        <f aca="false">(VST_Assets!$R$8*VST_Assets!$D$8*1000*S$4*S216+VST_Assets!$O$8*(1+VST_Assets!$Q$8)^(S$3-2026)*(S218+S219))/1000000*(1+VST_OMAdj)</f>
        <v>131.09927035671</v>
      </c>
      <c r="T230" s="8" t="n">
        <f aca="false">(VST_Assets!$R$8*VST_Assets!$D$8*1000*T$4*T216+VST_Assets!$O$8*(1+VST_Assets!$Q$8)^(T$3-2026)*(T218+T219))/1000000*(1+VST_OMAdj)</f>
        <v>133.721255763844</v>
      </c>
      <c r="U230" s="8" t="n">
        <f aca="false">(VST_Assets!$R$8*VST_Assets!$D$8*1000*U$4*U216+VST_Assets!$O$8*(1+VST_Assets!$Q$8)^(U$3-2026)*(U218+U219))/1000000*(1+VST_OMAdj)</f>
        <v>136.395680879121</v>
      </c>
      <c r="V230" s="8" t="n">
        <f aca="false">(VST_Assets!$R$8*VST_Assets!$D$8*1000*V$4*V216+VST_Assets!$O$8*(1+VST_Assets!$Q$8)^(V$3-2026)*(V218+V219))/1000000*(1+VST_OMAdj)</f>
        <v>139.123594496703</v>
      </c>
      <c r="W230" s="8" t="n">
        <f aca="false">(VST_Assets!$R$8*VST_Assets!$D$8*1000*W$4*W216+VST_Assets!$O$8*(1+VST_Assets!$Q$8)^(W$3-2026)*(W218+W219))/1000000*(1+VST_OMAdj)</f>
        <v>141.906066386637</v>
      </c>
      <c r="X230" s="8" t="n">
        <f aca="false">(VST_Assets!$R$8*VST_Assets!$D$8*1000*X$4*X216+VST_Assets!$O$8*(1+VST_Assets!$Q$8)^(X$3-2026)*(X218+X219))/1000000*(1+VST_OMAdj)</f>
        <v>144.74418771437</v>
      </c>
      <c r="Y230" s="8" t="n">
        <f aca="false">(VST_Assets!$R$8*VST_Assets!$D$8*1000*Y$4*Y216+VST_Assets!$O$8*(1+VST_Assets!$Q$8)^(Y$3-2026)*(Y218+Y219))/1000000*(1+VST_OMAdj)</f>
        <v>147.639071468657</v>
      </c>
      <c r="Z230" s="8" t="n">
        <f aca="false">(VST_Assets!$R$8*VST_Assets!$D$8*1000*Z$4*Z216+VST_Assets!$O$8*(1+VST_Assets!$Q$8)^(Z$3-2026)*(Z218+Z219))/1000000*(1+VST_OMAdj)</f>
        <v>0</v>
      </c>
      <c r="AA230" s="8" t="n">
        <f aca="false">(VST_Assets!$R$8*VST_Assets!$D$8*1000*AA$4*AA216+VST_Assets!$O$8*(1+VST_Assets!$Q$8)^(AA$3-2026)*(AA218+AA219))/1000000*(1+VST_OMAdj)</f>
        <v>0</v>
      </c>
      <c r="AB230" s="8" t="n">
        <f aca="false">(VST_Assets!$R$8*VST_Assets!$D$8*1000*AB$4*AB216+VST_Assets!$O$8*(1+VST_Assets!$Q$8)^(AB$3-2026)*(AB218+AB219))/1000000*(1+VST_OMAdj)</f>
        <v>0</v>
      </c>
      <c r="AC230" s="8" t="n">
        <f aca="false">(VST_Assets!$R$8*VST_Assets!$D$8*1000*AC$4*AC216+VST_Assets!$O$8*(1+VST_Assets!$Q$8)^(AC$3-2026)*(AC218+AC219))/1000000*(1+VST_OMAdj)</f>
        <v>0</v>
      </c>
      <c r="AD230" s="8" t="n">
        <f aca="false">(VST_Assets!$R$8*VST_Assets!$D$8*1000*AD$4*AD216+VST_Assets!$O$8*(1+VST_Assets!$Q$8)^(AD$3-2026)*(AD218+AD219))/1000000*(1+VST_OMAdj)</f>
        <v>0</v>
      </c>
      <c r="AE230" s="8" t="n">
        <f aca="false">(VST_Assets!$R$8*VST_Assets!$D$8*1000*AE$4*AE216+VST_Assets!$O$8*(1+VST_Assets!$Q$8)^(AE$3-2026)*(AE218+AE219))/1000000*(1+VST_OMAdj)</f>
        <v>0</v>
      </c>
      <c r="AF230" s="8" t="n">
        <f aca="false">(VST_Assets!$R$8*VST_Assets!$D$8*1000*AF$4*AF216+VST_Assets!$O$8*(1+VST_Assets!$Q$8)^(AF$3-2026)*(AF218+AF219))/1000000*(1+VST_OMAdj)</f>
        <v>0</v>
      </c>
      <c r="AG230" s="8" t="n">
        <f aca="false">(VST_Assets!$R$8*VST_Assets!$D$8*1000*AG$4*AG216+VST_Assets!$O$8*(1+VST_Assets!$Q$8)^(AG$3-2026)*(AG218+AG219))/1000000*(1+VST_OMAdj)</f>
        <v>0</v>
      </c>
      <c r="AH230" s="8" t="n">
        <f aca="false">(VST_Assets!$R$8*VST_Assets!$D$8*1000*AH$4*AH216+VST_Assets!$O$8*(1+VST_Assets!$Q$8)^(AH$3-2026)*(AH218+AH219))/1000000*(1+VST_OMAdj)</f>
        <v>0</v>
      </c>
      <c r="AI230" s="8" t="n">
        <f aca="false">(VST_Assets!$R$8*VST_Assets!$D$8*1000*AI$4*AI216+VST_Assets!$O$8*(1+VST_Assets!$Q$8)^(AI$3-2026)*(AI218+AI219))/1000000*(1+VST_OMAdj)</f>
        <v>0</v>
      </c>
      <c r="AJ230" s="8" t="n">
        <f aca="false">(VST_Assets!$R$8*VST_Assets!$D$8*1000*AJ$4*AJ216+VST_Assets!$O$8*(1+VST_Assets!$Q$8)^(AJ$3-2026)*(AJ218+AJ219))/1000000*(1+VST_OMAdj)</f>
        <v>0</v>
      </c>
      <c r="AK230" s="8" t="n">
        <f aca="false">(VST_Assets!$R$8*VST_Assets!$D$8*1000*AK$4*AK216+VST_Assets!$O$8*(1+VST_Assets!$Q$8)^(AK$3-2026)*(AK218+AK219))/1000000*(1+VST_OMAdj)</f>
        <v>0</v>
      </c>
      <c r="AL230" s="8" t="n">
        <f aca="false">(VST_Assets!$R$8*VST_Assets!$D$8*1000*AL$4*AL216+VST_Assets!$O$8*(1+VST_Assets!$Q$8)^(AL$3-2026)*(AL218+AL219))/1000000*(1+VST_OMAdj)</f>
        <v>0</v>
      </c>
      <c r="AM230" s="8" t="n">
        <f aca="false">(VST_Assets!$R$8*VST_Assets!$D$8*1000*AM$4*AM216+VST_Assets!$O$8*(1+VST_Assets!$Q$8)^(AM$3-2026)*(AM218+AM219))/1000000*(1+VST_OMAdj)</f>
        <v>0</v>
      </c>
      <c r="AN230" s="8" t="n">
        <f aca="false">(VST_Assets!$R$8*VST_Assets!$D$8*1000*AN$4*AN216+VST_Assets!$O$8*(1+VST_Assets!$Q$8)^(AN$3-2026)*(AN218+AN219))/1000000*(1+VST_OMAdj)</f>
        <v>0</v>
      </c>
      <c r="AO230" s="8" t="n">
        <f aca="false">(VST_Assets!$R$8*VST_Assets!$D$8*1000*AO$4*AO216+VST_Assets!$O$8*(1+VST_Assets!$Q$8)^(AO$3-2026)*(AO218+AO219))/1000000*(1+VST_OMAdj)</f>
        <v>0</v>
      </c>
      <c r="AP230" s="8" t="n">
        <f aca="false">(VST_Assets!$R$8*VST_Assets!$D$8*1000*AP$4*AP216+VST_Assets!$O$8*(1+VST_Assets!$Q$8)^(AP$3-2026)*(AP218+AP219))/1000000*(1+VST_OMAdj)</f>
        <v>0</v>
      </c>
      <c r="AQ230" s="8" t="n">
        <f aca="false">(VST_Assets!$R$8*VST_Assets!$D$8*1000*AQ$4*AQ216+VST_Assets!$O$8*(1+VST_Assets!$Q$8)^(AQ$3-2026)*(AQ218+AQ219))/1000000*(1+VST_OMAdj)</f>
        <v>0</v>
      </c>
      <c r="AR230" s="8" t="n">
        <f aca="false">(VST_Assets!$R$8*VST_Assets!$D$8*1000*AR$4*AR216+VST_Assets!$O$8*(1+VST_Assets!$Q$8)^(AR$3-2026)*(AR218+AR219))/1000000*(1+VST_OMAdj)</f>
        <v>0</v>
      </c>
      <c r="AS230" s="8" t="n">
        <f aca="false">(VST_Assets!$R$8*VST_Assets!$D$8*1000*AS$4*AS216+VST_Assets!$O$8*(1+VST_Assets!$Q$8)^(AS$3-2026)*(AS218+AS219))/1000000*(1+VST_OMAdj)</f>
        <v>0</v>
      </c>
    </row>
    <row r="231" customFormat="false" ht="15" hidden="false" customHeight="false" outlineLevel="0" collapsed="false">
      <c r="A231" s="6" t="s">
        <v>455</v>
      </c>
      <c r="B231" s="6" t="s">
        <v>456</v>
      </c>
      <c r="C231" s="9" t="n">
        <f aca="false">SUM(G231:AS231)</f>
        <v>7216.51325597236</v>
      </c>
      <c r="G231" s="8" t="n">
        <f aca="false">G229-G230</f>
        <v>459.1090549824</v>
      </c>
      <c r="H231" s="8" t="n">
        <f aca="false">H229-H230</f>
        <v>462.062062768608</v>
      </c>
      <c r="I231" s="8" t="n">
        <f aca="false">I229-I230</f>
        <v>355.523401590894</v>
      </c>
      <c r="J231" s="8" t="n">
        <f aca="false">J229-J230</f>
        <v>318.672022854883</v>
      </c>
      <c r="K231" s="8" t="n">
        <f aca="false">K229-K230</f>
        <v>325.045463311981</v>
      </c>
      <c r="L231" s="8" t="n">
        <f aca="false">L229-L230</f>
        <v>331.54637257822</v>
      </c>
      <c r="M231" s="8" t="n">
        <f aca="false">M229-M230</f>
        <v>338.177300029784</v>
      </c>
      <c r="N231" s="8" t="n">
        <f aca="false">N229-N230</f>
        <v>344.94084603038</v>
      </c>
      <c r="O231" s="8" t="n">
        <f aca="false">O229-O230</f>
        <v>351.839662950988</v>
      </c>
      <c r="P231" s="8" t="n">
        <f aca="false">P229-P230</f>
        <v>358.876456210007</v>
      </c>
      <c r="Q231" s="8" t="n">
        <f aca="false">Q229-Q230</f>
        <v>366.053985334208</v>
      </c>
      <c r="R231" s="8" t="n">
        <f aca="false">R229-R230</f>
        <v>373.375065040892</v>
      </c>
      <c r="S231" s="8" t="n">
        <f aca="false">S229-S230</f>
        <v>380.842566341709</v>
      </c>
      <c r="T231" s="8" t="n">
        <f aca="false">T229-T230</f>
        <v>388.459417668544</v>
      </c>
      <c r="U231" s="8" t="n">
        <f aca="false">U229-U230</f>
        <v>396.228606021915</v>
      </c>
      <c r="V231" s="8" t="n">
        <f aca="false">V229-V230</f>
        <v>404.153178142353</v>
      </c>
      <c r="W231" s="8" t="n">
        <f aca="false">W229-W230</f>
        <v>412.2362417052</v>
      </c>
      <c r="X231" s="8" t="n">
        <f aca="false">X229-X230</f>
        <v>420.480966539304</v>
      </c>
      <c r="Y231" s="8" t="n">
        <f aca="false">Y229-Y230</f>
        <v>428.89058587009</v>
      </c>
      <c r="Z231" s="8" t="n">
        <f aca="false">Z229-Z230</f>
        <v>0</v>
      </c>
      <c r="AA231" s="8" t="n">
        <f aca="false">AA229-AA230</f>
        <v>0</v>
      </c>
      <c r="AB231" s="8" t="n">
        <f aca="false">AB229-AB230</f>
        <v>0</v>
      </c>
      <c r="AC231" s="8" t="n">
        <f aca="false">AC229-AC230</f>
        <v>0</v>
      </c>
      <c r="AD231" s="8" t="n">
        <f aca="false">AD229-AD230</f>
        <v>0</v>
      </c>
      <c r="AE231" s="8" t="n">
        <f aca="false">AE229-AE230</f>
        <v>0</v>
      </c>
      <c r="AF231" s="8" t="n">
        <f aca="false">AF229-AF230</f>
        <v>0</v>
      </c>
      <c r="AG231" s="8" t="n">
        <f aca="false">AG229-AG230</f>
        <v>0</v>
      </c>
      <c r="AH231" s="8" t="n">
        <f aca="false">AH229-AH230</f>
        <v>0</v>
      </c>
      <c r="AI231" s="8" t="n">
        <f aca="false">AI229-AI230</f>
        <v>0</v>
      </c>
      <c r="AJ231" s="8" t="n">
        <f aca="false">AJ229-AJ230</f>
        <v>0</v>
      </c>
      <c r="AK231" s="8" t="n">
        <f aca="false">AK229-AK230</f>
        <v>0</v>
      </c>
      <c r="AL231" s="8" t="n">
        <f aca="false">AL229-AL230</f>
        <v>0</v>
      </c>
      <c r="AM231" s="8" t="n">
        <f aca="false">AM229-AM230</f>
        <v>0</v>
      </c>
      <c r="AN231" s="8" t="n">
        <f aca="false">AN229-AN230</f>
        <v>0</v>
      </c>
      <c r="AO231" s="8" t="n">
        <f aca="false">AO229-AO230</f>
        <v>0</v>
      </c>
      <c r="AP231" s="8" t="n">
        <f aca="false">AP229-AP230</f>
        <v>0</v>
      </c>
      <c r="AQ231" s="8" t="n">
        <f aca="false">AQ229-AQ230</f>
        <v>0</v>
      </c>
      <c r="AR231" s="8" t="n">
        <f aca="false">AR229-AR230</f>
        <v>0</v>
      </c>
      <c r="AS231" s="8" t="n">
        <f aca="false">AS229-AS230</f>
        <v>0</v>
      </c>
    </row>
    <row r="232" customFormat="false" ht="15" hidden="false" customHeight="false" outlineLevel="0" collapsed="false">
      <c r="A232" s="6" t="s">
        <v>457</v>
      </c>
      <c r="B232" s="6" t="s">
        <v>458</v>
      </c>
      <c r="C232" s="9" t="n">
        <f aca="false">SUM(G232:AS232)</f>
        <v>885.393241838069</v>
      </c>
      <c r="G232" s="8" t="n">
        <f aca="false">((VST_Assets!$S$8*VST_Assets!$D$8*1000*G$4*G216+VST_Assets!$P$8*(1+VST_Assets!$Q$8)^(G$3-2026)*(G218+G219))/1000000+IF(G$3=VST_Assets!$AH$8,VST_Assets!$AG$8,0))*(1+VST_CapexAdj)</f>
        <v>38.76408</v>
      </c>
      <c r="H232" s="8" t="n">
        <f aca="false">((VST_Assets!$S$8*VST_Assets!$D$8*1000*H$4*H216+VST_Assets!$P$8*(1+VST_Assets!$Q$8)^(H$3-2026)*(H218+H219))/1000000+IF(H$3=VST_Assets!$AH$8,VST_Assets!$AG$8,0))*(1+VST_CapexAdj)</f>
        <v>39.5393616</v>
      </c>
      <c r="I232" s="8" t="n">
        <f aca="false">((VST_Assets!$S$8*VST_Assets!$D$8*1000*I$4*I216+VST_Assets!$P$8*(1+VST_Assets!$Q$8)^(I$3-2026)*(I218+I219))/1000000+IF(I$3=VST_Assets!$AH$8,VST_Assets!$AG$8,0))*(1+VST_CapexAdj)</f>
        <v>40.330148832</v>
      </c>
      <c r="J232" s="8" t="n">
        <f aca="false">((VST_Assets!$S$8*VST_Assets!$D$8*1000*J$4*J216+VST_Assets!$P$8*(1+VST_Assets!$Q$8)^(J$3-2026)*(J218+J219))/1000000+IF(J$3=VST_Assets!$AH$8,VST_Assets!$AG$8,0))*(1+VST_CapexAdj)</f>
        <v>41.13675180864</v>
      </c>
      <c r="K232" s="8" t="n">
        <f aca="false">((VST_Assets!$S$8*VST_Assets!$D$8*1000*K$4*K216+VST_Assets!$P$8*(1+VST_Assets!$Q$8)^(K$3-2026)*(K218+K219))/1000000+IF(K$3=VST_Assets!$AH$8,VST_Assets!$AG$8,0))*(1+VST_CapexAdj)</f>
        <v>41.9594868448128</v>
      </c>
      <c r="L232" s="8" t="n">
        <f aca="false">((VST_Assets!$S$8*VST_Assets!$D$8*1000*L$4*L216+VST_Assets!$P$8*(1+VST_Assets!$Q$8)^(L$3-2026)*(L218+L219))/1000000+IF(L$3=VST_Assets!$AH$8,VST_Assets!$AG$8,0))*(1+VST_CapexAdj)</f>
        <v>42.7986765817091</v>
      </c>
      <c r="M232" s="8" t="n">
        <f aca="false">((VST_Assets!$S$8*VST_Assets!$D$8*1000*M$4*M216+VST_Assets!$P$8*(1+VST_Assets!$Q$8)^(M$3-2026)*(M218+M219))/1000000+IF(M$3=VST_Assets!$AH$8,VST_Assets!$AG$8,0))*(1+VST_CapexAdj)</f>
        <v>43.6546501133432</v>
      </c>
      <c r="N232" s="8" t="n">
        <f aca="false">((VST_Assets!$S$8*VST_Assets!$D$8*1000*N$4*N216+VST_Assets!$P$8*(1+VST_Assets!$Q$8)^(N$3-2026)*(N218+N219))/1000000+IF(N$3=VST_Assets!$AH$8,VST_Assets!$AG$8,0))*(1+VST_CapexAdj)</f>
        <v>44.5277431156101</v>
      </c>
      <c r="O232" s="8" t="n">
        <f aca="false">((VST_Assets!$S$8*VST_Assets!$D$8*1000*O$4*O216+VST_Assets!$P$8*(1+VST_Assets!$Q$8)^(O$3-2026)*(O218+O219))/1000000+IF(O$3=VST_Assets!$AH$8,VST_Assets!$AG$8,0))*(1+VST_CapexAdj)</f>
        <v>45.4182979779223</v>
      </c>
      <c r="P232" s="8" t="n">
        <f aca="false">((VST_Assets!$S$8*VST_Assets!$D$8*1000*P$4*P216+VST_Assets!$P$8*(1+VST_Assets!$Q$8)^(P$3-2026)*(P218+P219))/1000000+IF(P$3=VST_Assets!$AH$8,VST_Assets!$AG$8,0))*(1+VST_CapexAdj)</f>
        <v>46.3266639374808</v>
      </c>
      <c r="Q232" s="8" t="n">
        <f aca="false">((VST_Assets!$S$8*VST_Assets!$D$8*1000*Q$4*Q216+VST_Assets!$P$8*(1+VST_Assets!$Q$8)^(Q$3-2026)*(Q218+Q219))/1000000+IF(Q$3=VST_Assets!$AH$8,VST_Assets!$AG$8,0))*(1+VST_CapexAdj)</f>
        <v>47.2531972162304</v>
      </c>
      <c r="R232" s="8" t="n">
        <f aca="false">((VST_Assets!$S$8*VST_Assets!$D$8*1000*R$4*R216+VST_Assets!$P$8*(1+VST_Assets!$Q$8)^(R$3-2026)*(R218+R219))/1000000+IF(R$3=VST_Assets!$AH$8,VST_Assets!$AG$8,0))*(1+VST_CapexAdj)</f>
        <v>48.198261160555</v>
      </c>
      <c r="S232" s="8" t="n">
        <f aca="false">((VST_Assets!$S$8*VST_Assets!$D$8*1000*S$4*S216+VST_Assets!$P$8*(1+VST_Assets!$Q$8)^(S$3-2026)*(S218+S219))/1000000+IF(S$3=VST_Assets!$AH$8,VST_Assets!$AG$8,0))*(1+VST_CapexAdj)</f>
        <v>49.1622263837661</v>
      </c>
      <c r="T232" s="8" t="n">
        <f aca="false">((VST_Assets!$S$8*VST_Assets!$D$8*1000*T$4*T216+VST_Assets!$P$8*(1+VST_Assets!$Q$8)^(T$3-2026)*(T218+T219))/1000000+IF(T$3=VST_Assets!$AH$8,VST_Assets!$AG$8,0))*(1+VST_CapexAdj)</f>
        <v>50.1454709114414</v>
      </c>
      <c r="U232" s="8" t="n">
        <f aca="false">((VST_Assets!$S$8*VST_Assets!$D$8*1000*U$4*U216+VST_Assets!$P$8*(1+VST_Assets!$Q$8)^(U$3-2026)*(U218+U219))/1000000+IF(U$3=VST_Assets!$AH$8,VST_Assets!$AG$8,0))*(1+VST_CapexAdj)</f>
        <v>51.1483803296702</v>
      </c>
      <c r="V232" s="8" t="n">
        <f aca="false">((VST_Assets!$S$8*VST_Assets!$D$8*1000*V$4*V216+VST_Assets!$P$8*(1+VST_Assets!$Q$8)^(V$3-2026)*(V218+V219))/1000000+IF(V$3=VST_Assets!$AH$8,VST_Assets!$AG$8,0))*(1+VST_CapexAdj)</f>
        <v>52.1713479362636</v>
      </c>
      <c r="W232" s="8" t="n">
        <f aca="false">((VST_Assets!$S$8*VST_Assets!$D$8*1000*W$4*W216+VST_Assets!$P$8*(1+VST_Assets!$Q$8)^(W$3-2026)*(W218+W219))/1000000+IF(W$3=VST_Assets!$AH$8,VST_Assets!$AG$8,0))*(1+VST_CapexAdj)</f>
        <v>53.2147748949889</v>
      </c>
      <c r="X232" s="8" t="n">
        <f aca="false">((VST_Assets!$S$8*VST_Assets!$D$8*1000*X$4*X216+VST_Assets!$P$8*(1+VST_Assets!$Q$8)^(X$3-2026)*(X218+X219))/1000000+IF(X$3=VST_Assets!$AH$8,VST_Assets!$AG$8,0))*(1+VST_CapexAdj)</f>
        <v>54.2790703928887</v>
      </c>
      <c r="Y232" s="8" t="n">
        <f aca="false">((VST_Assets!$S$8*VST_Assets!$D$8*1000*Y$4*Y216+VST_Assets!$P$8*(1+VST_Assets!$Q$8)^(Y$3-2026)*(Y218+Y219))/1000000+IF(Y$3=VST_Assets!$AH$8,VST_Assets!$AG$8,0))*(1+VST_CapexAdj)</f>
        <v>55.3646518007465</v>
      </c>
      <c r="Z232" s="8" t="n">
        <f aca="false">((VST_Assets!$S$8*VST_Assets!$D$8*1000*Z$4*Z216+VST_Assets!$P$8*(1+VST_Assets!$Q$8)^(Z$3-2026)*(Z218+Z219))/1000000+IF(Z$3=VST_Assets!$AH$8,VST_Assets!$AG$8,0))*(1+VST_CapexAdj)</f>
        <v>0</v>
      </c>
      <c r="AA232" s="8" t="n">
        <f aca="false">((VST_Assets!$S$8*VST_Assets!$D$8*1000*AA$4*AA216+VST_Assets!$P$8*(1+VST_Assets!$Q$8)^(AA$3-2026)*(AA218+AA219))/1000000+IF(AA$3=VST_Assets!$AH$8,VST_Assets!$AG$8,0))*(1+VST_CapexAdj)</f>
        <v>0</v>
      </c>
      <c r="AB232" s="8" t="n">
        <f aca="false">((VST_Assets!$S$8*VST_Assets!$D$8*1000*AB$4*AB216+VST_Assets!$P$8*(1+VST_Assets!$Q$8)^(AB$3-2026)*(AB218+AB219))/1000000+IF(AB$3=VST_Assets!$AH$8,VST_Assets!$AG$8,0))*(1+VST_CapexAdj)</f>
        <v>0</v>
      </c>
      <c r="AC232" s="8" t="n">
        <f aca="false">((VST_Assets!$S$8*VST_Assets!$D$8*1000*AC$4*AC216+VST_Assets!$P$8*(1+VST_Assets!$Q$8)^(AC$3-2026)*(AC218+AC219))/1000000+IF(AC$3=VST_Assets!$AH$8,VST_Assets!$AG$8,0))*(1+VST_CapexAdj)</f>
        <v>0</v>
      </c>
      <c r="AD232" s="8" t="n">
        <f aca="false">((VST_Assets!$S$8*VST_Assets!$D$8*1000*AD$4*AD216+VST_Assets!$P$8*(1+VST_Assets!$Q$8)^(AD$3-2026)*(AD218+AD219))/1000000+IF(AD$3=VST_Assets!$AH$8,VST_Assets!$AG$8,0))*(1+VST_CapexAdj)</f>
        <v>0</v>
      </c>
      <c r="AE232" s="8" t="n">
        <f aca="false">((VST_Assets!$S$8*VST_Assets!$D$8*1000*AE$4*AE216+VST_Assets!$P$8*(1+VST_Assets!$Q$8)^(AE$3-2026)*(AE218+AE219))/1000000+IF(AE$3=VST_Assets!$AH$8,VST_Assets!$AG$8,0))*(1+VST_CapexAdj)</f>
        <v>0</v>
      </c>
      <c r="AF232" s="8" t="n">
        <f aca="false">((VST_Assets!$S$8*VST_Assets!$D$8*1000*AF$4*AF216+VST_Assets!$P$8*(1+VST_Assets!$Q$8)^(AF$3-2026)*(AF218+AF219))/1000000+IF(AF$3=VST_Assets!$AH$8,VST_Assets!$AG$8,0))*(1+VST_CapexAdj)</f>
        <v>0</v>
      </c>
      <c r="AG232" s="8" t="n">
        <f aca="false">((VST_Assets!$S$8*VST_Assets!$D$8*1000*AG$4*AG216+VST_Assets!$P$8*(1+VST_Assets!$Q$8)^(AG$3-2026)*(AG218+AG219))/1000000+IF(AG$3=VST_Assets!$AH$8,VST_Assets!$AG$8,0))*(1+VST_CapexAdj)</f>
        <v>0</v>
      </c>
      <c r="AH232" s="8" t="n">
        <f aca="false">((VST_Assets!$S$8*VST_Assets!$D$8*1000*AH$4*AH216+VST_Assets!$P$8*(1+VST_Assets!$Q$8)^(AH$3-2026)*(AH218+AH219))/1000000+IF(AH$3=VST_Assets!$AH$8,VST_Assets!$AG$8,0))*(1+VST_CapexAdj)</f>
        <v>0</v>
      </c>
      <c r="AI232" s="8" t="n">
        <f aca="false">((VST_Assets!$S$8*VST_Assets!$D$8*1000*AI$4*AI216+VST_Assets!$P$8*(1+VST_Assets!$Q$8)^(AI$3-2026)*(AI218+AI219))/1000000+IF(AI$3=VST_Assets!$AH$8,VST_Assets!$AG$8,0))*(1+VST_CapexAdj)</f>
        <v>0</v>
      </c>
      <c r="AJ232" s="8" t="n">
        <f aca="false">((VST_Assets!$S$8*VST_Assets!$D$8*1000*AJ$4*AJ216+VST_Assets!$P$8*(1+VST_Assets!$Q$8)^(AJ$3-2026)*(AJ218+AJ219))/1000000+IF(AJ$3=VST_Assets!$AH$8,VST_Assets!$AG$8,0))*(1+VST_CapexAdj)</f>
        <v>0</v>
      </c>
      <c r="AK232" s="8" t="n">
        <f aca="false">((VST_Assets!$S$8*VST_Assets!$D$8*1000*AK$4*AK216+VST_Assets!$P$8*(1+VST_Assets!$Q$8)^(AK$3-2026)*(AK218+AK219))/1000000+IF(AK$3=VST_Assets!$AH$8,VST_Assets!$AG$8,0))*(1+VST_CapexAdj)</f>
        <v>0</v>
      </c>
      <c r="AL232" s="8" t="n">
        <f aca="false">((VST_Assets!$S$8*VST_Assets!$D$8*1000*AL$4*AL216+VST_Assets!$P$8*(1+VST_Assets!$Q$8)^(AL$3-2026)*(AL218+AL219))/1000000+IF(AL$3=VST_Assets!$AH$8,VST_Assets!$AG$8,0))*(1+VST_CapexAdj)</f>
        <v>0</v>
      </c>
      <c r="AM232" s="8" t="n">
        <f aca="false">((VST_Assets!$S$8*VST_Assets!$D$8*1000*AM$4*AM216+VST_Assets!$P$8*(1+VST_Assets!$Q$8)^(AM$3-2026)*(AM218+AM219))/1000000+IF(AM$3=VST_Assets!$AH$8,VST_Assets!$AG$8,0))*(1+VST_CapexAdj)</f>
        <v>0</v>
      </c>
      <c r="AN232" s="8" t="n">
        <f aca="false">((VST_Assets!$S$8*VST_Assets!$D$8*1000*AN$4*AN216+VST_Assets!$P$8*(1+VST_Assets!$Q$8)^(AN$3-2026)*(AN218+AN219))/1000000+IF(AN$3=VST_Assets!$AH$8,VST_Assets!$AG$8,0))*(1+VST_CapexAdj)</f>
        <v>0</v>
      </c>
      <c r="AO232" s="8" t="n">
        <f aca="false">((VST_Assets!$S$8*VST_Assets!$D$8*1000*AO$4*AO216+VST_Assets!$P$8*(1+VST_Assets!$Q$8)^(AO$3-2026)*(AO218+AO219))/1000000+IF(AO$3=VST_Assets!$AH$8,VST_Assets!$AG$8,0))*(1+VST_CapexAdj)</f>
        <v>0</v>
      </c>
      <c r="AP232" s="8" t="n">
        <f aca="false">((VST_Assets!$S$8*VST_Assets!$D$8*1000*AP$4*AP216+VST_Assets!$P$8*(1+VST_Assets!$Q$8)^(AP$3-2026)*(AP218+AP219))/1000000+IF(AP$3=VST_Assets!$AH$8,VST_Assets!$AG$8,0))*(1+VST_CapexAdj)</f>
        <v>0</v>
      </c>
      <c r="AQ232" s="8" t="n">
        <f aca="false">((VST_Assets!$S$8*VST_Assets!$D$8*1000*AQ$4*AQ216+VST_Assets!$P$8*(1+VST_Assets!$Q$8)^(AQ$3-2026)*(AQ218+AQ219))/1000000+IF(AQ$3=VST_Assets!$AH$8,VST_Assets!$AG$8,0))*(1+VST_CapexAdj)</f>
        <v>0</v>
      </c>
      <c r="AR232" s="8" t="n">
        <f aca="false">((VST_Assets!$S$8*VST_Assets!$D$8*1000*AR$4*AR216+VST_Assets!$P$8*(1+VST_Assets!$Q$8)^(AR$3-2026)*(AR218+AR219))/1000000+IF(AR$3=VST_Assets!$AH$8,VST_Assets!$AG$8,0))*(1+VST_CapexAdj)</f>
        <v>0</v>
      </c>
      <c r="AS232" s="8" t="n">
        <f aca="false">((VST_Assets!$S$8*VST_Assets!$D$8*1000*AS$4*AS216+VST_Assets!$P$8*(1+VST_Assets!$Q$8)^(AS$3-2026)*(AS218+AS219))/1000000+IF(AS$3=VST_Assets!$AH$8,VST_Assets!$AG$8,0))*(1+VST_CapexAdj)</f>
        <v>0</v>
      </c>
    </row>
    <row r="233" customFormat="false" ht="15" hidden="false" customHeight="false" outlineLevel="0" collapsed="false">
      <c r="A233" s="6" t="s">
        <v>459</v>
      </c>
      <c r="B233" s="6" t="s">
        <v>460</v>
      </c>
      <c r="C233" s="9" t="n">
        <f aca="false">SUM(G233:AS233)</f>
        <v>6331.12001413429</v>
      </c>
      <c r="G233" s="8" t="n">
        <f aca="false">IF(VST_Assets!$Y$8=1,MAX(0,G231-G232),G231-G232)</f>
        <v>420.3449749824</v>
      </c>
      <c r="H233" s="8" t="n">
        <f aca="false">IF(VST_Assets!$Y$8=1,MAX(0,H231-H232),H231-H232)</f>
        <v>422.522701168608</v>
      </c>
      <c r="I233" s="8" t="n">
        <f aca="false">IF(VST_Assets!$Y$8=1,MAX(0,I231-I232),I231-I232)</f>
        <v>315.193252758894</v>
      </c>
      <c r="J233" s="8" t="n">
        <f aca="false">IF(VST_Assets!$Y$8=1,MAX(0,J231-J232),J231-J232)</f>
        <v>277.535271046243</v>
      </c>
      <c r="K233" s="8" t="n">
        <f aca="false">IF(VST_Assets!$Y$8=1,MAX(0,K231-K232),K231-K232)</f>
        <v>283.085976467168</v>
      </c>
      <c r="L233" s="8" t="n">
        <f aca="false">IF(VST_Assets!$Y$8=1,MAX(0,L231-L232),L231-L232)</f>
        <v>288.747695996511</v>
      </c>
      <c r="M233" s="8" t="n">
        <f aca="false">IF(VST_Assets!$Y$8=1,MAX(0,M231-M232),M231-M232)</f>
        <v>294.522649916441</v>
      </c>
      <c r="N233" s="8" t="n">
        <f aca="false">IF(VST_Assets!$Y$8=1,MAX(0,N231-N232),N231-N232)</f>
        <v>300.41310291477</v>
      </c>
      <c r="O233" s="8" t="n">
        <f aca="false">IF(VST_Assets!$Y$8=1,MAX(0,O231-O232),O231-O232)</f>
        <v>306.421364973065</v>
      </c>
      <c r="P233" s="8" t="n">
        <f aca="false">IF(VST_Assets!$Y$8=1,MAX(0,P231-P232),P231-P232)</f>
        <v>312.549792272527</v>
      </c>
      <c r="Q233" s="8" t="n">
        <f aca="false">IF(VST_Assets!$Y$8=1,MAX(0,Q231-Q232),Q231-Q232)</f>
        <v>318.800788117977</v>
      </c>
      <c r="R233" s="8" t="n">
        <f aca="false">IF(VST_Assets!$Y$8=1,MAX(0,R231-R232),R231-R232)</f>
        <v>325.176803880337</v>
      </c>
      <c r="S233" s="8" t="n">
        <f aca="false">IF(VST_Assets!$Y$8=1,MAX(0,S231-S232),S231-S232)</f>
        <v>331.680339957943</v>
      </c>
      <c r="T233" s="8" t="n">
        <f aca="false">IF(VST_Assets!$Y$8=1,MAX(0,T231-T232),T231-T232)</f>
        <v>338.313946757102</v>
      </c>
      <c r="U233" s="8" t="n">
        <f aca="false">IF(VST_Assets!$Y$8=1,MAX(0,U231-U232),U231-U232)</f>
        <v>345.080225692244</v>
      </c>
      <c r="V233" s="8" t="n">
        <f aca="false">IF(VST_Assets!$Y$8=1,MAX(0,V231-V232),V231-V232)</f>
        <v>351.981830206089</v>
      </c>
      <c r="W233" s="8" t="n">
        <f aca="false">IF(VST_Assets!$Y$8=1,MAX(0,W231-W232),W231-W232)</f>
        <v>359.021466810211</v>
      </c>
      <c r="X233" s="8" t="n">
        <f aca="false">IF(VST_Assets!$Y$8=1,MAX(0,X231-X232),X231-X232)</f>
        <v>366.201896146415</v>
      </c>
      <c r="Y233" s="8" t="n">
        <f aca="false">IF(VST_Assets!$Y$8=1,MAX(0,Y231-Y232),Y231-Y232)</f>
        <v>373.525934069343</v>
      </c>
      <c r="Z233" s="8" t="n">
        <f aca="false">IF(VST_Assets!$Y$8=1,MAX(0,Z231-Z232),Z231-Z232)</f>
        <v>0</v>
      </c>
      <c r="AA233" s="8" t="n">
        <f aca="false">IF(VST_Assets!$Y$8=1,MAX(0,AA231-AA232),AA231-AA232)</f>
        <v>0</v>
      </c>
      <c r="AB233" s="8" t="n">
        <f aca="false">IF(VST_Assets!$Y$8=1,MAX(0,AB231-AB232),AB231-AB232)</f>
        <v>0</v>
      </c>
      <c r="AC233" s="8" t="n">
        <f aca="false">IF(VST_Assets!$Y$8=1,MAX(0,AC231-AC232),AC231-AC232)</f>
        <v>0</v>
      </c>
      <c r="AD233" s="8" t="n">
        <f aca="false">IF(VST_Assets!$Y$8=1,MAX(0,AD231-AD232),AD231-AD232)</f>
        <v>0</v>
      </c>
      <c r="AE233" s="8" t="n">
        <f aca="false">IF(VST_Assets!$Y$8=1,MAX(0,AE231-AE232),AE231-AE232)</f>
        <v>0</v>
      </c>
      <c r="AF233" s="8" t="n">
        <f aca="false">IF(VST_Assets!$Y$8=1,MAX(0,AF231-AF232),AF231-AF232)</f>
        <v>0</v>
      </c>
      <c r="AG233" s="8" t="n">
        <f aca="false">IF(VST_Assets!$Y$8=1,MAX(0,AG231-AG232),AG231-AG232)</f>
        <v>0</v>
      </c>
      <c r="AH233" s="8" t="n">
        <f aca="false">IF(VST_Assets!$Y$8=1,MAX(0,AH231-AH232),AH231-AH232)</f>
        <v>0</v>
      </c>
      <c r="AI233" s="8" t="n">
        <f aca="false">IF(VST_Assets!$Y$8=1,MAX(0,AI231-AI232),AI231-AI232)</f>
        <v>0</v>
      </c>
      <c r="AJ233" s="8" t="n">
        <f aca="false">IF(VST_Assets!$Y$8=1,MAX(0,AJ231-AJ232),AJ231-AJ232)</f>
        <v>0</v>
      </c>
      <c r="AK233" s="8" t="n">
        <f aca="false">IF(VST_Assets!$Y$8=1,MAX(0,AK231-AK232),AK231-AK232)</f>
        <v>0</v>
      </c>
      <c r="AL233" s="8" t="n">
        <f aca="false">IF(VST_Assets!$Y$8=1,MAX(0,AL231-AL232),AL231-AL232)</f>
        <v>0</v>
      </c>
      <c r="AM233" s="8" t="n">
        <f aca="false">IF(VST_Assets!$Y$8=1,MAX(0,AM231-AM232),AM231-AM232)</f>
        <v>0</v>
      </c>
      <c r="AN233" s="8" t="n">
        <f aca="false">IF(VST_Assets!$Y$8=1,MAX(0,AN231-AN232),AN231-AN232)</f>
        <v>0</v>
      </c>
      <c r="AO233" s="8" t="n">
        <f aca="false">IF(VST_Assets!$Y$8=1,MAX(0,AO231-AO232),AO231-AO232)</f>
        <v>0</v>
      </c>
      <c r="AP233" s="8" t="n">
        <f aca="false">IF(VST_Assets!$Y$8=1,MAX(0,AP231-AP232),AP231-AP232)</f>
        <v>0</v>
      </c>
      <c r="AQ233" s="8" t="n">
        <f aca="false">IF(VST_Assets!$Y$8=1,MAX(0,AQ231-AQ232),AQ231-AQ232)</f>
        <v>0</v>
      </c>
      <c r="AR233" s="8" t="n">
        <f aca="false">IF(VST_Assets!$Y$8=1,MAX(0,AR231-AR232),AR231-AR232)</f>
        <v>0</v>
      </c>
      <c r="AS233" s="8" t="n">
        <f aca="false">IF(VST_Assets!$Y$8=1,MAX(0,AS231-AS232),AS231-AS232)</f>
        <v>0</v>
      </c>
    </row>
    <row r="234" customFormat="false" ht="15" hidden="false" customHeight="false" outlineLevel="0" collapsed="false">
      <c r="A234" s="6" t="s">
        <v>461</v>
      </c>
      <c r="B234" s="6" t="s">
        <v>462</v>
      </c>
      <c r="C234" s="9" t="n">
        <f aca="false">SUM(G234:AS234)</f>
        <v>0</v>
      </c>
      <c r="G234" s="8" t="n">
        <f aca="false">IF(AND(VST_Assets!$W$8=1,G$3&lt;=PTCLast,G218&gt;0),G218*MAX(0,PTCCredit*(1+Infl)^(G$3-PTCBase)-0.8*MAX(0,(G223+G224+G226)*1000000/MAX(1,G218)-PTCThresh*(1+Infl)^(G$3-PTCBase)))/1000000,0)</f>
        <v>0</v>
      </c>
      <c r="H234" s="8" t="n">
        <f aca="false">IF(AND(VST_Assets!$W$8=1,H$3&lt;=PTCLast,H218&gt;0),H218*MAX(0,PTCCredit*(1+Infl)^(H$3-PTCBase)-0.8*MAX(0,(H223+H224+H226)*1000000/MAX(1,H218)-PTCThresh*(1+Infl)^(H$3-PTCBase)))/1000000,0)</f>
        <v>0</v>
      </c>
      <c r="I234" s="8" t="n">
        <f aca="false">IF(AND(VST_Assets!$W$8=1,I$3&lt;=PTCLast,I218&gt;0),I218*MAX(0,PTCCredit*(1+Infl)^(I$3-PTCBase)-0.8*MAX(0,(I223+I224+I226)*1000000/MAX(1,I218)-PTCThresh*(1+Infl)^(I$3-PTCBase)))/1000000,0)</f>
        <v>0</v>
      </c>
      <c r="J234" s="8" t="n">
        <f aca="false">IF(AND(VST_Assets!$W$8=1,J$3&lt;=PTCLast,J218&gt;0),J218*MAX(0,PTCCredit*(1+Infl)^(J$3-PTCBase)-0.8*MAX(0,(J223+J224+J226)*1000000/MAX(1,J218)-PTCThresh*(1+Infl)^(J$3-PTCBase)))/1000000,0)</f>
        <v>0</v>
      </c>
      <c r="K234" s="8" t="n">
        <f aca="false">IF(AND(VST_Assets!$W$8=1,K$3&lt;=PTCLast,K218&gt;0),K218*MAX(0,PTCCredit*(1+Infl)^(K$3-PTCBase)-0.8*MAX(0,(K223+K224+K226)*1000000/MAX(1,K218)-PTCThresh*(1+Infl)^(K$3-PTCBase)))/1000000,0)</f>
        <v>0</v>
      </c>
      <c r="L234" s="8" t="n">
        <f aca="false">IF(AND(VST_Assets!$W$8=1,L$3&lt;=PTCLast,L218&gt;0),L218*MAX(0,PTCCredit*(1+Infl)^(L$3-PTCBase)-0.8*MAX(0,(L223+L224+L226)*1000000/MAX(1,L218)-PTCThresh*(1+Infl)^(L$3-PTCBase)))/1000000,0)</f>
        <v>0</v>
      </c>
      <c r="M234" s="8" t="n">
        <f aca="false">IF(AND(VST_Assets!$W$8=1,M$3&lt;=PTCLast,M218&gt;0),M218*MAX(0,PTCCredit*(1+Infl)^(M$3-PTCBase)-0.8*MAX(0,(M223+M224+M226)*1000000/MAX(1,M218)-PTCThresh*(1+Infl)^(M$3-PTCBase)))/1000000,0)</f>
        <v>0</v>
      </c>
      <c r="N234" s="8" t="n">
        <f aca="false">IF(AND(VST_Assets!$W$8=1,N$3&lt;=PTCLast,N218&gt;0),N218*MAX(0,PTCCredit*(1+Infl)^(N$3-PTCBase)-0.8*MAX(0,(N223+N224+N226)*1000000/MAX(1,N218)-PTCThresh*(1+Infl)^(N$3-PTCBase)))/1000000,0)</f>
        <v>0</v>
      </c>
      <c r="O234" s="8" t="n">
        <f aca="false">IF(AND(VST_Assets!$W$8=1,O$3&lt;=PTCLast,O218&gt;0),O218*MAX(0,PTCCredit*(1+Infl)^(O$3-PTCBase)-0.8*MAX(0,(O223+O224+O226)*1000000/MAX(1,O218)-PTCThresh*(1+Infl)^(O$3-PTCBase)))/1000000,0)</f>
        <v>0</v>
      </c>
      <c r="P234" s="8" t="n">
        <f aca="false">IF(AND(VST_Assets!$W$8=1,P$3&lt;=PTCLast,P218&gt;0),P218*MAX(0,PTCCredit*(1+Infl)^(P$3-PTCBase)-0.8*MAX(0,(P223+P224+P226)*1000000/MAX(1,P218)-PTCThresh*(1+Infl)^(P$3-PTCBase)))/1000000,0)</f>
        <v>0</v>
      </c>
      <c r="Q234" s="8" t="n">
        <f aca="false">IF(AND(VST_Assets!$W$8=1,Q$3&lt;=PTCLast,Q218&gt;0),Q218*MAX(0,PTCCredit*(1+Infl)^(Q$3-PTCBase)-0.8*MAX(0,(Q223+Q224+Q226)*1000000/MAX(1,Q218)-PTCThresh*(1+Infl)^(Q$3-PTCBase)))/1000000,0)</f>
        <v>0</v>
      </c>
      <c r="R234" s="8" t="n">
        <f aca="false">IF(AND(VST_Assets!$W$8=1,R$3&lt;=PTCLast,R218&gt;0),R218*MAX(0,PTCCredit*(1+Infl)^(R$3-PTCBase)-0.8*MAX(0,(R223+R224+R226)*1000000/MAX(1,R218)-PTCThresh*(1+Infl)^(R$3-PTCBase)))/1000000,0)</f>
        <v>0</v>
      </c>
      <c r="S234" s="8" t="n">
        <f aca="false">IF(AND(VST_Assets!$W$8=1,S$3&lt;=PTCLast,S218&gt;0),S218*MAX(0,PTCCredit*(1+Infl)^(S$3-PTCBase)-0.8*MAX(0,(S223+S224+S226)*1000000/MAX(1,S218)-PTCThresh*(1+Infl)^(S$3-PTCBase)))/1000000,0)</f>
        <v>0</v>
      </c>
      <c r="T234" s="8" t="n">
        <f aca="false">IF(AND(VST_Assets!$W$8=1,T$3&lt;=PTCLast,T218&gt;0),T218*MAX(0,PTCCredit*(1+Infl)^(T$3-PTCBase)-0.8*MAX(0,(T223+T224+T226)*1000000/MAX(1,T218)-PTCThresh*(1+Infl)^(T$3-PTCBase)))/1000000,0)</f>
        <v>0</v>
      </c>
      <c r="U234" s="8" t="n">
        <f aca="false">IF(AND(VST_Assets!$W$8=1,U$3&lt;=PTCLast,U218&gt;0),U218*MAX(0,PTCCredit*(1+Infl)^(U$3-PTCBase)-0.8*MAX(0,(U223+U224+U226)*1000000/MAX(1,U218)-PTCThresh*(1+Infl)^(U$3-PTCBase)))/1000000,0)</f>
        <v>0</v>
      </c>
      <c r="V234" s="8" t="n">
        <f aca="false">IF(AND(VST_Assets!$W$8=1,V$3&lt;=PTCLast,V218&gt;0),V218*MAX(0,PTCCredit*(1+Infl)^(V$3-PTCBase)-0.8*MAX(0,(V223+V224+V226)*1000000/MAX(1,V218)-PTCThresh*(1+Infl)^(V$3-PTCBase)))/1000000,0)</f>
        <v>0</v>
      </c>
      <c r="W234" s="8" t="n">
        <f aca="false">IF(AND(VST_Assets!$W$8=1,W$3&lt;=PTCLast,W218&gt;0),W218*MAX(0,PTCCredit*(1+Infl)^(W$3-PTCBase)-0.8*MAX(0,(W223+W224+W226)*1000000/MAX(1,W218)-PTCThresh*(1+Infl)^(W$3-PTCBase)))/1000000,0)</f>
        <v>0</v>
      </c>
      <c r="X234" s="8" t="n">
        <f aca="false">IF(AND(VST_Assets!$W$8=1,X$3&lt;=PTCLast,X218&gt;0),X218*MAX(0,PTCCredit*(1+Infl)^(X$3-PTCBase)-0.8*MAX(0,(X223+X224+X226)*1000000/MAX(1,X218)-PTCThresh*(1+Infl)^(X$3-PTCBase)))/1000000,0)</f>
        <v>0</v>
      </c>
      <c r="Y234" s="8" t="n">
        <f aca="false">IF(AND(VST_Assets!$W$8=1,Y$3&lt;=PTCLast,Y218&gt;0),Y218*MAX(0,PTCCredit*(1+Infl)^(Y$3-PTCBase)-0.8*MAX(0,(Y223+Y224+Y226)*1000000/MAX(1,Y218)-PTCThresh*(1+Infl)^(Y$3-PTCBase)))/1000000,0)</f>
        <v>0</v>
      </c>
      <c r="Z234" s="8" t="n">
        <f aca="false">IF(AND(VST_Assets!$W$8=1,Z$3&lt;=PTCLast,Z218&gt;0),Z218*MAX(0,PTCCredit*(1+Infl)^(Z$3-PTCBase)-0.8*MAX(0,(Z223+Z224+Z226)*1000000/MAX(1,Z218)-PTCThresh*(1+Infl)^(Z$3-PTCBase)))/1000000,0)</f>
        <v>0</v>
      </c>
      <c r="AA234" s="8" t="n">
        <f aca="false">IF(AND(VST_Assets!$W$8=1,AA$3&lt;=PTCLast,AA218&gt;0),AA218*MAX(0,PTCCredit*(1+Infl)^(AA$3-PTCBase)-0.8*MAX(0,(AA223+AA224+AA226)*1000000/MAX(1,AA218)-PTCThresh*(1+Infl)^(AA$3-PTCBase)))/1000000,0)</f>
        <v>0</v>
      </c>
      <c r="AB234" s="8" t="n">
        <f aca="false">IF(AND(VST_Assets!$W$8=1,AB$3&lt;=PTCLast,AB218&gt;0),AB218*MAX(0,PTCCredit*(1+Infl)^(AB$3-PTCBase)-0.8*MAX(0,(AB223+AB224+AB226)*1000000/MAX(1,AB218)-PTCThresh*(1+Infl)^(AB$3-PTCBase)))/1000000,0)</f>
        <v>0</v>
      </c>
      <c r="AC234" s="8" t="n">
        <f aca="false">IF(AND(VST_Assets!$W$8=1,AC$3&lt;=PTCLast,AC218&gt;0),AC218*MAX(0,PTCCredit*(1+Infl)^(AC$3-PTCBase)-0.8*MAX(0,(AC223+AC224+AC226)*1000000/MAX(1,AC218)-PTCThresh*(1+Infl)^(AC$3-PTCBase)))/1000000,0)</f>
        <v>0</v>
      </c>
      <c r="AD234" s="8" t="n">
        <f aca="false">IF(AND(VST_Assets!$W$8=1,AD$3&lt;=PTCLast,AD218&gt;0),AD218*MAX(0,PTCCredit*(1+Infl)^(AD$3-PTCBase)-0.8*MAX(0,(AD223+AD224+AD226)*1000000/MAX(1,AD218)-PTCThresh*(1+Infl)^(AD$3-PTCBase)))/1000000,0)</f>
        <v>0</v>
      </c>
      <c r="AE234" s="8" t="n">
        <f aca="false">IF(AND(VST_Assets!$W$8=1,AE$3&lt;=PTCLast,AE218&gt;0),AE218*MAX(0,PTCCredit*(1+Infl)^(AE$3-PTCBase)-0.8*MAX(0,(AE223+AE224+AE226)*1000000/MAX(1,AE218)-PTCThresh*(1+Infl)^(AE$3-PTCBase)))/1000000,0)</f>
        <v>0</v>
      </c>
      <c r="AF234" s="8" t="n">
        <f aca="false">IF(AND(VST_Assets!$W$8=1,AF$3&lt;=PTCLast,AF218&gt;0),AF218*MAX(0,PTCCredit*(1+Infl)^(AF$3-PTCBase)-0.8*MAX(0,(AF223+AF224+AF226)*1000000/MAX(1,AF218)-PTCThresh*(1+Infl)^(AF$3-PTCBase)))/1000000,0)</f>
        <v>0</v>
      </c>
      <c r="AG234" s="8" t="n">
        <f aca="false">IF(AND(VST_Assets!$W$8=1,AG$3&lt;=PTCLast,AG218&gt;0),AG218*MAX(0,PTCCredit*(1+Infl)^(AG$3-PTCBase)-0.8*MAX(0,(AG223+AG224+AG226)*1000000/MAX(1,AG218)-PTCThresh*(1+Infl)^(AG$3-PTCBase)))/1000000,0)</f>
        <v>0</v>
      </c>
      <c r="AH234" s="8" t="n">
        <f aca="false">IF(AND(VST_Assets!$W$8=1,AH$3&lt;=PTCLast,AH218&gt;0),AH218*MAX(0,PTCCredit*(1+Infl)^(AH$3-PTCBase)-0.8*MAX(0,(AH223+AH224+AH226)*1000000/MAX(1,AH218)-PTCThresh*(1+Infl)^(AH$3-PTCBase)))/1000000,0)</f>
        <v>0</v>
      </c>
      <c r="AI234" s="8" t="n">
        <f aca="false">IF(AND(VST_Assets!$W$8=1,AI$3&lt;=PTCLast,AI218&gt;0),AI218*MAX(0,PTCCredit*(1+Infl)^(AI$3-PTCBase)-0.8*MAX(0,(AI223+AI224+AI226)*1000000/MAX(1,AI218)-PTCThresh*(1+Infl)^(AI$3-PTCBase)))/1000000,0)</f>
        <v>0</v>
      </c>
      <c r="AJ234" s="8" t="n">
        <f aca="false">IF(AND(VST_Assets!$W$8=1,AJ$3&lt;=PTCLast,AJ218&gt;0),AJ218*MAX(0,PTCCredit*(1+Infl)^(AJ$3-PTCBase)-0.8*MAX(0,(AJ223+AJ224+AJ226)*1000000/MAX(1,AJ218)-PTCThresh*(1+Infl)^(AJ$3-PTCBase)))/1000000,0)</f>
        <v>0</v>
      </c>
      <c r="AK234" s="8" t="n">
        <f aca="false">IF(AND(VST_Assets!$W$8=1,AK$3&lt;=PTCLast,AK218&gt;0),AK218*MAX(0,PTCCredit*(1+Infl)^(AK$3-PTCBase)-0.8*MAX(0,(AK223+AK224+AK226)*1000000/MAX(1,AK218)-PTCThresh*(1+Infl)^(AK$3-PTCBase)))/1000000,0)</f>
        <v>0</v>
      </c>
      <c r="AL234" s="8" t="n">
        <f aca="false">IF(AND(VST_Assets!$W$8=1,AL$3&lt;=PTCLast,AL218&gt;0),AL218*MAX(0,PTCCredit*(1+Infl)^(AL$3-PTCBase)-0.8*MAX(0,(AL223+AL224+AL226)*1000000/MAX(1,AL218)-PTCThresh*(1+Infl)^(AL$3-PTCBase)))/1000000,0)</f>
        <v>0</v>
      </c>
      <c r="AM234" s="8" t="n">
        <f aca="false">IF(AND(VST_Assets!$W$8=1,AM$3&lt;=PTCLast,AM218&gt;0),AM218*MAX(0,PTCCredit*(1+Infl)^(AM$3-PTCBase)-0.8*MAX(0,(AM223+AM224+AM226)*1000000/MAX(1,AM218)-PTCThresh*(1+Infl)^(AM$3-PTCBase)))/1000000,0)</f>
        <v>0</v>
      </c>
      <c r="AN234" s="8" t="n">
        <f aca="false">IF(AND(VST_Assets!$W$8=1,AN$3&lt;=PTCLast,AN218&gt;0),AN218*MAX(0,PTCCredit*(1+Infl)^(AN$3-PTCBase)-0.8*MAX(0,(AN223+AN224+AN226)*1000000/MAX(1,AN218)-PTCThresh*(1+Infl)^(AN$3-PTCBase)))/1000000,0)</f>
        <v>0</v>
      </c>
      <c r="AO234" s="8" t="n">
        <f aca="false">IF(AND(VST_Assets!$W$8=1,AO$3&lt;=PTCLast,AO218&gt;0),AO218*MAX(0,PTCCredit*(1+Infl)^(AO$3-PTCBase)-0.8*MAX(0,(AO223+AO224+AO226)*1000000/MAX(1,AO218)-PTCThresh*(1+Infl)^(AO$3-PTCBase)))/1000000,0)</f>
        <v>0</v>
      </c>
      <c r="AP234" s="8" t="n">
        <f aca="false">IF(AND(VST_Assets!$W$8=1,AP$3&lt;=PTCLast,AP218&gt;0),AP218*MAX(0,PTCCredit*(1+Infl)^(AP$3-PTCBase)-0.8*MAX(0,(AP223+AP224+AP226)*1000000/MAX(1,AP218)-PTCThresh*(1+Infl)^(AP$3-PTCBase)))/1000000,0)</f>
        <v>0</v>
      </c>
      <c r="AQ234" s="8" t="n">
        <f aca="false">IF(AND(VST_Assets!$W$8=1,AQ$3&lt;=PTCLast,AQ218&gt;0),AQ218*MAX(0,PTCCredit*(1+Infl)^(AQ$3-PTCBase)-0.8*MAX(0,(AQ223+AQ224+AQ226)*1000000/MAX(1,AQ218)-PTCThresh*(1+Infl)^(AQ$3-PTCBase)))/1000000,0)</f>
        <v>0</v>
      </c>
      <c r="AR234" s="8" t="n">
        <f aca="false">IF(AND(VST_Assets!$W$8=1,AR$3&lt;=PTCLast,AR218&gt;0),AR218*MAX(0,PTCCredit*(1+Infl)^(AR$3-PTCBase)-0.8*MAX(0,(AR223+AR224+AR226)*1000000/MAX(1,AR218)-PTCThresh*(1+Infl)^(AR$3-PTCBase)))/1000000,0)</f>
        <v>0</v>
      </c>
      <c r="AS234" s="8" t="n">
        <f aca="false">IF(AND(VST_Assets!$W$8=1,AS$3&lt;=PTCLast,AS218&gt;0),AS218*MAX(0,PTCCredit*(1+Infl)^(AS$3-PTCBase)-0.8*MAX(0,(AS223+AS224+AS226)*1000000/MAX(1,AS218)-PTCThresh*(1+Infl)^(AS$3-PTCBase)))/1000000,0)</f>
        <v>0</v>
      </c>
    </row>
    <row r="235" customFormat="false" ht="15" hidden="false" customHeight="false" outlineLevel="0" collapsed="false">
      <c r="A235" s="6" t="s">
        <v>463</v>
      </c>
      <c r="B235" s="6" t="s">
        <v>464</v>
      </c>
      <c r="G235" s="8" t="n">
        <f aca="false">G225-G219*(VST_Assets!$N$8*(1+VST_FuelAdj)+VST_Assets!$O$8*(1+VST_OMAdj)+VST_Assets!$P$8*(1+VST_CapexAdj))*(1+VST_Assets!$Q$8)^(G$3-2026)/1000000</f>
        <v>0</v>
      </c>
      <c r="H235" s="8" t="n">
        <f aca="false">H225-H219*(VST_Assets!$N$8*(1+VST_FuelAdj)+VST_Assets!$O$8*(1+VST_OMAdj)+VST_Assets!$P$8*(1+VST_CapexAdj))*(1+VST_Assets!$Q$8)^(H$3-2026)/1000000</f>
        <v>0</v>
      </c>
      <c r="I235" s="8" t="n">
        <f aca="false">I225-I219*(VST_Assets!$N$8*(1+VST_FuelAdj)+VST_Assets!$O$8*(1+VST_OMAdj)+VST_Assets!$P$8*(1+VST_CapexAdj))*(1+VST_Assets!$Q$8)^(I$3-2026)/1000000</f>
        <v>0</v>
      </c>
      <c r="J235" s="8" t="n">
        <f aca="false">J225-J219*(VST_Assets!$N$8*(1+VST_FuelAdj)+VST_Assets!$O$8*(1+VST_OMAdj)+VST_Assets!$P$8*(1+VST_CapexAdj))*(1+VST_Assets!$Q$8)^(J$3-2026)/1000000</f>
        <v>0</v>
      </c>
      <c r="K235" s="8" t="n">
        <f aca="false">K225-K219*(VST_Assets!$N$8*(1+VST_FuelAdj)+VST_Assets!$O$8*(1+VST_OMAdj)+VST_Assets!$P$8*(1+VST_CapexAdj))*(1+VST_Assets!$Q$8)^(K$3-2026)/1000000</f>
        <v>0</v>
      </c>
      <c r="L235" s="8" t="n">
        <f aca="false">L225-L219*(VST_Assets!$N$8*(1+VST_FuelAdj)+VST_Assets!$O$8*(1+VST_OMAdj)+VST_Assets!$P$8*(1+VST_CapexAdj))*(1+VST_Assets!$Q$8)^(L$3-2026)/1000000</f>
        <v>0</v>
      </c>
      <c r="M235" s="8" t="n">
        <f aca="false">M225-M219*(VST_Assets!$N$8*(1+VST_FuelAdj)+VST_Assets!$O$8*(1+VST_OMAdj)+VST_Assets!$P$8*(1+VST_CapexAdj))*(1+VST_Assets!$Q$8)^(M$3-2026)/1000000</f>
        <v>0</v>
      </c>
      <c r="N235" s="8" t="n">
        <f aca="false">N225-N219*(VST_Assets!$N$8*(1+VST_FuelAdj)+VST_Assets!$O$8*(1+VST_OMAdj)+VST_Assets!$P$8*(1+VST_CapexAdj))*(1+VST_Assets!$Q$8)^(N$3-2026)/1000000</f>
        <v>0</v>
      </c>
      <c r="O235" s="8" t="n">
        <f aca="false">O225-O219*(VST_Assets!$N$8*(1+VST_FuelAdj)+VST_Assets!$O$8*(1+VST_OMAdj)+VST_Assets!$P$8*(1+VST_CapexAdj))*(1+VST_Assets!$Q$8)^(O$3-2026)/1000000</f>
        <v>0</v>
      </c>
      <c r="P235" s="8" t="n">
        <f aca="false">P225-P219*(VST_Assets!$N$8*(1+VST_FuelAdj)+VST_Assets!$O$8*(1+VST_OMAdj)+VST_Assets!$P$8*(1+VST_CapexAdj))*(1+VST_Assets!$Q$8)^(P$3-2026)/1000000</f>
        <v>0</v>
      </c>
      <c r="Q235" s="8" t="n">
        <f aca="false">Q225-Q219*(VST_Assets!$N$8*(1+VST_FuelAdj)+VST_Assets!$O$8*(1+VST_OMAdj)+VST_Assets!$P$8*(1+VST_CapexAdj))*(1+VST_Assets!$Q$8)^(Q$3-2026)/1000000</f>
        <v>0</v>
      </c>
      <c r="R235" s="8" t="n">
        <f aca="false">R225-R219*(VST_Assets!$N$8*(1+VST_FuelAdj)+VST_Assets!$O$8*(1+VST_OMAdj)+VST_Assets!$P$8*(1+VST_CapexAdj))*(1+VST_Assets!$Q$8)^(R$3-2026)/1000000</f>
        <v>0</v>
      </c>
      <c r="S235" s="8" t="n">
        <f aca="false">S225-S219*(VST_Assets!$N$8*(1+VST_FuelAdj)+VST_Assets!$O$8*(1+VST_OMAdj)+VST_Assets!$P$8*(1+VST_CapexAdj))*(1+VST_Assets!$Q$8)^(S$3-2026)/1000000</f>
        <v>0</v>
      </c>
      <c r="T235" s="8" t="n">
        <f aca="false">T225-T219*(VST_Assets!$N$8*(1+VST_FuelAdj)+VST_Assets!$O$8*(1+VST_OMAdj)+VST_Assets!$P$8*(1+VST_CapexAdj))*(1+VST_Assets!$Q$8)^(T$3-2026)/1000000</f>
        <v>0</v>
      </c>
      <c r="U235" s="8" t="n">
        <f aca="false">U225-U219*(VST_Assets!$N$8*(1+VST_FuelAdj)+VST_Assets!$O$8*(1+VST_OMAdj)+VST_Assets!$P$8*(1+VST_CapexAdj))*(1+VST_Assets!$Q$8)^(U$3-2026)/1000000</f>
        <v>0</v>
      </c>
      <c r="V235" s="8" t="n">
        <f aca="false">V225-V219*(VST_Assets!$N$8*(1+VST_FuelAdj)+VST_Assets!$O$8*(1+VST_OMAdj)+VST_Assets!$P$8*(1+VST_CapexAdj))*(1+VST_Assets!$Q$8)^(V$3-2026)/1000000</f>
        <v>0</v>
      </c>
      <c r="W235" s="8" t="n">
        <f aca="false">W225-W219*(VST_Assets!$N$8*(1+VST_FuelAdj)+VST_Assets!$O$8*(1+VST_OMAdj)+VST_Assets!$P$8*(1+VST_CapexAdj))*(1+VST_Assets!$Q$8)^(W$3-2026)/1000000</f>
        <v>0</v>
      </c>
      <c r="X235" s="8" t="n">
        <f aca="false">X225-X219*(VST_Assets!$N$8*(1+VST_FuelAdj)+VST_Assets!$O$8*(1+VST_OMAdj)+VST_Assets!$P$8*(1+VST_CapexAdj))*(1+VST_Assets!$Q$8)^(X$3-2026)/1000000</f>
        <v>0</v>
      </c>
      <c r="Y235" s="8" t="n">
        <f aca="false">Y225-Y219*(VST_Assets!$N$8*(1+VST_FuelAdj)+VST_Assets!$O$8*(1+VST_OMAdj)+VST_Assets!$P$8*(1+VST_CapexAdj))*(1+VST_Assets!$Q$8)^(Y$3-2026)/1000000</f>
        <v>0</v>
      </c>
      <c r="Z235" s="8" t="n">
        <f aca="false">Z225-Z219*(VST_Assets!$N$8*(1+VST_FuelAdj)+VST_Assets!$O$8*(1+VST_OMAdj)+VST_Assets!$P$8*(1+VST_CapexAdj))*(1+VST_Assets!$Q$8)^(Z$3-2026)/1000000</f>
        <v>0</v>
      </c>
      <c r="AA235" s="8" t="n">
        <f aca="false">AA225-AA219*(VST_Assets!$N$8*(1+VST_FuelAdj)+VST_Assets!$O$8*(1+VST_OMAdj)+VST_Assets!$P$8*(1+VST_CapexAdj))*(1+VST_Assets!$Q$8)^(AA$3-2026)/1000000</f>
        <v>0</v>
      </c>
      <c r="AB235" s="8" t="n">
        <f aca="false">AB225-AB219*(VST_Assets!$N$8*(1+VST_FuelAdj)+VST_Assets!$O$8*(1+VST_OMAdj)+VST_Assets!$P$8*(1+VST_CapexAdj))*(1+VST_Assets!$Q$8)^(AB$3-2026)/1000000</f>
        <v>0</v>
      </c>
      <c r="AC235" s="8" t="n">
        <f aca="false">AC225-AC219*(VST_Assets!$N$8*(1+VST_FuelAdj)+VST_Assets!$O$8*(1+VST_OMAdj)+VST_Assets!$P$8*(1+VST_CapexAdj))*(1+VST_Assets!$Q$8)^(AC$3-2026)/1000000</f>
        <v>0</v>
      </c>
      <c r="AD235" s="8" t="n">
        <f aca="false">AD225-AD219*(VST_Assets!$N$8*(1+VST_FuelAdj)+VST_Assets!$O$8*(1+VST_OMAdj)+VST_Assets!$P$8*(1+VST_CapexAdj))*(1+VST_Assets!$Q$8)^(AD$3-2026)/1000000</f>
        <v>0</v>
      </c>
      <c r="AE235" s="8" t="n">
        <f aca="false">AE225-AE219*(VST_Assets!$N$8*(1+VST_FuelAdj)+VST_Assets!$O$8*(1+VST_OMAdj)+VST_Assets!$P$8*(1+VST_CapexAdj))*(1+VST_Assets!$Q$8)^(AE$3-2026)/1000000</f>
        <v>0</v>
      </c>
      <c r="AF235" s="8" t="n">
        <f aca="false">AF225-AF219*(VST_Assets!$N$8*(1+VST_FuelAdj)+VST_Assets!$O$8*(1+VST_OMAdj)+VST_Assets!$P$8*(1+VST_CapexAdj))*(1+VST_Assets!$Q$8)^(AF$3-2026)/1000000</f>
        <v>0</v>
      </c>
      <c r="AG235" s="8" t="n">
        <f aca="false">AG225-AG219*(VST_Assets!$N$8*(1+VST_FuelAdj)+VST_Assets!$O$8*(1+VST_OMAdj)+VST_Assets!$P$8*(1+VST_CapexAdj))*(1+VST_Assets!$Q$8)^(AG$3-2026)/1000000</f>
        <v>0</v>
      </c>
      <c r="AH235" s="8" t="n">
        <f aca="false">AH225-AH219*(VST_Assets!$N$8*(1+VST_FuelAdj)+VST_Assets!$O$8*(1+VST_OMAdj)+VST_Assets!$P$8*(1+VST_CapexAdj))*(1+VST_Assets!$Q$8)^(AH$3-2026)/1000000</f>
        <v>0</v>
      </c>
      <c r="AI235" s="8" t="n">
        <f aca="false">AI225-AI219*(VST_Assets!$N$8*(1+VST_FuelAdj)+VST_Assets!$O$8*(1+VST_OMAdj)+VST_Assets!$P$8*(1+VST_CapexAdj))*(1+VST_Assets!$Q$8)^(AI$3-2026)/1000000</f>
        <v>0</v>
      </c>
      <c r="AJ235" s="8" t="n">
        <f aca="false">AJ225-AJ219*(VST_Assets!$N$8*(1+VST_FuelAdj)+VST_Assets!$O$8*(1+VST_OMAdj)+VST_Assets!$P$8*(1+VST_CapexAdj))*(1+VST_Assets!$Q$8)^(AJ$3-2026)/1000000</f>
        <v>0</v>
      </c>
      <c r="AK235" s="8" t="n">
        <f aca="false">AK225-AK219*(VST_Assets!$N$8*(1+VST_FuelAdj)+VST_Assets!$O$8*(1+VST_OMAdj)+VST_Assets!$P$8*(1+VST_CapexAdj))*(1+VST_Assets!$Q$8)^(AK$3-2026)/1000000</f>
        <v>0</v>
      </c>
      <c r="AL235" s="8" t="n">
        <f aca="false">AL225-AL219*(VST_Assets!$N$8*(1+VST_FuelAdj)+VST_Assets!$O$8*(1+VST_OMAdj)+VST_Assets!$P$8*(1+VST_CapexAdj))*(1+VST_Assets!$Q$8)^(AL$3-2026)/1000000</f>
        <v>0</v>
      </c>
      <c r="AM235" s="8" t="n">
        <f aca="false">AM225-AM219*(VST_Assets!$N$8*(1+VST_FuelAdj)+VST_Assets!$O$8*(1+VST_OMAdj)+VST_Assets!$P$8*(1+VST_CapexAdj))*(1+VST_Assets!$Q$8)^(AM$3-2026)/1000000</f>
        <v>0</v>
      </c>
      <c r="AN235" s="8" t="n">
        <f aca="false">AN225-AN219*(VST_Assets!$N$8*(1+VST_FuelAdj)+VST_Assets!$O$8*(1+VST_OMAdj)+VST_Assets!$P$8*(1+VST_CapexAdj))*(1+VST_Assets!$Q$8)^(AN$3-2026)/1000000</f>
        <v>0</v>
      </c>
      <c r="AO235" s="8" t="n">
        <f aca="false">AO225-AO219*(VST_Assets!$N$8*(1+VST_FuelAdj)+VST_Assets!$O$8*(1+VST_OMAdj)+VST_Assets!$P$8*(1+VST_CapexAdj))*(1+VST_Assets!$Q$8)^(AO$3-2026)/1000000</f>
        <v>0</v>
      </c>
      <c r="AP235" s="8" t="n">
        <f aca="false">AP225-AP219*(VST_Assets!$N$8*(1+VST_FuelAdj)+VST_Assets!$O$8*(1+VST_OMAdj)+VST_Assets!$P$8*(1+VST_CapexAdj))*(1+VST_Assets!$Q$8)^(AP$3-2026)/1000000</f>
        <v>0</v>
      </c>
      <c r="AQ235" s="8" t="n">
        <f aca="false">AQ225-AQ219*(VST_Assets!$N$8*(1+VST_FuelAdj)+VST_Assets!$O$8*(1+VST_OMAdj)+VST_Assets!$P$8*(1+VST_CapexAdj))*(1+VST_Assets!$Q$8)^(AQ$3-2026)/1000000</f>
        <v>0</v>
      </c>
      <c r="AR235" s="8" t="n">
        <f aca="false">AR225-AR219*(VST_Assets!$N$8*(1+VST_FuelAdj)+VST_Assets!$O$8*(1+VST_OMAdj)+VST_Assets!$P$8*(1+VST_CapexAdj))*(1+VST_Assets!$Q$8)^(AR$3-2026)/1000000</f>
        <v>0</v>
      </c>
      <c r="AS235" s="8" t="n">
        <f aca="false">AS225-AS219*(VST_Assets!$N$8*(1+VST_FuelAdj)+VST_Assets!$O$8*(1+VST_OMAdj)+VST_Assets!$P$8*(1+VST_CapexAdj))*(1+VST_Assets!$Q$8)^(AS$3-2026)/1000000</f>
        <v>0</v>
      </c>
    </row>
    <row r="236" customFormat="false" ht="15" hidden="false" customHeight="false" outlineLevel="0" collapsed="false">
      <c r="A236" s="6" t="s">
        <v>465</v>
      </c>
      <c r="B236" s="6" t="s">
        <v>466</v>
      </c>
      <c r="G236" s="8" t="n">
        <f aca="false">G233-G235</f>
        <v>420.3449749824</v>
      </c>
      <c r="H236" s="8" t="n">
        <f aca="false">H233-H235</f>
        <v>422.522701168608</v>
      </c>
      <c r="I236" s="8" t="n">
        <f aca="false">I233-I235</f>
        <v>315.193252758894</v>
      </c>
      <c r="J236" s="8" t="n">
        <f aca="false">J233-J235</f>
        <v>277.535271046243</v>
      </c>
      <c r="K236" s="8" t="n">
        <f aca="false">K233-K235</f>
        <v>283.085976467168</v>
      </c>
      <c r="L236" s="8" t="n">
        <f aca="false">L233-L235</f>
        <v>288.747695996511</v>
      </c>
      <c r="M236" s="8" t="n">
        <f aca="false">M233-M235</f>
        <v>294.522649916441</v>
      </c>
      <c r="N236" s="8" t="n">
        <f aca="false">N233-N235</f>
        <v>300.41310291477</v>
      </c>
      <c r="O236" s="8" t="n">
        <f aca="false">O233-O235</f>
        <v>306.421364973065</v>
      </c>
      <c r="P236" s="8" t="n">
        <f aca="false">P233-P235</f>
        <v>312.549792272527</v>
      </c>
      <c r="Q236" s="8" t="n">
        <f aca="false">Q233-Q235</f>
        <v>318.800788117977</v>
      </c>
      <c r="R236" s="8" t="n">
        <f aca="false">R233-R235</f>
        <v>325.176803880337</v>
      </c>
      <c r="S236" s="8" t="n">
        <f aca="false">S233-S235</f>
        <v>331.680339957943</v>
      </c>
      <c r="T236" s="8" t="n">
        <f aca="false">T233-T235</f>
        <v>338.313946757102</v>
      </c>
      <c r="U236" s="8" t="n">
        <f aca="false">U233-U235</f>
        <v>345.080225692244</v>
      </c>
      <c r="V236" s="8" t="n">
        <f aca="false">V233-V235</f>
        <v>351.981830206089</v>
      </c>
      <c r="W236" s="8" t="n">
        <f aca="false">W233-W235</f>
        <v>359.021466810211</v>
      </c>
      <c r="X236" s="8" t="n">
        <f aca="false">X233-X235</f>
        <v>366.201896146415</v>
      </c>
      <c r="Y236" s="8" t="n">
        <f aca="false">Y233-Y235</f>
        <v>373.525934069343</v>
      </c>
      <c r="Z236" s="8" t="n">
        <f aca="false">Z233-Z235</f>
        <v>0</v>
      </c>
      <c r="AA236" s="8" t="n">
        <f aca="false">AA233-AA235</f>
        <v>0</v>
      </c>
      <c r="AB236" s="8" t="n">
        <f aca="false">AB233-AB235</f>
        <v>0</v>
      </c>
      <c r="AC236" s="8" t="n">
        <f aca="false">AC233-AC235</f>
        <v>0</v>
      </c>
      <c r="AD236" s="8" t="n">
        <f aca="false">AD233-AD235</f>
        <v>0</v>
      </c>
      <c r="AE236" s="8" t="n">
        <f aca="false">AE233-AE235</f>
        <v>0</v>
      </c>
      <c r="AF236" s="8" t="n">
        <f aca="false">AF233-AF235</f>
        <v>0</v>
      </c>
      <c r="AG236" s="8" t="n">
        <f aca="false">AG233-AG235</f>
        <v>0</v>
      </c>
      <c r="AH236" s="8" t="n">
        <f aca="false">AH233-AH235</f>
        <v>0</v>
      </c>
      <c r="AI236" s="8" t="n">
        <f aca="false">AI233-AI235</f>
        <v>0</v>
      </c>
      <c r="AJ236" s="8" t="n">
        <f aca="false">AJ233-AJ235</f>
        <v>0</v>
      </c>
      <c r="AK236" s="8" t="n">
        <f aca="false">AK233-AK235</f>
        <v>0</v>
      </c>
      <c r="AL236" s="8" t="n">
        <f aca="false">AL233-AL235</f>
        <v>0</v>
      </c>
      <c r="AM236" s="8" t="n">
        <f aca="false">AM233-AM235</f>
        <v>0</v>
      </c>
      <c r="AN236" s="8" t="n">
        <f aca="false">AN233-AN235</f>
        <v>0</v>
      </c>
      <c r="AO236" s="8" t="n">
        <f aca="false">AO233-AO235</f>
        <v>0</v>
      </c>
      <c r="AP236" s="8" t="n">
        <f aca="false">AP233-AP235</f>
        <v>0</v>
      </c>
      <c r="AQ236" s="8" t="n">
        <f aca="false">AQ233-AQ235</f>
        <v>0</v>
      </c>
      <c r="AR236" s="8" t="n">
        <f aca="false">AR233-AR235</f>
        <v>0</v>
      </c>
      <c r="AS236" s="8" t="n">
        <f aca="false">AS233-AS235</f>
        <v>0</v>
      </c>
    </row>
    <row r="237" customFormat="false" ht="15" hidden="false" customHeight="false" outlineLevel="0" collapsed="false">
      <c r="A237" s="6" t="s">
        <v>467</v>
      </c>
      <c r="B237" s="6" t="s">
        <v>468</v>
      </c>
      <c r="G237" s="8" t="n">
        <f aca="false">G236*(1-TaxRate)+G234</f>
        <v>336.27597998592</v>
      </c>
      <c r="H237" s="8" t="n">
        <f aca="false">H236*(1-TaxRate)+H234</f>
        <v>338.018160934886</v>
      </c>
      <c r="I237" s="8" t="n">
        <f aca="false">I236*(1-TaxRate)+I234</f>
        <v>252.154602207115</v>
      </c>
      <c r="J237" s="8" t="n">
        <f aca="false">J236*(1-TaxRate)+J234</f>
        <v>222.028216836994</v>
      </c>
      <c r="K237" s="8" t="n">
        <f aca="false">K236*(1-TaxRate)+K234</f>
        <v>226.468781173734</v>
      </c>
      <c r="L237" s="8" t="n">
        <f aca="false">L236*(1-TaxRate)+L234</f>
        <v>230.998156797209</v>
      </c>
      <c r="M237" s="8" t="n">
        <f aca="false">M236*(1-TaxRate)+M234</f>
        <v>235.618119933153</v>
      </c>
      <c r="N237" s="8" t="n">
        <f aca="false">N236*(1-TaxRate)+N234</f>
        <v>240.330482331816</v>
      </c>
      <c r="O237" s="8" t="n">
        <f aca="false">O236*(1-TaxRate)+O234</f>
        <v>245.137091978452</v>
      </c>
      <c r="P237" s="8" t="n">
        <f aca="false">P236*(1-TaxRate)+P234</f>
        <v>250.039833818021</v>
      </c>
      <c r="Q237" s="8" t="n">
        <f aca="false">Q236*(1-TaxRate)+Q234</f>
        <v>255.040630494382</v>
      </c>
      <c r="R237" s="8" t="n">
        <f aca="false">R236*(1-TaxRate)+R234</f>
        <v>260.141443104269</v>
      </c>
      <c r="S237" s="8" t="n">
        <f aca="false">S236*(1-TaxRate)+S234</f>
        <v>265.344271966355</v>
      </c>
      <c r="T237" s="8" t="n">
        <f aca="false">T236*(1-TaxRate)+T234</f>
        <v>270.651157405682</v>
      </c>
      <c r="U237" s="8" t="n">
        <f aca="false">U236*(1-TaxRate)+U234</f>
        <v>276.064180553796</v>
      </c>
      <c r="V237" s="8" t="n">
        <f aca="false">V236*(1-TaxRate)+V234</f>
        <v>281.585464164871</v>
      </c>
      <c r="W237" s="8" t="n">
        <f aca="false">W236*(1-TaxRate)+W234</f>
        <v>287.217173448169</v>
      </c>
      <c r="X237" s="8" t="n">
        <f aca="false">X236*(1-TaxRate)+X234</f>
        <v>292.961516917132</v>
      </c>
      <c r="Y237" s="8" t="n">
        <f aca="false">Y236*(1-TaxRate)+Y234</f>
        <v>298.820747255475</v>
      </c>
      <c r="Z237" s="8" t="n">
        <f aca="false">Z236*(1-TaxRate)+Z234</f>
        <v>0</v>
      </c>
      <c r="AA237" s="8" t="n">
        <f aca="false">AA236*(1-TaxRate)+AA234</f>
        <v>0</v>
      </c>
      <c r="AB237" s="8" t="n">
        <f aca="false">AB236*(1-TaxRate)+AB234</f>
        <v>0</v>
      </c>
      <c r="AC237" s="8" t="n">
        <f aca="false">AC236*(1-TaxRate)+AC234</f>
        <v>0</v>
      </c>
      <c r="AD237" s="8" t="n">
        <f aca="false">AD236*(1-TaxRate)+AD234</f>
        <v>0</v>
      </c>
      <c r="AE237" s="8" t="n">
        <f aca="false">AE236*(1-TaxRate)+AE234</f>
        <v>0</v>
      </c>
      <c r="AF237" s="8" t="n">
        <f aca="false">AF236*(1-TaxRate)+AF234</f>
        <v>0</v>
      </c>
      <c r="AG237" s="8" t="n">
        <f aca="false">AG236*(1-TaxRate)+AG234</f>
        <v>0</v>
      </c>
      <c r="AH237" s="8" t="n">
        <f aca="false">AH236*(1-TaxRate)+AH234</f>
        <v>0</v>
      </c>
      <c r="AI237" s="8" t="n">
        <f aca="false">AI236*(1-TaxRate)+AI234</f>
        <v>0</v>
      </c>
      <c r="AJ237" s="8" t="n">
        <f aca="false">AJ236*(1-TaxRate)+AJ234</f>
        <v>0</v>
      </c>
      <c r="AK237" s="8" t="n">
        <f aca="false">AK236*(1-TaxRate)+AK234</f>
        <v>0</v>
      </c>
      <c r="AL237" s="8" t="n">
        <f aca="false">AL236*(1-TaxRate)+AL234</f>
        <v>0</v>
      </c>
      <c r="AM237" s="8" t="n">
        <f aca="false">AM236*(1-TaxRate)+AM234</f>
        <v>0</v>
      </c>
      <c r="AN237" s="8" t="n">
        <f aca="false">AN236*(1-TaxRate)+AN234</f>
        <v>0</v>
      </c>
      <c r="AO237" s="8" t="n">
        <f aca="false">AO236*(1-TaxRate)+AO234</f>
        <v>0</v>
      </c>
      <c r="AP237" s="8" t="n">
        <f aca="false">AP236*(1-TaxRate)+AP234</f>
        <v>0</v>
      </c>
      <c r="AQ237" s="8" t="n">
        <f aca="false">AQ236*(1-TaxRate)+AQ234</f>
        <v>0</v>
      </c>
      <c r="AR237" s="8" t="n">
        <f aca="false">AR236*(1-TaxRate)+AR234</f>
        <v>0</v>
      </c>
      <c r="AS237" s="8" t="n">
        <f aca="false">AS236*(1-TaxRate)+AS234</f>
        <v>0</v>
      </c>
    </row>
    <row r="238" customFormat="false" ht="15" hidden="false" customHeight="false" outlineLevel="0" collapsed="false">
      <c r="A238" s="6" t="s">
        <v>469</v>
      </c>
      <c r="B238" s="6" t="s">
        <v>470</v>
      </c>
      <c r="G238" s="8" t="n">
        <f aca="false">G235*(1-TaxRate)</f>
        <v>0</v>
      </c>
      <c r="H238" s="8" t="n">
        <f aca="false">H235*(1-TaxRate)</f>
        <v>0</v>
      </c>
      <c r="I238" s="8" t="n">
        <f aca="false">I235*(1-TaxRate)</f>
        <v>0</v>
      </c>
      <c r="J238" s="8" t="n">
        <f aca="false">J235*(1-TaxRate)</f>
        <v>0</v>
      </c>
      <c r="K238" s="8" t="n">
        <f aca="false">K235*(1-TaxRate)</f>
        <v>0</v>
      </c>
      <c r="L238" s="8" t="n">
        <f aca="false">L235*(1-TaxRate)</f>
        <v>0</v>
      </c>
      <c r="M238" s="8" t="n">
        <f aca="false">M235*(1-TaxRate)</f>
        <v>0</v>
      </c>
      <c r="N238" s="8" t="n">
        <f aca="false">N235*(1-TaxRate)</f>
        <v>0</v>
      </c>
      <c r="O238" s="8" t="n">
        <f aca="false">O235*(1-TaxRate)</f>
        <v>0</v>
      </c>
      <c r="P238" s="8" t="n">
        <f aca="false">P235*(1-TaxRate)</f>
        <v>0</v>
      </c>
      <c r="Q238" s="8" t="n">
        <f aca="false">Q235*(1-TaxRate)</f>
        <v>0</v>
      </c>
      <c r="R238" s="8" t="n">
        <f aca="false">R235*(1-TaxRate)</f>
        <v>0</v>
      </c>
      <c r="S238" s="8" t="n">
        <f aca="false">S235*(1-TaxRate)</f>
        <v>0</v>
      </c>
      <c r="T238" s="8" t="n">
        <f aca="false">T235*(1-TaxRate)</f>
        <v>0</v>
      </c>
      <c r="U238" s="8" t="n">
        <f aca="false">U235*(1-TaxRate)</f>
        <v>0</v>
      </c>
      <c r="V238" s="8" t="n">
        <f aca="false">V235*(1-TaxRate)</f>
        <v>0</v>
      </c>
      <c r="W238" s="8" t="n">
        <f aca="false">W235*(1-TaxRate)</f>
        <v>0</v>
      </c>
      <c r="X238" s="8" t="n">
        <f aca="false">X235*(1-TaxRate)</f>
        <v>0</v>
      </c>
      <c r="Y238" s="8" t="n">
        <f aca="false">Y235*(1-TaxRate)</f>
        <v>0</v>
      </c>
      <c r="Z238" s="8" t="n">
        <f aca="false">Z235*(1-TaxRate)</f>
        <v>0</v>
      </c>
      <c r="AA238" s="8" t="n">
        <f aca="false">AA235*(1-TaxRate)</f>
        <v>0</v>
      </c>
      <c r="AB238" s="8" t="n">
        <f aca="false">AB235*(1-TaxRate)</f>
        <v>0</v>
      </c>
      <c r="AC238" s="8" t="n">
        <f aca="false">AC235*(1-TaxRate)</f>
        <v>0</v>
      </c>
      <c r="AD238" s="8" t="n">
        <f aca="false">AD235*(1-TaxRate)</f>
        <v>0</v>
      </c>
      <c r="AE238" s="8" t="n">
        <f aca="false">AE235*(1-TaxRate)</f>
        <v>0</v>
      </c>
      <c r="AF238" s="8" t="n">
        <f aca="false">AF235*(1-TaxRate)</f>
        <v>0</v>
      </c>
      <c r="AG238" s="8" t="n">
        <f aca="false">AG235*(1-TaxRate)</f>
        <v>0</v>
      </c>
      <c r="AH238" s="8" t="n">
        <f aca="false">AH235*(1-TaxRate)</f>
        <v>0</v>
      </c>
      <c r="AI238" s="8" t="n">
        <f aca="false">AI235*(1-TaxRate)</f>
        <v>0</v>
      </c>
      <c r="AJ238" s="8" t="n">
        <f aca="false">AJ235*(1-TaxRate)</f>
        <v>0</v>
      </c>
      <c r="AK238" s="8" t="n">
        <f aca="false">AK235*(1-TaxRate)</f>
        <v>0</v>
      </c>
      <c r="AL238" s="8" t="n">
        <f aca="false">AL235*(1-TaxRate)</f>
        <v>0</v>
      </c>
      <c r="AM238" s="8" t="n">
        <f aca="false">AM235*(1-TaxRate)</f>
        <v>0</v>
      </c>
      <c r="AN238" s="8" t="n">
        <f aca="false">AN235*(1-TaxRate)</f>
        <v>0</v>
      </c>
      <c r="AO238" s="8" t="n">
        <f aca="false">AO235*(1-TaxRate)</f>
        <v>0</v>
      </c>
      <c r="AP238" s="8" t="n">
        <f aca="false">AP235*(1-TaxRate)</f>
        <v>0</v>
      </c>
      <c r="AQ238" s="8" t="n">
        <f aca="false">AQ235*(1-TaxRate)</f>
        <v>0</v>
      </c>
      <c r="AR238" s="8" t="n">
        <f aca="false">AR235*(1-TaxRate)</f>
        <v>0</v>
      </c>
      <c r="AS238" s="8" t="n">
        <f aca="false">AS235*(1-TaxRate)</f>
        <v>0</v>
      </c>
    </row>
    <row r="239" customFormat="false" ht="15" hidden="false" customHeight="false" outlineLevel="0" collapsed="false">
      <c r="A239" s="6" t="s">
        <v>471</v>
      </c>
      <c r="B239" s="6" t="s">
        <v>472</v>
      </c>
      <c r="G239" s="42" t="n">
        <f aca="false">(1+VST_Assets!$AE$8)^-(G$3+0.5-ValDate)</f>
        <v>0.934199026996437</v>
      </c>
      <c r="H239" s="42" t="n">
        <f aca="false">(1+VST_Assets!$AE$8)^-(H$3+0.5-ValDate)</f>
        <v>0.853149796343778</v>
      </c>
      <c r="I239" s="42" t="n">
        <f aca="false">(1+VST_Assets!$AE$8)^-(I$3+0.5-ValDate)</f>
        <v>0.779132234103907</v>
      </c>
      <c r="J239" s="42" t="n">
        <f aca="false">(1+VST_Assets!$AE$8)^-(J$3+0.5-ValDate)</f>
        <v>0.711536286852883</v>
      </c>
      <c r="K239" s="42" t="n">
        <f aca="false">(1+VST_Assets!$AE$8)^-(K$3+0.5-ValDate)</f>
        <v>0.649804828176149</v>
      </c>
      <c r="L239" s="42" t="n">
        <f aca="false">(1+VST_Assets!$AE$8)^-(L$3+0.5-ValDate)</f>
        <v>0.593429066827533</v>
      </c>
      <c r="M239" s="42" t="n">
        <f aca="false">(1+VST_Assets!$AE$8)^-(M$3+0.5-ValDate)</f>
        <v>0.541944353267154</v>
      </c>
      <c r="N239" s="42" t="n">
        <f aca="false">(1+VST_Assets!$AE$8)^-(N$3+0.5-ValDate)</f>
        <v>0.494926350015666</v>
      </c>
      <c r="O239" s="42" t="n">
        <f aca="false">(1+VST_Assets!$AE$8)^-(O$3+0.5-ValDate)</f>
        <v>0.451987534260882</v>
      </c>
      <c r="P239" s="42" t="n">
        <f aca="false">(1+VST_Assets!$AE$8)^-(P$3+0.5-ValDate)</f>
        <v>0.412774003891216</v>
      </c>
      <c r="Q239" s="42" t="n">
        <f aca="false">(1+VST_Assets!$AE$8)^-(Q$3+0.5-ValDate)</f>
        <v>0.376962560631248</v>
      </c>
      <c r="R239" s="42" t="n">
        <f aca="false">(1+VST_Assets!$AE$8)^-(R$3+0.5-ValDate)</f>
        <v>0.344258046238582</v>
      </c>
      <c r="S239" s="42" t="n">
        <f aca="false">(1+VST_Assets!$AE$8)^-(S$3+0.5-ValDate)</f>
        <v>0.314390909806925</v>
      </c>
      <c r="T239" s="42" t="n">
        <f aca="false">(1+VST_Assets!$AE$8)^-(T$3+0.5-ValDate)</f>
        <v>0.287114986125045</v>
      </c>
      <c r="U239" s="42" t="n">
        <f aca="false">(1+VST_Assets!$AE$8)^-(U$3+0.5-ValDate)</f>
        <v>0.262205466780863</v>
      </c>
      <c r="V239" s="42" t="n">
        <f aca="false">(1+VST_Assets!$AE$8)^-(V$3+0.5-ValDate)</f>
        <v>0.23945704728846</v>
      </c>
      <c r="W239" s="42" t="n">
        <f aca="false">(1+VST_Assets!$AE$8)^-(W$3+0.5-ValDate)</f>
        <v>0.21868223496663</v>
      </c>
      <c r="X239" s="42" t="n">
        <f aca="false">(1+VST_Assets!$AE$8)^-(X$3+0.5-ValDate)</f>
        <v>0.199709803622493</v>
      </c>
      <c r="Y239" s="42" t="n">
        <f aca="false">(1+VST_Assets!$AE$8)^-(Y$3+0.5-ValDate)</f>
        <v>0.182383382303647</v>
      </c>
      <c r="Z239" s="42" t="n">
        <f aca="false">(1+VST_Assets!$AE$8)^-(Z$3+0.5-ValDate)</f>
        <v>0.166560166487348</v>
      </c>
      <c r="AA239" s="42" t="n">
        <f aca="false">(1+VST_Assets!$AE$8)^-(AA$3+0.5-ValDate)</f>
        <v>0.152109741084336</v>
      </c>
      <c r="AB239" s="42" t="n">
        <f aca="false">(1+VST_Assets!$AE$8)^-(AB$3+0.5-ValDate)</f>
        <v>0.138913005556472</v>
      </c>
      <c r="AC239" s="42" t="n">
        <f aca="false">(1+VST_Assets!$AE$8)^-(AC$3+0.5-ValDate)</f>
        <v>0.126861192289015</v>
      </c>
      <c r="AD239" s="42" t="n">
        <f aca="false">(1+VST_Assets!$AE$8)^-(AD$3+0.5-ValDate)</f>
        <v>0.115854970126955</v>
      </c>
      <c r="AE239" s="42" t="n">
        <f aca="false">(1+VST_Assets!$AE$8)^-(AE$3+0.5-ValDate)</f>
        <v>0.105803625686716</v>
      </c>
      <c r="AF239" s="42" t="n">
        <f aca="false">(1+VST_Assets!$AE$8)^-(AF$3+0.5-ValDate)</f>
        <v>0.0966243156956315</v>
      </c>
      <c r="AG239" s="42" t="n">
        <f aca="false">(1+VST_Assets!$AE$8)^-(AG$3+0.5-ValDate)</f>
        <v>0.0882413841969238</v>
      </c>
      <c r="AH239" s="42" t="n">
        <f aca="false">(1+VST_Assets!$AE$8)^-(AH$3+0.5-ValDate)</f>
        <v>0.0805857389926244</v>
      </c>
      <c r="AI239" s="42" t="n">
        <f aca="false">(1+VST_Assets!$AE$8)^-(AI$3+0.5-ValDate)</f>
        <v>0.0735942821850451</v>
      </c>
      <c r="AJ239" s="42" t="n">
        <f aca="false">(1+VST_Assets!$AE$8)^-(AJ$3+0.5-ValDate)</f>
        <v>0.0672093901233289</v>
      </c>
      <c r="AK239" s="42" t="n">
        <f aca="false">(1+VST_Assets!$AE$8)^-(AK$3+0.5-ValDate)</f>
        <v>0.0613784384687935</v>
      </c>
      <c r="AL239" s="42" t="n">
        <f aca="false">(1+VST_Assets!$AE$8)^-(AL$3+0.5-ValDate)</f>
        <v>0.0560533684646516</v>
      </c>
      <c r="AM239" s="42" t="n">
        <f aca="false">(1+VST_Assets!$AE$8)^-(AM$3+0.5-ValDate)</f>
        <v>0.0511902908352983</v>
      </c>
      <c r="AN239" s="42" t="n">
        <f aca="false">(1+VST_Assets!$AE$8)^-(AN$3+0.5-ValDate)</f>
        <v>0.0467491240505007</v>
      </c>
      <c r="AO239" s="42" t="n">
        <f aca="false">(1+VST_Assets!$AE$8)^-(AO$3+0.5-ValDate)</f>
        <v>0.04269326397306</v>
      </c>
      <c r="AP239" s="42" t="n">
        <f aca="false">(1+VST_Assets!$AE$8)^-(AP$3+0.5-ValDate)</f>
        <v>0.0389892821671781</v>
      </c>
      <c r="AQ239" s="42" t="n">
        <f aca="false">(1+VST_Assets!$AE$8)^-(AQ$3+0.5-ValDate)</f>
        <v>0.0356066503809846</v>
      </c>
      <c r="AR239" s="42" t="n">
        <f aca="false">(1+VST_Assets!$AE$8)^-(AR$3+0.5-ValDate)</f>
        <v>0.032517488932406</v>
      </c>
      <c r="AS239" s="42" t="n">
        <f aca="false">(1+VST_Assets!$AE$8)^-(AS$3+0.5-ValDate)</f>
        <v>0.0296963369245717</v>
      </c>
    </row>
    <row r="240" customFormat="false" ht="15" hidden="false" customHeight="false" outlineLevel="0" collapsed="false">
      <c r="A240" s="6" t="s">
        <v>473</v>
      </c>
      <c r="B240" s="6" t="s">
        <v>474</v>
      </c>
      <c r="G240" s="42" t="n">
        <f aca="false">(1+VST_Assets!$AF$8)^-(G$3+0.5-ValDate)</f>
        <v>0.934199026996437</v>
      </c>
      <c r="H240" s="42" t="n">
        <f aca="false">(1+VST_Assets!$AF$8)^-(H$3+0.5-ValDate)</f>
        <v>0.853149796343778</v>
      </c>
      <c r="I240" s="42" t="n">
        <f aca="false">(1+VST_Assets!$AF$8)^-(I$3+0.5-ValDate)</f>
        <v>0.779132234103907</v>
      </c>
      <c r="J240" s="42" t="n">
        <f aca="false">(1+VST_Assets!$AF$8)^-(J$3+0.5-ValDate)</f>
        <v>0.711536286852883</v>
      </c>
      <c r="K240" s="42" t="n">
        <f aca="false">(1+VST_Assets!$AF$8)^-(K$3+0.5-ValDate)</f>
        <v>0.649804828176149</v>
      </c>
      <c r="L240" s="42" t="n">
        <f aca="false">(1+VST_Assets!$AF$8)^-(L$3+0.5-ValDate)</f>
        <v>0.593429066827533</v>
      </c>
      <c r="M240" s="42" t="n">
        <f aca="false">(1+VST_Assets!$AF$8)^-(M$3+0.5-ValDate)</f>
        <v>0.541944353267154</v>
      </c>
      <c r="N240" s="42" t="n">
        <f aca="false">(1+VST_Assets!$AF$8)^-(N$3+0.5-ValDate)</f>
        <v>0.494926350015666</v>
      </c>
      <c r="O240" s="42" t="n">
        <f aca="false">(1+VST_Assets!$AF$8)^-(O$3+0.5-ValDate)</f>
        <v>0.451987534260882</v>
      </c>
      <c r="P240" s="42" t="n">
        <f aca="false">(1+VST_Assets!$AF$8)^-(P$3+0.5-ValDate)</f>
        <v>0.412774003891216</v>
      </c>
      <c r="Q240" s="42" t="n">
        <f aca="false">(1+VST_Assets!$AF$8)^-(Q$3+0.5-ValDate)</f>
        <v>0.376962560631248</v>
      </c>
      <c r="R240" s="42" t="n">
        <f aca="false">(1+VST_Assets!$AF$8)^-(R$3+0.5-ValDate)</f>
        <v>0.344258046238582</v>
      </c>
      <c r="S240" s="42" t="n">
        <f aca="false">(1+VST_Assets!$AF$8)^-(S$3+0.5-ValDate)</f>
        <v>0.314390909806925</v>
      </c>
      <c r="T240" s="42" t="n">
        <f aca="false">(1+VST_Assets!$AF$8)^-(T$3+0.5-ValDate)</f>
        <v>0.287114986125045</v>
      </c>
      <c r="U240" s="42" t="n">
        <f aca="false">(1+VST_Assets!$AF$8)^-(U$3+0.5-ValDate)</f>
        <v>0.262205466780863</v>
      </c>
      <c r="V240" s="42" t="n">
        <f aca="false">(1+VST_Assets!$AF$8)^-(V$3+0.5-ValDate)</f>
        <v>0.23945704728846</v>
      </c>
      <c r="W240" s="42" t="n">
        <f aca="false">(1+VST_Assets!$AF$8)^-(W$3+0.5-ValDate)</f>
        <v>0.21868223496663</v>
      </c>
      <c r="X240" s="42" t="n">
        <f aca="false">(1+VST_Assets!$AF$8)^-(X$3+0.5-ValDate)</f>
        <v>0.199709803622493</v>
      </c>
      <c r="Y240" s="42" t="n">
        <f aca="false">(1+VST_Assets!$AF$8)^-(Y$3+0.5-ValDate)</f>
        <v>0.182383382303647</v>
      </c>
      <c r="Z240" s="42" t="n">
        <f aca="false">(1+VST_Assets!$AF$8)^-(Z$3+0.5-ValDate)</f>
        <v>0.166560166487348</v>
      </c>
      <c r="AA240" s="42" t="n">
        <f aca="false">(1+VST_Assets!$AF$8)^-(AA$3+0.5-ValDate)</f>
        <v>0.152109741084336</v>
      </c>
      <c r="AB240" s="42" t="n">
        <f aca="false">(1+VST_Assets!$AF$8)^-(AB$3+0.5-ValDate)</f>
        <v>0.138913005556472</v>
      </c>
      <c r="AC240" s="42" t="n">
        <f aca="false">(1+VST_Assets!$AF$8)^-(AC$3+0.5-ValDate)</f>
        <v>0.126861192289015</v>
      </c>
      <c r="AD240" s="42" t="n">
        <f aca="false">(1+VST_Assets!$AF$8)^-(AD$3+0.5-ValDate)</f>
        <v>0.115854970126955</v>
      </c>
      <c r="AE240" s="42" t="n">
        <f aca="false">(1+VST_Assets!$AF$8)^-(AE$3+0.5-ValDate)</f>
        <v>0.105803625686716</v>
      </c>
      <c r="AF240" s="42" t="n">
        <f aca="false">(1+VST_Assets!$AF$8)^-(AF$3+0.5-ValDate)</f>
        <v>0.0966243156956315</v>
      </c>
      <c r="AG240" s="42" t="n">
        <f aca="false">(1+VST_Assets!$AF$8)^-(AG$3+0.5-ValDate)</f>
        <v>0.0882413841969238</v>
      </c>
      <c r="AH240" s="42" t="n">
        <f aca="false">(1+VST_Assets!$AF$8)^-(AH$3+0.5-ValDate)</f>
        <v>0.0805857389926244</v>
      </c>
      <c r="AI240" s="42" t="n">
        <f aca="false">(1+VST_Assets!$AF$8)^-(AI$3+0.5-ValDate)</f>
        <v>0.0735942821850451</v>
      </c>
      <c r="AJ240" s="42" t="n">
        <f aca="false">(1+VST_Assets!$AF$8)^-(AJ$3+0.5-ValDate)</f>
        <v>0.0672093901233289</v>
      </c>
      <c r="AK240" s="42" t="n">
        <f aca="false">(1+VST_Assets!$AF$8)^-(AK$3+0.5-ValDate)</f>
        <v>0.0613784384687935</v>
      </c>
      <c r="AL240" s="42" t="n">
        <f aca="false">(1+VST_Assets!$AF$8)^-(AL$3+0.5-ValDate)</f>
        <v>0.0560533684646516</v>
      </c>
      <c r="AM240" s="42" t="n">
        <f aca="false">(1+VST_Assets!$AF$8)^-(AM$3+0.5-ValDate)</f>
        <v>0.0511902908352983</v>
      </c>
      <c r="AN240" s="42" t="n">
        <f aca="false">(1+VST_Assets!$AF$8)^-(AN$3+0.5-ValDate)</f>
        <v>0.0467491240505007</v>
      </c>
      <c r="AO240" s="42" t="n">
        <f aca="false">(1+VST_Assets!$AF$8)^-(AO$3+0.5-ValDate)</f>
        <v>0.04269326397306</v>
      </c>
      <c r="AP240" s="42" t="n">
        <f aca="false">(1+VST_Assets!$AF$8)^-(AP$3+0.5-ValDate)</f>
        <v>0.0389892821671781</v>
      </c>
      <c r="AQ240" s="42" t="n">
        <f aca="false">(1+VST_Assets!$AF$8)^-(AQ$3+0.5-ValDate)</f>
        <v>0.0356066503809846</v>
      </c>
      <c r="AR240" s="42" t="n">
        <f aca="false">(1+VST_Assets!$AF$8)^-(AR$3+0.5-ValDate)</f>
        <v>0.032517488932406</v>
      </c>
      <c r="AS240" s="42" t="n">
        <f aca="false">(1+VST_Assets!$AF$8)^-(AS$3+0.5-ValDate)</f>
        <v>0.0296963369245717</v>
      </c>
    </row>
    <row r="241" customFormat="false" ht="15" hidden="false" customHeight="false" outlineLevel="0" collapsed="false">
      <c r="A241" s="6" t="s">
        <v>475</v>
      </c>
      <c r="B241" s="6" t="s">
        <v>476</v>
      </c>
      <c r="C241" s="43" t="n">
        <f aca="false">SUM(G241:AS241)</f>
        <v>2364.31597381934</v>
      </c>
      <c r="D241" s="8" t="n">
        <f aca="false">SUMIF($G$3:$AS$3,"&lt;="&amp;Horizon,G241:AS241)</f>
        <v>956.97173000919</v>
      </c>
      <c r="E241" s="8" t="n">
        <f aca="false">(C241-D241)*(1+VST_Assets!$AE$8)^(Horizon+1-ValDate)</f>
        <v>2069.71404910884</v>
      </c>
      <c r="G241" s="8" t="n">
        <f aca="false">G237*G239</f>
        <v>314.14869330512</v>
      </c>
      <c r="H241" s="8" t="n">
        <f aca="false">H237*H239</f>
        <v>288.380125162097</v>
      </c>
      <c r="I241" s="8" t="n">
        <f aca="false">I237*I239</f>
        <v>196.461778557212</v>
      </c>
      <c r="J241" s="8" t="n">
        <f aca="false">J237*J239</f>
        <v>157.981132984762</v>
      </c>
      <c r="K241" s="8" t="n">
        <f aca="false">K237*K239</f>
        <v>147.16050743786</v>
      </c>
      <c r="L241" s="8" t="n">
        <f aca="false">L237*L239</f>
        <v>137.081020627048</v>
      </c>
      <c r="M241" s="8" t="n">
        <f aca="false">M237*M239</f>
        <v>127.691909625195</v>
      </c>
      <c r="N241" s="8" t="n">
        <f aca="false">N237*N239</f>
        <v>118.94588841799</v>
      </c>
      <c r="O241" s="8" t="n">
        <f aca="false">O237*O239</f>
        <v>110.798909759224</v>
      </c>
      <c r="P241" s="8" t="n">
        <f aca="false">P237*P239</f>
        <v>103.209943337359</v>
      </c>
      <c r="Q241" s="8" t="n">
        <f aca="false">Q237*Q239</f>
        <v>96.14076913617</v>
      </c>
      <c r="R241" s="8" t="n">
        <f aca="false">R237*R239</f>
        <v>89.5557849487611</v>
      </c>
      <c r="S241" s="8" t="n">
        <f aca="false">S237*S239</f>
        <v>83.4218270755583</v>
      </c>
      <c r="T241" s="8" t="n">
        <f aca="false">T237*T239</f>
        <v>77.7080033032597</v>
      </c>
      <c r="U241" s="8" t="n">
        <f aca="false">U237*U239</f>
        <v>72.3855373235845</v>
      </c>
      <c r="V241" s="8" t="n">
        <f aca="false">V237*V239</f>
        <v>67.4276238082704</v>
      </c>
      <c r="W241" s="8" t="n">
        <f aca="false">W237*W239</f>
        <v>62.8092934104437</v>
      </c>
      <c r="X241" s="8" t="n">
        <f aca="false">X237*X239</f>
        <v>58.5072870124681</v>
      </c>
      <c r="Y241" s="8" t="n">
        <f aca="false">Y237*Y239</f>
        <v>54.4999385869566</v>
      </c>
      <c r="Z241" s="8" t="n">
        <f aca="false">Z237*Z239</f>
        <v>0</v>
      </c>
      <c r="AA241" s="8" t="n">
        <f aca="false">AA237*AA239</f>
        <v>0</v>
      </c>
      <c r="AB241" s="8" t="n">
        <f aca="false">AB237*AB239</f>
        <v>0</v>
      </c>
      <c r="AC241" s="8" t="n">
        <f aca="false">AC237*AC239</f>
        <v>0</v>
      </c>
      <c r="AD241" s="8" t="n">
        <f aca="false">AD237*AD239</f>
        <v>0</v>
      </c>
      <c r="AE241" s="8" t="n">
        <f aca="false">AE237*AE239</f>
        <v>0</v>
      </c>
      <c r="AF241" s="8" t="n">
        <f aca="false">AF237*AF239</f>
        <v>0</v>
      </c>
      <c r="AG241" s="8" t="n">
        <f aca="false">AG237*AG239</f>
        <v>0</v>
      </c>
      <c r="AH241" s="8" t="n">
        <f aca="false">AH237*AH239</f>
        <v>0</v>
      </c>
      <c r="AI241" s="8" t="n">
        <f aca="false">AI237*AI239</f>
        <v>0</v>
      </c>
      <c r="AJ241" s="8" t="n">
        <f aca="false">AJ237*AJ239</f>
        <v>0</v>
      </c>
      <c r="AK241" s="8" t="n">
        <f aca="false">AK237*AK239</f>
        <v>0</v>
      </c>
      <c r="AL241" s="8" t="n">
        <f aca="false">AL237*AL239</f>
        <v>0</v>
      </c>
      <c r="AM241" s="8" t="n">
        <f aca="false">AM237*AM239</f>
        <v>0</v>
      </c>
      <c r="AN241" s="8" t="n">
        <f aca="false">AN237*AN239</f>
        <v>0</v>
      </c>
      <c r="AO241" s="8" t="n">
        <f aca="false">AO237*AO239</f>
        <v>0</v>
      </c>
      <c r="AP241" s="8" t="n">
        <f aca="false">AP237*AP239</f>
        <v>0</v>
      </c>
      <c r="AQ241" s="8" t="n">
        <f aca="false">AQ237*AQ239</f>
        <v>0</v>
      </c>
      <c r="AR241" s="8" t="n">
        <f aca="false">AR237*AR239</f>
        <v>0</v>
      </c>
      <c r="AS241" s="8" t="n">
        <f aca="false">AS237*AS239</f>
        <v>0</v>
      </c>
    </row>
    <row r="242" customFormat="false" ht="15" hidden="false" customHeight="false" outlineLevel="0" collapsed="false">
      <c r="A242" s="6" t="s">
        <v>477</v>
      </c>
      <c r="B242" s="6" t="s">
        <v>478</v>
      </c>
      <c r="C242" s="43" t="n">
        <f aca="false">SUM(G242:AS242)</f>
        <v>0</v>
      </c>
      <c r="D242" s="8" t="n">
        <f aca="false">SUMIF($G$3:$AS$3,"&lt;="&amp;Horizon,G242:AS242)</f>
        <v>0</v>
      </c>
      <c r="E242" s="8" t="n">
        <f aca="false">(C242-D242)*(1+VST_Assets!$AF$8)^(Horizon+1-ValDate)</f>
        <v>0</v>
      </c>
      <c r="G242" s="8" t="n">
        <f aca="false">G238*G240</f>
        <v>0</v>
      </c>
      <c r="H242" s="8" t="n">
        <f aca="false">H238*H240</f>
        <v>0</v>
      </c>
      <c r="I242" s="8" t="n">
        <f aca="false">I238*I240</f>
        <v>0</v>
      </c>
      <c r="J242" s="8" t="n">
        <f aca="false">J238*J240</f>
        <v>0</v>
      </c>
      <c r="K242" s="8" t="n">
        <f aca="false">K238*K240</f>
        <v>0</v>
      </c>
      <c r="L242" s="8" t="n">
        <f aca="false">L238*L240</f>
        <v>0</v>
      </c>
      <c r="M242" s="8" t="n">
        <f aca="false">M238*M240</f>
        <v>0</v>
      </c>
      <c r="N242" s="8" t="n">
        <f aca="false">N238*N240</f>
        <v>0</v>
      </c>
      <c r="O242" s="8" t="n">
        <f aca="false">O238*O240</f>
        <v>0</v>
      </c>
      <c r="P242" s="8" t="n">
        <f aca="false">P238*P240</f>
        <v>0</v>
      </c>
      <c r="Q242" s="8" t="n">
        <f aca="false">Q238*Q240</f>
        <v>0</v>
      </c>
      <c r="R242" s="8" t="n">
        <f aca="false">R238*R240</f>
        <v>0</v>
      </c>
      <c r="S242" s="8" t="n">
        <f aca="false">S238*S240</f>
        <v>0</v>
      </c>
      <c r="T242" s="8" t="n">
        <f aca="false">T238*T240</f>
        <v>0</v>
      </c>
      <c r="U242" s="8" t="n">
        <f aca="false">U238*U240</f>
        <v>0</v>
      </c>
      <c r="V242" s="8" t="n">
        <f aca="false">V238*V240</f>
        <v>0</v>
      </c>
      <c r="W242" s="8" t="n">
        <f aca="false">W238*W240</f>
        <v>0</v>
      </c>
      <c r="X242" s="8" t="n">
        <f aca="false">X238*X240</f>
        <v>0</v>
      </c>
      <c r="Y242" s="8" t="n">
        <f aca="false">Y238*Y240</f>
        <v>0</v>
      </c>
      <c r="Z242" s="8" t="n">
        <f aca="false">Z238*Z240</f>
        <v>0</v>
      </c>
      <c r="AA242" s="8" t="n">
        <f aca="false">AA238*AA240</f>
        <v>0</v>
      </c>
      <c r="AB242" s="8" t="n">
        <f aca="false">AB238*AB240</f>
        <v>0</v>
      </c>
      <c r="AC242" s="8" t="n">
        <f aca="false">AC238*AC240</f>
        <v>0</v>
      </c>
      <c r="AD242" s="8" t="n">
        <f aca="false">AD238*AD240</f>
        <v>0</v>
      </c>
      <c r="AE242" s="8" t="n">
        <f aca="false">AE238*AE240</f>
        <v>0</v>
      </c>
      <c r="AF242" s="8" t="n">
        <f aca="false">AF238*AF240</f>
        <v>0</v>
      </c>
      <c r="AG242" s="8" t="n">
        <f aca="false">AG238*AG240</f>
        <v>0</v>
      </c>
      <c r="AH242" s="8" t="n">
        <f aca="false">AH238*AH240</f>
        <v>0</v>
      </c>
      <c r="AI242" s="8" t="n">
        <f aca="false">AI238*AI240</f>
        <v>0</v>
      </c>
      <c r="AJ242" s="8" t="n">
        <f aca="false">AJ238*AJ240</f>
        <v>0</v>
      </c>
      <c r="AK242" s="8" t="n">
        <f aca="false">AK238*AK240</f>
        <v>0</v>
      </c>
      <c r="AL242" s="8" t="n">
        <f aca="false">AL238*AL240</f>
        <v>0</v>
      </c>
      <c r="AM242" s="8" t="n">
        <f aca="false">AM238*AM240</f>
        <v>0</v>
      </c>
      <c r="AN242" s="8" t="n">
        <f aca="false">AN238*AN240</f>
        <v>0</v>
      </c>
      <c r="AO242" s="8" t="n">
        <f aca="false">AO238*AO240</f>
        <v>0</v>
      </c>
      <c r="AP242" s="8" t="n">
        <f aca="false">AP238*AP240</f>
        <v>0</v>
      </c>
      <c r="AQ242" s="8" t="n">
        <f aca="false">AQ238*AQ240</f>
        <v>0</v>
      </c>
      <c r="AR242" s="8" t="n">
        <f aca="false">AR238*AR240</f>
        <v>0</v>
      </c>
      <c r="AS242" s="8" t="n">
        <f aca="false">AS238*AS240</f>
        <v>0</v>
      </c>
    </row>
    <row r="243" customFormat="false" ht="15" hidden="false" customHeight="false" outlineLevel="0" collapsed="false">
      <c r="A243" s="6" t="s">
        <v>479</v>
      </c>
      <c r="B243" s="6" t="s">
        <v>480</v>
      </c>
      <c r="C243" s="43" t="n">
        <f aca="false">IF(VST_Assets!$H$8="$/kW",VST_Assets!$D$8*VST_Assets!$AI$8*(1+0.4*(PJMWLR/PJMWLRBase-1))/1000,0)</f>
        <v>0</v>
      </c>
      <c r="E243" s="8" t="n">
        <f aca="false">C243</f>
        <v>0</v>
      </c>
      <c r="G243" s="8" t="n">
        <f aca="false">0</f>
        <v>0</v>
      </c>
      <c r="H243" s="8" t="n">
        <f aca="false">0</f>
        <v>0</v>
      </c>
      <c r="I243" s="8" t="n">
        <f aca="false">0</f>
        <v>0</v>
      </c>
      <c r="J243" s="8" t="n">
        <f aca="false">0</f>
        <v>0</v>
      </c>
      <c r="K243" s="8" t="n">
        <f aca="false">0</f>
        <v>0</v>
      </c>
      <c r="L243" s="8" t="n">
        <f aca="false">0</f>
        <v>0</v>
      </c>
      <c r="M243" s="8" t="n">
        <f aca="false">0</f>
        <v>0</v>
      </c>
      <c r="N243" s="8" t="n">
        <f aca="false">0</f>
        <v>0</v>
      </c>
      <c r="O243" s="8" t="n">
        <f aca="false">0</f>
        <v>0</v>
      </c>
      <c r="P243" s="8" t="n">
        <f aca="false">0</f>
        <v>0</v>
      </c>
      <c r="Q243" s="8" t="n">
        <f aca="false">0</f>
        <v>0</v>
      </c>
      <c r="R243" s="8" t="n">
        <f aca="false">0</f>
        <v>0</v>
      </c>
      <c r="S243" s="8" t="n">
        <f aca="false">0</f>
        <v>0</v>
      </c>
      <c r="T243" s="8" t="n">
        <f aca="false">0</f>
        <v>0</v>
      </c>
      <c r="U243" s="8" t="n">
        <f aca="false">0</f>
        <v>0</v>
      </c>
      <c r="V243" s="8" t="n">
        <f aca="false">0</f>
        <v>0</v>
      </c>
      <c r="W243" s="8" t="n">
        <f aca="false">0</f>
        <v>0</v>
      </c>
      <c r="X243" s="8" t="n">
        <f aca="false">0</f>
        <v>0</v>
      </c>
      <c r="Y243" s="8" t="n">
        <f aca="false">0</f>
        <v>0</v>
      </c>
      <c r="Z243" s="8" t="n">
        <f aca="false">0</f>
        <v>0</v>
      </c>
      <c r="AA243" s="8" t="n">
        <f aca="false">0</f>
        <v>0</v>
      </c>
      <c r="AB243" s="8" t="n">
        <f aca="false">0</f>
        <v>0</v>
      </c>
      <c r="AC243" s="8" t="n">
        <f aca="false">0</f>
        <v>0</v>
      </c>
      <c r="AD243" s="8" t="n">
        <f aca="false">0</f>
        <v>0</v>
      </c>
      <c r="AE243" s="8" t="n">
        <f aca="false">0</f>
        <v>0</v>
      </c>
      <c r="AF243" s="8" t="n">
        <f aca="false">0</f>
        <v>0</v>
      </c>
      <c r="AG243" s="8" t="n">
        <f aca="false">0</f>
        <v>0</v>
      </c>
      <c r="AH243" s="8" t="n">
        <f aca="false">0</f>
        <v>0</v>
      </c>
      <c r="AI243" s="8" t="n">
        <f aca="false">0</f>
        <v>0</v>
      </c>
      <c r="AJ243" s="8" t="n">
        <f aca="false">0</f>
        <v>0</v>
      </c>
      <c r="AK243" s="8" t="n">
        <f aca="false">0</f>
        <v>0</v>
      </c>
      <c r="AL243" s="8" t="n">
        <f aca="false">0</f>
        <v>0</v>
      </c>
      <c r="AM243" s="8" t="n">
        <f aca="false">0</f>
        <v>0</v>
      </c>
      <c r="AN243" s="8" t="n">
        <f aca="false">0</f>
        <v>0</v>
      </c>
      <c r="AO243" s="8" t="n">
        <f aca="false">0</f>
        <v>0</v>
      </c>
      <c r="AP243" s="8" t="n">
        <f aca="false">0</f>
        <v>0</v>
      </c>
      <c r="AQ243" s="8" t="n">
        <f aca="false">0</f>
        <v>0</v>
      </c>
      <c r="AR243" s="8" t="n">
        <f aca="false">0</f>
        <v>0</v>
      </c>
      <c r="AS243" s="8" t="n">
        <f aca="false">0</f>
        <v>0</v>
      </c>
    </row>
    <row r="245" customFormat="false" ht="15" hidden="false" customHeight="false" outlineLevel="0" collapsed="false">
      <c r="A245" s="54" t="str">
        <f aca="false">VST_Assets!$A$9</f>
        <v>Gas - West CCGT (CAISO)</v>
      </c>
    </row>
    <row r="246" customFormat="false" ht="15" hidden="false" customHeight="false" outlineLevel="0" collapsed="false">
      <c r="A246" s="6" t="s">
        <v>425</v>
      </c>
      <c r="B246" s="6" t="s">
        <v>426</v>
      </c>
      <c r="G246" s="47" t="n">
        <f aca="false">IF(AND(G$3&gt;=VST_Assets!$E$9,G$3&lt;=VST_Assets!$F$9,VST_Assets!$H$9="Cashflow"),1,0)</f>
        <v>1</v>
      </c>
      <c r="H246" s="47" t="n">
        <f aca="false">IF(AND(H$3&gt;=VST_Assets!$E$9,H$3&lt;=VST_Assets!$F$9,VST_Assets!$H$9="Cashflow"),1,0)</f>
        <v>1</v>
      </c>
      <c r="I246" s="47" t="n">
        <f aca="false">IF(AND(I$3&gt;=VST_Assets!$E$9,I$3&lt;=VST_Assets!$F$9,VST_Assets!$H$9="Cashflow"),1,0)</f>
        <v>1</v>
      </c>
      <c r="J246" s="47" t="n">
        <f aca="false">IF(AND(J$3&gt;=VST_Assets!$E$9,J$3&lt;=VST_Assets!$F$9,VST_Assets!$H$9="Cashflow"),1,0)</f>
        <v>1</v>
      </c>
      <c r="K246" s="47" t="n">
        <f aca="false">IF(AND(K$3&gt;=VST_Assets!$E$9,K$3&lt;=VST_Assets!$F$9,VST_Assets!$H$9="Cashflow"),1,0)</f>
        <v>1</v>
      </c>
      <c r="L246" s="47" t="n">
        <f aca="false">IF(AND(L$3&gt;=VST_Assets!$E$9,L$3&lt;=VST_Assets!$F$9,VST_Assets!$H$9="Cashflow"),1,0)</f>
        <v>1</v>
      </c>
      <c r="M246" s="47" t="n">
        <f aca="false">IF(AND(M$3&gt;=VST_Assets!$E$9,M$3&lt;=VST_Assets!$F$9,VST_Assets!$H$9="Cashflow"),1,0)</f>
        <v>1</v>
      </c>
      <c r="N246" s="47" t="n">
        <f aca="false">IF(AND(N$3&gt;=VST_Assets!$E$9,N$3&lt;=VST_Assets!$F$9,VST_Assets!$H$9="Cashflow"),1,0)</f>
        <v>1</v>
      </c>
      <c r="O246" s="47" t="n">
        <f aca="false">IF(AND(O$3&gt;=VST_Assets!$E$9,O$3&lt;=VST_Assets!$F$9,VST_Assets!$H$9="Cashflow"),1,0)</f>
        <v>1</v>
      </c>
      <c r="P246" s="47" t="n">
        <f aca="false">IF(AND(P$3&gt;=VST_Assets!$E$9,P$3&lt;=VST_Assets!$F$9,VST_Assets!$H$9="Cashflow"),1,0)</f>
        <v>1</v>
      </c>
      <c r="Q246" s="47" t="n">
        <f aca="false">IF(AND(Q$3&gt;=VST_Assets!$E$9,Q$3&lt;=VST_Assets!$F$9,VST_Assets!$H$9="Cashflow"),1,0)</f>
        <v>1</v>
      </c>
      <c r="R246" s="47" t="n">
        <f aca="false">IF(AND(R$3&gt;=VST_Assets!$E$9,R$3&lt;=VST_Assets!$F$9,VST_Assets!$H$9="Cashflow"),1,0)</f>
        <v>1</v>
      </c>
      <c r="S246" s="47" t="n">
        <f aca="false">IF(AND(S$3&gt;=VST_Assets!$E$9,S$3&lt;=VST_Assets!$F$9,VST_Assets!$H$9="Cashflow"),1,0)</f>
        <v>1</v>
      </c>
      <c r="T246" s="47" t="n">
        <f aca="false">IF(AND(T$3&gt;=VST_Assets!$E$9,T$3&lt;=VST_Assets!$F$9,VST_Assets!$H$9="Cashflow"),1,0)</f>
        <v>1</v>
      </c>
      <c r="U246" s="47" t="n">
        <f aca="false">IF(AND(U$3&gt;=VST_Assets!$E$9,U$3&lt;=VST_Assets!$F$9,VST_Assets!$H$9="Cashflow"),1,0)</f>
        <v>0</v>
      </c>
      <c r="V246" s="47" t="n">
        <f aca="false">IF(AND(V$3&gt;=VST_Assets!$E$9,V$3&lt;=VST_Assets!$F$9,VST_Assets!$H$9="Cashflow"),1,0)</f>
        <v>0</v>
      </c>
      <c r="W246" s="47" t="n">
        <f aca="false">IF(AND(W$3&gt;=VST_Assets!$E$9,W$3&lt;=VST_Assets!$F$9,VST_Assets!$H$9="Cashflow"),1,0)</f>
        <v>0</v>
      </c>
      <c r="X246" s="47" t="n">
        <f aca="false">IF(AND(X$3&gt;=VST_Assets!$E$9,X$3&lt;=VST_Assets!$F$9,VST_Assets!$H$9="Cashflow"),1,0)</f>
        <v>0</v>
      </c>
      <c r="Y246" s="47" t="n">
        <f aca="false">IF(AND(Y$3&gt;=VST_Assets!$E$9,Y$3&lt;=VST_Assets!$F$9,VST_Assets!$H$9="Cashflow"),1,0)</f>
        <v>0</v>
      </c>
      <c r="Z246" s="47" t="n">
        <f aca="false">IF(AND(Z$3&gt;=VST_Assets!$E$9,Z$3&lt;=VST_Assets!$F$9,VST_Assets!$H$9="Cashflow"),1,0)</f>
        <v>0</v>
      </c>
      <c r="AA246" s="47" t="n">
        <f aca="false">IF(AND(AA$3&gt;=VST_Assets!$E$9,AA$3&lt;=VST_Assets!$F$9,VST_Assets!$H$9="Cashflow"),1,0)</f>
        <v>0</v>
      </c>
      <c r="AB246" s="47" t="n">
        <f aca="false">IF(AND(AB$3&gt;=VST_Assets!$E$9,AB$3&lt;=VST_Assets!$F$9,VST_Assets!$H$9="Cashflow"),1,0)</f>
        <v>0</v>
      </c>
      <c r="AC246" s="47" t="n">
        <f aca="false">IF(AND(AC$3&gt;=VST_Assets!$E$9,AC$3&lt;=VST_Assets!$F$9,VST_Assets!$H$9="Cashflow"),1,0)</f>
        <v>0</v>
      </c>
      <c r="AD246" s="47" t="n">
        <f aca="false">IF(AND(AD$3&gt;=VST_Assets!$E$9,AD$3&lt;=VST_Assets!$F$9,VST_Assets!$H$9="Cashflow"),1,0)</f>
        <v>0</v>
      </c>
      <c r="AE246" s="47" t="n">
        <f aca="false">IF(AND(AE$3&gt;=VST_Assets!$E$9,AE$3&lt;=VST_Assets!$F$9,VST_Assets!$H$9="Cashflow"),1,0)</f>
        <v>0</v>
      </c>
      <c r="AF246" s="47" t="n">
        <f aca="false">IF(AND(AF$3&gt;=VST_Assets!$E$9,AF$3&lt;=VST_Assets!$F$9,VST_Assets!$H$9="Cashflow"),1,0)</f>
        <v>0</v>
      </c>
      <c r="AG246" s="47" t="n">
        <f aca="false">IF(AND(AG$3&gt;=VST_Assets!$E$9,AG$3&lt;=VST_Assets!$F$9,VST_Assets!$H$9="Cashflow"),1,0)</f>
        <v>0</v>
      </c>
      <c r="AH246" s="47" t="n">
        <f aca="false">IF(AND(AH$3&gt;=VST_Assets!$E$9,AH$3&lt;=VST_Assets!$F$9,VST_Assets!$H$9="Cashflow"),1,0)</f>
        <v>0</v>
      </c>
      <c r="AI246" s="47" t="n">
        <f aca="false">IF(AND(AI$3&gt;=VST_Assets!$E$9,AI$3&lt;=VST_Assets!$F$9,VST_Assets!$H$9="Cashflow"),1,0)</f>
        <v>0</v>
      </c>
      <c r="AJ246" s="47" t="n">
        <f aca="false">IF(AND(AJ$3&gt;=VST_Assets!$E$9,AJ$3&lt;=VST_Assets!$F$9,VST_Assets!$H$9="Cashflow"),1,0)</f>
        <v>0</v>
      </c>
      <c r="AK246" s="47" t="n">
        <f aca="false">IF(AND(AK$3&gt;=VST_Assets!$E$9,AK$3&lt;=VST_Assets!$F$9,VST_Assets!$H$9="Cashflow"),1,0)</f>
        <v>0</v>
      </c>
      <c r="AL246" s="47" t="n">
        <f aca="false">IF(AND(AL$3&gt;=VST_Assets!$E$9,AL$3&lt;=VST_Assets!$F$9,VST_Assets!$H$9="Cashflow"),1,0)</f>
        <v>0</v>
      </c>
      <c r="AM246" s="47" t="n">
        <f aca="false">IF(AND(AM$3&gt;=VST_Assets!$E$9,AM$3&lt;=VST_Assets!$F$9,VST_Assets!$H$9="Cashflow"),1,0)</f>
        <v>0</v>
      </c>
      <c r="AN246" s="47" t="n">
        <f aca="false">IF(AND(AN$3&gt;=VST_Assets!$E$9,AN$3&lt;=VST_Assets!$F$9,VST_Assets!$H$9="Cashflow"),1,0)</f>
        <v>0</v>
      </c>
      <c r="AO246" s="47" t="n">
        <f aca="false">IF(AND(AO$3&gt;=VST_Assets!$E$9,AO$3&lt;=VST_Assets!$F$9,VST_Assets!$H$9="Cashflow"),1,0)</f>
        <v>0</v>
      </c>
      <c r="AP246" s="47" t="n">
        <f aca="false">IF(AND(AP$3&gt;=VST_Assets!$E$9,AP$3&lt;=VST_Assets!$F$9,VST_Assets!$H$9="Cashflow"),1,0)</f>
        <v>0</v>
      </c>
      <c r="AQ246" s="47" t="n">
        <f aca="false">IF(AND(AQ$3&gt;=VST_Assets!$E$9,AQ$3&lt;=VST_Assets!$F$9,VST_Assets!$H$9="Cashflow"),1,0)</f>
        <v>0</v>
      </c>
      <c r="AR246" s="47" t="n">
        <f aca="false">IF(AND(AR$3&gt;=VST_Assets!$E$9,AR$3&lt;=VST_Assets!$F$9,VST_Assets!$H$9="Cashflow"),1,0)</f>
        <v>0</v>
      </c>
      <c r="AS246" s="47" t="n">
        <f aca="false">IF(AND(AS$3&gt;=VST_Assets!$E$9,AS$3&lt;=VST_Assets!$F$9,VST_Assets!$H$9="Cashflow"),1,0)</f>
        <v>0</v>
      </c>
    </row>
    <row r="247" customFormat="false" ht="15" hidden="false" customHeight="false" outlineLevel="0" collapsed="false">
      <c r="A247" s="6" t="s">
        <v>427</v>
      </c>
      <c r="B247" s="6" t="s">
        <v>428</v>
      </c>
      <c r="G247" s="9" t="n">
        <f aca="false">IF(AND(G$3&gt;=VST_Assets!$AA$9,G$3&lt;=VST_Assets!$AB$9),MIN(VST_Assets!$D$9,VST_Assets!$Z$9*MIN(1,(G$3-VST_Assets!$AA$9+1)/MAX(1,VST_Assets!$AC$9))),0)*G246</f>
        <v>0</v>
      </c>
      <c r="H247" s="9" t="n">
        <f aca="false">IF(AND(H$3&gt;=VST_Assets!$AA$9,H$3&lt;=VST_Assets!$AB$9),MIN(VST_Assets!$D$9,VST_Assets!$Z$9*MIN(1,(H$3-VST_Assets!$AA$9+1)/MAX(1,VST_Assets!$AC$9))),0)*H246</f>
        <v>0</v>
      </c>
      <c r="I247" s="9" t="n">
        <f aca="false">IF(AND(I$3&gt;=VST_Assets!$AA$9,I$3&lt;=VST_Assets!$AB$9),MIN(VST_Assets!$D$9,VST_Assets!$Z$9*MIN(1,(I$3-VST_Assets!$AA$9+1)/MAX(1,VST_Assets!$AC$9))),0)*I246</f>
        <v>0</v>
      </c>
      <c r="J247" s="9" t="n">
        <f aca="false">IF(AND(J$3&gt;=VST_Assets!$AA$9,J$3&lt;=VST_Assets!$AB$9),MIN(VST_Assets!$D$9,VST_Assets!$Z$9*MIN(1,(J$3-VST_Assets!$AA$9+1)/MAX(1,VST_Assets!$AC$9))),0)*J246</f>
        <v>0</v>
      </c>
      <c r="K247" s="9" t="n">
        <f aca="false">IF(AND(K$3&gt;=VST_Assets!$AA$9,K$3&lt;=VST_Assets!$AB$9),MIN(VST_Assets!$D$9,VST_Assets!$Z$9*MIN(1,(K$3-VST_Assets!$AA$9+1)/MAX(1,VST_Assets!$AC$9))),0)*K246</f>
        <v>0</v>
      </c>
      <c r="L247" s="9" t="n">
        <f aca="false">IF(AND(L$3&gt;=VST_Assets!$AA$9,L$3&lt;=VST_Assets!$AB$9),MIN(VST_Assets!$D$9,VST_Assets!$Z$9*MIN(1,(L$3-VST_Assets!$AA$9+1)/MAX(1,VST_Assets!$AC$9))),0)*L246</f>
        <v>0</v>
      </c>
      <c r="M247" s="9" t="n">
        <f aca="false">IF(AND(M$3&gt;=VST_Assets!$AA$9,M$3&lt;=VST_Assets!$AB$9),MIN(VST_Assets!$D$9,VST_Assets!$Z$9*MIN(1,(M$3-VST_Assets!$AA$9+1)/MAX(1,VST_Assets!$AC$9))),0)*M246</f>
        <v>0</v>
      </c>
      <c r="N247" s="9" t="n">
        <f aca="false">IF(AND(N$3&gt;=VST_Assets!$AA$9,N$3&lt;=VST_Assets!$AB$9),MIN(VST_Assets!$D$9,VST_Assets!$Z$9*MIN(1,(N$3-VST_Assets!$AA$9+1)/MAX(1,VST_Assets!$AC$9))),0)*N246</f>
        <v>0</v>
      </c>
      <c r="O247" s="9" t="n">
        <f aca="false">IF(AND(O$3&gt;=VST_Assets!$AA$9,O$3&lt;=VST_Assets!$AB$9),MIN(VST_Assets!$D$9,VST_Assets!$Z$9*MIN(1,(O$3-VST_Assets!$AA$9+1)/MAX(1,VST_Assets!$AC$9))),0)*O246</f>
        <v>0</v>
      </c>
      <c r="P247" s="9" t="n">
        <f aca="false">IF(AND(P$3&gt;=VST_Assets!$AA$9,P$3&lt;=VST_Assets!$AB$9),MIN(VST_Assets!$D$9,VST_Assets!$Z$9*MIN(1,(P$3-VST_Assets!$AA$9+1)/MAX(1,VST_Assets!$AC$9))),0)*P246</f>
        <v>0</v>
      </c>
      <c r="Q247" s="9" t="n">
        <f aca="false">IF(AND(Q$3&gt;=VST_Assets!$AA$9,Q$3&lt;=VST_Assets!$AB$9),MIN(VST_Assets!$D$9,VST_Assets!$Z$9*MIN(1,(Q$3-VST_Assets!$AA$9+1)/MAX(1,VST_Assets!$AC$9))),0)*Q246</f>
        <v>0</v>
      </c>
      <c r="R247" s="9" t="n">
        <f aca="false">IF(AND(R$3&gt;=VST_Assets!$AA$9,R$3&lt;=VST_Assets!$AB$9),MIN(VST_Assets!$D$9,VST_Assets!$Z$9*MIN(1,(R$3-VST_Assets!$AA$9+1)/MAX(1,VST_Assets!$AC$9))),0)*R246</f>
        <v>0</v>
      </c>
      <c r="S247" s="9" t="n">
        <f aca="false">IF(AND(S$3&gt;=VST_Assets!$AA$9,S$3&lt;=VST_Assets!$AB$9),MIN(VST_Assets!$D$9,VST_Assets!$Z$9*MIN(1,(S$3-VST_Assets!$AA$9+1)/MAX(1,VST_Assets!$AC$9))),0)*S246</f>
        <v>0</v>
      </c>
      <c r="T247" s="9" t="n">
        <f aca="false">IF(AND(T$3&gt;=VST_Assets!$AA$9,T$3&lt;=VST_Assets!$AB$9),MIN(VST_Assets!$D$9,VST_Assets!$Z$9*MIN(1,(T$3-VST_Assets!$AA$9+1)/MAX(1,VST_Assets!$AC$9))),0)*T246</f>
        <v>0</v>
      </c>
      <c r="U247" s="9" t="n">
        <f aca="false">IF(AND(U$3&gt;=VST_Assets!$AA$9,U$3&lt;=VST_Assets!$AB$9),MIN(VST_Assets!$D$9,VST_Assets!$Z$9*MIN(1,(U$3-VST_Assets!$AA$9+1)/MAX(1,VST_Assets!$AC$9))),0)*U246</f>
        <v>0</v>
      </c>
      <c r="V247" s="9" t="n">
        <f aca="false">IF(AND(V$3&gt;=VST_Assets!$AA$9,V$3&lt;=VST_Assets!$AB$9),MIN(VST_Assets!$D$9,VST_Assets!$Z$9*MIN(1,(V$3-VST_Assets!$AA$9+1)/MAX(1,VST_Assets!$AC$9))),0)*V246</f>
        <v>0</v>
      </c>
      <c r="W247" s="9" t="n">
        <f aca="false">IF(AND(W$3&gt;=VST_Assets!$AA$9,W$3&lt;=VST_Assets!$AB$9),MIN(VST_Assets!$D$9,VST_Assets!$Z$9*MIN(1,(W$3-VST_Assets!$AA$9+1)/MAX(1,VST_Assets!$AC$9))),0)*W246</f>
        <v>0</v>
      </c>
      <c r="X247" s="9" t="n">
        <f aca="false">IF(AND(X$3&gt;=VST_Assets!$AA$9,X$3&lt;=VST_Assets!$AB$9),MIN(VST_Assets!$D$9,VST_Assets!$Z$9*MIN(1,(X$3-VST_Assets!$AA$9+1)/MAX(1,VST_Assets!$AC$9))),0)*X246</f>
        <v>0</v>
      </c>
      <c r="Y247" s="9" t="n">
        <f aca="false">IF(AND(Y$3&gt;=VST_Assets!$AA$9,Y$3&lt;=VST_Assets!$AB$9),MIN(VST_Assets!$D$9,VST_Assets!$Z$9*MIN(1,(Y$3-VST_Assets!$AA$9+1)/MAX(1,VST_Assets!$AC$9))),0)*Y246</f>
        <v>0</v>
      </c>
      <c r="Z247" s="9" t="n">
        <f aca="false">IF(AND(Z$3&gt;=VST_Assets!$AA$9,Z$3&lt;=VST_Assets!$AB$9),MIN(VST_Assets!$D$9,VST_Assets!$Z$9*MIN(1,(Z$3-VST_Assets!$AA$9+1)/MAX(1,VST_Assets!$AC$9))),0)*Z246</f>
        <v>0</v>
      </c>
      <c r="AA247" s="9" t="n">
        <f aca="false">IF(AND(AA$3&gt;=VST_Assets!$AA$9,AA$3&lt;=VST_Assets!$AB$9),MIN(VST_Assets!$D$9,VST_Assets!$Z$9*MIN(1,(AA$3-VST_Assets!$AA$9+1)/MAX(1,VST_Assets!$AC$9))),0)*AA246</f>
        <v>0</v>
      </c>
      <c r="AB247" s="9" t="n">
        <f aca="false">IF(AND(AB$3&gt;=VST_Assets!$AA$9,AB$3&lt;=VST_Assets!$AB$9),MIN(VST_Assets!$D$9,VST_Assets!$Z$9*MIN(1,(AB$3-VST_Assets!$AA$9+1)/MAX(1,VST_Assets!$AC$9))),0)*AB246</f>
        <v>0</v>
      </c>
      <c r="AC247" s="9" t="n">
        <f aca="false">IF(AND(AC$3&gt;=VST_Assets!$AA$9,AC$3&lt;=VST_Assets!$AB$9),MIN(VST_Assets!$D$9,VST_Assets!$Z$9*MIN(1,(AC$3-VST_Assets!$AA$9+1)/MAX(1,VST_Assets!$AC$9))),0)*AC246</f>
        <v>0</v>
      </c>
      <c r="AD247" s="9" t="n">
        <f aca="false">IF(AND(AD$3&gt;=VST_Assets!$AA$9,AD$3&lt;=VST_Assets!$AB$9),MIN(VST_Assets!$D$9,VST_Assets!$Z$9*MIN(1,(AD$3-VST_Assets!$AA$9+1)/MAX(1,VST_Assets!$AC$9))),0)*AD246</f>
        <v>0</v>
      </c>
      <c r="AE247" s="9" t="n">
        <f aca="false">IF(AND(AE$3&gt;=VST_Assets!$AA$9,AE$3&lt;=VST_Assets!$AB$9),MIN(VST_Assets!$D$9,VST_Assets!$Z$9*MIN(1,(AE$3-VST_Assets!$AA$9+1)/MAX(1,VST_Assets!$AC$9))),0)*AE246</f>
        <v>0</v>
      </c>
      <c r="AF247" s="9" t="n">
        <f aca="false">IF(AND(AF$3&gt;=VST_Assets!$AA$9,AF$3&lt;=VST_Assets!$AB$9),MIN(VST_Assets!$D$9,VST_Assets!$Z$9*MIN(1,(AF$3-VST_Assets!$AA$9+1)/MAX(1,VST_Assets!$AC$9))),0)*AF246</f>
        <v>0</v>
      </c>
      <c r="AG247" s="9" t="n">
        <f aca="false">IF(AND(AG$3&gt;=VST_Assets!$AA$9,AG$3&lt;=VST_Assets!$AB$9),MIN(VST_Assets!$D$9,VST_Assets!$Z$9*MIN(1,(AG$3-VST_Assets!$AA$9+1)/MAX(1,VST_Assets!$AC$9))),0)*AG246</f>
        <v>0</v>
      </c>
      <c r="AH247" s="9" t="n">
        <f aca="false">IF(AND(AH$3&gt;=VST_Assets!$AA$9,AH$3&lt;=VST_Assets!$AB$9),MIN(VST_Assets!$D$9,VST_Assets!$Z$9*MIN(1,(AH$3-VST_Assets!$AA$9+1)/MAX(1,VST_Assets!$AC$9))),0)*AH246</f>
        <v>0</v>
      </c>
      <c r="AI247" s="9" t="n">
        <f aca="false">IF(AND(AI$3&gt;=VST_Assets!$AA$9,AI$3&lt;=VST_Assets!$AB$9),MIN(VST_Assets!$D$9,VST_Assets!$Z$9*MIN(1,(AI$3-VST_Assets!$AA$9+1)/MAX(1,VST_Assets!$AC$9))),0)*AI246</f>
        <v>0</v>
      </c>
      <c r="AJ247" s="9" t="n">
        <f aca="false">IF(AND(AJ$3&gt;=VST_Assets!$AA$9,AJ$3&lt;=VST_Assets!$AB$9),MIN(VST_Assets!$D$9,VST_Assets!$Z$9*MIN(1,(AJ$3-VST_Assets!$AA$9+1)/MAX(1,VST_Assets!$AC$9))),0)*AJ246</f>
        <v>0</v>
      </c>
      <c r="AK247" s="9" t="n">
        <f aca="false">IF(AND(AK$3&gt;=VST_Assets!$AA$9,AK$3&lt;=VST_Assets!$AB$9),MIN(VST_Assets!$D$9,VST_Assets!$Z$9*MIN(1,(AK$3-VST_Assets!$AA$9+1)/MAX(1,VST_Assets!$AC$9))),0)*AK246</f>
        <v>0</v>
      </c>
      <c r="AL247" s="9" t="n">
        <f aca="false">IF(AND(AL$3&gt;=VST_Assets!$AA$9,AL$3&lt;=VST_Assets!$AB$9),MIN(VST_Assets!$D$9,VST_Assets!$Z$9*MIN(1,(AL$3-VST_Assets!$AA$9+1)/MAX(1,VST_Assets!$AC$9))),0)*AL246</f>
        <v>0</v>
      </c>
      <c r="AM247" s="9" t="n">
        <f aca="false">IF(AND(AM$3&gt;=VST_Assets!$AA$9,AM$3&lt;=VST_Assets!$AB$9),MIN(VST_Assets!$D$9,VST_Assets!$Z$9*MIN(1,(AM$3-VST_Assets!$AA$9+1)/MAX(1,VST_Assets!$AC$9))),0)*AM246</f>
        <v>0</v>
      </c>
      <c r="AN247" s="9" t="n">
        <f aca="false">IF(AND(AN$3&gt;=VST_Assets!$AA$9,AN$3&lt;=VST_Assets!$AB$9),MIN(VST_Assets!$D$9,VST_Assets!$Z$9*MIN(1,(AN$3-VST_Assets!$AA$9+1)/MAX(1,VST_Assets!$AC$9))),0)*AN246</f>
        <v>0</v>
      </c>
      <c r="AO247" s="9" t="n">
        <f aca="false">IF(AND(AO$3&gt;=VST_Assets!$AA$9,AO$3&lt;=VST_Assets!$AB$9),MIN(VST_Assets!$D$9,VST_Assets!$Z$9*MIN(1,(AO$3-VST_Assets!$AA$9+1)/MAX(1,VST_Assets!$AC$9))),0)*AO246</f>
        <v>0</v>
      </c>
      <c r="AP247" s="9" t="n">
        <f aca="false">IF(AND(AP$3&gt;=VST_Assets!$AA$9,AP$3&lt;=VST_Assets!$AB$9),MIN(VST_Assets!$D$9,VST_Assets!$Z$9*MIN(1,(AP$3-VST_Assets!$AA$9+1)/MAX(1,VST_Assets!$AC$9))),0)*AP246</f>
        <v>0</v>
      </c>
      <c r="AQ247" s="9" t="n">
        <f aca="false">IF(AND(AQ$3&gt;=VST_Assets!$AA$9,AQ$3&lt;=VST_Assets!$AB$9),MIN(VST_Assets!$D$9,VST_Assets!$Z$9*MIN(1,(AQ$3-VST_Assets!$AA$9+1)/MAX(1,VST_Assets!$AC$9))),0)*AQ246</f>
        <v>0</v>
      </c>
      <c r="AR247" s="9" t="n">
        <f aca="false">IF(AND(AR$3&gt;=VST_Assets!$AA$9,AR$3&lt;=VST_Assets!$AB$9),MIN(VST_Assets!$D$9,VST_Assets!$Z$9*MIN(1,(AR$3-VST_Assets!$AA$9+1)/MAX(1,VST_Assets!$AC$9))),0)*AR246</f>
        <v>0</v>
      </c>
      <c r="AS247" s="9" t="n">
        <f aca="false">IF(AND(AS$3&gt;=VST_Assets!$AA$9,AS$3&lt;=VST_Assets!$AB$9),MIN(VST_Assets!$D$9,VST_Assets!$Z$9*MIN(1,(AS$3-VST_Assets!$AA$9+1)/MAX(1,VST_Assets!$AC$9))),0)*AS246</f>
        <v>0</v>
      </c>
    </row>
    <row r="248" customFormat="false" ht="15" hidden="false" customHeight="false" outlineLevel="0" collapsed="false">
      <c r="A248" s="6" t="s">
        <v>429</v>
      </c>
      <c r="B248" s="6" t="s">
        <v>430</v>
      </c>
      <c r="G248" s="9" t="n">
        <f aca="false">(VST_Assets!$D$9-G247)*8760*VST_Assets!$I$9*G246</f>
        <v>3942000</v>
      </c>
      <c r="H248" s="9" t="n">
        <f aca="false">(VST_Assets!$D$9-H247)*8760*VST_Assets!$I$9*H246</f>
        <v>3942000</v>
      </c>
      <c r="I248" s="9" t="n">
        <f aca="false">(VST_Assets!$D$9-I247)*8760*VST_Assets!$I$9*I246</f>
        <v>3942000</v>
      </c>
      <c r="J248" s="9" t="n">
        <f aca="false">(VST_Assets!$D$9-J247)*8760*VST_Assets!$I$9*J246</f>
        <v>3942000</v>
      </c>
      <c r="K248" s="9" t="n">
        <f aca="false">(VST_Assets!$D$9-K247)*8760*VST_Assets!$I$9*K246</f>
        <v>3942000</v>
      </c>
      <c r="L248" s="9" t="n">
        <f aca="false">(VST_Assets!$D$9-L247)*8760*VST_Assets!$I$9*L246</f>
        <v>3942000</v>
      </c>
      <c r="M248" s="9" t="n">
        <f aca="false">(VST_Assets!$D$9-M247)*8760*VST_Assets!$I$9*M246</f>
        <v>3942000</v>
      </c>
      <c r="N248" s="9" t="n">
        <f aca="false">(VST_Assets!$D$9-N247)*8760*VST_Assets!$I$9*N246</f>
        <v>3942000</v>
      </c>
      <c r="O248" s="9" t="n">
        <f aca="false">(VST_Assets!$D$9-O247)*8760*VST_Assets!$I$9*O246</f>
        <v>3942000</v>
      </c>
      <c r="P248" s="9" t="n">
        <f aca="false">(VST_Assets!$D$9-P247)*8760*VST_Assets!$I$9*P246</f>
        <v>3942000</v>
      </c>
      <c r="Q248" s="9" t="n">
        <f aca="false">(VST_Assets!$D$9-Q247)*8760*VST_Assets!$I$9*Q246</f>
        <v>3942000</v>
      </c>
      <c r="R248" s="9" t="n">
        <f aca="false">(VST_Assets!$D$9-R247)*8760*VST_Assets!$I$9*R246</f>
        <v>3942000</v>
      </c>
      <c r="S248" s="9" t="n">
        <f aca="false">(VST_Assets!$D$9-S247)*8760*VST_Assets!$I$9*S246</f>
        <v>3942000</v>
      </c>
      <c r="T248" s="9" t="n">
        <f aca="false">(VST_Assets!$D$9-T247)*8760*VST_Assets!$I$9*T246</f>
        <v>3942000</v>
      </c>
      <c r="U248" s="9" t="n">
        <f aca="false">(VST_Assets!$D$9-U247)*8760*VST_Assets!$I$9*U246</f>
        <v>0</v>
      </c>
      <c r="V248" s="9" t="n">
        <f aca="false">(VST_Assets!$D$9-V247)*8760*VST_Assets!$I$9*V246</f>
        <v>0</v>
      </c>
      <c r="W248" s="9" t="n">
        <f aca="false">(VST_Assets!$D$9-W247)*8760*VST_Assets!$I$9*W246</f>
        <v>0</v>
      </c>
      <c r="X248" s="9" t="n">
        <f aca="false">(VST_Assets!$D$9-X247)*8760*VST_Assets!$I$9*X246</f>
        <v>0</v>
      </c>
      <c r="Y248" s="9" t="n">
        <f aca="false">(VST_Assets!$D$9-Y247)*8760*VST_Assets!$I$9*Y246</f>
        <v>0</v>
      </c>
      <c r="Z248" s="9" t="n">
        <f aca="false">(VST_Assets!$D$9-Z247)*8760*VST_Assets!$I$9*Z246</f>
        <v>0</v>
      </c>
      <c r="AA248" s="9" t="n">
        <f aca="false">(VST_Assets!$D$9-AA247)*8760*VST_Assets!$I$9*AA246</f>
        <v>0</v>
      </c>
      <c r="AB248" s="9" t="n">
        <f aca="false">(VST_Assets!$D$9-AB247)*8760*VST_Assets!$I$9*AB246</f>
        <v>0</v>
      </c>
      <c r="AC248" s="9" t="n">
        <f aca="false">(VST_Assets!$D$9-AC247)*8760*VST_Assets!$I$9*AC246</f>
        <v>0</v>
      </c>
      <c r="AD248" s="9" t="n">
        <f aca="false">(VST_Assets!$D$9-AD247)*8760*VST_Assets!$I$9*AD246</f>
        <v>0</v>
      </c>
      <c r="AE248" s="9" t="n">
        <f aca="false">(VST_Assets!$D$9-AE247)*8760*VST_Assets!$I$9*AE246</f>
        <v>0</v>
      </c>
      <c r="AF248" s="9" t="n">
        <f aca="false">(VST_Assets!$D$9-AF247)*8760*VST_Assets!$I$9*AF246</f>
        <v>0</v>
      </c>
      <c r="AG248" s="9" t="n">
        <f aca="false">(VST_Assets!$D$9-AG247)*8760*VST_Assets!$I$9*AG246</f>
        <v>0</v>
      </c>
      <c r="AH248" s="9" t="n">
        <f aca="false">(VST_Assets!$D$9-AH247)*8760*VST_Assets!$I$9*AH246</f>
        <v>0</v>
      </c>
      <c r="AI248" s="9" t="n">
        <f aca="false">(VST_Assets!$D$9-AI247)*8760*VST_Assets!$I$9*AI246</f>
        <v>0</v>
      </c>
      <c r="AJ248" s="9" t="n">
        <f aca="false">(VST_Assets!$D$9-AJ247)*8760*VST_Assets!$I$9*AJ246</f>
        <v>0</v>
      </c>
      <c r="AK248" s="9" t="n">
        <f aca="false">(VST_Assets!$D$9-AK247)*8760*VST_Assets!$I$9*AK246</f>
        <v>0</v>
      </c>
      <c r="AL248" s="9" t="n">
        <f aca="false">(VST_Assets!$D$9-AL247)*8760*VST_Assets!$I$9*AL246</f>
        <v>0</v>
      </c>
      <c r="AM248" s="9" t="n">
        <f aca="false">(VST_Assets!$D$9-AM247)*8760*VST_Assets!$I$9*AM246</f>
        <v>0</v>
      </c>
      <c r="AN248" s="9" t="n">
        <f aca="false">(VST_Assets!$D$9-AN247)*8760*VST_Assets!$I$9*AN246</f>
        <v>0</v>
      </c>
      <c r="AO248" s="9" t="n">
        <f aca="false">(VST_Assets!$D$9-AO247)*8760*VST_Assets!$I$9*AO246</f>
        <v>0</v>
      </c>
      <c r="AP248" s="9" t="n">
        <f aca="false">(VST_Assets!$D$9-AP247)*8760*VST_Assets!$I$9*AP246</f>
        <v>0</v>
      </c>
      <c r="AQ248" s="9" t="n">
        <f aca="false">(VST_Assets!$D$9-AQ247)*8760*VST_Assets!$I$9*AQ246</f>
        <v>0</v>
      </c>
      <c r="AR248" s="9" t="n">
        <f aca="false">(VST_Assets!$D$9-AR247)*8760*VST_Assets!$I$9*AR246</f>
        <v>0</v>
      </c>
      <c r="AS248" s="9" t="n">
        <f aca="false">(VST_Assets!$D$9-AS247)*8760*VST_Assets!$I$9*AS246</f>
        <v>0</v>
      </c>
    </row>
    <row r="249" customFormat="false" ht="15" hidden="false" customHeight="false" outlineLevel="0" collapsed="false">
      <c r="A249" s="6" t="s">
        <v>431</v>
      </c>
      <c r="B249" s="6" t="s">
        <v>432</v>
      </c>
      <c r="G249" s="9" t="n">
        <f aca="false">G247*8760*VST_Assets!$I$9*G246</f>
        <v>0</v>
      </c>
      <c r="H249" s="9" t="n">
        <f aca="false">H247*8760*VST_Assets!$I$9*H246</f>
        <v>0</v>
      </c>
      <c r="I249" s="9" t="n">
        <f aca="false">I247*8760*VST_Assets!$I$9*I246</f>
        <v>0</v>
      </c>
      <c r="J249" s="9" t="n">
        <f aca="false">J247*8760*VST_Assets!$I$9*J246</f>
        <v>0</v>
      </c>
      <c r="K249" s="9" t="n">
        <f aca="false">K247*8760*VST_Assets!$I$9*K246</f>
        <v>0</v>
      </c>
      <c r="L249" s="9" t="n">
        <f aca="false">L247*8760*VST_Assets!$I$9*L246</f>
        <v>0</v>
      </c>
      <c r="M249" s="9" t="n">
        <f aca="false">M247*8760*VST_Assets!$I$9*M246</f>
        <v>0</v>
      </c>
      <c r="N249" s="9" t="n">
        <f aca="false">N247*8760*VST_Assets!$I$9*N246</f>
        <v>0</v>
      </c>
      <c r="O249" s="9" t="n">
        <f aca="false">O247*8760*VST_Assets!$I$9*O246</f>
        <v>0</v>
      </c>
      <c r="P249" s="9" t="n">
        <f aca="false">P247*8760*VST_Assets!$I$9*P246</f>
        <v>0</v>
      </c>
      <c r="Q249" s="9" t="n">
        <f aca="false">Q247*8760*VST_Assets!$I$9*Q246</f>
        <v>0</v>
      </c>
      <c r="R249" s="9" t="n">
        <f aca="false">R247*8760*VST_Assets!$I$9*R246</f>
        <v>0</v>
      </c>
      <c r="S249" s="9" t="n">
        <f aca="false">S247*8760*VST_Assets!$I$9*S246</f>
        <v>0</v>
      </c>
      <c r="T249" s="9" t="n">
        <f aca="false">T247*8760*VST_Assets!$I$9*T246</f>
        <v>0</v>
      </c>
      <c r="U249" s="9" t="n">
        <f aca="false">U247*8760*VST_Assets!$I$9*U246</f>
        <v>0</v>
      </c>
      <c r="V249" s="9" t="n">
        <f aca="false">V247*8760*VST_Assets!$I$9*V246</f>
        <v>0</v>
      </c>
      <c r="W249" s="9" t="n">
        <f aca="false">W247*8760*VST_Assets!$I$9*W246</f>
        <v>0</v>
      </c>
      <c r="X249" s="9" t="n">
        <f aca="false">X247*8760*VST_Assets!$I$9*X246</f>
        <v>0</v>
      </c>
      <c r="Y249" s="9" t="n">
        <f aca="false">Y247*8760*VST_Assets!$I$9*Y246</f>
        <v>0</v>
      </c>
      <c r="Z249" s="9" t="n">
        <f aca="false">Z247*8760*VST_Assets!$I$9*Z246</f>
        <v>0</v>
      </c>
      <c r="AA249" s="9" t="n">
        <f aca="false">AA247*8760*VST_Assets!$I$9*AA246</f>
        <v>0</v>
      </c>
      <c r="AB249" s="9" t="n">
        <f aca="false">AB247*8760*VST_Assets!$I$9*AB246</f>
        <v>0</v>
      </c>
      <c r="AC249" s="9" t="n">
        <f aca="false">AC247*8760*VST_Assets!$I$9*AC246</f>
        <v>0</v>
      </c>
      <c r="AD249" s="9" t="n">
        <f aca="false">AD247*8760*VST_Assets!$I$9*AD246</f>
        <v>0</v>
      </c>
      <c r="AE249" s="9" t="n">
        <f aca="false">AE247*8760*VST_Assets!$I$9*AE246</f>
        <v>0</v>
      </c>
      <c r="AF249" s="9" t="n">
        <f aca="false">AF247*8760*VST_Assets!$I$9*AF246</f>
        <v>0</v>
      </c>
      <c r="AG249" s="9" t="n">
        <f aca="false">AG247*8760*VST_Assets!$I$9*AG246</f>
        <v>0</v>
      </c>
      <c r="AH249" s="9" t="n">
        <f aca="false">AH247*8760*VST_Assets!$I$9*AH246</f>
        <v>0</v>
      </c>
      <c r="AI249" s="9" t="n">
        <f aca="false">AI247*8760*VST_Assets!$I$9*AI246</f>
        <v>0</v>
      </c>
      <c r="AJ249" s="9" t="n">
        <f aca="false">AJ247*8760*VST_Assets!$I$9*AJ246</f>
        <v>0</v>
      </c>
      <c r="AK249" s="9" t="n">
        <f aca="false">AK247*8760*VST_Assets!$I$9*AK246</f>
        <v>0</v>
      </c>
      <c r="AL249" s="9" t="n">
        <f aca="false">AL247*8760*VST_Assets!$I$9*AL246</f>
        <v>0</v>
      </c>
      <c r="AM249" s="9" t="n">
        <f aca="false">AM247*8760*VST_Assets!$I$9*AM246</f>
        <v>0</v>
      </c>
      <c r="AN249" s="9" t="n">
        <f aca="false">AN247*8760*VST_Assets!$I$9*AN246</f>
        <v>0</v>
      </c>
      <c r="AO249" s="9" t="n">
        <f aca="false">AO247*8760*VST_Assets!$I$9*AO246</f>
        <v>0</v>
      </c>
      <c r="AP249" s="9" t="n">
        <f aca="false">AP247*8760*VST_Assets!$I$9*AP246</f>
        <v>0</v>
      </c>
      <c r="AQ249" s="9" t="n">
        <f aca="false">AQ247*8760*VST_Assets!$I$9*AQ246</f>
        <v>0</v>
      </c>
      <c r="AR249" s="9" t="n">
        <f aca="false">AR247*8760*VST_Assets!$I$9*AR246</f>
        <v>0</v>
      </c>
      <c r="AS249" s="9" t="n">
        <f aca="false">AS247*8760*VST_Assets!$I$9*AS246</f>
        <v>0</v>
      </c>
    </row>
    <row r="250" customFormat="false" ht="15" hidden="false" customHeight="false" outlineLevel="0" collapsed="false">
      <c r="A250" s="6" t="s">
        <v>433</v>
      </c>
      <c r="B250" s="6" t="s">
        <v>434</v>
      </c>
      <c r="G250" s="7" t="n">
        <f aca="false">IF(ISNUMBER(VST_Assets!$L$9),VST_Assets!$L$9*G$4,INDEX(Prices!G:G,VST_Assets!$AO$9)+FuelAdder*G$4)</f>
        <v>4.896</v>
      </c>
      <c r="H250" s="7" t="n">
        <f aca="false">IF(ISNUMBER(VST_Assets!$L$9),VST_Assets!$L$9*H$4,INDEX(Prices!H:H,VST_Assets!$AO$9)+FuelAdder*H$4)</f>
        <v>4.99392</v>
      </c>
      <c r="I250" s="7" t="n">
        <f aca="false">IF(ISNUMBER(VST_Assets!$L$9),VST_Assets!$L$9*I$4,INDEX(Prices!I:I,VST_Assets!$AO$9)+FuelAdder*I$4)</f>
        <v>5.1999192</v>
      </c>
      <c r="J250" s="7" t="n">
        <f aca="false">IF(ISNUMBER(VST_Assets!$L$9),VST_Assets!$L$9*J$4,INDEX(Prices!J:J,VST_Assets!$AO$9)+FuelAdder*J$4)</f>
        <v>5.303917584</v>
      </c>
      <c r="K250" s="7" t="n">
        <f aca="false">IF(ISNUMBER(VST_Assets!$L$9),VST_Assets!$L$9*K$4,INDEX(Prices!K:K,VST_Assets!$AO$9)+FuelAdder*K$4)</f>
        <v>5.40999593568</v>
      </c>
      <c r="L250" s="7" t="n">
        <f aca="false">IF(ISNUMBER(VST_Assets!$L$9),VST_Assets!$L$9*L$4,INDEX(Prices!L:L,VST_Assets!$AO$9)+FuelAdder*L$4)</f>
        <v>5.5181958543936</v>
      </c>
      <c r="M250" s="7" t="n">
        <f aca="false">IF(ISNUMBER(VST_Assets!$L$9),VST_Assets!$L$9*M$4,INDEX(Prices!M:M,VST_Assets!$AO$9)+FuelAdder*M$4)</f>
        <v>5.62855977148147</v>
      </c>
      <c r="N250" s="7" t="n">
        <f aca="false">IF(ISNUMBER(VST_Assets!$L$9),VST_Assets!$L$9*N$4,INDEX(Prices!N:N,VST_Assets!$AO$9)+FuelAdder*N$4)</f>
        <v>5.7411309669111</v>
      </c>
      <c r="O250" s="7" t="n">
        <f aca="false">IF(ISNUMBER(VST_Assets!$L$9),VST_Assets!$L$9*O$4,INDEX(Prices!O:O,VST_Assets!$AO$9)+FuelAdder*O$4)</f>
        <v>5.85595358624932</v>
      </c>
      <c r="P250" s="7" t="n">
        <f aca="false">IF(ISNUMBER(VST_Assets!$L$9),VST_Assets!$L$9*P$4,INDEX(Prices!P:P,VST_Assets!$AO$9)+FuelAdder*P$4)</f>
        <v>5.97307265797431</v>
      </c>
      <c r="Q250" s="7" t="n">
        <f aca="false">IF(ISNUMBER(VST_Assets!$L$9),VST_Assets!$L$9*Q$4,INDEX(Prices!Q:Q,VST_Assets!$AO$9)+FuelAdder*Q$4)</f>
        <v>6.0925341111338</v>
      </c>
      <c r="R250" s="7" t="n">
        <f aca="false">IF(ISNUMBER(VST_Assets!$L$9),VST_Assets!$L$9*R$4,INDEX(Prices!R:R,VST_Assets!$AO$9)+FuelAdder*R$4)</f>
        <v>6.21438479335647</v>
      </c>
      <c r="S250" s="7" t="n">
        <f aca="false">IF(ISNUMBER(VST_Assets!$L$9),VST_Assets!$L$9*S$4,INDEX(Prices!S:S,VST_Assets!$AO$9)+FuelAdder*S$4)</f>
        <v>6.3386724892236</v>
      </c>
      <c r="T250" s="7" t="n">
        <f aca="false">IF(ISNUMBER(VST_Assets!$L$9),VST_Assets!$L$9*T$4,INDEX(Prices!T:T,VST_Assets!$AO$9)+FuelAdder*T$4)</f>
        <v>6.46544593900808</v>
      </c>
      <c r="U250" s="7" t="n">
        <f aca="false">IF(ISNUMBER(VST_Assets!$L$9),VST_Assets!$L$9*U$4,INDEX(Prices!U:U,VST_Assets!$AO$9)+FuelAdder*U$4)</f>
        <v>6.59475485778824</v>
      </c>
      <c r="V250" s="7" t="n">
        <f aca="false">IF(ISNUMBER(VST_Assets!$L$9),VST_Assets!$L$9*V$4,INDEX(Prices!V:V,VST_Assets!$AO$9)+FuelAdder*V$4)</f>
        <v>6.726649954944</v>
      </c>
      <c r="W250" s="7" t="n">
        <f aca="false">IF(ISNUMBER(VST_Assets!$L$9),VST_Assets!$L$9*W$4,INDEX(Prices!W:W,VST_Assets!$AO$9)+FuelAdder*W$4)</f>
        <v>6.86118295404288</v>
      </c>
      <c r="X250" s="7" t="n">
        <f aca="false">IF(ISNUMBER(VST_Assets!$L$9),VST_Assets!$L$9*X$4,INDEX(Prices!X:X,VST_Assets!$AO$9)+FuelAdder*X$4)</f>
        <v>6.99840661312374</v>
      </c>
      <c r="Y250" s="7" t="n">
        <f aca="false">IF(ISNUMBER(VST_Assets!$L$9),VST_Assets!$L$9*Y$4,INDEX(Prices!Y:Y,VST_Assets!$AO$9)+FuelAdder*Y$4)</f>
        <v>7.13837474538621</v>
      </c>
      <c r="Z250" s="7" t="n">
        <f aca="false">IF(ISNUMBER(VST_Assets!$L$9),VST_Assets!$L$9*Z$4,INDEX(Prices!Z:Z,VST_Assets!$AO$9)+FuelAdder*Z$4)</f>
        <v>7.28114224029394</v>
      </c>
      <c r="AA250" s="7" t="n">
        <f aca="false">IF(ISNUMBER(VST_Assets!$L$9),VST_Assets!$L$9*AA$4,INDEX(Prices!AA:AA,VST_Assets!$AO$9)+FuelAdder*AA$4)</f>
        <v>7.42676508509982</v>
      </c>
      <c r="AB250" s="7" t="n">
        <f aca="false">IF(ISNUMBER(VST_Assets!$L$9),VST_Assets!$L$9*AB$4,INDEX(Prices!AB:AB,VST_Assets!$AO$9)+FuelAdder*AB$4)</f>
        <v>7.57530038680181</v>
      </c>
      <c r="AC250" s="7" t="n">
        <f aca="false">IF(ISNUMBER(VST_Assets!$L$9),VST_Assets!$L$9*AC$4,INDEX(Prices!AC:AC,VST_Assets!$AO$9)+FuelAdder*AC$4)</f>
        <v>7.72680639453785</v>
      </c>
      <c r="AD250" s="7" t="n">
        <f aca="false">IF(ISNUMBER(VST_Assets!$L$9),VST_Assets!$L$9*AD$4,INDEX(Prices!AD:AD,VST_Assets!$AO$9)+FuelAdder*AD$4)</f>
        <v>7.88134252242861</v>
      </c>
      <c r="AE250" s="7" t="n">
        <f aca="false">IF(ISNUMBER(VST_Assets!$L$9),VST_Assets!$L$9*AE$4,INDEX(Prices!AE:AE,VST_Assets!$AO$9)+FuelAdder*AE$4)</f>
        <v>8.03896937287718</v>
      </c>
      <c r="AF250" s="7" t="n">
        <f aca="false">IF(ISNUMBER(VST_Assets!$L$9),VST_Assets!$L$9*AF$4,INDEX(Prices!AF:AF,VST_Assets!$AO$9)+FuelAdder*AF$4)</f>
        <v>8.19974876033472</v>
      </c>
      <c r="AG250" s="7" t="n">
        <f aca="false">IF(ISNUMBER(VST_Assets!$L$9),VST_Assets!$L$9*AG$4,INDEX(Prices!AG:AG,VST_Assets!$AO$9)+FuelAdder*AG$4)</f>
        <v>8.36374373554142</v>
      </c>
      <c r="AH250" s="7" t="n">
        <f aca="false">IF(ISNUMBER(VST_Assets!$L$9),VST_Assets!$L$9*AH$4,INDEX(Prices!AH:AH,VST_Assets!$AO$9)+FuelAdder*AH$4)</f>
        <v>8.53101861025225</v>
      </c>
      <c r="AI250" s="7" t="n">
        <f aca="false">IF(ISNUMBER(VST_Assets!$L$9),VST_Assets!$L$9*AI$4,INDEX(Prices!AI:AI,VST_Assets!$AO$9)+FuelAdder*AI$4)</f>
        <v>8.70163898245729</v>
      </c>
      <c r="AJ250" s="7" t="n">
        <f aca="false">IF(ISNUMBER(VST_Assets!$L$9),VST_Assets!$L$9*AJ$4,INDEX(Prices!AJ:AJ,VST_Assets!$AO$9)+FuelAdder*AJ$4)</f>
        <v>8.87567176210644</v>
      </c>
      <c r="AK250" s="7" t="n">
        <f aca="false">IF(ISNUMBER(VST_Assets!$L$9),VST_Assets!$L$9*AK$4,INDEX(Prices!AK:AK,VST_Assets!$AO$9)+FuelAdder*AK$4)</f>
        <v>9.05318519734857</v>
      </c>
      <c r="AL250" s="7" t="n">
        <f aca="false">IF(ISNUMBER(VST_Assets!$L$9),VST_Assets!$L$9*AL$4,INDEX(Prices!AL:AL,VST_Assets!$AO$9)+FuelAdder*AL$4)</f>
        <v>9.23424890129554</v>
      </c>
      <c r="AM250" s="7" t="n">
        <f aca="false">IF(ISNUMBER(VST_Assets!$L$9),VST_Assets!$L$9*AM$4,INDEX(Prices!AM:AM,VST_Assets!$AO$9)+FuelAdder*AM$4)</f>
        <v>9.41893387932145</v>
      </c>
      <c r="AN250" s="7" t="n">
        <f aca="false">IF(ISNUMBER(VST_Assets!$L$9),VST_Assets!$L$9*AN$4,INDEX(Prices!AN:AN,VST_Assets!$AO$9)+FuelAdder*AN$4)</f>
        <v>9.60731255690788</v>
      </c>
      <c r="AO250" s="7" t="n">
        <f aca="false">IF(ISNUMBER(VST_Assets!$L$9),VST_Assets!$L$9*AO$4,INDEX(Prices!AO:AO,VST_Assets!$AO$9)+FuelAdder*AO$4)</f>
        <v>9.79945880804604</v>
      </c>
      <c r="AP250" s="7" t="n">
        <f aca="false">IF(ISNUMBER(VST_Assets!$L$9),VST_Assets!$L$9*AP$4,INDEX(Prices!AP:AP,VST_Assets!$AO$9)+FuelAdder*AP$4)</f>
        <v>9.99544798420696</v>
      </c>
      <c r="AQ250" s="7" t="n">
        <f aca="false">IF(ISNUMBER(VST_Assets!$L$9),VST_Assets!$L$9*AQ$4,INDEX(Prices!AQ:AQ,VST_Assets!$AO$9)+FuelAdder*AQ$4)</f>
        <v>10.1953569438911</v>
      </c>
      <c r="AR250" s="7" t="n">
        <f aca="false">IF(ISNUMBER(VST_Assets!$L$9),VST_Assets!$L$9*AR$4,INDEX(Prices!AR:AR,VST_Assets!$AO$9)+FuelAdder*AR$4)</f>
        <v>10.3992640827689</v>
      </c>
      <c r="AS250" s="7" t="n">
        <f aca="false">IF(ISNUMBER(VST_Assets!$L$9),VST_Assets!$L$9*AS$4,INDEX(Prices!AS:AS,VST_Assets!$AO$9)+FuelAdder*AS$4)</f>
        <v>10.6072493644243</v>
      </c>
    </row>
    <row r="251" customFormat="false" ht="15" hidden="false" customHeight="false" outlineLevel="0" collapsed="false">
      <c r="A251" s="6" t="s">
        <v>435</v>
      </c>
      <c r="B251" s="6" t="s">
        <v>436</v>
      </c>
      <c r="G251" s="7" t="n">
        <f aca="false">INDEX(Prices!G:G,VST_Assets!$AN$9)*VST_Assets!$J$9-VST_Assets!$K$9*G250-VST_Assets!$M$9*G$4</f>
        <v>37.3548</v>
      </c>
      <c r="H251" s="7" t="n">
        <f aca="false">INDEX(Prices!H:H,VST_Assets!$AN$9)*VST_Assets!$J$9-VST_Assets!$K$9*H250-VST_Assets!$M$9*H$4</f>
        <v>37.636376</v>
      </c>
      <c r="I251" s="7" t="n">
        <f aca="false">INDEX(Prices!I:I,VST_Assets!$AN$9)*VST_Assets!$J$9-VST_Assets!$K$9*I250-VST_Assets!$M$9*I$4</f>
        <v>29.6854059622</v>
      </c>
      <c r="J251" s="7" t="n">
        <f aca="false">INDEX(Prices!J:J,VST_Assets!$AN$9)*VST_Assets!$J$9-VST_Assets!$K$9*J250-VST_Assets!$M$9*J$4</f>
        <v>26.993747327688</v>
      </c>
      <c r="K251" s="7" t="n">
        <f aca="false">INDEX(Prices!K:K,VST_Assets!$AN$9)*VST_Assets!$J$9-VST_Assets!$K$9*K250-VST_Assets!$M$9*K$4</f>
        <v>27.5336222742418</v>
      </c>
      <c r="L251" s="7" t="n">
        <f aca="false">INDEX(Prices!L:L,VST_Assets!$AN$9)*VST_Assets!$J$9-VST_Assets!$K$9*L250-VST_Assets!$M$9*L$4</f>
        <v>28.0842947197266</v>
      </c>
      <c r="M251" s="7" t="n">
        <f aca="false">INDEX(Prices!M:M,VST_Assets!$AN$9)*VST_Assets!$J$9-VST_Assets!$K$9*M250-VST_Assets!$M$9*M$4</f>
        <v>28.6459806141211</v>
      </c>
      <c r="N251" s="7" t="n">
        <f aca="false">INDEX(Prices!N:N,VST_Assets!$AN$9)*VST_Assets!$J$9-VST_Assets!$K$9*N250-VST_Assets!$M$9*N$4</f>
        <v>29.2189002264035</v>
      </c>
      <c r="O251" s="7" t="n">
        <f aca="false">INDEX(Prices!O:O,VST_Assets!$AN$9)*VST_Assets!$J$9-VST_Assets!$K$9*O250-VST_Assets!$M$9*O$4</f>
        <v>29.8032782309316</v>
      </c>
      <c r="P251" s="7" t="n">
        <f aca="false">INDEX(Prices!P:P,VST_Assets!$AN$9)*VST_Assets!$J$9-VST_Assets!$K$9*P250-VST_Assets!$M$9*P$4</f>
        <v>30.3993437955503</v>
      </c>
      <c r="Q251" s="7" t="n">
        <f aca="false">INDEX(Prices!Q:Q,VST_Assets!$AN$9)*VST_Assets!$J$9-VST_Assets!$K$9*Q250-VST_Assets!$M$9*Q$4</f>
        <v>31.0073306714613</v>
      </c>
      <c r="R251" s="7" t="n">
        <f aca="false">INDEX(Prices!R:R,VST_Assets!$AN$9)*VST_Assets!$J$9-VST_Assets!$K$9*R250-VST_Assets!$M$9*R$4</f>
        <v>31.6274772848905</v>
      </c>
      <c r="S251" s="7" t="n">
        <f aca="false">INDEX(Prices!S:S,VST_Assets!$AN$9)*VST_Assets!$J$9-VST_Assets!$K$9*S250-VST_Assets!$M$9*S$4</f>
        <v>32.2600268305883</v>
      </c>
      <c r="T251" s="7" t="n">
        <f aca="false">INDEX(Prices!T:T,VST_Assets!$AN$9)*VST_Assets!$J$9-VST_Assets!$K$9*T250-VST_Assets!$M$9*T$4</f>
        <v>32.9052273672001</v>
      </c>
      <c r="U251" s="7" t="n">
        <f aca="false">INDEX(Prices!U:U,VST_Assets!$AN$9)*VST_Assets!$J$9-VST_Assets!$K$9*U250-VST_Assets!$M$9*U$4</f>
        <v>33.5633319145441</v>
      </c>
      <c r="V251" s="7" t="n">
        <f aca="false">INDEX(Prices!V:V,VST_Assets!$AN$9)*VST_Assets!$J$9-VST_Assets!$K$9*V250-VST_Assets!$M$9*V$4</f>
        <v>34.234598552835</v>
      </c>
      <c r="W251" s="7" t="n">
        <f aca="false">INDEX(Prices!W:W,VST_Assets!$AN$9)*VST_Assets!$J$9-VST_Assets!$K$9*W250-VST_Assets!$M$9*W$4</f>
        <v>34.9192905238917</v>
      </c>
      <c r="X251" s="7" t="n">
        <f aca="false">INDEX(Prices!X:X,VST_Assets!$AN$9)*VST_Assets!$J$9-VST_Assets!$K$9*X250-VST_Assets!$M$9*X$4</f>
        <v>35.6176763343695</v>
      </c>
      <c r="Y251" s="7" t="n">
        <f aca="false">INDEX(Prices!Y:Y,VST_Assets!$AN$9)*VST_Assets!$J$9-VST_Assets!$K$9*Y250-VST_Assets!$M$9*Y$4</f>
        <v>36.3300298610569</v>
      </c>
      <c r="Z251" s="7" t="n">
        <f aca="false">INDEX(Prices!Z:Z,VST_Assets!$AN$9)*VST_Assets!$J$9-VST_Assets!$K$9*Z250-VST_Assets!$M$9*Z$4</f>
        <v>37.056630458278</v>
      </c>
      <c r="AA251" s="7" t="n">
        <f aca="false">INDEX(Prices!AA:AA,VST_Assets!$AN$9)*VST_Assets!$J$9-VST_Assets!$K$9*AA250-VST_Assets!$M$9*AA$4</f>
        <v>37.7977630674436</v>
      </c>
      <c r="AB251" s="7" t="n">
        <f aca="false">INDEX(Prices!AB:AB,VST_Assets!$AN$9)*VST_Assets!$J$9-VST_Assets!$K$9*AB250-VST_Assets!$M$9*AB$4</f>
        <v>38.5537183287924</v>
      </c>
      <c r="AC251" s="7" t="n">
        <f aca="false">INDEX(Prices!AC:AC,VST_Assets!$AN$9)*VST_Assets!$J$9-VST_Assets!$K$9*AC250-VST_Assets!$M$9*AC$4</f>
        <v>39.3247926953683</v>
      </c>
      <c r="AD251" s="7" t="n">
        <f aca="false">INDEX(Prices!AD:AD,VST_Assets!$AN$9)*VST_Assets!$J$9-VST_Assets!$K$9*AD250-VST_Assets!$M$9*AD$4</f>
        <v>40.1112885492757</v>
      </c>
      <c r="AE251" s="7" t="n">
        <f aca="false">INDEX(Prices!AE:AE,VST_Assets!$AN$9)*VST_Assets!$J$9-VST_Assets!$K$9*AE250-VST_Assets!$M$9*AE$4</f>
        <v>40.9135143202612</v>
      </c>
      <c r="AF251" s="7" t="n">
        <f aca="false">INDEX(Prices!AF:AF,VST_Assets!$AN$9)*VST_Assets!$J$9-VST_Assets!$K$9*AF250-VST_Assets!$M$9*AF$4</f>
        <v>41.7317846066664</v>
      </c>
      <c r="AG251" s="7" t="n">
        <f aca="false">INDEX(Prices!AG:AG,VST_Assets!$AN$9)*VST_Assets!$J$9-VST_Assets!$K$9*AG250-VST_Assets!$M$9*AG$4</f>
        <v>42.5664202987997</v>
      </c>
      <c r="AH251" s="7" t="n">
        <f aca="false">INDEX(Prices!AH:AH,VST_Assets!$AN$9)*VST_Assets!$J$9-VST_Assets!$K$9*AH250-VST_Assets!$M$9*AH$4</f>
        <v>43.4177487047757</v>
      </c>
      <c r="AI251" s="7" t="n">
        <f aca="false">INDEX(Prices!AI:AI,VST_Assets!$AN$9)*VST_Assets!$J$9-VST_Assets!$K$9*AI250-VST_Assets!$M$9*AI$4</f>
        <v>44.2861036788712</v>
      </c>
      <c r="AJ251" s="7" t="n">
        <f aca="false">INDEX(Prices!AJ:AJ,VST_Assets!$AN$9)*VST_Assets!$J$9-VST_Assets!$K$9*AJ250-VST_Assets!$M$9*AJ$4</f>
        <v>45.1718257524487</v>
      </c>
      <c r="AK251" s="7" t="n">
        <f aca="false">INDEX(Prices!AK:AK,VST_Assets!$AN$9)*VST_Assets!$J$9-VST_Assets!$K$9*AK250-VST_Assets!$M$9*AK$4</f>
        <v>46.0752622674976</v>
      </c>
      <c r="AL251" s="7" t="n">
        <f aca="false">INDEX(Prices!AL:AL,VST_Assets!$AN$9)*VST_Assets!$J$9-VST_Assets!$K$9*AL250-VST_Assets!$M$9*AL$4</f>
        <v>46.9967675128476</v>
      </c>
      <c r="AM251" s="7" t="n">
        <f aca="false">INDEX(Prices!AM:AM,VST_Assets!$AN$9)*VST_Assets!$J$9-VST_Assets!$K$9*AM250-VST_Assets!$M$9*AM$4</f>
        <v>47.9367028631045</v>
      </c>
      <c r="AN251" s="7" t="n">
        <f aca="false">INDEX(Prices!AN:AN,VST_Assets!$AN$9)*VST_Assets!$J$9-VST_Assets!$K$9*AN250-VST_Assets!$M$9*AN$4</f>
        <v>48.8954369203666</v>
      </c>
      <c r="AO251" s="7" t="n">
        <f aca="false">INDEX(Prices!AO:AO,VST_Assets!$AN$9)*VST_Assets!$J$9-VST_Assets!$K$9*AO250-VST_Assets!$M$9*AO$4</f>
        <v>49.873345658774</v>
      </c>
      <c r="AP251" s="7" t="n">
        <f aca="false">INDEX(Prices!AP:AP,VST_Assets!$AN$9)*VST_Assets!$J$9-VST_Assets!$K$9*AP250-VST_Assets!$M$9*AP$4</f>
        <v>50.8708125719495</v>
      </c>
      <c r="AQ251" s="7" t="n">
        <f aca="false">INDEX(Prices!AQ:AQ,VST_Assets!$AN$9)*VST_Assets!$J$9-VST_Assets!$K$9*AQ250-VST_Assets!$M$9*AQ$4</f>
        <v>51.8882288233884</v>
      </c>
      <c r="AR251" s="7" t="n">
        <f aca="false">INDEX(Prices!AR:AR,VST_Assets!$AN$9)*VST_Assets!$J$9-VST_Assets!$K$9*AR250-VST_Assets!$M$9*AR$4</f>
        <v>52.9259933998562</v>
      </c>
      <c r="AS251" s="7" t="n">
        <f aca="false">INDEX(Prices!AS:AS,VST_Assets!$AN$9)*VST_Assets!$J$9-VST_Assets!$K$9*AS250-VST_Assets!$M$9*AS$4</f>
        <v>53.9845132678533</v>
      </c>
    </row>
    <row r="252" customFormat="false" ht="15" hidden="false" customHeight="false" outlineLevel="0" collapsed="false">
      <c r="A252" s="6" t="s">
        <v>437</v>
      </c>
      <c r="B252" s="6" t="s">
        <v>438</v>
      </c>
      <c r="G252" s="47" t="n">
        <f aca="false">IF(VST_Assets!$X$9=1,IF(G251&gt;0,1,0),1)</f>
        <v>1</v>
      </c>
      <c r="H252" s="47" t="n">
        <f aca="false">IF(VST_Assets!$X$9=1,IF(H251&gt;0,1,0),1)</f>
        <v>1</v>
      </c>
      <c r="I252" s="47" t="n">
        <f aca="false">IF(VST_Assets!$X$9=1,IF(I251&gt;0,1,0),1)</f>
        <v>1</v>
      </c>
      <c r="J252" s="47" t="n">
        <f aca="false">IF(VST_Assets!$X$9=1,IF(J251&gt;0,1,0),1)</f>
        <v>1</v>
      </c>
      <c r="K252" s="47" t="n">
        <f aca="false">IF(VST_Assets!$X$9=1,IF(K251&gt;0,1,0),1)</f>
        <v>1</v>
      </c>
      <c r="L252" s="47" t="n">
        <f aca="false">IF(VST_Assets!$X$9=1,IF(L251&gt;0,1,0),1)</f>
        <v>1</v>
      </c>
      <c r="M252" s="47" t="n">
        <f aca="false">IF(VST_Assets!$X$9=1,IF(M251&gt;0,1,0),1)</f>
        <v>1</v>
      </c>
      <c r="N252" s="47" t="n">
        <f aca="false">IF(VST_Assets!$X$9=1,IF(N251&gt;0,1,0),1)</f>
        <v>1</v>
      </c>
      <c r="O252" s="47" t="n">
        <f aca="false">IF(VST_Assets!$X$9=1,IF(O251&gt;0,1,0),1)</f>
        <v>1</v>
      </c>
      <c r="P252" s="47" t="n">
        <f aca="false">IF(VST_Assets!$X$9=1,IF(P251&gt;0,1,0),1)</f>
        <v>1</v>
      </c>
      <c r="Q252" s="47" t="n">
        <f aca="false">IF(VST_Assets!$X$9=1,IF(Q251&gt;0,1,0),1)</f>
        <v>1</v>
      </c>
      <c r="R252" s="47" t="n">
        <f aca="false">IF(VST_Assets!$X$9=1,IF(R251&gt;0,1,0),1)</f>
        <v>1</v>
      </c>
      <c r="S252" s="47" t="n">
        <f aca="false">IF(VST_Assets!$X$9=1,IF(S251&gt;0,1,0),1)</f>
        <v>1</v>
      </c>
      <c r="T252" s="47" t="n">
        <f aca="false">IF(VST_Assets!$X$9=1,IF(T251&gt;0,1,0),1)</f>
        <v>1</v>
      </c>
      <c r="U252" s="47" t="n">
        <f aca="false">IF(VST_Assets!$X$9=1,IF(U251&gt;0,1,0),1)</f>
        <v>1</v>
      </c>
      <c r="V252" s="47" t="n">
        <f aca="false">IF(VST_Assets!$X$9=1,IF(V251&gt;0,1,0),1)</f>
        <v>1</v>
      </c>
      <c r="W252" s="47" t="n">
        <f aca="false">IF(VST_Assets!$X$9=1,IF(W251&gt;0,1,0),1)</f>
        <v>1</v>
      </c>
      <c r="X252" s="47" t="n">
        <f aca="false">IF(VST_Assets!$X$9=1,IF(X251&gt;0,1,0),1)</f>
        <v>1</v>
      </c>
      <c r="Y252" s="47" t="n">
        <f aca="false">IF(VST_Assets!$X$9=1,IF(Y251&gt;0,1,0),1)</f>
        <v>1</v>
      </c>
      <c r="Z252" s="47" t="n">
        <f aca="false">IF(VST_Assets!$X$9=1,IF(Z251&gt;0,1,0),1)</f>
        <v>1</v>
      </c>
      <c r="AA252" s="47" t="n">
        <f aca="false">IF(VST_Assets!$X$9=1,IF(AA251&gt;0,1,0),1)</f>
        <v>1</v>
      </c>
      <c r="AB252" s="47" t="n">
        <f aca="false">IF(VST_Assets!$X$9=1,IF(AB251&gt;0,1,0),1)</f>
        <v>1</v>
      </c>
      <c r="AC252" s="47" t="n">
        <f aca="false">IF(VST_Assets!$X$9=1,IF(AC251&gt;0,1,0),1)</f>
        <v>1</v>
      </c>
      <c r="AD252" s="47" t="n">
        <f aca="false">IF(VST_Assets!$X$9=1,IF(AD251&gt;0,1,0),1)</f>
        <v>1</v>
      </c>
      <c r="AE252" s="47" t="n">
        <f aca="false">IF(VST_Assets!$X$9=1,IF(AE251&gt;0,1,0),1)</f>
        <v>1</v>
      </c>
      <c r="AF252" s="47" t="n">
        <f aca="false">IF(VST_Assets!$X$9=1,IF(AF251&gt;0,1,0),1)</f>
        <v>1</v>
      </c>
      <c r="AG252" s="47" t="n">
        <f aca="false">IF(VST_Assets!$X$9=1,IF(AG251&gt;0,1,0),1)</f>
        <v>1</v>
      </c>
      <c r="AH252" s="47" t="n">
        <f aca="false">IF(VST_Assets!$X$9=1,IF(AH251&gt;0,1,0),1)</f>
        <v>1</v>
      </c>
      <c r="AI252" s="47" t="n">
        <f aca="false">IF(VST_Assets!$X$9=1,IF(AI251&gt;0,1,0),1)</f>
        <v>1</v>
      </c>
      <c r="AJ252" s="47" t="n">
        <f aca="false">IF(VST_Assets!$X$9=1,IF(AJ251&gt;0,1,0),1)</f>
        <v>1</v>
      </c>
      <c r="AK252" s="47" t="n">
        <f aca="false">IF(VST_Assets!$X$9=1,IF(AK251&gt;0,1,0),1)</f>
        <v>1</v>
      </c>
      <c r="AL252" s="47" t="n">
        <f aca="false">IF(VST_Assets!$X$9=1,IF(AL251&gt;0,1,0),1)</f>
        <v>1</v>
      </c>
      <c r="AM252" s="47" t="n">
        <f aca="false">IF(VST_Assets!$X$9=1,IF(AM251&gt;0,1,0),1)</f>
        <v>1</v>
      </c>
      <c r="AN252" s="47" t="n">
        <f aca="false">IF(VST_Assets!$X$9=1,IF(AN251&gt;0,1,0),1)</f>
        <v>1</v>
      </c>
      <c r="AO252" s="47" t="n">
        <f aca="false">IF(VST_Assets!$X$9=1,IF(AO251&gt;0,1,0),1)</f>
        <v>1</v>
      </c>
      <c r="AP252" s="47" t="n">
        <f aca="false">IF(VST_Assets!$X$9=1,IF(AP251&gt;0,1,0),1)</f>
        <v>1</v>
      </c>
      <c r="AQ252" s="47" t="n">
        <f aca="false">IF(VST_Assets!$X$9=1,IF(AQ251&gt;0,1,0),1)</f>
        <v>1</v>
      </c>
      <c r="AR252" s="47" t="n">
        <f aca="false">IF(VST_Assets!$X$9=1,IF(AR251&gt;0,1,0),1)</f>
        <v>1</v>
      </c>
      <c r="AS252" s="47" t="n">
        <f aca="false">IF(VST_Assets!$X$9=1,IF(AS251&gt;0,1,0),1)</f>
        <v>1</v>
      </c>
    </row>
    <row r="253" customFormat="false" ht="15" hidden="false" customHeight="false" outlineLevel="0" collapsed="false">
      <c r="A253" s="6" t="s">
        <v>439</v>
      </c>
      <c r="B253" s="6" t="s">
        <v>440</v>
      </c>
      <c r="C253" s="9" t="n">
        <f aca="false">SUM(G253:AS253)</f>
        <v>4192.43932544566</v>
      </c>
      <c r="G253" s="8" t="n">
        <f aca="false">G248*INDEX(Prices!G:G,VST_Assets!$AN$9)*VST_Assets!$J$9*G252/1000000*(1+VST_RevAdj)</f>
        <v>300.285792</v>
      </c>
      <c r="H253" s="8" t="n">
        <f aca="false">H248*INDEX(Prices!H:H,VST_Assets!$AN$9)*VST_Assets!$J$9*H252/1000000*(1+VST_RevAdj)</f>
        <v>304.456428</v>
      </c>
      <c r="I253" s="8" t="n">
        <f aca="false">I248*INDEX(Prices!I:I,VST_Assets!$AN$9)*VST_Assets!$J$9*I252/1000000*(1+VST_RevAdj)</f>
        <v>279.247543781072</v>
      </c>
      <c r="J253" s="8" t="n">
        <f aca="false">J248*INDEX(Prices!J:J,VST_Assets!$AN$9)*VST_Assets!$J$9*J252/1000000*(1+VST_RevAdj)</f>
        <v>271.881578913388</v>
      </c>
      <c r="K253" s="8" t="n">
        <f aca="false">K248*INDEX(Prices!K:K,VST_Assets!$AN$9)*VST_Assets!$J$9*K252/1000000*(1+VST_RevAdj)</f>
        <v>277.319210491656</v>
      </c>
      <c r="L253" s="8" t="n">
        <f aca="false">L248*INDEX(Prices!L:L,VST_Assets!$AN$9)*VST_Assets!$J$9*L252/1000000*(1+VST_RevAdj)</f>
        <v>282.865594701489</v>
      </c>
      <c r="M253" s="8" t="n">
        <f aca="false">M248*INDEX(Prices!M:M,VST_Assets!$AN$9)*VST_Assets!$J$9*M252/1000000*(1+VST_RevAdj)</f>
        <v>288.522906595518</v>
      </c>
      <c r="N253" s="8" t="n">
        <f aca="false">N248*INDEX(Prices!N:N,VST_Assets!$AN$9)*VST_Assets!$J$9*N252/1000000*(1+VST_RevAdj)</f>
        <v>294.293364727429</v>
      </c>
      <c r="O253" s="8" t="n">
        <f aca="false">O248*INDEX(Prices!O:O,VST_Assets!$AN$9)*VST_Assets!$J$9*O252/1000000*(1+VST_RevAdj)</f>
        <v>300.179232021977</v>
      </c>
      <c r="P253" s="8" t="n">
        <f aca="false">P248*INDEX(Prices!P:P,VST_Assets!$AN$9)*VST_Assets!$J$9*P252/1000000*(1+VST_RevAdj)</f>
        <v>306.182816662417</v>
      </c>
      <c r="Q253" s="8" t="n">
        <f aca="false">Q248*INDEX(Prices!Q:Q,VST_Assets!$AN$9)*VST_Assets!$J$9*Q252/1000000*(1+VST_RevAdj)</f>
        <v>312.306472995665</v>
      </c>
      <c r="R253" s="8" t="n">
        <f aca="false">R248*INDEX(Prices!R:R,VST_Assets!$AN$9)*VST_Assets!$J$9*R252/1000000*(1+VST_RevAdj)</f>
        <v>318.552602455578</v>
      </c>
      <c r="S253" s="8" t="n">
        <f aca="false">S248*INDEX(Prices!S:S,VST_Assets!$AN$9)*VST_Assets!$J$9*S252/1000000*(1+VST_RevAdj)</f>
        <v>324.92365450469</v>
      </c>
      <c r="T253" s="8" t="n">
        <f aca="false">T248*INDEX(Prices!T:T,VST_Assets!$AN$9)*VST_Assets!$J$9*T252/1000000*(1+VST_RevAdj)</f>
        <v>331.422127594784</v>
      </c>
      <c r="U253" s="8" t="n">
        <f aca="false">U248*INDEX(Prices!U:U,VST_Assets!$AN$9)*VST_Assets!$J$9*U252/1000000*(1+VST_RevAdj)</f>
        <v>0</v>
      </c>
      <c r="V253" s="8" t="n">
        <f aca="false">V248*INDEX(Prices!V:V,VST_Assets!$AN$9)*VST_Assets!$J$9*V252/1000000*(1+VST_RevAdj)</f>
        <v>0</v>
      </c>
      <c r="W253" s="8" t="n">
        <f aca="false">W248*INDEX(Prices!W:W,VST_Assets!$AN$9)*VST_Assets!$J$9*W252/1000000*(1+VST_RevAdj)</f>
        <v>0</v>
      </c>
      <c r="X253" s="8" t="n">
        <f aca="false">X248*INDEX(Prices!X:X,VST_Assets!$AN$9)*VST_Assets!$J$9*X252/1000000*(1+VST_RevAdj)</f>
        <v>0</v>
      </c>
      <c r="Y253" s="8" t="n">
        <f aca="false">Y248*INDEX(Prices!Y:Y,VST_Assets!$AN$9)*VST_Assets!$J$9*Y252/1000000*(1+VST_RevAdj)</f>
        <v>0</v>
      </c>
      <c r="Z253" s="8" t="n">
        <f aca="false">Z248*INDEX(Prices!Z:Z,VST_Assets!$AN$9)*VST_Assets!$J$9*Z252/1000000*(1+VST_RevAdj)</f>
        <v>0</v>
      </c>
      <c r="AA253" s="8" t="n">
        <f aca="false">AA248*INDEX(Prices!AA:AA,VST_Assets!$AN$9)*VST_Assets!$J$9*AA252/1000000*(1+VST_RevAdj)</f>
        <v>0</v>
      </c>
      <c r="AB253" s="8" t="n">
        <f aca="false">AB248*INDEX(Prices!AB:AB,VST_Assets!$AN$9)*VST_Assets!$J$9*AB252/1000000*(1+VST_RevAdj)</f>
        <v>0</v>
      </c>
      <c r="AC253" s="8" t="n">
        <f aca="false">AC248*INDEX(Prices!AC:AC,VST_Assets!$AN$9)*VST_Assets!$J$9*AC252/1000000*(1+VST_RevAdj)</f>
        <v>0</v>
      </c>
      <c r="AD253" s="8" t="n">
        <f aca="false">AD248*INDEX(Prices!AD:AD,VST_Assets!$AN$9)*VST_Assets!$J$9*AD252/1000000*(1+VST_RevAdj)</f>
        <v>0</v>
      </c>
      <c r="AE253" s="8" t="n">
        <f aca="false">AE248*INDEX(Prices!AE:AE,VST_Assets!$AN$9)*VST_Assets!$J$9*AE252/1000000*(1+VST_RevAdj)</f>
        <v>0</v>
      </c>
      <c r="AF253" s="8" t="n">
        <f aca="false">AF248*INDEX(Prices!AF:AF,VST_Assets!$AN$9)*VST_Assets!$J$9*AF252/1000000*(1+VST_RevAdj)</f>
        <v>0</v>
      </c>
      <c r="AG253" s="8" t="n">
        <f aca="false">AG248*INDEX(Prices!AG:AG,VST_Assets!$AN$9)*VST_Assets!$J$9*AG252/1000000*(1+VST_RevAdj)</f>
        <v>0</v>
      </c>
      <c r="AH253" s="8" t="n">
        <f aca="false">AH248*INDEX(Prices!AH:AH,VST_Assets!$AN$9)*VST_Assets!$J$9*AH252/1000000*(1+VST_RevAdj)</f>
        <v>0</v>
      </c>
      <c r="AI253" s="8" t="n">
        <f aca="false">AI248*INDEX(Prices!AI:AI,VST_Assets!$AN$9)*VST_Assets!$J$9*AI252/1000000*(1+VST_RevAdj)</f>
        <v>0</v>
      </c>
      <c r="AJ253" s="8" t="n">
        <f aca="false">AJ248*INDEX(Prices!AJ:AJ,VST_Assets!$AN$9)*VST_Assets!$J$9*AJ252/1000000*(1+VST_RevAdj)</f>
        <v>0</v>
      </c>
      <c r="AK253" s="8" t="n">
        <f aca="false">AK248*INDEX(Prices!AK:AK,VST_Assets!$AN$9)*VST_Assets!$J$9*AK252/1000000*(1+VST_RevAdj)</f>
        <v>0</v>
      </c>
      <c r="AL253" s="8" t="n">
        <f aca="false">AL248*INDEX(Prices!AL:AL,VST_Assets!$AN$9)*VST_Assets!$J$9*AL252/1000000*(1+VST_RevAdj)</f>
        <v>0</v>
      </c>
      <c r="AM253" s="8" t="n">
        <f aca="false">AM248*INDEX(Prices!AM:AM,VST_Assets!$AN$9)*VST_Assets!$J$9*AM252/1000000*(1+VST_RevAdj)</f>
        <v>0</v>
      </c>
      <c r="AN253" s="8" t="n">
        <f aca="false">AN248*INDEX(Prices!AN:AN,VST_Assets!$AN$9)*VST_Assets!$J$9*AN252/1000000*(1+VST_RevAdj)</f>
        <v>0</v>
      </c>
      <c r="AO253" s="8" t="n">
        <f aca="false">AO248*INDEX(Prices!AO:AO,VST_Assets!$AN$9)*VST_Assets!$J$9*AO252/1000000*(1+VST_RevAdj)</f>
        <v>0</v>
      </c>
      <c r="AP253" s="8" t="n">
        <f aca="false">AP248*INDEX(Prices!AP:AP,VST_Assets!$AN$9)*VST_Assets!$J$9*AP252/1000000*(1+VST_RevAdj)</f>
        <v>0</v>
      </c>
      <c r="AQ253" s="8" t="n">
        <f aca="false">AQ248*INDEX(Prices!AQ:AQ,VST_Assets!$AN$9)*VST_Assets!$J$9*AQ252/1000000*(1+VST_RevAdj)</f>
        <v>0</v>
      </c>
      <c r="AR253" s="8" t="n">
        <f aca="false">AR248*INDEX(Prices!AR:AR,VST_Assets!$AN$9)*VST_Assets!$J$9*AR252/1000000*(1+VST_RevAdj)</f>
        <v>0</v>
      </c>
      <c r="AS253" s="8" t="n">
        <f aca="false">AS248*INDEX(Prices!AS:AS,VST_Assets!$AN$9)*VST_Assets!$J$9*AS252/1000000*(1+VST_RevAdj)</f>
        <v>0</v>
      </c>
    </row>
    <row r="254" customFormat="false" ht="15" hidden="false" customHeight="false" outlineLevel="0" collapsed="false">
      <c r="A254" s="6" t="s">
        <v>441</v>
      </c>
      <c r="B254" s="6" t="s">
        <v>442</v>
      </c>
      <c r="C254" s="9" t="n">
        <f aca="false">SUM(G254:AS254)</f>
        <v>1020.52187512968</v>
      </c>
      <c r="G254" s="8" t="n">
        <f aca="false">(VST_Assets!$D$9-G247)*INDEX(Prices!G:G,VST_Assets!$AP$9)*365*VST_Assets!$T$9*G246/1000000*(1+VST_RevAdj)</f>
        <v>63.88668</v>
      </c>
      <c r="H254" s="8" t="n">
        <f aca="false">(VST_Assets!$D$9-H247)*INDEX(Prices!H:H,VST_Assets!$AP$9)*365*VST_Assets!$T$9*H246/1000000*(1+VST_RevAdj)</f>
        <v>65.1644136</v>
      </c>
      <c r="I254" s="8" t="n">
        <f aca="false">(VST_Assets!$D$9-I247)*INDEX(Prices!I:I,VST_Assets!$AP$9)*365*VST_Assets!$T$9*I246/1000000*(1+VST_RevAdj)</f>
        <v>66.467701872</v>
      </c>
      <c r="J254" s="8" t="n">
        <f aca="false">(VST_Assets!$D$9-J247)*INDEX(Prices!J:J,VST_Assets!$AP$9)*365*VST_Assets!$T$9*J246/1000000*(1+VST_RevAdj)</f>
        <v>67.79705590944</v>
      </c>
      <c r="K254" s="8" t="n">
        <f aca="false">(VST_Assets!$D$9-K247)*INDEX(Prices!K:K,VST_Assets!$AP$9)*365*VST_Assets!$T$9*K246/1000000*(1+VST_RevAdj)</f>
        <v>69.1529970276288</v>
      </c>
      <c r="L254" s="8" t="n">
        <f aca="false">(VST_Assets!$D$9-L247)*INDEX(Prices!L:L,VST_Assets!$AP$9)*365*VST_Assets!$T$9*L246/1000000*(1+VST_RevAdj)</f>
        <v>70.5360569681814</v>
      </c>
      <c r="M254" s="8" t="n">
        <f aca="false">(VST_Assets!$D$9-M247)*INDEX(Prices!M:M,VST_Assets!$AP$9)*365*VST_Assets!$T$9*M246/1000000*(1+VST_RevAdj)</f>
        <v>71.946778107545</v>
      </c>
      <c r="N254" s="8" t="n">
        <f aca="false">(VST_Assets!$D$9-N247)*INDEX(Prices!N:N,VST_Assets!$AP$9)*365*VST_Assets!$T$9*N246/1000000*(1+VST_RevAdj)</f>
        <v>73.3857136696959</v>
      </c>
      <c r="O254" s="8" t="n">
        <f aca="false">(VST_Assets!$D$9-O247)*INDEX(Prices!O:O,VST_Assets!$AP$9)*365*VST_Assets!$T$9*O246/1000000*(1+VST_RevAdj)</f>
        <v>74.8534279430898</v>
      </c>
      <c r="P254" s="8" t="n">
        <f aca="false">(VST_Assets!$D$9-P247)*INDEX(Prices!P:P,VST_Assets!$AP$9)*365*VST_Assets!$T$9*P246/1000000*(1+VST_RevAdj)</f>
        <v>76.3504965019517</v>
      </c>
      <c r="Q254" s="8" t="n">
        <f aca="false">(VST_Assets!$D$9-Q247)*INDEX(Prices!Q:Q,VST_Assets!$AP$9)*365*VST_Assets!$T$9*Q246/1000000*(1+VST_RevAdj)</f>
        <v>77.8775064319907</v>
      </c>
      <c r="R254" s="8" t="n">
        <f aca="false">(VST_Assets!$D$9-R247)*INDEX(Prices!R:R,VST_Assets!$AP$9)*365*VST_Assets!$T$9*R246/1000000*(1+VST_RevAdj)</f>
        <v>79.4350565606305</v>
      </c>
      <c r="S254" s="8" t="n">
        <f aca="false">(VST_Assets!$D$9-S247)*INDEX(Prices!S:S,VST_Assets!$AP$9)*365*VST_Assets!$T$9*S246/1000000*(1+VST_RevAdj)</f>
        <v>81.0237576918431</v>
      </c>
      <c r="T254" s="8" t="n">
        <f aca="false">(VST_Assets!$D$9-T247)*INDEX(Prices!T:T,VST_Assets!$AP$9)*365*VST_Assets!$T$9*T246/1000000*(1+VST_RevAdj)</f>
        <v>82.64423284568</v>
      </c>
      <c r="U254" s="8" t="n">
        <f aca="false">(VST_Assets!$D$9-U247)*INDEX(Prices!U:U,VST_Assets!$AP$9)*365*VST_Assets!$T$9*U246/1000000*(1+VST_RevAdj)</f>
        <v>0</v>
      </c>
      <c r="V254" s="8" t="n">
        <f aca="false">(VST_Assets!$D$9-V247)*INDEX(Prices!V:V,VST_Assets!$AP$9)*365*VST_Assets!$T$9*V246/1000000*(1+VST_RevAdj)</f>
        <v>0</v>
      </c>
      <c r="W254" s="8" t="n">
        <f aca="false">(VST_Assets!$D$9-W247)*INDEX(Prices!W:W,VST_Assets!$AP$9)*365*VST_Assets!$T$9*W246/1000000*(1+VST_RevAdj)</f>
        <v>0</v>
      </c>
      <c r="X254" s="8" t="n">
        <f aca="false">(VST_Assets!$D$9-X247)*INDEX(Prices!X:X,VST_Assets!$AP$9)*365*VST_Assets!$T$9*X246/1000000*(1+VST_RevAdj)</f>
        <v>0</v>
      </c>
      <c r="Y254" s="8" t="n">
        <f aca="false">(VST_Assets!$D$9-Y247)*INDEX(Prices!Y:Y,VST_Assets!$AP$9)*365*VST_Assets!$T$9*Y246/1000000*(1+VST_RevAdj)</f>
        <v>0</v>
      </c>
      <c r="Z254" s="8" t="n">
        <f aca="false">(VST_Assets!$D$9-Z247)*INDEX(Prices!Z:Z,VST_Assets!$AP$9)*365*VST_Assets!$T$9*Z246/1000000*(1+VST_RevAdj)</f>
        <v>0</v>
      </c>
      <c r="AA254" s="8" t="n">
        <f aca="false">(VST_Assets!$D$9-AA247)*INDEX(Prices!AA:AA,VST_Assets!$AP$9)*365*VST_Assets!$T$9*AA246/1000000*(1+VST_RevAdj)</f>
        <v>0</v>
      </c>
      <c r="AB254" s="8" t="n">
        <f aca="false">(VST_Assets!$D$9-AB247)*INDEX(Prices!AB:AB,VST_Assets!$AP$9)*365*VST_Assets!$T$9*AB246/1000000*(1+VST_RevAdj)</f>
        <v>0</v>
      </c>
      <c r="AC254" s="8" t="n">
        <f aca="false">(VST_Assets!$D$9-AC247)*INDEX(Prices!AC:AC,VST_Assets!$AP$9)*365*VST_Assets!$T$9*AC246/1000000*(1+VST_RevAdj)</f>
        <v>0</v>
      </c>
      <c r="AD254" s="8" t="n">
        <f aca="false">(VST_Assets!$D$9-AD247)*INDEX(Prices!AD:AD,VST_Assets!$AP$9)*365*VST_Assets!$T$9*AD246/1000000*(1+VST_RevAdj)</f>
        <v>0</v>
      </c>
      <c r="AE254" s="8" t="n">
        <f aca="false">(VST_Assets!$D$9-AE247)*INDEX(Prices!AE:AE,VST_Assets!$AP$9)*365*VST_Assets!$T$9*AE246/1000000*(1+VST_RevAdj)</f>
        <v>0</v>
      </c>
      <c r="AF254" s="8" t="n">
        <f aca="false">(VST_Assets!$D$9-AF247)*INDEX(Prices!AF:AF,VST_Assets!$AP$9)*365*VST_Assets!$T$9*AF246/1000000*(1+VST_RevAdj)</f>
        <v>0</v>
      </c>
      <c r="AG254" s="8" t="n">
        <f aca="false">(VST_Assets!$D$9-AG247)*INDEX(Prices!AG:AG,VST_Assets!$AP$9)*365*VST_Assets!$T$9*AG246/1000000*(1+VST_RevAdj)</f>
        <v>0</v>
      </c>
      <c r="AH254" s="8" t="n">
        <f aca="false">(VST_Assets!$D$9-AH247)*INDEX(Prices!AH:AH,VST_Assets!$AP$9)*365*VST_Assets!$T$9*AH246/1000000*(1+VST_RevAdj)</f>
        <v>0</v>
      </c>
      <c r="AI254" s="8" t="n">
        <f aca="false">(VST_Assets!$D$9-AI247)*INDEX(Prices!AI:AI,VST_Assets!$AP$9)*365*VST_Assets!$T$9*AI246/1000000*(1+VST_RevAdj)</f>
        <v>0</v>
      </c>
      <c r="AJ254" s="8" t="n">
        <f aca="false">(VST_Assets!$D$9-AJ247)*INDEX(Prices!AJ:AJ,VST_Assets!$AP$9)*365*VST_Assets!$T$9*AJ246/1000000*(1+VST_RevAdj)</f>
        <v>0</v>
      </c>
      <c r="AK254" s="8" t="n">
        <f aca="false">(VST_Assets!$D$9-AK247)*INDEX(Prices!AK:AK,VST_Assets!$AP$9)*365*VST_Assets!$T$9*AK246/1000000*(1+VST_RevAdj)</f>
        <v>0</v>
      </c>
      <c r="AL254" s="8" t="n">
        <f aca="false">(VST_Assets!$D$9-AL247)*INDEX(Prices!AL:AL,VST_Assets!$AP$9)*365*VST_Assets!$T$9*AL246/1000000*(1+VST_RevAdj)</f>
        <v>0</v>
      </c>
      <c r="AM254" s="8" t="n">
        <f aca="false">(VST_Assets!$D$9-AM247)*INDEX(Prices!AM:AM,VST_Assets!$AP$9)*365*VST_Assets!$T$9*AM246/1000000*(1+VST_RevAdj)</f>
        <v>0</v>
      </c>
      <c r="AN254" s="8" t="n">
        <f aca="false">(VST_Assets!$D$9-AN247)*INDEX(Prices!AN:AN,VST_Assets!$AP$9)*365*VST_Assets!$T$9*AN246/1000000*(1+VST_RevAdj)</f>
        <v>0</v>
      </c>
      <c r="AO254" s="8" t="n">
        <f aca="false">(VST_Assets!$D$9-AO247)*INDEX(Prices!AO:AO,VST_Assets!$AP$9)*365*VST_Assets!$T$9*AO246/1000000*(1+VST_RevAdj)</f>
        <v>0</v>
      </c>
      <c r="AP254" s="8" t="n">
        <f aca="false">(VST_Assets!$D$9-AP247)*INDEX(Prices!AP:AP,VST_Assets!$AP$9)*365*VST_Assets!$T$9*AP246/1000000*(1+VST_RevAdj)</f>
        <v>0</v>
      </c>
      <c r="AQ254" s="8" t="n">
        <f aca="false">(VST_Assets!$D$9-AQ247)*INDEX(Prices!AQ:AQ,VST_Assets!$AP$9)*365*VST_Assets!$T$9*AQ246/1000000*(1+VST_RevAdj)</f>
        <v>0</v>
      </c>
      <c r="AR254" s="8" t="n">
        <f aca="false">(VST_Assets!$D$9-AR247)*INDEX(Prices!AR:AR,VST_Assets!$AP$9)*365*VST_Assets!$T$9*AR246/1000000*(1+VST_RevAdj)</f>
        <v>0</v>
      </c>
      <c r="AS254" s="8" t="n">
        <f aca="false">(VST_Assets!$D$9-AS247)*INDEX(Prices!AS:AS,VST_Assets!$AP$9)*365*VST_Assets!$T$9*AS246/1000000*(1+VST_RevAdj)</f>
        <v>0</v>
      </c>
    </row>
    <row r="255" customFormat="false" ht="15" hidden="false" customHeight="false" outlineLevel="0" collapsed="false">
      <c r="A255" s="6" t="s">
        <v>443</v>
      </c>
      <c r="B255" s="6" t="s">
        <v>444</v>
      </c>
      <c r="C255" s="9" t="n">
        <f aca="false">SUM(G255:AS255)</f>
        <v>0</v>
      </c>
      <c r="G255" s="8" t="n">
        <f aca="false">G249*(VST_Assets!$AD$9+VST_PPAAdj)/1000000*(1+VST_RevAdj)</f>
        <v>0</v>
      </c>
      <c r="H255" s="8" t="n">
        <f aca="false">H249*(VST_Assets!$AD$9+VST_PPAAdj)/1000000*(1+VST_RevAdj)</f>
        <v>0</v>
      </c>
      <c r="I255" s="8" t="n">
        <f aca="false">I249*(VST_Assets!$AD$9+VST_PPAAdj)/1000000*(1+VST_RevAdj)</f>
        <v>0</v>
      </c>
      <c r="J255" s="8" t="n">
        <f aca="false">J249*(VST_Assets!$AD$9+VST_PPAAdj)/1000000*(1+VST_RevAdj)</f>
        <v>0</v>
      </c>
      <c r="K255" s="8" t="n">
        <f aca="false">K249*(VST_Assets!$AD$9+VST_PPAAdj)/1000000*(1+VST_RevAdj)</f>
        <v>0</v>
      </c>
      <c r="L255" s="8" t="n">
        <f aca="false">L249*(VST_Assets!$AD$9+VST_PPAAdj)/1000000*(1+VST_RevAdj)</f>
        <v>0</v>
      </c>
      <c r="M255" s="8" t="n">
        <f aca="false">M249*(VST_Assets!$AD$9+VST_PPAAdj)/1000000*(1+VST_RevAdj)</f>
        <v>0</v>
      </c>
      <c r="N255" s="8" t="n">
        <f aca="false">N249*(VST_Assets!$AD$9+VST_PPAAdj)/1000000*(1+VST_RevAdj)</f>
        <v>0</v>
      </c>
      <c r="O255" s="8" t="n">
        <f aca="false">O249*(VST_Assets!$AD$9+VST_PPAAdj)/1000000*(1+VST_RevAdj)</f>
        <v>0</v>
      </c>
      <c r="P255" s="8" t="n">
        <f aca="false">P249*(VST_Assets!$AD$9+VST_PPAAdj)/1000000*(1+VST_RevAdj)</f>
        <v>0</v>
      </c>
      <c r="Q255" s="8" t="n">
        <f aca="false">Q249*(VST_Assets!$AD$9+VST_PPAAdj)/1000000*(1+VST_RevAdj)</f>
        <v>0</v>
      </c>
      <c r="R255" s="8" t="n">
        <f aca="false">R249*(VST_Assets!$AD$9+VST_PPAAdj)/1000000*(1+VST_RevAdj)</f>
        <v>0</v>
      </c>
      <c r="S255" s="8" t="n">
        <f aca="false">S249*(VST_Assets!$AD$9+VST_PPAAdj)/1000000*(1+VST_RevAdj)</f>
        <v>0</v>
      </c>
      <c r="T255" s="8" t="n">
        <f aca="false">T249*(VST_Assets!$AD$9+VST_PPAAdj)/1000000*(1+VST_RevAdj)</f>
        <v>0</v>
      </c>
      <c r="U255" s="8" t="n">
        <f aca="false">U249*(VST_Assets!$AD$9+VST_PPAAdj)/1000000*(1+VST_RevAdj)</f>
        <v>0</v>
      </c>
      <c r="V255" s="8" t="n">
        <f aca="false">V249*(VST_Assets!$AD$9+VST_PPAAdj)/1000000*(1+VST_RevAdj)</f>
        <v>0</v>
      </c>
      <c r="W255" s="8" t="n">
        <f aca="false">W249*(VST_Assets!$AD$9+VST_PPAAdj)/1000000*(1+VST_RevAdj)</f>
        <v>0</v>
      </c>
      <c r="X255" s="8" t="n">
        <f aca="false">X249*(VST_Assets!$AD$9+VST_PPAAdj)/1000000*(1+VST_RevAdj)</f>
        <v>0</v>
      </c>
      <c r="Y255" s="8" t="n">
        <f aca="false">Y249*(VST_Assets!$AD$9+VST_PPAAdj)/1000000*(1+VST_RevAdj)</f>
        <v>0</v>
      </c>
      <c r="Z255" s="8" t="n">
        <f aca="false">Z249*(VST_Assets!$AD$9+VST_PPAAdj)/1000000*(1+VST_RevAdj)</f>
        <v>0</v>
      </c>
      <c r="AA255" s="8" t="n">
        <f aca="false">AA249*(VST_Assets!$AD$9+VST_PPAAdj)/1000000*(1+VST_RevAdj)</f>
        <v>0</v>
      </c>
      <c r="AB255" s="8" t="n">
        <f aca="false">AB249*(VST_Assets!$AD$9+VST_PPAAdj)/1000000*(1+VST_RevAdj)</f>
        <v>0</v>
      </c>
      <c r="AC255" s="8" t="n">
        <f aca="false">AC249*(VST_Assets!$AD$9+VST_PPAAdj)/1000000*(1+VST_RevAdj)</f>
        <v>0</v>
      </c>
      <c r="AD255" s="8" t="n">
        <f aca="false">AD249*(VST_Assets!$AD$9+VST_PPAAdj)/1000000*(1+VST_RevAdj)</f>
        <v>0</v>
      </c>
      <c r="AE255" s="8" t="n">
        <f aca="false">AE249*(VST_Assets!$AD$9+VST_PPAAdj)/1000000*(1+VST_RevAdj)</f>
        <v>0</v>
      </c>
      <c r="AF255" s="8" t="n">
        <f aca="false">AF249*(VST_Assets!$AD$9+VST_PPAAdj)/1000000*(1+VST_RevAdj)</f>
        <v>0</v>
      </c>
      <c r="AG255" s="8" t="n">
        <f aca="false">AG249*(VST_Assets!$AD$9+VST_PPAAdj)/1000000*(1+VST_RevAdj)</f>
        <v>0</v>
      </c>
      <c r="AH255" s="8" t="n">
        <f aca="false">AH249*(VST_Assets!$AD$9+VST_PPAAdj)/1000000*(1+VST_RevAdj)</f>
        <v>0</v>
      </c>
      <c r="AI255" s="8" t="n">
        <f aca="false">AI249*(VST_Assets!$AD$9+VST_PPAAdj)/1000000*(1+VST_RevAdj)</f>
        <v>0</v>
      </c>
      <c r="AJ255" s="8" t="n">
        <f aca="false">AJ249*(VST_Assets!$AD$9+VST_PPAAdj)/1000000*(1+VST_RevAdj)</f>
        <v>0</v>
      </c>
      <c r="AK255" s="8" t="n">
        <f aca="false">AK249*(VST_Assets!$AD$9+VST_PPAAdj)/1000000*(1+VST_RevAdj)</f>
        <v>0</v>
      </c>
      <c r="AL255" s="8" t="n">
        <f aca="false">AL249*(VST_Assets!$AD$9+VST_PPAAdj)/1000000*(1+VST_RevAdj)</f>
        <v>0</v>
      </c>
      <c r="AM255" s="8" t="n">
        <f aca="false">AM249*(VST_Assets!$AD$9+VST_PPAAdj)/1000000*(1+VST_RevAdj)</f>
        <v>0</v>
      </c>
      <c r="AN255" s="8" t="n">
        <f aca="false">AN249*(VST_Assets!$AD$9+VST_PPAAdj)/1000000*(1+VST_RevAdj)</f>
        <v>0</v>
      </c>
      <c r="AO255" s="8" t="n">
        <f aca="false">AO249*(VST_Assets!$AD$9+VST_PPAAdj)/1000000*(1+VST_RevAdj)</f>
        <v>0</v>
      </c>
      <c r="AP255" s="8" t="n">
        <f aca="false">AP249*(VST_Assets!$AD$9+VST_PPAAdj)/1000000*(1+VST_RevAdj)</f>
        <v>0</v>
      </c>
      <c r="AQ255" s="8" t="n">
        <f aca="false">AQ249*(VST_Assets!$AD$9+VST_PPAAdj)/1000000*(1+VST_RevAdj)</f>
        <v>0</v>
      </c>
      <c r="AR255" s="8" t="n">
        <f aca="false">AR249*(VST_Assets!$AD$9+VST_PPAAdj)/1000000*(1+VST_RevAdj)</f>
        <v>0</v>
      </c>
      <c r="AS255" s="8" t="n">
        <f aca="false">AS249*(VST_Assets!$AD$9+VST_PPAAdj)/1000000*(1+VST_RevAdj)</f>
        <v>0</v>
      </c>
    </row>
    <row r="256" customFormat="false" ht="15" hidden="false" customHeight="false" outlineLevel="0" collapsed="false">
      <c r="A256" s="6" t="s">
        <v>445</v>
      </c>
      <c r="B256" s="6" t="s">
        <v>446</v>
      </c>
      <c r="C256" s="9" t="n">
        <f aca="false">SUM(G256:AS256)</f>
        <v>0</v>
      </c>
      <c r="G256" s="8" t="n">
        <f aca="false">IF(G$3&lt;=VST_Assets!$V$9,G248*VST_Assets!$U$9,0)/1000000*(1+VST_RevAdj)</f>
        <v>0</v>
      </c>
      <c r="H256" s="8" t="n">
        <f aca="false">IF(H$3&lt;=VST_Assets!$V$9,H248*VST_Assets!$U$9,0)/1000000*(1+VST_RevAdj)</f>
        <v>0</v>
      </c>
      <c r="I256" s="8" t="n">
        <f aca="false">IF(I$3&lt;=VST_Assets!$V$9,I248*VST_Assets!$U$9,0)/1000000*(1+VST_RevAdj)</f>
        <v>0</v>
      </c>
      <c r="J256" s="8" t="n">
        <f aca="false">IF(J$3&lt;=VST_Assets!$V$9,J248*VST_Assets!$U$9,0)/1000000*(1+VST_RevAdj)</f>
        <v>0</v>
      </c>
      <c r="K256" s="8" t="n">
        <f aca="false">IF(K$3&lt;=VST_Assets!$V$9,K248*VST_Assets!$U$9,0)/1000000*(1+VST_RevAdj)</f>
        <v>0</v>
      </c>
      <c r="L256" s="8" t="n">
        <f aca="false">IF(L$3&lt;=VST_Assets!$V$9,L248*VST_Assets!$U$9,0)/1000000*(1+VST_RevAdj)</f>
        <v>0</v>
      </c>
      <c r="M256" s="8" t="n">
        <f aca="false">IF(M$3&lt;=VST_Assets!$V$9,M248*VST_Assets!$U$9,0)/1000000*(1+VST_RevAdj)</f>
        <v>0</v>
      </c>
      <c r="N256" s="8" t="n">
        <f aca="false">IF(N$3&lt;=VST_Assets!$V$9,N248*VST_Assets!$U$9,0)/1000000*(1+VST_RevAdj)</f>
        <v>0</v>
      </c>
      <c r="O256" s="8" t="n">
        <f aca="false">IF(O$3&lt;=VST_Assets!$V$9,O248*VST_Assets!$U$9,0)/1000000*(1+VST_RevAdj)</f>
        <v>0</v>
      </c>
      <c r="P256" s="8" t="n">
        <f aca="false">IF(P$3&lt;=VST_Assets!$V$9,P248*VST_Assets!$U$9,0)/1000000*(1+VST_RevAdj)</f>
        <v>0</v>
      </c>
      <c r="Q256" s="8" t="n">
        <f aca="false">IF(Q$3&lt;=VST_Assets!$V$9,Q248*VST_Assets!$U$9,0)/1000000*(1+VST_RevAdj)</f>
        <v>0</v>
      </c>
      <c r="R256" s="8" t="n">
        <f aca="false">IF(R$3&lt;=VST_Assets!$V$9,R248*VST_Assets!$U$9,0)/1000000*(1+VST_RevAdj)</f>
        <v>0</v>
      </c>
      <c r="S256" s="8" t="n">
        <f aca="false">IF(S$3&lt;=VST_Assets!$V$9,S248*VST_Assets!$U$9,0)/1000000*(1+VST_RevAdj)</f>
        <v>0</v>
      </c>
      <c r="T256" s="8" t="n">
        <f aca="false">IF(T$3&lt;=VST_Assets!$V$9,T248*VST_Assets!$U$9,0)/1000000*(1+VST_RevAdj)</f>
        <v>0</v>
      </c>
      <c r="U256" s="8" t="n">
        <f aca="false">IF(U$3&lt;=VST_Assets!$V$9,U248*VST_Assets!$U$9,0)/1000000*(1+VST_RevAdj)</f>
        <v>0</v>
      </c>
      <c r="V256" s="8" t="n">
        <f aca="false">IF(V$3&lt;=VST_Assets!$V$9,V248*VST_Assets!$U$9,0)/1000000*(1+VST_RevAdj)</f>
        <v>0</v>
      </c>
      <c r="W256" s="8" t="n">
        <f aca="false">IF(W$3&lt;=VST_Assets!$V$9,W248*VST_Assets!$U$9,0)/1000000*(1+VST_RevAdj)</f>
        <v>0</v>
      </c>
      <c r="X256" s="8" t="n">
        <f aca="false">IF(X$3&lt;=VST_Assets!$V$9,X248*VST_Assets!$U$9,0)/1000000*(1+VST_RevAdj)</f>
        <v>0</v>
      </c>
      <c r="Y256" s="8" t="n">
        <f aca="false">IF(Y$3&lt;=VST_Assets!$V$9,Y248*VST_Assets!$U$9,0)/1000000*(1+VST_RevAdj)</f>
        <v>0</v>
      </c>
      <c r="Z256" s="8" t="n">
        <f aca="false">IF(Z$3&lt;=VST_Assets!$V$9,Z248*VST_Assets!$U$9,0)/1000000*(1+VST_RevAdj)</f>
        <v>0</v>
      </c>
      <c r="AA256" s="8" t="n">
        <f aca="false">IF(AA$3&lt;=VST_Assets!$V$9,AA248*VST_Assets!$U$9,0)/1000000*(1+VST_RevAdj)</f>
        <v>0</v>
      </c>
      <c r="AB256" s="8" t="n">
        <f aca="false">IF(AB$3&lt;=VST_Assets!$V$9,AB248*VST_Assets!$U$9,0)/1000000*(1+VST_RevAdj)</f>
        <v>0</v>
      </c>
      <c r="AC256" s="8" t="n">
        <f aca="false">IF(AC$3&lt;=VST_Assets!$V$9,AC248*VST_Assets!$U$9,0)/1000000*(1+VST_RevAdj)</f>
        <v>0</v>
      </c>
      <c r="AD256" s="8" t="n">
        <f aca="false">IF(AD$3&lt;=VST_Assets!$V$9,AD248*VST_Assets!$U$9,0)/1000000*(1+VST_RevAdj)</f>
        <v>0</v>
      </c>
      <c r="AE256" s="8" t="n">
        <f aca="false">IF(AE$3&lt;=VST_Assets!$V$9,AE248*VST_Assets!$U$9,0)/1000000*(1+VST_RevAdj)</f>
        <v>0</v>
      </c>
      <c r="AF256" s="8" t="n">
        <f aca="false">IF(AF$3&lt;=VST_Assets!$V$9,AF248*VST_Assets!$U$9,0)/1000000*(1+VST_RevAdj)</f>
        <v>0</v>
      </c>
      <c r="AG256" s="8" t="n">
        <f aca="false">IF(AG$3&lt;=VST_Assets!$V$9,AG248*VST_Assets!$U$9,0)/1000000*(1+VST_RevAdj)</f>
        <v>0</v>
      </c>
      <c r="AH256" s="8" t="n">
        <f aca="false">IF(AH$3&lt;=VST_Assets!$V$9,AH248*VST_Assets!$U$9,0)/1000000*(1+VST_RevAdj)</f>
        <v>0</v>
      </c>
      <c r="AI256" s="8" t="n">
        <f aca="false">IF(AI$3&lt;=VST_Assets!$V$9,AI248*VST_Assets!$U$9,0)/1000000*(1+VST_RevAdj)</f>
        <v>0</v>
      </c>
      <c r="AJ256" s="8" t="n">
        <f aca="false">IF(AJ$3&lt;=VST_Assets!$V$9,AJ248*VST_Assets!$U$9,0)/1000000*(1+VST_RevAdj)</f>
        <v>0</v>
      </c>
      <c r="AK256" s="8" t="n">
        <f aca="false">IF(AK$3&lt;=VST_Assets!$V$9,AK248*VST_Assets!$U$9,0)/1000000*(1+VST_RevAdj)</f>
        <v>0</v>
      </c>
      <c r="AL256" s="8" t="n">
        <f aca="false">IF(AL$3&lt;=VST_Assets!$V$9,AL248*VST_Assets!$U$9,0)/1000000*(1+VST_RevAdj)</f>
        <v>0</v>
      </c>
      <c r="AM256" s="8" t="n">
        <f aca="false">IF(AM$3&lt;=VST_Assets!$V$9,AM248*VST_Assets!$U$9,0)/1000000*(1+VST_RevAdj)</f>
        <v>0</v>
      </c>
      <c r="AN256" s="8" t="n">
        <f aca="false">IF(AN$3&lt;=VST_Assets!$V$9,AN248*VST_Assets!$U$9,0)/1000000*(1+VST_RevAdj)</f>
        <v>0</v>
      </c>
      <c r="AO256" s="8" t="n">
        <f aca="false">IF(AO$3&lt;=VST_Assets!$V$9,AO248*VST_Assets!$U$9,0)/1000000*(1+VST_RevAdj)</f>
        <v>0</v>
      </c>
      <c r="AP256" s="8" t="n">
        <f aca="false">IF(AP$3&lt;=VST_Assets!$V$9,AP248*VST_Assets!$U$9,0)/1000000*(1+VST_RevAdj)</f>
        <v>0</v>
      </c>
      <c r="AQ256" s="8" t="n">
        <f aca="false">IF(AQ$3&lt;=VST_Assets!$V$9,AQ248*VST_Assets!$U$9,0)/1000000*(1+VST_RevAdj)</f>
        <v>0</v>
      </c>
      <c r="AR256" s="8" t="n">
        <f aca="false">IF(AR$3&lt;=VST_Assets!$V$9,AR248*VST_Assets!$U$9,0)/1000000*(1+VST_RevAdj)</f>
        <v>0</v>
      </c>
      <c r="AS256" s="8" t="n">
        <f aca="false">IF(AS$3&lt;=VST_Assets!$V$9,AS248*VST_Assets!$U$9,0)/1000000*(1+VST_RevAdj)</f>
        <v>0</v>
      </c>
    </row>
    <row r="257" customFormat="false" ht="15" hidden="false" customHeight="false" outlineLevel="0" collapsed="false">
      <c r="A257" s="6" t="s">
        <v>447</v>
      </c>
      <c r="B257" s="6" t="s">
        <v>448</v>
      </c>
      <c r="C257" s="9" t="n">
        <f aca="false">SUM(G257:AS257)</f>
        <v>5212.96120057534</v>
      </c>
      <c r="G257" s="8" t="n">
        <f aca="false">G253+G254+G255+G256</f>
        <v>364.172472</v>
      </c>
      <c r="H257" s="8" t="n">
        <f aca="false">H253+H254+H255+H256</f>
        <v>369.6208416</v>
      </c>
      <c r="I257" s="8" t="n">
        <f aca="false">I253+I254+I255+I256</f>
        <v>345.715245653073</v>
      </c>
      <c r="J257" s="8" t="n">
        <f aca="false">J253+J254+J255+J256</f>
        <v>339.678634822828</v>
      </c>
      <c r="K257" s="8" t="n">
        <f aca="false">K253+K254+K255+K256</f>
        <v>346.472207519284</v>
      </c>
      <c r="L257" s="8" t="n">
        <f aca="false">L253+L254+L255+L256</f>
        <v>353.40165166967</v>
      </c>
      <c r="M257" s="8" t="n">
        <f aca="false">M253+M254+M255+M256</f>
        <v>360.469684703063</v>
      </c>
      <c r="N257" s="8" t="n">
        <f aca="false">N253+N254+N255+N256</f>
        <v>367.679078397125</v>
      </c>
      <c r="O257" s="8" t="n">
        <f aca="false">O253+O254+O255+O256</f>
        <v>375.032659965067</v>
      </c>
      <c r="P257" s="8" t="n">
        <f aca="false">P253+P254+P255+P256</f>
        <v>382.533313164369</v>
      </c>
      <c r="Q257" s="8" t="n">
        <f aca="false">Q253+Q254+Q255+Q256</f>
        <v>390.183979427656</v>
      </c>
      <c r="R257" s="8" t="n">
        <f aca="false">R253+R254+R255+R256</f>
        <v>397.987659016209</v>
      </c>
      <c r="S257" s="8" t="n">
        <f aca="false">S253+S254+S255+S256</f>
        <v>405.947412196533</v>
      </c>
      <c r="T257" s="8" t="n">
        <f aca="false">T253+T254+T255+T256</f>
        <v>414.066360440464</v>
      </c>
      <c r="U257" s="8" t="n">
        <f aca="false">U253+U254+U255+U256</f>
        <v>0</v>
      </c>
      <c r="V257" s="8" t="n">
        <f aca="false">V253+V254+V255+V256</f>
        <v>0</v>
      </c>
      <c r="W257" s="8" t="n">
        <f aca="false">W253+W254+W255+W256</f>
        <v>0</v>
      </c>
      <c r="X257" s="8" t="n">
        <f aca="false">X253+X254+X255+X256</f>
        <v>0</v>
      </c>
      <c r="Y257" s="8" t="n">
        <f aca="false">Y253+Y254+Y255+Y256</f>
        <v>0</v>
      </c>
      <c r="Z257" s="8" t="n">
        <f aca="false">Z253+Z254+Z255+Z256</f>
        <v>0</v>
      </c>
      <c r="AA257" s="8" t="n">
        <f aca="false">AA253+AA254+AA255+AA256</f>
        <v>0</v>
      </c>
      <c r="AB257" s="8" t="n">
        <f aca="false">AB253+AB254+AB255+AB256</f>
        <v>0</v>
      </c>
      <c r="AC257" s="8" t="n">
        <f aca="false">AC253+AC254+AC255+AC256</f>
        <v>0</v>
      </c>
      <c r="AD257" s="8" t="n">
        <f aca="false">AD253+AD254+AD255+AD256</f>
        <v>0</v>
      </c>
      <c r="AE257" s="8" t="n">
        <f aca="false">AE253+AE254+AE255+AE256</f>
        <v>0</v>
      </c>
      <c r="AF257" s="8" t="n">
        <f aca="false">AF253+AF254+AF255+AF256</f>
        <v>0</v>
      </c>
      <c r="AG257" s="8" t="n">
        <f aca="false">AG253+AG254+AG255+AG256</f>
        <v>0</v>
      </c>
      <c r="AH257" s="8" t="n">
        <f aca="false">AH253+AH254+AH255+AH256</f>
        <v>0</v>
      </c>
      <c r="AI257" s="8" t="n">
        <f aca="false">AI253+AI254+AI255+AI256</f>
        <v>0</v>
      </c>
      <c r="AJ257" s="8" t="n">
        <f aca="false">AJ253+AJ254+AJ255+AJ256</f>
        <v>0</v>
      </c>
      <c r="AK257" s="8" t="n">
        <f aca="false">AK253+AK254+AK255+AK256</f>
        <v>0</v>
      </c>
      <c r="AL257" s="8" t="n">
        <f aca="false">AL253+AL254+AL255+AL256</f>
        <v>0</v>
      </c>
      <c r="AM257" s="8" t="n">
        <f aca="false">AM253+AM254+AM255+AM256</f>
        <v>0</v>
      </c>
      <c r="AN257" s="8" t="n">
        <f aca="false">AN253+AN254+AN255+AN256</f>
        <v>0</v>
      </c>
      <c r="AO257" s="8" t="n">
        <f aca="false">AO253+AO254+AO255+AO256</f>
        <v>0</v>
      </c>
      <c r="AP257" s="8" t="n">
        <f aca="false">AP253+AP254+AP255+AP256</f>
        <v>0</v>
      </c>
      <c r="AQ257" s="8" t="n">
        <f aca="false">AQ253+AQ254+AQ255+AQ256</f>
        <v>0</v>
      </c>
      <c r="AR257" s="8" t="n">
        <f aca="false">AR253+AR254+AR255+AR256</f>
        <v>0</v>
      </c>
      <c r="AS257" s="8" t="n">
        <f aca="false">AS253+AS254+AS255+AS256</f>
        <v>0</v>
      </c>
    </row>
    <row r="258" customFormat="false" ht="15" hidden="false" customHeight="false" outlineLevel="0" collapsed="false">
      <c r="A258" s="6" t="s">
        <v>449</v>
      </c>
      <c r="B258" s="6" t="s">
        <v>450</v>
      </c>
      <c r="C258" s="9" t="n">
        <f aca="false">SUM(G258:AS258)</f>
        <v>2484.93911728134</v>
      </c>
      <c r="G258" s="8" t="n">
        <f aca="false">((VST_Assets!$K$9*G250+VST_Assets!$M$9*G$4)*G248*G252+VST_Assets!$N$9*(1+VST_Assets!$Q$9)^(G$3-2026)*(G248+G249))/1000000*(1+VST_FuelAdj)</f>
        <v>153.0331704</v>
      </c>
      <c r="H258" s="8" t="n">
        <f aca="false">((VST_Assets!$K$9*H250+VST_Assets!$M$9*H$4)*H248*H252+VST_Assets!$N$9*(1+VST_Assets!$Q$9)^(H$3-2026)*(H248+H249))/1000000*(1+VST_FuelAdj)</f>
        <v>156.093833808</v>
      </c>
      <c r="I258" s="8" t="n">
        <f aca="false">((VST_Assets!$K$9*I250+VST_Assets!$M$9*I$4)*I248*I252+VST_Assets!$N$9*(1+VST_Assets!$Q$9)^(I$3-2026)*(I248+I249))/1000000*(1+VST_FuelAdj)</f>
        <v>162.22767347808</v>
      </c>
      <c r="J258" s="8" t="n">
        <f aca="false">((VST_Assets!$K$9*J250+VST_Assets!$M$9*J$4)*J248*J252+VST_Assets!$N$9*(1+VST_Assets!$Q$9)^(J$3-2026)*(J248+J249))/1000000*(1+VST_FuelAdj)</f>
        <v>165.472226947642</v>
      </c>
      <c r="K258" s="8" t="n">
        <f aca="false">((VST_Assets!$K$9*K250+VST_Assets!$M$9*K$4)*K248*K252+VST_Assets!$N$9*(1+VST_Assets!$Q$9)^(K$3-2026)*(K248+K249))/1000000*(1+VST_FuelAdj)</f>
        <v>168.781671486594</v>
      </c>
      <c r="L258" s="8" t="n">
        <f aca="false">((VST_Assets!$K$9*L250+VST_Assets!$M$9*L$4)*L248*L252+VST_Assets!$N$9*(1+VST_Assets!$Q$9)^(L$3-2026)*(L248+L249))/1000000*(1+VST_FuelAdj)</f>
        <v>172.157304916326</v>
      </c>
      <c r="M258" s="8" t="n">
        <f aca="false">((VST_Assets!$K$9*M250+VST_Assets!$M$9*M$4)*M248*M252+VST_Assets!$N$9*(1+VST_Assets!$Q$9)^(M$3-2026)*(M248+M249))/1000000*(1+VST_FuelAdj)</f>
        <v>175.600451014653</v>
      </c>
      <c r="N258" s="8" t="n">
        <f aca="false">((VST_Assets!$K$9*N250+VST_Assets!$M$9*N$4)*N248*N252+VST_Assets!$N$9*(1+VST_Assets!$Q$9)^(N$3-2026)*(N248+N249))/1000000*(1+VST_FuelAdj)</f>
        <v>179.112460034946</v>
      </c>
      <c r="O258" s="8" t="n">
        <f aca="false">((VST_Assets!$K$9*O250+VST_Assets!$M$9*O$4)*O248*O252+VST_Assets!$N$9*(1+VST_Assets!$Q$9)^(O$3-2026)*(O248+O249))/1000000*(1+VST_FuelAdj)</f>
        <v>182.694709235645</v>
      </c>
      <c r="P258" s="8" t="n">
        <f aca="false">((VST_Assets!$K$9*P250+VST_Assets!$M$9*P$4)*P248*P252+VST_Assets!$N$9*(1+VST_Assets!$Q$9)^(P$3-2026)*(P248+P249))/1000000*(1+VST_FuelAdj)</f>
        <v>186.348603420358</v>
      </c>
      <c r="Q258" s="8" t="n">
        <f aca="false">((VST_Assets!$K$9*Q250+VST_Assets!$M$9*Q$4)*Q248*Q252+VST_Assets!$N$9*(1+VST_Assets!$Q$9)^(Q$3-2026)*(Q248+Q249))/1000000*(1+VST_FuelAdj)</f>
        <v>190.075575488765</v>
      </c>
      <c r="R258" s="8" t="n">
        <f aca="false">((VST_Assets!$K$9*R250+VST_Assets!$M$9*R$4)*R248*R252+VST_Assets!$N$9*(1+VST_Assets!$Q$9)^(R$3-2026)*(R248+R249))/1000000*(1+VST_FuelAdj)</f>
        <v>193.87708699854</v>
      </c>
      <c r="S258" s="8" t="n">
        <f aca="false">((VST_Assets!$K$9*S250+VST_Assets!$M$9*S$4)*S248*S252+VST_Assets!$N$9*(1+VST_Assets!$Q$9)^(S$3-2026)*(S248+S249))/1000000*(1+VST_FuelAdj)</f>
        <v>197.754628738511</v>
      </c>
      <c r="T258" s="8" t="n">
        <f aca="false">((VST_Assets!$K$9*T250+VST_Assets!$M$9*T$4)*T248*T252+VST_Assets!$N$9*(1+VST_Assets!$Q$9)^(T$3-2026)*(T248+T249))/1000000*(1+VST_FuelAdj)</f>
        <v>201.709721313281</v>
      </c>
      <c r="U258" s="8" t="n">
        <f aca="false">((VST_Assets!$K$9*U250+VST_Assets!$M$9*U$4)*U248*U252+VST_Assets!$N$9*(1+VST_Assets!$Q$9)^(U$3-2026)*(U248+U249))/1000000*(1+VST_FuelAdj)</f>
        <v>0</v>
      </c>
      <c r="V258" s="8" t="n">
        <f aca="false">((VST_Assets!$K$9*V250+VST_Assets!$M$9*V$4)*V248*V252+VST_Assets!$N$9*(1+VST_Assets!$Q$9)^(V$3-2026)*(V248+V249))/1000000*(1+VST_FuelAdj)</f>
        <v>0</v>
      </c>
      <c r="W258" s="8" t="n">
        <f aca="false">((VST_Assets!$K$9*W250+VST_Assets!$M$9*W$4)*W248*W252+VST_Assets!$N$9*(1+VST_Assets!$Q$9)^(W$3-2026)*(W248+W249))/1000000*(1+VST_FuelAdj)</f>
        <v>0</v>
      </c>
      <c r="X258" s="8" t="n">
        <f aca="false">((VST_Assets!$K$9*X250+VST_Assets!$M$9*X$4)*X248*X252+VST_Assets!$N$9*(1+VST_Assets!$Q$9)^(X$3-2026)*(X248+X249))/1000000*(1+VST_FuelAdj)</f>
        <v>0</v>
      </c>
      <c r="Y258" s="8" t="n">
        <f aca="false">((VST_Assets!$K$9*Y250+VST_Assets!$M$9*Y$4)*Y248*Y252+VST_Assets!$N$9*(1+VST_Assets!$Q$9)^(Y$3-2026)*(Y248+Y249))/1000000*(1+VST_FuelAdj)</f>
        <v>0</v>
      </c>
      <c r="Z258" s="8" t="n">
        <f aca="false">((VST_Assets!$K$9*Z250+VST_Assets!$M$9*Z$4)*Z248*Z252+VST_Assets!$N$9*(1+VST_Assets!$Q$9)^(Z$3-2026)*(Z248+Z249))/1000000*(1+VST_FuelAdj)</f>
        <v>0</v>
      </c>
      <c r="AA258" s="8" t="n">
        <f aca="false">((VST_Assets!$K$9*AA250+VST_Assets!$M$9*AA$4)*AA248*AA252+VST_Assets!$N$9*(1+VST_Assets!$Q$9)^(AA$3-2026)*(AA248+AA249))/1000000*(1+VST_FuelAdj)</f>
        <v>0</v>
      </c>
      <c r="AB258" s="8" t="n">
        <f aca="false">((VST_Assets!$K$9*AB250+VST_Assets!$M$9*AB$4)*AB248*AB252+VST_Assets!$N$9*(1+VST_Assets!$Q$9)^(AB$3-2026)*(AB248+AB249))/1000000*(1+VST_FuelAdj)</f>
        <v>0</v>
      </c>
      <c r="AC258" s="8" t="n">
        <f aca="false">((VST_Assets!$K$9*AC250+VST_Assets!$M$9*AC$4)*AC248*AC252+VST_Assets!$N$9*(1+VST_Assets!$Q$9)^(AC$3-2026)*(AC248+AC249))/1000000*(1+VST_FuelAdj)</f>
        <v>0</v>
      </c>
      <c r="AD258" s="8" t="n">
        <f aca="false">((VST_Assets!$K$9*AD250+VST_Assets!$M$9*AD$4)*AD248*AD252+VST_Assets!$N$9*(1+VST_Assets!$Q$9)^(AD$3-2026)*(AD248+AD249))/1000000*(1+VST_FuelAdj)</f>
        <v>0</v>
      </c>
      <c r="AE258" s="8" t="n">
        <f aca="false">((VST_Assets!$K$9*AE250+VST_Assets!$M$9*AE$4)*AE248*AE252+VST_Assets!$N$9*(1+VST_Assets!$Q$9)^(AE$3-2026)*(AE248+AE249))/1000000*(1+VST_FuelAdj)</f>
        <v>0</v>
      </c>
      <c r="AF258" s="8" t="n">
        <f aca="false">((VST_Assets!$K$9*AF250+VST_Assets!$M$9*AF$4)*AF248*AF252+VST_Assets!$N$9*(1+VST_Assets!$Q$9)^(AF$3-2026)*(AF248+AF249))/1000000*(1+VST_FuelAdj)</f>
        <v>0</v>
      </c>
      <c r="AG258" s="8" t="n">
        <f aca="false">((VST_Assets!$K$9*AG250+VST_Assets!$M$9*AG$4)*AG248*AG252+VST_Assets!$N$9*(1+VST_Assets!$Q$9)^(AG$3-2026)*(AG248+AG249))/1000000*(1+VST_FuelAdj)</f>
        <v>0</v>
      </c>
      <c r="AH258" s="8" t="n">
        <f aca="false">((VST_Assets!$K$9*AH250+VST_Assets!$M$9*AH$4)*AH248*AH252+VST_Assets!$N$9*(1+VST_Assets!$Q$9)^(AH$3-2026)*(AH248+AH249))/1000000*(1+VST_FuelAdj)</f>
        <v>0</v>
      </c>
      <c r="AI258" s="8" t="n">
        <f aca="false">((VST_Assets!$K$9*AI250+VST_Assets!$M$9*AI$4)*AI248*AI252+VST_Assets!$N$9*(1+VST_Assets!$Q$9)^(AI$3-2026)*(AI248+AI249))/1000000*(1+VST_FuelAdj)</f>
        <v>0</v>
      </c>
      <c r="AJ258" s="8" t="n">
        <f aca="false">((VST_Assets!$K$9*AJ250+VST_Assets!$M$9*AJ$4)*AJ248*AJ252+VST_Assets!$N$9*(1+VST_Assets!$Q$9)^(AJ$3-2026)*(AJ248+AJ249))/1000000*(1+VST_FuelAdj)</f>
        <v>0</v>
      </c>
      <c r="AK258" s="8" t="n">
        <f aca="false">((VST_Assets!$K$9*AK250+VST_Assets!$M$9*AK$4)*AK248*AK252+VST_Assets!$N$9*(1+VST_Assets!$Q$9)^(AK$3-2026)*(AK248+AK249))/1000000*(1+VST_FuelAdj)</f>
        <v>0</v>
      </c>
      <c r="AL258" s="8" t="n">
        <f aca="false">((VST_Assets!$K$9*AL250+VST_Assets!$M$9*AL$4)*AL248*AL252+VST_Assets!$N$9*(1+VST_Assets!$Q$9)^(AL$3-2026)*(AL248+AL249))/1000000*(1+VST_FuelAdj)</f>
        <v>0</v>
      </c>
      <c r="AM258" s="8" t="n">
        <f aca="false">((VST_Assets!$K$9*AM250+VST_Assets!$M$9*AM$4)*AM248*AM252+VST_Assets!$N$9*(1+VST_Assets!$Q$9)^(AM$3-2026)*(AM248+AM249))/1000000*(1+VST_FuelAdj)</f>
        <v>0</v>
      </c>
      <c r="AN258" s="8" t="n">
        <f aca="false">((VST_Assets!$K$9*AN250+VST_Assets!$M$9*AN$4)*AN248*AN252+VST_Assets!$N$9*(1+VST_Assets!$Q$9)^(AN$3-2026)*(AN248+AN249))/1000000*(1+VST_FuelAdj)</f>
        <v>0</v>
      </c>
      <c r="AO258" s="8" t="n">
        <f aca="false">((VST_Assets!$K$9*AO250+VST_Assets!$M$9*AO$4)*AO248*AO252+VST_Assets!$N$9*(1+VST_Assets!$Q$9)^(AO$3-2026)*(AO248+AO249))/1000000*(1+VST_FuelAdj)</f>
        <v>0</v>
      </c>
      <c r="AP258" s="8" t="n">
        <f aca="false">((VST_Assets!$K$9*AP250+VST_Assets!$M$9*AP$4)*AP248*AP252+VST_Assets!$N$9*(1+VST_Assets!$Q$9)^(AP$3-2026)*(AP248+AP249))/1000000*(1+VST_FuelAdj)</f>
        <v>0</v>
      </c>
      <c r="AQ258" s="8" t="n">
        <f aca="false">((VST_Assets!$K$9*AQ250+VST_Assets!$M$9*AQ$4)*AQ248*AQ252+VST_Assets!$N$9*(1+VST_Assets!$Q$9)^(AQ$3-2026)*(AQ248+AQ249))/1000000*(1+VST_FuelAdj)</f>
        <v>0</v>
      </c>
      <c r="AR258" s="8" t="n">
        <f aca="false">((VST_Assets!$K$9*AR250+VST_Assets!$M$9*AR$4)*AR248*AR252+VST_Assets!$N$9*(1+VST_Assets!$Q$9)^(AR$3-2026)*(AR248+AR249))/1000000*(1+VST_FuelAdj)</f>
        <v>0</v>
      </c>
      <c r="AS258" s="8" t="n">
        <f aca="false">((VST_Assets!$K$9*AS250+VST_Assets!$M$9*AS$4)*AS248*AS252+VST_Assets!$N$9*(1+VST_Assets!$Q$9)^(AS$3-2026)*(AS248+AS249))/1000000*(1+VST_FuelAdj)</f>
        <v>0</v>
      </c>
    </row>
    <row r="259" customFormat="false" ht="15" hidden="false" customHeight="false" outlineLevel="0" collapsed="false">
      <c r="A259" s="6" t="s">
        <v>451</v>
      </c>
      <c r="B259" s="6" t="s">
        <v>452</v>
      </c>
      <c r="C259" s="9" t="n">
        <f aca="false">SUM(G259:AS259)</f>
        <v>2728.022083294</v>
      </c>
      <c r="G259" s="8" t="n">
        <f aca="false">G257-G258</f>
        <v>211.1393016</v>
      </c>
      <c r="H259" s="8" t="n">
        <f aca="false">H257-H258</f>
        <v>213.527007792</v>
      </c>
      <c r="I259" s="8" t="n">
        <f aca="false">I257-I258</f>
        <v>183.487572174993</v>
      </c>
      <c r="J259" s="8" t="n">
        <f aca="false">J257-J258</f>
        <v>174.206407875186</v>
      </c>
      <c r="K259" s="8" t="n">
        <f aca="false">K257-K258</f>
        <v>177.69053603269</v>
      </c>
      <c r="L259" s="8" t="n">
        <f aca="false">L257-L258</f>
        <v>181.244346753344</v>
      </c>
      <c r="M259" s="8" t="n">
        <f aca="false">M257-M258</f>
        <v>184.869233688411</v>
      </c>
      <c r="N259" s="8" t="n">
        <f aca="false">N257-N258</f>
        <v>188.566618362179</v>
      </c>
      <c r="O259" s="8" t="n">
        <f aca="false">O257-O258</f>
        <v>192.337950729422</v>
      </c>
      <c r="P259" s="8" t="n">
        <f aca="false">P257-P258</f>
        <v>196.184709744011</v>
      </c>
      <c r="Q259" s="8" t="n">
        <f aca="false">Q257-Q258</f>
        <v>200.108403938891</v>
      </c>
      <c r="R259" s="8" t="n">
        <f aca="false">R257-R258</f>
        <v>204.110572017669</v>
      </c>
      <c r="S259" s="8" t="n">
        <f aca="false">S257-S258</f>
        <v>208.192783458022</v>
      </c>
      <c r="T259" s="8" t="n">
        <f aca="false">T257-T258</f>
        <v>212.356639127183</v>
      </c>
      <c r="U259" s="8" t="n">
        <f aca="false">U257-U258</f>
        <v>0</v>
      </c>
      <c r="V259" s="8" t="n">
        <f aca="false">V257-V258</f>
        <v>0</v>
      </c>
      <c r="W259" s="8" t="n">
        <f aca="false">W257-W258</f>
        <v>0</v>
      </c>
      <c r="X259" s="8" t="n">
        <f aca="false">X257-X258</f>
        <v>0</v>
      </c>
      <c r="Y259" s="8" t="n">
        <f aca="false">Y257-Y258</f>
        <v>0</v>
      </c>
      <c r="Z259" s="8" t="n">
        <f aca="false">Z257-Z258</f>
        <v>0</v>
      </c>
      <c r="AA259" s="8" t="n">
        <f aca="false">AA257-AA258</f>
        <v>0</v>
      </c>
      <c r="AB259" s="8" t="n">
        <f aca="false">AB257-AB258</f>
        <v>0</v>
      </c>
      <c r="AC259" s="8" t="n">
        <f aca="false">AC257-AC258</f>
        <v>0</v>
      </c>
      <c r="AD259" s="8" t="n">
        <f aca="false">AD257-AD258</f>
        <v>0</v>
      </c>
      <c r="AE259" s="8" t="n">
        <f aca="false">AE257-AE258</f>
        <v>0</v>
      </c>
      <c r="AF259" s="8" t="n">
        <f aca="false">AF257-AF258</f>
        <v>0</v>
      </c>
      <c r="AG259" s="8" t="n">
        <f aca="false">AG257-AG258</f>
        <v>0</v>
      </c>
      <c r="AH259" s="8" t="n">
        <f aca="false">AH257-AH258</f>
        <v>0</v>
      </c>
      <c r="AI259" s="8" t="n">
        <f aca="false">AI257-AI258</f>
        <v>0</v>
      </c>
      <c r="AJ259" s="8" t="n">
        <f aca="false">AJ257-AJ258</f>
        <v>0</v>
      </c>
      <c r="AK259" s="8" t="n">
        <f aca="false">AK257-AK258</f>
        <v>0</v>
      </c>
      <c r="AL259" s="8" t="n">
        <f aca="false">AL257-AL258</f>
        <v>0</v>
      </c>
      <c r="AM259" s="8" t="n">
        <f aca="false">AM257-AM258</f>
        <v>0</v>
      </c>
      <c r="AN259" s="8" t="n">
        <f aca="false">AN257-AN258</f>
        <v>0</v>
      </c>
      <c r="AO259" s="8" t="n">
        <f aca="false">AO257-AO258</f>
        <v>0</v>
      </c>
      <c r="AP259" s="8" t="n">
        <f aca="false">AP257-AP258</f>
        <v>0</v>
      </c>
      <c r="AQ259" s="8" t="n">
        <f aca="false">AQ257-AQ258</f>
        <v>0</v>
      </c>
      <c r="AR259" s="8" t="n">
        <f aca="false">AR257-AR258</f>
        <v>0</v>
      </c>
      <c r="AS259" s="8" t="n">
        <f aca="false">AS257-AS258</f>
        <v>0</v>
      </c>
    </row>
    <row r="260" customFormat="false" ht="15" hidden="false" customHeight="false" outlineLevel="0" collapsed="false">
      <c r="A260" s="6" t="s">
        <v>453</v>
      </c>
      <c r="B260" s="6" t="s">
        <v>454</v>
      </c>
      <c r="C260" s="9" t="n">
        <f aca="false">SUM(G260:AS260)</f>
        <v>521.389341318607</v>
      </c>
      <c r="G260" s="8" t="n">
        <f aca="false">(VST_Assets!$R$9*VST_Assets!$D$9*1000*G$4*G246+VST_Assets!$O$9*(1+VST_Assets!$Q$9)^(G$3-2026)*(G248+G249))/1000000*(1+VST_OMAdj)</f>
        <v>32.64</v>
      </c>
      <c r="H260" s="8" t="n">
        <f aca="false">(VST_Assets!$R$9*VST_Assets!$D$9*1000*H$4*H246+VST_Assets!$O$9*(1+VST_Assets!$Q$9)^(H$3-2026)*(H248+H249))/1000000*(1+VST_OMAdj)</f>
        <v>33.2928</v>
      </c>
      <c r="I260" s="8" t="n">
        <f aca="false">(VST_Assets!$R$9*VST_Assets!$D$9*1000*I$4*I246+VST_Assets!$O$9*(1+VST_Assets!$Q$9)^(I$3-2026)*(I248+I249))/1000000*(1+VST_OMAdj)</f>
        <v>33.958656</v>
      </c>
      <c r="J260" s="8" t="n">
        <f aca="false">(VST_Assets!$R$9*VST_Assets!$D$9*1000*J$4*J246+VST_Assets!$O$9*(1+VST_Assets!$Q$9)^(J$3-2026)*(J248+J249))/1000000*(1+VST_OMAdj)</f>
        <v>34.63782912</v>
      </c>
      <c r="K260" s="8" t="n">
        <f aca="false">(VST_Assets!$R$9*VST_Assets!$D$9*1000*K$4*K246+VST_Assets!$O$9*(1+VST_Assets!$Q$9)^(K$3-2026)*(K248+K249))/1000000*(1+VST_OMAdj)</f>
        <v>35.3305857024</v>
      </c>
      <c r="L260" s="8" t="n">
        <f aca="false">(VST_Assets!$R$9*VST_Assets!$D$9*1000*L$4*L246+VST_Assets!$O$9*(1+VST_Assets!$Q$9)^(L$3-2026)*(L248+L249))/1000000*(1+VST_OMAdj)</f>
        <v>36.037197416448</v>
      </c>
      <c r="M260" s="8" t="n">
        <f aca="false">(VST_Assets!$R$9*VST_Assets!$D$9*1000*M$4*M246+VST_Assets!$O$9*(1+VST_Assets!$Q$9)^(M$3-2026)*(M248+M249))/1000000*(1+VST_OMAdj)</f>
        <v>36.757941364777</v>
      </c>
      <c r="N260" s="8" t="n">
        <f aca="false">(VST_Assets!$R$9*VST_Assets!$D$9*1000*N$4*N246+VST_Assets!$O$9*(1+VST_Assets!$Q$9)^(N$3-2026)*(N248+N249))/1000000*(1+VST_OMAdj)</f>
        <v>37.4931001920725</v>
      </c>
      <c r="O260" s="8" t="n">
        <f aca="false">(VST_Assets!$R$9*VST_Assets!$D$9*1000*O$4*O246+VST_Assets!$O$9*(1+VST_Assets!$Q$9)^(O$3-2026)*(O248+O249))/1000000*(1+VST_OMAdj)</f>
        <v>38.242962195914</v>
      </c>
      <c r="P260" s="8" t="n">
        <f aca="false">(VST_Assets!$R$9*VST_Assets!$D$9*1000*P$4*P246+VST_Assets!$O$9*(1+VST_Assets!$Q$9)^(P$3-2026)*(P248+P249))/1000000*(1+VST_OMAdj)</f>
        <v>39.0078214398322</v>
      </c>
      <c r="Q260" s="8" t="n">
        <f aca="false">(VST_Assets!$R$9*VST_Assets!$D$9*1000*Q$4*Q246+VST_Assets!$O$9*(1+VST_Assets!$Q$9)^(Q$3-2026)*(Q248+Q249))/1000000*(1+VST_OMAdj)</f>
        <v>39.7879778686289</v>
      </c>
      <c r="R260" s="8" t="n">
        <f aca="false">(VST_Assets!$R$9*VST_Assets!$D$9*1000*R$4*R246+VST_Assets!$O$9*(1+VST_Assets!$Q$9)^(R$3-2026)*(R248+R249))/1000000*(1+VST_OMAdj)</f>
        <v>40.5837374260015</v>
      </c>
      <c r="S260" s="8" t="n">
        <f aca="false">(VST_Assets!$R$9*VST_Assets!$D$9*1000*S$4*S246+VST_Assets!$O$9*(1+VST_Assets!$Q$9)^(S$3-2026)*(S248+S249))/1000000*(1+VST_OMAdj)</f>
        <v>41.3954121745215</v>
      </c>
      <c r="T260" s="8" t="n">
        <f aca="false">(VST_Assets!$R$9*VST_Assets!$D$9*1000*T$4*T246+VST_Assets!$O$9*(1+VST_Assets!$Q$9)^(T$3-2026)*(T248+T249))/1000000*(1+VST_OMAdj)</f>
        <v>42.2233204180119</v>
      </c>
      <c r="U260" s="8" t="n">
        <f aca="false">(VST_Assets!$R$9*VST_Assets!$D$9*1000*U$4*U246+VST_Assets!$O$9*(1+VST_Assets!$Q$9)^(U$3-2026)*(U248+U249))/1000000*(1+VST_OMAdj)</f>
        <v>0</v>
      </c>
      <c r="V260" s="8" t="n">
        <f aca="false">(VST_Assets!$R$9*VST_Assets!$D$9*1000*V$4*V246+VST_Assets!$O$9*(1+VST_Assets!$Q$9)^(V$3-2026)*(V248+V249))/1000000*(1+VST_OMAdj)</f>
        <v>0</v>
      </c>
      <c r="W260" s="8" t="n">
        <f aca="false">(VST_Assets!$R$9*VST_Assets!$D$9*1000*W$4*W246+VST_Assets!$O$9*(1+VST_Assets!$Q$9)^(W$3-2026)*(W248+W249))/1000000*(1+VST_OMAdj)</f>
        <v>0</v>
      </c>
      <c r="X260" s="8" t="n">
        <f aca="false">(VST_Assets!$R$9*VST_Assets!$D$9*1000*X$4*X246+VST_Assets!$O$9*(1+VST_Assets!$Q$9)^(X$3-2026)*(X248+X249))/1000000*(1+VST_OMAdj)</f>
        <v>0</v>
      </c>
      <c r="Y260" s="8" t="n">
        <f aca="false">(VST_Assets!$R$9*VST_Assets!$D$9*1000*Y$4*Y246+VST_Assets!$O$9*(1+VST_Assets!$Q$9)^(Y$3-2026)*(Y248+Y249))/1000000*(1+VST_OMAdj)</f>
        <v>0</v>
      </c>
      <c r="Z260" s="8" t="n">
        <f aca="false">(VST_Assets!$R$9*VST_Assets!$D$9*1000*Z$4*Z246+VST_Assets!$O$9*(1+VST_Assets!$Q$9)^(Z$3-2026)*(Z248+Z249))/1000000*(1+VST_OMAdj)</f>
        <v>0</v>
      </c>
      <c r="AA260" s="8" t="n">
        <f aca="false">(VST_Assets!$R$9*VST_Assets!$D$9*1000*AA$4*AA246+VST_Assets!$O$9*(1+VST_Assets!$Q$9)^(AA$3-2026)*(AA248+AA249))/1000000*(1+VST_OMAdj)</f>
        <v>0</v>
      </c>
      <c r="AB260" s="8" t="n">
        <f aca="false">(VST_Assets!$R$9*VST_Assets!$D$9*1000*AB$4*AB246+VST_Assets!$O$9*(1+VST_Assets!$Q$9)^(AB$3-2026)*(AB248+AB249))/1000000*(1+VST_OMAdj)</f>
        <v>0</v>
      </c>
      <c r="AC260" s="8" t="n">
        <f aca="false">(VST_Assets!$R$9*VST_Assets!$D$9*1000*AC$4*AC246+VST_Assets!$O$9*(1+VST_Assets!$Q$9)^(AC$3-2026)*(AC248+AC249))/1000000*(1+VST_OMAdj)</f>
        <v>0</v>
      </c>
      <c r="AD260" s="8" t="n">
        <f aca="false">(VST_Assets!$R$9*VST_Assets!$D$9*1000*AD$4*AD246+VST_Assets!$O$9*(1+VST_Assets!$Q$9)^(AD$3-2026)*(AD248+AD249))/1000000*(1+VST_OMAdj)</f>
        <v>0</v>
      </c>
      <c r="AE260" s="8" t="n">
        <f aca="false">(VST_Assets!$R$9*VST_Assets!$D$9*1000*AE$4*AE246+VST_Assets!$O$9*(1+VST_Assets!$Q$9)^(AE$3-2026)*(AE248+AE249))/1000000*(1+VST_OMAdj)</f>
        <v>0</v>
      </c>
      <c r="AF260" s="8" t="n">
        <f aca="false">(VST_Assets!$R$9*VST_Assets!$D$9*1000*AF$4*AF246+VST_Assets!$O$9*(1+VST_Assets!$Q$9)^(AF$3-2026)*(AF248+AF249))/1000000*(1+VST_OMAdj)</f>
        <v>0</v>
      </c>
      <c r="AG260" s="8" t="n">
        <f aca="false">(VST_Assets!$R$9*VST_Assets!$D$9*1000*AG$4*AG246+VST_Assets!$O$9*(1+VST_Assets!$Q$9)^(AG$3-2026)*(AG248+AG249))/1000000*(1+VST_OMAdj)</f>
        <v>0</v>
      </c>
      <c r="AH260" s="8" t="n">
        <f aca="false">(VST_Assets!$R$9*VST_Assets!$D$9*1000*AH$4*AH246+VST_Assets!$O$9*(1+VST_Assets!$Q$9)^(AH$3-2026)*(AH248+AH249))/1000000*(1+VST_OMAdj)</f>
        <v>0</v>
      </c>
      <c r="AI260" s="8" t="n">
        <f aca="false">(VST_Assets!$R$9*VST_Assets!$D$9*1000*AI$4*AI246+VST_Assets!$O$9*(1+VST_Assets!$Q$9)^(AI$3-2026)*(AI248+AI249))/1000000*(1+VST_OMAdj)</f>
        <v>0</v>
      </c>
      <c r="AJ260" s="8" t="n">
        <f aca="false">(VST_Assets!$R$9*VST_Assets!$D$9*1000*AJ$4*AJ246+VST_Assets!$O$9*(1+VST_Assets!$Q$9)^(AJ$3-2026)*(AJ248+AJ249))/1000000*(1+VST_OMAdj)</f>
        <v>0</v>
      </c>
      <c r="AK260" s="8" t="n">
        <f aca="false">(VST_Assets!$R$9*VST_Assets!$D$9*1000*AK$4*AK246+VST_Assets!$O$9*(1+VST_Assets!$Q$9)^(AK$3-2026)*(AK248+AK249))/1000000*(1+VST_OMAdj)</f>
        <v>0</v>
      </c>
      <c r="AL260" s="8" t="n">
        <f aca="false">(VST_Assets!$R$9*VST_Assets!$D$9*1000*AL$4*AL246+VST_Assets!$O$9*(1+VST_Assets!$Q$9)^(AL$3-2026)*(AL248+AL249))/1000000*(1+VST_OMAdj)</f>
        <v>0</v>
      </c>
      <c r="AM260" s="8" t="n">
        <f aca="false">(VST_Assets!$R$9*VST_Assets!$D$9*1000*AM$4*AM246+VST_Assets!$O$9*(1+VST_Assets!$Q$9)^(AM$3-2026)*(AM248+AM249))/1000000*(1+VST_OMAdj)</f>
        <v>0</v>
      </c>
      <c r="AN260" s="8" t="n">
        <f aca="false">(VST_Assets!$R$9*VST_Assets!$D$9*1000*AN$4*AN246+VST_Assets!$O$9*(1+VST_Assets!$Q$9)^(AN$3-2026)*(AN248+AN249))/1000000*(1+VST_OMAdj)</f>
        <v>0</v>
      </c>
      <c r="AO260" s="8" t="n">
        <f aca="false">(VST_Assets!$R$9*VST_Assets!$D$9*1000*AO$4*AO246+VST_Assets!$O$9*(1+VST_Assets!$Q$9)^(AO$3-2026)*(AO248+AO249))/1000000*(1+VST_OMAdj)</f>
        <v>0</v>
      </c>
      <c r="AP260" s="8" t="n">
        <f aca="false">(VST_Assets!$R$9*VST_Assets!$D$9*1000*AP$4*AP246+VST_Assets!$O$9*(1+VST_Assets!$Q$9)^(AP$3-2026)*(AP248+AP249))/1000000*(1+VST_OMAdj)</f>
        <v>0</v>
      </c>
      <c r="AQ260" s="8" t="n">
        <f aca="false">(VST_Assets!$R$9*VST_Assets!$D$9*1000*AQ$4*AQ246+VST_Assets!$O$9*(1+VST_Assets!$Q$9)^(AQ$3-2026)*(AQ248+AQ249))/1000000*(1+VST_OMAdj)</f>
        <v>0</v>
      </c>
      <c r="AR260" s="8" t="n">
        <f aca="false">(VST_Assets!$R$9*VST_Assets!$D$9*1000*AR$4*AR246+VST_Assets!$O$9*(1+VST_Assets!$Q$9)^(AR$3-2026)*(AR248+AR249))/1000000*(1+VST_OMAdj)</f>
        <v>0</v>
      </c>
      <c r="AS260" s="8" t="n">
        <f aca="false">(VST_Assets!$R$9*VST_Assets!$D$9*1000*AS$4*AS246+VST_Assets!$O$9*(1+VST_Assets!$Q$9)^(AS$3-2026)*(AS248+AS249))/1000000*(1+VST_OMAdj)</f>
        <v>0</v>
      </c>
    </row>
    <row r="261" customFormat="false" ht="15" hidden="false" customHeight="false" outlineLevel="0" collapsed="false">
      <c r="A261" s="6" t="s">
        <v>455</v>
      </c>
      <c r="B261" s="6" t="s">
        <v>456</v>
      </c>
      <c r="C261" s="9" t="n">
        <f aca="false">SUM(G261:AS261)</f>
        <v>2206.63274197539</v>
      </c>
      <c r="G261" s="8" t="n">
        <f aca="false">G259-G260</f>
        <v>178.4993016</v>
      </c>
      <c r="H261" s="8" t="n">
        <f aca="false">H259-H260</f>
        <v>180.234207792</v>
      </c>
      <c r="I261" s="8" t="n">
        <f aca="false">I259-I260</f>
        <v>149.528916174993</v>
      </c>
      <c r="J261" s="8" t="n">
        <f aca="false">J259-J260</f>
        <v>139.568578755186</v>
      </c>
      <c r="K261" s="8" t="n">
        <f aca="false">K259-K260</f>
        <v>142.35995033029</v>
      </c>
      <c r="L261" s="8" t="n">
        <f aca="false">L259-L260</f>
        <v>145.207149336896</v>
      </c>
      <c r="M261" s="8" t="n">
        <f aca="false">M259-M260</f>
        <v>148.111292323634</v>
      </c>
      <c r="N261" s="8" t="n">
        <f aca="false">N259-N260</f>
        <v>151.073518170106</v>
      </c>
      <c r="O261" s="8" t="n">
        <f aca="false">O259-O260</f>
        <v>154.094988533508</v>
      </c>
      <c r="P261" s="8" t="n">
        <f aca="false">P259-P260</f>
        <v>157.176888304179</v>
      </c>
      <c r="Q261" s="8" t="n">
        <f aca="false">Q259-Q260</f>
        <v>160.320426070262</v>
      </c>
      <c r="R261" s="8" t="n">
        <f aca="false">R259-R260</f>
        <v>163.526834591667</v>
      </c>
      <c r="S261" s="8" t="n">
        <f aca="false">S259-S260</f>
        <v>166.797371283501</v>
      </c>
      <c r="T261" s="8" t="n">
        <f aca="false">T259-T260</f>
        <v>170.133318709171</v>
      </c>
      <c r="U261" s="8" t="n">
        <f aca="false">U259-U260</f>
        <v>0</v>
      </c>
      <c r="V261" s="8" t="n">
        <f aca="false">V259-V260</f>
        <v>0</v>
      </c>
      <c r="W261" s="8" t="n">
        <f aca="false">W259-W260</f>
        <v>0</v>
      </c>
      <c r="X261" s="8" t="n">
        <f aca="false">X259-X260</f>
        <v>0</v>
      </c>
      <c r="Y261" s="8" t="n">
        <f aca="false">Y259-Y260</f>
        <v>0</v>
      </c>
      <c r="Z261" s="8" t="n">
        <f aca="false">Z259-Z260</f>
        <v>0</v>
      </c>
      <c r="AA261" s="8" t="n">
        <f aca="false">AA259-AA260</f>
        <v>0</v>
      </c>
      <c r="AB261" s="8" t="n">
        <f aca="false">AB259-AB260</f>
        <v>0</v>
      </c>
      <c r="AC261" s="8" t="n">
        <f aca="false">AC259-AC260</f>
        <v>0</v>
      </c>
      <c r="AD261" s="8" t="n">
        <f aca="false">AD259-AD260</f>
        <v>0</v>
      </c>
      <c r="AE261" s="8" t="n">
        <f aca="false">AE259-AE260</f>
        <v>0</v>
      </c>
      <c r="AF261" s="8" t="n">
        <f aca="false">AF259-AF260</f>
        <v>0</v>
      </c>
      <c r="AG261" s="8" t="n">
        <f aca="false">AG259-AG260</f>
        <v>0</v>
      </c>
      <c r="AH261" s="8" t="n">
        <f aca="false">AH259-AH260</f>
        <v>0</v>
      </c>
      <c r="AI261" s="8" t="n">
        <f aca="false">AI259-AI260</f>
        <v>0</v>
      </c>
      <c r="AJ261" s="8" t="n">
        <f aca="false">AJ259-AJ260</f>
        <v>0</v>
      </c>
      <c r="AK261" s="8" t="n">
        <f aca="false">AK259-AK260</f>
        <v>0</v>
      </c>
      <c r="AL261" s="8" t="n">
        <f aca="false">AL259-AL260</f>
        <v>0</v>
      </c>
      <c r="AM261" s="8" t="n">
        <f aca="false">AM259-AM260</f>
        <v>0</v>
      </c>
      <c r="AN261" s="8" t="n">
        <f aca="false">AN259-AN260</f>
        <v>0</v>
      </c>
      <c r="AO261" s="8" t="n">
        <f aca="false">AO259-AO260</f>
        <v>0</v>
      </c>
      <c r="AP261" s="8" t="n">
        <f aca="false">AP259-AP260</f>
        <v>0</v>
      </c>
      <c r="AQ261" s="8" t="n">
        <f aca="false">AQ259-AQ260</f>
        <v>0</v>
      </c>
      <c r="AR261" s="8" t="n">
        <f aca="false">AR259-AR260</f>
        <v>0</v>
      </c>
      <c r="AS261" s="8" t="n">
        <f aca="false">AS259-AS260</f>
        <v>0</v>
      </c>
    </row>
    <row r="262" customFormat="false" ht="15" hidden="false" customHeight="false" outlineLevel="0" collapsed="false">
      <c r="A262" s="6" t="s">
        <v>457</v>
      </c>
      <c r="B262" s="6" t="s">
        <v>458</v>
      </c>
      <c r="C262" s="9" t="n">
        <f aca="false">SUM(G262:AS262)</f>
        <v>195.521002994478</v>
      </c>
      <c r="G262" s="8" t="n">
        <f aca="false">((VST_Assets!$S$9*VST_Assets!$D$9*1000*G$4*G246+VST_Assets!$P$9*(1+VST_Assets!$Q$9)^(G$3-2026)*(G248+G249))/1000000+IF(G$3=VST_Assets!$AH$9,VST_Assets!$AG$9,0))*(1+VST_CapexAdj)</f>
        <v>12.24</v>
      </c>
      <c r="H262" s="8" t="n">
        <f aca="false">((VST_Assets!$S$9*VST_Assets!$D$9*1000*H$4*H246+VST_Assets!$P$9*(1+VST_Assets!$Q$9)^(H$3-2026)*(H248+H249))/1000000+IF(H$3=VST_Assets!$AH$9,VST_Assets!$AG$9,0))*(1+VST_CapexAdj)</f>
        <v>12.4848</v>
      </c>
      <c r="I262" s="8" t="n">
        <f aca="false">((VST_Assets!$S$9*VST_Assets!$D$9*1000*I$4*I246+VST_Assets!$P$9*(1+VST_Assets!$Q$9)^(I$3-2026)*(I248+I249))/1000000+IF(I$3=VST_Assets!$AH$9,VST_Assets!$AG$9,0))*(1+VST_CapexAdj)</f>
        <v>12.734496</v>
      </c>
      <c r="J262" s="8" t="n">
        <f aca="false">((VST_Assets!$S$9*VST_Assets!$D$9*1000*J$4*J246+VST_Assets!$P$9*(1+VST_Assets!$Q$9)^(J$3-2026)*(J248+J249))/1000000+IF(J$3=VST_Assets!$AH$9,VST_Assets!$AG$9,0))*(1+VST_CapexAdj)</f>
        <v>12.98918592</v>
      </c>
      <c r="K262" s="8" t="n">
        <f aca="false">((VST_Assets!$S$9*VST_Assets!$D$9*1000*K$4*K246+VST_Assets!$P$9*(1+VST_Assets!$Q$9)^(K$3-2026)*(K248+K249))/1000000+IF(K$3=VST_Assets!$AH$9,VST_Assets!$AG$9,0))*(1+VST_CapexAdj)</f>
        <v>13.2489696384</v>
      </c>
      <c r="L262" s="8" t="n">
        <f aca="false">((VST_Assets!$S$9*VST_Assets!$D$9*1000*L$4*L246+VST_Assets!$P$9*(1+VST_Assets!$Q$9)^(L$3-2026)*(L248+L249))/1000000+IF(L$3=VST_Assets!$AH$9,VST_Assets!$AG$9,0))*(1+VST_CapexAdj)</f>
        <v>13.513949031168</v>
      </c>
      <c r="M262" s="8" t="n">
        <f aca="false">((VST_Assets!$S$9*VST_Assets!$D$9*1000*M$4*M246+VST_Assets!$P$9*(1+VST_Assets!$Q$9)^(M$3-2026)*(M248+M249))/1000000+IF(M$3=VST_Assets!$AH$9,VST_Assets!$AG$9,0))*(1+VST_CapexAdj)</f>
        <v>13.7842280117914</v>
      </c>
      <c r="N262" s="8" t="n">
        <f aca="false">((VST_Assets!$S$9*VST_Assets!$D$9*1000*N$4*N246+VST_Assets!$P$9*(1+VST_Assets!$Q$9)^(N$3-2026)*(N248+N249))/1000000+IF(N$3=VST_Assets!$AH$9,VST_Assets!$AG$9,0))*(1+VST_CapexAdj)</f>
        <v>14.0599125720272</v>
      </c>
      <c r="O262" s="8" t="n">
        <f aca="false">((VST_Assets!$S$9*VST_Assets!$D$9*1000*O$4*O246+VST_Assets!$P$9*(1+VST_Assets!$Q$9)^(O$3-2026)*(O248+O249))/1000000+IF(O$3=VST_Assets!$AH$9,VST_Assets!$AG$9,0))*(1+VST_CapexAdj)</f>
        <v>14.3411108234677</v>
      </c>
      <c r="P262" s="8" t="n">
        <f aca="false">((VST_Assets!$S$9*VST_Assets!$D$9*1000*P$4*P246+VST_Assets!$P$9*(1+VST_Assets!$Q$9)^(P$3-2026)*(P248+P249))/1000000+IF(P$3=VST_Assets!$AH$9,VST_Assets!$AG$9,0))*(1+VST_CapexAdj)</f>
        <v>14.6279330399371</v>
      </c>
      <c r="Q262" s="8" t="n">
        <f aca="false">((VST_Assets!$S$9*VST_Assets!$D$9*1000*Q$4*Q246+VST_Assets!$P$9*(1+VST_Assets!$Q$9)^(Q$3-2026)*(Q248+Q249))/1000000+IF(Q$3=VST_Assets!$AH$9,VST_Assets!$AG$9,0))*(1+VST_CapexAdj)</f>
        <v>14.9204917007358</v>
      </c>
      <c r="R262" s="8" t="n">
        <f aca="false">((VST_Assets!$S$9*VST_Assets!$D$9*1000*R$4*R246+VST_Assets!$P$9*(1+VST_Assets!$Q$9)^(R$3-2026)*(R248+R249))/1000000+IF(R$3=VST_Assets!$AH$9,VST_Assets!$AG$9,0))*(1+VST_CapexAdj)</f>
        <v>15.2189015347505</v>
      </c>
      <c r="S262" s="8" t="n">
        <f aca="false">((VST_Assets!$S$9*VST_Assets!$D$9*1000*S$4*S246+VST_Assets!$P$9*(1+VST_Assets!$Q$9)^(S$3-2026)*(S248+S249))/1000000+IF(S$3=VST_Assets!$AH$9,VST_Assets!$AG$9,0))*(1+VST_CapexAdj)</f>
        <v>15.5232795654456</v>
      </c>
      <c r="T262" s="8" t="n">
        <f aca="false">((VST_Assets!$S$9*VST_Assets!$D$9*1000*T$4*T246+VST_Assets!$P$9*(1+VST_Assets!$Q$9)^(T$3-2026)*(T248+T249))/1000000+IF(T$3=VST_Assets!$AH$9,VST_Assets!$AG$9,0))*(1+VST_CapexAdj)</f>
        <v>15.8337451567545</v>
      </c>
      <c r="U262" s="8" t="n">
        <f aca="false">((VST_Assets!$S$9*VST_Assets!$D$9*1000*U$4*U246+VST_Assets!$P$9*(1+VST_Assets!$Q$9)^(U$3-2026)*(U248+U249))/1000000+IF(U$3=VST_Assets!$AH$9,VST_Assets!$AG$9,0))*(1+VST_CapexAdj)</f>
        <v>0</v>
      </c>
      <c r="V262" s="8" t="n">
        <f aca="false">((VST_Assets!$S$9*VST_Assets!$D$9*1000*V$4*V246+VST_Assets!$P$9*(1+VST_Assets!$Q$9)^(V$3-2026)*(V248+V249))/1000000+IF(V$3=VST_Assets!$AH$9,VST_Assets!$AG$9,0))*(1+VST_CapexAdj)</f>
        <v>0</v>
      </c>
      <c r="W262" s="8" t="n">
        <f aca="false">((VST_Assets!$S$9*VST_Assets!$D$9*1000*W$4*W246+VST_Assets!$P$9*(1+VST_Assets!$Q$9)^(W$3-2026)*(W248+W249))/1000000+IF(W$3=VST_Assets!$AH$9,VST_Assets!$AG$9,0))*(1+VST_CapexAdj)</f>
        <v>0</v>
      </c>
      <c r="X262" s="8" t="n">
        <f aca="false">((VST_Assets!$S$9*VST_Assets!$D$9*1000*X$4*X246+VST_Assets!$P$9*(1+VST_Assets!$Q$9)^(X$3-2026)*(X248+X249))/1000000+IF(X$3=VST_Assets!$AH$9,VST_Assets!$AG$9,0))*(1+VST_CapexAdj)</f>
        <v>0</v>
      </c>
      <c r="Y262" s="8" t="n">
        <f aca="false">((VST_Assets!$S$9*VST_Assets!$D$9*1000*Y$4*Y246+VST_Assets!$P$9*(1+VST_Assets!$Q$9)^(Y$3-2026)*(Y248+Y249))/1000000+IF(Y$3=VST_Assets!$AH$9,VST_Assets!$AG$9,0))*(1+VST_CapexAdj)</f>
        <v>0</v>
      </c>
      <c r="Z262" s="8" t="n">
        <f aca="false">((VST_Assets!$S$9*VST_Assets!$D$9*1000*Z$4*Z246+VST_Assets!$P$9*(1+VST_Assets!$Q$9)^(Z$3-2026)*(Z248+Z249))/1000000+IF(Z$3=VST_Assets!$AH$9,VST_Assets!$AG$9,0))*(1+VST_CapexAdj)</f>
        <v>0</v>
      </c>
      <c r="AA262" s="8" t="n">
        <f aca="false">((VST_Assets!$S$9*VST_Assets!$D$9*1000*AA$4*AA246+VST_Assets!$P$9*(1+VST_Assets!$Q$9)^(AA$3-2026)*(AA248+AA249))/1000000+IF(AA$3=VST_Assets!$AH$9,VST_Assets!$AG$9,0))*(1+VST_CapexAdj)</f>
        <v>0</v>
      </c>
      <c r="AB262" s="8" t="n">
        <f aca="false">((VST_Assets!$S$9*VST_Assets!$D$9*1000*AB$4*AB246+VST_Assets!$P$9*(1+VST_Assets!$Q$9)^(AB$3-2026)*(AB248+AB249))/1000000+IF(AB$3=VST_Assets!$AH$9,VST_Assets!$AG$9,0))*(1+VST_CapexAdj)</f>
        <v>0</v>
      </c>
      <c r="AC262" s="8" t="n">
        <f aca="false">((VST_Assets!$S$9*VST_Assets!$D$9*1000*AC$4*AC246+VST_Assets!$P$9*(1+VST_Assets!$Q$9)^(AC$3-2026)*(AC248+AC249))/1000000+IF(AC$3=VST_Assets!$AH$9,VST_Assets!$AG$9,0))*(1+VST_CapexAdj)</f>
        <v>0</v>
      </c>
      <c r="AD262" s="8" t="n">
        <f aca="false">((VST_Assets!$S$9*VST_Assets!$D$9*1000*AD$4*AD246+VST_Assets!$P$9*(1+VST_Assets!$Q$9)^(AD$3-2026)*(AD248+AD249))/1000000+IF(AD$3=VST_Assets!$AH$9,VST_Assets!$AG$9,0))*(1+VST_CapexAdj)</f>
        <v>0</v>
      </c>
      <c r="AE262" s="8" t="n">
        <f aca="false">((VST_Assets!$S$9*VST_Assets!$D$9*1000*AE$4*AE246+VST_Assets!$P$9*(1+VST_Assets!$Q$9)^(AE$3-2026)*(AE248+AE249))/1000000+IF(AE$3=VST_Assets!$AH$9,VST_Assets!$AG$9,0))*(1+VST_CapexAdj)</f>
        <v>0</v>
      </c>
      <c r="AF262" s="8" t="n">
        <f aca="false">((VST_Assets!$S$9*VST_Assets!$D$9*1000*AF$4*AF246+VST_Assets!$P$9*(1+VST_Assets!$Q$9)^(AF$3-2026)*(AF248+AF249))/1000000+IF(AF$3=VST_Assets!$AH$9,VST_Assets!$AG$9,0))*(1+VST_CapexAdj)</f>
        <v>0</v>
      </c>
      <c r="AG262" s="8" t="n">
        <f aca="false">((VST_Assets!$S$9*VST_Assets!$D$9*1000*AG$4*AG246+VST_Assets!$P$9*(1+VST_Assets!$Q$9)^(AG$3-2026)*(AG248+AG249))/1000000+IF(AG$3=VST_Assets!$AH$9,VST_Assets!$AG$9,0))*(1+VST_CapexAdj)</f>
        <v>0</v>
      </c>
      <c r="AH262" s="8" t="n">
        <f aca="false">((VST_Assets!$S$9*VST_Assets!$D$9*1000*AH$4*AH246+VST_Assets!$P$9*(1+VST_Assets!$Q$9)^(AH$3-2026)*(AH248+AH249))/1000000+IF(AH$3=VST_Assets!$AH$9,VST_Assets!$AG$9,0))*(1+VST_CapexAdj)</f>
        <v>0</v>
      </c>
      <c r="AI262" s="8" t="n">
        <f aca="false">((VST_Assets!$S$9*VST_Assets!$D$9*1000*AI$4*AI246+VST_Assets!$P$9*(1+VST_Assets!$Q$9)^(AI$3-2026)*(AI248+AI249))/1000000+IF(AI$3=VST_Assets!$AH$9,VST_Assets!$AG$9,0))*(1+VST_CapexAdj)</f>
        <v>0</v>
      </c>
      <c r="AJ262" s="8" t="n">
        <f aca="false">((VST_Assets!$S$9*VST_Assets!$D$9*1000*AJ$4*AJ246+VST_Assets!$P$9*(1+VST_Assets!$Q$9)^(AJ$3-2026)*(AJ248+AJ249))/1000000+IF(AJ$3=VST_Assets!$AH$9,VST_Assets!$AG$9,0))*(1+VST_CapexAdj)</f>
        <v>0</v>
      </c>
      <c r="AK262" s="8" t="n">
        <f aca="false">((VST_Assets!$S$9*VST_Assets!$D$9*1000*AK$4*AK246+VST_Assets!$P$9*(1+VST_Assets!$Q$9)^(AK$3-2026)*(AK248+AK249))/1000000+IF(AK$3=VST_Assets!$AH$9,VST_Assets!$AG$9,0))*(1+VST_CapexAdj)</f>
        <v>0</v>
      </c>
      <c r="AL262" s="8" t="n">
        <f aca="false">((VST_Assets!$S$9*VST_Assets!$D$9*1000*AL$4*AL246+VST_Assets!$P$9*(1+VST_Assets!$Q$9)^(AL$3-2026)*(AL248+AL249))/1000000+IF(AL$3=VST_Assets!$AH$9,VST_Assets!$AG$9,0))*(1+VST_CapexAdj)</f>
        <v>0</v>
      </c>
      <c r="AM262" s="8" t="n">
        <f aca="false">((VST_Assets!$S$9*VST_Assets!$D$9*1000*AM$4*AM246+VST_Assets!$P$9*(1+VST_Assets!$Q$9)^(AM$3-2026)*(AM248+AM249))/1000000+IF(AM$3=VST_Assets!$AH$9,VST_Assets!$AG$9,0))*(1+VST_CapexAdj)</f>
        <v>0</v>
      </c>
      <c r="AN262" s="8" t="n">
        <f aca="false">((VST_Assets!$S$9*VST_Assets!$D$9*1000*AN$4*AN246+VST_Assets!$P$9*(1+VST_Assets!$Q$9)^(AN$3-2026)*(AN248+AN249))/1000000+IF(AN$3=VST_Assets!$AH$9,VST_Assets!$AG$9,0))*(1+VST_CapexAdj)</f>
        <v>0</v>
      </c>
      <c r="AO262" s="8" t="n">
        <f aca="false">((VST_Assets!$S$9*VST_Assets!$D$9*1000*AO$4*AO246+VST_Assets!$P$9*(1+VST_Assets!$Q$9)^(AO$3-2026)*(AO248+AO249))/1000000+IF(AO$3=VST_Assets!$AH$9,VST_Assets!$AG$9,0))*(1+VST_CapexAdj)</f>
        <v>0</v>
      </c>
      <c r="AP262" s="8" t="n">
        <f aca="false">((VST_Assets!$S$9*VST_Assets!$D$9*1000*AP$4*AP246+VST_Assets!$P$9*(1+VST_Assets!$Q$9)^(AP$3-2026)*(AP248+AP249))/1000000+IF(AP$3=VST_Assets!$AH$9,VST_Assets!$AG$9,0))*(1+VST_CapexAdj)</f>
        <v>0</v>
      </c>
      <c r="AQ262" s="8" t="n">
        <f aca="false">((VST_Assets!$S$9*VST_Assets!$D$9*1000*AQ$4*AQ246+VST_Assets!$P$9*(1+VST_Assets!$Q$9)^(AQ$3-2026)*(AQ248+AQ249))/1000000+IF(AQ$3=VST_Assets!$AH$9,VST_Assets!$AG$9,0))*(1+VST_CapexAdj)</f>
        <v>0</v>
      </c>
      <c r="AR262" s="8" t="n">
        <f aca="false">((VST_Assets!$S$9*VST_Assets!$D$9*1000*AR$4*AR246+VST_Assets!$P$9*(1+VST_Assets!$Q$9)^(AR$3-2026)*(AR248+AR249))/1000000+IF(AR$3=VST_Assets!$AH$9,VST_Assets!$AG$9,0))*(1+VST_CapexAdj)</f>
        <v>0</v>
      </c>
      <c r="AS262" s="8" t="n">
        <f aca="false">((VST_Assets!$S$9*VST_Assets!$D$9*1000*AS$4*AS246+VST_Assets!$P$9*(1+VST_Assets!$Q$9)^(AS$3-2026)*(AS248+AS249))/1000000+IF(AS$3=VST_Assets!$AH$9,VST_Assets!$AG$9,0))*(1+VST_CapexAdj)</f>
        <v>0</v>
      </c>
    </row>
    <row r="263" customFormat="false" ht="15" hidden="false" customHeight="false" outlineLevel="0" collapsed="false">
      <c r="A263" s="6" t="s">
        <v>459</v>
      </c>
      <c r="B263" s="6" t="s">
        <v>460</v>
      </c>
      <c r="C263" s="9" t="n">
        <f aca="false">SUM(G263:AS263)</f>
        <v>2011.11173898091</v>
      </c>
      <c r="G263" s="8" t="n">
        <f aca="false">IF(VST_Assets!$Y$9=1,MAX(0,G261-G262),G261-G262)</f>
        <v>166.2593016</v>
      </c>
      <c r="H263" s="8" t="n">
        <f aca="false">IF(VST_Assets!$Y$9=1,MAX(0,H261-H262),H261-H262)</f>
        <v>167.749407792</v>
      </c>
      <c r="I263" s="8" t="n">
        <f aca="false">IF(VST_Assets!$Y$9=1,MAX(0,I261-I262),I261-I262)</f>
        <v>136.794420174993</v>
      </c>
      <c r="J263" s="8" t="n">
        <f aca="false">IF(VST_Assets!$Y$9=1,MAX(0,J261-J262),J261-J262)</f>
        <v>126.579392835186</v>
      </c>
      <c r="K263" s="8" t="n">
        <f aca="false">IF(VST_Assets!$Y$9=1,MAX(0,K261-K262),K261-K262)</f>
        <v>129.11098069189</v>
      </c>
      <c r="L263" s="8" t="n">
        <f aca="false">IF(VST_Assets!$Y$9=1,MAX(0,L261-L262),L261-L262)</f>
        <v>131.693200305728</v>
      </c>
      <c r="M263" s="8" t="n">
        <f aca="false">IF(VST_Assets!$Y$9=1,MAX(0,M261-M262),M261-M262)</f>
        <v>134.327064311842</v>
      </c>
      <c r="N263" s="8" t="n">
        <f aca="false">IF(VST_Assets!$Y$9=1,MAX(0,N261-N262),N261-N262)</f>
        <v>137.013605598079</v>
      </c>
      <c r="O263" s="8" t="n">
        <f aca="false">IF(VST_Assets!$Y$9=1,MAX(0,O261-O262),O261-O262)</f>
        <v>139.753877710041</v>
      </c>
      <c r="P263" s="8" t="n">
        <f aca="false">IF(VST_Assets!$Y$9=1,MAX(0,P261-P262),P261-P262)</f>
        <v>142.548955264241</v>
      </c>
      <c r="Q263" s="8" t="n">
        <f aca="false">IF(VST_Assets!$Y$9=1,MAX(0,Q261-Q262),Q261-Q262)</f>
        <v>145.399934369526</v>
      </c>
      <c r="R263" s="8" t="n">
        <f aca="false">IF(VST_Assets!$Y$9=1,MAX(0,R261-R262),R261-R262)</f>
        <v>148.307933056917</v>
      </c>
      <c r="S263" s="8" t="n">
        <f aca="false">IF(VST_Assets!$Y$9=1,MAX(0,S261-S262),S261-S262)</f>
        <v>151.274091718055</v>
      </c>
      <c r="T263" s="8" t="n">
        <f aca="false">IF(VST_Assets!$Y$9=1,MAX(0,T261-T262),T261-T262)</f>
        <v>154.299573552416</v>
      </c>
      <c r="U263" s="8" t="n">
        <f aca="false">IF(VST_Assets!$Y$9=1,MAX(0,U261-U262),U261-U262)</f>
        <v>0</v>
      </c>
      <c r="V263" s="8" t="n">
        <f aca="false">IF(VST_Assets!$Y$9=1,MAX(0,V261-V262),V261-V262)</f>
        <v>0</v>
      </c>
      <c r="W263" s="8" t="n">
        <f aca="false">IF(VST_Assets!$Y$9=1,MAX(0,W261-W262),W261-W262)</f>
        <v>0</v>
      </c>
      <c r="X263" s="8" t="n">
        <f aca="false">IF(VST_Assets!$Y$9=1,MAX(0,X261-X262),X261-X262)</f>
        <v>0</v>
      </c>
      <c r="Y263" s="8" t="n">
        <f aca="false">IF(VST_Assets!$Y$9=1,MAX(0,Y261-Y262),Y261-Y262)</f>
        <v>0</v>
      </c>
      <c r="Z263" s="8" t="n">
        <f aca="false">IF(VST_Assets!$Y$9=1,MAX(0,Z261-Z262),Z261-Z262)</f>
        <v>0</v>
      </c>
      <c r="AA263" s="8" t="n">
        <f aca="false">IF(VST_Assets!$Y$9=1,MAX(0,AA261-AA262),AA261-AA262)</f>
        <v>0</v>
      </c>
      <c r="AB263" s="8" t="n">
        <f aca="false">IF(VST_Assets!$Y$9=1,MAX(0,AB261-AB262),AB261-AB262)</f>
        <v>0</v>
      </c>
      <c r="AC263" s="8" t="n">
        <f aca="false">IF(VST_Assets!$Y$9=1,MAX(0,AC261-AC262),AC261-AC262)</f>
        <v>0</v>
      </c>
      <c r="AD263" s="8" t="n">
        <f aca="false">IF(VST_Assets!$Y$9=1,MAX(0,AD261-AD262),AD261-AD262)</f>
        <v>0</v>
      </c>
      <c r="AE263" s="8" t="n">
        <f aca="false">IF(VST_Assets!$Y$9=1,MAX(0,AE261-AE262),AE261-AE262)</f>
        <v>0</v>
      </c>
      <c r="AF263" s="8" t="n">
        <f aca="false">IF(VST_Assets!$Y$9=1,MAX(0,AF261-AF262),AF261-AF262)</f>
        <v>0</v>
      </c>
      <c r="AG263" s="8" t="n">
        <f aca="false">IF(VST_Assets!$Y$9=1,MAX(0,AG261-AG262),AG261-AG262)</f>
        <v>0</v>
      </c>
      <c r="AH263" s="8" t="n">
        <f aca="false">IF(VST_Assets!$Y$9=1,MAX(0,AH261-AH262),AH261-AH262)</f>
        <v>0</v>
      </c>
      <c r="AI263" s="8" t="n">
        <f aca="false">IF(VST_Assets!$Y$9=1,MAX(0,AI261-AI262),AI261-AI262)</f>
        <v>0</v>
      </c>
      <c r="AJ263" s="8" t="n">
        <f aca="false">IF(VST_Assets!$Y$9=1,MAX(0,AJ261-AJ262),AJ261-AJ262)</f>
        <v>0</v>
      </c>
      <c r="AK263" s="8" t="n">
        <f aca="false">IF(VST_Assets!$Y$9=1,MAX(0,AK261-AK262),AK261-AK262)</f>
        <v>0</v>
      </c>
      <c r="AL263" s="8" t="n">
        <f aca="false">IF(VST_Assets!$Y$9=1,MAX(0,AL261-AL262),AL261-AL262)</f>
        <v>0</v>
      </c>
      <c r="AM263" s="8" t="n">
        <f aca="false">IF(VST_Assets!$Y$9=1,MAX(0,AM261-AM262),AM261-AM262)</f>
        <v>0</v>
      </c>
      <c r="AN263" s="8" t="n">
        <f aca="false">IF(VST_Assets!$Y$9=1,MAX(0,AN261-AN262),AN261-AN262)</f>
        <v>0</v>
      </c>
      <c r="AO263" s="8" t="n">
        <f aca="false">IF(VST_Assets!$Y$9=1,MAX(0,AO261-AO262),AO261-AO262)</f>
        <v>0</v>
      </c>
      <c r="AP263" s="8" t="n">
        <f aca="false">IF(VST_Assets!$Y$9=1,MAX(0,AP261-AP262),AP261-AP262)</f>
        <v>0</v>
      </c>
      <c r="AQ263" s="8" t="n">
        <f aca="false">IF(VST_Assets!$Y$9=1,MAX(0,AQ261-AQ262),AQ261-AQ262)</f>
        <v>0</v>
      </c>
      <c r="AR263" s="8" t="n">
        <f aca="false">IF(VST_Assets!$Y$9=1,MAX(0,AR261-AR262),AR261-AR262)</f>
        <v>0</v>
      </c>
      <c r="AS263" s="8" t="n">
        <f aca="false">IF(VST_Assets!$Y$9=1,MAX(0,AS261-AS262),AS261-AS262)</f>
        <v>0</v>
      </c>
    </row>
    <row r="264" customFormat="false" ht="15" hidden="false" customHeight="false" outlineLevel="0" collapsed="false">
      <c r="A264" s="6" t="s">
        <v>461</v>
      </c>
      <c r="B264" s="6" t="s">
        <v>462</v>
      </c>
      <c r="C264" s="9" t="n">
        <f aca="false">SUM(G264:AS264)</f>
        <v>0</v>
      </c>
      <c r="G264" s="8" t="n">
        <f aca="false">IF(AND(VST_Assets!$W$9=1,G$3&lt;=PTCLast,G248&gt;0),G248*MAX(0,PTCCredit*(1+Infl)^(G$3-PTCBase)-0.8*MAX(0,(G253+G254+G256)*1000000/MAX(1,G248)-PTCThresh*(1+Infl)^(G$3-PTCBase)))/1000000,0)</f>
        <v>0</v>
      </c>
      <c r="H264" s="8" t="n">
        <f aca="false">IF(AND(VST_Assets!$W$9=1,H$3&lt;=PTCLast,H248&gt;0),H248*MAX(0,PTCCredit*(1+Infl)^(H$3-PTCBase)-0.8*MAX(0,(H253+H254+H256)*1000000/MAX(1,H248)-PTCThresh*(1+Infl)^(H$3-PTCBase)))/1000000,0)</f>
        <v>0</v>
      </c>
      <c r="I264" s="8" t="n">
        <f aca="false">IF(AND(VST_Assets!$W$9=1,I$3&lt;=PTCLast,I248&gt;0),I248*MAX(0,PTCCredit*(1+Infl)^(I$3-PTCBase)-0.8*MAX(0,(I253+I254+I256)*1000000/MAX(1,I248)-PTCThresh*(1+Infl)^(I$3-PTCBase)))/1000000,0)</f>
        <v>0</v>
      </c>
      <c r="J264" s="8" t="n">
        <f aca="false">IF(AND(VST_Assets!$W$9=1,J$3&lt;=PTCLast,J248&gt;0),J248*MAX(0,PTCCredit*(1+Infl)^(J$3-PTCBase)-0.8*MAX(0,(J253+J254+J256)*1000000/MAX(1,J248)-PTCThresh*(1+Infl)^(J$3-PTCBase)))/1000000,0)</f>
        <v>0</v>
      </c>
      <c r="K264" s="8" t="n">
        <f aca="false">IF(AND(VST_Assets!$W$9=1,K$3&lt;=PTCLast,K248&gt;0),K248*MAX(0,PTCCredit*(1+Infl)^(K$3-PTCBase)-0.8*MAX(0,(K253+K254+K256)*1000000/MAX(1,K248)-PTCThresh*(1+Infl)^(K$3-PTCBase)))/1000000,0)</f>
        <v>0</v>
      </c>
      <c r="L264" s="8" t="n">
        <f aca="false">IF(AND(VST_Assets!$W$9=1,L$3&lt;=PTCLast,L248&gt;0),L248*MAX(0,PTCCredit*(1+Infl)^(L$3-PTCBase)-0.8*MAX(0,(L253+L254+L256)*1000000/MAX(1,L248)-PTCThresh*(1+Infl)^(L$3-PTCBase)))/1000000,0)</f>
        <v>0</v>
      </c>
      <c r="M264" s="8" t="n">
        <f aca="false">IF(AND(VST_Assets!$W$9=1,M$3&lt;=PTCLast,M248&gt;0),M248*MAX(0,PTCCredit*(1+Infl)^(M$3-PTCBase)-0.8*MAX(0,(M253+M254+M256)*1000000/MAX(1,M248)-PTCThresh*(1+Infl)^(M$3-PTCBase)))/1000000,0)</f>
        <v>0</v>
      </c>
      <c r="N264" s="8" t="n">
        <f aca="false">IF(AND(VST_Assets!$W$9=1,N$3&lt;=PTCLast,N248&gt;0),N248*MAX(0,PTCCredit*(1+Infl)^(N$3-PTCBase)-0.8*MAX(0,(N253+N254+N256)*1000000/MAX(1,N248)-PTCThresh*(1+Infl)^(N$3-PTCBase)))/1000000,0)</f>
        <v>0</v>
      </c>
      <c r="O264" s="8" t="n">
        <f aca="false">IF(AND(VST_Assets!$W$9=1,O$3&lt;=PTCLast,O248&gt;0),O248*MAX(0,PTCCredit*(1+Infl)^(O$3-PTCBase)-0.8*MAX(0,(O253+O254+O256)*1000000/MAX(1,O248)-PTCThresh*(1+Infl)^(O$3-PTCBase)))/1000000,0)</f>
        <v>0</v>
      </c>
      <c r="P264" s="8" t="n">
        <f aca="false">IF(AND(VST_Assets!$W$9=1,P$3&lt;=PTCLast,P248&gt;0),P248*MAX(0,PTCCredit*(1+Infl)^(P$3-PTCBase)-0.8*MAX(0,(P253+P254+P256)*1000000/MAX(1,P248)-PTCThresh*(1+Infl)^(P$3-PTCBase)))/1000000,0)</f>
        <v>0</v>
      </c>
      <c r="Q264" s="8" t="n">
        <f aca="false">IF(AND(VST_Assets!$W$9=1,Q$3&lt;=PTCLast,Q248&gt;0),Q248*MAX(0,PTCCredit*(1+Infl)^(Q$3-PTCBase)-0.8*MAX(0,(Q253+Q254+Q256)*1000000/MAX(1,Q248)-PTCThresh*(1+Infl)^(Q$3-PTCBase)))/1000000,0)</f>
        <v>0</v>
      </c>
      <c r="R264" s="8" t="n">
        <f aca="false">IF(AND(VST_Assets!$W$9=1,R$3&lt;=PTCLast,R248&gt;0),R248*MAX(0,PTCCredit*(1+Infl)^(R$3-PTCBase)-0.8*MAX(0,(R253+R254+R256)*1000000/MAX(1,R248)-PTCThresh*(1+Infl)^(R$3-PTCBase)))/1000000,0)</f>
        <v>0</v>
      </c>
      <c r="S264" s="8" t="n">
        <f aca="false">IF(AND(VST_Assets!$W$9=1,S$3&lt;=PTCLast,S248&gt;0),S248*MAX(0,PTCCredit*(1+Infl)^(S$3-PTCBase)-0.8*MAX(0,(S253+S254+S256)*1000000/MAX(1,S248)-PTCThresh*(1+Infl)^(S$3-PTCBase)))/1000000,0)</f>
        <v>0</v>
      </c>
      <c r="T264" s="8" t="n">
        <f aca="false">IF(AND(VST_Assets!$W$9=1,T$3&lt;=PTCLast,T248&gt;0),T248*MAX(0,PTCCredit*(1+Infl)^(T$3-PTCBase)-0.8*MAX(0,(T253+T254+T256)*1000000/MAX(1,T248)-PTCThresh*(1+Infl)^(T$3-PTCBase)))/1000000,0)</f>
        <v>0</v>
      </c>
      <c r="U264" s="8" t="n">
        <f aca="false">IF(AND(VST_Assets!$W$9=1,U$3&lt;=PTCLast,U248&gt;0),U248*MAX(0,PTCCredit*(1+Infl)^(U$3-PTCBase)-0.8*MAX(0,(U253+U254+U256)*1000000/MAX(1,U248)-PTCThresh*(1+Infl)^(U$3-PTCBase)))/1000000,0)</f>
        <v>0</v>
      </c>
      <c r="V264" s="8" t="n">
        <f aca="false">IF(AND(VST_Assets!$W$9=1,V$3&lt;=PTCLast,V248&gt;0),V248*MAX(0,PTCCredit*(1+Infl)^(V$3-PTCBase)-0.8*MAX(0,(V253+V254+V256)*1000000/MAX(1,V248)-PTCThresh*(1+Infl)^(V$3-PTCBase)))/1000000,0)</f>
        <v>0</v>
      </c>
      <c r="W264" s="8" t="n">
        <f aca="false">IF(AND(VST_Assets!$W$9=1,W$3&lt;=PTCLast,W248&gt;0),W248*MAX(0,PTCCredit*(1+Infl)^(W$3-PTCBase)-0.8*MAX(0,(W253+W254+W256)*1000000/MAX(1,W248)-PTCThresh*(1+Infl)^(W$3-PTCBase)))/1000000,0)</f>
        <v>0</v>
      </c>
      <c r="X264" s="8" t="n">
        <f aca="false">IF(AND(VST_Assets!$W$9=1,X$3&lt;=PTCLast,X248&gt;0),X248*MAX(0,PTCCredit*(1+Infl)^(X$3-PTCBase)-0.8*MAX(0,(X253+X254+X256)*1000000/MAX(1,X248)-PTCThresh*(1+Infl)^(X$3-PTCBase)))/1000000,0)</f>
        <v>0</v>
      </c>
      <c r="Y264" s="8" t="n">
        <f aca="false">IF(AND(VST_Assets!$W$9=1,Y$3&lt;=PTCLast,Y248&gt;0),Y248*MAX(0,PTCCredit*(1+Infl)^(Y$3-PTCBase)-0.8*MAX(0,(Y253+Y254+Y256)*1000000/MAX(1,Y248)-PTCThresh*(1+Infl)^(Y$3-PTCBase)))/1000000,0)</f>
        <v>0</v>
      </c>
      <c r="Z264" s="8" t="n">
        <f aca="false">IF(AND(VST_Assets!$W$9=1,Z$3&lt;=PTCLast,Z248&gt;0),Z248*MAX(0,PTCCredit*(1+Infl)^(Z$3-PTCBase)-0.8*MAX(0,(Z253+Z254+Z256)*1000000/MAX(1,Z248)-PTCThresh*(1+Infl)^(Z$3-PTCBase)))/1000000,0)</f>
        <v>0</v>
      </c>
      <c r="AA264" s="8" t="n">
        <f aca="false">IF(AND(VST_Assets!$W$9=1,AA$3&lt;=PTCLast,AA248&gt;0),AA248*MAX(0,PTCCredit*(1+Infl)^(AA$3-PTCBase)-0.8*MAX(0,(AA253+AA254+AA256)*1000000/MAX(1,AA248)-PTCThresh*(1+Infl)^(AA$3-PTCBase)))/1000000,0)</f>
        <v>0</v>
      </c>
      <c r="AB264" s="8" t="n">
        <f aca="false">IF(AND(VST_Assets!$W$9=1,AB$3&lt;=PTCLast,AB248&gt;0),AB248*MAX(0,PTCCredit*(1+Infl)^(AB$3-PTCBase)-0.8*MAX(0,(AB253+AB254+AB256)*1000000/MAX(1,AB248)-PTCThresh*(1+Infl)^(AB$3-PTCBase)))/1000000,0)</f>
        <v>0</v>
      </c>
      <c r="AC264" s="8" t="n">
        <f aca="false">IF(AND(VST_Assets!$W$9=1,AC$3&lt;=PTCLast,AC248&gt;0),AC248*MAX(0,PTCCredit*(1+Infl)^(AC$3-PTCBase)-0.8*MAX(0,(AC253+AC254+AC256)*1000000/MAX(1,AC248)-PTCThresh*(1+Infl)^(AC$3-PTCBase)))/1000000,0)</f>
        <v>0</v>
      </c>
      <c r="AD264" s="8" t="n">
        <f aca="false">IF(AND(VST_Assets!$W$9=1,AD$3&lt;=PTCLast,AD248&gt;0),AD248*MAX(0,PTCCredit*(1+Infl)^(AD$3-PTCBase)-0.8*MAX(0,(AD253+AD254+AD256)*1000000/MAX(1,AD248)-PTCThresh*(1+Infl)^(AD$3-PTCBase)))/1000000,0)</f>
        <v>0</v>
      </c>
      <c r="AE264" s="8" t="n">
        <f aca="false">IF(AND(VST_Assets!$W$9=1,AE$3&lt;=PTCLast,AE248&gt;0),AE248*MAX(0,PTCCredit*(1+Infl)^(AE$3-PTCBase)-0.8*MAX(0,(AE253+AE254+AE256)*1000000/MAX(1,AE248)-PTCThresh*(1+Infl)^(AE$3-PTCBase)))/1000000,0)</f>
        <v>0</v>
      </c>
      <c r="AF264" s="8" t="n">
        <f aca="false">IF(AND(VST_Assets!$W$9=1,AF$3&lt;=PTCLast,AF248&gt;0),AF248*MAX(0,PTCCredit*(1+Infl)^(AF$3-PTCBase)-0.8*MAX(0,(AF253+AF254+AF256)*1000000/MAX(1,AF248)-PTCThresh*(1+Infl)^(AF$3-PTCBase)))/1000000,0)</f>
        <v>0</v>
      </c>
      <c r="AG264" s="8" t="n">
        <f aca="false">IF(AND(VST_Assets!$W$9=1,AG$3&lt;=PTCLast,AG248&gt;0),AG248*MAX(0,PTCCredit*(1+Infl)^(AG$3-PTCBase)-0.8*MAX(0,(AG253+AG254+AG256)*1000000/MAX(1,AG248)-PTCThresh*(1+Infl)^(AG$3-PTCBase)))/1000000,0)</f>
        <v>0</v>
      </c>
      <c r="AH264" s="8" t="n">
        <f aca="false">IF(AND(VST_Assets!$W$9=1,AH$3&lt;=PTCLast,AH248&gt;0),AH248*MAX(0,PTCCredit*(1+Infl)^(AH$3-PTCBase)-0.8*MAX(0,(AH253+AH254+AH256)*1000000/MAX(1,AH248)-PTCThresh*(1+Infl)^(AH$3-PTCBase)))/1000000,0)</f>
        <v>0</v>
      </c>
      <c r="AI264" s="8" t="n">
        <f aca="false">IF(AND(VST_Assets!$W$9=1,AI$3&lt;=PTCLast,AI248&gt;0),AI248*MAX(0,PTCCredit*(1+Infl)^(AI$3-PTCBase)-0.8*MAX(0,(AI253+AI254+AI256)*1000000/MAX(1,AI248)-PTCThresh*(1+Infl)^(AI$3-PTCBase)))/1000000,0)</f>
        <v>0</v>
      </c>
      <c r="AJ264" s="8" t="n">
        <f aca="false">IF(AND(VST_Assets!$W$9=1,AJ$3&lt;=PTCLast,AJ248&gt;0),AJ248*MAX(0,PTCCredit*(1+Infl)^(AJ$3-PTCBase)-0.8*MAX(0,(AJ253+AJ254+AJ256)*1000000/MAX(1,AJ248)-PTCThresh*(1+Infl)^(AJ$3-PTCBase)))/1000000,0)</f>
        <v>0</v>
      </c>
      <c r="AK264" s="8" t="n">
        <f aca="false">IF(AND(VST_Assets!$W$9=1,AK$3&lt;=PTCLast,AK248&gt;0),AK248*MAX(0,PTCCredit*(1+Infl)^(AK$3-PTCBase)-0.8*MAX(0,(AK253+AK254+AK256)*1000000/MAX(1,AK248)-PTCThresh*(1+Infl)^(AK$3-PTCBase)))/1000000,0)</f>
        <v>0</v>
      </c>
      <c r="AL264" s="8" t="n">
        <f aca="false">IF(AND(VST_Assets!$W$9=1,AL$3&lt;=PTCLast,AL248&gt;0),AL248*MAX(0,PTCCredit*(1+Infl)^(AL$3-PTCBase)-0.8*MAX(0,(AL253+AL254+AL256)*1000000/MAX(1,AL248)-PTCThresh*(1+Infl)^(AL$3-PTCBase)))/1000000,0)</f>
        <v>0</v>
      </c>
      <c r="AM264" s="8" t="n">
        <f aca="false">IF(AND(VST_Assets!$W$9=1,AM$3&lt;=PTCLast,AM248&gt;0),AM248*MAX(0,PTCCredit*(1+Infl)^(AM$3-PTCBase)-0.8*MAX(0,(AM253+AM254+AM256)*1000000/MAX(1,AM248)-PTCThresh*(1+Infl)^(AM$3-PTCBase)))/1000000,0)</f>
        <v>0</v>
      </c>
      <c r="AN264" s="8" t="n">
        <f aca="false">IF(AND(VST_Assets!$W$9=1,AN$3&lt;=PTCLast,AN248&gt;0),AN248*MAX(0,PTCCredit*(1+Infl)^(AN$3-PTCBase)-0.8*MAX(0,(AN253+AN254+AN256)*1000000/MAX(1,AN248)-PTCThresh*(1+Infl)^(AN$3-PTCBase)))/1000000,0)</f>
        <v>0</v>
      </c>
      <c r="AO264" s="8" t="n">
        <f aca="false">IF(AND(VST_Assets!$W$9=1,AO$3&lt;=PTCLast,AO248&gt;0),AO248*MAX(0,PTCCredit*(1+Infl)^(AO$3-PTCBase)-0.8*MAX(0,(AO253+AO254+AO256)*1000000/MAX(1,AO248)-PTCThresh*(1+Infl)^(AO$3-PTCBase)))/1000000,0)</f>
        <v>0</v>
      </c>
      <c r="AP264" s="8" t="n">
        <f aca="false">IF(AND(VST_Assets!$W$9=1,AP$3&lt;=PTCLast,AP248&gt;0),AP248*MAX(0,PTCCredit*(1+Infl)^(AP$3-PTCBase)-0.8*MAX(0,(AP253+AP254+AP256)*1000000/MAX(1,AP248)-PTCThresh*(1+Infl)^(AP$3-PTCBase)))/1000000,0)</f>
        <v>0</v>
      </c>
      <c r="AQ264" s="8" t="n">
        <f aca="false">IF(AND(VST_Assets!$W$9=1,AQ$3&lt;=PTCLast,AQ248&gt;0),AQ248*MAX(0,PTCCredit*(1+Infl)^(AQ$3-PTCBase)-0.8*MAX(0,(AQ253+AQ254+AQ256)*1000000/MAX(1,AQ248)-PTCThresh*(1+Infl)^(AQ$3-PTCBase)))/1000000,0)</f>
        <v>0</v>
      </c>
      <c r="AR264" s="8" t="n">
        <f aca="false">IF(AND(VST_Assets!$W$9=1,AR$3&lt;=PTCLast,AR248&gt;0),AR248*MAX(0,PTCCredit*(1+Infl)^(AR$3-PTCBase)-0.8*MAX(0,(AR253+AR254+AR256)*1000000/MAX(1,AR248)-PTCThresh*(1+Infl)^(AR$3-PTCBase)))/1000000,0)</f>
        <v>0</v>
      </c>
      <c r="AS264" s="8" t="n">
        <f aca="false">IF(AND(VST_Assets!$W$9=1,AS$3&lt;=PTCLast,AS248&gt;0),AS248*MAX(0,PTCCredit*(1+Infl)^(AS$3-PTCBase)-0.8*MAX(0,(AS253+AS254+AS256)*1000000/MAX(1,AS248)-PTCThresh*(1+Infl)^(AS$3-PTCBase)))/1000000,0)</f>
        <v>0</v>
      </c>
    </row>
    <row r="265" customFormat="false" ht="15" hidden="false" customHeight="false" outlineLevel="0" collapsed="false">
      <c r="A265" s="6" t="s">
        <v>463</v>
      </c>
      <c r="B265" s="6" t="s">
        <v>464</v>
      </c>
      <c r="G265" s="8" t="n">
        <f aca="false">G255-G249*(VST_Assets!$N$9*(1+VST_FuelAdj)+VST_Assets!$O$9*(1+VST_OMAdj)+VST_Assets!$P$9*(1+VST_CapexAdj))*(1+VST_Assets!$Q$9)^(G$3-2026)/1000000</f>
        <v>0</v>
      </c>
      <c r="H265" s="8" t="n">
        <f aca="false">H255-H249*(VST_Assets!$N$9*(1+VST_FuelAdj)+VST_Assets!$O$9*(1+VST_OMAdj)+VST_Assets!$P$9*(1+VST_CapexAdj))*(1+VST_Assets!$Q$9)^(H$3-2026)/1000000</f>
        <v>0</v>
      </c>
      <c r="I265" s="8" t="n">
        <f aca="false">I255-I249*(VST_Assets!$N$9*(1+VST_FuelAdj)+VST_Assets!$O$9*(1+VST_OMAdj)+VST_Assets!$P$9*(1+VST_CapexAdj))*(1+VST_Assets!$Q$9)^(I$3-2026)/1000000</f>
        <v>0</v>
      </c>
      <c r="J265" s="8" t="n">
        <f aca="false">J255-J249*(VST_Assets!$N$9*(1+VST_FuelAdj)+VST_Assets!$O$9*(1+VST_OMAdj)+VST_Assets!$P$9*(1+VST_CapexAdj))*(1+VST_Assets!$Q$9)^(J$3-2026)/1000000</f>
        <v>0</v>
      </c>
      <c r="K265" s="8" t="n">
        <f aca="false">K255-K249*(VST_Assets!$N$9*(1+VST_FuelAdj)+VST_Assets!$O$9*(1+VST_OMAdj)+VST_Assets!$P$9*(1+VST_CapexAdj))*(1+VST_Assets!$Q$9)^(K$3-2026)/1000000</f>
        <v>0</v>
      </c>
      <c r="L265" s="8" t="n">
        <f aca="false">L255-L249*(VST_Assets!$N$9*(1+VST_FuelAdj)+VST_Assets!$O$9*(1+VST_OMAdj)+VST_Assets!$P$9*(1+VST_CapexAdj))*(1+VST_Assets!$Q$9)^(L$3-2026)/1000000</f>
        <v>0</v>
      </c>
      <c r="M265" s="8" t="n">
        <f aca="false">M255-M249*(VST_Assets!$N$9*(1+VST_FuelAdj)+VST_Assets!$O$9*(1+VST_OMAdj)+VST_Assets!$P$9*(1+VST_CapexAdj))*(1+VST_Assets!$Q$9)^(M$3-2026)/1000000</f>
        <v>0</v>
      </c>
      <c r="N265" s="8" t="n">
        <f aca="false">N255-N249*(VST_Assets!$N$9*(1+VST_FuelAdj)+VST_Assets!$O$9*(1+VST_OMAdj)+VST_Assets!$P$9*(1+VST_CapexAdj))*(1+VST_Assets!$Q$9)^(N$3-2026)/1000000</f>
        <v>0</v>
      </c>
      <c r="O265" s="8" t="n">
        <f aca="false">O255-O249*(VST_Assets!$N$9*(1+VST_FuelAdj)+VST_Assets!$O$9*(1+VST_OMAdj)+VST_Assets!$P$9*(1+VST_CapexAdj))*(1+VST_Assets!$Q$9)^(O$3-2026)/1000000</f>
        <v>0</v>
      </c>
      <c r="P265" s="8" t="n">
        <f aca="false">P255-P249*(VST_Assets!$N$9*(1+VST_FuelAdj)+VST_Assets!$O$9*(1+VST_OMAdj)+VST_Assets!$P$9*(1+VST_CapexAdj))*(1+VST_Assets!$Q$9)^(P$3-2026)/1000000</f>
        <v>0</v>
      </c>
      <c r="Q265" s="8" t="n">
        <f aca="false">Q255-Q249*(VST_Assets!$N$9*(1+VST_FuelAdj)+VST_Assets!$O$9*(1+VST_OMAdj)+VST_Assets!$P$9*(1+VST_CapexAdj))*(1+VST_Assets!$Q$9)^(Q$3-2026)/1000000</f>
        <v>0</v>
      </c>
      <c r="R265" s="8" t="n">
        <f aca="false">R255-R249*(VST_Assets!$N$9*(1+VST_FuelAdj)+VST_Assets!$O$9*(1+VST_OMAdj)+VST_Assets!$P$9*(1+VST_CapexAdj))*(1+VST_Assets!$Q$9)^(R$3-2026)/1000000</f>
        <v>0</v>
      </c>
      <c r="S265" s="8" t="n">
        <f aca="false">S255-S249*(VST_Assets!$N$9*(1+VST_FuelAdj)+VST_Assets!$O$9*(1+VST_OMAdj)+VST_Assets!$P$9*(1+VST_CapexAdj))*(1+VST_Assets!$Q$9)^(S$3-2026)/1000000</f>
        <v>0</v>
      </c>
      <c r="T265" s="8" t="n">
        <f aca="false">T255-T249*(VST_Assets!$N$9*(1+VST_FuelAdj)+VST_Assets!$O$9*(1+VST_OMAdj)+VST_Assets!$P$9*(1+VST_CapexAdj))*(1+VST_Assets!$Q$9)^(T$3-2026)/1000000</f>
        <v>0</v>
      </c>
      <c r="U265" s="8" t="n">
        <f aca="false">U255-U249*(VST_Assets!$N$9*(1+VST_FuelAdj)+VST_Assets!$O$9*(1+VST_OMAdj)+VST_Assets!$P$9*(1+VST_CapexAdj))*(1+VST_Assets!$Q$9)^(U$3-2026)/1000000</f>
        <v>0</v>
      </c>
      <c r="V265" s="8" t="n">
        <f aca="false">V255-V249*(VST_Assets!$N$9*(1+VST_FuelAdj)+VST_Assets!$O$9*(1+VST_OMAdj)+VST_Assets!$P$9*(1+VST_CapexAdj))*(1+VST_Assets!$Q$9)^(V$3-2026)/1000000</f>
        <v>0</v>
      </c>
      <c r="W265" s="8" t="n">
        <f aca="false">W255-W249*(VST_Assets!$N$9*(1+VST_FuelAdj)+VST_Assets!$O$9*(1+VST_OMAdj)+VST_Assets!$P$9*(1+VST_CapexAdj))*(1+VST_Assets!$Q$9)^(W$3-2026)/1000000</f>
        <v>0</v>
      </c>
      <c r="X265" s="8" t="n">
        <f aca="false">X255-X249*(VST_Assets!$N$9*(1+VST_FuelAdj)+VST_Assets!$O$9*(1+VST_OMAdj)+VST_Assets!$P$9*(1+VST_CapexAdj))*(1+VST_Assets!$Q$9)^(X$3-2026)/1000000</f>
        <v>0</v>
      </c>
      <c r="Y265" s="8" t="n">
        <f aca="false">Y255-Y249*(VST_Assets!$N$9*(1+VST_FuelAdj)+VST_Assets!$O$9*(1+VST_OMAdj)+VST_Assets!$P$9*(1+VST_CapexAdj))*(1+VST_Assets!$Q$9)^(Y$3-2026)/1000000</f>
        <v>0</v>
      </c>
      <c r="Z265" s="8" t="n">
        <f aca="false">Z255-Z249*(VST_Assets!$N$9*(1+VST_FuelAdj)+VST_Assets!$O$9*(1+VST_OMAdj)+VST_Assets!$P$9*(1+VST_CapexAdj))*(1+VST_Assets!$Q$9)^(Z$3-2026)/1000000</f>
        <v>0</v>
      </c>
      <c r="AA265" s="8" t="n">
        <f aca="false">AA255-AA249*(VST_Assets!$N$9*(1+VST_FuelAdj)+VST_Assets!$O$9*(1+VST_OMAdj)+VST_Assets!$P$9*(1+VST_CapexAdj))*(1+VST_Assets!$Q$9)^(AA$3-2026)/1000000</f>
        <v>0</v>
      </c>
      <c r="AB265" s="8" t="n">
        <f aca="false">AB255-AB249*(VST_Assets!$N$9*(1+VST_FuelAdj)+VST_Assets!$O$9*(1+VST_OMAdj)+VST_Assets!$P$9*(1+VST_CapexAdj))*(1+VST_Assets!$Q$9)^(AB$3-2026)/1000000</f>
        <v>0</v>
      </c>
      <c r="AC265" s="8" t="n">
        <f aca="false">AC255-AC249*(VST_Assets!$N$9*(1+VST_FuelAdj)+VST_Assets!$O$9*(1+VST_OMAdj)+VST_Assets!$P$9*(1+VST_CapexAdj))*(1+VST_Assets!$Q$9)^(AC$3-2026)/1000000</f>
        <v>0</v>
      </c>
      <c r="AD265" s="8" t="n">
        <f aca="false">AD255-AD249*(VST_Assets!$N$9*(1+VST_FuelAdj)+VST_Assets!$O$9*(1+VST_OMAdj)+VST_Assets!$P$9*(1+VST_CapexAdj))*(1+VST_Assets!$Q$9)^(AD$3-2026)/1000000</f>
        <v>0</v>
      </c>
      <c r="AE265" s="8" t="n">
        <f aca="false">AE255-AE249*(VST_Assets!$N$9*(1+VST_FuelAdj)+VST_Assets!$O$9*(1+VST_OMAdj)+VST_Assets!$P$9*(1+VST_CapexAdj))*(1+VST_Assets!$Q$9)^(AE$3-2026)/1000000</f>
        <v>0</v>
      </c>
      <c r="AF265" s="8" t="n">
        <f aca="false">AF255-AF249*(VST_Assets!$N$9*(1+VST_FuelAdj)+VST_Assets!$O$9*(1+VST_OMAdj)+VST_Assets!$P$9*(1+VST_CapexAdj))*(1+VST_Assets!$Q$9)^(AF$3-2026)/1000000</f>
        <v>0</v>
      </c>
      <c r="AG265" s="8" t="n">
        <f aca="false">AG255-AG249*(VST_Assets!$N$9*(1+VST_FuelAdj)+VST_Assets!$O$9*(1+VST_OMAdj)+VST_Assets!$P$9*(1+VST_CapexAdj))*(1+VST_Assets!$Q$9)^(AG$3-2026)/1000000</f>
        <v>0</v>
      </c>
      <c r="AH265" s="8" t="n">
        <f aca="false">AH255-AH249*(VST_Assets!$N$9*(1+VST_FuelAdj)+VST_Assets!$O$9*(1+VST_OMAdj)+VST_Assets!$P$9*(1+VST_CapexAdj))*(1+VST_Assets!$Q$9)^(AH$3-2026)/1000000</f>
        <v>0</v>
      </c>
      <c r="AI265" s="8" t="n">
        <f aca="false">AI255-AI249*(VST_Assets!$N$9*(1+VST_FuelAdj)+VST_Assets!$O$9*(1+VST_OMAdj)+VST_Assets!$P$9*(1+VST_CapexAdj))*(1+VST_Assets!$Q$9)^(AI$3-2026)/1000000</f>
        <v>0</v>
      </c>
      <c r="AJ265" s="8" t="n">
        <f aca="false">AJ255-AJ249*(VST_Assets!$N$9*(1+VST_FuelAdj)+VST_Assets!$O$9*(1+VST_OMAdj)+VST_Assets!$P$9*(1+VST_CapexAdj))*(1+VST_Assets!$Q$9)^(AJ$3-2026)/1000000</f>
        <v>0</v>
      </c>
      <c r="AK265" s="8" t="n">
        <f aca="false">AK255-AK249*(VST_Assets!$N$9*(1+VST_FuelAdj)+VST_Assets!$O$9*(1+VST_OMAdj)+VST_Assets!$P$9*(1+VST_CapexAdj))*(1+VST_Assets!$Q$9)^(AK$3-2026)/1000000</f>
        <v>0</v>
      </c>
      <c r="AL265" s="8" t="n">
        <f aca="false">AL255-AL249*(VST_Assets!$N$9*(1+VST_FuelAdj)+VST_Assets!$O$9*(1+VST_OMAdj)+VST_Assets!$P$9*(1+VST_CapexAdj))*(1+VST_Assets!$Q$9)^(AL$3-2026)/1000000</f>
        <v>0</v>
      </c>
      <c r="AM265" s="8" t="n">
        <f aca="false">AM255-AM249*(VST_Assets!$N$9*(1+VST_FuelAdj)+VST_Assets!$O$9*(1+VST_OMAdj)+VST_Assets!$P$9*(1+VST_CapexAdj))*(1+VST_Assets!$Q$9)^(AM$3-2026)/1000000</f>
        <v>0</v>
      </c>
      <c r="AN265" s="8" t="n">
        <f aca="false">AN255-AN249*(VST_Assets!$N$9*(1+VST_FuelAdj)+VST_Assets!$O$9*(1+VST_OMAdj)+VST_Assets!$P$9*(1+VST_CapexAdj))*(1+VST_Assets!$Q$9)^(AN$3-2026)/1000000</f>
        <v>0</v>
      </c>
      <c r="AO265" s="8" t="n">
        <f aca="false">AO255-AO249*(VST_Assets!$N$9*(1+VST_FuelAdj)+VST_Assets!$O$9*(1+VST_OMAdj)+VST_Assets!$P$9*(1+VST_CapexAdj))*(1+VST_Assets!$Q$9)^(AO$3-2026)/1000000</f>
        <v>0</v>
      </c>
      <c r="AP265" s="8" t="n">
        <f aca="false">AP255-AP249*(VST_Assets!$N$9*(1+VST_FuelAdj)+VST_Assets!$O$9*(1+VST_OMAdj)+VST_Assets!$P$9*(1+VST_CapexAdj))*(1+VST_Assets!$Q$9)^(AP$3-2026)/1000000</f>
        <v>0</v>
      </c>
      <c r="AQ265" s="8" t="n">
        <f aca="false">AQ255-AQ249*(VST_Assets!$N$9*(1+VST_FuelAdj)+VST_Assets!$O$9*(1+VST_OMAdj)+VST_Assets!$P$9*(1+VST_CapexAdj))*(1+VST_Assets!$Q$9)^(AQ$3-2026)/1000000</f>
        <v>0</v>
      </c>
      <c r="AR265" s="8" t="n">
        <f aca="false">AR255-AR249*(VST_Assets!$N$9*(1+VST_FuelAdj)+VST_Assets!$O$9*(1+VST_OMAdj)+VST_Assets!$P$9*(1+VST_CapexAdj))*(1+VST_Assets!$Q$9)^(AR$3-2026)/1000000</f>
        <v>0</v>
      </c>
      <c r="AS265" s="8" t="n">
        <f aca="false">AS255-AS249*(VST_Assets!$N$9*(1+VST_FuelAdj)+VST_Assets!$O$9*(1+VST_OMAdj)+VST_Assets!$P$9*(1+VST_CapexAdj))*(1+VST_Assets!$Q$9)^(AS$3-2026)/1000000</f>
        <v>0</v>
      </c>
    </row>
    <row r="266" customFormat="false" ht="15" hidden="false" customHeight="false" outlineLevel="0" collapsed="false">
      <c r="A266" s="6" t="s">
        <v>465</v>
      </c>
      <c r="B266" s="6" t="s">
        <v>466</v>
      </c>
      <c r="G266" s="8" t="n">
        <f aca="false">G263-G265</f>
        <v>166.2593016</v>
      </c>
      <c r="H266" s="8" t="n">
        <f aca="false">H263-H265</f>
        <v>167.749407792</v>
      </c>
      <c r="I266" s="8" t="n">
        <f aca="false">I263-I265</f>
        <v>136.794420174993</v>
      </c>
      <c r="J266" s="8" t="n">
        <f aca="false">J263-J265</f>
        <v>126.579392835186</v>
      </c>
      <c r="K266" s="8" t="n">
        <f aca="false">K263-K265</f>
        <v>129.11098069189</v>
      </c>
      <c r="L266" s="8" t="n">
        <f aca="false">L263-L265</f>
        <v>131.693200305728</v>
      </c>
      <c r="M266" s="8" t="n">
        <f aca="false">M263-M265</f>
        <v>134.327064311842</v>
      </c>
      <c r="N266" s="8" t="n">
        <f aca="false">N263-N265</f>
        <v>137.013605598079</v>
      </c>
      <c r="O266" s="8" t="n">
        <f aca="false">O263-O265</f>
        <v>139.753877710041</v>
      </c>
      <c r="P266" s="8" t="n">
        <f aca="false">P263-P265</f>
        <v>142.548955264241</v>
      </c>
      <c r="Q266" s="8" t="n">
        <f aca="false">Q263-Q265</f>
        <v>145.399934369526</v>
      </c>
      <c r="R266" s="8" t="n">
        <f aca="false">R263-R265</f>
        <v>148.307933056917</v>
      </c>
      <c r="S266" s="8" t="n">
        <f aca="false">S263-S265</f>
        <v>151.274091718055</v>
      </c>
      <c r="T266" s="8" t="n">
        <f aca="false">T263-T265</f>
        <v>154.299573552416</v>
      </c>
      <c r="U266" s="8" t="n">
        <f aca="false">U263-U265</f>
        <v>0</v>
      </c>
      <c r="V266" s="8" t="n">
        <f aca="false">V263-V265</f>
        <v>0</v>
      </c>
      <c r="W266" s="8" t="n">
        <f aca="false">W263-W265</f>
        <v>0</v>
      </c>
      <c r="X266" s="8" t="n">
        <f aca="false">X263-X265</f>
        <v>0</v>
      </c>
      <c r="Y266" s="8" t="n">
        <f aca="false">Y263-Y265</f>
        <v>0</v>
      </c>
      <c r="Z266" s="8" t="n">
        <f aca="false">Z263-Z265</f>
        <v>0</v>
      </c>
      <c r="AA266" s="8" t="n">
        <f aca="false">AA263-AA265</f>
        <v>0</v>
      </c>
      <c r="AB266" s="8" t="n">
        <f aca="false">AB263-AB265</f>
        <v>0</v>
      </c>
      <c r="AC266" s="8" t="n">
        <f aca="false">AC263-AC265</f>
        <v>0</v>
      </c>
      <c r="AD266" s="8" t="n">
        <f aca="false">AD263-AD265</f>
        <v>0</v>
      </c>
      <c r="AE266" s="8" t="n">
        <f aca="false">AE263-AE265</f>
        <v>0</v>
      </c>
      <c r="AF266" s="8" t="n">
        <f aca="false">AF263-AF265</f>
        <v>0</v>
      </c>
      <c r="AG266" s="8" t="n">
        <f aca="false">AG263-AG265</f>
        <v>0</v>
      </c>
      <c r="AH266" s="8" t="n">
        <f aca="false">AH263-AH265</f>
        <v>0</v>
      </c>
      <c r="AI266" s="8" t="n">
        <f aca="false">AI263-AI265</f>
        <v>0</v>
      </c>
      <c r="AJ266" s="8" t="n">
        <f aca="false">AJ263-AJ265</f>
        <v>0</v>
      </c>
      <c r="AK266" s="8" t="n">
        <f aca="false">AK263-AK265</f>
        <v>0</v>
      </c>
      <c r="AL266" s="8" t="n">
        <f aca="false">AL263-AL265</f>
        <v>0</v>
      </c>
      <c r="AM266" s="8" t="n">
        <f aca="false">AM263-AM265</f>
        <v>0</v>
      </c>
      <c r="AN266" s="8" t="n">
        <f aca="false">AN263-AN265</f>
        <v>0</v>
      </c>
      <c r="AO266" s="8" t="n">
        <f aca="false">AO263-AO265</f>
        <v>0</v>
      </c>
      <c r="AP266" s="8" t="n">
        <f aca="false">AP263-AP265</f>
        <v>0</v>
      </c>
      <c r="AQ266" s="8" t="n">
        <f aca="false">AQ263-AQ265</f>
        <v>0</v>
      </c>
      <c r="AR266" s="8" t="n">
        <f aca="false">AR263-AR265</f>
        <v>0</v>
      </c>
      <c r="AS266" s="8" t="n">
        <f aca="false">AS263-AS265</f>
        <v>0</v>
      </c>
    </row>
    <row r="267" customFormat="false" ht="15" hidden="false" customHeight="false" outlineLevel="0" collapsed="false">
      <c r="A267" s="6" t="s">
        <v>467</v>
      </c>
      <c r="B267" s="6" t="s">
        <v>468</v>
      </c>
      <c r="G267" s="8" t="n">
        <f aca="false">G266*(1-TaxRate)+G264</f>
        <v>133.00744128</v>
      </c>
      <c r="H267" s="8" t="n">
        <f aca="false">H266*(1-TaxRate)+H264</f>
        <v>134.1995262336</v>
      </c>
      <c r="I267" s="8" t="n">
        <f aca="false">I266*(1-TaxRate)+I264</f>
        <v>109.435536139994</v>
      </c>
      <c r="J267" s="8" t="n">
        <f aca="false">J266*(1-TaxRate)+J264</f>
        <v>101.263514268149</v>
      </c>
      <c r="K267" s="8" t="n">
        <f aca="false">K266*(1-TaxRate)+K264</f>
        <v>103.288784553512</v>
      </c>
      <c r="L267" s="8" t="n">
        <f aca="false">L266*(1-TaxRate)+L264</f>
        <v>105.354560244582</v>
      </c>
      <c r="M267" s="8" t="n">
        <f aca="false">M266*(1-TaxRate)+M264</f>
        <v>107.461651449474</v>
      </c>
      <c r="N267" s="8" t="n">
        <f aca="false">N266*(1-TaxRate)+N264</f>
        <v>109.610884478463</v>
      </c>
      <c r="O267" s="8" t="n">
        <f aca="false">O266*(1-TaxRate)+O264</f>
        <v>111.803102168033</v>
      </c>
      <c r="P267" s="8" t="n">
        <f aca="false">P266*(1-TaxRate)+P264</f>
        <v>114.039164211393</v>
      </c>
      <c r="Q267" s="8" t="n">
        <f aca="false">Q266*(1-TaxRate)+Q264</f>
        <v>116.319947495621</v>
      </c>
      <c r="R267" s="8" t="n">
        <f aca="false">R266*(1-TaxRate)+R264</f>
        <v>118.646346445533</v>
      </c>
      <c r="S267" s="8" t="n">
        <f aca="false">S266*(1-TaxRate)+S264</f>
        <v>121.019273374444</v>
      </c>
      <c r="T267" s="8" t="n">
        <f aca="false">T266*(1-TaxRate)+T264</f>
        <v>123.439658841933</v>
      </c>
      <c r="U267" s="8" t="n">
        <f aca="false">U266*(1-TaxRate)+U264</f>
        <v>0</v>
      </c>
      <c r="V267" s="8" t="n">
        <f aca="false">V266*(1-TaxRate)+V264</f>
        <v>0</v>
      </c>
      <c r="W267" s="8" t="n">
        <f aca="false">W266*(1-TaxRate)+W264</f>
        <v>0</v>
      </c>
      <c r="X267" s="8" t="n">
        <f aca="false">X266*(1-TaxRate)+X264</f>
        <v>0</v>
      </c>
      <c r="Y267" s="8" t="n">
        <f aca="false">Y266*(1-TaxRate)+Y264</f>
        <v>0</v>
      </c>
      <c r="Z267" s="8" t="n">
        <f aca="false">Z266*(1-TaxRate)+Z264</f>
        <v>0</v>
      </c>
      <c r="AA267" s="8" t="n">
        <f aca="false">AA266*(1-TaxRate)+AA264</f>
        <v>0</v>
      </c>
      <c r="AB267" s="8" t="n">
        <f aca="false">AB266*(1-TaxRate)+AB264</f>
        <v>0</v>
      </c>
      <c r="AC267" s="8" t="n">
        <f aca="false">AC266*(1-TaxRate)+AC264</f>
        <v>0</v>
      </c>
      <c r="AD267" s="8" t="n">
        <f aca="false">AD266*(1-TaxRate)+AD264</f>
        <v>0</v>
      </c>
      <c r="AE267" s="8" t="n">
        <f aca="false">AE266*(1-TaxRate)+AE264</f>
        <v>0</v>
      </c>
      <c r="AF267" s="8" t="n">
        <f aca="false">AF266*(1-TaxRate)+AF264</f>
        <v>0</v>
      </c>
      <c r="AG267" s="8" t="n">
        <f aca="false">AG266*(1-TaxRate)+AG264</f>
        <v>0</v>
      </c>
      <c r="AH267" s="8" t="n">
        <f aca="false">AH266*(1-TaxRate)+AH264</f>
        <v>0</v>
      </c>
      <c r="AI267" s="8" t="n">
        <f aca="false">AI266*(1-TaxRate)+AI264</f>
        <v>0</v>
      </c>
      <c r="AJ267" s="8" t="n">
        <f aca="false">AJ266*(1-TaxRate)+AJ264</f>
        <v>0</v>
      </c>
      <c r="AK267" s="8" t="n">
        <f aca="false">AK266*(1-TaxRate)+AK264</f>
        <v>0</v>
      </c>
      <c r="AL267" s="8" t="n">
        <f aca="false">AL266*(1-TaxRate)+AL264</f>
        <v>0</v>
      </c>
      <c r="AM267" s="8" t="n">
        <f aca="false">AM266*(1-TaxRate)+AM264</f>
        <v>0</v>
      </c>
      <c r="AN267" s="8" t="n">
        <f aca="false">AN266*(1-TaxRate)+AN264</f>
        <v>0</v>
      </c>
      <c r="AO267" s="8" t="n">
        <f aca="false">AO266*(1-TaxRate)+AO264</f>
        <v>0</v>
      </c>
      <c r="AP267" s="8" t="n">
        <f aca="false">AP266*(1-TaxRate)+AP264</f>
        <v>0</v>
      </c>
      <c r="AQ267" s="8" t="n">
        <f aca="false">AQ266*(1-TaxRate)+AQ264</f>
        <v>0</v>
      </c>
      <c r="AR267" s="8" t="n">
        <f aca="false">AR266*(1-TaxRate)+AR264</f>
        <v>0</v>
      </c>
      <c r="AS267" s="8" t="n">
        <f aca="false">AS266*(1-TaxRate)+AS264</f>
        <v>0</v>
      </c>
    </row>
    <row r="268" customFormat="false" ht="15" hidden="false" customHeight="false" outlineLevel="0" collapsed="false">
      <c r="A268" s="6" t="s">
        <v>469</v>
      </c>
      <c r="B268" s="6" t="s">
        <v>470</v>
      </c>
      <c r="G268" s="8" t="n">
        <f aca="false">G265*(1-TaxRate)</f>
        <v>0</v>
      </c>
      <c r="H268" s="8" t="n">
        <f aca="false">H265*(1-TaxRate)</f>
        <v>0</v>
      </c>
      <c r="I268" s="8" t="n">
        <f aca="false">I265*(1-TaxRate)</f>
        <v>0</v>
      </c>
      <c r="J268" s="8" t="n">
        <f aca="false">J265*(1-TaxRate)</f>
        <v>0</v>
      </c>
      <c r="K268" s="8" t="n">
        <f aca="false">K265*(1-TaxRate)</f>
        <v>0</v>
      </c>
      <c r="L268" s="8" t="n">
        <f aca="false">L265*(1-TaxRate)</f>
        <v>0</v>
      </c>
      <c r="M268" s="8" t="n">
        <f aca="false">M265*(1-TaxRate)</f>
        <v>0</v>
      </c>
      <c r="N268" s="8" t="n">
        <f aca="false">N265*(1-TaxRate)</f>
        <v>0</v>
      </c>
      <c r="O268" s="8" t="n">
        <f aca="false">O265*(1-TaxRate)</f>
        <v>0</v>
      </c>
      <c r="P268" s="8" t="n">
        <f aca="false">P265*(1-TaxRate)</f>
        <v>0</v>
      </c>
      <c r="Q268" s="8" t="n">
        <f aca="false">Q265*(1-TaxRate)</f>
        <v>0</v>
      </c>
      <c r="R268" s="8" t="n">
        <f aca="false">R265*(1-TaxRate)</f>
        <v>0</v>
      </c>
      <c r="S268" s="8" t="n">
        <f aca="false">S265*(1-TaxRate)</f>
        <v>0</v>
      </c>
      <c r="T268" s="8" t="n">
        <f aca="false">T265*(1-TaxRate)</f>
        <v>0</v>
      </c>
      <c r="U268" s="8" t="n">
        <f aca="false">U265*(1-TaxRate)</f>
        <v>0</v>
      </c>
      <c r="V268" s="8" t="n">
        <f aca="false">V265*(1-TaxRate)</f>
        <v>0</v>
      </c>
      <c r="W268" s="8" t="n">
        <f aca="false">W265*(1-TaxRate)</f>
        <v>0</v>
      </c>
      <c r="X268" s="8" t="n">
        <f aca="false">X265*(1-TaxRate)</f>
        <v>0</v>
      </c>
      <c r="Y268" s="8" t="n">
        <f aca="false">Y265*(1-TaxRate)</f>
        <v>0</v>
      </c>
      <c r="Z268" s="8" t="n">
        <f aca="false">Z265*(1-TaxRate)</f>
        <v>0</v>
      </c>
      <c r="AA268" s="8" t="n">
        <f aca="false">AA265*(1-TaxRate)</f>
        <v>0</v>
      </c>
      <c r="AB268" s="8" t="n">
        <f aca="false">AB265*(1-TaxRate)</f>
        <v>0</v>
      </c>
      <c r="AC268" s="8" t="n">
        <f aca="false">AC265*(1-TaxRate)</f>
        <v>0</v>
      </c>
      <c r="AD268" s="8" t="n">
        <f aca="false">AD265*(1-TaxRate)</f>
        <v>0</v>
      </c>
      <c r="AE268" s="8" t="n">
        <f aca="false">AE265*(1-TaxRate)</f>
        <v>0</v>
      </c>
      <c r="AF268" s="8" t="n">
        <f aca="false">AF265*(1-TaxRate)</f>
        <v>0</v>
      </c>
      <c r="AG268" s="8" t="n">
        <f aca="false">AG265*(1-TaxRate)</f>
        <v>0</v>
      </c>
      <c r="AH268" s="8" t="n">
        <f aca="false">AH265*(1-TaxRate)</f>
        <v>0</v>
      </c>
      <c r="AI268" s="8" t="n">
        <f aca="false">AI265*(1-TaxRate)</f>
        <v>0</v>
      </c>
      <c r="AJ268" s="8" t="n">
        <f aca="false">AJ265*(1-TaxRate)</f>
        <v>0</v>
      </c>
      <c r="AK268" s="8" t="n">
        <f aca="false">AK265*(1-TaxRate)</f>
        <v>0</v>
      </c>
      <c r="AL268" s="8" t="n">
        <f aca="false">AL265*(1-TaxRate)</f>
        <v>0</v>
      </c>
      <c r="AM268" s="8" t="n">
        <f aca="false">AM265*(1-TaxRate)</f>
        <v>0</v>
      </c>
      <c r="AN268" s="8" t="n">
        <f aca="false">AN265*(1-TaxRate)</f>
        <v>0</v>
      </c>
      <c r="AO268" s="8" t="n">
        <f aca="false">AO265*(1-TaxRate)</f>
        <v>0</v>
      </c>
      <c r="AP268" s="8" t="n">
        <f aca="false">AP265*(1-TaxRate)</f>
        <v>0</v>
      </c>
      <c r="AQ268" s="8" t="n">
        <f aca="false">AQ265*(1-TaxRate)</f>
        <v>0</v>
      </c>
      <c r="AR268" s="8" t="n">
        <f aca="false">AR265*(1-TaxRate)</f>
        <v>0</v>
      </c>
      <c r="AS268" s="8" t="n">
        <f aca="false">AS265*(1-TaxRate)</f>
        <v>0</v>
      </c>
    </row>
    <row r="269" customFormat="false" ht="15" hidden="false" customHeight="false" outlineLevel="0" collapsed="false">
      <c r="A269" s="6" t="s">
        <v>471</v>
      </c>
      <c r="B269" s="6" t="s">
        <v>472</v>
      </c>
      <c r="G269" s="42" t="n">
        <f aca="false">(1+VST_Assets!$AE$9)^-(G$3+0.5-ValDate)</f>
        <v>0.934199026996437</v>
      </c>
      <c r="H269" s="42" t="n">
        <f aca="false">(1+VST_Assets!$AE$9)^-(H$3+0.5-ValDate)</f>
        <v>0.853149796343778</v>
      </c>
      <c r="I269" s="42" t="n">
        <f aca="false">(1+VST_Assets!$AE$9)^-(I$3+0.5-ValDate)</f>
        <v>0.779132234103907</v>
      </c>
      <c r="J269" s="42" t="n">
        <f aca="false">(1+VST_Assets!$AE$9)^-(J$3+0.5-ValDate)</f>
        <v>0.711536286852883</v>
      </c>
      <c r="K269" s="42" t="n">
        <f aca="false">(1+VST_Assets!$AE$9)^-(K$3+0.5-ValDate)</f>
        <v>0.649804828176149</v>
      </c>
      <c r="L269" s="42" t="n">
        <f aca="false">(1+VST_Assets!$AE$9)^-(L$3+0.5-ValDate)</f>
        <v>0.593429066827533</v>
      </c>
      <c r="M269" s="42" t="n">
        <f aca="false">(1+VST_Assets!$AE$9)^-(M$3+0.5-ValDate)</f>
        <v>0.541944353267154</v>
      </c>
      <c r="N269" s="42" t="n">
        <f aca="false">(1+VST_Assets!$AE$9)^-(N$3+0.5-ValDate)</f>
        <v>0.494926350015666</v>
      </c>
      <c r="O269" s="42" t="n">
        <f aca="false">(1+VST_Assets!$AE$9)^-(O$3+0.5-ValDate)</f>
        <v>0.451987534260882</v>
      </c>
      <c r="P269" s="42" t="n">
        <f aca="false">(1+VST_Assets!$AE$9)^-(P$3+0.5-ValDate)</f>
        <v>0.412774003891216</v>
      </c>
      <c r="Q269" s="42" t="n">
        <f aca="false">(1+VST_Assets!$AE$9)^-(Q$3+0.5-ValDate)</f>
        <v>0.376962560631248</v>
      </c>
      <c r="R269" s="42" t="n">
        <f aca="false">(1+VST_Assets!$AE$9)^-(R$3+0.5-ValDate)</f>
        <v>0.344258046238582</v>
      </c>
      <c r="S269" s="42" t="n">
        <f aca="false">(1+VST_Assets!$AE$9)^-(S$3+0.5-ValDate)</f>
        <v>0.314390909806925</v>
      </c>
      <c r="T269" s="42" t="n">
        <f aca="false">(1+VST_Assets!$AE$9)^-(T$3+0.5-ValDate)</f>
        <v>0.287114986125045</v>
      </c>
      <c r="U269" s="42" t="n">
        <f aca="false">(1+VST_Assets!$AE$9)^-(U$3+0.5-ValDate)</f>
        <v>0.262205466780863</v>
      </c>
      <c r="V269" s="42" t="n">
        <f aca="false">(1+VST_Assets!$AE$9)^-(V$3+0.5-ValDate)</f>
        <v>0.23945704728846</v>
      </c>
      <c r="W269" s="42" t="n">
        <f aca="false">(1+VST_Assets!$AE$9)^-(W$3+0.5-ValDate)</f>
        <v>0.21868223496663</v>
      </c>
      <c r="X269" s="42" t="n">
        <f aca="false">(1+VST_Assets!$AE$9)^-(X$3+0.5-ValDate)</f>
        <v>0.199709803622493</v>
      </c>
      <c r="Y269" s="42" t="n">
        <f aca="false">(1+VST_Assets!$AE$9)^-(Y$3+0.5-ValDate)</f>
        <v>0.182383382303647</v>
      </c>
      <c r="Z269" s="42" t="n">
        <f aca="false">(1+VST_Assets!$AE$9)^-(Z$3+0.5-ValDate)</f>
        <v>0.166560166487348</v>
      </c>
      <c r="AA269" s="42" t="n">
        <f aca="false">(1+VST_Assets!$AE$9)^-(AA$3+0.5-ValDate)</f>
        <v>0.152109741084336</v>
      </c>
      <c r="AB269" s="42" t="n">
        <f aca="false">(1+VST_Assets!$AE$9)^-(AB$3+0.5-ValDate)</f>
        <v>0.138913005556472</v>
      </c>
      <c r="AC269" s="42" t="n">
        <f aca="false">(1+VST_Assets!$AE$9)^-(AC$3+0.5-ValDate)</f>
        <v>0.126861192289015</v>
      </c>
      <c r="AD269" s="42" t="n">
        <f aca="false">(1+VST_Assets!$AE$9)^-(AD$3+0.5-ValDate)</f>
        <v>0.115854970126955</v>
      </c>
      <c r="AE269" s="42" t="n">
        <f aca="false">(1+VST_Assets!$AE$9)^-(AE$3+0.5-ValDate)</f>
        <v>0.105803625686716</v>
      </c>
      <c r="AF269" s="42" t="n">
        <f aca="false">(1+VST_Assets!$AE$9)^-(AF$3+0.5-ValDate)</f>
        <v>0.0966243156956315</v>
      </c>
      <c r="AG269" s="42" t="n">
        <f aca="false">(1+VST_Assets!$AE$9)^-(AG$3+0.5-ValDate)</f>
        <v>0.0882413841969238</v>
      </c>
      <c r="AH269" s="42" t="n">
        <f aca="false">(1+VST_Assets!$AE$9)^-(AH$3+0.5-ValDate)</f>
        <v>0.0805857389926244</v>
      </c>
      <c r="AI269" s="42" t="n">
        <f aca="false">(1+VST_Assets!$AE$9)^-(AI$3+0.5-ValDate)</f>
        <v>0.0735942821850451</v>
      </c>
      <c r="AJ269" s="42" t="n">
        <f aca="false">(1+VST_Assets!$AE$9)^-(AJ$3+0.5-ValDate)</f>
        <v>0.0672093901233289</v>
      </c>
      <c r="AK269" s="42" t="n">
        <f aca="false">(1+VST_Assets!$AE$9)^-(AK$3+0.5-ValDate)</f>
        <v>0.0613784384687935</v>
      </c>
      <c r="AL269" s="42" t="n">
        <f aca="false">(1+VST_Assets!$AE$9)^-(AL$3+0.5-ValDate)</f>
        <v>0.0560533684646516</v>
      </c>
      <c r="AM269" s="42" t="n">
        <f aca="false">(1+VST_Assets!$AE$9)^-(AM$3+0.5-ValDate)</f>
        <v>0.0511902908352983</v>
      </c>
      <c r="AN269" s="42" t="n">
        <f aca="false">(1+VST_Assets!$AE$9)^-(AN$3+0.5-ValDate)</f>
        <v>0.0467491240505007</v>
      </c>
      <c r="AO269" s="42" t="n">
        <f aca="false">(1+VST_Assets!$AE$9)^-(AO$3+0.5-ValDate)</f>
        <v>0.04269326397306</v>
      </c>
      <c r="AP269" s="42" t="n">
        <f aca="false">(1+VST_Assets!$AE$9)^-(AP$3+0.5-ValDate)</f>
        <v>0.0389892821671781</v>
      </c>
      <c r="AQ269" s="42" t="n">
        <f aca="false">(1+VST_Assets!$AE$9)^-(AQ$3+0.5-ValDate)</f>
        <v>0.0356066503809846</v>
      </c>
      <c r="AR269" s="42" t="n">
        <f aca="false">(1+VST_Assets!$AE$9)^-(AR$3+0.5-ValDate)</f>
        <v>0.032517488932406</v>
      </c>
      <c r="AS269" s="42" t="n">
        <f aca="false">(1+VST_Assets!$AE$9)^-(AS$3+0.5-ValDate)</f>
        <v>0.0296963369245717</v>
      </c>
    </row>
    <row r="270" customFormat="false" ht="15" hidden="false" customHeight="false" outlineLevel="0" collapsed="false">
      <c r="A270" s="6" t="s">
        <v>473</v>
      </c>
      <c r="B270" s="6" t="s">
        <v>474</v>
      </c>
      <c r="G270" s="42" t="n">
        <f aca="false">(1+VST_Assets!$AF$9)^-(G$3+0.5-ValDate)</f>
        <v>0.934199026996437</v>
      </c>
      <c r="H270" s="42" t="n">
        <f aca="false">(1+VST_Assets!$AF$9)^-(H$3+0.5-ValDate)</f>
        <v>0.853149796343778</v>
      </c>
      <c r="I270" s="42" t="n">
        <f aca="false">(1+VST_Assets!$AF$9)^-(I$3+0.5-ValDate)</f>
        <v>0.779132234103907</v>
      </c>
      <c r="J270" s="42" t="n">
        <f aca="false">(1+VST_Assets!$AF$9)^-(J$3+0.5-ValDate)</f>
        <v>0.711536286852883</v>
      </c>
      <c r="K270" s="42" t="n">
        <f aca="false">(1+VST_Assets!$AF$9)^-(K$3+0.5-ValDate)</f>
        <v>0.649804828176149</v>
      </c>
      <c r="L270" s="42" t="n">
        <f aca="false">(1+VST_Assets!$AF$9)^-(L$3+0.5-ValDate)</f>
        <v>0.593429066827533</v>
      </c>
      <c r="M270" s="42" t="n">
        <f aca="false">(1+VST_Assets!$AF$9)^-(M$3+0.5-ValDate)</f>
        <v>0.541944353267154</v>
      </c>
      <c r="N270" s="42" t="n">
        <f aca="false">(1+VST_Assets!$AF$9)^-(N$3+0.5-ValDate)</f>
        <v>0.494926350015666</v>
      </c>
      <c r="O270" s="42" t="n">
        <f aca="false">(1+VST_Assets!$AF$9)^-(O$3+0.5-ValDate)</f>
        <v>0.451987534260882</v>
      </c>
      <c r="P270" s="42" t="n">
        <f aca="false">(1+VST_Assets!$AF$9)^-(P$3+0.5-ValDate)</f>
        <v>0.412774003891216</v>
      </c>
      <c r="Q270" s="42" t="n">
        <f aca="false">(1+VST_Assets!$AF$9)^-(Q$3+0.5-ValDate)</f>
        <v>0.376962560631248</v>
      </c>
      <c r="R270" s="42" t="n">
        <f aca="false">(1+VST_Assets!$AF$9)^-(R$3+0.5-ValDate)</f>
        <v>0.344258046238582</v>
      </c>
      <c r="S270" s="42" t="n">
        <f aca="false">(1+VST_Assets!$AF$9)^-(S$3+0.5-ValDate)</f>
        <v>0.314390909806925</v>
      </c>
      <c r="T270" s="42" t="n">
        <f aca="false">(1+VST_Assets!$AF$9)^-(T$3+0.5-ValDate)</f>
        <v>0.287114986125045</v>
      </c>
      <c r="U270" s="42" t="n">
        <f aca="false">(1+VST_Assets!$AF$9)^-(U$3+0.5-ValDate)</f>
        <v>0.262205466780863</v>
      </c>
      <c r="V270" s="42" t="n">
        <f aca="false">(1+VST_Assets!$AF$9)^-(V$3+0.5-ValDate)</f>
        <v>0.23945704728846</v>
      </c>
      <c r="W270" s="42" t="n">
        <f aca="false">(1+VST_Assets!$AF$9)^-(W$3+0.5-ValDate)</f>
        <v>0.21868223496663</v>
      </c>
      <c r="X270" s="42" t="n">
        <f aca="false">(1+VST_Assets!$AF$9)^-(X$3+0.5-ValDate)</f>
        <v>0.199709803622493</v>
      </c>
      <c r="Y270" s="42" t="n">
        <f aca="false">(1+VST_Assets!$AF$9)^-(Y$3+0.5-ValDate)</f>
        <v>0.182383382303647</v>
      </c>
      <c r="Z270" s="42" t="n">
        <f aca="false">(1+VST_Assets!$AF$9)^-(Z$3+0.5-ValDate)</f>
        <v>0.166560166487348</v>
      </c>
      <c r="AA270" s="42" t="n">
        <f aca="false">(1+VST_Assets!$AF$9)^-(AA$3+0.5-ValDate)</f>
        <v>0.152109741084336</v>
      </c>
      <c r="AB270" s="42" t="n">
        <f aca="false">(1+VST_Assets!$AF$9)^-(AB$3+0.5-ValDate)</f>
        <v>0.138913005556472</v>
      </c>
      <c r="AC270" s="42" t="n">
        <f aca="false">(1+VST_Assets!$AF$9)^-(AC$3+0.5-ValDate)</f>
        <v>0.126861192289015</v>
      </c>
      <c r="AD270" s="42" t="n">
        <f aca="false">(1+VST_Assets!$AF$9)^-(AD$3+0.5-ValDate)</f>
        <v>0.115854970126955</v>
      </c>
      <c r="AE270" s="42" t="n">
        <f aca="false">(1+VST_Assets!$AF$9)^-(AE$3+0.5-ValDate)</f>
        <v>0.105803625686716</v>
      </c>
      <c r="AF270" s="42" t="n">
        <f aca="false">(1+VST_Assets!$AF$9)^-(AF$3+0.5-ValDate)</f>
        <v>0.0966243156956315</v>
      </c>
      <c r="AG270" s="42" t="n">
        <f aca="false">(1+VST_Assets!$AF$9)^-(AG$3+0.5-ValDate)</f>
        <v>0.0882413841969238</v>
      </c>
      <c r="AH270" s="42" t="n">
        <f aca="false">(1+VST_Assets!$AF$9)^-(AH$3+0.5-ValDate)</f>
        <v>0.0805857389926244</v>
      </c>
      <c r="AI270" s="42" t="n">
        <f aca="false">(1+VST_Assets!$AF$9)^-(AI$3+0.5-ValDate)</f>
        <v>0.0735942821850451</v>
      </c>
      <c r="AJ270" s="42" t="n">
        <f aca="false">(1+VST_Assets!$AF$9)^-(AJ$3+0.5-ValDate)</f>
        <v>0.0672093901233289</v>
      </c>
      <c r="AK270" s="42" t="n">
        <f aca="false">(1+VST_Assets!$AF$9)^-(AK$3+0.5-ValDate)</f>
        <v>0.0613784384687935</v>
      </c>
      <c r="AL270" s="42" t="n">
        <f aca="false">(1+VST_Assets!$AF$9)^-(AL$3+0.5-ValDate)</f>
        <v>0.0560533684646516</v>
      </c>
      <c r="AM270" s="42" t="n">
        <f aca="false">(1+VST_Assets!$AF$9)^-(AM$3+0.5-ValDate)</f>
        <v>0.0511902908352983</v>
      </c>
      <c r="AN270" s="42" t="n">
        <f aca="false">(1+VST_Assets!$AF$9)^-(AN$3+0.5-ValDate)</f>
        <v>0.0467491240505007</v>
      </c>
      <c r="AO270" s="42" t="n">
        <f aca="false">(1+VST_Assets!$AF$9)^-(AO$3+0.5-ValDate)</f>
        <v>0.04269326397306</v>
      </c>
      <c r="AP270" s="42" t="n">
        <f aca="false">(1+VST_Assets!$AF$9)^-(AP$3+0.5-ValDate)</f>
        <v>0.0389892821671781</v>
      </c>
      <c r="AQ270" s="42" t="n">
        <f aca="false">(1+VST_Assets!$AF$9)^-(AQ$3+0.5-ValDate)</f>
        <v>0.0356066503809846</v>
      </c>
      <c r="AR270" s="42" t="n">
        <f aca="false">(1+VST_Assets!$AF$9)^-(AR$3+0.5-ValDate)</f>
        <v>0.032517488932406</v>
      </c>
      <c r="AS270" s="42" t="n">
        <f aca="false">(1+VST_Assets!$AF$9)^-(AS$3+0.5-ValDate)</f>
        <v>0.0296963369245717</v>
      </c>
    </row>
    <row r="271" customFormat="false" ht="15" hidden="false" customHeight="false" outlineLevel="0" collapsed="false">
      <c r="A271" s="6" t="s">
        <v>475</v>
      </c>
      <c r="B271" s="6" t="s">
        <v>476</v>
      </c>
      <c r="C271" s="43" t="n">
        <f aca="false">SUM(G271:AS271)</f>
        <v>893.978669806604</v>
      </c>
      <c r="D271" s="8" t="n">
        <f aca="false">SUMIF($G$3:$AS$3,"&lt;="&amp;Horizon,G271:AS271)</f>
        <v>396.065139401834</v>
      </c>
      <c r="E271" s="8" t="n">
        <f aca="false">(C271-D271)*(1+VST_Assets!$AE$9)^(Horizon+1-ValDate)</f>
        <v>732.257678711304</v>
      </c>
      <c r="G271" s="8" t="n">
        <f aca="false">G267*G269</f>
        <v>124.255422227062</v>
      </c>
      <c r="H271" s="8" t="n">
        <f aca="false">H267*H269</f>
        <v>114.492298475627</v>
      </c>
      <c r="I271" s="8" t="n">
        <f aca="false">I267*I269</f>
        <v>85.2647537631124</v>
      </c>
      <c r="J271" s="8" t="n">
        <f aca="false">J267*J269</f>
        <v>72.0526649360326</v>
      </c>
      <c r="K271" s="8" t="n">
        <f aca="false">K267*K269</f>
        <v>67.1175508993181</v>
      </c>
      <c r="L271" s="8" t="n">
        <f aca="false">L267*L269</f>
        <v>62.5204583719675</v>
      </c>
      <c r="M271" s="8" t="n">
        <f aca="false">M267*M269</f>
        <v>58.2382351958053</v>
      </c>
      <c r="N271" s="8" t="n">
        <f aca="false">N267*N269</f>
        <v>54.2493149769146</v>
      </c>
      <c r="O271" s="8" t="n">
        <f aca="false">O267*O269</f>
        <v>50.5336084716465</v>
      </c>
      <c r="P271" s="8" t="n">
        <f aca="false">P267*P269</f>
        <v>47.0724024119447</v>
      </c>
      <c r="Q271" s="8" t="n">
        <f aca="false">Q267*Q269</f>
        <v>43.8482652604416</v>
      </c>
      <c r="R271" s="8" t="n">
        <f aca="false">R267*R269</f>
        <v>40.8449594206853</v>
      </c>
      <c r="S271" s="8" t="n">
        <f aca="false">S267*S269</f>
        <v>38.0473594603644</v>
      </c>
      <c r="T271" s="8" t="n">
        <f aca="false">T267*T269</f>
        <v>35.4413759356819</v>
      </c>
      <c r="U271" s="8" t="n">
        <f aca="false">U267*U269</f>
        <v>0</v>
      </c>
      <c r="V271" s="8" t="n">
        <f aca="false">V267*V269</f>
        <v>0</v>
      </c>
      <c r="W271" s="8" t="n">
        <f aca="false">W267*W269</f>
        <v>0</v>
      </c>
      <c r="X271" s="8" t="n">
        <f aca="false">X267*X269</f>
        <v>0</v>
      </c>
      <c r="Y271" s="8" t="n">
        <f aca="false">Y267*Y269</f>
        <v>0</v>
      </c>
      <c r="Z271" s="8" t="n">
        <f aca="false">Z267*Z269</f>
        <v>0</v>
      </c>
      <c r="AA271" s="8" t="n">
        <f aca="false">AA267*AA269</f>
        <v>0</v>
      </c>
      <c r="AB271" s="8" t="n">
        <f aca="false">AB267*AB269</f>
        <v>0</v>
      </c>
      <c r="AC271" s="8" t="n">
        <f aca="false">AC267*AC269</f>
        <v>0</v>
      </c>
      <c r="AD271" s="8" t="n">
        <f aca="false">AD267*AD269</f>
        <v>0</v>
      </c>
      <c r="AE271" s="8" t="n">
        <f aca="false">AE267*AE269</f>
        <v>0</v>
      </c>
      <c r="AF271" s="8" t="n">
        <f aca="false">AF267*AF269</f>
        <v>0</v>
      </c>
      <c r="AG271" s="8" t="n">
        <f aca="false">AG267*AG269</f>
        <v>0</v>
      </c>
      <c r="AH271" s="8" t="n">
        <f aca="false">AH267*AH269</f>
        <v>0</v>
      </c>
      <c r="AI271" s="8" t="n">
        <f aca="false">AI267*AI269</f>
        <v>0</v>
      </c>
      <c r="AJ271" s="8" t="n">
        <f aca="false">AJ267*AJ269</f>
        <v>0</v>
      </c>
      <c r="AK271" s="8" t="n">
        <f aca="false">AK267*AK269</f>
        <v>0</v>
      </c>
      <c r="AL271" s="8" t="n">
        <f aca="false">AL267*AL269</f>
        <v>0</v>
      </c>
      <c r="AM271" s="8" t="n">
        <f aca="false">AM267*AM269</f>
        <v>0</v>
      </c>
      <c r="AN271" s="8" t="n">
        <f aca="false">AN267*AN269</f>
        <v>0</v>
      </c>
      <c r="AO271" s="8" t="n">
        <f aca="false">AO267*AO269</f>
        <v>0</v>
      </c>
      <c r="AP271" s="8" t="n">
        <f aca="false">AP267*AP269</f>
        <v>0</v>
      </c>
      <c r="AQ271" s="8" t="n">
        <f aca="false">AQ267*AQ269</f>
        <v>0</v>
      </c>
      <c r="AR271" s="8" t="n">
        <f aca="false">AR267*AR269</f>
        <v>0</v>
      </c>
      <c r="AS271" s="8" t="n">
        <f aca="false">AS267*AS269</f>
        <v>0</v>
      </c>
    </row>
    <row r="272" customFormat="false" ht="15" hidden="false" customHeight="false" outlineLevel="0" collapsed="false">
      <c r="A272" s="6" t="s">
        <v>477</v>
      </c>
      <c r="B272" s="6" t="s">
        <v>478</v>
      </c>
      <c r="C272" s="43" t="n">
        <f aca="false">SUM(G272:AS272)</f>
        <v>0</v>
      </c>
      <c r="D272" s="8" t="n">
        <f aca="false">SUMIF($G$3:$AS$3,"&lt;="&amp;Horizon,G272:AS272)</f>
        <v>0</v>
      </c>
      <c r="E272" s="8" t="n">
        <f aca="false">(C272-D272)*(1+VST_Assets!$AF$9)^(Horizon+1-ValDate)</f>
        <v>0</v>
      </c>
      <c r="G272" s="8" t="n">
        <f aca="false">G268*G270</f>
        <v>0</v>
      </c>
      <c r="H272" s="8" t="n">
        <f aca="false">H268*H270</f>
        <v>0</v>
      </c>
      <c r="I272" s="8" t="n">
        <f aca="false">I268*I270</f>
        <v>0</v>
      </c>
      <c r="J272" s="8" t="n">
        <f aca="false">J268*J270</f>
        <v>0</v>
      </c>
      <c r="K272" s="8" t="n">
        <f aca="false">K268*K270</f>
        <v>0</v>
      </c>
      <c r="L272" s="8" t="n">
        <f aca="false">L268*L270</f>
        <v>0</v>
      </c>
      <c r="M272" s="8" t="n">
        <f aca="false">M268*M270</f>
        <v>0</v>
      </c>
      <c r="N272" s="8" t="n">
        <f aca="false">N268*N270</f>
        <v>0</v>
      </c>
      <c r="O272" s="8" t="n">
        <f aca="false">O268*O270</f>
        <v>0</v>
      </c>
      <c r="P272" s="8" t="n">
        <f aca="false">P268*P270</f>
        <v>0</v>
      </c>
      <c r="Q272" s="8" t="n">
        <f aca="false">Q268*Q270</f>
        <v>0</v>
      </c>
      <c r="R272" s="8" t="n">
        <f aca="false">R268*R270</f>
        <v>0</v>
      </c>
      <c r="S272" s="8" t="n">
        <f aca="false">S268*S270</f>
        <v>0</v>
      </c>
      <c r="T272" s="8" t="n">
        <f aca="false">T268*T270</f>
        <v>0</v>
      </c>
      <c r="U272" s="8" t="n">
        <f aca="false">U268*U270</f>
        <v>0</v>
      </c>
      <c r="V272" s="8" t="n">
        <f aca="false">V268*V270</f>
        <v>0</v>
      </c>
      <c r="W272" s="8" t="n">
        <f aca="false">W268*W270</f>
        <v>0</v>
      </c>
      <c r="X272" s="8" t="n">
        <f aca="false">X268*X270</f>
        <v>0</v>
      </c>
      <c r="Y272" s="8" t="n">
        <f aca="false">Y268*Y270</f>
        <v>0</v>
      </c>
      <c r="Z272" s="8" t="n">
        <f aca="false">Z268*Z270</f>
        <v>0</v>
      </c>
      <c r="AA272" s="8" t="n">
        <f aca="false">AA268*AA270</f>
        <v>0</v>
      </c>
      <c r="AB272" s="8" t="n">
        <f aca="false">AB268*AB270</f>
        <v>0</v>
      </c>
      <c r="AC272" s="8" t="n">
        <f aca="false">AC268*AC270</f>
        <v>0</v>
      </c>
      <c r="AD272" s="8" t="n">
        <f aca="false">AD268*AD270</f>
        <v>0</v>
      </c>
      <c r="AE272" s="8" t="n">
        <f aca="false">AE268*AE270</f>
        <v>0</v>
      </c>
      <c r="AF272" s="8" t="n">
        <f aca="false">AF268*AF270</f>
        <v>0</v>
      </c>
      <c r="AG272" s="8" t="n">
        <f aca="false">AG268*AG270</f>
        <v>0</v>
      </c>
      <c r="AH272" s="8" t="n">
        <f aca="false">AH268*AH270</f>
        <v>0</v>
      </c>
      <c r="AI272" s="8" t="n">
        <f aca="false">AI268*AI270</f>
        <v>0</v>
      </c>
      <c r="AJ272" s="8" t="n">
        <f aca="false">AJ268*AJ270</f>
        <v>0</v>
      </c>
      <c r="AK272" s="8" t="n">
        <f aca="false">AK268*AK270</f>
        <v>0</v>
      </c>
      <c r="AL272" s="8" t="n">
        <f aca="false">AL268*AL270</f>
        <v>0</v>
      </c>
      <c r="AM272" s="8" t="n">
        <f aca="false">AM268*AM270</f>
        <v>0</v>
      </c>
      <c r="AN272" s="8" t="n">
        <f aca="false">AN268*AN270</f>
        <v>0</v>
      </c>
      <c r="AO272" s="8" t="n">
        <f aca="false">AO268*AO270</f>
        <v>0</v>
      </c>
      <c r="AP272" s="8" t="n">
        <f aca="false">AP268*AP270</f>
        <v>0</v>
      </c>
      <c r="AQ272" s="8" t="n">
        <f aca="false">AQ268*AQ270</f>
        <v>0</v>
      </c>
      <c r="AR272" s="8" t="n">
        <f aca="false">AR268*AR270</f>
        <v>0</v>
      </c>
      <c r="AS272" s="8" t="n">
        <f aca="false">AS268*AS270</f>
        <v>0</v>
      </c>
    </row>
    <row r="273" customFormat="false" ht="15" hidden="false" customHeight="false" outlineLevel="0" collapsed="false">
      <c r="A273" s="6" t="s">
        <v>479</v>
      </c>
      <c r="B273" s="6" t="s">
        <v>480</v>
      </c>
      <c r="C273" s="43" t="n">
        <f aca="false">IF(VST_Assets!$H$9="$/kW",VST_Assets!$D$9*VST_Assets!$AI$9*(1+0.4*(PJMWLR/PJMWLRBase-1))/1000,0)</f>
        <v>0</v>
      </c>
      <c r="E273" s="8" t="n">
        <f aca="false">C273</f>
        <v>0</v>
      </c>
      <c r="G273" s="8" t="n">
        <f aca="false">0</f>
        <v>0</v>
      </c>
      <c r="H273" s="8" t="n">
        <f aca="false">0</f>
        <v>0</v>
      </c>
      <c r="I273" s="8" t="n">
        <f aca="false">0</f>
        <v>0</v>
      </c>
      <c r="J273" s="8" t="n">
        <f aca="false">0</f>
        <v>0</v>
      </c>
      <c r="K273" s="8" t="n">
        <f aca="false">0</f>
        <v>0</v>
      </c>
      <c r="L273" s="8" t="n">
        <f aca="false">0</f>
        <v>0</v>
      </c>
      <c r="M273" s="8" t="n">
        <f aca="false">0</f>
        <v>0</v>
      </c>
      <c r="N273" s="8" t="n">
        <f aca="false">0</f>
        <v>0</v>
      </c>
      <c r="O273" s="8" t="n">
        <f aca="false">0</f>
        <v>0</v>
      </c>
      <c r="P273" s="8" t="n">
        <f aca="false">0</f>
        <v>0</v>
      </c>
      <c r="Q273" s="8" t="n">
        <f aca="false">0</f>
        <v>0</v>
      </c>
      <c r="R273" s="8" t="n">
        <f aca="false">0</f>
        <v>0</v>
      </c>
      <c r="S273" s="8" t="n">
        <f aca="false">0</f>
        <v>0</v>
      </c>
      <c r="T273" s="8" t="n">
        <f aca="false">0</f>
        <v>0</v>
      </c>
      <c r="U273" s="8" t="n">
        <f aca="false">0</f>
        <v>0</v>
      </c>
      <c r="V273" s="8" t="n">
        <f aca="false">0</f>
        <v>0</v>
      </c>
      <c r="W273" s="8" t="n">
        <f aca="false">0</f>
        <v>0</v>
      </c>
      <c r="X273" s="8" t="n">
        <f aca="false">0</f>
        <v>0</v>
      </c>
      <c r="Y273" s="8" t="n">
        <f aca="false">0</f>
        <v>0</v>
      </c>
      <c r="Z273" s="8" t="n">
        <f aca="false">0</f>
        <v>0</v>
      </c>
      <c r="AA273" s="8" t="n">
        <f aca="false">0</f>
        <v>0</v>
      </c>
      <c r="AB273" s="8" t="n">
        <f aca="false">0</f>
        <v>0</v>
      </c>
      <c r="AC273" s="8" t="n">
        <f aca="false">0</f>
        <v>0</v>
      </c>
      <c r="AD273" s="8" t="n">
        <f aca="false">0</f>
        <v>0</v>
      </c>
      <c r="AE273" s="8" t="n">
        <f aca="false">0</f>
        <v>0</v>
      </c>
      <c r="AF273" s="8" t="n">
        <f aca="false">0</f>
        <v>0</v>
      </c>
      <c r="AG273" s="8" t="n">
        <f aca="false">0</f>
        <v>0</v>
      </c>
      <c r="AH273" s="8" t="n">
        <f aca="false">0</f>
        <v>0</v>
      </c>
      <c r="AI273" s="8" t="n">
        <f aca="false">0</f>
        <v>0</v>
      </c>
      <c r="AJ273" s="8" t="n">
        <f aca="false">0</f>
        <v>0</v>
      </c>
      <c r="AK273" s="8" t="n">
        <f aca="false">0</f>
        <v>0</v>
      </c>
      <c r="AL273" s="8" t="n">
        <f aca="false">0</f>
        <v>0</v>
      </c>
      <c r="AM273" s="8" t="n">
        <f aca="false">0</f>
        <v>0</v>
      </c>
      <c r="AN273" s="8" t="n">
        <f aca="false">0</f>
        <v>0</v>
      </c>
      <c r="AO273" s="8" t="n">
        <f aca="false">0</f>
        <v>0</v>
      </c>
      <c r="AP273" s="8" t="n">
        <f aca="false">0</f>
        <v>0</v>
      </c>
      <c r="AQ273" s="8" t="n">
        <f aca="false">0</f>
        <v>0</v>
      </c>
      <c r="AR273" s="8" t="n">
        <f aca="false">0</f>
        <v>0</v>
      </c>
      <c r="AS273" s="8" t="n">
        <f aca="false">0</f>
        <v>0</v>
      </c>
    </row>
    <row r="275" customFormat="false" ht="15" hidden="false" customHeight="false" outlineLevel="0" collapsed="false">
      <c r="A275" s="54" t="str">
        <f aca="false">VST_Assets!$A$10</f>
        <v>Gas/oil - East peakers</v>
      </c>
    </row>
    <row r="276" customFormat="false" ht="15" hidden="false" customHeight="false" outlineLevel="0" collapsed="false">
      <c r="A276" s="6" t="s">
        <v>425</v>
      </c>
      <c r="B276" s="6" t="s">
        <v>426</v>
      </c>
      <c r="G276" s="47" t="n">
        <f aca="false">IF(AND(G$3&gt;=VST_Assets!$E$10,G$3&lt;=VST_Assets!$F$10,VST_Assets!$H$10="Cashflow"),1,0)</f>
        <v>1</v>
      </c>
      <c r="H276" s="47" t="n">
        <f aca="false">IF(AND(H$3&gt;=VST_Assets!$E$10,H$3&lt;=VST_Assets!$F$10,VST_Assets!$H$10="Cashflow"),1,0)</f>
        <v>1</v>
      </c>
      <c r="I276" s="47" t="n">
        <f aca="false">IF(AND(I$3&gt;=VST_Assets!$E$10,I$3&lt;=VST_Assets!$F$10,VST_Assets!$H$10="Cashflow"),1,0)</f>
        <v>1</v>
      </c>
      <c r="J276" s="47" t="n">
        <f aca="false">IF(AND(J$3&gt;=VST_Assets!$E$10,J$3&lt;=VST_Assets!$F$10,VST_Assets!$H$10="Cashflow"),1,0)</f>
        <v>1</v>
      </c>
      <c r="K276" s="47" t="n">
        <f aca="false">IF(AND(K$3&gt;=VST_Assets!$E$10,K$3&lt;=VST_Assets!$F$10,VST_Assets!$H$10="Cashflow"),1,0)</f>
        <v>1</v>
      </c>
      <c r="L276" s="47" t="n">
        <f aca="false">IF(AND(L$3&gt;=VST_Assets!$E$10,L$3&lt;=VST_Assets!$F$10,VST_Assets!$H$10="Cashflow"),1,0)</f>
        <v>1</v>
      </c>
      <c r="M276" s="47" t="n">
        <f aca="false">IF(AND(M$3&gt;=VST_Assets!$E$10,M$3&lt;=VST_Assets!$F$10,VST_Assets!$H$10="Cashflow"),1,0)</f>
        <v>1</v>
      </c>
      <c r="N276" s="47" t="n">
        <f aca="false">IF(AND(N$3&gt;=VST_Assets!$E$10,N$3&lt;=VST_Assets!$F$10,VST_Assets!$H$10="Cashflow"),1,0)</f>
        <v>1</v>
      </c>
      <c r="O276" s="47" t="n">
        <f aca="false">IF(AND(O$3&gt;=VST_Assets!$E$10,O$3&lt;=VST_Assets!$F$10,VST_Assets!$H$10="Cashflow"),1,0)</f>
        <v>1</v>
      </c>
      <c r="P276" s="47" t="n">
        <f aca="false">IF(AND(P$3&gt;=VST_Assets!$E$10,P$3&lt;=VST_Assets!$F$10,VST_Assets!$H$10="Cashflow"),1,0)</f>
        <v>1</v>
      </c>
      <c r="Q276" s="47" t="n">
        <f aca="false">IF(AND(Q$3&gt;=VST_Assets!$E$10,Q$3&lt;=VST_Assets!$F$10,VST_Assets!$H$10="Cashflow"),1,0)</f>
        <v>1</v>
      </c>
      <c r="R276" s="47" t="n">
        <f aca="false">IF(AND(R$3&gt;=VST_Assets!$E$10,R$3&lt;=VST_Assets!$F$10,VST_Assets!$H$10="Cashflow"),1,0)</f>
        <v>1</v>
      </c>
      <c r="S276" s="47" t="n">
        <f aca="false">IF(AND(S$3&gt;=VST_Assets!$E$10,S$3&lt;=VST_Assets!$F$10,VST_Assets!$H$10="Cashflow"),1,0)</f>
        <v>0</v>
      </c>
      <c r="T276" s="47" t="n">
        <f aca="false">IF(AND(T$3&gt;=VST_Assets!$E$10,T$3&lt;=VST_Assets!$F$10,VST_Assets!$H$10="Cashflow"),1,0)</f>
        <v>0</v>
      </c>
      <c r="U276" s="47" t="n">
        <f aca="false">IF(AND(U$3&gt;=VST_Assets!$E$10,U$3&lt;=VST_Assets!$F$10,VST_Assets!$H$10="Cashflow"),1,0)</f>
        <v>0</v>
      </c>
      <c r="V276" s="47" t="n">
        <f aca="false">IF(AND(V$3&gt;=VST_Assets!$E$10,V$3&lt;=VST_Assets!$F$10,VST_Assets!$H$10="Cashflow"),1,0)</f>
        <v>0</v>
      </c>
      <c r="W276" s="47" t="n">
        <f aca="false">IF(AND(W$3&gt;=VST_Assets!$E$10,W$3&lt;=VST_Assets!$F$10,VST_Assets!$H$10="Cashflow"),1,0)</f>
        <v>0</v>
      </c>
      <c r="X276" s="47" t="n">
        <f aca="false">IF(AND(X$3&gt;=VST_Assets!$E$10,X$3&lt;=VST_Assets!$F$10,VST_Assets!$H$10="Cashflow"),1,0)</f>
        <v>0</v>
      </c>
      <c r="Y276" s="47" t="n">
        <f aca="false">IF(AND(Y$3&gt;=VST_Assets!$E$10,Y$3&lt;=VST_Assets!$F$10,VST_Assets!$H$10="Cashflow"),1,0)</f>
        <v>0</v>
      </c>
      <c r="Z276" s="47" t="n">
        <f aca="false">IF(AND(Z$3&gt;=VST_Assets!$E$10,Z$3&lt;=VST_Assets!$F$10,VST_Assets!$H$10="Cashflow"),1,0)</f>
        <v>0</v>
      </c>
      <c r="AA276" s="47" t="n">
        <f aca="false">IF(AND(AA$3&gt;=VST_Assets!$E$10,AA$3&lt;=VST_Assets!$F$10,VST_Assets!$H$10="Cashflow"),1,0)</f>
        <v>0</v>
      </c>
      <c r="AB276" s="47" t="n">
        <f aca="false">IF(AND(AB$3&gt;=VST_Assets!$E$10,AB$3&lt;=VST_Assets!$F$10,VST_Assets!$H$10="Cashflow"),1,0)</f>
        <v>0</v>
      </c>
      <c r="AC276" s="47" t="n">
        <f aca="false">IF(AND(AC$3&gt;=VST_Assets!$E$10,AC$3&lt;=VST_Assets!$F$10,VST_Assets!$H$10="Cashflow"),1,0)</f>
        <v>0</v>
      </c>
      <c r="AD276" s="47" t="n">
        <f aca="false">IF(AND(AD$3&gt;=VST_Assets!$E$10,AD$3&lt;=VST_Assets!$F$10,VST_Assets!$H$10="Cashflow"),1,0)</f>
        <v>0</v>
      </c>
      <c r="AE276" s="47" t="n">
        <f aca="false">IF(AND(AE$3&gt;=VST_Assets!$E$10,AE$3&lt;=VST_Assets!$F$10,VST_Assets!$H$10="Cashflow"),1,0)</f>
        <v>0</v>
      </c>
      <c r="AF276" s="47" t="n">
        <f aca="false">IF(AND(AF$3&gt;=VST_Assets!$E$10,AF$3&lt;=VST_Assets!$F$10,VST_Assets!$H$10="Cashflow"),1,0)</f>
        <v>0</v>
      </c>
      <c r="AG276" s="47" t="n">
        <f aca="false">IF(AND(AG$3&gt;=VST_Assets!$E$10,AG$3&lt;=VST_Assets!$F$10,VST_Assets!$H$10="Cashflow"),1,0)</f>
        <v>0</v>
      </c>
      <c r="AH276" s="47" t="n">
        <f aca="false">IF(AND(AH$3&gt;=VST_Assets!$E$10,AH$3&lt;=VST_Assets!$F$10,VST_Assets!$H$10="Cashflow"),1,0)</f>
        <v>0</v>
      </c>
      <c r="AI276" s="47" t="n">
        <f aca="false">IF(AND(AI$3&gt;=VST_Assets!$E$10,AI$3&lt;=VST_Assets!$F$10,VST_Assets!$H$10="Cashflow"),1,0)</f>
        <v>0</v>
      </c>
      <c r="AJ276" s="47" t="n">
        <f aca="false">IF(AND(AJ$3&gt;=VST_Assets!$E$10,AJ$3&lt;=VST_Assets!$F$10,VST_Assets!$H$10="Cashflow"),1,0)</f>
        <v>0</v>
      </c>
      <c r="AK276" s="47" t="n">
        <f aca="false">IF(AND(AK$3&gt;=VST_Assets!$E$10,AK$3&lt;=VST_Assets!$F$10,VST_Assets!$H$10="Cashflow"),1,0)</f>
        <v>0</v>
      </c>
      <c r="AL276" s="47" t="n">
        <f aca="false">IF(AND(AL$3&gt;=VST_Assets!$E$10,AL$3&lt;=VST_Assets!$F$10,VST_Assets!$H$10="Cashflow"),1,0)</f>
        <v>0</v>
      </c>
      <c r="AM276" s="47" t="n">
        <f aca="false">IF(AND(AM$3&gt;=VST_Assets!$E$10,AM$3&lt;=VST_Assets!$F$10,VST_Assets!$H$10="Cashflow"),1,0)</f>
        <v>0</v>
      </c>
      <c r="AN276" s="47" t="n">
        <f aca="false">IF(AND(AN$3&gt;=VST_Assets!$E$10,AN$3&lt;=VST_Assets!$F$10,VST_Assets!$H$10="Cashflow"),1,0)</f>
        <v>0</v>
      </c>
      <c r="AO276" s="47" t="n">
        <f aca="false">IF(AND(AO$3&gt;=VST_Assets!$E$10,AO$3&lt;=VST_Assets!$F$10,VST_Assets!$H$10="Cashflow"),1,0)</f>
        <v>0</v>
      </c>
      <c r="AP276" s="47" t="n">
        <f aca="false">IF(AND(AP$3&gt;=VST_Assets!$E$10,AP$3&lt;=VST_Assets!$F$10,VST_Assets!$H$10="Cashflow"),1,0)</f>
        <v>0</v>
      </c>
      <c r="AQ276" s="47" t="n">
        <f aca="false">IF(AND(AQ$3&gt;=VST_Assets!$E$10,AQ$3&lt;=VST_Assets!$F$10,VST_Assets!$H$10="Cashflow"),1,0)</f>
        <v>0</v>
      </c>
      <c r="AR276" s="47" t="n">
        <f aca="false">IF(AND(AR$3&gt;=VST_Assets!$E$10,AR$3&lt;=VST_Assets!$F$10,VST_Assets!$H$10="Cashflow"),1,0)</f>
        <v>0</v>
      </c>
      <c r="AS276" s="47" t="n">
        <f aca="false">IF(AND(AS$3&gt;=VST_Assets!$E$10,AS$3&lt;=VST_Assets!$F$10,VST_Assets!$H$10="Cashflow"),1,0)</f>
        <v>0</v>
      </c>
    </row>
    <row r="277" customFormat="false" ht="15" hidden="false" customHeight="false" outlineLevel="0" collapsed="false">
      <c r="A277" s="6" t="s">
        <v>427</v>
      </c>
      <c r="B277" s="6" t="s">
        <v>428</v>
      </c>
      <c r="G277" s="9" t="n">
        <f aca="false">IF(AND(G$3&gt;=VST_Assets!$AA$10,G$3&lt;=VST_Assets!$AB$10),MIN(VST_Assets!$D$10,VST_Assets!$Z$10*MIN(1,(G$3-VST_Assets!$AA$10+1)/MAX(1,VST_Assets!$AC$10))),0)*G276</f>
        <v>0</v>
      </c>
      <c r="H277" s="9" t="n">
        <f aca="false">IF(AND(H$3&gt;=VST_Assets!$AA$10,H$3&lt;=VST_Assets!$AB$10),MIN(VST_Assets!$D$10,VST_Assets!$Z$10*MIN(1,(H$3-VST_Assets!$AA$10+1)/MAX(1,VST_Assets!$AC$10))),0)*H276</f>
        <v>0</v>
      </c>
      <c r="I277" s="9" t="n">
        <f aca="false">IF(AND(I$3&gt;=VST_Assets!$AA$10,I$3&lt;=VST_Assets!$AB$10),MIN(VST_Assets!$D$10,VST_Assets!$Z$10*MIN(1,(I$3-VST_Assets!$AA$10+1)/MAX(1,VST_Assets!$AC$10))),0)*I276</f>
        <v>0</v>
      </c>
      <c r="J277" s="9" t="n">
        <f aca="false">IF(AND(J$3&gt;=VST_Assets!$AA$10,J$3&lt;=VST_Assets!$AB$10),MIN(VST_Assets!$D$10,VST_Assets!$Z$10*MIN(1,(J$3-VST_Assets!$AA$10+1)/MAX(1,VST_Assets!$AC$10))),0)*J276</f>
        <v>0</v>
      </c>
      <c r="K277" s="9" t="n">
        <f aca="false">IF(AND(K$3&gt;=VST_Assets!$AA$10,K$3&lt;=VST_Assets!$AB$10),MIN(VST_Assets!$D$10,VST_Assets!$Z$10*MIN(1,(K$3-VST_Assets!$AA$10+1)/MAX(1,VST_Assets!$AC$10))),0)*K276</f>
        <v>0</v>
      </c>
      <c r="L277" s="9" t="n">
        <f aca="false">IF(AND(L$3&gt;=VST_Assets!$AA$10,L$3&lt;=VST_Assets!$AB$10),MIN(VST_Assets!$D$10,VST_Assets!$Z$10*MIN(1,(L$3-VST_Assets!$AA$10+1)/MAX(1,VST_Assets!$AC$10))),0)*L276</f>
        <v>0</v>
      </c>
      <c r="M277" s="9" t="n">
        <f aca="false">IF(AND(M$3&gt;=VST_Assets!$AA$10,M$3&lt;=VST_Assets!$AB$10),MIN(VST_Assets!$D$10,VST_Assets!$Z$10*MIN(1,(M$3-VST_Assets!$AA$10+1)/MAX(1,VST_Assets!$AC$10))),0)*M276</f>
        <v>0</v>
      </c>
      <c r="N277" s="9" t="n">
        <f aca="false">IF(AND(N$3&gt;=VST_Assets!$AA$10,N$3&lt;=VST_Assets!$AB$10),MIN(VST_Assets!$D$10,VST_Assets!$Z$10*MIN(1,(N$3-VST_Assets!$AA$10+1)/MAX(1,VST_Assets!$AC$10))),0)*N276</f>
        <v>0</v>
      </c>
      <c r="O277" s="9" t="n">
        <f aca="false">IF(AND(O$3&gt;=VST_Assets!$AA$10,O$3&lt;=VST_Assets!$AB$10),MIN(VST_Assets!$D$10,VST_Assets!$Z$10*MIN(1,(O$3-VST_Assets!$AA$10+1)/MAX(1,VST_Assets!$AC$10))),0)*O276</f>
        <v>0</v>
      </c>
      <c r="P277" s="9" t="n">
        <f aca="false">IF(AND(P$3&gt;=VST_Assets!$AA$10,P$3&lt;=VST_Assets!$AB$10),MIN(VST_Assets!$D$10,VST_Assets!$Z$10*MIN(1,(P$3-VST_Assets!$AA$10+1)/MAX(1,VST_Assets!$AC$10))),0)*P276</f>
        <v>0</v>
      </c>
      <c r="Q277" s="9" t="n">
        <f aca="false">IF(AND(Q$3&gt;=VST_Assets!$AA$10,Q$3&lt;=VST_Assets!$AB$10),MIN(VST_Assets!$D$10,VST_Assets!$Z$10*MIN(1,(Q$3-VST_Assets!$AA$10+1)/MAX(1,VST_Assets!$AC$10))),0)*Q276</f>
        <v>0</v>
      </c>
      <c r="R277" s="9" t="n">
        <f aca="false">IF(AND(R$3&gt;=VST_Assets!$AA$10,R$3&lt;=VST_Assets!$AB$10),MIN(VST_Assets!$D$10,VST_Assets!$Z$10*MIN(1,(R$3-VST_Assets!$AA$10+1)/MAX(1,VST_Assets!$AC$10))),0)*R276</f>
        <v>0</v>
      </c>
      <c r="S277" s="9" t="n">
        <f aca="false">IF(AND(S$3&gt;=VST_Assets!$AA$10,S$3&lt;=VST_Assets!$AB$10),MIN(VST_Assets!$D$10,VST_Assets!$Z$10*MIN(1,(S$3-VST_Assets!$AA$10+1)/MAX(1,VST_Assets!$AC$10))),0)*S276</f>
        <v>0</v>
      </c>
      <c r="T277" s="9" t="n">
        <f aca="false">IF(AND(T$3&gt;=VST_Assets!$AA$10,T$3&lt;=VST_Assets!$AB$10),MIN(VST_Assets!$D$10,VST_Assets!$Z$10*MIN(1,(T$3-VST_Assets!$AA$10+1)/MAX(1,VST_Assets!$AC$10))),0)*T276</f>
        <v>0</v>
      </c>
      <c r="U277" s="9" t="n">
        <f aca="false">IF(AND(U$3&gt;=VST_Assets!$AA$10,U$3&lt;=VST_Assets!$AB$10),MIN(VST_Assets!$D$10,VST_Assets!$Z$10*MIN(1,(U$3-VST_Assets!$AA$10+1)/MAX(1,VST_Assets!$AC$10))),0)*U276</f>
        <v>0</v>
      </c>
      <c r="V277" s="9" t="n">
        <f aca="false">IF(AND(V$3&gt;=VST_Assets!$AA$10,V$3&lt;=VST_Assets!$AB$10),MIN(VST_Assets!$D$10,VST_Assets!$Z$10*MIN(1,(V$3-VST_Assets!$AA$10+1)/MAX(1,VST_Assets!$AC$10))),0)*V276</f>
        <v>0</v>
      </c>
      <c r="W277" s="9" t="n">
        <f aca="false">IF(AND(W$3&gt;=VST_Assets!$AA$10,W$3&lt;=VST_Assets!$AB$10),MIN(VST_Assets!$D$10,VST_Assets!$Z$10*MIN(1,(W$3-VST_Assets!$AA$10+1)/MAX(1,VST_Assets!$AC$10))),0)*W276</f>
        <v>0</v>
      </c>
      <c r="X277" s="9" t="n">
        <f aca="false">IF(AND(X$3&gt;=VST_Assets!$AA$10,X$3&lt;=VST_Assets!$AB$10),MIN(VST_Assets!$D$10,VST_Assets!$Z$10*MIN(1,(X$3-VST_Assets!$AA$10+1)/MAX(1,VST_Assets!$AC$10))),0)*X276</f>
        <v>0</v>
      </c>
      <c r="Y277" s="9" t="n">
        <f aca="false">IF(AND(Y$3&gt;=VST_Assets!$AA$10,Y$3&lt;=VST_Assets!$AB$10),MIN(VST_Assets!$D$10,VST_Assets!$Z$10*MIN(1,(Y$3-VST_Assets!$AA$10+1)/MAX(1,VST_Assets!$AC$10))),0)*Y276</f>
        <v>0</v>
      </c>
      <c r="Z277" s="9" t="n">
        <f aca="false">IF(AND(Z$3&gt;=VST_Assets!$AA$10,Z$3&lt;=VST_Assets!$AB$10),MIN(VST_Assets!$D$10,VST_Assets!$Z$10*MIN(1,(Z$3-VST_Assets!$AA$10+1)/MAX(1,VST_Assets!$AC$10))),0)*Z276</f>
        <v>0</v>
      </c>
      <c r="AA277" s="9" t="n">
        <f aca="false">IF(AND(AA$3&gt;=VST_Assets!$AA$10,AA$3&lt;=VST_Assets!$AB$10),MIN(VST_Assets!$D$10,VST_Assets!$Z$10*MIN(1,(AA$3-VST_Assets!$AA$10+1)/MAX(1,VST_Assets!$AC$10))),0)*AA276</f>
        <v>0</v>
      </c>
      <c r="AB277" s="9" t="n">
        <f aca="false">IF(AND(AB$3&gt;=VST_Assets!$AA$10,AB$3&lt;=VST_Assets!$AB$10),MIN(VST_Assets!$D$10,VST_Assets!$Z$10*MIN(1,(AB$3-VST_Assets!$AA$10+1)/MAX(1,VST_Assets!$AC$10))),0)*AB276</f>
        <v>0</v>
      </c>
      <c r="AC277" s="9" t="n">
        <f aca="false">IF(AND(AC$3&gt;=VST_Assets!$AA$10,AC$3&lt;=VST_Assets!$AB$10),MIN(VST_Assets!$D$10,VST_Assets!$Z$10*MIN(1,(AC$3-VST_Assets!$AA$10+1)/MAX(1,VST_Assets!$AC$10))),0)*AC276</f>
        <v>0</v>
      </c>
      <c r="AD277" s="9" t="n">
        <f aca="false">IF(AND(AD$3&gt;=VST_Assets!$AA$10,AD$3&lt;=VST_Assets!$AB$10),MIN(VST_Assets!$D$10,VST_Assets!$Z$10*MIN(1,(AD$3-VST_Assets!$AA$10+1)/MAX(1,VST_Assets!$AC$10))),0)*AD276</f>
        <v>0</v>
      </c>
      <c r="AE277" s="9" t="n">
        <f aca="false">IF(AND(AE$3&gt;=VST_Assets!$AA$10,AE$3&lt;=VST_Assets!$AB$10),MIN(VST_Assets!$D$10,VST_Assets!$Z$10*MIN(1,(AE$3-VST_Assets!$AA$10+1)/MAX(1,VST_Assets!$AC$10))),0)*AE276</f>
        <v>0</v>
      </c>
      <c r="AF277" s="9" t="n">
        <f aca="false">IF(AND(AF$3&gt;=VST_Assets!$AA$10,AF$3&lt;=VST_Assets!$AB$10),MIN(VST_Assets!$D$10,VST_Assets!$Z$10*MIN(1,(AF$3-VST_Assets!$AA$10+1)/MAX(1,VST_Assets!$AC$10))),0)*AF276</f>
        <v>0</v>
      </c>
      <c r="AG277" s="9" t="n">
        <f aca="false">IF(AND(AG$3&gt;=VST_Assets!$AA$10,AG$3&lt;=VST_Assets!$AB$10),MIN(VST_Assets!$D$10,VST_Assets!$Z$10*MIN(1,(AG$3-VST_Assets!$AA$10+1)/MAX(1,VST_Assets!$AC$10))),0)*AG276</f>
        <v>0</v>
      </c>
      <c r="AH277" s="9" t="n">
        <f aca="false">IF(AND(AH$3&gt;=VST_Assets!$AA$10,AH$3&lt;=VST_Assets!$AB$10),MIN(VST_Assets!$D$10,VST_Assets!$Z$10*MIN(1,(AH$3-VST_Assets!$AA$10+1)/MAX(1,VST_Assets!$AC$10))),0)*AH276</f>
        <v>0</v>
      </c>
      <c r="AI277" s="9" t="n">
        <f aca="false">IF(AND(AI$3&gt;=VST_Assets!$AA$10,AI$3&lt;=VST_Assets!$AB$10),MIN(VST_Assets!$D$10,VST_Assets!$Z$10*MIN(1,(AI$3-VST_Assets!$AA$10+1)/MAX(1,VST_Assets!$AC$10))),0)*AI276</f>
        <v>0</v>
      </c>
      <c r="AJ277" s="9" t="n">
        <f aca="false">IF(AND(AJ$3&gt;=VST_Assets!$AA$10,AJ$3&lt;=VST_Assets!$AB$10),MIN(VST_Assets!$D$10,VST_Assets!$Z$10*MIN(1,(AJ$3-VST_Assets!$AA$10+1)/MAX(1,VST_Assets!$AC$10))),0)*AJ276</f>
        <v>0</v>
      </c>
      <c r="AK277" s="9" t="n">
        <f aca="false">IF(AND(AK$3&gt;=VST_Assets!$AA$10,AK$3&lt;=VST_Assets!$AB$10),MIN(VST_Assets!$D$10,VST_Assets!$Z$10*MIN(1,(AK$3-VST_Assets!$AA$10+1)/MAX(1,VST_Assets!$AC$10))),0)*AK276</f>
        <v>0</v>
      </c>
      <c r="AL277" s="9" t="n">
        <f aca="false">IF(AND(AL$3&gt;=VST_Assets!$AA$10,AL$3&lt;=VST_Assets!$AB$10),MIN(VST_Assets!$D$10,VST_Assets!$Z$10*MIN(1,(AL$3-VST_Assets!$AA$10+1)/MAX(1,VST_Assets!$AC$10))),0)*AL276</f>
        <v>0</v>
      </c>
      <c r="AM277" s="9" t="n">
        <f aca="false">IF(AND(AM$3&gt;=VST_Assets!$AA$10,AM$3&lt;=VST_Assets!$AB$10),MIN(VST_Assets!$D$10,VST_Assets!$Z$10*MIN(1,(AM$3-VST_Assets!$AA$10+1)/MAX(1,VST_Assets!$AC$10))),0)*AM276</f>
        <v>0</v>
      </c>
      <c r="AN277" s="9" t="n">
        <f aca="false">IF(AND(AN$3&gt;=VST_Assets!$AA$10,AN$3&lt;=VST_Assets!$AB$10),MIN(VST_Assets!$D$10,VST_Assets!$Z$10*MIN(1,(AN$3-VST_Assets!$AA$10+1)/MAX(1,VST_Assets!$AC$10))),0)*AN276</f>
        <v>0</v>
      </c>
      <c r="AO277" s="9" t="n">
        <f aca="false">IF(AND(AO$3&gt;=VST_Assets!$AA$10,AO$3&lt;=VST_Assets!$AB$10),MIN(VST_Assets!$D$10,VST_Assets!$Z$10*MIN(1,(AO$3-VST_Assets!$AA$10+1)/MAX(1,VST_Assets!$AC$10))),0)*AO276</f>
        <v>0</v>
      </c>
      <c r="AP277" s="9" t="n">
        <f aca="false">IF(AND(AP$3&gt;=VST_Assets!$AA$10,AP$3&lt;=VST_Assets!$AB$10),MIN(VST_Assets!$D$10,VST_Assets!$Z$10*MIN(1,(AP$3-VST_Assets!$AA$10+1)/MAX(1,VST_Assets!$AC$10))),0)*AP276</f>
        <v>0</v>
      </c>
      <c r="AQ277" s="9" t="n">
        <f aca="false">IF(AND(AQ$3&gt;=VST_Assets!$AA$10,AQ$3&lt;=VST_Assets!$AB$10),MIN(VST_Assets!$D$10,VST_Assets!$Z$10*MIN(1,(AQ$3-VST_Assets!$AA$10+1)/MAX(1,VST_Assets!$AC$10))),0)*AQ276</f>
        <v>0</v>
      </c>
      <c r="AR277" s="9" t="n">
        <f aca="false">IF(AND(AR$3&gt;=VST_Assets!$AA$10,AR$3&lt;=VST_Assets!$AB$10),MIN(VST_Assets!$D$10,VST_Assets!$Z$10*MIN(1,(AR$3-VST_Assets!$AA$10+1)/MAX(1,VST_Assets!$AC$10))),0)*AR276</f>
        <v>0</v>
      </c>
      <c r="AS277" s="9" t="n">
        <f aca="false">IF(AND(AS$3&gt;=VST_Assets!$AA$10,AS$3&lt;=VST_Assets!$AB$10),MIN(VST_Assets!$D$10,VST_Assets!$Z$10*MIN(1,(AS$3-VST_Assets!$AA$10+1)/MAX(1,VST_Assets!$AC$10))),0)*AS276</f>
        <v>0</v>
      </c>
    </row>
    <row r="278" customFormat="false" ht="15" hidden="false" customHeight="false" outlineLevel="0" collapsed="false">
      <c r="A278" s="6" t="s">
        <v>429</v>
      </c>
      <c r="B278" s="6" t="s">
        <v>430</v>
      </c>
      <c r="G278" s="9" t="n">
        <f aca="false">(VST_Assets!$D$10-G277)*8760*VST_Assets!$I$10*G276</f>
        <v>1423850.4</v>
      </c>
      <c r="H278" s="9" t="n">
        <f aca="false">(VST_Assets!$D$10-H277)*8760*VST_Assets!$I$10*H276</f>
        <v>1423850.4</v>
      </c>
      <c r="I278" s="9" t="n">
        <f aca="false">(VST_Assets!$D$10-I277)*8760*VST_Assets!$I$10*I276</f>
        <v>1423850.4</v>
      </c>
      <c r="J278" s="9" t="n">
        <f aca="false">(VST_Assets!$D$10-J277)*8760*VST_Assets!$I$10*J276</f>
        <v>1423850.4</v>
      </c>
      <c r="K278" s="9" t="n">
        <f aca="false">(VST_Assets!$D$10-K277)*8760*VST_Assets!$I$10*K276</f>
        <v>1423850.4</v>
      </c>
      <c r="L278" s="9" t="n">
        <f aca="false">(VST_Assets!$D$10-L277)*8760*VST_Assets!$I$10*L276</f>
        <v>1423850.4</v>
      </c>
      <c r="M278" s="9" t="n">
        <f aca="false">(VST_Assets!$D$10-M277)*8760*VST_Assets!$I$10*M276</f>
        <v>1423850.4</v>
      </c>
      <c r="N278" s="9" t="n">
        <f aca="false">(VST_Assets!$D$10-N277)*8760*VST_Assets!$I$10*N276</f>
        <v>1423850.4</v>
      </c>
      <c r="O278" s="9" t="n">
        <f aca="false">(VST_Assets!$D$10-O277)*8760*VST_Assets!$I$10*O276</f>
        <v>1423850.4</v>
      </c>
      <c r="P278" s="9" t="n">
        <f aca="false">(VST_Assets!$D$10-P277)*8760*VST_Assets!$I$10*P276</f>
        <v>1423850.4</v>
      </c>
      <c r="Q278" s="9" t="n">
        <f aca="false">(VST_Assets!$D$10-Q277)*8760*VST_Assets!$I$10*Q276</f>
        <v>1423850.4</v>
      </c>
      <c r="R278" s="9" t="n">
        <f aca="false">(VST_Assets!$D$10-R277)*8760*VST_Assets!$I$10*R276</f>
        <v>1423850.4</v>
      </c>
      <c r="S278" s="9" t="n">
        <f aca="false">(VST_Assets!$D$10-S277)*8760*VST_Assets!$I$10*S276</f>
        <v>0</v>
      </c>
      <c r="T278" s="9" t="n">
        <f aca="false">(VST_Assets!$D$10-T277)*8760*VST_Assets!$I$10*T276</f>
        <v>0</v>
      </c>
      <c r="U278" s="9" t="n">
        <f aca="false">(VST_Assets!$D$10-U277)*8760*VST_Assets!$I$10*U276</f>
        <v>0</v>
      </c>
      <c r="V278" s="9" t="n">
        <f aca="false">(VST_Assets!$D$10-V277)*8760*VST_Assets!$I$10*V276</f>
        <v>0</v>
      </c>
      <c r="W278" s="9" t="n">
        <f aca="false">(VST_Assets!$D$10-W277)*8760*VST_Assets!$I$10*W276</f>
        <v>0</v>
      </c>
      <c r="X278" s="9" t="n">
        <f aca="false">(VST_Assets!$D$10-X277)*8760*VST_Assets!$I$10*X276</f>
        <v>0</v>
      </c>
      <c r="Y278" s="9" t="n">
        <f aca="false">(VST_Assets!$D$10-Y277)*8760*VST_Assets!$I$10*Y276</f>
        <v>0</v>
      </c>
      <c r="Z278" s="9" t="n">
        <f aca="false">(VST_Assets!$D$10-Z277)*8760*VST_Assets!$I$10*Z276</f>
        <v>0</v>
      </c>
      <c r="AA278" s="9" t="n">
        <f aca="false">(VST_Assets!$D$10-AA277)*8760*VST_Assets!$I$10*AA276</f>
        <v>0</v>
      </c>
      <c r="AB278" s="9" t="n">
        <f aca="false">(VST_Assets!$D$10-AB277)*8760*VST_Assets!$I$10*AB276</f>
        <v>0</v>
      </c>
      <c r="AC278" s="9" t="n">
        <f aca="false">(VST_Assets!$D$10-AC277)*8760*VST_Assets!$I$10*AC276</f>
        <v>0</v>
      </c>
      <c r="AD278" s="9" t="n">
        <f aca="false">(VST_Assets!$D$10-AD277)*8760*VST_Assets!$I$10*AD276</f>
        <v>0</v>
      </c>
      <c r="AE278" s="9" t="n">
        <f aca="false">(VST_Assets!$D$10-AE277)*8760*VST_Assets!$I$10*AE276</f>
        <v>0</v>
      </c>
      <c r="AF278" s="9" t="n">
        <f aca="false">(VST_Assets!$D$10-AF277)*8760*VST_Assets!$I$10*AF276</f>
        <v>0</v>
      </c>
      <c r="AG278" s="9" t="n">
        <f aca="false">(VST_Assets!$D$10-AG277)*8760*VST_Assets!$I$10*AG276</f>
        <v>0</v>
      </c>
      <c r="AH278" s="9" t="n">
        <f aca="false">(VST_Assets!$D$10-AH277)*8760*VST_Assets!$I$10*AH276</f>
        <v>0</v>
      </c>
      <c r="AI278" s="9" t="n">
        <f aca="false">(VST_Assets!$D$10-AI277)*8760*VST_Assets!$I$10*AI276</f>
        <v>0</v>
      </c>
      <c r="AJ278" s="9" t="n">
        <f aca="false">(VST_Assets!$D$10-AJ277)*8760*VST_Assets!$I$10*AJ276</f>
        <v>0</v>
      </c>
      <c r="AK278" s="9" t="n">
        <f aca="false">(VST_Assets!$D$10-AK277)*8760*VST_Assets!$I$10*AK276</f>
        <v>0</v>
      </c>
      <c r="AL278" s="9" t="n">
        <f aca="false">(VST_Assets!$D$10-AL277)*8760*VST_Assets!$I$10*AL276</f>
        <v>0</v>
      </c>
      <c r="AM278" s="9" t="n">
        <f aca="false">(VST_Assets!$D$10-AM277)*8760*VST_Assets!$I$10*AM276</f>
        <v>0</v>
      </c>
      <c r="AN278" s="9" t="n">
        <f aca="false">(VST_Assets!$D$10-AN277)*8760*VST_Assets!$I$10*AN276</f>
        <v>0</v>
      </c>
      <c r="AO278" s="9" t="n">
        <f aca="false">(VST_Assets!$D$10-AO277)*8760*VST_Assets!$I$10*AO276</f>
        <v>0</v>
      </c>
      <c r="AP278" s="9" t="n">
        <f aca="false">(VST_Assets!$D$10-AP277)*8760*VST_Assets!$I$10*AP276</f>
        <v>0</v>
      </c>
      <c r="AQ278" s="9" t="n">
        <f aca="false">(VST_Assets!$D$10-AQ277)*8760*VST_Assets!$I$10*AQ276</f>
        <v>0</v>
      </c>
      <c r="AR278" s="9" t="n">
        <f aca="false">(VST_Assets!$D$10-AR277)*8760*VST_Assets!$I$10*AR276</f>
        <v>0</v>
      </c>
      <c r="AS278" s="9" t="n">
        <f aca="false">(VST_Assets!$D$10-AS277)*8760*VST_Assets!$I$10*AS276</f>
        <v>0</v>
      </c>
    </row>
    <row r="279" customFormat="false" ht="15" hidden="false" customHeight="false" outlineLevel="0" collapsed="false">
      <c r="A279" s="6" t="s">
        <v>431</v>
      </c>
      <c r="B279" s="6" t="s">
        <v>432</v>
      </c>
      <c r="G279" s="9" t="n">
        <f aca="false">G277*8760*VST_Assets!$I$10*G276</f>
        <v>0</v>
      </c>
      <c r="H279" s="9" t="n">
        <f aca="false">H277*8760*VST_Assets!$I$10*H276</f>
        <v>0</v>
      </c>
      <c r="I279" s="9" t="n">
        <f aca="false">I277*8760*VST_Assets!$I$10*I276</f>
        <v>0</v>
      </c>
      <c r="J279" s="9" t="n">
        <f aca="false">J277*8760*VST_Assets!$I$10*J276</f>
        <v>0</v>
      </c>
      <c r="K279" s="9" t="n">
        <f aca="false">K277*8760*VST_Assets!$I$10*K276</f>
        <v>0</v>
      </c>
      <c r="L279" s="9" t="n">
        <f aca="false">L277*8760*VST_Assets!$I$10*L276</f>
        <v>0</v>
      </c>
      <c r="M279" s="9" t="n">
        <f aca="false">M277*8760*VST_Assets!$I$10*M276</f>
        <v>0</v>
      </c>
      <c r="N279" s="9" t="n">
        <f aca="false">N277*8760*VST_Assets!$I$10*N276</f>
        <v>0</v>
      </c>
      <c r="O279" s="9" t="n">
        <f aca="false">O277*8760*VST_Assets!$I$10*O276</f>
        <v>0</v>
      </c>
      <c r="P279" s="9" t="n">
        <f aca="false">P277*8760*VST_Assets!$I$10*P276</f>
        <v>0</v>
      </c>
      <c r="Q279" s="9" t="n">
        <f aca="false">Q277*8760*VST_Assets!$I$10*Q276</f>
        <v>0</v>
      </c>
      <c r="R279" s="9" t="n">
        <f aca="false">R277*8760*VST_Assets!$I$10*R276</f>
        <v>0</v>
      </c>
      <c r="S279" s="9" t="n">
        <f aca="false">S277*8760*VST_Assets!$I$10*S276</f>
        <v>0</v>
      </c>
      <c r="T279" s="9" t="n">
        <f aca="false">T277*8760*VST_Assets!$I$10*T276</f>
        <v>0</v>
      </c>
      <c r="U279" s="9" t="n">
        <f aca="false">U277*8760*VST_Assets!$I$10*U276</f>
        <v>0</v>
      </c>
      <c r="V279" s="9" t="n">
        <f aca="false">V277*8760*VST_Assets!$I$10*V276</f>
        <v>0</v>
      </c>
      <c r="W279" s="9" t="n">
        <f aca="false">W277*8760*VST_Assets!$I$10*W276</f>
        <v>0</v>
      </c>
      <c r="X279" s="9" t="n">
        <f aca="false">X277*8760*VST_Assets!$I$10*X276</f>
        <v>0</v>
      </c>
      <c r="Y279" s="9" t="n">
        <f aca="false">Y277*8760*VST_Assets!$I$10*Y276</f>
        <v>0</v>
      </c>
      <c r="Z279" s="9" t="n">
        <f aca="false">Z277*8760*VST_Assets!$I$10*Z276</f>
        <v>0</v>
      </c>
      <c r="AA279" s="9" t="n">
        <f aca="false">AA277*8760*VST_Assets!$I$10*AA276</f>
        <v>0</v>
      </c>
      <c r="AB279" s="9" t="n">
        <f aca="false">AB277*8760*VST_Assets!$I$10*AB276</f>
        <v>0</v>
      </c>
      <c r="AC279" s="9" t="n">
        <f aca="false">AC277*8760*VST_Assets!$I$10*AC276</f>
        <v>0</v>
      </c>
      <c r="AD279" s="9" t="n">
        <f aca="false">AD277*8760*VST_Assets!$I$10*AD276</f>
        <v>0</v>
      </c>
      <c r="AE279" s="9" t="n">
        <f aca="false">AE277*8760*VST_Assets!$I$10*AE276</f>
        <v>0</v>
      </c>
      <c r="AF279" s="9" t="n">
        <f aca="false">AF277*8760*VST_Assets!$I$10*AF276</f>
        <v>0</v>
      </c>
      <c r="AG279" s="9" t="n">
        <f aca="false">AG277*8760*VST_Assets!$I$10*AG276</f>
        <v>0</v>
      </c>
      <c r="AH279" s="9" t="n">
        <f aca="false">AH277*8760*VST_Assets!$I$10*AH276</f>
        <v>0</v>
      </c>
      <c r="AI279" s="9" t="n">
        <f aca="false">AI277*8760*VST_Assets!$I$10*AI276</f>
        <v>0</v>
      </c>
      <c r="AJ279" s="9" t="n">
        <f aca="false">AJ277*8760*VST_Assets!$I$10*AJ276</f>
        <v>0</v>
      </c>
      <c r="AK279" s="9" t="n">
        <f aca="false">AK277*8760*VST_Assets!$I$10*AK276</f>
        <v>0</v>
      </c>
      <c r="AL279" s="9" t="n">
        <f aca="false">AL277*8760*VST_Assets!$I$10*AL276</f>
        <v>0</v>
      </c>
      <c r="AM279" s="9" t="n">
        <f aca="false">AM277*8760*VST_Assets!$I$10*AM276</f>
        <v>0</v>
      </c>
      <c r="AN279" s="9" t="n">
        <f aca="false">AN277*8760*VST_Assets!$I$10*AN276</f>
        <v>0</v>
      </c>
      <c r="AO279" s="9" t="n">
        <f aca="false">AO277*8760*VST_Assets!$I$10*AO276</f>
        <v>0</v>
      </c>
      <c r="AP279" s="9" t="n">
        <f aca="false">AP277*8760*VST_Assets!$I$10*AP276</f>
        <v>0</v>
      </c>
      <c r="AQ279" s="9" t="n">
        <f aca="false">AQ277*8760*VST_Assets!$I$10*AQ276</f>
        <v>0</v>
      </c>
      <c r="AR279" s="9" t="n">
        <f aca="false">AR277*8760*VST_Assets!$I$10*AR276</f>
        <v>0</v>
      </c>
      <c r="AS279" s="9" t="n">
        <f aca="false">AS277*8760*VST_Assets!$I$10*AS276</f>
        <v>0</v>
      </c>
    </row>
    <row r="280" customFormat="false" ht="15" hidden="false" customHeight="false" outlineLevel="0" collapsed="false">
      <c r="A280" s="6" t="s">
        <v>433</v>
      </c>
      <c r="B280" s="6" t="s">
        <v>434</v>
      </c>
      <c r="G280" s="7" t="n">
        <f aca="false">IF(ISNUMBER(VST_Assets!$L$10),VST_Assets!$L$10*G$4,INDEX(Prices!G:G,VST_Assets!$AO$10)+FuelAdder*G$4)</f>
        <v>3.927</v>
      </c>
      <c r="H280" s="7" t="n">
        <f aca="false">IF(ISNUMBER(VST_Assets!$L$10),VST_Assets!$L$10*H$4,INDEX(Prices!H:H,VST_Assets!$AO$10)+FuelAdder*H$4)</f>
        <v>4.00554</v>
      </c>
      <c r="I280" s="7" t="n">
        <f aca="false">IF(ISNUMBER(VST_Assets!$L$10),VST_Assets!$L$10*I$4,INDEX(Prices!I:I,VST_Assets!$AO$10)+FuelAdder*I$4)</f>
        <v>4.1917716</v>
      </c>
      <c r="J280" s="7" t="n">
        <f aca="false">IF(ISNUMBER(VST_Assets!$L$10),VST_Assets!$L$10*J$4,INDEX(Prices!J:J,VST_Assets!$AO$10)+FuelAdder*J$4)</f>
        <v>4.275607032</v>
      </c>
      <c r="K280" s="7" t="n">
        <f aca="false">IF(ISNUMBER(VST_Assets!$L$10),VST_Assets!$L$10*K$4,INDEX(Prices!K:K,VST_Assets!$AO$10)+FuelAdder*K$4)</f>
        <v>4.36111917264</v>
      </c>
      <c r="L280" s="7" t="n">
        <f aca="false">IF(ISNUMBER(VST_Assets!$L$10),VST_Assets!$L$10*L$4,INDEX(Prices!L:L,VST_Assets!$AO$10)+FuelAdder*L$4)</f>
        <v>4.4483415560928</v>
      </c>
      <c r="M280" s="7" t="n">
        <f aca="false">IF(ISNUMBER(VST_Assets!$L$10),VST_Assets!$L$10*M$4,INDEX(Prices!M:M,VST_Assets!$AO$10)+FuelAdder*M$4)</f>
        <v>4.53730838721466</v>
      </c>
      <c r="N280" s="7" t="n">
        <f aca="false">IF(ISNUMBER(VST_Assets!$L$10),VST_Assets!$L$10*N$4,INDEX(Prices!N:N,VST_Assets!$AO$10)+FuelAdder*N$4)</f>
        <v>4.62805455495895</v>
      </c>
      <c r="O280" s="7" t="n">
        <f aca="false">IF(ISNUMBER(VST_Assets!$L$10),VST_Assets!$L$10*O$4,INDEX(Prices!O:O,VST_Assets!$AO$10)+FuelAdder*O$4)</f>
        <v>4.72061564605813</v>
      </c>
      <c r="P280" s="7" t="n">
        <f aca="false">IF(ISNUMBER(VST_Assets!$L$10),VST_Assets!$L$10*P$4,INDEX(Prices!P:P,VST_Assets!$AO$10)+FuelAdder*P$4)</f>
        <v>4.81502795897929</v>
      </c>
      <c r="Q280" s="7" t="n">
        <f aca="false">IF(ISNUMBER(VST_Assets!$L$10),VST_Assets!$L$10*Q$4,INDEX(Prices!Q:Q,VST_Assets!$AO$10)+FuelAdder*Q$4)</f>
        <v>4.91132851815888</v>
      </c>
      <c r="R280" s="7" t="n">
        <f aca="false">IF(ISNUMBER(VST_Assets!$L$10),VST_Assets!$L$10*R$4,INDEX(Prices!R:R,VST_Assets!$AO$10)+FuelAdder*R$4)</f>
        <v>5.00955508852206</v>
      </c>
      <c r="S280" s="7" t="n">
        <f aca="false">IF(ISNUMBER(VST_Assets!$L$10),VST_Assets!$L$10*S$4,INDEX(Prices!S:S,VST_Assets!$AO$10)+FuelAdder*S$4)</f>
        <v>5.1097461902925</v>
      </c>
      <c r="T280" s="7" t="n">
        <f aca="false">IF(ISNUMBER(VST_Assets!$L$10),VST_Assets!$L$10*T$4,INDEX(Prices!T:T,VST_Assets!$AO$10)+FuelAdder*T$4)</f>
        <v>5.21194111409835</v>
      </c>
      <c r="U280" s="7" t="n">
        <f aca="false">IF(ISNUMBER(VST_Assets!$L$10),VST_Assets!$L$10*U$4,INDEX(Prices!U:U,VST_Assets!$AO$10)+FuelAdder*U$4)</f>
        <v>5.31617993638031</v>
      </c>
      <c r="V280" s="7" t="n">
        <f aca="false">IF(ISNUMBER(VST_Assets!$L$10),VST_Assets!$L$10*V$4,INDEX(Prices!V:V,VST_Assets!$AO$10)+FuelAdder*V$4)</f>
        <v>5.42250353510792</v>
      </c>
      <c r="W280" s="7" t="n">
        <f aca="false">IF(ISNUMBER(VST_Assets!$L$10),VST_Assets!$L$10*W$4,INDEX(Prices!W:W,VST_Assets!$AO$10)+FuelAdder*W$4)</f>
        <v>5.53095360581008</v>
      </c>
      <c r="X280" s="7" t="n">
        <f aca="false">IF(ISNUMBER(VST_Assets!$L$10),VST_Assets!$L$10*X$4,INDEX(Prices!X:X,VST_Assets!$AO$10)+FuelAdder*X$4)</f>
        <v>5.64157267792628</v>
      </c>
      <c r="Y280" s="7" t="n">
        <f aca="false">IF(ISNUMBER(VST_Assets!$L$10),VST_Assets!$L$10*Y$4,INDEX(Prices!Y:Y,VST_Assets!$AO$10)+FuelAdder*Y$4)</f>
        <v>5.75440413148481</v>
      </c>
      <c r="Z280" s="7" t="n">
        <f aca="false">IF(ISNUMBER(VST_Assets!$L$10),VST_Assets!$L$10*Z$4,INDEX(Prices!Z:Z,VST_Assets!$AO$10)+FuelAdder*Z$4)</f>
        <v>5.8694922141145</v>
      </c>
      <c r="AA280" s="7" t="n">
        <f aca="false">IF(ISNUMBER(VST_Assets!$L$10),VST_Assets!$L$10*AA$4,INDEX(Prices!AA:AA,VST_Assets!$AO$10)+FuelAdder*AA$4)</f>
        <v>5.98688205839679</v>
      </c>
      <c r="AB280" s="7" t="n">
        <f aca="false">IF(ISNUMBER(VST_Assets!$L$10),VST_Assets!$L$10*AB$4,INDEX(Prices!AB:AB,VST_Assets!$AO$10)+FuelAdder*AB$4)</f>
        <v>6.10661969956473</v>
      </c>
      <c r="AC280" s="7" t="n">
        <f aca="false">IF(ISNUMBER(VST_Assets!$L$10),VST_Assets!$L$10*AC$4,INDEX(Prices!AC:AC,VST_Assets!$AO$10)+FuelAdder*AC$4)</f>
        <v>6.22875209355602</v>
      </c>
      <c r="AD280" s="7" t="n">
        <f aca="false">IF(ISNUMBER(VST_Assets!$L$10),VST_Assets!$L$10*AD$4,INDEX(Prices!AD:AD,VST_Assets!$AO$10)+FuelAdder*AD$4)</f>
        <v>6.35332713542714</v>
      </c>
      <c r="AE280" s="7" t="n">
        <f aca="false">IF(ISNUMBER(VST_Assets!$L$10),VST_Assets!$L$10*AE$4,INDEX(Prices!AE:AE,VST_Assets!$AO$10)+FuelAdder*AE$4)</f>
        <v>6.48039367813569</v>
      </c>
      <c r="AF280" s="7" t="n">
        <f aca="false">IF(ISNUMBER(VST_Assets!$L$10),VST_Assets!$L$10*AF$4,INDEX(Prices!AF:AF,VST_Assets!$AO$10)+FuelAdder*AF$4)</f>
        <v>6.6100015516984</v>
      </c>
      <c r="AG280" s="7" t="n">
        <f aca="false">IF(ISNUMBER(VST_Assets!$L$10),VST_Assets!$L$10*AG$4,INDEX(Prices!AG:AG,VST_Assets!$AO$10)+FuelAdder*AG$4)</f>
        <v>6.74220158273237</v>
      </c>
      <c r="AH280" s="7" t="n">
        <f aca="false">IF(ISNUMBER(VST_Assets!$L$10),VST_Assets!$L$10*AH$4,INDEX(Prices!AH:AH,VST_Assets!$AO$10)+FuelAdder*AH$4)</f>
        <v>6.87704561438702</v>
      </c>
      <c r="AI280" s="7" t="n">
        <f aca="false">IF(ISNUMBER(VST_Assets!$L$10),VST_Assets!$L$10*AI$4,INDEX(Prices!AI:AI,VST_Assets!$AO$10)+FuelAdder*AI$4)</f>
        <v>7.01458652667476</v>
      </c>
      <c r="AJ280" s="7" t="n">
        <f aca="false">IF(ISNUMBER(VST_Assets!$L$10),VST_Assets!$L$10*AJ$4,INDEX(Prices!AJ:AJ,VST_Assets!$AO$10)+FuelAdder*AJ$4)</f>
        <v>7.15487825720825</v>
      </c>
      <c r="AK280" s="7" t="n">
        <f aca="false">IF(ISNUMBER(VST_Assets!$L$10),VST_Assets!$L$10*AK$4,INDEX(Prices!AK:AK,VST_Assets!$AO$10)+FuelAdder*AK$4)</f>
        <v>7.29797582235242</v>
      </c>
      <c r="AL280" s="7" t="n">
        <f aca="false">IF(ISNUMBER(VST_Assets!$L$10),VST_Assets!$L$10*AL$4,INDEX(Prices!AL:AL,VST_Assets!$AO$10)+FuelAdder*AL$4)</f>
        <v>7.44393533879947</v>
      </c>
      <c r="AM280" s="7" t="n">
        <f aca="false">IF(ISNUMBER(VST_Assets!$L$10),VST_Assets!$L$10*AM$4,INDEX(Prices!AM:AM,VST_Assets!$AO$10)+FuelAdder*AM$4)</f>
        <v>7.59281404557545</v>
      </c>
      <c r="AN280" s="7" t="n">
        <f aca="false">IF(ISNUMBER(VST_Assets!$L$10),VST_Assets!$L$10*AN$4,INDEX(Prices!AN:AN,VST_Assets!$AO$10)+FuelAdder*AN$4)</f>
        <v>7.74467032648696</v>
      </c>
      <c r="AO280" s="7" t="n">
        <f aca="false">IF(ISNUMBER(VST_Assets!$L$10),VST_Assets!$L$10*AO$4,INDEX(Prices!AO:AO,VST_Assets!$AO$10)+FuelAdder*AO$4)</f>
        <v>7.8995637330167</v>
      </c>
      <c r="AP280" s="7" t="n">
        <f aca="false">IF(ISNUMBER(VST_Assets!$L$10),VST_Assets!$L$10*AP$4,INDEX(Prices!AP:AP,VST_Assets!$AO$10)+FuelAdder*AP$4)</f>
        <v>8.05755500767704</v>
      </c>
      <c r="AQ280" s="7" t="n">
        <f aca="false">IF(ISNUMBER(VST_Assets!$L$10),VST_Assets!$L$10*AQ$4,INDEX(Prices!AQ:AQ,VST_Assets!$AO$10)+FuelAdder*AQ$4)</f>
        <v>8.21870610783058</v>
      </c>
      <c r="AR280" s="7" t="n">
        <f aca="false">IF(ISNUMBER(VST_Assets!$L$10),VST_Assets!$L$10*AR$4,INDEX(Prices!AR:AR,VST_Assets!$AO$10)+FuelAdder*AR$4)</f>
        <v>8.38308022998719</v>
      </c>
      <c r="AS280" s="7" t="n">
        <f aca="false">IF(ISNUMBER(VST_Assets!$L$10),VST_Assets!$L$10*AS$4,INDEX(Prices!AS:AS,VST_Assets!$AO$10)+FuelAdder*AS$4)</f>
        <v>8.55074183458693</v>
      </c>
    </row>
    <row r="281" customFormat="false" ht="15" hidden="false" customHeight="false" outlineLevel="0" collapsed="false">
      <c r="A281" s="6" t="s">
        <v>435</v>
      </c>
      <c r="B281" s="6" t="s">
        <v>436</v>
      </c>
      <c r="G281" s="7" t="n">
        <f aca="false">INDEX(Prices!G:G,VST_Assets!$AN$10)*VST_Assets!$J$10-VST_Assets!$K$10*G280-VST_Assets!$M$10*G$4</f>
        <v>133.6665</v>
      </c>
      <c r="H281" s="7" t="n">
        <f aca="false">INDEX(Prices!H:H,VST_Assets!$AN$10)*VST_Assets!$J$10-VST_Assets!$K$10*H280-VST_Assets!$M$10*H$4</f>
        <v>135.23983</v>
      </c>
      <c r="I281" s="7" t="n">
        <f aca="false">INDEX(Prices!I:I,VST_Assets!$AN$10)*VST_Assets!$J$10-VST_Assets!$K$10*I280-VST_Assets!$M$10*I$4</f>
        <v>118.06942295</v>
      </c>
      <c r="J281" s="7" t="n">
        <f aca="false">INDEX(Prices!J:J,VST_Assets!$AN$10)*VST_Assets!$J$10-VST_Assets!$K$10*J280-VST_Assets!$M$10*J$4</f>
        <v>112.667657454</v>
      </c>
      <c r="K281" s="7" t="n">
        <f aca="false">INDEX(Prices!K:K,VST_Assets!$AN$10)*VST_Assets!$J$10-VST_Assets!$K$10*K280-VST_Assets!$M$10*K$4</f>
        <v>114.92101060308</v>
      </c>
      <c r="L281" s="7" t="n">
        <f aca="false">INDEX(Prices!L:L,VST_Assets!$AN$10)*VST_Assets!$J$10-VST_Assets!$K$10*L280-VST_Assets!$M$10*L$4</f>
        <v>117.219430815142</v>
      </c>
      <c r="M281" s="7" t="n">
        <f aca="false">INDEX(Prices!M:M,VST_Assets!$AN$10)*VST_Assets!$J$10-VST_Assets!$K$10*M280-VST_Assets!$M$10*M$4</f>
        <v>119.563819431444</v>
      </c>
      <c r="N281" s="7" t="n">
        <f aca="false">INDEX(Prices!N:N,VST_Assets!$AN$10)*VST_Assets!$J$10-VST_Assets!$K$10*N280-VST_Assets!$M$10*N$4</f>
        <v>121.955095820073</v>
      </c>
      <c r="O281" s="7" t="n">
        <f aca="false">INDEX(Prices!O:O,VST_Assets!$AN$10)*VST_Assets!$J$10-VST_Assets!$K$10*O280-VST_Assets!$M$10*O$4</f>
        <v>124.394197736475</v>
      </c>
      <c r="P281" s="7" t="n">
        <f aca="false">INDEX(Prices!P:P,VST_Assets!$AN$10)*VST_Assets!$J$10-VST_Assets!$K$10*P280-VST_Assets!$M$10*P$4</f>
        <v>126.882081691204</v>
      </c>
      <c r="Q281" s="7" t="n">
        <f aca="false">INDEX(Prices!Q:Q,VST_Assets!$AN$10)*VST_Assets!$J$10-VST_Assets!$K$10*Q280-VST_Assets!$M$10*Q$4</f>
        <v>129.419723325028</v>
      </c>
      <c r="R281" s="7" t="n">
        <f aca="false">INDEX(Prices!R:R,VST_Assets!$AN$10)*VST_Assets!$J$10-VST_Assets!$K$10*R280-VST_Assets!$M$10*R$4</f>
        <v>132.008117791529</v>
      </c>
      <c r="S281" s="7" t="n">
        <f aca="false">INDEX(Prices!S:S,VST_Assets!$AN$10)*VST_Assets!$J$10-VST_Assets!$K$10*S280-VST_Assets!$M$10*S$4</f>
        <v>134.64828014736</v>
      </c>
      <c r="T281" s="7" t="n">
        <f aca="false">INDEX(Prices!T:T,VST_Assets!$AN$10)*VST_Assets!$J$10-VST_Assets!$K$10*T280-VST_Assets!$M$10*T$4</f>
        <v>137.341245750307</v>
      </c>
      <c r="U281" s="7" t="n">
        <f aca="false">INDEX(Prices!U:U,VST_Assets!$AN$10)*VST_Assets!$J$10-VST_Assets!$K$10*U280-VST_Assets!$M$10*U$4</f>
        <v>140.088070665313</v>
      </c>
      <c r="V281" s="7" t="n">
        <f aca="false">INDEX(Prices!V:V,VST_Assets!$AN$10)*VST_Assets!$J$10-VST_Assets!$K$10*V280-VST_Assets!$M$10*V$4</f>
        <v>142.889832078619</v>
      </c>
      <c r="W281" s="7" t="n">
        <f aca="false">INDEX(Prices!W:W,VST_Assets!$AN$10)*VST_Assets!$J$10-VST_Assets!$K$10*W280-VST_Assets!$M$10*W$4</f>
        <v>145.747628720192</v>
      </c>
      <c r="X281" s="7" t="n">
        <f aca="false">INDEX(Prices!X:X,VST_Assets!$AN$10)*VST_Assets!$J$10-VST_Assets!$K$10*X280-VST_Assets!$M$10*X$4</f>
        <v>148.662581294595</v>
      </c>
      <c r="Y281" s="7" t="n">
        <f aca="false">INDEX(Prices!Y:Y,VST_Assets!$AN$10)*VST_Assets!$J$10-VST_Assets!$K$10*Y280-VST_Assets!$M$10*Y$4</f>
        <v>151.635832920487</v>
      </c>
      <c r="Z281" s="7" t="n">
        <f aca="false">INDEX(Prices!Z:Z,VST_Assets!$AN$10)*VST_Assets!$J$10-VST_Assets!$K$10*Z280-VST_Assets!$M$10*Z$4</f>
        <v>154.668549578897</v>
      </c>
      <c r="AA281" s="7" t="n">
        <f aca="false">INDEX(Prices!AA:AA,VST_Assets!$AN$10)*VST_Assets!$J$10-VST_Assets!$K$10*AA280-VST_Assets!$M$10*AA$4</f>
        <v>157.761920570475</v>
      </c>
      <c r="AB281" s="7" t="n">
        <f aca="false">INDEX(Prices!AB:AB,VST_Assets!$AN$10)*VST_Assets!$J$10-VST_Assets!$K$10*AB280-VST_Assets!$M$10*AB$4</f>
        <v>160.917158981884</v>
      </c>
      <c r="AC281" s="7" t="n">
        <f aca="false">INDEX(Prices!AC:AC,VST_Assets!$AN$10)*VST_Assets!$J$10-VST_Assets!$K$10*AC280-VST_Assets!$M$10*AC$4</f>
        <v>164.135502161522</v>
      </c>
      <c r="AD281" s="7" t="n">
        <f aca="false">INDEX(Prices!AD:AD,VST_Assets!$AN$10)*VST_Assets!$J$10-VST_Assets!$K$10*AD280-VST_Assets!$M$10*AD$4</f>
        <v>167.418212204753</v>
      </c>
      <c r="AE281" s="7" t="n">
        <f aca="false">INDEX(Prices!AE:AE,VST_Assets!$AN$10)*VST_Assets!$J$10-VST_Assets!$K$10*AE280-VST_Assets!$M$10*AE$4</f>
        <v>170.766576448848</v>
      </c>
      <c r="AF281" s="7" t="n">
        <f aca="false">INDEX(Prices!AF:AF,VST_Assets!$AN$10)*VST_Assets!$J$10-VST_Assets!$K$10*AF280-VST_Assets!$M$10*AF$4</f>
        <v>174.181907977825</v>
      </c>
      <c r="AG281" s="7" t="n">
        <f aca="false">INDEX(Prices!AG:AG,VST_Assets!$AN$10)*VST_Assets!$J$10-VST_Assets!$K$10*AG280-VST_Assets!$M$10*AG$4</f>
        <v>177.665546137381</v>
      </c>
      <c r="AH281" s="7" t="n">
        <f aca="false">INDEX(Prices!AH:AH,VST_Assets!$AN$10)*VST_Assets!$J$10-VST_Assets!$K$10*AH280-VST_Assets!$M$10*AH$4</f>
        <v>181.218857060129</v>
      </c>
      <c r="AI281" s="7" t="n">
        <f aca="false">INDEX(Prices!AI:AI,VST_Assets!$AN$10)*VST_Assets!$J$10-VST_Assets!$K$10*AI280-VST_Assets!$M$10*AI$4</f>
        <v>184.843234201331</v>
      </c>
      <c r="AJ281" s="7" t="n">
        <f aca="false">INDEX(Prices!AJ:AJ,VST_Assets!$AN$10)*VST_Assets!$J$10-VST_Assets!$K$10*AJ280-VST_Assets!$M$10*AJ$4</f>
        <v>188.540098885358</v>
      </c>
      <c r="AK281" s="7" t="n">
        <f aca="false">INDEX(Prices!AK:AK,VST_Assets!$AN$10)*VST_Assets!$J$10-VST_Assets!$K$10*AK280-VST_Assets!$M$10*AK$4</f>
        <v>192.310900863065</v>
      </c>
      <c r="AL281" s="7" t="n">
        <f aca="false">INDEX(Prices!AL:AL,VST_Assets!$AN$10)*VST_Assets!$J$10-VST_Assets!$K$10*AL280-VST_Assets!$M$10*AL$4</f>
        <v>196.157118880326</v>
      </c>
      <c r="AM281" s="7" t="n">
        <f aca="false">INDEX(Prices!AM:AM,VST_Assets!$AN$10)*VST_Assets!$J$10-VST_Assets!$K$10*AM280-VST_Assets!$M$10*AM$4</f>
        <v>200.080261257933</v>
      </c>
      <c r="AN281" s="7" t="n">
        <f aca="false">INDEX(Prices!AN:AN,VST_Assets!$AN$10)*VST_Assets!$J$10-VST_Assets!$K$10*AN280-VST_Assets!$M$10*AN$4</f>
        <v>204.081866483092</v>
      </c>
      <c r="AO281" s="7" t="n">
        <f aca="false">INDEX(Prices!AO:AO,VST_Assets!$AN$10)*VST_Assets!$J$10-VST_Assets!$K$10*AO280-VST_Assets!$M$10*AO$4</f>
        <v>208.163503812753</v>
      </c>
      <c r="AP281" s="7" t="n">
        <f aca="false">INDEX(Prices!AP:AP,VST_Assets!$AN$10)*VST_Assets!$J$10-VST_Assets!$K$10*AP280-VST_Assets!$M$10*AP$4</f>
        <v>212.326773889009</v>
      </c>
      <c r="AQ281" s="7" t="n">
        <f aca="false">INDEX(Prices!AQ:AQ,VST_Assets!$AN$10)*VST_Assets!$J$10-VST_Assets!$K$10*AQ280-VST_Assets!$M$10*AQ$4</f>
        <v>216.573309366789</v>
      </c>
      <c r="AR281" s="7" t="n">
        <f aca="false">INDEX(Prices!AR:AR,VST_Assets!$AN$10)*VST_Assets!$J$10-VST_Assets!$K$10*AR280-VST_Assets!$M$10*AR$4</f>
        <v>220.904775554124</v>
      </c>
      <c r="AS281" s="7" t="n">
        <f aca="false">INDEX(Prices!AS:AS,VST_Assets!$AN$10)*VST_Assets!$J$10-VST_Assets!$K$10*AS280-VST_Assets!$M$10*AS$4</f>
        <v>225.322871065207</v>
      </c>
    </row>
    <row r="282" customFormat="false" ht="15" hidden="false" customHeight="false" outlineLevel="0" collapsed="false">
      <c r="A282" s="6" t="s">
        <v>437</v>
      </c>
      <c r="B282" s="6" t="s">
        <v>438</v>
      </c>
      <c r="G282" s="47" t="n">
        <f aca="false">IF(VST_Assets!$X$10=1,IF(G281&gt;0,1,0),1)</f>
        <v>1</v>
      </c>
      <c r="H282" s="47" t="n">
        <f aca="false">IF(VST_Assets!$X$10=1,IF(H281&gt;0,1,0),1)</f>
        <v>1</v>
      </c>
      <c r="I282" s="47" t="n">
        <f aca="false">IF(VST_Assets!$X$10=1,IF(I281&gt;0,1,0),1)</f>
        <v>1</v>
      </c>
      <c r="J282" s="47" t="n">
        <f aca="false">IF(VST_Assets!$X$10=1,IF(J281&gt;0,1,0),1)</f>
        <v>1</v>
      </c>
      <c r="K282" s="47" t="n">
        <f aca="false">IF(VST_Assets!$X$10=1,IF(K281&gt;0,1,0),1)</f>
        <v>1</v>
      </c>
      <c r="L282" s="47" t="n">
        <f aca="false">IF(VST_Assets!$X$10=1,IF(L281&gt;0,1,0),1)</f>
        <v>1</v>
      </c>
      <c r="M282" s="47" t="n">
        <f aca="false">IF(VST_Assets!$X$10=1,IF(M281&gt;0,1,0),1)</f>
        <v>1</v>
      </c>
      <c r="N282" s="47" t="n">
        <f aca="false">IF(VST_Assets!$X$10=1,IF(N281&gt;0,1,0),1)</f>
        <v>1</v>
      </c>
      <c r="O282" s="47" t="n">
        <f aca="false">IF(VST_Assets!$X$10=1,IF(O281&gt;0,1,0),1)</f>
        <v>1</v>
      </c>
      <c r="P282" s="47" t="n">
        <f aca="false">IF(VST_Assets!$X$10=1,IF(P281&gt;0,1,0),1)</f>
        <v>1</v>
      </c>
      <c r="Q282" s="47" t="n">
        <f aca="false">IF(VST_Assets!$X$10=1,IF(Q281&gt;0,1,0),1)</f>
        <v>1</v>
      </c>
      <c r="R282" s="47" t="n">
        <f aca="false">IF(VST_Assets!$X$10=1,IF(R281&gt;0,1,0),1)</f>
        <v>1</v>
      </c>
      <c r="S282" s="47" t="n">
        <f aca="false">IF(VST_Assets!$X$10=1,IF(S281&gt;0,1,0),1)</f>
        <v>1</v>
      </c>
      <c r="T282" s="47" t="n">
        <f aca="false">IF(VST_Assets!$X$10=1,IF(T281&gt;0,1,0),1)</f>
        <v>1</v>
      </c>
      <c r="U282" s="47" t="n">
        <f aca="false">IF(VST_Assets!$X$10=1,IF(U281&gt;0,1,0),1)</f>
        <v>1</v>
      </c>
      <c r="V282" s="47" t="n">
        <f aca="false">IF(VST_Assets!$X$10=1,IF(V281&gt;0,1,0),1)</f>
        <v>1</v>
      </c>
      <c r="W282" s="47" t="n">
        <f aca="false">IF(VST_Assets!$X$10=1,IF(W281&gt;0,1,0),1)</f>
        <v>1</v>
      </c>
      <c r="X282" s="47" t="n">
        <f aca="false">IF(VST_Assets!$X$10=1,IF(X281&gt;0,1,0),1)</f>
        <v>1</v>
      </c>
      <c r="Y282" s="47" t="n">
        <f aca="false">IF(VST_Assets!$X$10=1,IF(Y281&gt;0,1,0),1)</f>
        <v>1</v>
      </c>
      <c r="Z282" s="47" t="n">
        <f aca="false">IF(VST_Assets!$X$10=1,IF(Z281&gt;0,1,0),1)</f>
        <v>1</v>
      </c>
      <c r="AA282" s="47" t="n">
        <f aca="false">IF(VST_Assets!$X$10=1,IF(AA281&gt;0,1,0),1)</f>
        <v>1</v>
      </c>
      <c r="AB282" s="47" t="n">
        <f aca="false">IF(VST_Assets!$X$10=1,IF(AB281&gt;0,1,0),1)</f>
        <v>1</v>
      </c>
      <c r="AC282" s="47" t="n">
        <f aca="false">IF(VST_Assets!$X$10=1,IF(AC281&gt;0,1,0),1)</f>
        <v>1</v>
      </c>
      <c r="AD282" s="47" t="n">
        <f aca="false">IF(VST_Assets!$X$10=1,IF(AD281&gt;0,1,0),1)</f>
        <v>1</v>
      </c>
      <c r="AE282" s="47" t="n">
        <f aca="false">IF(VST_Assets!$X$10=1,IF(AE281&gt;0,1,0),1)</f>
        <v>1</v>
      </c>
      <c r="AF282" s="47" t="n">
        <f aca="false">IF(VST_Assets!$X$10=1,IF(AF281&gt;0,1,0),1)</f>
        <v>1</v>
      </c>
      <c r="AG282" s="47" t="n">
        <f aca="false">IF(VST_Assets!$X$10=1,IF(AG281&gt;0,1,0),1)</f>
        <v>1</v>
      </c>
      <c r="AH282" s="47" t="n">
        <f aca="false">IF(VST_Assets!$X$10=1,IF(AH281&gt;0,1,0),1)</f>
        <v>1</v>
      </c>
      <c r="AI282" s="47" t="n">
        <f aca="false">IF(VST_Assets!$X$10=1,IF(AI281&gt;0,1,0),1)</f>
        <v>1</v>
      </c>
      <c r="AJ282" s="47" t="n">
        <f aca="false">IF(VST_Assets!$X$10=1,IF(AJ281&gt;0,1,0),1)</f>
        <v>1</v>
      </c>
      <c r="AK282" s="47" t="n">
        <f aca="false">IF(VST_Assets!$X$10=1,IF(AK281&gt;0,1,0),1)</f>
        <v>1</v>
      </c>
      <c r="AL282" s="47" t="n">
        <f aca="false">IF(VST_Assets!$X$10=1,IF(AL281&gt;0,1,0),1)</f>
        <v>1</v>
      </c>
      <c r="AM282" s="47" t="n">
        <f aca="false">IF(VST_Assets!$X$10=1,IF(AM281&gt;0,1,0),1)</f>
        <v>1</v>
      </c>
      <c r="AN282" s="47" t="n">
        <f aca="false">IF(VST_Assets!$X$10=1,IF(AN281&gt;0,1,0),1)</f>
        <v>1</v>
      </c>
      <c r="AO282" s="47" t="n">
        <f aca="false">IF(VST_Assets!$X$10=1,IF(AO281&gt;0,1,0),1)</f>
        <v>1</v>
      </c>
      <c r="AP282" s="47" t="n">
        <f aca="false">IF(VST_Assets!$X$10=1,IF(AP281&gt;0,1,0),1)</f>
        <v>1</v>
      </c>
      <c r="AQ282" s="47" t="n">
        <f aca="false">IF(VST_Assets!$X$10=1,IF(AQ281&gt;0,1,0),1)</f>
        <v>1</v>
      </c>
      <c r="AR282" s="47" t="n">
        <f aca="false">IF(VST_Assets!$X$10=1,IF(AR281&gt;0,1,0),1)</f>
        <v>1</v>
      </c>
      <c r="AS282" s="47" t="n">
        <f aca="false">IF(VST_Assets!$X$10=1,IF(AS281&gt;0,1,0),1)</f>
        <v>1</v>
      </c>
    </row>
    <row r="283" customFormat="false" ht="15" hidden="false" customHeight="false" outlineLevel="0" collapsed="false">
      <c r="A283" s="6" t="s">
        <v>439</v>
      </c>
      <c r="B283" s="6" t="s">
        <v>440</v>
      </c>
      <c r="C283" s="9" t="n">
        <f aca="false">SUM(G283:AS283)</f>
        <v>3018.0458125157</v>
      </c>
      <c r="G283" s="8" t="n">
        <f aca="false">G278*INDEX(Prices!G:G,VST_Assets!$AN$10)*VST_Assets!$J$10*G282/1000000*(1+VST_RevAdj)</f>
        <v>256.293072</v>
      </c>
      <c r="H283" s="8" t="n">
        <f aca="false">H278*INDEX(Prices!H:H,VST_Assets!$AN$10)*VST_Assets!$J$10*H282/1000000*(1+VST_RevAdj)</f>
        <v>259.852698</v>
      </c>
      <c r="I283" s="8" t="n">
        <f aca="false">I278*INDEX(Prices!I:I,VST_Assets!$AN$10)*VST_Assets!$J$10*I282/1000000*(1+VST_RevAdj)</f>
        <v>238.336986799913</v>
      </c>
      <c r="J283" s="8" t="n">
        <f aca="false">J278*INDEX(Prices!J:J,VST_Assets!$AN$10)*VST_Assets!$J$10*J282/1000000*(1+VST_RevAdj)</f>
        <v>232.050156671823</v>
      </c>
      <c r="K283" s="8" t="n">
        <f aca="false">K278*INDEX(Prices!K:K,VST_Assets!$AN$10)*VST_Assets!$J$10*K282/1000000*(1+VST_RevAdj)</f>
        <v>236.69115980526</v>
      </c>
      <c r="L283" s="8" t="n">
        <f aca="false">L278*INDEX(Prices!L:L,VST_Assets!$AN$10)*VST_Assets!$J$10*L282/1000000*(1+VST_RevAdj)</f>
        <v>241.424983001365</v>
      </c>
      <c r="M283" s="8" t="n">
        <f aca="false">M278*INDEX(Prices!M:M,VST_Assets!$AN$10)*VST_Assets!$J$10*M282/1000000*(1+VST_RevAdj)</f>
        <v>246.253482661392</v>
      </c>
      <c r="N283" s="8" t="n">
        <f aca="false">N278*INDEX(Prices!N:N,VST_Assets!$AN$10)*VST_Assets!$J$10*N282/1000000*(1+VST_RevAdj)</f>
        <v>251.17855231462</v>
      </c>
      <c r="O283" s="8" t="n">
        <f aca="false">O278*INDEX(Prices!O:O,VST_Assets!$AN$10)*VST_Assets!$J$10*O282/1000000*(1+VST_RevAdj)</f>
        <v>256.202123360913</v>
      </c>
      <c r="P283" s="8" t="n">
        <f aca="false">P278*INDEX(Prices!P:P,VST_Assets!$AN$10)*VST_Assets!$J$10*P282/1000000*(1+VST_RevAdj)</f>
        <v>261.326165828131</v>
      </c>
      <c r="Q283" s="8" t="n">
        <f aca="false">Q278*INDEX(Prices!Q:Q,VST_Assets!$AN$10)*VST_Assets!$J$10*Q282/1000000*(1+VST_RevAdj)</f>
        <v>266.552689144694</v>
      </c>
      <c r="R283" s="8" t="n">
        <f aca="false">R278*INDEX(Prices!R:R,VST_Assets!$AN$10)*VST_Assets!$J$10*R282/1000000*(1+VST_RevAdj)</f>
        <v>271.883742927587</v>
      </c>
      <c r="S283" s="8" t="n">
        <f aca="false">S278*INDEX(Prices!S:S,VST_Assets!$AN$10)*VST_Assets!$J$10*S282/1000000*(1+VST_RevAdj)</f>
        <v>0</v>
      </c>
      <c r="T283" s="8" t="n">
        <f aca="false">T278*INDEX(Prices!T:T,VST_Assets!$AN$10)*VST_Assets!$J$10*T282/1000000*(1+VST_RevAdj)</f>
        <v>0</v>
      </c>
      <c r="U283" s="8" t="n">
        <f aca="false">U278*INDEX(Prices!U:U,VST_Assets!$AN$10)*VST_Assets!$J$10*U282/1000000*(1+VST_RevAdj)</f>
        <v>0</v>
      </c>
      <c r="V283" s="8" t="n">
        <f aca="false">V278*INDEX(Prices!V:V,VST_Assets!$AN$10)*VST_Assets!$J$10*V282/1000000*(1+VST_RevAdj)</f>
        <v>0</v>
      </c>
      <c r="W283" s="8" t="n">
        <f aca="false">W278*INDEX(Prices!W:W,VST_Assets!$AN$10)*VST_Assets!$J$10*W282/1000000*(1+VST_RevAdj)</f>
        <v>0</v>
      </c>
      <c r="X283" s="8" t="n">
        <f aca="false">X278*INDEX(Prices!X:X,VST_Assets!$AN$10)*VST_Assets!$J$10*X282/1000000*(1+VST_RevAdj)</f>
        <v>0</v>
      </c>
      <c r="Y283" s="8" t="n">
        <f aca="false">Y278*INDEX(Prices!Y:Y,VST_Assets!$AN$10)*VST_Assets!$J$10*Y282/1000000*(1+VST_RevAdj)</f>
        <v>0</v>
      </c>
      <c r="Z283" s="8" t="n">
        <f aca="false">Z278*INDEX(Prices!Z:Z,VST_Assets!$AN$10)*VST_Assets!$J$10*Z282/1000000*(1+VST_RevAdj)</f>
        <v>0</v>
      </c>
      <c r="AA283" s="8" t="n">
        <f aca="false">AA278*INDEX(Prices!AA:AA,VST_Assets!$AN$10)*VST_Assets!$J$10*AA282/1000000*(1+VST_RevAdj)</f>
        <v>0</v>
      </c>
      <c r="AB283" s="8" t="n">
        <f aca="false">AB278*INDEX(Prices!AB:AB,VST_Assets!$AN$10)*VST_Assets!$J$10*AB282/1000000*(1+VST_RevAdj)</f>
        <v>0</v>
      </c>
      <c r="AC283" s="8" t="n">
        <f aca="false">AC278*INDEX(Prices!AC:AC,VST_Assets!$AN$10)*VST_Assets!$J$10*AC282/1000000*(1+VST_RevAdj)</f>
        <v>0</v>
      </c>
      <c r="AD283" s="8" t="n">
        <f aca="false">AD278*INDEX(Prices!AD:AD,VST_Assets!$AN$10)*VST_Assets!$J$10*AD282/1000000*(1+VST_RevAdj)</f>
        <v>0</v>
      </c>
      <c r="AE283" s="8" t="n">
        <f aca="false">AE278*INDEX(Prices!AE:AE,VST_Assets!$AN$10)*VST_Assets!$J$10*AE282/1000000*(1+VST_RevAdj)</f>
        <v>0</v>
      </c>
      <c r="AF283" s="8" t="n">
        <f aca="false">AF278*INDEX(Prices!AF:AF,VST_Assets!$AN$10)*VST_Assets!$J$10*AF282/1000000*(1+VST_RevAdj)</f>
        <v>0</v>
      </c>
      <c r="AG283" s="8" t="n">
        <f aca="false">AG278*INDEX(Prices!AG:AG,VST_Assets!$AN$10)*VST_Assets!$J$10*AG282/1000000*(1+VST_RevAdj)</f>
        <v>0</v>
      </c>
      <c r="AH283" s="8" t="n">
        <f aca="false">AH278*INDEX(Prices!AH:AH,VST_Assets!$AN$10)*VST_Assets!$J$10*AH282/1000000*(1+VST_RevAdj)</f>
        <v>0</v>
      </c>
      <c r="AI283" s="8" t="n">
        <f aca="false">AI278*INDEX(Prices!AI:AI,VST_Assets!$AN$10)*VST_Assets!$J$10*AI282/1000000*(1+VST_RevAdj)</f>
        <v>0</v>
      </c>
      <c r="AJ283" s="8" t="n">
        <f aca="false">AJ278*INDEX(Prices!AJ:AJ,VST_Assets!$AN$10)*VST_Assets!$J$10*AJ282/1000000*(1+VST_RevAdj)</f>
        <v>0</v>
      </c>
      <c r="AK283" s="8" t="n">
        <f aca="false">AK278*INDEX(Prices!AK:AK,VST_Assets!$AN$10)*VST_Assets!$J$10*AK282/1000000*(1+VST_RevAdj)</f>
        <v>0</v>
      </c>
      <c r="AL283" s="8" t="n">
        <f aca="false">AL278*INDEX(Prices!AL:AL,VST_Assets!$AN$10)*VST_Assets!$J$10*AL282/1000000*(1+VST_RevAdj)</f>
        <v>0</v>
      </c>
      <c r="AM283" s="8" t="n">
        <f aca="false">AM278*INDEX(Prices!AM:AM,VST_Assets!$AN$10)*VST_Assets!$J$10*AM282/1000000*(1+VST_RevAdj)</f>
        <v>0</v>
      </c>
      <c r="AN283" s="8" t="n">
        <f aca="false">AN278*INDEX(Prices!AN:AN,VST_Assets!$AN$10)*VST_Assets!$J$10*AN282/1000000*(1+VST_RevAdj)</f>
        <v>0</v>
      </c>
      <c r="AO283" s="8" t="n">
        <f aca="false">AO278*INDEX(Prices!AO:AO,VST_Assets!$AN$10)*VST_Assets!$J$10*AO282/1000000*(1+VST_RevAdj)</f>
        <v>0</v>
      </c>
      <c r="AP283" s="8" t="n">
        <f aca="false">AP278*INDEX(Prices!AP:AP,VST_Assets!$AN$10)*VST_Assets!$J$10*AP282/1000000*(1+VST_RevAdj)</f>
        <v>0</v>
      </c>
      <c r="AQ283" s="8" t="n">
        <f aca="false">AQ278*INDEX(Prices!AQ:AQ,VST_Assets!$AN$10)*VST_Assets!$J$10*AQ282/1000000*(1+VST_RevAdj)</f>
        <v>0</v>
      </c>
      <c r="AR283" s="8" t="n">
        <f aca="false">AR278*INDEX(Prices!AR:AR,VST_Assets!$AN$10)*VST_Assets!$J$10*AR282/1000000*(1+VST_RevAdj)</f>
        <v>0</v>
      </c>
      <c r="AS283" s="8" t="n">
        <f aca="false">AS278*INDEX(Prices!AS:AS,VST_Assets!$AN$10)*VST_Assets!$J$10*AS282/1000000*(1+VST_RevAdj)</f>
        <v>0</v>
      </c>
    </row>
    <row r="284" customFormat="false" ht="15" hidden="false" customHeight="false" outlineLevel="0" collapsed="false">
      <c r="A284" s="6" t="s">
        <v>441</v>
      </c>
      <c r="B284" s="6" t="s">
        <v>442</v>
      </c>
      <c r="C284" s="9" t="n">
        <f aca="false">SUM(G284:AS284)</f>
        <v>1997.23603398537</v>
      </c>
      <c r="G284" s="8" t="n">
        <f aca="false">(VST_Assets!$D$10-G277)*INDEX(Prices!G:G,VST_Assets!$AP$10)*365*VST_Assets!$T$10*G276/1000000*(1+VST_RevAdj)</f>
        <v>196.76425986</v>
      </c>
      <c r="H284" s="8" t="n">
        <f aca="false">(VST_Assets!$D$10-H277)*INDEX(Prices!H:H,VST_Assets!$AP$10)*365*VST_Assets!$T$10*H276/1000000*(1+VST_RevAdj)</f>
        <v>194.90138892</v>
      </c>
      <c r="I284" s="8" t="n">
        <f aca="false">(VST_Assets!$D$10-I277)*INDEX(Prices!I:I,VST_Assets!$AP$10)*365*VST_Assets!$T$10*I276/1000000*(1+VST_RevAdj)</f>
        <v>164.80795870854</v>
      </c>
      <c r="J284" s="8" t="n">
        <f aca="false">(VST_Assets!$D$10-J277)*INDEX(Prices!J:J,VST_Assets!$AP$10)*365*VST_Assets!$T$10*J276/1000000*(1+VST_RevAdj)</f>
        <v>147.700390298933</v>
      </c>
      <c r="K284" s="8" t="n">
        <f aca="false">(VST_Assets!$D$10-K277)*INDEX(Prices!K:K,VST_Assets!$AP$10)*365*VST_Assets!$T$10*K276/1000000*(1+VST_RevAdj)</f>
        <v>150.654398104911</v>
      </c>
      <c r="L284" s="8" t="n">
        <f aca="false">(VST_Assets!$D$10-L277)*INDEX(Prices!L:L,VST_Assets!$AP$10)*365*VST_Assets!$T$10*L276/1000000*(1+VST_RevAdj)</f>
        <v>153.66748606701</v>
      </c>
      <c r="M284" s="8" t="n">
        <f aca="false">(VST_Assets!$D$10-M277)*INDEX(Prices!M:M,VST_Assets!$AP$10)*365*VST_Assets!$T$10*M276/1000000*(1+VST_RevAdj)</f>
        <v>156.74083578835</v>
      </c>
      <c r="N284" s="8" t="n">
        <f aca="false">(VST_Assets!$D$10-N277)*INDEX(Prices!N:N,VST_Assets!$AP$10)*365*VST_Assets!$T$10*N276/1000000*(1+VST_RevAdj)</f>
        <v>159.875652504117</v>
      </c>
      <c r="O284" s="8" t="n">
        <f aca="false">(VST_Assets!$D$10-O277)*INDEX(Prices!O:O,VST_Assets!$AP$10)*365*VST_Assets!$T$10*O276/1000000*(1+VST_RevAdj)</f>
        <v>163.073165554199</v>
      </c>
      <c r="P284" s="8" t="n">
        <f aca="false">(VST_Assets!$D$10-P277)*INDEX(Prices!P:P,VST_Assets!$AP$10)*365*VST_Assets!$T$10*P276/1000000*(1+VST_RevAdj)</f>
        <v>166.334628865283</v>
      </c>
      <c r="Q284" s="8" t="n">
        <f aca="false">(VST_Assets!$D$10-Q277)*INDEX(Prices!Q:Q,VST_Assets!$AP$10)*365*VST_Assets!$T$10*Q276/1000000*(1+VST_RevAdj)</f>
        <v>169.661321442589</v>
      </c>
      <c r="R284" s="8" t="n">
        <f aca="false">(VST_Assets!$D$10-R277)*INDEX(Prices!R:R,VST_Assets!$AP$10)*365*VST_Assets!$T$10*R276/1000000*(1+VST_RevAdj)</f>
        <v>173.054547871441</v>
      </c>
      <c r="S284" s="8" t="n">
        <f aca="false">(VST_Assets!$D$10-S277)*INDEX(Prices!S:S,VST_Assets!$AP$10)*365*VST_Assets!$T$10*S276/1000000*(1+VST_RevAdj)</f>
        <v>0</v>
      </c>
      <c r="T284" s="8" t="n">
        <f aca="false">(VST_Assets!$D$10-T277)*INDEX(Prices!T:T,VST_Assets!$AP$10)*365*VST_Assets!$T$10*T276/1000000*(1+VST_RevAdj)</f>
        <v>0</v>
      </c>
      <c r="U284" s="8" t="n">
        <f aca="false">(VST_Assets!$D$10-U277)*INDEX(Prices!U:U,VST_Assets!$AP$10)*365*VST_Assets!$T$10*U276/1000000*(1+VST_RevAdj)</f>
        <v>0</v>
      </c>
      <c r="V284" s="8" t="n">
        <f aca="false">(VST_Assets!$D$10-V277)*INDEX(Prices!V:V,VST_Assets!$AP$10)*365*VST_Assets!$T$10*V276/1000000*(1+VST_RevAdj)</f>
        <v>0</v>
      </c>
      <c r="W284" s="8" t="n">
        <f aca="false">(VST_Assets!$D$10-W277)*INDEX(Prices!W:W,VST_Assets!$AP$10)*365*VST_Assets!$T$10*W276/1000000*(1+VST_RevAdj)</f>
        <v>0</v>
      </c>
      <c r="X284" s="8" t="n">
        <f aca="false">(VST_Assets!$D$10-X277)*INDEX(Prices!X:X,VST_Assets!$AP$10)*365*VST_Assets!$T$10*X276/1000000*(1+VST_RevAdj)</f>
        <v>0</v>
      </c>
      <c r="Y284" s="8" t="n">
        <f aca="false">(VST_Assets!$D$10-Y277)*INDEX(Prices!Y:Y,VST_Assets!$AP$10)*365*VST_Assets!$T$10*Y276/1000000*(1+VST_RevAdj)</f>
        <v>0</v>
      </c>
      <c r="Z284" s="8" t="n">
        <f aca="false">(VST_Assets!$D$10-Z277)*INDEX(Prices!Z:Z,VST_Assets!$AP$10)*365*VST_Assets!$T$10*Z276/1000000*(1+VST_RevAdj)</f>
        <v>0</v>
      </c>
      <c r="AA284" s="8" t="n">
        <f aca="false">(VST_Assets!$D$10-AA277)*INDEX(Prices!AA:AA,VST_Assets!$AP$10)*365*VST_Assets!$T$10*AA276/1000000*(1+VST_RevAdj)</f>
        <v>0</v>
      </c>
      <c r="AB284" s="8" t="n">
        <f aca="false">(VST_Assets!$D$10-AB277)*INDEX(Prices!AB:AB,VST_Assets!$AP$10)*365*VST_Assets!$T$10*AB276/1000000*(1+VST_RevAdj)</f>
        <v>0</v>
      </c>
      <c r="AC284" s="8" t="n">
        <f aca="false">(VST_Assets!$D$10-AC277)*INDEX(Prices!AC:AC,VST_Assets!$AP$10)*365*VST_Assets!$T$10*AC276/1000000*(1+VST_RevAdj)</f>
        <v>0</v>
      </c>
      <c r="AD284" s="8" t="n">
        <f aca="false">(VST_Assets!$D$10-AD277)*INDEX(Prices!AD:AD,VST_Assets!$AP$10)*365*VST_Assets!$T$10*AD276/1000000*(1+VST_RevAdj)</f>
        <v>0</v>
      </c>
      <c r="AE284" s="8" t="n">
        <f aca="false">(VST_Assets!$D$10-AE277)*INDEX(Prices!AE:AE,VST_Assets!$AP$10)*365*VST_Assets!$T$10*AE276/1000000*(1+VST_RevAdj)</f>
        <v>0</v>
      </c>
      <c r="AF284" s="8" t="n">
        <f aca="false">(VST_Assets!$D$10-AF277)*INDEX(Prices!AF:AF,VST_Assets!$AP$10)*365*VST_Assets!$T$10*AF276/1000000*(1+VST_RevAdj)</f>
        <v>0</v>
      </c>
      <c r="AG284" s="8" t="n">
        <f aca="false">(VST_Assets!$D$10-AG277)*INDEX(Prices!AG:AG,VST_Assets!$AP$10)*365*VST_Assets!$T$10*AG276/1000000*(1+VST_RevAdj)</f>
        <v>0</v>
      </c>
      <c r="AH284" s="8" t="n">
        <f aca="false">(VST_Assets!$D$10-AH277)*INDEX(Prices!AH:AH,VST_Assets!$AP$10)*365*VST_Assets!$T$10*AH276/1000000*(1+VST_RevAdj)</f>
        <v>0</v>
      </c>
      <c r="AI284" s="8" t="n">
        <f aca="false">(VST_Assets!$D$10-AI277)*INDEX(Prices!AI:AI,VST_Assets!$AP$10)*365*VST_Assets!$T$10*AI276/1000000*(1+VST_RevAdj)</f>
        <v>0</v>
      </c>
      <c r="AJ284" s="8" t="n">
        <f aca="false">(VST_Assets!$D$10-AJ277)*INDEX(Prices!AJ:AJ,VST_Assets!$AP$10)*365*VST_Assets!$T$10*AJ276/1000000*(1+VST_RevAdj)</f>
        <v>0</v>
      </c>
      <c r="AK284" s="8" t="n">
        <f aca="false">(VST_Assets!$D$10-AK277)*INDEX(Prices!AK:AK,VST_Assets!$AP$10)*365*VST_Assets!$T$10*AK276/1000000*(1+VST_RevAdj)</f>
        <v>0</v>
      </c>
      <c r="AL284" s="8" t="n">
        <f aca="false">(VST_Assets!$D$10-AL277)*INDEX(Prices!AL:AL,VST_Assets!$AP$10)*365*VST_Assets!$T$10*AL276/1000000*(1+VST_RevAdj)</f>
        <v>0</v>
      </c>
      <c r="AM284" s="8" t="n">
        <f aca="false">(VST_Assets!$D$10-AM277)*INDEX(Prices!AM:AM,VST_Assets!$AP$10)*365*VST_Assets!$T$10*AM276/1000000*(1+VST_RevAdj)</f>
        <v>0</v>
      </c>
      <c r="AN284" s="8" t="n">
        <f aca="false">(VST_Assets!$D$10-AN277)*INDEX(Prices!AN:AN,VST_Assets!$AP$10)*365*VST_Assets!$T$10*AN276/1000000*(1+VST_RevAdj)</f>
        <v>0</v>
      </c>
      <c r="AO284" s="8" t="n">
        <f aca="false">(VST_Assets!$D$10-AO277)*INDEX(Prices!AO:AO,VST_Assets!$AP$10)*365*VST_Assets!$T$10*AO276/1000000*(1+VST_RevAdj)</f>
        <v>0</v>
      </c>
      <c r="AP284" s="8" t="n">
        <f aca="false">(VST_Assets!$D$10-AP277)*INDEX(Prices!AP:AP,VST_Assets!$AP$10)*365*VST_Assets!$T$10*AP276/1000000*(1+VST_RevAdj)</f>
        <v>0</v>
      </c>
      <c r="AQ284" s="8" t="n">
        <f aca="false">(VST_Assets!$D$10-AQ277)*INDEX(Prices!AQ:AQ,VST_Assets!$AP$10)*365*VST_Assets!$T$10*AQ276/1000000*(1+VST_RevAdj)</f>
        <v>0</v>
      </c>
      <c r="AR284" s="8" t="n">
        <f aca="false">(VST_Assets!$D$10-AR277)*INDEX(Prices!AR:AR,VST_Assets!$AP$10)*365*VST_Assets!$T$10*AR276/1000000*(1+VST_RevAdj)</f>
        <v>0</v>
      </c>
      <c r="AS284" s="8" t="n">
        <f aca="false">(VST_Assets!$D$10-AS277)*INDEX(Prices!AS:AS,VST_Assets!$AP$10)*365*VST_Assets!$T$10*AS276/1000000*(1+VST_RevAdj)</f>
        <v>0</v>
      </c>
    </row>
    <row r="285" customFormat="false" ht="15" hidden="false" customHeight="false" outlineLevel="0" collapsed="false">
      <c r="A285" s="6" t="s">
        <v>443</v>
      </c>
      <c r="B285" s="6" t="s">
        <v>444</v>
      </c>
      <c r="C285" s="9" t="n">
        <f aca="false">SUM(G285:AS285)</f>
        <v>0</v>
      </c>
      <c r="G285" s="8" t="n">
        <f aca="false">G279*(VST_Assets!$AD$10+VST_PPAAdj)/1000000*(1+VST_RevAdj)</f>
        <v>0</v>
      </c>
      <c r="H285" s="8" t="n">
        <f aca="false">H279*(VST_Assets!$AD$10+VST_PPAAdj)/1000000*(1+VST_RevAdj)</f>
        <v>0</v>
      </c>
      <c r="I285" s="8" t="n">
        <f aca="false">I279*(VST_Assets!$AD$10+VST_PPAAdj)/1000000*(1+VST_RevAdj)</f>
        <v>0</v>
      </c>
      <c r="J285" s="8" t="n">
        <f aca="false">J279*(VST_Assets!$AD$10+VST_PPAAdj)/1000000*(1+VST_RevAdj)</f>
        <v>0</v>
      </c>
      <c r="K285" s="8" t="n">
        <f aca="false">K279*(VST_Assets!$AD$10+VST_PPAAdj)/1000000*(1+VST_RevAdj)</f>
        <v>0</v>
      </c>
      <c r="L285" s="8" t="n">
        <f aca="false">L279*(VST_Assets!$AD$10+VST_PPAAdj)/1000000*(1+VST_RevAdj)</f>
        <v>0</v>
      </c>
      <c r="M285" s="8" t="n">
        <f aca="false">M279*(VST_Assets!$AD$10+VST_PPAAdj)/1000000*(1+VST_RevAdj)</f>
        <v>0</v>
      </c>
      <c r="N285" s="8" t="n">
        <f aca="false">N279*(VST_Assets!$AD$10+VST_PPAAdj)/1000000*(1+VST_RevAdj)</f>
        <v>0</v>
      </c>
      <c r="O285" s="8" t="n">
        <f aca="false">O279*(VST_Assets!$AD$10+VST_PPAAdj)/1000000*(1+VST_RevAdj)</f>
        <v>0</v>
      </c>
      <c r="P285" s="8" t="n">
        <f aca="false">P279*(VST_Assets!$AD$10+VST_PPAAdj)/1000000*(1+VST_RevAdj)</f>
        <v>0</v>
      </c>
      <c r="Q285" s="8" t="n">
        <f aca="false">Q279*(VST_Assets!$AD$10+VST_PPAAdj)/1000000*(1+VST_RevAdj)</f>
        <v>0</v>
      </c>
      <c r="R285" s="8" t="n">
        <f aca="false">R279*(VST_Assets!$AD$10+VST_PPAAdj)/1000000*(1+VST_RevAdj)</f>
        <v>0</v>
      </c>
      <c r="S285" s="8" t="n">
        <f aca="false">S279*(VST_Assets!$AD$10+VST_PPAAdj)/1000000*(1+VST_RevAdj)</f>
        <v>0</v>
      </c>
      <c r="T285" s="8" t="n">
        <f aca="false">T279*(VST_Assets!$AD$10+VST_PPAAdj)/1000000*(1+VST_RevAdj)</f>
        <v>0</v>
      </c>
      <c r="U285" s="8" t="n">
        <f aca="false">U279*(VST_Assets!$AD$10+VST_PPAAdj)/1000000*(1+VST_RevAdj)</f>
        <v>0</v>
      </c>
      <c r="V285" s="8" t="n">
        <f aca="false">V279*(VST_Assets!$AD$10+VST_PPAAdj)/1000000*(1+VST_RevAdj)</f>
        <v>0</v>
      </c>
      <c r="W285" s="8" t="n">
        <f aca="false">W279*(VST_Assets!$AD$10+VST_PPAAdj)/1000000*(1+VST_RevAdj)</f>
        <v>0</v>
      </c>
      <c r="X285" s="8" t="n">
        <f aca="false">X279*(VST_Assets!$AD$10+VST_PPAAdj)/1000000*(1+VST_RevAdj)</f>
        <v>0</v>
      </c>
      <c r="Y285" s="8" t="n">
        <f aca="false">Y279*(VST_Assets!$AD$10+VST_PPAAdj)/1000000*(1+VST_RevAdj)</f>
        <v>0</v>
      </c>
      <c r="Z285" s="8" t="n">
        <f aca="false">Z279*(VST_Assets!$AD$10+VST_PPAAdj)/1000000*(1+VST_RevAdj)</f>
        <v>0</v>
      </c>
      <c r="AA285" s="8" t="n">
        <f aca="false">AA279*(VST_Assets!$AD$10+VST_PPAAdj)/1000000*(1+VST_RevAdj)</f>
        <v>0</v>
      </c>
      <c r="AB285" s="8" t="n">
        <f aca="false">AB279*(VST_Assets!$AD$10+VST_PPAAdj)/1000000*(1+VST_RevAdj)</f>
        <v>0</v>
      </c>
      <c r="AC285" s="8" t="n">
        <f aca="false">AC279*(VST_Assets!$AD$10+VST_PPAAdj)/1000000*(1+VST_RevAdj)</f>
        <v>0</v>
      </c>
      <c r="AD285" s="8" t="n">
        <f aca="false">AD279*(VST_Assets!$AD$10+VST_PPAAdj)/1000000*(1+VST_RevAdj)</f>
        <v>0</v>
      </c>
      <c r="AE285" s="8" t="n">
        <f aca="false">AE279*(VST_Assets!$AD$10+VST_PPAAdj)/1000000*(1+VST_RevAdj)</f>
        <v>0</v>
      </c>
      <c r="AF285" s="8" t="n">
        <f aca="false">AF279*(VST_Assets!$AD$10+VST_PPAAdj)/1000000*(1+VST_RevAdj)</f>
        <v>0</v>
      </c>
      <c r="AG285" s="8" t="n">
        <f aca="false">AG279*(VST_Assets!$AD$10+VST_PPAAdj)/1000000*(1+VST_RevAdj)</f>
        <v>0</v>
      </c>
      <c r="AH285" s="8" t="n">
        <f aca="false">AH279*(VST_Assets!$AD$10+VST_PPAAdj)/1000000*(1+VST_RevAdj)</f>
        <v>0</v>
      </c>
      <c r="AI285" s="8" t="n">
        <f aca="false">AI279*(VST_Assets!$AD$10+VST_PPAAdj)/1000000*(1+VST_RevAdj)</f>
        <v>0</v>
      </c>
      <c r="AJ285" s="8" t="n">
        <f aca="false">AJ279*(VST_Assets!$AD$10+VST_PPAAdj)/1000000*(1+VST_RevAdj)</f>
        <v>0</v>
      </c>
      <c r="AK285" s="8" t="n">
        <f aca="false">AK279*(VST_Assets!$AD$10+VST_PPAAdj)/1000000*(1+VST_RevAdj)</f>
        <v>0</v>
      </c>
      <c r="AL285" s="8" t="n">
        <f aca="false">AL279*(VST_Assets!$AD$10+VST_PPAAdj)/1000000*(1+VST_RevAdj)</f>
        <v>0</v>
      </c>
      <c r="AM285" s="8" t="n">
        <f aca="false">AM279*(VST_Assets!$AD$10+VST_PPAAdj)/1000000*(1+VST_RevAdj)</f>
        <v>0</v>
      </c>
      <c r="AN285" s="8" t="n">
        <f aca="false">AN279*(VST_Assets!$AD$10+VST_PPAAdj)/1000000*(1+VST_RevAdj)</f>
        <v>0</v>
      </c>
      <c r="AO285" s="8" t="n">
        <f aca="false">AO279*(VST_Assets!$AD$10+VST_PPAAdj)/1000000*(1+VST_RevAdj)</f>
        <v>0</v>
      </c>
      <c r="AP285" s="8" t="n">
        <f aca="false">AP279*(VST_Assets!$AD$10+VST_PPAAdj)/1000000*(1+VST_RevAdj)</f>
        <v>0</v>
      </c>
      <c r="AQ285" s="8" t="n">
        <f aca="false">AQ279*(VST_Assets!$AD$10+VST_PPAAdj)/1000000*(1+VST_RevAdj)</f>
        <v>0</v>
      </c>
      <c r="AR285" s="8" t="n">
        <f aca="false">AR279*(VST_Assets!$AD$10+VST_PPAAdj)/1000000*(1+VST_RevAdj)</f>
        <v>0</v>
      </c>
      <c r="AS285" s="8" t="n">
        <f aca="false">AS279*(VST_Assets!$AD$10+VST_PPAAdj)/1000000*(1+VST_RevAdj)</f>
        <v>0</v>
      </c>
    </row>
    <row r="286" customFormat="false" ht="15" hidden="false" customHeight="false" outlineLevel="0" collapsed="false">
      <c r="A286" s="6" t="s">
        <v>445</v>
      </c>
      <c r="B286" s="6" t="s">
        <v>446</v>
      </c>
      <c r="C286" s="9" t="n">
        <f aca="false">SUM(G286:AS286)</f>
        <v>0</v>
      </c>
      <c r="G286" s="8" t="n">
        <f aca="false">IF(G$3&lt;=VST_Assets!$V$10,G278*VST_Assets!$U$10,0)/1000000*(1+VST_RevAdj)</f>
        <v>0</v>
      </c>
      <c r="H286" s="8" t="n">
        <f aca="false">IF(H$3&lt;=VST_Assets!$V$10,H278*VST_Assets!$U$10,0)/1000000*(1+VST_RevAdj)</f>
        <v>0</v>
      </c>
      <c r="I286" s="8" t="n">
        <f aca="false">IF(I$3&lt;=VST_Assets!$V$10,I278*VST_Assets!$U$10,0)/1000000*(1+VST_RevAdj)</f>
        <v>0</v>
      </c>
      <c r="J286" s="8" t="n">
        <f aca="false">IF(J$3&lt;=VST_Assets!$V$10,J278*VST_Assets!$U$10,0)/1000000*(1+VST_RevAdj)</f>
        <v>0</v>
      </c>
      <c r="K286" s="8" t="n">
        <f aca="false">IF(K$3&lt;=VST_Assets!$V$10,K278*VST_Assets!$U$10,0)/1000000*(1+VST_RevAdj)</f>
        <v>0</v>
      </c>
      <c r="L286" s="8" t="n">
        <f aca="false">IF(L$3&lt;=VST_Assets!$V$10,L278*VST_Assets!$U$10,0)/1000000*(1+VST_RevAdj)</f>
        <v>0</v>
      </c>
      <c r="M286" s="8" t="n">
        <f aca="false">IF(M$3&lt;=VST_Assets!$V$10,M278*VST_Assets!$U$10,0)/1000000*(1+VST_RevAdj)</f>
        <v>0</v>
      </c>
      <c r="N286" s="8" t="n">
        <f aca="false">IF(N$3&lt;=VST_Assets!$V$10,N278*VST_Assets!$U$10,0)/1000000*(1+VST_RevAdj)</f>
        <v>0</v>
      </c>
      <c r="O286" s="8" t="n">
        <f aca="false">IF(O$3&lt;=VST_Assets!$V$10,O278*VST_Assets!$U$10,0)/1000000*(1+VST_RevAdj)</f>
        <v>0</v>
      </c>
      <c r="P286" s="8" t="n">
        <f aca="false">IF(P$3&lt;=VST_Assets!$V$10,P278*VST_Assets!$U$10,0)/1000000*(1+VST_RevAdj)</f>
        <v>0</v>
      </c>
      <c r="Q286" s="8" t="n">
        <f aca="false">IF(Q$3&lt;=VST_Assets!$V$10,Q278*VST_Assets!$U$10,0)/1000000*(1+VST_RevAdj)</f>
        <v>0</v>
      </c>
      <c r="R286" s="8" t="n">
        <f aca="false">IF(R$3&lt;=VST_Assets!$V$10,R278*VST_Assets!$U$10,0)/1000000*(1+VST_RevAdj)</f>
        <v>0</v>
      </c>
      <c r="S286" s="8" t="n">
        <f aca="false">IF(S$3&lt;=VST_Assets!$V$10,S278*VST_Assets!$U$10,0)/1000000*(1+VST_RevAdj)</f>
        <v>0</v>
      </c>
      <c r="T286" s="8" t="n">
        <f aca="false">IF(T$3&lt;=VST_Assets!$V$10,T278*VST_Assets!$U$10,0)/1000000*(1+VST_RevAdj)</f>
        <v>0</v>
      </c>
      <c r="U286" s="8" t="n">
        <f aca="false">IF(U$3&lt;=VST_Assets!$V$10,U278*VST_Assets!$U$10,0)/1000000*(1+VST_RevAdj)</f>
        <v>0</v>
      </c>
      <c r="V286" s="8" t="n">
        <f aca="false">IF(V$3&lt;=VST_Assets!$V$10,V278*VST_Assets!$U$10,0)/1000000*(1+VST_RevAdj)</f>
        <v>0</v>
      </c>
      <c r="W286" s="8" t="n">
        <f aca="false">IF(W$3&lt;=VST_Assets!$V$10,W278*VST_Assets!$U$10,0)/1000000*(1+VST_RevAdj)</f>
        <v>0</v>
      </c>
      <c r="X286" s="8" t="n">
        <f aca="false">IF(X$3&lt;=VST_Assets!$V$10,X278*VST_Assets!$U$10,0)/1000000*(1+VST_RevAdj)</f>
        <v>0</v>
      </c>
      <c r="Y286" s="8" t="n">
        <f aca="false">IF(Y$3&lt;=VST_Assets!$V$10,Y278*VST_Assets!$U$10,0)/1000000*(1+VST_RevAdj)</f>
        <v>0</v>
      </c>
      <c r="Z286" s="8" t="n">
        <f aca="false">IF(Z$3&lt;=VST_Assets!$V$10,Z278*VST_Assets!$U$10,0)/1000000*(1+VST_RevAdj)</f>
        <v>0</v>
      </c>
      <c r="AA286" s="8" t="n">
        <f aca="false">IF(AA$3&lt;=VST_Assets!$V$10,AA278*VST_Assets!$U$10,0)/1000000*(1+VST_RevAdj)</f>
        <v>0</v>
      </c>
      <c r="AB286" s="8" t="n">
        <f aca="false">IF(AB$3&lt;=VST_Assets!$V$10,AB278*VST_Assets!$U$10,0)/1000000*(1+VST_RevAdj)</f>
        <v>0</v>
      </c>
      <c r="AC286" s="8" t="n">
        <f aca="false">IF(AC$3&lt;=VST_Assets!$V$10,AC278*VST_Assets!$U$10,0)/1000000*(1+VST_RevAdj)</f>
        <v>0</v>
      </c>
      <c r="AD286" s="8" t="n">
        <f aca="false">IF(AD$3&lt;=VST_Assets!$V$10,AD278*VST_Assets!$U$10,0)/1000000*(1+VST_RevAdj)</f>
        <v>0</v>
      </c>
      <c r="AE286" s="8" t="n">
        <f aca="false">IF(AE$3&lt;=VST_Assets!$V$10,AE278*VST_Assets!$U$10,0)/1000000*(1+VST_RevAdj)</f>
        <v>0</v>
      </c>
      <c r="AF286" s="8" t="n">
        <f aca="false">IF(AF$3&lt;=VST_Assets!$V$10,AF278*VST_Assets!$U$10,0)/1000000*(1+VST_RevAdj)</f>
        <v>0</v>
      </c>
      <c r="AG286" s="8" t="n">
        <f aca="false">IF(AG$3&lt;=VST_Assets!$V$10,AG278*VST_Assets!$U$10,0)/1000000*(1+VST_RevAdj)</f>
        <v>0</v>
      </c>
      <c r="AH286" s="8" t="n">
        <f aca="false">IF(AH$3&lt;=VST_Assets!$V$10,AH278*VST_Assets!$U$10,0)/1000000*(1+VST_RevAdj)</f>
        <v>0</v>
      </c>
      <c r="AI286" s="8" t="n">
        <f aca="false">IF(AI$3&lt;=VST_Assets!$V$10,AI278*VST_Assets!$U$10,0)/1000000*(1+VST_RevAdj)</f>
        <v>0</v>
      </c>
      <c r="AJ286" s="8" t="n">
        <f aca="false">IF(AJ$3&lt;=VST_Assets!$V$10,AJ278*VST_Assets!$U$10,0)/1000000*(1+VST_RevAdj)</f>
        <v>0</v>
      </c>
      <c r="AK286" s="8" t="n">
        <f aca="false">IF(AK$3&lt;=VST_Assets!$V$10,AK278*VST_Assets!$U$10,0)/1000000*(1+VST_RevAdj)</f>
        <v>0</v>
      </c>
      <c r="AL286" s="8" t="n">
        <f aca="false">IF(AL$3&lt;=VST_Assets!$V$10,AL278*VST_Assets!$U$10,0)/1000000*(1+VST_RevAdj)</f>
        <v>0</v>
      </c>
      <c r="AM286" s="8" t="n">
        <f aca="false">IF(AM$3&lt;=VST_Assets!$V$10,AM278*VST_Assets!$U$10,0)/1000000*(1+VST_RevAdj)</f>
        <v>0</v>
      </c>
      <c r="AN286" s="8" t="n">
        <f aca="false">IF(AN$3&lt;=VST_Assets!$V$10,AN278*VST_Assets!$U$10,0)/1000000*(1+VST_RevAdj)</f>
        <v>0</v>
      </c>
      <c r="AO286" s="8" t="n">
        <f aca="false">IF(AO$3&lt;=VST_Assets!$V$10,AO278*VST_Assets!$U$10,0)/1000000*(1+VST_RevAdj)</f>
        <v>0</v>
      </c>
      <c r="AP286" s="8" t="n">
        <f aca="false">IF(AP$3&lt;=VST_Assets!$V$10,AP278*VST_Assets!$U$10,0)/1000000*(1+VST_RevAdj)</f>
        <v>0</v>
      </c>
      <c r="AQ286" s="8" t="n">
        <f aca="false">IF(AQ$3&lt;=VST_Assets!$V$10,AQ278*VST_Assets!$U$10,0)/1000000*(1+VST_RevAdj)</f>
        <v>0</v>
      </c>
      <c r="AR286" s="8" t="n">
        <f aca="false">IF(AR$3&lt;=VST_Assets!$V$10,AR278*VST_Assets!$U$10,0)/1000000*(1+VST_RevAdj)</f>
        <v>0</v>
      </c>
      <c r="AS286" s="8" t="n">
        <f aca="false">IF(AS$3&lt;=VST_Assets!$V$10,AS278*VST_Assets!$U$10,0)/1000000*(1+VST_RevAdj)</f>
        <v>0</v>
      </c>
    </row>
    <row r="287" customFormat="false" ht="15" hidden="false" customHeight="false" outlineLevel="0" collapsed="false">
      <c r="A287" s="6" t="s">
        <v>447</v>
      </c>
      <c r="B287" s="6" t="s">
        <v>448</v>
      </c>
      <c r="C287" s="9" t="n">
        <f aca="false">SUM(G287:AS287)</f>
        <v>5015.28184650107</v>
      </c>
      <c r="G287" s="8" t="n">
        <f aca="false">G283+G284+G285+G286</f>
        <v>453.05733186</v>
      </c>
      <c r="H287" s="8" t="n">
        <f aca="false">H283+H284+H285+H286</f>
        <v>454.75408692</v>
      </c>
      <c r="I287" s="8" t="n">
        <f aca="false">I283+I284+I285+I286</f>
        <v>403.144945508453</v>
      </c>
      <c r="J287" s="8" t="n">
        <f aca="false">J283+J284+J285+J286</f>
        <v>379.750546970756</v>
      </c>
      <c r="K287" s="8" t="n">
        <f aca="false">K283+K284+K285+K286</f>
        <v>387.345557910171</v>
      </c>
      <c r="L287" s="8" t="n">
        <f aca="false">L283+L284+L285+L286</f>
        <v>395.092469068375</v>
      </c>
      <c r="M287" s="8" t="n">
        <f aca="false">M283+M284+M285+M286</f>
        <v>402.994318449742</v>
      </c>
      <c r="N287" s="8" t="n">
        <f aca="false">N283+N284+N285+N286</f>
        <v>411.054204818737</v>
      </c>
      <c r="O287" s="8" t="n">
        <f aca="false">O283+O284+O285+O286</f>
        <v>419.275288915112</v>
      </c>
      <c r="P287" s="8" t="n">
        <f aca="false">P283+P284+P285+P286</f>
        <v>427.660794693414</v>
      </c>
      <c r="Q287" s="8" t="n">
        <f aca="false">Q283+Q284+Q285+Q286</f>
        <v>436.214010587282</v>
      </c>
      <c r="R287" s="8" t="n">
        <f aca="false">R283+R284+R285+R286</f>
        <v>444.938290799028</v>
      </c>
      <c r="S287" s="8" t="n">
        <f aca="false">S283+S284+S285+S286</f>
        <v>0</v>
      </c>
      <c r="T287" s="8" t="n">
        <f aca="false">T283+T284+T285+T286</f>
        <v>0</v>
      </c>
      <c r="U287" s="8" t="n">
        <f aca="false">U283+U284+U285+U286</f>
        <v>0</v>
      </c>
      <c r="V287" s="8" t="n">
        <f aca="false">V283+V284+V285+V286</f>
        <v>0</v>
      </c>
      <c r="W287" s="8" t="n">
        <f aca="false">W283+W284+W285+W286</f>
        <v>0</v>
      </c>
      <c r="X287" s="8" t="n">
        <f aca="false">X283+X284+X285+X286</f>
        <v>0</v>
      </c>
      <c r="Y287" s="8" t="n">
        <f aca="false">Y283+Y284+Y285+Y286</f>
        <v>0</v>
      </c>
      <c r="Z287" s="8" t="n">
        <f aca="false">Z283+Z284+Z285+Z286</f>
        <v>0</v>
      </c>
      <c r="AA287" s="8" t="n">
        <f aca="false">AA283+AA284+AA285+AA286</f>
        <v>0</v>
      </c>
      <c r="AB287" s="8" t="n">
        <f aca="false">AB283+AB284+AB285+AB286</f>
        <v>0</v>
      </c>
      <c r="AC287" s="8" t="n">
        <f aca="false">AC283+AC284+AC285+AC286</f>
        <v>0</v>
      </c>
      <c r="AD287" s="8" t="n">
        <f aca="false">AD283+AD284+AD285+AD286</f>
        <v>0</v>
      </c>
      <c r="AE287" s="8" t="n">
        <f aca="false">AE283+AE284+AE285+AE286</f>
        <v>0</v>
      </c>
      <c r="AF287" s="8" t="n">
        <f aca="false">AF283+AF284+AF285+AF286</f>
        <v>0</v>
      </c>
      <c r="AG287" s="8" t="n">
        <f aca="false">AG283+AG284+AG285+AG286</f>
        <v>0</v>
      </c>
      <c r="AH287" s="8" t="n">
        <f aca="false">AH283+AH284+AH285+AH286</f>
        <v>0</v>
      </c>
      <c r="AI287" s="8" t="n">
        <f aca="false">AI283+AI284+AI285+AI286</f>
        <v>0</v>
      </c>
      <c r="AJ287" s="8" t="n">
        <f aca="false">AJ283+AJ284+AJ285+AJ286</f>
        <v>0</v>
      </c>
      <c r="AK287" s="8" t="n">
        <f aca="false">AK283+AK284+AK285+AK286</f>
        <v>0</v>
      </c>
      <c r="AL287" s="8" t="n">
        <f aca="false">AL283+AL284+AL285+AL286</f>
        <v>0</v>
      </c>
      <c r="AM287" s="8" t="n">
        <f aca="false">AM283+AM284+AM285+AM286</f>
        <v>0</v>
      </c>
      <c r="AN287" s="8" t="n">
        <f aca="false">AN283+AN284+AN285+AN286</f>
        <v>0</v>
      </c>
      <c r="AO287" s="8" t="n">
        <f aca="false">AO283+AO284+AO285+AO286</f>
        <v>0</v>
      </c>
      <c r="AP287" s="8" t="n">
        <f aca="false">AP283+AP284+AP285+AP286</f>
        <v>0</v>
      </c>
      <c r="AQ287" s="8" t="n">
        <f aca="false">AQ283+AQ284+AQ285+AQ286</f>
        <v>0</v>
      </c>
      <c r="AR287" s="8" t="n">
        <f aca="false">AR283+AR284+AR285+AR286</f>
        <v>0</v>
      </c>
      <c r="AS287" s="8" t="n">
        <f aca="false">AS283+AS284+AS285+AS286</f>
        <v>0</v>
      </c>
    </row>
    <row r="288" customFormat="false" ht="15" hidden="false" customHeight="false" outlineLevel="0" collapsed="false">
      <c r="A288" s="6" t="s">
        <v>449</v>
      </c>
      <c r="B288" s="6" t="s">
        <v>450</v>
      </c>
      <c r="C288" s="9" t="n">
        <f aca="false">SUM(G288:AS288)</f>
        <v>902.194311178088</v>
      </c>
      <c r="G288" s="8" t="n">
        <f aca="false">((VST_Assets!$K$10*G280+VST_Assets!$M$10*G$4)*G278*G282+VST_Assets!$N$10*(1+VST_Assets!$Q$10)^(G$3-2026)*(G278+G279))/1000000*(1+VST_FuelAdj)</f>
        <v>65.9719725084</v>
      </c>
      <c r="H288" s="8" t="n">
        <f aca="false">((VST_Assets!$K$10*H280+VST_Assets!$M$10*H$4)*H278*H282+VST_Assets!$N$10*(1+VST_Assets!$Q$10)^(H$3-2026)*(H278+H279))/1000000*(1+VST_FuelAdj)</f>
        <v>67.291411958568</v>
      </c>
      <c r="I288" s="8" t="n">
        <f aca="false">((VST_Assets!$K$10*I280+VST_Assets!$M$10*I$4)*I278*I282+VST_Assets!$N$10*(1+VST_Assets!$Q$10)^(I$3-2026)*(I278+I279))/1000000*(1+VST_FuelAdj)</f>
        <v>70.2237917047867</v>
      </c>
      <c r="J288" s="8" t="n">
        <f aca="false">((VST_Assets!$K$10*J280+VST_Assets!$M$10*J$4)*J278*J282+VST_Assets!$N$10*(1+VST_Assets!$Q$10)^(J$3-2026)*(J278+J279))/1000000*(1+VST_FuelAdj)</f>
        <v>71.6282675388825</v>
      </c>
      <c r="K288" s="8" t="n">
        <f aca="false">((VST_Assets!$K$10*K280+VST_Assets!$M$10*K$4)*K278*K282+VST_Assets!$N$10*(1+VST_Assets!$Q$10)^(K$3-2026)*(K278+K279))/1000000*(1+VST_FuelAdj)</f>
        <v>73.0608328896601</v>
      </c>
      <c r="L288" s="8" t="n">
        <f aca="false">((VST_Assets!$K$10*L280+VST_Assets!$M$10*L$4)*L278*L282+VST_Assets!$N$10*(1+VST_Assets!$Q$10)^(L$3-2026)*(L278+L279))/1000000*(1+VST_FuelAdj)</f>
        <v>74.5220495474533</v>
      </c>
      <c r="M288" s="8" t="n">
        <f aca="false">((VST_Assets!$K$10*M280+VST_Assets!$M$10*M$4)*M278*M282+VST_Assets!$N$10*(1+VST_Assets!$Q$10)^(M$3-2026)*(M278+M279))/1000000*(1+VST_FuelAdj)</f>
        <v>76.0124905384024</v>
      </c>
      <c r="N288" s="8" t="n">
        <f aca="false">((VST_Assets!$K$10*N280+VST_Assets!$M$10*N$4)*N278*N282+VST_Assets!$N$10*(1+VST_Assets!$Q$10)^(N$3-2026)*(N278+N279))/1000000*(1+VST_FuelAdj)</f>
        <v>77.5327403491704</v>
      </c>
      <c r="O288" s="8" t="n">
        <f aca="false">((VST_Assets!$K$10*O280+VST_Assets!$M$10*O$4)*O278*O282+VST_Assets!$N$10*(1+VST_Assets!$Q$10)^(O$3-2026)*(O278+O279))/1000000*(1+VST_FuelAdj)</f>
        <v>79.0833951561538</v>
      </c>
      <c r="P288" s="8" t="n">
        <f aca="false">((VST_Assets!$K$10*P280+VST_Assets!$M$10*P$4)*P278*P282+VST_Assets!$N$10*(1+VST_Assets!$Q$10)^(P$3-2026)*(P278+P279))/1000000*(1+VST_FuelAdj)</f>
        <v>80.6650630592769</v>
      </c>
      <c r="Q288" s="8" t="n">
        <f aca="false">((VST_Assets!$K$10*Q280+VST_Assets!$M$10*Q$4)*Q278*Q282+VST_Assets!$N$10*(1+VST_Assets!$Q$10)^(Q$3-2026)*(Q278+Q279))/1000000*(1+VST_FuelAdj)</f>
        <v>82.2783643204624</v>
      </c>
      <c r="R288" s="8" t="n">
        <f aca="false">((VST_Assets!$K$10*R280+VST_Assets!$M$10*R$4)*R278*R282+VST_Assets!$N$10*(1+VST_Assets!$Q$10)^(R$3-2026)*(R278+R279))/1000000*(1+VST_FuelAdj)</f>
        <v>83.9239316068717</v>
      </c>
      <c r="S288" s="8" t="n">
        <f aca="false">((VST_Assets!$K$10*S280+VST_Assets!$M$10*S$4)*S278*S282+VST_Assets!$N$10*(1+VST_Assets!$Q$10)^(S$3-2026)*(S278+S279))/1000000*(1+VST_FuelAdj)</f>
        <v>0</v>
      </c>
      <c r="T288" s="8" t="n">
        <f aca="false">((VST_Assets!$K$10*T280+VST_Assets!$M$10*T$4)*T278*T282+VST_Assets!$N$10*(1+VST_Assets!$Q$10)^(T$3-2026)*(T278+T279))/1000000*(1+VST_FuelAdj)</f>
        <v>0</v>
      </c>
      <c r="U288" s="8" t="n">
        <f aca="false">((VST_Assets!$K$10*U280+VST_Assets!$M$10*U$4)*U278*U282+VST_Assets!$N$10*(1+VST_Assets!$Q$10)^(U$3-2026)*(U278+U279))/1000000*(1+VST_FuelAdj)</f>
        <v>0</v>
      </c>
      <c r="V288" s="8" t="n">
        <f aca="false">((VST_Assets!$K$10*V280+VST_Assets!$M$10*V$4)*V278*V282+VST_Assets!$N$10*(1+VST_Assets!$Q$10)^(V$3-2026)*(V278+V279))/1000000*(1+VST_FuelAdj)</f>
        <v>0</v>
      </c>
      <c r="W288" s="8" t="n">
        <f aca="false">((VST_Assets!$K$10*W280+VST_Assets!$M$10*W$4)*W278*W282+VST_Assets!$N$10*(1+VST_Assets!$Q$10)^(W$3-2026)*(W278+W279))/1000000*(1+VST_FuelAdj)</f>
        <v>0</v>
      </c>
      <c r="X288" s="8" t="n">
        <f aca="false">((VST_Assets!$K$10*X280+VST_Assets!$M$10*X$4)*X278*X282+VST_Assets!$N$10*(1+VST_Assets!$Q$10)^(X$3-2026)*(X278+X279))/1000000*(1+VST_FuelAdj)</f>
        <v>0</v>
      </c>
      <c r="Y288" s="8" t="n">
        <f aca="false">((VST_Assets!$K$10*Y280+VST_Assets!$M$10*Y$4)*Y278*Y282+VST_Assets!$N$10*(1+VST_Assets!$Q$10)^(Y$3-2026)*(Y278+Y279))/1000000*(1+VST_FuelAdj)</f>
        <v>0</v>
      </c>
      <c r="Z288" s="8" t="n">
        <f aca="false">((VST_Assets!$K$10*Z280+VST_Assets!$M$10*Z$4)*Z278*Z282+VST_Assets!$N$10*(1+VST_Assets!$Q$10)^(Z$3-2026)*(Z278+Z279))/1000000*(1+VST_FuelAdj)</f>
        <v>0</v>
      </c>
      <c r="AA288" s="8" t="n">
        <f aca="false">((VST_Assets!$K$10*AA280+VST_Assets!$M$10*AA$4)*AA278*AA282+VST_Assets!$N$10*(1+VST_Assets!$Q$10)^(AA$3-2026)*(AA278+AA279))/1000000*(1+VST_FuelAdj)</f>
        <v>0</v>
      </c>
      <c r="AB288" s="8" t="n">
        <f aca="false">((VST_Assets!$K$10*AB280+VST_Assets!$M$10*AB$4)*AB278*AB282+VST_Assets!$N$10*(1+VST_Assets!$Q$10)^(AB$3-2026)*(AB278+AB279))/1000000*(1+VST_FuelAdj)</f>
        <v>0</v>
      </c>
      <c r="AC288" s="8" t="n">
        <f aca="false">((VST_Assets!$K$10*AC280+VST_Assets!$M$10*AC$4)*AC278*AC282+VST_Assets!$N$10*(1+VST_Assets!$Q$10)^(AC$3-2026)*(AC278+AC279))/1000000*(1+VST_FuelAdj)</f>
        <v>0</v>
      </c>
      <c r="AD288" s="8" t="n">
        <f aca="false">((VST_Assets!$K$10*AD280+VST_Assets!$M$10*AD$4)*AD278*AD282+VST_Assets!$N$10*(1+VST_Assets!$Q$10)^(AD$3-2026)*(AD278+AD279))/1000000*(1+VST_FuelAdj)</f>
        <v>0</v>
      </c>
      <c r="AE288" s="8" t="n">
        <f aca="false">((VST_Assets!$K$10*AE280+VST_Assets!$M$10*AE$4)*AE278*AE282+VST_Assets!$N$10*(1+VST_Assets!$Q$10)^(AE$3-2026)*(AE278+AE279))/1000000*(1+VST_FuelAdj)</f>
        <v>0</v>
      </c>
      <c r="AF288" s="8" t="n">
        <f aca="false">((VST_Assets!$K$10*AF280+VST_Assets!$M$10*AF$4)*AF278*AF282+VST_Assets!$N$10*(1+VST_Assets!$Q$10)^(AF$3-2026)*(AF278+AF279))/1000000*(1+VST_FuelAdj)</f>
        <v>0</v>
      </c>
      <c r="AG288" s="8" t="n">
        <f aca="false">((VST_Assets!$K$10*AG280+VST_Assets!$M$10*AG$4)*AG278*AG282+VST_Assets!$N$10*(1+VST_Assets!$Q$10)^(AG$3-2026)*(AG278+AG279))/1000000*(1+VST_FuelAdj)</f>
        <v>0</v>
      </c>
      <c r="AH288" s="8" t="n">
        <f aca="false">((VST_Assets!$K$10*AH280+VST_Assets!$M$10*AH$4)*AH278*AH282+VST_Assets!$N$10*(1+VST_Assets!$Q$10)^(AH$3-2026)*(AH278+AH279))/1000000*(1+VST_FuelAdj)</f>
        <v>0</v>
      </c>
      <c r="AI288" s="8" t="n">
        <f aca="false">((VST_Assets!$K$10*AI280+VST_Assets!$M$10*AI$4)*AI278*AI282+VST_Assets!$N$10*(1+VST_Assets!$Q$10)^(AI$3-2026)*(AI278+AI279))/1000000*(1+VST_FuelAdj)</f>
        <v>0</v>
      </c>
      <c r="AJ288" s="8" t="n">
        <f aca="false">((VST_Assets!$K$10*AJ280+VST_Assets!$M$10*AJ$4)*AJ278*AJ282+VST_Assets!$N$10*(1+VST_Assets!$Q$10)^(AJ$3-2026)*(AJ278+AJ279))/1000000*(1+VST_FuelAdj)</f>
        <v>0</v>
      </c>
      <c r="AK288" s="8" t="n">
        <f aca="false">((VST_Assets!$K$10*AK280+VST_Assets!$M$10*AK$4)*AK278*AK282+VST_Assets!$N$10*(1+VST_Assets!$Q$10)^(AK$3-2026)*(AK278+AK279))/1000000*(1+VST_FuelAdj)</f>
        <v>0</v>
      </c>
      <c r="AL288" s="8" t="n">
        <f aca="false">((VST_Assets!$K$10*AL280+VST_Assets!$M$10*AL$4)*AL278*AL282+VST_Assets!$N$10*(1+VST_Assets!$Q$10)^(AL$3-2026)*(AL278+AL279))/1000000*(1+VST_FuelAdj)</f>
        <v>0</v>
      </c>
      <c r="AM288" s="8" t="n">
        <f aca="false">((VST_Assets!$K$10*AM280+VST_Assets!$M$10*AM$4)*AM278*AM282+VST_Assets!$N$10*(1+VST_Assets!$Q$10)^(AM$3-2026)*(AM278+AM279))/1000000*(1+VST_FuelAdj)</f>
        <v>0</v>
      </c>
      <c r="AN288" s="8" t="n">
        <f aca="false">((VST_Assets!$K$10*AN280+VST_Assets!$M$10*AN$4)*AN278*AN282+VST_Assets!$N$10*(1+VST_Assets!$Q$10)^(AN$3-2026)*(AN278+AN279))/1000000*(1+VST_FuelAdj)</f>
        <v>0</v>
      </c>
      <c r="AO288" s="8" t="n">
        <f aca="false">((VST_Assets!$K$10*AO280+VST_Assets!$M$10*AO$4)*AO278*AO282+VST_Assets!$N$10*(1+VST_Assets!$Q$10)^(AO$3-2026)*(AO278+AO279))/1000000*(1+VST_FuelAdj)</f>
        <v>0</v>
      </c>
      <c r="AP288" s="8" t="n">
        <f aca="false">((VST_Assets!$K$10*AP280+VST_Assets!$M$10*AP$4)*AP278*AP282+VST_Assets!$N$10*(1+VST_Assets!$Q$10)^(AP$3-2026)*(AP278+AP279))/1000000*(1+VST_FuelAdj)</f>
        <v>0</v>
      </c>
      <c r="AQ288" s="8" t="n">
        <f aca="false">((VST_Assets!$K$10*AQ280+VST_Assets!$M$10*AQ$4)*AQ278*AQ282+VST_Assets!$N$10*(1+VST_Assets!$Q$10)^(AQ$3-2026)*(AQ278+AQ279))/1000000*(1+VST_FuelAdj)</f>
        <v>0</v>
      </c>
      <c r="AR288" s="8" t="n">
        <f aca="false">((VST_Assets!$K$10*AR280+VST_Assets!$M$10*AR$4)*AR278*AR282+VST_Assets!$N$10*(1+VST_Assets!$Q$10)^(AR$3-2026)*(AR278+AR279))/1000000*(1+VST_FuelAdj)</f>
        <v>0</v>
      </c>
      <c r="AS288" s="8" t="n">
        <f aca="false">((VST_Assets!$K$10*AS280+VST_Assets!$M$10*AS$4)*AS278*AS282+VST_Assets!$N$10*(1+VST_Assets!$Q$10)^(AS$3-2026)*(AS278+AS279))/1000000*(1+VST_FuelAdj)</f>
        <v>0</v>
      </c>
    </row>
    <row r="289" customFormat="false" ht="15" hidden="false" customHeight="false" outlineLevel="0" collapsed="false">
      <c r="A289" s="6" t="s">
        <v>451</v>
      </c>
      <c r="B289" s="6" t="s">
        <v>452</v>
      </c>
      <c r="C289" s="9" t="n">
        <f aca="false">SUM(G289:AS289)</f>
        <v>4113.08753532298</v>
      </c>
      <c r="G289" s="8" t="n">
        <f aca="false">G287-G288</f>
        <v>387.0853593516</v>
      </c>
      <c r="H289" s="8" t="n">
        <f aca="false">H287-H288</f>
        <v>387.462674961432</v>
      </c>
      <c r="I289" s="8" t="n">
        <f aca="false">I287-I288</f>
        <v>332.921153803667</v>
      </c>
      <c r="J289" s="8" t="n">
        <f aca="false">J287-J288</f>
        <v>308.122279431874</v>
      </c>
      <c r="K289" s="8" t="n">
        <f aca="false">K287-K288</f>
        <v>314.284725020511</v>
      </c>
      <c r="L289" s="8" t="n">
        <f aca="false">L287-L288</f>
        <v>320.570419520921</v>
      </c>
      <c r="M289" s="8" t="n">
        <f aca="false">M287-M288</f>
        <v>326.98182791134</v>
      </c>
      <c r="N289" s="8" t="n">
        <f aca="false">N287-N288</f>
        <v>333.521464469567</v>
      </c>
      <c r="O289" s="8" t="n">
        <f aca="false">O287-O288</f>
        <v>340.191893758958</v>
      </c>
      <c r="P289" s="8" t="n">
        <f aca="false">P287-P288</f>
        <v>346.995731634137</v>
      </c>
      <c r="Q289" s="8" t="n">
        <f aca="false">Q287-Q288</f>
        <v>353.93564626682</v>
      </c>
      <c r="R289" s="8" t="n">
        <f aca="false">R287-R288</f>
        <v>361.014359192156</v>
      </c>
      <c r="S289" s="8" t="n">
        <f aca="false">S287-S288</f>
        <v>0</v>
      </c>
      <c r="T289" s="8" t="n">
        <f aca="false">T287-T288</f>
        <v>0</v>
      </c>
      <c r="U289" s="8" t="n">
        <f aca="false">U287-U288</f>
        <v>0</v>
      </c>
      <c r="V289" s="8" t="n">
        <f aca="false">V287-V288</f>
        <v>0</v>
      </c>
      <c r="W289" s="8" t="n">
        <f aca="false">W287-W288</f>
        <v>0</v>
      </c>
      <c r="X289" s="8" t="n">
        <f aca="false">X287-X288</f>
        <v>0</v>
      </c>
      <c r="Y289" s="8" t="n">
        <f aca="false">Y287-Y288</f>
        <v>0</v>
      </c>
      <c r="Z289" s="8" t="n">
        <f aca="false">Z287-Z288</f>
        <v>0</v>
      </c>
      <c r="AA289" s="8" t="n">
        <f aca="false">AA287-AA288</f>
        <v>0</v>
      </c>
      <c r="AB289" s="8" t="n">
        <f aca="false">AB287-AB288</f>
        <v>0</v>
      </c>
      <c r="AC289" s="8" t="n">
        <f aca="false">AC287-AC288</f>
        <v>0</v>
      </c>
      <c r="AD289" s="8" t="n">
        <f aca="false">AD287-AD288</f>
        <v>0</v>
      </c>
      <c r="AE289" s="8" t="n">
        <f aca="false">AE287-AE288</f>
        <v>0</v>
      </c>
      <c r="AF289" s="8" t="n">
        <f aca="false">AF287-AF288</f>
        <v>0</v>
      </c>
      <c r="AG289" s="8" t="n">
        <f aca="false">AG287-AG288</f>
        <v>0</v>
      </c>
      <c r="AH289" s="8" t="n">
        <f aca="false">AH287-AH288</f>
        <v>0</v>
      </c>
      <c r="AI289" s="8" t="n">
        <f aca="false">AI287-AI288</f>
        <v>0</v>
      </c>
      <c r="AJ289" s="8" t="n">
        <f aca="false">AJ287-AJ288</f>
        <v>0</v>
      </c>
      <c r="AK289" s="8" t="n">
        <f aca="false">AK287-AK288</f>
        <v>0</v>
      </c>
      <c r="AL289" s="8" t="n">
        <f aca="false">AL287-AL288</f>
        <v>0</v>
      </c>
      <c r="AM289" s="8" t="n">
        <f aca="false">AM287-AM288</f>
        <v>0</v>
      </c>
      <c r="AN289" s="8" t="n">
        <f aca="false">AN287-AN288</f>
        <v>0</v>
      </c>
      <c r="AO289" s="8" t="n">
        <f aca="false">AO287-AO288</f>
        <v>0</v>
      </c>
      <c r="AP289" s="8" t="n">
        <f aca="false">AP287-AP288</f>
        <v>0</v>
      </c>
      <c r="AQ289" s="8" t="n">
        <f aca="false">AQ287-AQ288</f>
        <v>0</v>
      </c>
      <c r="AR289" s="8" t="n">
        <f aca="false">AR287-AR288</f>
        <v>0</v>
      </c>
      <c r="AS289" s="8" t="n">
        <f aca="false">AS287-AS288</f>
        <v>0</v>
      </c>
    </row>
    <row r="290" customFormat="false" ht="15" hidden="false" customHeight="false" outlineLevel="0" collapsed="false">
      <c r="A290" s="6" t="s">
        <v>453</v>
      </c>
      <c r="B290" s="6" t="s">
        <v>454</v>
      </c>
      <c r="C290" s="9" t="n">
        <f aca="false">SUM(G290:AS290)</f>
        <v>667.080325709401</v>
      </c>
      <c r="G290" s="8" t="n">
        <f aca="false">(VST_Assets!$R$10*VST_Assets!$D$10*1000*G$4*G276+VST_Assets!$O$10*(1+VST_Assets!$Q$10)^(G$3-2026)*(G278+G279))/1000000*(1+VST_OMAdj)</f>
        <v>49.73724</v>
      </c>
      <c r="H290" s="8" t="n">
        <f aca="false">(VST_Assets!$R$10*VST_Assets!$D$10*1000*H$4*H276+VST_Assets!$O$10*(1+VST_Assets!$Q$10)^(H$3-2026)*(H278+H279))/1000000*(1+VST_OMAdj)</f>
        <v>50.7319848</v>
      </c>
      <c r="I290" s="8" t="n">
        <f aca="false">(VST_Assets!$R$10*VST_Assets!$D$10*1000*I$4*I276+VST_Assets!$O$10*(1+VST_Assets!$Q$10)^(I$3-2026)*(I278+I279))/1000000*(1+VST_OMAdj)</f>
        <v>51.746624496</v>
      </c>
      <c r="J290" s="8" t="n">
        <f aca="false">(VST_Assets!$R$10*VST_Assets!$D$10*1000*J$4*J276+VST_Assets!$O$10*(1+VST_Assets!$Q$10)^(J$3-2026)*(J278+J279))/1000000*(1+VST_OMAdj)</f>
        <v>52.78155698592</v>
      </c>
      <c r="K290" s="8" t="n">
        <f aca="false">(VST_Assets!$R$10*VST_Assets!$D$10*1000*K$4*K276+VST_Assets!$O$10*(1+VST_Assets!$Q$10)^(K$3-2026)*(K278+K279))/1000000*(1+VST_OMAdj)</f>
        <v>53.8371881256384</v>
      </c>
      <c r="L290" s="8" t="n">
        <f aca="false">(VST_Assets!$R$10*VST_Assets!$D$10*1000*L$4*L276+VST_Assets!$O$10*(1+VST_Assets!$Q$10)^(L$3-2026)*(L278+L279))/1000000*(1+VST_OMAdj)</f>
        <v>54.9139318881512</v>
      </c>
      <c r="M290" s="8" t="n">
        <f aca="false">(VST_Assets!$R$10*VST_Assets!$D$10*1000*M$4*M276+VST_Assets!$O$10*(1+VST_Assets!$Q$10)^(M$3-2026)*(M278+M279))/1000000*(1+VST_OMAdj)</f>
        <v>56.0122105259142</v>
      </c>
      <c r="N290" s="8" t="n">
        <f aca="false">(VST_Assets!$R$10*VST_Assets!$D$10*1000*N$4*N276+VST_Assets!$O$10*(1+VST_Assets!$Q$10)^(N$3-2026)*(N278+N279))/1000000*(1+VST_OMAdj)</f>
        <v>57.1324547364325</v>
      </c>
      <c r="O290" s="8" t="n">
        <f aca="false">(VST_Assets!$R$10*VST_Assets!$D$10*1000*O$4*O276+VST_Assets!$O$10*(1+VST_Assets!$Q$10)^(O$3-2026)*(O278+O279))/1000000*(1+VST_OMAdj)</f>
        <v>58.2751038311611</v>
      </c>
      <c r="P290" s="8" t="n">
        <f aca="false">(VST_Assets!$R$10*VST_Assets!$D$10*1000*P$4*P276+VST_Assets!$O$10*(1+VST_Assets!$Q$10)^(P$3-2026)*(P278+P279))/1000000*(1+VST_OMAdj)</f>
        <v>59.4406059077844</v>
      </c>
      <c r="Q290" s="8" t="n">
        <f aca="false">(VST_Assets!$R$10*VST_Assets!$D$10*1000*Q$4*Q276+VST_Assets!$O$10*(1+VST_Assets!$Q$10)^(Q$3-2026)*(Q278+Q279))/1000000*(1+VST_OMAdj)</f>
        <v>60.6294180259401</v>
      </c>
      <c r="R290" s="8" t="n">
        <f aca="false">(VST_Assets!$R$10*VST_Assets!$D$10*1000*R$4*R276+VST_Assets!$O$10*(1+VST_Assets!$Q$10)^(R$3-2026)*(R278+R279))/1000000*(1+VST_OMAdj)</f>
        <v>61.8420063864588</v>
      </c>
      <c r="S290" s="8" t="n">
        <f aca="false">(VST_Assets!$R$10*VST_Assets!$D$10*1000*S$4*S276+VST_Assets!$O$10*(1+VST_Assets!$Q$10)^(S$3-2026)*(S278+S279))/1000000*(1+VST_OMAdj)</f>
        <v>0</v>
      </c>
      <c r="T290" s="8" t="n">
        <f aca="false">(VST_Assets!$R$10*VST_Assets!$D$10*1000*T$4*T276+VST_Assets!$O$10*(1+VST_Assets!$Q$10)^(T$3-2026)*(T278+T279))/1000000*(1+VST_OMAdj)</f>
        <v>0</v>
      </c>
      <c r="U290" s="8" t="n">
        <f aca="false">(VST_Assets!$R$10*VST_Assets!$D$10*1000*U$4*U276+VST_Assets!$O$10*(1+VST_Assets!$Q$10)^(U$3-2026)*(U278+U279))/1000000*(1+VST_OMAdj)</f>
        <v>0</v>
      </c>
      <c r="V290" s="8" t="n">
        <f aca="false">(VST_Assets!$R$10*VST_Assets!$D$10*1000*V$4*V276+VST_Assets!$O$10*(1+VST_Assets!$Q$10)^(V$3-2026)*(V278+V279))/1000000*(1+VST_OMAdj)</f>
        <v>0</v>
      </c>
      <c r="W290" s="8" t="n">
        <f aca="false">(VST_Assets!$R$10*VST_Assets!$D$10*1000*W$4*W276+VST_Assets!$O$10*(1+VST_Assets!$Q$10)^(W$3-2026)*(W278+W279))/1000000*(1+VST_OMAdj)</f>
        <v>0</v>
      </c>
      <c r="X290" s="8" t="n">
        <f aca="false">(VST_Assets!$R$10*VST_Assets!$D$10*1000*X$4*X276+VST_Assets!$O$10*(1+VST_Assets!$Q$10)^(X$3-2026)*(X278+X279))/1000000*(1+VST_OMAdj)</f>
        <v>0</v>
      </c>
      <c r="Y290" s="8" t="n">
        <f aca="false">(VST_Assets!$R$10*VST_Assets!$D$10*1000*Y$4*Y276+VST_Assets!$O$10*(1+VST_Assets!$Q$10)^(Y$3-2026)*(Y278+Y279))/1000000*(1+VST_OMAdj)</f>
        <v>0</v>
      </c>
      <c r="Z290" s="8" t="n">
        <f aca="false">(VST_Assets!$R$10*VST_Assets!$D$10*1000*Z$4*Z276+VST_Assets!$O$10*(1+VST_Assets!$Q$10)^(Z$3-2026)*(Z278+Z279))/1000000*(1+VST_OMAdj)</f>
        <v>0</v>
      </c>
      <c r="AA290" s="8" t="n">
        <f aca="false">(VST_Assets!$R$10*VST_Assets!$D$10*1000*AA$4*AA276+VST_Assets!$O$10*(1+VST_Assets!$Q$10)^(AA$3-2026)*(AA278+AA279))/1000000*(1+VST_OMAdj)</f>
        <v>0</v>
      </c>
      <c r="AB290" s="8" t="n">
        <f aca="false">(VST_Assets!$R$10*VST_Assets!$D$10*1000*AB$4*AB276+VST_Assets!$O$10*(1+VST_Assets!$Q$10)^(AB$3-2026)*(AB278+AB279))/1000000*(1+VST_OMAdj)</f>
        <v>0</v>
      </c>
      <c r="AC290" s="8" t="n">
        <f aca="false">(VST_Assets!$R$10*VST_Assets!$D$10*1000*AC$4*AC276+VST_Assets!$O$10*(1+VST_Assets!$Q$10)^(AC$3-2026)*(AC278+AC279))/1000000*(1+VST_OMAdj)</f>
        <v>0</v>
      </c>
      <c r="AD290" s="8" t="n">
        <f aca="false">(VST_Assets!$R$10*VST_Assets!$D$10*1000*AD$4*AD276+VST_Assets!$O$10*(1+VST_Assets!$Q$10)^(AD$3-2026)*(AD278+AD279))/1000000*(1+VST_OMAdj)</f>
        <v>0</v>
      </c>
      <c r="AE290" s="8" t="n">
        <f aca="false">(VST_Assets!$R$10*VST_Assets!$D$10*1000*AE$4*AE276+VST_Assets!$O$10*(1+VST_Assets!$Q$10)^(AE$3-2026)*(AE278+AE279))/1000000*(1+VST_OMAdj)</f>
        <v>0</v>
      </c>
      <c r="AF290" s="8" t="n">
        <f aca="false">(VST_Assets!$R$10*VST_Assets!$D$10*1000*AF$4*AF276+VST_Assets!$O$10*(1+VST_Assets!$Q$10)^(AF$3-2026)*(AF278+AF279))/1000000*(1+VST_OMAdj)</f>
        <v>0</v>
      </c>
      <c r="AG290" s="8" t="n">
        <f aca="false">(VST_Assets!$R$10*VST_Assets!$D$10*1000*AG$4*AG276+VST_Assets!$O$10*(1+VST_Assets!$Q$10)^(AG$3-2026)*(AG278+AG279))/1000000*(1+VST_OMAdj)</f>
        <v>0</v>
      </c>
      <c r="AH290" s="8" t="n">
        <f aca="false">(VST_Assets!$R$10*VST_Assets!$D$10*1000*AH$4*AH276+VST_Assets!$O$10*(1+VST_Assets!$Q$10)^(AH$3-2026)*(AH278+AH279))/1000000*(1+VST_OMAdj)</f>
        <v>0</v>
      </c>
      <c r="AI290" s="8" t="n">
        <f aca="false">(VST_Assets!$R$10*VST_Assets!$D$10*1000*AI$4*AI276+VST_Assets!$O$10*(1+VST_Assets!$Q$10)^(AI$3-2026)*(AI278+AI279))/1000000*(1+VST_OMAdj)</f>
        <v>0</v>
      </c>
      <c r="AJ290" s="8" t="n">
        <f aca="false">(VST_Assets!$R$10*VST_Assets!$D$10*1000*AJ$4*AJ276+VST_Assets!$O$10*(1+VST_Assets!$Q$10)^(AJ$3-2026)*(AJ278+AJ279))/1000000*(1+VST_OMAdj)</f>
        <v>0</v>
      </c>
      <c r="AK290" s="8" t="n">
        <f aca="false">(VST_Assets!$R$10*VST_Assets!$D$10*1000*AK$4*AK276+VST_Assets!$O$10*(1+VST_Assets!$Q$10)^(AK$3-2026)*(AK278+AK279))/1000000*(1+VST_OMAdj)</f>
        <v>0</v>
      </c>
      <c r="AL290" s="8" t="n">
        <f aca="false">(VST_Assets!$R$10*VST_Assets!$D$10*1000*AL$4*AL276+VST_Assets!$O$10*(1+VST_Assets!$Q$10)^(AL$3-2026)*(AL278+AL279))/1000000*(1+VST_OMAdj)</f>
        <v>0</v>
      </c>
      <c r="AM290" s="8" t="n">
        <f aca="false">(VST_Assets!$R$10*VST_Assets!$D$10*1000*AM$4*AM276+VST_Assets!$O$10*(1+VST_Assets!$Q$10)^(AM$3-2026)*(AM278+AM279))/1000000*(1+VST_OMAdj)</f>
        <v>0</v>
      </c>
      <c r="AN290" s="8" t="n">
        <f aca="false">(VST_Assets!$R$10*VST_Assets!$D$10*1000*AN$4*AN276+VST_Assets!$O$10*(1+VST_Assets!$Q$10)^(AN$3-2026)*(AN278+AN279))/1000000*(1+VST_OMAdj)</f>
        <v>0</v>
      </c>
      <c r="AO290" s="8" t="n">
        <f aca="false">(VST_Assets!$R$10*VST_Assets!$D$10*1000*AO$4*AO276+VST_Assets!$O$10*(1+VST_Assets!$Q$10)^(AO$3-2026)*(AO278+AO279))/1000000*(1+VST_OMAdj)</f>
        <v>0</v>
      </c>
      <c r="AP290" s="8" t="n">
        <f aca="false">(VST_Assets!$R$10*VST_Assets!$D$10*1000*AP$4*AP276+VST_Assets!$O$10*(1+VST_Assets!$Q$10)^(AP$3-2026)*(AP278+AP279))/1000000*(1+VST_OMAdj)</f>
        <v>0</v>
      </c>
      <c r="AQ290" s="8" t="n">
        <f aca="false">(VST_Assets!$R$10*VST_Assets!$D$10*1000*AQ$4*AQ276+VST_Assets!$O$10*(1+VST_Assets!$Q$10)^(AQ$3-2026)*(AQ278+AQ279))/1000000*(1+VST_OMAdj)</f>
        <v>0</v>
      </c>
      <c r="AR290" s="8" t="n">
        <f aca="false">(VST_Assets!$R$10*VST_Assets!$D$10*1000*AR$4*AR276+VST_Assets!$O$10*(1+VST_Assets!$Q$10)^(AR$3-2026)*(AR278+AR279))/1000000*(1+VST_OMAdj)</f>
        <v>0</v>
      </c>
      <c r="AS290" s="8" t="n">
        <f aca="false">(VST_Assets!$R$10*VST_Assets!$D$10*1000*AS$4*AS276+VST_Assets!$O$10*(1+VST_Assets!$Q$10)^(AS$3-2026)*(AS278+AS279))/1000000*(1+VST_OMAdj)</f>
        <v>0</v>
      </c>
    </row>
    <row r="291" customFormat="false" ht="15" hidden="false" customHeight="false" outlineLevel="0" collapsed="false">
      <c r="A291" s="6" t="s">
        <v>455</v>
      </c>
      <c r="B291" s="6" t="s">
        <v>456</v>
      </c>
      <c r="C291" s="9" t="n">
        <f aca="false">SUM(G291:AS291)</f>
        <v>3446.00720961358</v>
      </c>
      <c r="G291" s="8" t="n">
        <f aca="false">G289-G290</f>
        <v>337.3481193516</v>
      </c>
      <c r="H291" s="8" t="n">
        <f aca="false">H289-H290</f>
        <v>336.730690161432</v>
      </c>
      <c r="I291" s="8" t="n">
        <f aca="false">I289-I290</f>
        <v>281.174529307667</v>
      </c>
      <c r="J291" s="8" t="n">
        <f aca="false">J289-J290</f>
        <v>255.340722445954</v>
      </c>
      <c r="K291" s="8" t="n">
        <f aca="false">K289-K290</f>
        <v>260.447536894873</v>
      </c>
      <c r="L291" s="8" t="n">
        <f aca="false">L289-L290</f>
        <v>265.65648763277</v>
      </c>
      <c r="M291" s="8" t="n">
        <f aca="false">M289-M290</f>
        <v>270.969617385426</v>
      </c>
      <c r="N291" s="8" t="n">
        <f aca="false">N289-N290</f>
        <v>276.389009733134</v>
      </c>
      <c r="O291" s="8" t="n">
        <f aca="false">O289-O290</f>
        <v>281.916789927797</v>
      </c>
      <c r="P291" s="8" t="n">
        <f aca="false">P289-P290</f>
        <v>287.555125726353</v>
      </c>
      <c r="Q291" s="8" t="n">
        <f aca="false">Q289-Q290</f>
        <v>293.30622824088</v>
      </c>
      <c r="R291" s="8" t="n">
        <f aca="false">R289-R290</f>
        <v>299.172352805697</v>
      </c>
      <c r="S291" s="8" t="n">
        <f aca="false">S289-S290</f>
        <v>0</v>
      </c>
      <c r="T291" s="8" t="n">
        <f aca="false">T289-T290</f>
        <v>0</v>
      </c>
      <c r="U291" s="8" t="n">
        <f aca="false">U289-U290</f>
        <v>0</v>
      </c>
      <c r="V291" s="8" t="n">
        <f aca="false">V289-V290</f>
        <v>0</v>
      </c>
      <c r="W291" s="8" t="n">
        <f aca="false">W289-W290</f>
        <v>0</v>
      </c>
      <c r="X291" s="8" t="n">
        <f aca="false">X289-X290</f>
        <v>0</v>
      </c>
      <c r="Y291" s="8" t="n">
        <f aca="false">Y289-Y290</f>
        <v>0</v>
      </c>
      <c r="Z291" s="8" t="n">
        <f aca="false">Z289-Z290</f>
        <v>0</v>
      </c>
      <c r="AA291" s="8" t="n">
        <f aca="false">AA289-AA290</f>
        <v>0</v>
      </c>
      <c r="AB291" s="8" t="n">
        <f aca="false">AB289-AB290</f>
        <v>0</v>
      </c>
      <c r="AC291" s="8" t="n">
        <f aca="false">AC289-AC290</f>
        <v>0</v>
      </c>
      <c r="AD291" s="8" t="n">
        <f aca="false">AD289-AD290</f>
        <v>0</v>
      </c>
      <c r="AE291" s="8" t="n">
        <f aca="false">AE289-AE290</f>
        <v>0</v>
      </c>
      <c r="AF291" s="8" t="n">
        <f aca="false">AF289-AF290</f>
        <v>0</v>
      </c>
      <c r="AG291" s="8" t="n">
        <f aca="false">AG289-AG290</f>
        <v>0</v>
      </c>
      <c r="AH291" s="8" t="n">
        <f aca="false">AH289-AH290</f>
        <v>0</v>
      </c>
      <c r="AI291" s="8" t="n">
        <f aca="false">AI289-AI290</f>
        <v>0</v>
      </c>
      <c r="AJ291" s="8" t="n">
        <f aca="false">AJ289-AJ290</f>
        <v>0</v>
      </c>
      <c r="AK291" s="8" t="n">
        <f aca="false">AK289-AK290</f>
        <v>0</v>
      </c>
      <c r="AL291" s="8" t="n">
        <f aca="false">AL289-AL290</f>
        <v>0</v>
      </c>
      <c r="AM291" s="8" t="n">
        <f aca="false">AM289-AM290</f>
        <v>0</v>
      </c>
      <c r="AN291" s="8" t="n">
        <f aca="false">AN289-AN290</f>
        <v>0</v>
      </c>
      <c r="AO291" s="8" t="n">
        <f aca="false">AO289-AO290</f>
        <v>0</v>
      </c>
      <c r="AP291" s="8" t="n">
        <f aca="false">AP289-AP290</f>
        <v>0</v>
      </c>
      <c r="AQ291" s="8" t="n">
        <f aca="false">AQ289-AQ290</f>
        <v>0</v>
      </c>
      <c r="AR291" s="8" t="n">
        <f aca="false">AR289-AR290</f>
        <v>0</v>
      </c>
      <c r="AS291" s="8" t="n">
        <f aca="false">AS289-AS290</f>
        <v>0</v>
      </c>
    </row>
    <row r="292" customFormat="false" ht="15" hidden="false" customHeight="false" outlineLevel="0" collapsed="false">
      <c r="A292" s="6" t="s">
        <v>457</v>
      </c>
      <c r="B292" s="6" t="s">
        <v>458</v>
      </c>
      <c r="C292" s="9" t="n">
        <f aca="false">SUM(G292:AS292)</f>
        <v>185.300090474834</v>
      </c>
      <c r="G292" s="8" t="n">
        <f aca="false">((VST_Assets!$S$10*VST_Assets!$D$10*1000*G$4*G276+VST_Assets!$P$10*(1+VST_Assets!$Q$10)^(G$3-2026)*(G278+G279))/1000000+IF(G$3=VST_Assets!$AH$10,VST_Assets!$AG$10,0))*(1+VST_CapexAdj)</f>
        <v>13.8159</v>
      </c>
      <c r="H292" s="8" t="n">
        <f aca="false">((VST_Assets!$S$10*VST_Assets!$D$10*1000*H$4*H276+VST_Assets!$P$10*(1+VST_Assets!$Q$10)^(H$3-2026)*(H278+H279))/1000000+IF(H$3=VST_Assets!$AH$10,VST_Assets!$AG$10,0))*(1+VST_CapexAdj)</f>
        <v>14.092218</v>
      </c>
      <c r="I292" s="8" t="n">
        <f aca="false">((VST_Assets!$S$10*VST_Assets!$D$10*1000*I$4*I276+VST_Assets!$P$10*(1+VST_Assets!$Q$10)^(I$3-2026)*(I278+I279))/1000000+IF(I$3=VST_Assets!$AH$10,VST_Assets!$AG$10,0))*(1+VST_CapexAdj)</f>
        <v>14.37406236</v>
      </c>
      <c r="J292" s="8" t="n">
        <f aca="false">((VST_Assets!$S$10*VST_Assets!$D$10*1000*J$4*J276+VST_Assets!$P$10*(1+VST_Assets!$Q$10)^(J$3-2026)*(J278+J279))/1000000+IF(J$3=VST_Assets!$AH$10,VST_Assets!$AG$10,0))*(1+VST_CapexAdj)</f>
        <v>14.6615436072</v>
      </c>
      <c r="K292" s="8" t="n">
        <f aca="false">((VST_Assets!$S$10*VST_Assets!$D$10*1000*K$4*K276+VST_Assets!$P$10*(1+VST_Assets!$Q$10)^(K$3-2026)*(K278+K279))/1000000+IF(K$3=VST_Assets!$AH$10,VST_Assets!$AG$10,0))*(1+VST_CapexAdj)</f>
        <v>14.954774479344</v>
      </c>
      <c r="L292" s="8" t="n">
        <f aca="false">((VST_Assets!$S$10*VST_Assets!$D$10*1000*L$4*L276+VST_Assets!$P$10*(1+VST_Assets!$Q$10)^(L$3-2026)*(L278+L279))/1000000+IF(L$3=VST_Assets!$AH$10,VST_Assets!$AG$10,0))*(1+VST_CapexAdj)</f>
        <v>15.2538699689309</v>
      </c>
      <c r="M292" s="8" t="n">
        <f aca="false">((VST_Assets!$S$10*VST_Assets!$D$10*1000*M$4*M276+VST_Assets!$P$10*(1+VST_Assets!$Q$10)^(M$3-2026)*(M278+M279))/1000000+IF(M$3=VST_Assets!$AH$10,VST_Assets!$AG$10,0))*(1+VST_CapexAdj)</f>
        <v>15.5589473683095</v>
      </c>
      <c r="N292" s="8" t="n">
        <f aca="false">((VST_Assets!$S$10*VST_Assets!$D$10*1000*N$4*N276+VST_Assets!$P$10*(1+VST_Assets!$Q$10)^(N$3-2026)*(N278+N279))/1000000+IF(N$3=VST_Assets!$AH$10,VST_Assets!$AG$10,0))*(1+VST_CapexAdj)</f>
        <v>15.8701263156757</v>
      </c>
      <c r="O292" s="8" t="n">
        <f aca="false">((VST_Assets!$S$10*VST_Assets!$D$10*1000*O$4*O276+VST_Assets!$P$10*(1+VST_Assets!$Q$10)^(O$3-2026)*(O278+O279))/1000000+IF(O$3=VST_Assets!$AH$10,VST_Assets!$AG$10,0))*(1+VST_CapexAdj)</f>
        <v>16.1875288419892</v>
      </c>
      <c r="P292" s="8" t="n">
        <f aca="false">((VST_Assets!$S$10*VST_Assets!$D$10*1000*P$4*P276+VST_Assets!$P$10*(1+VST_Assets!$Q$10)^(P$3-2026)*(P278+P279))/1000000+IF(P$3=VST_Assets!$AH$10,VST_Assets!$AG$10,0))*(1+VST_CapexAdj)</f>
        <v>16.511279418829</v>
      </c>
      <c r="Q292" s="8" t="n">
        <f aca="false">((VST_Assets!$S$10*VST_Assets!$D$10*1000*Q$4*Q276+VST_Assets!$P$10*(1+VST_Assets!$Q$10)^(Q$3-2026)*(Q278+Q279))/1000000+IF(Q$3=VST_Assets!$AH$10,VST_Assets!$AG$10,0))*(1+VST_CapexAdj)</f>
        <v>16.8415050072056</v>
      </c>
      <c r="R292" s="8" t="n">
        <f aca="false">((VST_Assets!$S$10*VST_Assets!$D$10*1000*R$4*R276+VST_Assets!$P$10*(1+VST_Assets!$Q$10)^(R$3-2026)*(R278+R279))/1000000+IF(R$3=VST_Assets!$AH$10,VST_Assets!$AG$10,0))*(1+VST_CapexAdj)</f>
        <v>17.1783351073497</v>
      </c>
      <c r="S292" s="8" t="n">
        <f aca="false">((VST_Assets!$S$10*VST_Assets!$D$10*1000*S$4*S276+VST_Assets!$P$10*(1+VST_Assets!$Q$10)^(S$3-2026)*(S278+S279))/1000000+IF(S$3=VST_Assets!$AH$10,VST_Assets!$AG$10,0))*(1+VST_CapexAdj)</f>
        <v>0</v>
      </c>
      <c r="T292" s="8" t="n">
        <f aca="false">((VST_Assets!$S$10*VST_Assets!$D$10*1000*T$4*T276+VST_Assets!$P$10*(1+VST_Assets!$Q$10)^(T$3-2026)*(T278+T279))/1000000+IF(T$3=VST_Assets!$AH$10,VST_Assets!$AG$10,0))*(1+VST_CapexAdj)</f>
        <v>0</v>
      </c>
      <c r="U292" s="8" t="n">
        <f aca="false">((VST_Assets!$S$10*VST_Assets!$D$10*1000*U$4*U276+VST_Assets!$P$10*(1+VST_Assets!$Q$10)^(U$3-2026)*(U278+U279))/1000000+IF(U$3=VST_Assets!$AH$10,VST_Assets!$AG$10,0))*(1+VST_CapexAdj)</f>
        <v>0</v>
      </c>
      <c r="V292" s="8" t="n">
        <f aca="false">((VST_Assets!$S$10*VST_Assets!$D$10*1000*V$4*V276+VST_Assets!$P$10*(1+VST_Assets!$Q$10)^(V$3-2026)*(V278+V279))/1000000+IF(V$3=VST_Assets!$AH$10,VST_Assets!$AG$10,0))*(1+VST_CapexAdj)</f>
        <v>0</v>
      </c>
      <c r="W292" s="8" t="n">
        <f aca="false">((VST_Assets!$S$10*VST_Assets!$D$10*1000*W$4*W276+VST_Assets!$P$10*(1+VST_Assets!$Q$10)^(W$3-2026)*(W278+W279))/1000000+IF(W$3=VST_Assets!$AH$10,VST_Assets!$AG$10,0))*(1+VST_CapexAdj)</f>
        <v>0</v>
      </c>
      <c r="X292" s="8" t="n">
        <f aca="false">((VST_Assets!$S$10*VST_Assets!$D$10*1000*X$4*X276+VST_Assets!$P$10*(1+VST_Assets!$Q$10)^(X$3-2026)*(X278+X279))/1000000+IF(X$3=VST_Assets!$AH$10,VST_Assets!$AG$10,0))*(1+VST_CapexAdj)</f>
        <v>0</v>
      </c>
      <c r="Y292" s="8" t="n">
        <f aca="false">((VST_Assets!$S$10*VST_Assets!$D$10*1000*Y$4*Y276+VST_Assets!$P$10*(1+VST_Assets!$Q$10)^(Y$3-2026)*(Y278+Y279))/1000000+IF(Y$3=VST_Assets!$AH$10,VST_Assets!$AG$10,0))*(1+VST_CapexAdj)</f>
        <v>0</v>
      </c>
      <c r="Z292" s="8" t="n">
        <f aca="false">((VST_Assets!$S$10*VST_Assets!$D$10*1000*Z$4*Z276+VST_Assets!$P$10*(1+VST_Assets!$Q$10)^(Z$3-2026)*(Z278+Z279))/1000000+IF(Z$3=VST_Assets!$AH$10,VST_Assets!$AG$10,0))*(1+VST_CapexAdj)</f>
        <v>0</v>
      </c>
      <c r="AA292" s="8" t="n">
        <f aca="false">((VST_Assets!$S$10*VST_Assets!$D$10*1000*AA$4*AA276+VST_Assets!$P$10*(1+VST_Assets!$Q$10)^(AA$3-2026)*(AA278+AA279))/1000000+IF(AA$3=VST_Assets!$AH$10,VST_Assets!$AG$10,0))*(1+VST_CapexAdj)</f>
        <v>0</v>
      </c>
      <c r="AB292" s="8" t="n">
        <f aca="false">((VST_Assets!$S$10*VST_Assets!$D$10*1000*AB$4*AB276+VST_Assets!$P$10*(1+VST_Assets!$Q$10)^(AB$3-2026)*(AB278+AB279))/1000000+IF(AB$3=VST_Assets!$AH$10,VST_Assets!$AG$10,0))*(1+VST_CapexAdj)</f>
        <v>0</v>
      </c>
      <c r="AC292" s="8" t="n">
        <f aca="false">((VST_Assets!$S$10*VST_Assets!$D$10*1000*AC$4*AC276+VST_Assets!$P$10*(1+VST_Assets!$Q$10)^(AC$3-2026)*(AC278+AC279))/1000000+IF(AC$3=VST_Assets!$AH$10,VST_Assets!$AG$10,0))*(1+VST_CapexAdj)</f>
        <v>0</v>
      </c>
      <c r="AD292" s="8" t="n">
        <f aca="false">((VST_Assets!$S$10*VST_Assets!$D$10*1000*AD$4*AD276+VST_Assets!$P$10*(1+VST_Assets!$Q$10)^(AD$3-2026)*(AD278+AD279))/1000000+IF(AD$3=VST_Assets!$AH$10,VST_Assets!$AG$10,0))*(1+VST_CapexAdj)</f>
        <v>0</v>
      </c>
      <c r="AE292" s="8" t="n">
        <f aca="false">((VST_Assets!$S$10*VST_Assets!$D$10*1000*AE$4*AE276+VST_Assets!$P$10*(1+VST_Assets!$Q$10)^(AE$3-2026)*(AE278+AE279))/1000000+IF(AE$3=VST_Assets!$AH$10,VST_Assets!$AG$10,0))*(1+VST_CapexAdj)</f>
        <v>0</v>
      </c>
      <c r="AF292" s="8" t="n">
        <f aca="false">((VST_Assets!$S$10*VST_Assets!$D$10*1000*AF$4*AF276+VST_Assets!$P$10*(1+VST_Assets!$Q$10)^(AF$3-2026)*(AF278+AF279))/1000000+IF(AF$3=VST_Assets!$AH$10,VST_Assets!$AG$10,0))*(1+VST_CapexAdj)</f>
        <v>0</v>
      </c>
      <c r="AG292" s="8" t="n">
        <f aca="false">((VST_Assets!$S$10*VST_Assets!$D$10*1000*AG$4*AG276+VST_Assets!$P$10*(1+VST_Assets!$Q$10)^(AG$3-2026)*(AG278+AG279))/1000000+IF(AG$3=VST_Assets!$AH$10,VST_Assets!$AG$10,0))*(1+VST_CapexAdj)</f>
        <v>0</v>
      </c>
      <c r="AH292" s="8" t="n">
        <f aca="false">((VST_Assets!$S$10*VST_Assets!$D$10*1000*AH$4*AH276+VST_Assets!$P$10*(1+VST_Assets!$Q$10)^(AH$3-2026)*(AH278+AH279))/1000000+IF(AH$3=VST_Assets!$AH$10,VST_Assets!$AG$10,0))*(1+VST_CapexAdj)</f>
        <v>0</v>
      </c>
      <c r="AI292" s="8" t="n">
        <f aca="false">((VST_Assets!$S$10*VST_Assets!$D$10*1000*AI$4*AI276+VST_Assets!$P$10*(1+VST_Assets!$Q$10)^(AI$3-2026)*(AI278+AI279))/1000000+IF(AI$3=VST_Assets!$AH$10,VST_Assets!$AG$10,0))*(1+VST_CapexAdj)</f>
        <v>0</v>
      </c>
      <c r="AJ292" s="8" t="n">
        <f aca="false">((VST_Assets!$S$10*VST_Assets!$D$10*1000*AJ$4*AJ276+VST_Assets!$P$10*(1+VST_Assets!$Q$10)^(AJ$3-2026)*(AJ278+AJ279))/1000000+IF(AJ$3=VST_Assets!$AH$10,VST_Assets!$AG$10,0))*(1+VST_CapexAdj)</f>
        <v>0</v>
      </c>
      <c r="AK292" s="8" t="n">
        <f aca="false">((VST_Assets!$S$10*VST_Assets!$D$10*1000*AK$4*AK276+VST_Assets!$P$10*(1+VST_Assets!$Q$10)^(AK$3-2026)*(AK278+AK279))/1000000+IF(AK$3=VST_Assets!$AH$10,VST_Assets!$AG$10,0))*(1+VST_CapexAdj)</f>
        <v>0</v>
      </c>
      <c r="AL292" s="8" t="n">
        <f aca="false">((VST_Assets!$S$10*VST_Assets!$D$10*1000*AL$4*AL276+VST_Assets!$P$10*(1+VST_Assets!$Q$10)^(AL$3-2026)*(AL278+AL279))/1000000+IF(AL$3=VST_Assets!$AH$10,VST_Assets!$AG$10,0))*(1+VST_CapexAdj)</f>
        <v>0</v>
      </c>
      <c r="AM292" s="8" t="n">
        <f aca="false">((VST_Assets!$S$10*VST_Assets!$D$10*1000*AM$4*AM276+VST_Assets!$P$10*(1+VST_Assets!$Q$10)^(AM$3-2026)*(AM278+AM279))/1000000+IF(AM$3=VST_Assets!$AH$10,VST_Assets!$AG$10,0))*(1+VST_CapexAdj)</f>
        <v>0</v>
      </c>
      <c r="AN292" s="8" t="n">
        <f aca="false">((VST_Assets!$S$10*VST_Assets!$D$10*1000*AN$4*AN276+VST_Assets!$P$10*(1+VST_Assets!$Q$10)^(AN$3-2026)*(AN278+AN279))/1000000+IF(AN$3=VST_Assets!$AH$10,VST_Assets!$AG$10,0))*(1+VST_CapexAdj)</f>
        <v>0</v>
      </c>
      <c r="AO292" s="8" t="n">
        <f aca="false">((VST_Assets!$S$10*VST_Assets!$D$10*1000*AO$4*AO276+VST_Assets!$P$10*(1+VST_Assets!$Q$10)^(AO$3-2026)*(AO278+AO279))/1000000+IF(AO$3=VST_Assets!$AH$10,VST_Assets!$AG$10,0))*(1+VST_CapexAdj)</f>
        <v>0</v>
      </c>
      <c r="AP292" s="8" t="n">
        <f aca="false">((VST_Assets!$S$10*VST_Assets!$D$10*1000*AP$4*AP276+VST_Assets!$P$10*(1+VST_Assets!$Q$10)^(AP$3-2026)*(AP278+AP279))/1000000+IF(AP$3=VST_Assets!$AH$10,VST_Assets!$AG$10,0))*(1+VST_CapexAdj)</f>
        <v>0</v>
      </c>
      <c r="AQ292" s="8" t="n">
        <f aca="false">((VST_Assets!$S$10*VST_Assets!$D$10*1000*AQ$4*AQ276+VST_Assets!$P$10*(1+VST_Assets!$Q$10)^(AQ$3-2026)*(AQ278+AQ279))/1000000+IF(AQ$3=VST_Assets!$AH$10,VST_Assets!$AG$10,0))*(1+VST_CapexAdj)</f>
        <v>0</v>
      </c>
      <c r="AR292" s="8" t="n">
        <f aca="false">((VST_Assets!$S$10*VST_Assets!$D$10*1000*AR$4*AR276+VST_Assets!$P$10*(1+VST_Assets!$Q$10)^(AR$3-2026)*(AR278+AR279))/1000000+IF(AR$3=VST_Assets!$AH$10,VST_Assets!$AG$10,0))*(1+VST_CapexAdj)</f>
        <v>0</v>
      </c>
      <c r="AS292" s="8" t="n">
        <f aca="false">((VST_Assets!$S$10*VST_Assets!$D$10*1000*AS$4*AS276+VST_Assets!$P$10*(1+VST_Assets!$Q$10)^(AS$3-2026)*(AS278+AS279))/1000000+IF(AS$3=VST_Assets!$AH$10,VST_Assets!$AG$10,0))*(1+VST_CapexAdj)</f>
        <v>0</v>
      </c>
    </row>
    <row r="293" customFormat="false" ht="15" hidden="false" customHeight="false" outlineLevel="0" collapsed="false">
      <c r="A293" s="6" t="s">
        <v>459</v>
      </c>
      <c r="B293" s="6" t="s">
        <v>460</v>
      </c>
      <c r="C293" s="9" t="n">
        <f aca="false">SUM(G293:AS293)</f>
        <v>3260.70711913875</v>
      </c>
      <c r="G293" s="8" t="n">
        <f aca="false">IF(VST_Assets!$Y$10=1,MAX(0,G291-G292),G291-G292)</f>
        <v>323.5322193516</v>
      </c>
      <c r="H293" s="8" t="n">
        <f aca="false">IF(VST_Assets!$Y$10=1,MAX(0,H291-H292),H291-H292)</f>
        <v>322.638472161432</v>
      </c>
      <c r="I293" s="8" t="n">
        <f aca="false">IF(VST_Assets!$Y$10=1,MAX(0,I291-I292),I291-I292)</f>
        <v>266.800466947667</v>
      </c>
      <c r="J293" s="8" t="n">
        <f aca="false">IF(VST_Assets!$Y$10=1,MAX(0,J291-J292),J291-J292)</f>
        <v>240.679178838754</v>
      </c>
      <c r="K293" s="8" t="n">
        <f aca="false">IF(VST_Assets!$Y$10=1,MAX(0,K291-K292),K291-K292)</f>
        <v>245.492762415529</v>
      </c>
      <c r="L293" s="8" t="n">
        <f aca="false">IF(VST_Assets!$Y$10=1,MAX(0,L291-L292),L291-L292)</f>
        <v>250.402617663839</v>
      </c>
      <c r="M293" s="8" t="n">
        <f aca="false">IF(VST_Assets!$Y$10=1,MAX(0,M291-M292),M291-M292)</f>
        <v>255.410670017116</v>
      </c>
      <c r="N293" s="8" t="n">
        <f aca="false">IF(VST_Assets!$Y$10=1,MAX(0,N291-N292),N291-N292)</f>
        <v>260.518883417459</v>
      </c>
      <c r="O293" s="8" t="n">
        <f aca="false">IF(VST_Assets!$Y$10=1,MAX(0,O291-O292),O291-O292)</f>
        <v>265.729261085808</v>
      </c>
      <c r="P293" s="8" t="n">
        <f aca="false">IF(VST_Assets!$Y$10=1,MAX(0,P291-P292),P291-P292)</f>
        <v>271.043846307524</v>
      </c>
      <c r="Q293" s="8" t="n">
        <f aca="false">IF(VST_Assets!$Y$10=1,MAX(0,Q291-Q292),Q291-Q292)</f>
        <v>276.464723233674</v>
      </c>
      <c r="R293" s="8" t="n">
        <f aca="false">IF(VST_Assets!$Y$10=1,MAX(0,R291-R292),R291-R292)</f>
        <v>281.994017698348</v>
      </c>
      <c r="S293" s="8" t="n">
        <f aca="false">IF(VST_Assets!$Y$10=1,MAX(0,S291-S292),S291-S292)</f>
        <v>0</v>
      </c>
      <c r="T293" s="8" t="n">
        <f aca="false">IF(VST_Assets!$Y$10=1,MAX(0,T291-T292),T291-T292)</f>
        <v>0</v>
      </c>
      <c r="U293" s="8" t="n">
        <f aca="false">IF(VST_Assets!$Y$10=1,MAX(0,U291-U292),U291-U292)</f>
        <v>0</v>
      </c>
      <c r="V293" s="8" t="n">
        <f aca="false">IF(VST_Assets!$Y$10=1,MAX(0,V291-V292),V291-V292)</f>
        <v>0</v>
      </c>
      <c r="W293" s="8" t="n">
        <f aca="false">IF(VST_Assets!$Y$10=1,MAX(0,W291-W292),W291-W292)</f>
        <v>0</v>
      </c>
      <c r="X293" s="8" t="n">
        <f aca="false">IF(VST_Assets!$Y$10=1,MAX(0,X291-X292),X291-X292)</f>
        <v>0</v>
      </c>
      <c r="Y293" s="8" t="n">
        <f aca="false">IF(VST_Assets!$Y$10=1,MAX(0,Y291-Y292),Y291-Y292)</f>
        <v>0</v>
      </c>
      <c r="Z293" s="8" t="n">
        <f aca="false">IF(VST_Assets!$Y$10=1,MAX(0,Z291-Z292),Z291-Z292)</f>
        <v>0</v>
      </c>
      <c r="AA293" s="8" t="n">
        <f aca="false">IF(VST_Assets!$Y$10=1,MAX(0,AA291-AA292),AA291-AA292)</f>
        <v>0</v>
      </c>
      <c r="AB293" s="8" t="n">
        <f aca="false">IF(VST_Assets!$Y$10=1,MAX(0,AB291-AB292),AB291-AB292)</f>
        <v>0</v>
      </c>
      <c r="AC293" s="8" t="n">
        <f aca="false">IF(VST_Assets!$Y$10=1,MAX(0,AC291-AC292),AC291-AC292)</f>
        <v>0</v>
      </c>
      <c r="AD293" s="8" t="n">
        <f aca="false">IF(VST_Assets!$Y$10=1,MAX(0,AD291-AD292),AD291-AD292)</f>
        <v>0</v>
      </c>
      <c r="AE293" s="8" t="n">
        <f aca="false">IF(VST_Assets!$Y$10=1,MAX(0,AE291-AE292),AE291-AE292)</f>
        <v>0</v>
      </c>
      <c r="AF293" s="8" t="n">
        <f aca="false">IF(VST_Assets!$Y$10=1,MAX(0,AF291-AF292),AF291-AF292)</f>
        <v>0</v>
      </c>
      <c r="AG293" s="8" t="n">
        <f aca="false">IF(VST_Assets!$Y$10=1,MAX(0,AG291-AG292),AG291-AG292)</f>
        <v>0</v>
      </c>
      <c r="AH293" s="8" t="n">
        <f aca="false">IF(VST_Assets!$Y$10=1,MAX(0,AH291-AH292),AH291-AH292)</f>
        <v>0</v>
      </c>
      <c r="AI293" s="8" t="n">
        <f aca="false">IF(VST_Assets!$Y$10=1,MAX(0,AI291-AI292),AI291-AI292)</f>
        <v>0</v>
      </c>
      <c r="AJ293" s="8" t="n">
        <f aca="false">IF(VST_Assets!$Y$10=1,MAX(0,AJ291-AJ292),AJ291-AJ292)</f>
        <v>0</v>
      </c>
      <c r="AK293" s="8" t="n">
        <f aca="false">IF(VST_Assets!$Y$10=1,MAX(0,AK291-AK292),AK291-AK292)</f>
        <v>0</v>
      </c>
      <c r="AL293" s="8" t="n">
        <f aca="false">IF(VST_Assets!$Y$10=1,MAX(0,AL291-AL292),AL291-AL292)</f>
        <v>0</v>
      </c>
      <c r="AM293" s="8" t="n">
        <f aca="false">IF(VST_Assets!$Y$10=1,MAX(0,AM291-AM292),AM291-AM292)</f>
        <v>0</v>
      </c>
      <c r="AN293" s="8" t="n">
        <f aca="false">IF(VST_Assets!$Y$10=1,MAX(0,AN291-AN292),AN291-AN292)</f>
        <v>0</v>
      </c>
      <c r="AO293" s="8" t="n">
        <f aca="false">IF(VST_Assets!$Y$10=1,MAX(0,AO291-AO292),AO291-AO292)</f>
        <v>0</v>
      </c>
      <c r="AP293" s="8" t="n">
        <f aca="false">IF(VST_Assets!$Y$10=1,MAX(0,AP291-AP292),AP291-AP292)</f>
        <v>0</v>
      </c>
      <c r="AQ293" s="8" t="n">
        <f aca="false">IF(VST_Assets!$Y$10=1,MAX(0,AQ291-AQ292),AQ291-AQ292)</f>
        <v>0</v>
      </c>
      <c r="AR293" s="8" t="n">
        <f aca="false">IF(VST_Assets!$Y$10=1,MAX(0,AR291-AR292),AR291-AR292)</f>
        <v>0</v>
      </c>
      <c r="AS293" s="8" t="n">
        <f aca="false">IF(VST_Assets!$Y$10=1,MAX(0,AS291-AS292),AS291-AS292)</f>
        <v>0</v>
      </c>
    </row>
    <row r="294" customFormat="false" ht="15" hidden="false" customHeight="false" outlineLevel="0" collapsed="false">
      <c r="A294" s="6" t="s">
        <v>461</v>
      </c>
      <c r="B294" s="6" t="s">
        <v>462</v>
      </c>
      <c r="C294" s="9" t="n">
        <f aca="false">SUM(G294:AS294)</f>
        <v>0</v>
      </c>
      <c r="G294" s="8" t="n">
        <f aca="false">IF(AND(VST_Assets!$W$10=1,G$3&lt;=PTCLast,G278&gt;0),G278*MAX(0,PTCCredit*(1+Infl)^(G$3-PTCBase)-0.8*MAX(0,(G283+G284+G286)*1000000/MAX(1,G278)-PTCThresh*(1+Infl)^(G$3-PTCBase)))/1000000,0)</f>
        <v>0</v>
      </c>
      <c r="H294" s="8" t="n">
        <f aca="false">IF(AND(VST_Assets!$W$10=1,H$3&lt;=PTCLast,H278&gt;0),H278*MAX(0,PTCCredit*(1+Infl)^(H$3-PTCBase)-0.8*MAX(0,(H283+H284+H286)*1000000/MAX(1,H278)-PTCThresh*(1+Infl)^(H$3-PTCBase)))/1000000,0)</f>
        <v>0</v>
      </c>
      <c r="I294" s="8" t="n">
        <f aca="false">IF(AND(VST_Assets!$W$10=1,I$3&lt;=PTCLast,I278&gt;0),I278*MAX(0,PTCCredit*(1+Infl)^(I$3-PTCBase)-0.8*MAX(0,(I283+I284+I286)*1000000/MAX(1,I278)-PTCThresh*(1+Infl)^(I$3-PTCBase)))/1000000,0)</f>
        <v>0</v>
      </c>
      <c r="J294" s="8" t="n">
        <f aca="false">IF(AND(VST_Assets!$W$10=1,J$3&lt;=PTCLast,J278&gt;0),J278*MAX(0,PTCCredit*(1+Infl)^(J$3-PTCBase)-0.8*MAX(0,(J283+J284+J286)*1000000/MAX(1,J278)-PTCThresh*(1+Infl)^(J$3-PTCBase)))/1000000,0)</f>
        <v>0</v>
      </c>
      <c r="K294" s="8" t="n">
        <f aca="false">IF(AND(VST_Assets!$W$10=1,K$3&lt;=PTCLast,K278&gt;0),K278*MAX(0,PTCCredit*(1+Infl)^(K$3-PTCBase)-0.8*MAX(0,(K283+K284+K286)*1000000/MAX(1,K278)-PTCThresh*(1+Infl)^(K$3-PTCBase)))/1000000,0)</f>
        <v>0</v>
      </c>
      <c r="L294" s="8" t="n">
        <f aca="false">IF(AND(VST_Assets!$W$10=1,L$3&lt;=PTCLast,L278&gt;0),L278*MAX(0,PTCCredit*(1+Infl)^(L$3-PTCBase)-0.8*MAX(0,(L283+L284+L286)*1000000/MAX(1,L278)-PTCThresh*(1+Infl)^(L$3-PTCBase)))/1000000,0)</f>
        <v>0</v>
      </c>
      <c r="M294" s="8" t="n">
        <f aca="false">IF(AND(VST_Assets!$W$10=1,M$3&lt;=PTCLast,M278&gt;0),M278*MAX(0,PTCCredit*(1+Infl)^(M$3-PTCBase)-0.8*MAX(0,(M283+M284+M286)*1000000/MAX(1,M278)-PTCThresh*(1+Infl)^(M$3-PTCBase)))/1000000,0)</f>
        <v>0</v>
      </c>
      <c r="N294" s="8" t="n">
        <f aca="false">IF(AND(VST_Assets!$W$10=1,N$3&lt;=PTCLast,N278&gt;0),N278*MAX(0,PTCCredit*(1+Infl)^(N$3-PTCBase)-0.8*MAX(0,(N283+N284+N286)*1000000/MAX(1,N278)-PTCThresh*(1+Infl)^(N$3-PTCBase)))/1000000,0)</f>
        <v>0</v>
      </c>
      <c r="O294" s="8" t="n">
        <f aca="false">IF(AND(VST_Assets!$W$10=1,O$3&lt;=PTCLast,O278&gt;0),O278*MAX(0,PTCCredit*(1+Infl)^(O$3-PTCBase)-0.8*MAX(0,(O283+O284+O286)*1000000/MAX(1,O278)-PTCThresh*(1+Infl)^(O$3-PTCBase)))/1000000,0)</f>
        <v>0</v>
      </c>
      <c r="P294" s="8" t="n">
        <f aca="false">IF(AND(VST_Assets!$W$10=1,P$3&lt;=PTCLast,P278&gt;0),P278*MAX(0,PTCCredit*(1+Infl)^(P$3-PTCBase)-0.8*MAX(0,(P283+P284+P286)*1000000/MAX(1,P278)-PTCThresh*(1+Infl)^(P$3-PTCBase)))/1000000,0)</f>
        <v>0</v>
      </c>
      <c r="Q294" s="8" t="n">
        <f aca="false">IF(AND(VST_Assets!$W$10=1,Q$3&lt;=PTCLast,Q278&gt;0),Q278*MAX(0,PTCCredit*(1+Infl)^(Q$3-PTCBase)-0.8*MAX(0,(Q283+Q284+Q286)*1000000/MAX(1,Q278)-PTCThresh*(1+Infl)^(Q$3-PTCBase)))/1000000,0)</f>
        <v>0</v>
      </c>
      <c r="R294" s="8" t="n">
        <f aca="false">IF(AND(VST_Assets!$W$10=1,R$3&lt;=PTCLast,R278&gt;0),R278*MAX(0,PTCCredit*(1+Infl)^(R$3-PTCBase)-0.8*MAX(0,(R283+R284+R286)*1000000/MAX(1,R278)-PTCThresh*(1+Infl)^(R$3-PTCBase)))/1000000,0)</f>
        <v>0</v>
      </c>
      <c r="S294" s="8" t="n">
        <f aca="false">IF(AND(VST_Assets!$W$10=1,S$3&lt;=PTCLast,S278&gt;0),S278*MAX(0,PTCCredit*(1+Infl)^(S$3-PTCBase)-0.8*MAX(0,(S283+S284+S286)*1000000/MAX(1,S278)-PTCThresh*(1+Infl)^(S$3-PTCBase)))/1000000,0)</f>
        <v>0</v>
      </c>
      <c r="T294" s="8" t="n">
        <f aca="false">IF(AND(VST_Assets!$W$10=1,T$3&lt;=PTCLast,T278&gt;0),T278*MAX(0,PTCCredit*(1+Infl)^(T$3-PTCBase)-0.8*MAX(0,(T283+T284+T286)*1000000/MAX(1,T278)-PTCThresh*(1+Infl)^(T$3-PTCBase)))/1000000,0)</f>
        <v>0</v>
      </c>
      <c r="U294" s="8" t="n">
        <f aca="false">IF(AND(VST_Assets!$W$10=1,U$3&lt;=PTCLast,U278&gt;0),U278*MAX(0,PTCCredit*(1+Infl)^(U$3-PTCBase)-0.8*MAX(0,(U283+U284+U286)*1000000/MAX(1,U278)-PTCThresh*(1+Infl)^(U$3-PTCBase)))/1000000,0)</f>
        <v>0</v>
      </c>
      <c r="V294" s="8" t="n">
        <f aca="false">IF(AND(VST_Assets!$W$10=1,V$3&lt;=PTCLast,V278&gt;0),V278*MAX(0,PTCCredit*(1+Infl)^(V$3-PTCBase)-0.8*MAX(0,(V283+V284+V286)*1000000/MAX(1,V278)-PTCThresh*(1+Infl)^(V$3-PTCBase)))/1000000,0)</f>
        <v>0</v>
      </c>
      <c r="W294" s="8" t="n">
        <f aca="false">IF(AND(VST_Assets!$W$10=1,W$3&lt;=PTCLast,W278&gt;0),W278*MAX(0,PTCCredit*(1+Infl)^(W$3-PTCBase)-0.8*MAX(0,(W283+W284+W286)*1000000/MAX(1,W278)-PTCThresh*(1+Infl)^(W$3-PTCBase)))/1000000,0)</f>
        <v>0</v>
      </c>
      <c r="X294" s="8" t="n">
        <f aca="false">IF(AND(VST_Assets!$W$10=1,X$3&lt;=PTCLast,X278&gt;0),X278*MAX(0,PTCCredit*(1+Infl)^(X$3-PTCBase)-0.8*MAX(0,(X283+X284+X286)*1000000/MAX(1,X278)-PTCThresh*(1+Infl)^(X$3-PTCBase)))/1000000,0)</f>
        <v>0</v>
      </c>
      <c r="Y294" s="8" t="n">
        <f aca="false">IF(AND(VST_Assets!$W$10=1,Y$3&lt;=PTCLast,Y278&gt;0),Y278*MAX(0,PTCCredit*(1+Infl)^(Y$3-PTCBase)-0.8*MAX(0,(Y283+Y284+Y286)*1000000/MAX(1,Y278)-PTCThresh*(1+Infl)^(Y$3-PTCBase)))/1000000,0)</f>
        <v>0</v>
      </c>
      <c r="Z294" s="8" t="n">
        <f aca="false">IF(AND(VST_Assets!$W$10=1,Z$3&lt;=PTCLast,Z278&gt;0),Z278*MAX(0,PTCCredit*(1+Infl)^(Z$3-PTCBase)-0.8*MAX(0,(Z283+Z284+Z286)*1000000/MAX(1,Z278)-PTCThresh*(1+Infl)^(Z$3-PTCBase)))/1000000,0)</f>
        <v>0</v>
      </c>
      <c r="AA294" s="8" t="n">
        <f aca="false">IF(AND(VST_Assets!$W$10=1,AA$3&lt;=PTCLast,AA278&gt;0),AA278*MAX(0,PTCCredit*(1+Infl)^(AA$3-PTCBase)-0.8*MAX(0,(AA283+AA284+AA286)*1000000/MAX(1,AA278)-PTCThresh*(1+Infl)^(AA$3-PTCBase)))/1000000,0)</f>
        <v>0</v>
      </c>
      <c r="AB294" s="8" t="n">
        <f aca="false">IF(AND(VST_Assets!$W$10=1,AB$3&lt;=PTCLast,AB278&gt;0),AB278*MAX(0,PTCCredit*(1+Infl)^(AB$3-PTCBase)-0.8*MAX(0,(AB283+AB284+AB286)*1000000/MAX(1,AB278)-PTCThresh*(1+Infl)^(AB$3-PTCBase)))/1000000,0)</f>
        <v>0</v>
      </c>
      <c r="AC294" s="8" t="n">
        <f aca="false">IF(AND(VST_Assets!$W$10=1,AC$3&lt;=PTCLast,AC278&gt;0),AC278*MAX(0,PTCCredit*(1+Infl)^(AC$3-PTCBase)-0.8*MAX(0,(AC283+AC284+AC286)*1000000/MAX(1,AC278)-PTCThresh*(1+Infl)^(AC$3-PTCBase)))/1000000,0)</f>
        <v>0</v>
      </c>
      <c r="AD294" s="8" t="n">
        <f aca="false">IF(AND(VST_Assets!$W$10=1,AD$3&lt;=PTCLast,AD278&gt;0),AD278*MAX(0,PTCCredit*(1+Infl)^(AD$3-PTCBase)-0.8*MAX(0,(AD283+AD284+AD286)*1000000/MAX(1,AD278)-PTCThresh*(1+Infl)^(AD$3-PTCBase)))/1000000,0)</f>
        <v>0</v>
      </c>
      <c r="AE294" s="8" t="n">
        <f aca="false">IF(AND(VST_Assets!$W$10=1,AE$3&lt;=PTCLast,AE278&gt;0),AE278*MAX(0,PTCCredit*(1+Infl)^(AE$3-PTCBase)-0.8*MAX(0,(AE283+AE284+AE286)*1000000/MAX(1,AE278)-PTCThresh*(1+Infl)^(AE$3-PTCBase)))/1000000,0)</f>
        <v>0</v>
      </c>
      <c r="AF294" s="8" t="n">
        <f aca="false">IF(AND(VST_Assets!$W$10=1,AF$3&lt;=PTCLast,AF278&gt;0),AF278*MAX(0,PTCCredit*(1+Infl)^(AF$3-PTCBase)-0.8*MAX(0,(AF283+AF284+AF286)*1000000/MAX(1,AF278)-PTCThresh*(1+Infl)^(AF$3-PTCBase)))/1000000,0)</f>
        <v>0</v>
      </c>
      <c r="AG294" s="8" t="n">
        <f aca="false">IF(AND(VST_Assets!$W$10=1,AG$3&lt;=PTCLast,AG278&gt;0),AG278*MAX(0,PTCCredit*(1+Infl)^(AG$3-PTCBase)-0.8*MAX(0,(AG283+AG284+AG286)*1000000/MAX(1,AG278)-PTCThresh*(1+Infl)^(AG$3-PTCBase)))/1000000,0)</f>
        <v>0</v>
      </c>
      <c r="AH294" s="8" t="n">
        <f aca="false">IF(AND(VST_Assets!$W$10=1,AH$3&lt;=PTCLast,AH278&gt;0),AH278*MAX(0,PTCCredit*(1+Infl)^(AH$3-PTCBase)-0.8*MAX(0,(AH283+AH284+AH286)*1000000/MAX(1,AH278)-PTCThresh*(1+Infl)^(AH$3-PTCBase)))/1000000,0)</f>
        <v>0</v>
      </c>
      <c r="AI294" s="8" t="n">
        <f aca="false">IF(AND(VST_Assets!$W$10=1,AI$3&lt;=PTCLast,AI278&gt;0),AI278*MAX(0,PTCCredit*(1+Infl)^(AI$3-PTCBase)-0.8*MAX(0,(AI283+AI284+AI286)*1000000/MAX(1,AI278)-PTCThresh*(1+Infl)^(AI$3-PTCBase)))/1000000,0)</f>
        <v>0</v>
      </c>
      <c r="AJ294" s="8" t="n">
        <f aca="false">IF(AND(VST_Assets!$W$10=1,AJ$3&lt;=PTCLast,AJ278&gt;0),AJ278*MAX(0,PTCCredit*(1+Infl)^(AJ$3-PTCBase)-0.8*MAX(0,(AJ283+AJ284+AJ286)*1000000/MAX(1,AJ278)-PTCThresh*(1+Infl)^(AJ$3-PTCBase)))/1000000,0)</f>
        <v>0</v>
      </c>
      <c r="AK294" s="8" t="n">
        <f aca="false">IF(AND(VST_Assets!$W$10=1,AK$3&lt;=PTCLast,AK278&gt;0),AK278*MAX(0,PTCCredit*(1+Infl)^(AK$3-PTCBase)-0.8*MAX(0,(AK283+AK284+AK286)*1000000/MAX(1,AK278)-PTCThresh*(1+Infl)^(AK$3-PTCBase)))/1000000,0)</f>
        <v>0</v>
      </c>
      <c r="AL294" s="8" t="n">
        <f aca="false">IF(AND(VST_Assets!$W$10=1,AL$3&lt;=PTCLast,AL278&gt;0),AL278*MAX(0,PTCCredit*(1+Infl)^(AL$3-PTCBase)-0.8*MAX(0,(AL283+AL284+AL286)*1000000/MAX(1,AL278)-PTCThresh*(1+Infl)^(AL$3-PTCBase)))/1000000,0)</f>
        <v>0</v>
      </c>
      <c r="AM294" s="8" t="n">
        <f aca="false">IF(AND(VST_Assets!$W$10=1,AM$3&lt;=PTCLast,AM278&gt;0),AM278*MAX(0,PTCCredit*(1+Infl)^(AM$3-PTCBase)-0.8*MAX(0,(AM283+AM284+AM286)*1000000/MAX(1,AM278)-PTCThresh*(1+Infl)^(AM$3-PTCBase)))/1000000,0)</f>
        <v>0</v>
      </c>
      <c r="AN294" s="8" t="n">
        <f aca="false">IF(AND(VST_Assets!$W$10=1,AN$3&lt;=PTCLast,AN278&gt;0),AN278*MAX(0,PTCCredit*(1+Infl)^(AN$3-PTCBase)-0.8*MAX(0,(AN283+AN284+AN286)*1000000/MAX(1,AN278)-PTCThresh*(1+Infl)^(AN$3-PTCBase)))/1000000,0)</f>
        <v>0</v>
      </c>
      <c r="AO294" s="8" t="n">
        <f aca="false">IF(AND(VST_Assets!$W$10=1,AO$3&lt;=PTCLast,AO278&gt;0),AO278*MAX(0,PTCCredit*(1+Infl)^(AO$3-PTCBase)-0.8*MAX(0,(AO283+AO284+AO286)*1000000/MAX(1,AO278)-PTCThresh*(1+Infl)^(AO$3-PTCBase)))/1000000,0)</f>
        <v>0</v>
      </c>
      <c r="AP294" s="8" t="n">
        <f aca="false">IF(AND(VST_Assets!$W$10=1,AP$3&lt;=PTCLast,AP278&gt;0),AP278*MAX(0,PTCCredit*(1+Infl)^(AP$3-PTCBase)-0.8*MAX(0,(AP283+AP284+AP286)*1000000/MAX(1,AP278)-PTCThresh*(1+Infl)^(AP$3-PTCBase)))/1000000,0)</f>
        <v>0</v>
      </c>
      <c r="AQ294" s="8" t="n">
        <f aca="false">IF(AND(VST_Assets!$W$10=1,AQ$3&lt;=PTCLast,AQ278&gt;0),AQ278*MAX(0,PTCCredit*(1+Infl)^(AQ$3-PTCBase)-0.8*MAX(0,(AQ283+AQ284+AQ286)*1000000/MAX(1,AQ278)-PTCThresh*(1+Infl)^(AQ$3-PTCBase)))/1000000,0)</f>
        <v>0</v>
      </c>
      <c r="AR294" s="8" t="n">
        <f aca="false">IF(AND(VST_Assets!$W$10=1,AR$3&lt;=PTCLast,AR278&gt;0),AR278*MAX(0,PTCCredit*(1+Infl)^(AR$3-PTCBase)-0.8*MAX(0,(AR283+AR284+AR286)*1000000/MAX(1,AR278)-PTCThresh*(1+Infl)^(AR$3-PTCBase)))/1000000,0)</f>
        <v>0</v>
      </c>
      <c r="AS294" s="8" t="n">
        <f aca="false">IF(AND(VST_Assets!$W$10=1,AS$3&lt;=PTCLast,AS278&gt;0),AS278*MAX(0,PTCCredit*(1+Infl)^(AS$3-PTCBase)-0.8*MAX(0,(AS283+AS284+AS286)*1000000/MAX(1,AS278)-PTCThresh*(1+Infl)^(AS$3-PTCBase)))/1000000,0)</f>
        <v>0</v>
      </c>
    </row>
    <row r="295" customFormat="false" ht="15" hidden="false" customHeight="false" outlineLevel="0" collapsed="false">
      <c r="A295" s="6" t="s">
        <v>463</v>
      </c>
      <c r="B295" s="6" t="s">
        <v>464</v>
      </c>
      <c r="G295" s="8" t="n">
        <f aca="false">G285-G279*(VST_Assets!$N$10*(1+VST_FuelAdj)+VST_Assets!$O$10*(1+VST_OMAdj)+VST_Assets!$P$10*(1+VST_CapexAdj))*(1+VST_Assets!$Q$10)^(G$3-2026)/1000000</f>
        <v>0</v>
      </c>
      <c r="H295" s="8" t="n">
        <f aca="false">H285-H279*(VST_Assets!$N$10*(1+VST_FuelAdj)+VST_Assets!$O$10*(1+VST_OMAdj)+VST_Assets!$P$10*(1+VST_CapexAdj))*(1+VST_Assets!$Q$10)^(H$3-2026)/1000000</f>
        <v>0</v>
      </c>
      <c r="I295" s="8" t="n">
        <f aca="false">I285-I279*(VST_Assets!$N$10*(1+VST_FuelAdj)+VST_Assets!$O$10*(1+VST_OMAdj)+VST_Assets!$P$10*(1+VST_CapexAdj))*(1+VST_Assets!$Q$10)^(I$3-2026)/1000000</f>
        <v>0</v>
      </c>
      <c r="J295" s="8" t="n">
        <f aca="false">J285-J279*(VST_Assets!$N$10*(1+VST_FuelAdj)+VST_Assets!$O$10*(1+VST_OMAdj)+VST_Assets!$P$10*(1+VST_CapexAdj))*(1+VST_Assets!$Q$10)^(J$3-2026)/1000000</f>
        <v>0</v>
      </c>
      <c r="K295" s="8" t="n">
        <f aca="false">K285-K279*(VST_Assets!$N$10*(1+VST_FuelAdj)+VST_Assets!$O$10*(1+VST_OMAdj)+VST_Assets!$P$10*(1+VST_CapexAdj))*(1+VST_Assets!$Q$10)^(K$3-2026)/1000000</f>
        <v>0</v>
      </c>
      <c r="L295" s="8" t="n">
        <f aca="false">L285-L279*(VST_Assets!$N$10*(1+VST_FuelAdj)+VST_Assets!$O$10*(1+VST_OMAdj)+VST_Assets!$P$10*(1+VST_CapexAdj))*(1+VST_Assets!$Q$10)^(L$3-2026)/1000000</f>
        <v>0</v>
      </c>
      <c r="M295" s="8" t="n">
        <f aca="false">M285-M279*(VST_Assets!$N$10*(1+VST_FuelAdj)+VST_Assets!$O$10*(1+VST_OMAdj)+VST_Assets!$P$10*(1+VST_CapexAdj))*(1+VST_Assets!$Q$10)^(M$3-2026)/1000000</f>
        <v>0</v>
      </c>
      <c r="N295" s="8" t="n">
        <f aca="false">N285-N279*(VST_Assets!$N$10*(1+VST_FuelAdj)+VST_Assets!$O$10*(1+VST_OMAdj)+VST_Assets!$P$10*(1+VST_CapexAdj))*(1+VST_Assets!$Q$10)^(N$3-2026)/1000000</f>
        <v>0</v>
      </c>
      <c r="O295" s="8" t="n">
        <f aca="false">O285-O279*(VST_Assets!$N$10*(1+VST_FuelAdj)+VST_Assets!$O$10*(1+VST_OMAdj)+VST_Assets!$P$10*(1+VST_CapexAdj))*(1+VST_Assets!$Q$10)^(O$3-2026)/1000000</f>
        <v>0</v>
      </c>
      <c r="P295" s="8" t="n">
        <f aca="false">P285-P279*(VST_Assets!$N$10*(1+VST_FuelAdj)+VST_Assets!$O$10*(1+VST_OMAdj)+VST_Assets!$P$10*(1+VST_CapexAdj))*(1+VST_Assets!$Q$10)^(P$3-2026)/1000000</f>
        <v>0</v>
      </c>
      <c r="Q295" s="8" t="n">
        <f aca="false">Q285-Q279*(VST_Assets!$N$10*(1+VST_FuelAdj)+VST_Assets!$O$10*(1+VST_OMAdj)+VST_Assets!$P$10*(1+VST_CapexAdj))*(1+VST_Assets!$Q$10)^(Q$3-2026)/1000000</f>
        <v>0</v>
      </c>
      <c r="R295" s="8" t="n">
        <f aca="false">R285-R279*(VST_Assets!$N$10*(1+VST_FuelAdj)+VST_Assets!$O$10*(1+VST_OMAdj)+VST_Assets!$P$10*(1+VST_CapexAdj))*(1+VST_Assets!$Q$10)^(R$3-2026)/1000000</f>
        <v>0</v>
      </c>
      <c r="S295" s="8" t="n">
        <f aca="false">S285-S279*(VST_Assets!$N$10*(1+VST_FuelAdj)+VST_Assets!$O$10*(1+VST_OMAdj)+VST_Assets!$P$10*(1+VST_CapexAdj))*(1+VST_Assets!$Q$10)^(S$3-2026)/1000000</f>
        <v>0</v>
      </c>
      <c r="T295" s="8" t="n">
        <f aca="false">T285-T279*(VST_Assets!$N$10*(1+VST_FuelAdj)+VST_Assets!$O$10*(1+VST_OMAdj)+VST_Assets!$P$10*(1+VST_CapexAdj))*(1+VST_Assets!$Q$10)^(T$3-2026)/1000000</f>
        <v>0</v>
      </c>
      <c r="U295" s="8" t="n">
        <f aca="false">U285-U279*(VST_Assets!$N$10*(1+VST_FuelAdj)+VST_Assets!$O$10*(1+VST_OMAdj)+VST_Assets!$P$10*(1+VST_CapexAdj))*(1+VST_Assets!$Q$10)^(U$3-2026)/1000000</f>
        <v>0</v>
      </c>
      <c r="V295" s="8" t="n">
        <f aca="false">V285-V279*(VST_Assets!$N$10*(1+VST_FuelAdj)+VST_Assets!$O$10*(1+VST_OMAdj)+VST_Assets!$P$10*(1+VST_CapexAdj))*(1+VST_Assets!$Q$10)^(V$3-2026)/1000000</f>
        <v>0</v>
      </c>
      <c r="W295" s="8" t="n">
        <f aca="false">W285-W279*(VST_Assets!$N$10*(1+VST_FuelAdj)+VST_Assets!$O$10*(1+VST_OMAdj)+VST_Assets!$P$10*(1+VST_CapexAdj))*(1+VST_Assets!$Q$10)^(W$3-2026)/1000000</f>
        <v>0</v>
      </c>
      <c r="X295" s="8" t="n">
        <f aca="false">X285-X279*(VST_Assets!$N$10*(1+VST_FuelAdj)+VST_Assets!$O$10*(1+VST_OMAdj)+VST_Assets!$P$10*(1+VST_CapexAdj))*(1+VST_Assets!$Q$10)^(X$3-2026)/1000000</f>
        <v>0</v>
      </c>
      <c r="Y295" s="8" t="n">
        <f aca="false">Y285-Y279*(VST_Assets!$N$10*(1+VST_FuelAdj)+VST_Assets!$O$10*(1+VST_OMAdj)+VST_Assets!$P$10*(1+VST_CapexAdj))*(1+VST_Assets!$Q$10)^(Y$3-2026)/1000000</f>
        <v>0</v>
      </c>
      <c r="Z295" s="8" t="n">
        <f aca="false">Z285-Z279*(VST_Assets!$N$10*(1+VST_FuelAdj)+VST_Assets!$O$10*(1+VST_OMAdj)+VST_Assets!$P$10*(1+VST_CapexAdj))*(1+VST_Assets!$Q$10)^(Z$3-2026)/1000000</f>
        <v>0</v>
      </c>
      <c r="AA295" s="8" t="n">
        <f aca="false">AA285-AA279*(VST_Assets!$N$10*(1+VST_FuelAdj)+VST_Assets!$O$10*(1+VST_OMAdj)+VST_Assets!$P$10*(1+VST_CapexAdj))*(1+VST_Assets!$Q$10)^(AA$3-2026)/1000000</f>
        <v>0</v>
      </c>
      <c r="AB295" s="8" t="n">
        <f aca="false">AB285-AB279*(VST_Assets!$N$10*(1+VST_FuelAdj)+VST_Assets!$O$10*(1+VST_OMAdj)+VST_Assets!$P$10*(1+VST_CapexAdj))*(1+VST_Assets!$Q$10)^(AB$3-2026)/1000000</f>
        <v>0</v>
      </c>
      <c r="AC295" s="8" t="n">
        <f aca="false">AC285-AC279*(VST_Assets!$N$10*(1+VST_FuelAdj)+VST_Assets!$O$10*(1+VST_OMAdj)+VST_Assets!$P$10*(1+VST_CapexAdj))*(1+VST_Assets!$Q$10)^(AC$3-2026)/1000000</f>
        <v>0</v>
      </c>
      <c r="AD295" s="8" t="n">
        <f aca="false">AD285-AD279*(VST_Assets!$N$10*(1+VST_FuelAdj)+VST_Assets!$O$10*(1+VST_OMAdj)+VST_Assets!$P$10*(1+VST_CapexAdj))*(1+VST_Assets!$Q$10)^(AD$3-2026)/1000000</f>
        <v>0</v>
      </c>
      <c r="AE295" s="8" t="n">
        <f aca="false">AE285-AE279*(VST_Assets!$N$10*(1+VST_FuelAdj)+VST_Assets!$O$10*(1+VST_OMAdj)+VST_Assets!$P$10*(1+VST_CapexAdj))*(1+VST_Assets!$Q$10)^(AE$3-2026)/1000000</f>
        <v>0</v>
      </c>
      <c r="AF295" s="8" t="n">
        <f aca="false">AF285-AF279*(VST_Assets!$N$10*(1+VST_FuelAdj)+VST_Assets!$O$10*(1+VST_OMAdj)+VST_Assets!$P$10*(1+VST_CapexAdj))*(1+VST_Assets!$Q$10)^(AF$3-2026)/1000000</f>
        <v>0</v>
      </c>
      <c r="AG295" s="8" t="n">
        <f aca="false">AG285-AG279*(VST_Assets!$N$10*(1+VST_FuelAdj)+VST_Assets!$O$10*(1+VST_OMAdj)+VST_Assets!$P$10*(1+VST_CapexAdj))*(1+VST_Assets!$Q$10)^(AG$3-2026)/1000000</f>
        <v>0</v>
      </c>
      <c r="AH295" s="8" t="n">
        <f aca="false">AH285-AH279*(VST_Assets!$N$10*(1+VST_FuelAdj)+VST_Assets!$O$10*(1+VST_OMAdj)+VST_Assets!$P$10*(1+VST_CapexAdj))*(1+VST_Assets!$Q$10)^(AH$3-2026)/1000000</f>
        <v>0</v>
      </c>
      <c r="AI295" s="8" t="n">
        <f aca="false">AI285-AI279*(VST_Assets!$N$10*(1+VST_FuelAdj)+VST_Assets!$O$10*(1+VST_OMAdj)+VST_Assets!$P$10*(1+VST_CapexAdj))*(1+VST_Assets!$Q$10)^(AI$3-2026)/1000000</f>
        <v>0</v>
      </c>
      <c r="AJ295" s="8" t="n">
        <f aca="false">AJ285-AJ279*(VST_Assets!$N$10*(1+VST_FuelAdj)+VST_Assets!$O$10*(1+VST_OMAdj)+VST_Assets!$P$10*(1+VST_CapexAdj))*(1+VST_Assets!$Q$10)^(AJ$3-2026)/1000000</f>
        <v>0</v>
      </c>
      <c r="AK295" s="8" t="n">
        <f aca="false">AK285-AK279*(VST_Assets!$N$10*(1+VST_FuelAdj)+VST_Assets!$O$10*(1+VST_OMAdj)+VST_Assets!$P$10*(1+VST_CapexAdj))*(1+VST_Assets!$Q$10)^(AK$3-2026)/1000000</f>
        <v>0</v>
      </c>
      <c r="AL295" s="8" t="n">
        <f aca="false">AL285-AL279*(VST_Assets!$N$10*(1+VST_FuelAdj)+VST_Assets!$O$10*(1+VST_OMAdj)+VST_Assets!$P$10*(1+VST_CapexAdj))*(1+VST_Assets!$Q$10)^(AL$3-2026)/1000000</f>
        <v>0</v>
      </c>
      <c r="AM295" s="8" t="n">
        <f aca="false">AM285-AM279*(VST_Assets!$N$10*(1+VST_FuelAdj)+VST_Assets!$O$10*(1+VST_OMAdj)+VST_Assets!$P$10*(1+VST_CapexAdj))*(1+VST_Assets!$Q$10)^(AM$3-2026)/1000000</f>
        <v>0</v>
      </c>
      <c r="AN295" s="8" t="n">
        <f aca="false">AN285-AN279*(VST_Assets!$N$10*(1+VST_FuelAdj)+VST_Assets!$O$10*(1+VST_OMAdj)+VST_Assets!$P$10*(1+VST_CapexAdj))*(1+VST_Assets!$Q$10)^(AN$3-2026)/1000000</f>
        <v>0</v>
      </c>
      <c r="AO295" s="8" t="n">
        <f aca="false">AO285-AO279*(VST_Assets!$N$10*(1+VST_FuelAdj)+VST_Assets!$O$10*(1+VST_OMAdj)+VST_Assets!$P$10*(1+VST_CapexAdj))*(1+VST_Assets!$Q$10)^(AO$3-2026)/1000000</f>
        <v>0</v>
      </c>
      <c r="AP295" s="8" t="n">
        <f aca="false">AP285-AP279*(VST_Assets!$N$10*(1+VST_FuelAdj)+VST_Assets!$O$10*(1+VST_OMAdj)+VST_Assets!$P$10*(1+VST_CapexAdj))*(1+VST_Assets!$Q$10)^(AP$3-2026)/1000000</f>
        <v>0</v>
      </c>
      <c r="AQ295" s="8" t="n">
        <f aca="false">AQ285-AQ279*(VST_Assets!$N$10*(1+VST_FuelAdj)+VST_Assets!$O$10*(1+VST_OMAdj)+VST_Assets!$P$10*(1+VST_CapexAdj))*(1+VST_Assets!$Q$10)^(AQ$3-2026)/1000000</f>
        <v>0</v>
      </c>
      <c r="AR295" s="8" t="n">
        <f aca="false">AR285-AR279*(VST_Assets!$N$10*(1+VST_FuelAdj)+VST_Assets!$O$10*(1+VST_OMAdj)+VST_Assets!$P$10*(1+VST_CapexAdj))*(1+VST_Assets!$Q$10)^(AR$3-2026)/1000000</f>
        <v>0</v>
      </c>
      <c r="AS295" s="8" t="n">
        <f aca="false">AS285-AS279*(VST_Assets!$N$10*(1+VST_FuelAdj)+VST_Assets!$O$10*(1+VST_OMAdj)+VST_Assets!$P$10*(1+VST_CapexAdj))*(1+VST_Assets!$Q$10)^(AS$3-2026)/1000000</f>
        <v>0</v>
      </c>
    </row>
    <row r="296" customFormat="false" ht="15" hidden="false" customHeight="false" outlineLevel="0" collapsed="false">
      <c r="A296" s="6" t="s">
        <v>465</v>
      </c>
      <c r="B296" s="6" t="s">
        <v>466</v>
      </c>
      <c r="G296" s="8" t="n">
        <f aca="false">G293-G295</f>
        <v>323.5322193516</v>
      </c>
      <c r="H296" s="8" t="n">
        <f aca="false">H293-H295</f>
        <v>322.638472161432</v>
      </c>
      <c r="I296" s="8" t="n">
        <f aca="false">I293-I295</f>
        <v>266.800466947667</v>
      </c>
      <c r="J296" s="8" t="n">
        <f aca="false">J293-J295</f>
        <v>240.679178838754</v>
      </c>
      <c r="K296" s="8" t="n">
        <f aca="false">K293-K295</f>
        <v>245.492762415529</v>
      </c>
      <c r="L296" s="8" t="n">
        <f aca="false">L293-L295</f>
        <v>250.402617663839</v>
      </c>
      <c r="M296" s="8" t="n">
        <f aca="false">M293-M295</f>
        <v>255.410670017116</v>
      </c>
      <c r="N296" s="8" t="n">
        <f aca="false">N293-N295</f>
        <v>260.518883417459</v>
      </c>
      <c r="O296" s="8" t="n">
        <f aca="false">O293-O295</f>
        <v>265.729261085808</v>
      </c>
      <c r="P296" s="8" t="n">
        <f aca="false">P293-P295</f>
        <v>271.043846307524</v>
      </c>
      <c r="Q296" s="8" t="n">
        <f aca="false">Q293-Q295</f>
        <v>276.464723233674</v>
      </c>
      <c r="R296" s="8" t="n">
        <f aca="false">R293-R295</f>
        <v>281.994017698348</v>
      </c>
      <c r="S296" s="8" t="n">
        <f aca="false">S293-S295</f>
        <v>0</v>
      </c>
      <c r="T296" s="8" t="n">
        <f aca="false">T293-T295</f>
        <v>0</v>
      </c>
      <c r="U296" s="8" t="n">
        <f aca="false">U293-U295</f>
        <v>0</v>
      </c>
      <c r="V296" s="8" t="n">
        <f aca="false">V293-V295</f>
        <v>0</v>
      </c>
      <c r="W296" s="8" t="n">
        <f aca="false">W293-W295</f>
        <v>0</v>
      </c>
      <c r="X296" s="8" t="n">
        <f aca="false">X293-X295</f>
        <v>0</v>
      </c>
      <c r="Y296" s="8" t="n">
        <f aca="false">Y293-Y295</f>
        <v>0</v>
      </c>
      <c r="Z296" s="8" t="n">
        <f aca="false">Z293-Z295</f>
        <v>0</v>
      </c>
      <c r="AA296" s="8" t="n">
        <f aca="false">AA293-AA295</f>
        <v>0</v>
      </c>
      <c r="AB296" s="8" t="n">
        <f aca="false">AB293-AB295</f>
        <v>0</v>
      </c>
      <c r="AC296" s="8" t="n">
        <f aca="false">AC293-AC295</f>
        <v>0</v>
      </c>
      <c r="AD296" s="8" t="n">
        <f aca="false">AD293-AD295</f>
        <v>0</v>
      </c>
      <c r="AE296" s="8" t="n">
        <f aca="false">AE293-AE295</f>
        <v>0</v>
      </c>
      <c r="AF296" s="8" t="n">
        <f aca="false">AF293-AF295</f>
        <v>0</v>
      </c>
      <c r="AG296" s="8" t="n">
        <f aca="false">AG293-AG295</f>
        <v>0</v>
      </c>
      <c r="AH296" s="8" t="n">
        <f aca="false">AH293-AH295</f>
        <v>0</v>
      </c>
      <c r="AI296" s="8" t="n">
        <f aca="false">AI293-AI295</f>
        <v>0</v>
      </c>
      <c r="AJ296" s="8" t="n">
        <f aca="false">AJ293-AJ295</f>
        <v>0</v>
      </c>
      <c r="AK296" s="8" t="n">
        <f aca="false">AK293-AK295</f>
        <v>0</v>
      </c>
      <c r="AL296" s="8" t="n">
        <f aca="false">AL293-AL295</f>
        <v>0</v>
      </c>
      <c r="AM296" s="8" t="n">
        <f aca="false">AM293-AM295</f>
        <v>0</v>
      </c>
      <c r="AN296" s="8" t="n">
        <f aca="false">AN293-AN295</f>
        <v>0</v>
      </c>
      <c r="AO296" s="8" t="n">
        <f aca="false">AO293-AO295</f>
        <v>0</v>
      </c>
      <c r="AP296" s="8" t="n">
        <f aca="false">AP293-AP295</f>
        <v>0</v>
      </c>
      <c r="AQ296" s="8" t="n">
        <f aca="false">AQ293-AQ295</f>
        <v>0</v>
      </c>
      <c r="AR296" s="8" t="n">
        <f aca="false">AR293-AR295</f>
        <v>0</v>
      </c>
      <c r="AS296" s="8" t="n">
        <f aca="false">AS293-AS295</f>
        <v>0</v>
      </c>
    </row>
    <row r="297" customFormat="false" ht="15" hidden="false" customHeight="false" outlineLevel="0" collapsed="false">
      <c r="A297" s="6" t="s">
        <v>467</v>
      </c>
      <c r="B297" s="6" t="s">
        <v>468</v>
      </c>
      <c r="G297" s="8" t="n">
        <f aca="false">G296*(1-TaxRate)+G294</f>
        <v>258.82577548128</v>
      </c>
      <c r="H297" s="8" t="n">
        <f aca="false">H296*(1-TaxRate)+H294</f>
        <v>258.110777729146</v>
      </c>
      <c r="I297" s="8" t="n">
        <f aca="false">I296*(1-TaxRate)+I294</f>
        <v>213.440373558133</v>
      </c>
      <c r="J297" s="8" t="n">
        <f aca="false">J296*(1-TaxRate)+J294</f>
        <v>192.543343071003</v>
      </c>
      <c r="K297" s="8" t="n">
        <f aca="false">K296*(1-TaxRate)+K294</f>
        <v>196.394209932423</v>
      </c>
      <c r="L297" s="8" t="n">
        <f aca="false">L296*(1-TaxRate)+L294</f>
        <v>200.322094131071</v>
      </c>
      <c r="M297" s="8" t="n">
        <f aca="false">M296*(1-TaxRate)+M294</f>
        <v>204.328536013693</v>
      </c>
      <c r="N297" s="8" t="n">
        <f aca="false">N296*(1-TaxRate)+N294</f>
        <v>208.415106733967</v>
      </c>
      <c r="O297" s="8" t="n">
        <f aca="false">O296*(1-TaxRate)+O294</f>
        <v>212.583408868646</v>
      </c>
      <c r="P297" s="8" t="n">
        <f aca="false">P296*(1-TaxRate)+P294</f>
        <v>216.835077046019</v>
      </c>
      <c r="Q297" s="8" t="n">
        <f aca="false">Q296*(1-TaxRate)+Q294</f>
        <v>221.17177858694</v>
      </c>
      <c r="R297" s="8" t="n">
        <f aca="false">R296*(1-TaxRate)+R294</f>
        <v>225.595214158678</v>
      </c>
      <c r="S297" s="8" t="n">
        <f aca="false">S296*(1-TaxRate)+S294</f>
        <v>0</v>
      </c>
      <c r="T297" s="8" t="n">
        <f aca="false">T296*(1-TaxRate)+T294</f>
        <v>0</v>
      </c>
      <c r="U297" s="8" t="n">
        <f aca="false">U296*(1-TaxRate)+U294</f>
        <v>0</v>
      </c>
      <c r="V297" s="8" t="n">
        <f aca="false">V296*(1-TaxRate)+V294</f>
        <v>0</v>
      </c>
      <c r="W297" s="8" t="n">
        <f aca="false">W296*(1-TaxRate)+W294</f>
        <v>0</v>
      </c>
      <c r="X297" s="8" t="n">
        <f aca="false">X296*(1-TaxRate)+X294</f>
        <v>0</v>
      </c>
      <c r="Y297" s="8" t="n">
        <f aca="false">Y296*(1-TaxRate)+Y294</f>
        <v>0</v>
      </c>
      <c r="Z297" s="8" t="n">
        <f aca="false">Z296*(1-TaxRate)+Z294</f>
        <v>0</v>
      </c>
      <c r="AA297" s="8" t="n">
        <f aca="false">AA296*(1-TaxRate)+AA294</f>
        <v>0</v>
      </c>
      <c r="AB297" s="8" t="n">
        <f aca="false">AB296*(1-TaxRate)+AB294</f>
        <v>0</v>
      </c>
      <c r="AC297" s="8" t="n">
        <f aca="false">AC296*(1-TaxRate)+AC294</f>
        <v>0</v>
      </c>
      <c r="AD297" s="8" t="n">
        <f aca="false">AD296*(1-TaxRate)+AD294</f>
        <v>0</v>
      </c>
      <c r="AE297" s="8" t="n">
        <f aca="false">AE296*(1-TaxRate)+AE294</f>
        <v>0</v>
      </c>
      <c r="AF297" s="8" t="n">
        <f aca="false">AF296*(1-TaxRate)+AF294</f>
        <v>0</v>
      </c>
      <c r="AG297" s="8" t="n">
        <f aca="false">AG296*(1-TaxRate)+AG294</f>
        <v>0</v>
      </c>
      <c r="AH297" s="8" t="n">
        <f aca="false">AH296*(1-TaxRate)+AH294</f>
        <v>0</v>
      </c>
      <c r="AI297" s="8" t="n">
        <f aca="false">AI296*(1-TaxRate)+AI294</f>
        <v>0</v>
      </c>
      <c r="AJ297" s="8" t="n">
        <f aca="false">AJ296*(1-TaxRate)+AJ294</f>
        <v>0</v>
      </c>
      <c r="AK297" s="8" t="n">
        <f aca="false">AK296*(1-TaxRate)+AK294</f>
        <v>0</v>
      </c>
      <c r="AL297" s="8" t="n">
        <f aca="false">AL296*(1-TaxRate)+AL294</f>
        <v>0</v>
      </c>
      <c r="AM297" s="8" t="n">
        <f aca="false">AM296*(1-TaxRate)+AM294</f>
        <v>0</v>
      </c>
      <c r="AN297" s="8" t="n">
        <f aca="false">AN296*(1-TaxRate)+AN294</f>
        <v>0</v>
      </c>
      <c r="AO297" s="8" t="n">
        <f aca="false">AO296*(1-TaxRate)+AO294</f>
        <v>0</v>
      </c>
      <c r="AP297" s="8" t="n">
        <f aca="false">AP296*(1-TaxRate)+AP294</f>
        <v>0</v>
      </c>
      <c r="AQ297" s="8" t="n">
        <f aca="false">AQ296*(1-TaxRate)+AQ294</f>
        <v>0</v>
      </c>
      <c r="AR297" s="8" t="n">
        <f aca="false">AR296*(1-TaxRate)+AR294</f>
        <v>0</v>
      </c>
      <c r="AS297" s="8" t="n">
        <f aca="false">AS296*(1-TaxRate)+AS294</f>
        <v>0</v>
      </c>
    </row>
    <row r="298" customFormat="false" ht="15" hidden="false" customHeight="false" outlineLevel="0" collapsed="false">
      <c r="A298" s="6" t="s">
        <v>469</v>
      </c>
      <c r="B298" s="6" t="s">
        <v>470</v>
      </c>
      <c r="G298" s="8" t="n">
        <f aca="false">G295*(1-TaxRate)</f>
        <v>0</v>
      </c>
      <c r="H298" s="8" t="n">
        <f aca="false">H295*(1-TaxRate)</f>
        <v>0</v>
      </c>
      <c r="I298" s="8" t="n">
        <f aca="false">I295*(1-TaxRate)</f>
        <v>0</v>
      </c>
      <c r="J298" s="8" t="n">
        <f aca="false">J295*(1-TaxRate)</f>
        <v>0</v>
      </c>
      <c r="K298" s="8" t="n">
        <f aca="false">K295*(1-TaxRate)</f>
        <v>0</v>
      </c>
      <c r="L298" s="8" t="n">
        <f aca="false">L295*(1-TaxRate)</f>
        <v>0</v>
      </c>
      <c r="M298" s="8" t="n">
        <f aca="false">M295*(1-TaxRate)</f>
        <v>0</v>
      </c>
      <c r="N298" s="8" t="n">
        <f aca="false">N295*(1-TaxRate)</f>
        <v>0</v>
      </c>
      <c r="O298" s="8" t="n">
        <f aca="false">O295*(1-TaxRate)</f>
        <v>0</v>
      </c>
      <c r="P298" s="8" t="n">
        <f aca="false">P295*(1-TaxRate)</f>
        <v>0</v>
      </c>
      <c r="Q298" s="8" t="n">
        <f aca="false">Q295*(1-TaxRate)</f>
        <v>0</v>
      </c>
      <c r="R298" s="8" t="n">
        <f aca="false">R295*(1-TaxRate)</f>
        <v>0</v>
      </c>
      <c r="S298" s="8" t="n">
        <f aca="false">S295*(1-TaxRate)</f>
        <v>0</v>
      </c>
      <c r="T298" s="8" t="n">
        <f aca="false">T295*(1-TaxRate)</f>
        <v>0</v>
      </c>
      <c r="U298" s="8" t="n">
        <f aca="false">U295*(1-TaxRate)</f>
        <v>0</v>
      </c>
      <c r="V298" s="8" t="n">
        <f aca="false">V295*(1-TaxRate)</f>
        <v>0</v>
      </c>
      <c r="W298" s="8" t="n">
        <f aca="false">W295*(1-TaxRate)</f>
        <v>0</v>
      </c>
      <c r="X298" s="8" t="n">
        <f aca="false">X295*(1-TaxRate)</f>
        <v>0</v>
      </c>
      <c r="Y298" s="8" t="n">
        <f aca="false">Y295*(1-TaxRate)</f>
        <v>0</v>
      </c>
      <c r="Z298" s="8" t="n">
        <f aca="false">Z295*(1-TaxRate)</f>
        <v>0</v>
      </c>
      <c r="AA298" s="8" t="n">
        <f aca="false">AA295*(1-TaxRate)</f>
        <v>0</v>
      </c>
      <c r="AB298" s="8" t="n">
        <f aca="false">AB295*(1-TaxRate)</f>
        <v>0</v>
      </c>
      <c r="AC298" s="8" t="n">
        <f aca="false">AC295*(1-TaxRate)</f>
        <v>0</v>
      </c>
      <c r="AD298" s="8" t="n">
        <f aca="false">AD295*(1-TaxRate)</f>
        <v>0</v>
      </c>
      <c r="AE298" s="8" t="n">
        <f aca="false">AE295*(1-TaxRate)</f>
        <v>0</v>
      </c>
      <c r="AF298" s="8" t="n">
        <f aca="false">AF295*(1-TaxRate)</f>
        <v>0</v>
      </c>
      <c r="AG298" s="8" t="n">
        <f aca="false">AG295*(1-TaxRate)</f>
        <v>0</v>
      </c>
      <c r="AH298" s="8" t="n">
        <f aca="false">AH295*(1-TaxRate)</f>
        <v>0</v>
      </c>
      <c r="AI298" s="8" t="n">
        <f aca="false">AI295*(1-TaxRate)</f>
        <v>0</v>
      </c>
      <c r="AJ298" s="8" t="n">
        <f aca="false">AJ295*(1-TaxRate)</f>
        <v>0</v>
      </c>
      <c r="AK298" s="8" t="n">
        <f aca="false">AK295*(1-TaxRate)</f>
        <v>0</v>
      </c>
      <c r="AL298" s="8" t="n">
        <f aca="false">AL295*(1-TaxRate)</f>
        <v>0</v>
      </c>
      <c r="AM298" s="8" t="n">
        <f aca="false">AM295*(1-TaxRate)</f>
        <v>0</v>
      </c>
      <c r="AN298" s="8" t="n">
        <f aca="false">AN295*(1-TaxRate)</f>
        <v>0</v>
      </c>
      <c r="AO298" s="8" t="n">
        <f aca="false">AO295*(1-TaxRate)</f>
        <v>0</v>
      </c>
      <c r="AP298" s="8" t="n">
        <f aca="false">AP295*(1-TaxRate)</f>
        <v>0</v>
      </c>
      <c r="AQ298" s="8" t="n">
        <f aca="false">AQ295*(1-TaxRate)</f>
        <v>0</v>
      </c>
      <c r="AR298" s="8" t="n">
        <f aca="false">AR295*(1-TaxRate)</f>
        <v>0</v>
      </c>
      <c r="AS298" s="8" t="n">
        <f aca="false">AS295*(1-TaxRate)</f>
        <v>0</v>
      </c>
    </row>
    <row r="299" customFormat="false" ht="15" hidden="false" customHeight="false" outlineLevel="0" collapsed="false">
      <c r="A299" s="6" t="s">
        <v>471</v>
      </c>
      <c r="B299" s="6" t="s">
        <v>472</v>
      </c>
      <c r="G299" s="42" t="n">
        <f aca="false">(1+VST_Assets!$AE$10)^-(G$3+0.5-ValDate)</f>
        <v>0.931012444622223</v>
      </c>
      <c r="H299" s="42" t="n">
        <f aca="false">(1+VST_Assets!$AE$10)^-(H$3+0.5-ValDate)</f>
        <v>0.846374949656566</v>
      </c>
      <c r="I299" s="42" t="n">
        <f aca="false">(1+VST_Assets!$AE$10)^-(I$3+0.5-ValDate)</f>
        <v>0.76943177241506</v>
      </c>
      <c r="J299" s="42" t="n">
        <f aca="false">(1+VST_Assets!$AE$10)^-(J$3+0.5-ValDate)</f>
        <v>0.699483429468236</v>
      </c>
      <c r="K299" s="42" t="n">
        <f aca="false">(1+VST_Assets!$AE$10)^-(K$3+0.5-ValDate)</f>
        <v>0.635894026789306</v>
      </c>
      <c r="L299" s="42" t="n">
        <f aca="false">(1+VST_Assets!$AE$10)^-(L$3+0.5-ValDate)</f>
        <v>0.578085478899369</v>
      </c>
      <c r="M299" s="42" t="n">
        <f aca="false">(1+VST_Assets!$AE$10)^-(M$3+0.5-ValDate)</f>
        <v>0.525532253544881</v>
      </c>
      <c r="N299" s="42" t="n">
        <f aca="false">(1+VST_Assets!$AE$10)^-(N$3+0.5-ValDate)</f>
        <v>0.47775659413171</v>
      </c>
      <c r="O299" s="42" t="n">
        <f aca="false">(1+VST_Assets!$AE$10)^-(O$3+0.5-ValDate)</f>
        <v>0.434324176483372</v>
      </c>
      <c r="P299" s="42" t="n">
        <f aca="false">(1+VST_Assets!$AE$10)^-(P$3+0.5-ValDate)</f>
        <v>0.394840160439429</v>
      </c>
      <c r="Q299" s="42" t="n">
        <f aca="false">(1+VST_Assets!$AE$10)^-(Q$3+0.5-ValDate)</f>
        <v>0.358945600399481</v>
      </c>
      <c r="R299" s="42" t="n">
        <f aca="false">(1+VST_Assets!$AE$10)^-(R$3+0.5-ValDate)</f>
        <v>0.326314182181347</v>
      </c>
      <c r="S299" s="42" t="n">
        <f aca="false">(1+VST_Assets!$AE$10)^-(S$3+0.5-ValDate)</f>
        <v>0.296649256528497</v>
      </c>
      <c r="T299" s="42" t="n">
        <f aca="false">(1+VST_Assets!$AE$10)^-(T$3+0.5-ValDate)</f>
        <v>0.269681142298634</v>
      </c>
      <c r="U299" s="42" t="n">
        <f aca="false">(1+VST_Assets!$AE$10)^-(U$3+0.5-ValDate)</f>
        <v>0.24516467481694</v>
      </c>
      <c r="V299" s="42" t="n">
        <f aca="false">(1+VST_Assets!$AE$10)^-(V$3+0.5-ValDate)</f>
        <v>0.222876977106309</v>
      </c>
      <c r="W299" s="42" t="n">
        <f aca="false">(1+VST_Assets!$AE$10)^-(W$3+0.5-ValDate)</f>
        <v>0.202615433733008</v>
      </c>
      <c r="X299" s="42" t="n">
        <f aca="false">(1+VST_Assets!$AE$10)^-(X$3+0.5-ValDate)</f>
        <v>0.184195848848189</v>
      </c>
      <c r="Y299" s="42" t="n">
        <f aca="false">(1+VST_Assets!$AE$10)^-(Y$3+0.5-ValDate)</f>
        <v>0.167450771680172</v>
      </c>
      <c r="Z299" s="42" t="n">
        <f aca="false">(1+VST_Assets!$AE$10)^-(Z$3+0.5-ValDate)</f>
        <v>0.152227974254702</v>
      </c>
      <c r="AA299" s="42" t="n">
        <f aca="false">(1+VST_Assets!$AE$10)^-(AA$3+0.5-ValDate)</f>
        <v>0.138389067504274</v>
      </c>
      <c r="AB299" s="42" t="n">
        <f aca="false">(1+VST_Assets!$AE$10)^-(AB$3+0.5-ValDate)</f>
        <v>0.125808243185704</v>
      </c>
      <c r="AC299" s="42" t="n">
        <f aca="false">(1+VST_Assets!$AE$10)^-(AC$3+0.5-ValDate)</f>
        <v>0.114371130168822</v>
      </c>
      <c r="AD299" s="42" t="n">
        <f aca="false">(1+VST_Assets!$AE$10)^-(AD$3+0.5-ValDate)</f>
        <v>0.103973754698929</v>
      </c>
      <c r="AE299" s="42" t="n">
        <f aca="false">(1+VST_Assets!$AE$10)^-(AE$3+0.5-ValDate)</f>
        <v>0.0945215951808443</v>
      </c>
      <c r="AF299" s="42" t="n">
        <f aca="false">(1+VST_Assets!$AE$10)^-(AF$3+0.5-ValDate)</f>
        <v>0.0859287228916766</v>
      </c>
      <c r="AG299" s="42" t="n">
        <f aca="false">(1+VST_Assets!$AE$10)^-(AG$3+0.5-ValDate)</f>
        <v>0.0781170208106151</v>
      </c>
      <c r="AH299" s="42" t="n">
        <f aca="false">(1+VST_Assets!$AE$10)^-(AH$3+0.5-ValDate)</f>
        <v>0.0710154734641955</v>
      </c>
      <c r="AI299" s="42" t="n">
        <f aca="false">(1+VST_Assets!$AE$10)^-(AI$3+0.5-ValDate)</f>
        <v>0.0645595213310868</v>
      </c>
      <c r="AJ299" s="42" t="n">
        <f aca="false">(1+VST_Assets!$AE$10)^-(AJ$3+0.5-ValDate)</f>
        <v>0.0586904739373517</v>
      </c>
      <c r="AK299" s="42" t="n">
        <f aca="false">(1+VST_Assets!$AE$10)^-(AK$3+0.5-ValDate)</f>
        <v>0.0533549763066833</v>
      </c>
      <c r="AL299" s="42" t="n">
        <f aca="false">(1+VST_Assets!$AE$10)^-(AL$3+0.5-ValDate)</f>
        <v>0.0485045239151667</v>
      </c>
      <c r="AM299" s="42" t="n">
        <f aca="false">(1+VST_Assets!$AE$10)^-(AM$3+0.5-ValDate)</f>
        <v>0.0440950217410606</v>
      </c>
      <c r="AN299" s="42" t="n">
        <f aca="false">(1+VST_Assets!$AE$10)^-(AN$3+0.5-ValDate)</f>
        <v>0.0400863834009642</v>
      </c>
      <c r="AO299" s="42" t="n">
        <f aca="false">(1+VST_Assets!$AE$10)^-(AO$3+0.5-ValDate)</f>
        <v>0.0364421667281493</v>
      </c>
      <c r="AP299" s="42" t="n">
        <f aca="false">(1+VST_Assets!$AE$10)^-(AP$3+0.5-ValDate)</f>
        <v>0.0331292424801357</v>
      </c>
      <c r="AQ299" s="42" t="n">
        <f aca="false">(1+VST_Assets!$AE$10)^-(AQ$3+0.5-ValDate)</f>
        <v>0.0301174931637597</v>
      </c>
      <c r="AR299" s="42" t="n">
        <f aca="false">(1+VST_Assets!$AE$10)^-(AR$3+0.5-ValDate)</f>
        <v>0.0273795392397815</v>
      </c>
      <c r="AS299" s="42" t="n">
        <f aca="false">(1+VST_Assets!$AE$10)^-(AS$3+0.5-ValDate)</f>
        <v>0.0248904902179832</v>
      </c>
    </row>
    <row r="300" customFormat="false" ht="15" hidden="false" customHeight="false" outlineLevel="0" collapsed="false">
      <c r="A300" s="6" t="s">
        <v>473</v>
      </c>
      <c r="B300" s="6" t="s">
        <v>474</v>
      </c>
      <c r="G300" s="42" t="n">
        <f aca="false">(1+VST_Assets!$AF$10)^-(G$3+0.5-ValDate)</f>
        <v>0.931012444622223</v>
      </c>
      <c r="H300" s="42" t="n">
        <f aca="false">(1+VST_Assets!$AF$10)^-(H$3+0.5-ValDate)</f>
        <v>0.846374949656566</v>
      </c>
      <c r="I300" s="42" t="n">
        <f aca="false">(1+VST_Assets!$AF$10)^-(I$3+0.5-ValDate)</f>
        <v>0.76943177241506</v>
      </c>
      <c r="J300" s="42" t="n">
        <f aca="false">(1+VST_Assets!$AF$10)^-(J$3+0.5-ValDate)</f>
        <v>0.699483429468236</v>
      </c>
      <c r="K300" s="42" t="n">
        <f aca="false">(1+VST_Assets!$AF$10)^-(K$3+0.5-ValDate)</f>
        <v>0.635894026789306</v>
      </c>
      <c r="L300" s="42" t="n">
        <f aca="false">(1+VST_Assets!$AF$10)^-(L$3+0.5-ValDate)</f>
        <v>0.578085478899369</v>
      </c>
      <c r="M300" s="42" t="n">
        <f aca="false">(1+VST_Assets!$AF$10)^-(M$3+0.5-ValDate)</f>
        <v>0.525532253544881</v>
      </c>
      <c r="N300" s="42" t="n">
        <f aca="false">(1+VST_Assets!$AF$10)^-(N$3+0.5-ValDate)</f>
        <v>0.47775659413171</v>
      </c>
      <c r="O300" s="42" t="n">
        <f aca="false">(1+VST_Assets!$AF$10)^-(O$3+0.5-ValDate)</f>
        <v>0.434324176483372</v>
      </c>
      <c r="P300" s="42" t="n">
        <f aca="false">(1+VST_Assets!$AF$10)^-(P$3+0.5-ValDate)</f>
        <v>0.394840160439429</v>
      </c>
      <c r="Q300" s="42" t="n">
        <f aca="false">(1+VST_Assets!$AF$10)^-(Q$3+0.5-ValDate)</f>
        <v>0.358945600399481</v>
      </c>
      <c r="R300" s="42" t="n">
        <f aca="false">(1+VST_Assets!$AF$10)^-(R$3+0.5-ValDate)</f>
        <v>0.326314182181347</v>
      </c>
      <c r="S300" s="42" t="n">
        <f aca="false">(1+VST_Assets!$AF$10)^-(S$3+0.5-ValDate)</f>
        <v>0.296649256528497</v>
      </c>
      <c r="T300" s="42" t="n">
        <f aca="false">(1+VST_Assets!$AF$10)^-(T$3+0.5-ValDate)</f>
        <v>0.269681142298634</v>
      </c>
      <c r="U300" s="42" t="n">
        <f aca="false">(1+VST_Assets!$AF$10)^-(U$3+0.5-ValDate)</f>
        <v>0.24516467481694</v>
      </c>
      <c r="V300" s="42" t="n">
        <f aca="false">(1+VST_Assets!$AF$10)^-(V$3+0.5-ValDate)</f>
        <v>0.222876977106309</v>
      </c>
      <c r="W300" s="42" t="n">
        <f aca="false">(1+VST_Assets!$AF$10)^-(W$3+0.5-ValDate)</f>
        <v>0.202615433733008</v>
      </c>
      <c r="X300" s="42" t="n">
        <f aca="false">(1+VST_Assets!$AF$10)^-(X$3+0.5-ValDate)</f>
        <v>0.184195848848189</v>
      </c>
      <c r="Y300" s="42" t="n">
        <f aca="false">(1+VST_Assets!$AF$10)^-(Y$3+0.5-ValDate)</f>
        <v>0.167450771680172</v>
      </c>
      <c r="Z300" s="42" t="n">
        <f aca="false">(1+VST_Assets!$AF$10)^-(Z$3+0.5-ValDate)</f>
        <v>0.152227974254702</v>
      </c>
      <c r="AA300" s="42" t="n">
        <f aca="false">(1+VST_Assets!$AF$10)^-(AA$3+0.5-ValDate)</f>
        <v>0.138389067504274</v>
      </c>
      <c r="AB300" s="42" t="n">
        <f aca="false">(1+VST_Assets!$AF$10)^-(AB$3+0.5-ValDate)</f>
        <v>0.125808243185704</v>
      </c>
      <c r="AC300" s="42" t="n">
        <f aca="false">(1+VST_Assets!$AF$10)^-(AC$3+0.5-ValDate)</f>
        <v>0.114371130168822</v>
      </c>
      <c r="AD300" s="42" t="n">
        <f aca="false">(1+VST_Assets!$AF$10)^-(AD$3+0.5-ValDate)</f>
        <v>0.103973754698929</v>
      </c>
      <c r="AE300" s="42" t="n">
        <f aca="false">(1+VST_Assets!$AF$10)^-(AE$3+0.5-ValDate)</f>
        <v>0.0945215951808443</v>
      </c>
      <c r="AF300" s="42" t="n">
        <f aca="false">(1+VST_Assets!$AF$10)^-(AF$3+0.5-ValDate)</f>
        <v>0.0859287228916766</v>
      </c>
      <c r="AG300" s="42" t="n">
        <f aca="false">(1+VST_Assets!$AF$10)^-(AG$3+0.5-ValDate)</f>
        <v>0.0781170208106151</v>
      </c>
      <c r="AH300" s="42" t="n">
        <f aca="false">(1+VST_Assets!$AF$10)^-(AH$3+0.5-ValDate)</f>
        <v>0.0710154734641955</v>
      </c>
      <c r="AI300" s="42" t="n">
        <f aca="false">(1+VST_Assets!$AF$10)^-(AI$3+0.5-ValDate)</f>
        <v>0.0645595213310868</v>
      </c>
      <c r="AJ300" s="42" t="n">
        <f aca="false">(1+VST_Assets!$AF$10)^-(AJ$3+0.5-ValDate)</f>
        <v>0.0586904739373517</v>
      </c>
      <c r="AK300" s="42" t="n">
        <f aca="false">(1+VST_Assets!$AF$10)^-(AK$3+0.5-ValDate)</f>
        <v>0.0533549763066833</v>
      </c>
      <c r="AL300" s="42" t="n">
        <f aca="false">(1+VST_Assets!$AF$10)^-(AL$3+0.5-ValDate)</f>
        <v>0.0485045239151667</v>
      </c>
      <c r="AM300" s="42" t="n">
        <f aca="false">(1+VST_Assets!$AF$10)^-(AM$3+0.5-ValDate)</f>
        <v>0.0440950217410606</v>
      </c>
      <c r="AN300" s="42" t="n">
        <f aca="false">(1+VST_Assets!$AF$10)^-(AN$3+0.5-ValDate)</f>
        <v>0.0400863834009642</v>
      </c>
      <c r="AO300" s="42" t="n">
        <f aca="false">(1+VST_Assets!$AF$10)^-(AO$3+0.5-ValDate)</f>
        <v>0.0364421667281493</v>
      </c>
      <c r="AP300" s="42" t="n">
        <f aca="false">(1+VST_Assets!$AF$10)^-(AP$3+0.5-ValDate)</f>
        <v>0.0331292424801357</v>
      </c>
      <c r="AQ300" s="42" t="n">
        <f aca="false">(1+VST_Assets!$AF$10)^-(AQ$3+0.5-ValDate)</f>
        <v>0.0301174931637597</v>
      </c>
      <c r="AR300" s="42" t="n">
        <f aca="false">(1+VST_Assets!$AF$10)^-(AR$3+0.5-ValDate)</f>
        <v>0.0273795392397815</v>
      </c>
      <c r="AS300" s="42" t="n">
        <f aca="false">(1+VST_Assets!$AF$10)^-(AS$3+0.5-ValDate)</f>
        <v>0.0248904902179832</v>
      </c>
    </row>
    <row r="301" customFormat="false" ht="15" hidden="false" customHeight="false" outlineLevel="0" collapsed="false">
      <c r="A301" s="6" t="s">
        <v>475</v>
      </c>
      <c r="B301" s="6" t="s">
        <v>476</v>
      </c>
      <c r="C301" s="43" t="n">
        <f aca="false">SUM(G301:AS301)</f>
        <v>1536.92818886745</v>
      </c>
      <c r="D301" s="8" t="n">
        <f aca="false">SUMIF($G$3:$AS$3,"&lt;="&amp;Horizon,G301:AS301)</f>
        <v>758.337197332743</v>
      </c>
      <c r="E301" s="8" t="n">
        <f aca="false">(C301-D301)*(1+VST_Assets!$AE$10)^(Horizon+1-ValDate)</f>
        <v>1167.42311057743</v>
      </c>
      <c r="G301" s="8" t="n">
        <f aca="false">G297*G299</f>
        <v>240.970017962069</v>
      </c>
      <c r="H301" s="8" t="n">
        <f aca="false">H297*H299</f>
        <v>218.458496506323</v>
      </c>
      <c r="I301" s="8" t="n">
        <f aca="false">I297*I299</f>
        <v>164.227804931767</v>
      </c>
      <c r="J301" s="8" t="n">
        <f aca="false">J297*J299</f>
        <v>134.680877932584</v>
      </c>
      <c r="K301" s="8" t="n">
        <f aca="false">K297*K299</f>
        <v>124.885904992033</v>
      </c>
      <c r="L301" s="8" t="n">
        <f aca="false">L297*L299</f>
        <v>115.803293719885</v>
      </c>
      <c r="M301" s="8" t="n">
        <f aca="false">M297*M299</f>
        <v>107.381235994802</v>
      </c>
      <c r="N301" s="8" t="n">
        <f aca="false">N297*N299</f>
        <v>99.5716915588167</v>
      </c>
      <c r="O301" s="8" t="n">
        <f aca="false">O297*O299</f>
        <v>92.3301139909028</v>
      </c>
      <c r="P301" s="8" t="n">
        <f aca="false">P297*P299</f>
        <v>85.6151966097462</v>
      </c>
      <c r="Q301" s="8" t="n">
        <f aca="false">Q297*Q299</f>
        <v>79.3886368563101</v>
      </c>
      <c r="R301" s="8" t="n">
        <f aca="false">R297*R299</f>
        <v>73.6149178122148</v>
      </c>
      <c r="S301" s="8" t="n">
        <f aca="false">S297*S299</f>
        <v>0</v>
      </c>
      <c r="T301" s="8" t="n">
        <f aca="false">T297*T299</f>
        <v>0</v>
      </c>
      <c r="U301" s="8" t="n">
        <f aca="false">U297*U299</f>
        <v>0</v>
      </c>
      <c r="V301" s="8" t="n">
        <f aca="false">V297*V299</f>
        <v>0</v>
      </c>
      <c r="W301" s="8" t="n">
        <f aca="false">W297*W299</f>
        <v>0</v>
      </c>
      <c r="X301" s="8" t="n">
        <f aca="false">X297*X299</f>
        <v>0</v>
      </c>
      <c r="Y301" s="8" t="n">
        <f aca="false">Y297*Y299</f>
        <v>0</v>
      </c>
      <c r="Z301" s="8" t="n">
        <f aca="false">Z297*Z299</f>
        <v>0</v>
      </c>
      <c r="AA301" s="8" t="n">
        <f aca="false">AA297*AA299</f>
        <v>0</v>
      </c>
      <c r="AB301" s="8" t="n">
        <f aca="false">AB297*AB299</f>
        <v>0</v>
      </c>
      <c r="AC301" s="8" t="n">
        <f aca="false">AC297*AC299</f>
        <v>0</v>
      </c>
      <c r="AD301" s="8" t="n">
        <f aca="false">AD297*AD299</f>
        <v>0</v>
      </c>
      <c r="AE301" s="8" t="n">
        <f aca="false">AE297*AE299</f>
        <v>0</v>
      </c>
      <c r="AF301" s="8" t="n">
        <f aca="false">AF297*AF299</f>
        <v>0</v>
      </c>
      <c r="AG301" s="8" t="n">
        <f aca="false">AG297*AG299</f>
        <v>0</v>
      </c>
      <c r="AH301" s="8" t="n">
        <f aca="false">AH297*AH299</f>
        <v>0</v>
      </c>
      <c r="AI301" s="8" t="n">
        <f aca="false">AI297*AI299</f>
        <v>0</v>
      </c>
      <c r="AJ301" s="8" t="n">
        <f aca="false">AJ297*AJ299</f>
        <v>0</v>
      </c>
      <c r="AK301" s="8" t="n">
        <f aca="false">AK297*AK299</f>
        <v>0</v>
      </c>
      <c r="AL301" s="8" t="n">
        <f aca="false">AL297*AL299</f>
        <v>0</v>
      </c>
      <c r="AM301" s="8" t="n">
        <f aca="false">AM297*AM299</f>
        <v>0</v>
      </c>
      <c r="AN301" s="8" t="n">
        <f aca="false">AN297*AN299</f>
        <v>0</v>
      </c>
      <c r="AO301" s="8" t="n">
        <f aca="false">AO297*AO299</f>
        <v>0</v>
      </c>
      <c r="AP301" s="8" t="n">
        <f aca="false">AP297*AP299</f>
        <v>0</v>
      </c>
      <c r="AQ301" s="8" t="n">
        <f aca="false">AQ297*AQ299</f>
        <v>0</v>
      </c>
      <c r="AR301" s="8" t="n">
        <f aca="false">AR297*AR299</f>
        <v>0</v>
      </c>
      <c r="AS301" s="8" t="n">
        <f aca="false">AS297*AS299</f>
        <v>0</v>
      </c>
    </row>
    <row r="302" customFormat="false" ht="15" hidden="false" customHeight="false" outlineLevel="0" collapsed="false">
      <c r="A302" s="6" t="s">
        <v>477</v>
      </c>
      <c r="B302" s="6" t="s">
        <v>478</v>
      </c>
      <c r="C302" s="43" t="n">
        <f aca="false">SUM(G302:AS302)</f>
        <v>0</v>
      </c>
      <c r="D302" s="8" t="n">
        <f aca="false">SUMIF($G$3:$AS$3,"&lt;="&amp;Horizon,G302:AS302)</f>
        <v>0</v>
      </c>
      <c r="E302" s="8" t="n">
        <f aca="false">(C302-D302)*(1+VST_Assets!$AF$10)^(Horizon+1-ValDate)</f>
        <v>0</v>
      </c>
      <c r="G302" s="8" t="n">
        <f aca="false">G298*G300</f>
        <v>0</v>
      </c>
      <c r="H302" s="8" t="n">
        <f aca="false">H298*H300</f>
        <v>0</v>
      </c>
      <c r="I302" s="8" t="n">
        <f aca="false">I298*I300</f>
        <v>0</v>
      </c>
      <c r="J302" s="8" t="n">
        <f aca="false">J298*J300</f>
        <v>0</v>
      </c>
      <c r="K302" s="8" t="n">
        <f aca="false">K298*K300</f>
        <v>0</v>
      </c>
      <c r="L302" s="8" t="n">
        <f aca="false">L298*L300</f>
        <v>0</v>
      </c>
      <c r="M302" s="8" t="n">
        <f aca="false">M298*M300</f>
        <v>0</v>
      </c>
      <c r="N302" s="8" t="n">
        <f aca="false">N298*N300</f>
        <v>0</v>
      </c>
      <c r="O302" s="8" t="n">
        <f aca="false">O298*O300</f>
        <v>0</v>
      </c>
      <c r="P302" s="8" t="n">
        <f aca="false">P298*P300</f>
        <v>0</v>
      </c>
      <c r="Q302" s="8" t="n">
        <f aca="false">Q298*Q300</f>
        <v>0</v>
      </c>
      <c r="R302" s="8" t="n">
        <f aca="false">R298*R300</f>
        <v>0</v>
      </c>
      <c r="S302" s="8" t="n">
        <f aca="false">S298*S300</f>
        <v>0</v>
      </c>
      <c r="T302" s="8" t="n">
        <f aca="false">T298*T300</f>
        <v>0</v>
      </c>
      <c r="U302" s="8" t="n">
        <f aca="false">U298*U300</f>
        <v>0</v>
      </c>
      <c r="V302" s="8" t="n">
        <f aca="false">V298*V300</f>
        <v>0</v>
      </c>
      <c r="W302" s="8" t="n">
        <f aca="false">W298*W300</f>
        <v>0</v>
      </c>
      <c r="X302" s="8" t="n">
        <f aca="false">X298*X300</f>
        <v>0</v>
      </c>
      <c r="Y302" s="8" t="n">
        <f aca="false">Y298*Y300</f>
        <v>0</v>
      </c>
      <c r="Z302" s="8" t="n">
        <f aca="false">Z298*Z300</f>
        <v>0</v>
      </c>
      <c r="AA302" s="8" t="n">
        <f aca="false">AA298*AA300</f>
        <v>0</v>
      </c>
      <c r="AB302" s="8" t="n">
        <f aca="false">AB298*AB300</f>
        <v>0</v>
      </c>
      <c r="AC302" s="8" t="n">
        <f aca="false">AC298*AC300</f>
        <v>0</v>
      </c>
      <c r="AD302" s="8" t="n">
        <f aca="false">AD298*AD300</f>
        <v>0</v>
      </c>
      <c r="AE302" s="8" t="n">
        <f aca="false">AE298*AE300</f>
        <v>0</v>
      </c>
      <c r="AF302" s="8" t="n">
        <f aca="false">AF298*AF300</f>
        <v>0</v>
      </c>
      <c r="AG302" s="8" t="n">
        <f aca="false">AG298*AG300</f>
        <v>0</v>
      </c>
      <c r="AH302" s="8" t="n">
        <f aca="false">AH298*AH300</f>
        <v>0</v>
      </c>
      <c r="AI302" s="8" t="n">
        <f aca="false">AI298*AI300</f>
        <v>0</v>
      </c>
      <c r="AJ302" s="8" t="n">
        <f aca="false">AJ298*AJ300</f>
        <v>0</v>
      </c>
      <c r="AK302" s="8" t="n">
        <f aca="false">AK298*AK300</f>
        <v>0</v>
      </c>
      <c r="AL302" s="8" t="n">
        <f aca="false">AL298*AL300</f>
        <v>0</v>
      </c>
      <c r="AM302" s="8" t="n">
        <f aca="false">AM298*AM300</f>
        <v>0</v>
      </c>
      <c r="AN302" s="8" t="n">
        <f aca="false">AN298*AN300</f>
        <v>0</v>
      </c>
      <c r="AO302" s="8" t="n">
        <f aca="false">AO298*AO300</f>
        <v>0</v>
      </c>
      <c r="AP302" s="8" t="n">
        <f aca="false">AP298*AP300</f>
        <v>0</v>
      </c>
      <c r="AQ302" s="8" t="n">
        <f aca="false">AQ298*AQ300</f>
        <v>0</v>
      </c>
      <c r="AR302" s="8" t="n">
        <f aca="false">AR298*AR300</f>
        <v>0</v>
      </c>
      <c r="AS302" s="8" t="n">
        <f aca="false">AS298*AS300</f>
        <v>0</v>
      </c>
    </row>
    <row r="303" customFormat="false" ht="15" hidden="false" customHeight="false" outlineLevel="0" collapsed="false">
      <c r="A303" s="6" t="s">
        <v>479</v>
      </c>
      <c r="B303" s="6" t="s">
        <v>480</v>
      </c>
      <c r="C303" s="43" t="n">
        <f aca="false">IF(VST_Assets!$H$10="$/kW",VST_Assets!$D$10*VST_Assets!$AI$10*(1+0.4*(PJMWLR/PJMWLRBase-1))/1000,0)</f>
        <v>0</v>
      </c>
      <c r="E303" s="8" t="n">
        <f aca="false">C303</f>
        <v>0</v>
      </c>
      <c r="G303" s="8" t="n">
        <f aca="false">0</f>
        <v>0</v>
      </c>
      <c r="H303" s="8" t="n">
        <f aca="false">0</f>
        <v>0</v>
      </c>
      <c r="I303" s="8" t="n">
        <f aca="false">0</f>
        <v>0</v>
      </c>
      <c r="J303" s="8" t="n">
        <f aca="false">0</f>
        <v>0</v>
      </c>
      <c r="K303" s="8" t="n">
        <f aca="false">0</f>
        <v>0</v>
      </c>
      <c r="L303" s="8" t="n">
        <f aca="false">0</f>
        <v>0</v>
      </c>
      <c r="M303" s="8" t="n">
        <f aca="false">0</f>
        <v>0</v>
      </c>
      <c r="N303" s="8" t="n">
        <f aca="false">0</f>
        <v>0</v>
      </c>
      <c r="O303" s="8" t="n">
        <f aca="false">0</f>
        <v>0</v>
      </c>
      <c r="P303" s="8" t="n">
        <f aca="false">0</f>
        <v>0</v>
      </c>
      <c r="Q303" s="8" t="n">
        <f aca="false">0</f>
        <v>0</v>
      </c>
      <c r="R303" s="8" t="n">
        <f aca="false">0</f>
        <v>0</v>
      </c>
      <c r="S303" s="8" t="n">
        <f aca="false">0</f>
        <v>0</v>
      </c>
      <c r="T303" s="8" t="n">
        <f aca="false">0</f>
        <v>0</v>
      </c>
      <c r="U303" s="8" t="n">
        <f aca="false">0</f>
        <v>0</v>
      </c>
      <c r="V303" s="8" t="n">
        <f aca="false">0</f>
        <v>0</v>
      </c>
      <c r="W303" s="8" t="n">
        <f aca="false">0</f>
        <v>0</v>
      </c>
      <c r="X303" s="8" t="n">
        <f aca="false">0</f>
        <v>0</v>
      </c>
      <c r="Y303" s="8" t="n">
        <f aca="false">0</f>
        <v>0</v>
      </c>
      <c r="Z303" s="8" t="n">
        <f aca="false">0</f>
        <v>0</v>
      </c>
      <c r="AA303" s="8" t="n">
        <f aca="false">0</f>
        <v>0</v>
      </c>
      <c r="AB303" s="8" t="n">
        <f aca="false">0</f>
        <v>0</v>
      </c>
      <c r="AC303" s="8" t="n">
        <f aca="false">0</f>
        <v>0</v>
      </c>
      <c r="AD303" s="8" t="n">
        <f aca="false">0</f>
        <v>0</v>
      </c>
      <c r="AE303" s="8" t="n">
        <f aca="false">0</f>
        <v>0</v>
      </c>
      <c r="AF303" s="8" t="n">
        <f aca="false">0</f>
        <v>0</v>
      </c>
      <c r="AG303" s="8" t="n">
        <f aca="false">0</f>
        <v>0</v>
      </c>
      <c r="AH303" s="8" t="n">
        <f aca="false">0</f>
        <v>0</v>
      </c>
      <c r="AI303" s="8" t="n">
        <f aca="false">0</f>
        <v>0</v>
      </c>
      <c r="AJ303" s="8" t="n">
        <f aca="false">0</f>
        <v>0</v>
      </c>
      <c r="AK303" s="8" t="n">
        <f aca="false">0</f>
        <v>0</v>
      </c>
      <c r="AL303" s="8" t="n">
        <f aca="false">0</f>
        <v>0</v>
      </c>
      <c r="AM303" s="8" t="n">
        <f aca="false">0</f>
        <v>0</v>
      </c>
      <c r="AN303" s="8" t="n">
        <f aca="false">0</f>
        <v>0</v>
      </c>
      <c r="AO303" s="8" t="n">
        <f aca="false">0</f>
        <v>0</v>
      </c>
      <c r="AP303" s="8" t="n">
        <f aca="false">0</f>
        <v>0</v>
      </c>
      <c r="AQ303" s="8" t="n">
        <f aca="false">0</f>
        <v>0</v>
      </c>
      <c r="AR303" s="8" t="n">
        <f aca="false">0</f>
        <v>0</v>
      </c>
      <c r="AS303" s="8" t="n">
        <f aca="false">0</f>
        <v>0</v>
      </c>
    </row>
    <row r="305" customFormat="false" ht="15" hidden="false" customHeight="false" outlineLevel="0" collapsed="false">
      <c r="A305" s="54" t="str">
        <f aca="false">VST_Assets!$A$11</f>
        <v>Coal - ERCOT (Martin Lake, Oak Grove, Coleto Creek)</v>
      </c>
    </row>
    <row r="306" customFormat="false" ht="15" hidden="false" customHeight="false" outlineLevel="0" collapsed="false">
      <c r="A306" s="6" t="s">
        <v>425</v>
      </c>
      <c r="B306" s="6" t="s">
        <v>426</v>
      </c>
      <c r="G306" s="47" t="n">
        <f aca="false">IF(AND(G$3&gt;=VST_Assets!$E$11,G$3&lt;=VST_Assets!$F$11,VST_Assets!$H$11="Cashflow"),1,0)</f>
        <v>1</v>
      </c>
      <c r="H306" s="47" t="n">
        <f aca="false">IF(AND(H$3&gt;=VST_Assets!$E$11,H$3&lt;=VST_Assets!$F$11,VST_Assets!$H$11="Cashflow"),1,0)</f>
        <v>1</v>
      </c>
      <c r="I306" s="47" t="n">
        <f aca="false">IF(AND(I$3&gt;=VST_Assets!$E$11,I$3&lt;=VST_Assets!$F$11,VST_Assets!$H$11="Cashflow"),1,0)</f>
        <v>1</v>
      </c>
      <c r="J306" s="47" t="n">
        <f aca="false">IF(AND(J$3&gt;=VST_Assets!$E$11,J$3&lt;=VST_Assets!$F$11,VST_Assets!$H$11="Cashflow"),1,0)</f>
        <v>1</v>
      </c>
      <c r="K306" s="47" t="n">
        <f aca="false">IF(AND(K$3&gt;=VST_Assets!$E$11,K$3&lt;=VST_Assets!$F$11,VST_Assets!$H$11="Cashflow"),1,0)</f>
        <v>1</v>
      </c>
      <c r="L306" s="47" t="n">
        <f aca="false">IF(AND(L$3&gt;=VST_Assets!$E$11,L$3&lt;=VST_Assets!$F$11,VST_Assets!$H$11="Cashflow"),1,0)</f>
        <v>1</v>
      </c>
      <c r="M306" s="47" t="n">
        <f aca="false">IF(AND(M$3&gt;=VST_Assets!$E$11,M$3&lt;=VST_Assets!$F$11,VST_Assets!$H$11="Cashflow"),1,0)</f>
        <v>1</v>
      </c>
      <c r="N306" s="47" t="n">
        <f aca="false">IF(AND(N$3&gt;=VST_Assets!$E$11,N$3&lt;=VST_Assets!$F$11,VST_Assets!$H$11="Cashflow"),1,0)</f>
        <v>1</v>
      </c>
      <c r="O306" s="47" t="n">
        <f aca="false">IF(AND(O$3&gt;=VST_Assets!$E$11,O$3&lt;=VST_Assets!$F$11,VST_Assets!$H$11="Cashflow"),1,0)</f>
        <v>1</v>
      </c>
      <c r="P306" s="47" t="n">
        <f aca="false">IF(AND(P$3&gt;=VST_Assets!$E$11,P$3&lt;=VST_Assets!$F$11,VST_Assets!$H$11="Cashflow"),1,0)</f>
        <v>0</v>
      </c>
      <c r="Q306" s="47" t="n">
        <f aca="false">IF(AND(Q$3&gt;=VST_Assets!$E$11,Q$3&lt;=VST_Assets!$F$11,VST_Assets!$H$11="Cashflow"),1,0)</f>
        <v>0</v>
      </c>
      <c r="R306" s="47" t="n">
        <f aca="false">IF(AND(R$3&gt;=VST_Assets!$E$11,R$3&lt;=VST_Assets!$F$11,VST_Assets!$H$11="Cashflow"),1,0)</f>
        <v>0</v>
      </c>
      <c r="S306" s="47" t="n">
        <f aca="false">IF(AND(S$3&gt;=VST_Assets!$E$11,S$3&lt;=VST_Assets!$F$11,VST_Assets!$H$11="Cashflow"),1,0)</f>
        <v>0</v>
      </c>
      <c r="T306" s="47" t="n">
        <f aca="false">IF(AND(T$3&gt;=VST_Assets!$E$11,T$3&lt;=VST_Assets!$F$11,VST_Assets!$H$11="Cashflow"),1,0)</f>
        <v>0</v>
      </c>
      <c r="U306" s="47" t="n">
        <f aca="false">IF(AND(U$3&gt;=VST_Assets!$E$11,U$3&lt;=VST_Assets!$F$11,VST_Assets!$H$11="Cashflow"),1,0)</f>
        <v>0</v>
      </c>
      <c r="V306" s="47" t="n">
        <f aca="false">IF(AND(V$3&gt;=VST_Assets!$E$11,V$3&lt;=VST_Assets!$F$11,VST_Assets!$H$11="Cashflow"),1,0)</f>
        <v>0</v>
      </c>
      <c r="W306" s="47" t="n">
        <f aca="false">IF(AND(W$3&gt;=VST_Assets!$E$11,W$3&lt;=VST_Assets!$F$11,VST_Assets!$H$11="Cashflow"),1,0)</f>
        <v>0</v>
      </c>
      <c r="X306" s="47" t="n">
        <f aca="false">IF(AND(X$3&gt;=VST_Assets!$E$11,X$3&lt;=VST_Assets!$F$11,VST_Assets!$H$11="Cashflow"),1,0)</f>
        <v>0</v>
      </c>
      <c r="Y306" s="47" t="n">
        <f aca="false">IF(AND(Y$3&gt;=VST_Assets!$E$11,Y$3&lt;=VST_Assets!$F$11,VST_Assets!$H$11="Cashflow"),1,0)</f>
        <v>0</v>
      </c>
      <c r="Z306" s="47" t="n">
        <f aca="false">IF(AND(Z$3&gt;=VST_Assets!$E$11,Z$3&lt;=VST_Assets!$F$11,VST_Assets!$H$11="Cashflow"),1,0)</f>
        <v>0</v>
      </c>
      <c r="AA306" s="47" t="n">
        <f aca="false">IF(AND(AA$3&gt;=VST_Assets!$E$11,AA$3&lt;=VST_Assets!$F$11,VST_Assets!$H$11="Cashflow"),1,0)</f>
        <v>0</v>
      </c>
      <c r="AB306" s="47" t="n">
        <f aca="false">IF(AND(AB$3&gt;=VST_Assets!$E$11,AB$3&lt;=VST_Assets!$F$11,VST_Assets!$H$11="Cashflow"),1,0)</f>
        <v>0</v>
      </c>
      <c r="AC306" s="47" t="n">
        <f aca="false">IF(AND(AC$3&gt;=VST_Assets!$E$11,AC$3&lt;=VST_Assets!$F$11,VST_Assets!$H$11="Cashflow"),1,0)</f>
        <v>0</v>
      </c>
      <c r="AD306" s="47" t="n">
        <f aca="false">IF(AND(AD$3&gt;=VST_Assets!$E$11,AD$3&lt;=VST_Assets!$F$11,VST_Assets!$H$11="Cashflow"),1,0)</f>
        <v>0</v>
      </c>
      <c r="AE306" s="47" t="n">
        <f aca="false">IF(AND(AE$3&gt;=VST_Assets!$E$11,AE$3&lt;=VST_Assets!$F$11,VST_Assets!$H$11="Cashflow"),1,0)</f>
        <v>0</v>
      </c>
      <c r="AF306" s="47" t="n">
        <f aca="false">IF(AND(AF$3&gt;=VST_Assets!$E$11,AF$3&lt;=VST_Assets!$F$11,VST_Assets!$H$11="Cashflow"),1,0)</f>
        <v>0</v>
      </c>
      <c r="AG306" s="47" t="n">
        <f aca="false">IF(AND(AG$3&gt;=VST_Assets!$E$11,AG$3&lt;=VST_Assets!$F$11,VST_Assets!$H$11="Cashflow"),1,0)</f>
        <v>0</v>
      </c>
      <c r="AH306" s="47" t="n">
        <f aca="false">IF(AND(AH$3&gt;=VST_Assets!$E$11,AH$3&lt;=VST_Assets!$F$11,VST_Assets!$H$11="Cashflow"),1,0)</f>
        <v>0</v>
      </c>
      <c r="AI306" s="47" t="n">
        <f aca="false">IF(AND(AI$3&gt;=VST_Assets!$E$11,AI$3&lt;=VST_Assets!$F$11,VST_Assets!$H$11="Cashflow"),1,0)</f>
        <v>0</v>
      </c>
      <c r="AJ306" s="47" t="n">
        <f aca="false">IF(AND(AJ$3&gt;=VST_Assets!$E$11,AJ$3&lt;=VST_Assets!$F$11,VST_Assets!$H$11="Cashflow"),1,0)</f>
        <v>0</v>
      </c>
      <c r="AK306" s="47" t="n">
        <f aca="false">IF(AND(AK$3&gt;=VST_Assets!$E$11,AK$3&lt;=VST_Assets!$F$11,VST_Assets!$H$11="Cashflow"),1,0)</f>
        <v>0</v>
      </c>
      <c r="AL306" s="47" t="n">
        <f aca="false">IF(AND(AL$3&gt;=VST_Assets!$E$11,AL$3&lt;=VST_Assets!$F$11,VST_Assets!$H$11="Cashflow"),1,0)</f>
        <v>0</v>
      </c>
      <c r="AM306" s="47" t="n">
        <f aca="false">IF(AND(AM$3&gt;=VST_Assets!$E$11,AM$3&lt;=VST_Assets!$F$11,VST_Assets!$H$11="Cashflow"),1,0)</f>
        <v>0</v>
      </c>
      <c r="AN306" s="47" t="n">
        <f aca="false">IF(AND(AN$3&gt;=VST_Assets!$E$11,AN$3&lt;=VST_Assets!$F$11,VST_Assets!$H$11="Cashflow"),1,0)</f>
        <v>0</v>
      </c>
      <c r="AO306" s="47" t="n">
        <f aca="false">IF(AND(AO$3&gt;=VST_Assets!$E$11,AO$3&lt;=VST_Assets!$F$11,VST_Assets!$H$11="Cashflow"),1,0)</f>
        <v>0</v>
      </c>
      <c r="AP306" s="47" t="n">
        <f aca="false">IF(AND(AP$3&gt;=VST_Assets!$E$11,AP$3&lt;=VST_Assets!$F$11,VST_Assets!$H$11="Cashflow"),1,0)</f>
        <v>0</v>
      </c>
      <c r="AQ306" s="47" t="n">
        <f aca="false">IF(AND(AQ$3&gt;=VST_Assets!$E$11,AQ$3&lt;=VST_Assets!$F$11,VST_Assets!$H$11="Cashflow"),1,0)</f>
        <v>0</v>
      </c>
      <c r="AR306" s="47" t="n">
        <f aca="false">IF(AND(AR$3&gt;=VST_Assets!$E$11,AR$3&lt;=VST_Assets!$F$11,VST_Assets!$H$11="Cashflow"),1,0)</f>
        <v>0</v>
      </c>
      <c r="AS306" s="47" t="n">
        <f aca="false">IF(AND(AS$3&gt;=VST_Assets!$E$11,AS$3&lt;=VST_Assets!$F$11,VST_Assets!$H$11="Cashflow"),1,0)</f>
        <v>0</v>
      </c>
    </row>
    <row r="307" customFormat="false" ht="15" hidden="false" customHeight="false" outlineLevel="0" collapsed="false">
      <c r="A307" s="6" t="s">
        <v>427</v>
      </c>
      <c r="B307" s="6" t="s">
        <v>428</v>
      </c>
      <c r="G307" s="9" t="n">
        <f aca="false">IF(AND(G$3&gt;=VST_Assets!$AA$11,G$3&lt;=VST_Assets!$AB$11),MIN(VST_Assets!$D$11,VST_Assets!$Z$11*MIN(1,(G$3-VST_Assets!$AA$11+1)/MAX(1,VST_Assets!$AC$11))),0)*G306</f>
        <v>0</v>
      </c>
      <c r="H307" s="9" t="n">
        <f aca="false">IF(AND(H$3&gt;=VST_Assets!$AA$11,H$3&lt;=VST_Assets!$AB$11),MIN(VST_Assets!$D$11,VST_Assets!$Z$11*MIN(1,(H$3-VST_Assets!$AA$11+1)/MAX(1,VST_Assets!$AC$11))),0)*H306</f>
        <v>0</v>
      </c>
      <c r="I307" s="9" t="n">
        <f aca="false">IF(AND(I$3&gt;=VST_Assets!$AA$11,I$3&lt;=VST_Assets!$AB$11),MIN(VST_Assets!$D$11,VST_Assets!$Z$11*MIN(1,(I$3-VST_Assets!$AA$11+1)/MAX(1,VST_Assets!$AC$11))),0)*I306</f>
        <v>0</v>
      </c>
      <c r="J307" s="9" t="n">
        <f aca="false">IF(AND(J$3&gt;=VST_Assets!$AA$11,J$3&lt;=VST_Assets!$AB$11),MIN(VST_Assets!$D$11,VST_Assets!$Z$11*MIN(1,(J$3-VST_Assets!$AA$11+1)/MAX(1,VST_Assets!$AC$11))),0)*J306</f>
        <v>0</v>
      </c>
      <c r="K307" s="9" t="n">
        <f aca="false">IF(AND(K$3&gt;=VST_Assets!$AA$11,K$3&lt;=VST_Assets!$AB$11),MIN(VST_Assets!$D$11,VST_Assets!$Z$11*MIN(1,(K$3-VST_Assets!$AA$11+1)/MAX(1,VST_Assets!$AC$11))),0)*K306</f>
        <v>0</v>
      </c>
      <c r="L307" s="9" t="n">
        <f aca="false">IF(AND(L$3&gt;=VST_Assets!$AA$11,L$3&lt;=VST_Assets!$AB$11),MIN(VST_Assets!$D$11,VST_Assets!$Z$11*MIN(1,(L$3-VST_Assets!$AA$11+1)/MAX(1,VST_Assets!$AC$11))),0)*L306</f>
        <v>0</v>
      </c>
      <c r="M307" s="9" t="n">
        <f aca="false">IF(AND(M$3&gt;=VST_Assets!$AA$11,M$3&lt;=VST_Assets!$AB$11),MIN(VST_Assets!$D$11,VST_Assets!$Z$11*MIN(1,(M$3-VST_Assets!$AA$11+1)/MAX(1,VST_Assets!$AC$11))),0)*M306</f>
        <v>0</v>
      </c>
      <c r="N307" s="9" t="n">
        <f aca="false">IF(AND(N$3&gt;=VST_Assets!$AA$11,N$3&lt;=VST_Assets!$AB$11),MIN(VST_Assets!$D$11,VST_Assets!$Z$11*MIN(1,(N$3-VST_Assets!$AA$11+1)/MAX(1,VST_Assets!$AC$11))),0)*N306</f>
        <v>0</v>
      </c>
      <c r="O307" s="9" t="n">
        <f aca="false">IF(AND(O$3&gt;=VST_Assets!$AA$11,O$3&lt;=VST_Assets!$AB$11),MIN(VST_Assets!$D$11,VST_Assets!$Z$11*MIN(1,(O$3-VST_Assets!$AA$11+1)/MAX(1,VST_Assets!$AC$11))),0)*O306</f>
        <v>0</v>
      </c>
      <c r="P307" s="9" t="n">
        <f aca="false">IF(AND(P$3&gt;=VST_Assets!$AA$11,P$3&lt;=VST_Assets!$AB$11),MIN(VST_Assets!$D$11,VST_Assets!$Z$11*MIN(1,(P$3-VST_Assets!$AA$11+1)/MAX(1,VST_Assets!$AC$11))),0)*P306</f>
        <v>0</v>
      </c>
      <c r="Q307" s="9" t="n">
        <f aca="false">IF(AND(Q$3&gt;=VST_Assets!$AA$11,Q$3&lt;=VST_Assets!$AB$11),MIN(VST_Assets!$D$11,VST_Assets!$Z$11*MIN(1,(Q$3-VST_Assets!$AA$11+1)/MAX(1,VST_Assets!$AC$11))),0)*Q306</f>
        <v>0</v>
      </c>
      <c r="R307" s="9" t="n">
        <f aca="false">IF(AND(R$3&gt;=VST_Assets!$AA$11,R$3&lt;=VST_Assets!$AB$11),MIN(VST_Assets!$D$11,VST_Assets!$Z$11*MIN(1,(R$3-VST_Assets!$AA$11+1)/MAX(1,VST_Assets!$AC$11))),0)*R306</f>
        <v>0</v>
      </c>
      <c r="S307" s="9" t="n">
        <f aca="false">IF(AND(S$3&gt;=VST_Assets!$AA$11,S$3&lt;=VST_Assets!$AB$11),MIN(VST_Assets!$D$11,VST_Assets!$Z$11*MIN(1,(S$3-VST_Assets!$AA$11+1)/MAX(1,VST_Assets!$AC$11))),0)*S306</f>
        <v>0</v>
      </c>
      <c r="T307" s="9" t="n">
        <f aca="false">IF(AND(T$3&gt;=VST_Assets!$AA$11,T$3&lt;=VST_Assets!$AB$11),MIN(VST_Assets!$D$11,VST_Assets!$Z$11*MIN(1,(T$3-VST_Assets!$AA$11+1)/MAX(1,VST_Assets!$AC$11))),0)*T306</f>
        <v>0</v>
      </c>
      <c r="U307" s="9" t="n">
        <f aca="false">IF(AND(U$3&gt;=VST_Assets!$AA$11,U$3&lt;=VST_Assets!$AB$11),MIN(VST_Assets!$D$11,VST_Assets!$Z$11*MIN(1,(U$3-VST_Assets!$AA$11+1)/MAX(1,VST_Assets!$AC$11))),0)*U306</f>
        <v>0</v>
      </c>
      <c r="V307" s="9" t="n">
        <f aca="false">IF(AND(V$3&gt;=VST_Assets!$AA$11,V$3&lt;=VST_Assets!$AB$11),MIN(VST_Assets!$D$11,VST_Assets!$Z$11*MIN(1,(V$3-VST_Assets!$AA$11+1)/MAX(1,VST_Assets!$AC$11))),0)*V306</f>
        <v>0</v>
      </c>
      <c r="W307" s="9" t="n">
        <f aca="false">IF(AND(W$3&gt;=VST_Assets!$AA$11,W$3&lt;=VST_Assets!$AB$11),MIN(VST_Assets!$D$11,VST_Assets!$Z$11*MIN(1,(W$3-VST_Assets!$AA$11+1)/MAX(1,VST_Assets!$AC$11))),0)*W306</f>
        <v>0</v>
      </c>
      <c r="X307" s="9" t="n">
        <f aca="false">IF(AND(X$3&gt;=VST_Assets!$AA$11,X$3&lt;=VST_Assets!$AB$11),MIN(VST_Assets!$D$11,VST_Assets!$Z$11*MIN(1,(X$3-VST_Assets!$AA$11+1)/MAX(1,VST_Assets!$AC$11))),0)*X306</f>
        <v>0</v>
      </c>
      <c r="Y307" s="9" t="n">
        <f aca="false">IF(AND(Y$3&gt;=VST_Assets!$AA$11,Y$3&lt;=VST_Assets!$AB$11),MIN(VST_Assets!$D$11,VST_Assets!$Z$11*MIN(1,(Y$3-VST_Assets!$AA$11+1)/MAX(1,VST_Assets!$AC$11))),0)*Y306</f>
        <v>0</v>
      </c>
      <c r="Z307" s="9" t="n">
        <f aca="false">IF(AND(Z$3&gt;=VST_Assets!$AA$11,Z$3&lt;=VST_Assets!$AB$11),MIN(VST_Assets!$D$11,VST_Assets!$Z$11*MIN(1,(Z$3-VST_Assets!$AA$11+1)/MAX(1,VST_Assets!$AC$11))),0)*Z306</f>
        <v>0</v>
      </c>
      <c r="AA307" s="9" t="n">
        <f aca="false">IF(AND(AA$3&gt;=VST_Assets!$AA$11,AA$3&lt;=VST_Assets!$AB$11),MIN(VST_Assets!$D$11,VST_Assets!$Z$11*MIN(1,(AA$3-VST_Assets!$AA$11+1)/MAX(1,VST_Assets!$AC$11))),0)*AA306</f>
        <v>0</v>
      </c>
      <c r="AB307" s="9" t="n">
        <f aca="false">IF(AND(AB$3&gt;=VST_Assets!$AA$11,AB$3&lt;=VST_Assets!$AB$11),MIN(VST_Assets!$D$11,VST_Assets!$Z$11*MIN(1,(AB$3-VST_Assets!$AA$11+1)/MAX(1,VST_Assets!$AC$11))),0)*AB306</f>
        <v>0</v>
      </c>
      <c r="AC307" s="9" t="n">
        <f aca="false">IF(AND(AC$3&gt;=VST_Assets!$AA$11,AC$3&lt;=VST_Assets!$AB$11),MIN(VST_Assets!$D$11,VST_Assets!$Z$11*MIN(1,(AC$3-VST_Assets!$AA$11+1)/MAX(1,VST_Assets!$AC$11))),0)*AC306</f>
        <v>0</v>
      </c>
      <c r="AD307" s="9" t="n">
        <f aca="false">IF(AND(AD$3&gt;=VST_Assets!$AA$11,AD$3&lt;=VST_Assets!$AB$11),MIN(VST_Assets!$D$11,VST_Assets!$Z$11*MIN(1,(AD$3-VST_Assets!$AA$11+1)/MAX(1,VST_Assets!$AC$11))),0)*AD306</f>
        <v>0</v>
      </c>
      <c r="AE307" s="9" t="n">
        <f aca="false">IF(AND(AE$3&gt;=VST_Assets!$AA$11,AE$3&lt;=VST_Assets!$AB$11),MIN(VST_Assets!$D$11,VST_Assets!$Z$11*MIN(1,(AE$3-VST_Assets!$AA$11+1)/MAX(1,VST_Assets!$AC$11))),0)*AE306</f>
        <v>0</v>
      </c>
      <c r="AF307" s="9" t="n">
        <f aca="false">IF(AND(AF$3&gt;=VST_Assets!$AA$11,AF$3&lt;=VST_Assets!$AB$11),MIN(VST_Assets!$D$11,VST_Assets!$Z$11*MIN(1,(AF$3-VST_Assets!$AA$11+1)/MAX(1,VST_Assets!$AC$11))),0)*AF306</f>
        <v>0</v>
      </c>
      <c r="AG307" s="9" t="n">
        <f aca="false">IF(AND(AG$3&gt;=VST_Assets!$AA$11,AG$3&lt;=VST_Assets!$AB$11),MIN(VST_Assets!$D$11,VST_Assets!$Z$11*MIN(1,(AG$3-VST_Assets!$AA$11+1)/MAX(1,VST_Assets!$AC$11))),0)*AG306</f>
        <v>0</v>
      </c>
      <c r="AH307" s="9" t="n">
        <f aca="false">IF(AND(AH$3&gt;=VST_Assets!$AA$11,AH$3&lt;=VST_Assets!$AB$11),MIN(VST_Assets!$D$11,VST_Assets!$Z$11*MIN(1,(AH$3-VST_Assets!$AA$11+1)/MAX(1,VST_Assets!$AC$11))),0)*AH306</f>
        <v>0</v>
      </c>
      <c r="AI307" s="9" t="n">
        <f aca="false">IF(AND(AI$3&gt;=VST_Assets!$AA$11,AI$3&lt;=VST_Assets!$AB$11),MIN(VST_Assets!$D$11,VST_Assets!$Z$11*MIN(1,(AI$3-VST_Assets!$AA$11+1)/MAX(1,VST_Assets!$AC$11))),0)*AI306</f>
        <v>0</v>
      </c>
      <c r="AJ307" s="9" t="n">
        <f aca="false">IF(AND(AJ$3&gt;=VST_Assets!$AA$11,AJ$3&lt;=VST_Assets!$AB$11),MIN(VST_Assets!$D$11,VST_Assets!$Z$11*MIN(1,(AJ$3-VST_Assets!$AA$11+1)/MAX(1,VST_Assets!$AC$11))),0)*AJ306</f>
        <v>0</v>
      </c>
      <c r="AK307" s="9" t="n">
        <f aca="false">IF(AND(AK$3&gt;=VST_Assets!$AA$11,AK$3&lt;=VST_Assets!$AB$11),MIN(VST_Assets!$D$11,VST_Assets!$Z$11*MIN(1,(AK$3-VST_Assets!$AA$11+1)/MAX(1,VST_Assets!$AC$11))),0)*AK306</f>
        <v>0</v>
      </c>
      <c r="AL307" s="9" t="n">
        <f aca="false">IF(AND(AL$3&gt;=VST_Assets!$AA$11,AL$3&lt;=VST_Assets!$AB$11),MIN(VST_Assets!$D$11,VST_Assets!$Z$11*MIN(1,(AL$3-VST_Assets!$AA$11+1)/MAX(1,VST_Assets!$AC$11))),0)*AL306</f>
        <v>0</v>
      </c>
      <c r="AM307" s="9" t="n">
        <f aca="false">IF(AND(AM$3&gt;=VST_Assets!$AA$11,AM$3&lt;=VST_Assets!$AB$11),MIN(VST_Assets!$D$11,VST_Assets!$Z$11*MIN(1,(AM$3-VST_Assets!$AA$11+1)/MAX(1,VST_Assets!$AC$11))),0)*AM306</f>
        <v>0</v>
      </c>
      <c r="AN307" s="9" t="n">
        <f aca="false">IF(AND(AN$3&gt;=VST_Assets!$AA$11,AN$3&lt;=VST_Assets!$AB$11),MIN(VST_Assets!$D$11,VST_Assets!$Z$11*MIN(1,(AN$3-VST_Assets!$AA$11+1)/MAX(1,VST_Assets!$AC$11))),0)*AN306</f>
        <v>0</v>
      </c>
      <c r="AO307" s="9" t="n">
        <f aca="false">IF(AND(AO$3&gt;=VST_Assets!$AA$11,AO$3&lt;=VST_Assets!$AB$11),MIN(VST_Assets!$D$11,VST_Assets!$Z$11*MIN(1,(AO$3-VST_Assets!$AA$11+1)/MAX(1,VST_Assets!$AC$11))),0)*AO306</f>
        <v>0</v>
      </c>
      <c r="AP307" s="9" t="n">
        <f aca="false">IF(AND(AP$3&gt;=VST_Assets!$AA$11,AP$3&lt;=VST_Assets!$AB$11),MIN(VST_Assets!$D$11,VST_Assets!$Z$11*MIN(1,(AP$3-VST_Assets!$AA$11+1)/MAX(1,VST_Assets!$AC$11))),0)*AP306</f>
        <v>0</v>
      </c>
      <c r="AQ307" s="9" t="n">
        <f aca="false">IF(AND(AQ$3&gt;=VST_Assets!$AA$11,AQ$3&lt;=VST_Assets!$AB$11),MIN(VST_Assets!$D$11,VST_Assets!$Z$11*MIN(1,(AQ$3-VST_Assets!$AA$11+1)/MAX(1,VST_Assets!$AC$11))),0)*AQ306</f>
        <v>0</v>
      </c>
      <c r="AR307" s="9" t="n">
        <f aca="false">IF(AND(AR$3&gt;=VST_Assets!$AA$11,AR$3&lt;=VST_Assets!$AB$11),MIN(VST_Assets!$D$11,VST_Assets!$Z$11*MIN(1,(AR$3-VST_Assets!$AA$11+1)/MAX(1,VST_Assets!$AC$11))),0)*AR306</f>
        <v>0</v>
      </c>
      <c r="AS307" s="9" t="n">
        <f aca="false">IF(AND(AS$3&gt;=VST_Assets!$AA$11,AS$3&lt;=VST_Assets!$AB$11),MIN(VST_Assets!$D$11,VST_Assets!$Z$11*MIN(1,(AS$3-VST_Assets!$AA$11+1)/MAX(1,VST_Assets!$AC$11))),0)*AS306</f>
        <v>0</v>
      </c>
    </row>
    <row r="308" customFormat="false" ht="15" hidden="false" customHeight="false" outlineLevel="0" collapsed="false">
      <c r="A308" s="6" t="s">
        <v>429</v>
      </c>
      <c r="B308" s="6" t="s">
        <v>430</v>
      </c>
      <c r="G308" s="9" t="n">
        <f aca="false">(VST_Assets!$D$11-G307)*8760*VST_Assets!$I$11*G306</f>
        <v>19710000</v>
      </c>
      <c r="H308" s="9" t="n">
        <f aca="false">(VST_Assets!$D$11-H307)*8760*VST_Assets!$I$11*H306</f>
        <v>19710000</v>
      </c>
      <c r="I308" s="9" t="n">
        <f aca="false">(VST_Assets!$D$11-I307)*8760*VST_Assets!$I$11*I306</f>
        <v>19710000</v>
      </c>
      <c r="J308" s="9" t="n">
        <f aca="false">(VST_Assets!$D$11-J307)*8760*VST_Assets!$I$11*J306</f>
        <v>19710000</v>
      </c>
      <c r="K308" s="9" t="n">
        <f aca="false">(VST_Assets!$D$11-K307)*8760*VST_Assets!$I$11*K306</f>
        <v>19710000</v>
      </c>
      <c r="L308" s="9" t="n">
        <f aca="false">(VST_Assets!$D$11-L307)*8760*VST_Assets!$I$11*L306</f>
        <v>19710000</v>
      </c>
      <c r="M308" s="9" t="n">
        <f aca="false">(VST_Assets!$D$11-M307)*8760*VST_Assets!$I$11*M306</f>
        <v>19710000</v>
      </c>
      <c r="N308" s="9" t="n">
        <f aca="false">(VST_Assets!$D$11-N307)*8760*VST_Assets!$I$11*N306</f>
        <v>19710000</v>
      </c>
      <c r="O308" s="9" t="n">
        <f aca="false">(VST_Assets!$D$11-O307)*8760*VST_Assets!$I$11*O306</f>
        <v>19710000</v>
      </c>
      <c r="P308" s="9" t="n">
        <f aca="false">(VST_Assets!$D$11-P307)*8760*VST_Assets!$I$11*P306</f>
        <v>0</v>
      </c>
      <c r="Q308" s="9" t="n">
        <f aca="false">(VST_Assets!$D$11-Q307)*8760*VST_Assets!$I$11*Q306</f>
        <v>0</v>
      </c>
      <c r="R308" s="9" t="n">
        <f aca="false">(VST_Assets!$D$11-R307)*8760*VST_Assets!$I$11*R306</f>
        <v>0</v>
      </c>
      <c r="S308" s="9" t="n">
        <f aca="false">(VST_Assets!$D$11-S307)*8760*VST_Assets!$I$11*S306</f>
        <v>0</v>
      </c>
      <c r="T308" s="9" t="n">
        <f aca="false">(VST_Assets!$D$11-T307)*8760*VST_Assets!$I$11*T306</f>
        <v>0</v>
      </c>
      <c r="U308" s="9" t="n">
        <f aca="false">(VST_Assets!$D$11-U307)*8760*VST_Assets!$I$11*U306</f>
        <v>0</v>
      </c>
      <c r="V308" s="9" t="n">
        <f aca="false">(VST_Assets!$D$11-V307)*8760*VST_Assets!$I$11*V306</f>
        <v>0</v>
      </c>
      <c r="W308" s="9" t="n">
        <f aca="false">(VST_Assets!$D$11-W307)*8760*VST_Assets!$I$11*W306</f>
        <v>0</v>
      </c>
      <c r="X308" s="9" t="n">
        <f aca="false">(VST_Assets!$D$11-X307)*8760*VST_Assets!$I$11*X306</f>
        <v>0</v>
      </c>
      <c r="Y308" s="9" t="n">
        <f aca="false">(VST_Assets!$D$11-Y307)*8760*VST_Assets!$I$11*Y306</f>
        <v>0</v>
      </c>
      <c r="Z308" s="9" t="n">
        <f aca="false">(VST_Assets!$D$11-Z307)*8760*VST_Assets!$I$11*Z306</f>
        <v>0</v>
      </c>
      <c r="AA308" s="9" t="n">
        <f aca="false">(VST_Assets!$D$11-AA307)*8760*VST_Assets!$I$11*AA306</f>
        <v>0</v>
      </c>
      <c r="AB308" s="9" t="n">
        <f aca="false">(VST_Assets!$D$11-AB307)*8760*VST_Assets!$I$11*AB306</f>
        <v>0</v>
      </c>
      <c r="AC308" s="9" t="n">
        <f aca="false">(VST_Assets!$D$11-AC307)*8760*VST_Assets!$I$11*AC306</f>
        <v>0</v>
      </c>
      <c r="AD308" s="9" t="n">
        <f aca="false">(VST_Assets!$D$11-AD307)*8760*VST_Assets!$I$11*AD306</f>
        <v>0</v>
      </c>
      <c r="AE308" s="9" t="n">
        <f aca="false">(VST_Assets!$D$11-AE307)*8760*VST_Assets!$I$11*AE306</f>
        <v>0</v>
      </c>
      <c r="AF308" s="9" t="n">
        <f aca="false">(VST_Assets!$D$11-AF307)*8760*VST_Assets!$I$11*AF306</f>
        <v>0</v>
      </c>
      <c r="AG308" s="9" t="n">
        <f aca="false">(VST_Assets!$D$11-AG307)*8760*VST_Assets!$I$11*AG306</f>
        <v>0</v>
      </c>
      <c r="AH308" s="9" t="n">
        <f aca="false">(VST_Assets!$D$11-AH307)*8760*VST_Assets!$I$11*AH306</f>
        <v>0</v>
      </c>
      <c r="AI308" s="9" t="n">
        <f aca="false">(VST_Assets!$D$11-AI307)*8760*VST_Assets!$I$11*AI306</f>
        <v>0</v>
      </c>
      <c r="AJ308" s="9" t="n">
        <f aca="false">(VST_Assets!$D$11-AJ307)*8760*VST_Assets!$I$11*AJ306</f>
        <v>0</v>
      </c>
      <c r="AK308" s="9" t="n">
        <f aca="false">(VST_Assets!$D$11-AK307)*8760*VST_Assets!$I$11*AK306</f>
        <v>0</v>
      </c>
      <c r="AL308" s="9" t="n">
        <f aca="false">(VST_Assets!$D$11-AL307)*8760*VST_Assets!$I$11*AL306</f>
        <v>0</v>
      </c>
      <c r="AM308" s="9" t="n">
        <f aca="false">(VST_Assets!$D$11-AM307)*8760*VST_Assets!$I$11*AM306</f>
        <v>0</v>
      </c>
      <c r="AN308" s="9" t="n">
        <f aca="false">(VST_Assets!$D$11-AN307)*8760*VST_Assets!$I$11*AN306</f>
        <v>0</v>
      </c>
      <c r="AO308" s="9" t="n">
        <f aca="false">(VST_Assets!$D$11-AO307)*8760*VST_Assets!$I$11*AO306</f>
        <v>0</v>
      </c>
      <c r="AP308" s="9" t="n">
        <f aca="false">(VST_Assets!$D$11-AP307)*8760*VST_Assets!$I$11*AP306</f>
        <v>0</v>
      </c>
      <c r="AQ308" s="9" t="n">
        <f aca="false">(VST_Assets!$D$11-AQ307)*8760*VST_Assets!$I$11*AQ306</f>
        <v>0</v>
      </c>
      <c r="AR308" s="9" t="n">
        <f aca="false">(VST_Assets!$D$11-AR307)*8760*VST_Assets!$I$11*AR306</f>
        <v>0</v>
      </c>
      <c r="AS308" s="9" t="n">
        <f aca="false">(VST_Assets!$D$11-AS307)*8760*VST_Assets!$I$11*AS306</f>
        <v>0</v>
      </c>
    </row>
    <row r="309" customFormat="false" ht="15" hidden="false" customHeight="false" outlineLevel="0" collapsed="false">
      <c r="A309" s="6" t="s">
        <v>431</v>
      </c>
      <c r="B309" s="6" t="s">
        <v>432</v>
      </c>
      <c r="G309" s="9" t="n">
        <f aca="false">G307*8760*VST_Assets!$I$11*G306</f>
        <v>0</v>
      </c>
      <c r="H309" s="9" t="n">
        <f aca="false">H307*8760*VST_Assets!$I$11*H306</f>
        <v>0</v>
      </c>
      <c r="I309" s="9" t="n">
        <f aca="false">I307*8760*VST_Assets!$I$11*I306</f>
        <v>0</v>
      </c>
      <c r="J309" s="9" t="n">
        <f aca="false">J307*8760*VST_Assets!$I$11*J306</f>
        <v>0</v>
      </c>
      <c r="K309" s="9" t="n">
        <f aca="false">K307*8760*VST_Assets!$I$11*K306</f>
        <v>0</v>
      </c>
      <c r="L309" s="9" t="n">
        <f aca="false">L307*8760*VST_Assets!$I$11*L306</f>
        <v>0</v>
      </c>
      <c r="M309" s="9" t="n">
        <f aca="false">M307*8760*VST_Assets!$I$11*M306</f>
        <v>0</v>
      </c>
      <c r="N309" s="9" t="n">
        <f aca="false">N307*8760*VST_Assets!$I$11*N306</f>
        <v>0</v>
      </c>
      <c r="O309" s="9" t="n">
        <f aca="false">O307*8760*VST_Assets!$I$11*O306</f>
        <v>0</v>
      </c>
      <c r="P309" s="9" t="n">
        <f aca="false">P307*8760*VST_Assets!$I$11*P306</f>
        <v>0</v>
      </c>
      <c r="Q309" s="9" t="n">
        <f aca="false">Q307*8760*VST_Assets!$I$11*Q306</f>
        <v>0</v>
      </c>
      <c r="R309" s="9" t="n">
        <f aca="false">R307*8760*VST_Assets!$I$11*R306</f>
        <v>0</v>
      </c>
      <c r="S309" s="9" t="n">
        <f aca="false">S307*8760*VST_Assets!$I$11*S306</f>
        <v>0</v>
      </c>
      <c r="T309" s="9" t="n">
        <f aca="false">T307*8760*VST_Assets!$I$11*T306</f>
        <v>0</v>
      </c>
      <c r="U309" s="9" t="n">
        <f aca="false">U307*8760*VST_Assets!$I$11*U306</f>
        <v>0</v>
      </c>
      <c r="V309" s="9" t="n">
        <f aca="false">V307*8760*VST_Assets!$I$11*V306</f>
        <v>0</v>
      </c>
      <c r="W309" s="9" t="n">
        <f aca="false">W307*8760*VST_Assets!$I$11*W306</f>
        <v>0</v>
      </c>
      <c r="X309" s="9" t="n">
        <f aca="false">X307*8760*VST_Assets!$I$11*X306</f>
        <v>0</v>
      </c>
      <c r="Y309" s="9" t="n">
        <f aca="false">Y307*8760*VST_Assets!$I$11*Y306</f>
        <v>0</v>
      </c>
      <c r="Z309" s="9" t="n">
        <f aca="false">Z307*8760*VST_Assets!$I$11*Z306</f>
        <v>0</v>
      </c>
      <c r="AA309" s="9" t="n">
        <f aca="false">AA307*8760*VST_Assets!$I$11*AA306</f>
        <v>0</v>
      </c>
      <c r="AB309" s="9" t="n">
        <f aca="false">AB307*8760*VST_Assets!$I$11*AB306</f>
        <v>0</v>
      </c>
      <c r="AC309" s="9" t="n">
        <f aca="false">AC307*8760*VST_Assets!$I$11*AC306</f>
        <v>0</v>
      </c>
      <c r="AD309" s="9" t="n">
        <f aca="false">AD307*8760*VST_Assets!$I$11*AD306</f>
        <v>0</v>
      </c>
      <c r="AE309" s="9" t="n">
        <f aca="false">AE307*8760*VST_Assets!$I$11*AE306</f>
        <v>0</v>
      </c>
      <c r="AF309" s="9" t="n">
        <f aca="false">AF307*8760*VST_Assets!$I$11*AF306</f>
        <v>0</v>
      </c>
      <c r="AG309" s="9" t="n">
        <f aca="false">AG307*8760*VST_Assets!$I$11*AG306</f>
        <v>0</v>
      </c>
      <c r="AH309" s="9" t="n">
        <f aca="false">AH307*8760*VST_Assets!$I$11*AH306</f>
        <v>0</v>
      </c>
      <c r="AI309" s="9" t="n">
        <f aca="false">AI307*8760*VST_Assets!$I$11*AI306</f>
        <v>0</v>
      </c>
      <c r="AJ309" s="9" t="n">
        <f aca="false">AJ307*8760*VST_Assets!$I$11*AJ306</f>
        <v>0</v>
      </c>
      <c r="AK309" s="9" t="n">
        <f aca="false">AK307*8760*VST_Assets!$I$11*AK306</f>
        <v>0</v>
      </c>
      <c r="AL309" s="9" t="n">
        <f aca="false">AL307*8760*VST_Assets!$I$11*AL306</f>
        <v>0</v>
      </c>
      <c r="AM309" s="9" t="n">
        <f aca="false">AM307*8760*VST_Assets!$I$11*AM306</f>
        <v>0</v>
      </c>
      <c r="AN309" s="9" t="n">
        <f aca="false">AN307*8760*VST_Assets!$I$11*AN306</f>
        <v>0</v>
      </c>
      <c r="AO309" s="9" t="n">
        <f aca="false">AO307*8760*VST_Assets!$I$11*AO306</f>
        <v>0</v>
      </c>
      <c r="AP309" s="9" t="n">
        <f aca="false">AP307*8760*VST_Assets!$I$11*AP306</f>
        <v>0</v>
      </c>
      <c r="AQ309" s="9" t="n">
        <f aca="false">AQ307*8760*VST_Assets!$I$11*AQ306</f>
        <v>0</v>
      </c>
      <c r="AR309" s="9" t="n">
        <f aca="false">AR307*8760*VST_Assets!$I$11*AR306</f>
        <v>0</v>
      </c>
      <c r="AS309" s="9" t="n">
        <f aca="false">AS307*8760*VST_Assets!$I$11*AS306</f>
        <v>0</v>
      </c>
    </row>
    <row r="310" customFormat="false" ht="15" hidden="false" customHeight="false" outlineLevel="0" collapsed="false">
      <c r="A310" s="6" t="s">
        <v>433</v>
      </c>
      <c r="B310" s="6" t="s">
        <v>434</v>
      </c>
      <c r="G310" s="7" t="n">
        <f aca="false">IF(ISNUMBER(VST_Assets!$L$11),VST_Assets!$L$11*G$4,INDEX(Prices!G:G,VST_Assets!$AO$11)+FuelAdder*G$4)</f>
        <v>2.346</v>
      </c>
      <c r="H310" s="7" t="n">
        <f aca="false">IF(ISNUMBER(VST_Assets!$L$11),VST_Assets!$L$11*H$4,INDEX(Prices!H:H,VST_Assets!$AO$11)+FuelAdder*H$4)</f>
        <v>2.39292</v>
      </c>
      <c r="I310" s="7" t="n">
        <f aca="false">IF(ISNUMBER(VST_Assets!$L$11),VST_Assets!$L$11*I$4,INDEX(Prices!I:I,VST_Assets!$AO$11)+FuelAdder*I$4)</f>
        <v>2.4407784</v>
      </c>
      <c r="J310" s="7" t="n">
        <f aca="false">IF(ISNUMBER(VST_Assets!$L$11),VST_Assets!$L$11*J$4,INDEX(Prices!J:J,VST_Assets!$AO$11)+FuelAdder*J$4)</f>
        <v>2.489593968</v>
      </c>
      <c r="K310" s="7" t="n">
        <f aca="false">IF(ISNUMBER(VST_Assets!$L$11),VST_Assets!$L$11*K$4,INDEX(Prices!K:K,VST_Assets!$AO$11)+FuelAdder*K$4)</f>
        <v>2.53938584736</v>
      </c>
      <c r="L310" s="7" t="n">
        <f aca="false">IF(ISNUMBER(VST_Assets!$L$11),VST_Assets!$L$11*L$4,INDEX(Prices!L:L,VST_Assets!$AO$11)+FuelAdder*L$4)</f>
        <v>2.5901735643072</v>
      </c>
      <c r="M310" s="7" t="n">
        <f aca="false">IF(ISNUMBER(VST_Assets!$L$11),VST_Assets!$L$11*M$4,INDEX(Prices!M:M,VST_Assets!$AO$11)+FuelAdder*M$4)</f>
        <v>2.64197703559334</v>
      </c>
      <c r="N310" s="7" t="n">
        <f aca="false">IF(ISNUMBER(VST_Assets!$L$11),VST_Assets!$L$11*N$4,INDEX(Prices!N:N,VST_Assets!$AO$11)+FuelAdder*N$4)</f>
        <v>2.69481657630521</v>
      </c>
      <c r="O310" s="7" t="n">
        <f aca="false">IF(ISNUMBER(VST_Assets!$L$11),VST_Assets!$L$11*O$4,INDEX(Prices!O:O,VST_Assets!$AO$11)+FuelAdder*O$4)</f>
        <v>2.74871290783132</v>
      </c>
      <c r="P310" s="7" t="n">
        <f aca="false">IF(ISNUMBER(VST_Assets!$L$11),VST_Assets!$L$11*P$4,INDEX(Prices!P:P,VST_Assets!$AO$11)+FuelAdder*P$4)</f>
        <v>2.80368716598794</v>
      </c>
      <c r="Q310" s="7" t="n">
        <f aca="false">IF(ISNUMBER(VST_Assets!$L$11),VST_Assets!$L$11*Q$4,INDEX(Prices!Q:Q,VST_Assets!$AO$11)+FuelAdder*Q$4)</f>
        <v>2.8597609093077</v>
      </c>
      <c r="R310" s="7" t="n">
        <f aca="false">IF(ISNUMBER(VST_Assets!$L$11),VST_Assets!$L$11*R$4,INDEX(Prices!R:R,VST_Assets!$AO$11)+FuelAdder*R$4)</f>
        <v>2.91695612749385</v>
      </c>
      <c r="S310" s="7" t="n">
        <f aca="false">IF(ISNUMBER(VST_Assets!$L$11),VST_Assets!$L$11*S$4,INDEX(Prices!S:S,VST_Assets!$AO$11)+FuelAdder*S$4)</f>
        <v>2.97529525004373</v>
      </c>
      <c r="T310" s="7" t="n">
        <f aca="false">IF(ISNUMBER(VST_Assets!$L$11),VST_Assets!$L$11*T$4,INDEX(Prices!T:T,VST_Assets!$AO$11)+FuelAdder*T$4)</f>
        <v>3.03480115504461</v>
      </c>
      <c r="U310" s="7" t="n">
        <f aca="false">IF(ISNUMBER(VST_Assets!$L$11),VST_Assets!$L$11*U$4,INDEX(Prices!U:U,VST_Assets!$AO$11)+FuelAdder*U$4)</f>
        <v>3.0954971781455</v>
      </c>
      <c r="V310" s="7" t="n">
        <f aca="false">IF(ISNUMBER(VST_Assets!$L$11),VST_Assets!$L$11*V$4,INDEX(Prices!V:V,VST_Assets!$AO$11)+FuelAdder*V$4)</f>
        <v>3.15740712170841</v>
      </c>
      <c r="W310" s="7" t="n">
        <f aca="false">IF(ISNUMBER(VST_Assets!$L$11),VST_Assets!$L$11*W$4,INDEX(Prices!W:W,VST_Assets!$AO$11)+FuelAdder*W$4)</f>
        <v>3.22055526414258</v>
      </c>
      <c r="X310" s="7" t="n">
        <f aca="false">IF(ISNUMBER(VST_Assets!$L$11),VST_Assets!$L$11*X$4,INDEX(Prices!X:X,VST_Assets!$AO$11)+FuelAdder*X$4)</f>
        <v>3.28496636942543</v>
      </c>
      <c r="Y310" s="7" t="n">
        <f aca="false">IF(ISNUMBER(VST_Assets!$L$11),VST_Assets!$L$11*Y$4,INDEX(Prices!Y:Y,VST_Assets!$AO$11)+FuelAdder*Y$4)</f>
        <v>3.35066569681394</v>
      </c>
      <c r="Z310" s="7" t="n">
        <f aca="false">IF(ISNUMBER(VST_Assets!$L$11),VST_Assets!$L$11*Z$4,INDEX(Prices!Z:Z,VST_Assets!$AO$11)+FuelAdder*Z$4)</f>
        <v>3.41767901075022</v>
      </c>
      <c r="AA310" s="7" t="n">
        <f aca="false">IF(ISNUMBER(VST_Assets!$L$11),VST_Assets!$L$11*AA$4,INDEX(Prices!AA:AA,VST_Assets!$AO$11)+FuelAdder*AA$4)</f>
        <v>3.48603259096522</v>
      </c>
      <c r="AB310" s="7" t="n">
        <f aca="false">IF(ISNUMBER(VST_Assets!$L$11),VST_Assets!$L$11*AB$4,INDEX(Prices!AB:AB,VST_Assets!$AO$11)+FuelAdder*AB$4)</f>
        <v>3.55575324278452</v>
      </c>
      <c r="AC310" s="7" t="n">
        <f aca="false">IF(ISNUMBER(VST_Assets!$L$11),VST_Assets!$L$11*AC$4,INDEX(Prices!AC:AC,VST_Assets!$AO$11)+FuelAdder*AC$4)</f>
        <v>3.62686830764022</v>
      </c>
      <c r="AD310" s="7" t="n">
        <f aca="false">IF(ISNUMBER(VST_Assets!$L$11),VST_Assets!$L$11*AD$4,INDEX(Prices!AD:AD,VST_Assets!$AO$11)+FuelAdder*AD$4)</f>
        <v>3.69940567379302</v>
      </c>
      <c r="AE310" s="7" t="n">
        <f aca="false">IF(ISNUMBER(VST_Assets!$L$11),VST_Assets!$L$11*AE$4,INDEX(Prices!AE:AE,VST_Assets!$AO$11)+FuelAdder*AE$4)</f>
        <v>3.77339378726888</v>
      </c>
      <c r="AF310" s="7" t="n">
        <f aca="false">IF(ISNUMBER(VST_Assets!$L$11),VST_Assets!$L$11*AF$4,INDEX(Prices!AF:AF,VST_Assets!$AO$11)+FuelAdder*AF$4)</f>
        <v>3.84886166301426</v>
      </c>
      <c r="AG310" s="7" t="n">
        <f aca="false">IF(ISNUMBER(VST_Assets!$L$11),VST_Assets!$L$11*AG$4,INDEX(Prices!AG:AG,VST_Assets!$AO$11)+FuelAdder*AG$4)</f>
        <v>3.92583889627454</v>
      </c>
      <c r="AH310" s="7" t="n">
        <f aca="false">IF(ISNUMBER(VST_Assets!$L$11),VST_Assets!$L$11*AH$4,INDEX(Prices!AH:AH,VST_Assets!$AO$11)+FuelAdder*AH$4)</f>
        <v>4.00435567420003</v>
      </c>
      <c r="AI310" s="7" t="n">
        <f aca="false">IF(ISNUMBER(VST_Assets!$L$11),VST_Assets!$L$11*AI$4,INDEX(Prices!AI:AI,VST_Assets!$AO$11)+FuelAdder*AI$4)</f>
        <v>4.08444278768404</v>
      </c>
      <c r="AJ310" s="7" t="n">
        <f aca="false">IF(ISNUMBER(VST_Assets!$L$11),VST_Assets!$L$11*AJ$4,INDEX(Prices!AJ:AJ,VST_Assets!$AO$11)+FuelAdder*AJ$4)</f>
        <v>4.16613164343772</v>
      </c>
      <c r="AK310" s="7" t="n">
        <f aca="false">IF(ISNUMBER(VST_Assets!$L$11),VST_Assets!$L$11*AK$4,INDEX(Prices!AK:AK,VST_Assets!$AO$11)+FuelAdder*AK$4)</f>
        <v>4.24945427630647</v>
      </c>
      <c r="AL310" s="7" t="n">
        <f aca="false">IF(ISNUMBER(VST_Assets!$L$11),VST_Assets!$L$11*AL$4,INDEX(Prices!AL:AL,VST_Assets!$AO$11)+FuelAdder*AL$4)</f>
        <v>4.3344433618326</v>
      </c>
      <c r="AM310" s="7" t="n">
        <f aca="false">IF(ISNUMBER(VST_Assets!$L$11),VST_Assets!$L$11*AM$4,INDEX(Prices!AM:AM,VST_Assets!$AO$11)+FuelAdder*AM$4)</f>
        <v>4.42113222906925</v>
      </c>
      <c r="AN310" s="7" t="n">
        <f aca="false">IF(ISNUMBER(VST_Assets!$L$11),VST_Assets!$L$11*AN$4,INDEX(Prices!AN:AN,VST_Assets!$AO$11)+FuelAdder*AN$4)</f>
        <v>4.50955487365064</v>
      </c>
      <c r="AO310" s="7" t="n">
        <f aca="false">IF(ISNUMBER(VST_Assets!$L$11),VST_Assets!$L$11*AO$4,INDEX(Prices!AO:AO,VST_Assets!$AO$11)+FuelAdder*AO$4)</f>
        <v>4.59974597112365</v>
      </c>
      <c r="AP310" s="7" t="n">
        <f aca="false">IF(ISNUMBER(VST_Assets!$L$11),VST_Assets!$L$11*AP$4,INDEX(Prices!AP:AP,VST_Assets!$AO$11)+FuelAdder*AP$4)</f>
        <v>4.69174089054612</v>
      </c>
      <c r="AQ310" s="7" t="n">
        <f aca="false">IF(ISNUMBER(VST_Assets!$L$11),VST_Assets!$L$11*AQ$4,INDEX(Prices!AQ:AQ,VST_Assets!$AO$11)+FuelAdder*AQ$4)</f>
        <v>4.78557570835705</v>
      </c>
      <c r="AR310" s="7" t="n">
        <f aca="false">IF(ISNUMBER(VST_Assets!$L$11),VST_Assets!$L$11*AR$4,INDEX(Prices!AR:AR,VST_Assets!$AO$11)+FuelAdder*AR$4)</f>
        <v>4.88128722252419</v>
      </c>
      <c r="AS310" s="7" t="n">
        <f aca="false">IF(ISNUMBER(VST_Assets!$L$11),VST_Assets!$L$11*AS$4,INDEX(Prices!AS:AS,VST_Assets!$AO$11)+FuelAdder*AS$4)</f>
        <v>4.97891296697467</v>
      </c>
    </row>
    <row r="311" customFormat="false" ht="15" hidden="false" customHeight="false" outlineLevel="0" collapsed="false">
      <c r="A311" s="6" t="s">
        <v>435</v>
      </c>
      <c r="B311" s="6" t="s">
        <v>436</v>
      </c>
      <c r="G311" s="7" t="n">
        <f aca="false">INDEX(Prices!G:G,VST_Assets!$AN$11)*VST_Assets!$J$11-VST_Assets!$K$11*G310-VST_Assets!$M$11*G$4</f>
        <v>20.9916</v>
      </c>
      <c r="H311" s="7" t="n">
        <f aca="false">INDEX(Prices!H:H,VST_Assets!$AN$11)*VST_Assets!$J$11-VST_Assets!$K$11*H310-VST_Assets!$M$11*H$4</f>
        <v>22.451832</v>
      </c>
      <c r="I311" s="7" t="n">
        <f aca="false">INDEX(Prices!I:I,VST_Assets!$AN$11)*VST_Assets!$J$11-VST_Assets!$K$11*I310-VST_Assets!$M$11*I$4</f>
        <v>23.448333444</v>
      </c>
      <c r="J311" s="7" t="n">
        <f aca="false">INDEX(Prices!J:J,VST_Assets!$AN$11)*VST_Assets!$J$11-VST_Assets!$K$11*J310-VST_Assets!$M$11*J$4</f>
        <v>24.49652221296</v>
      </c>
      <c r="K311" s="7" t="n">
        <f aca="false">INDEX(Prices!K:K,VST_Assets!$AN$11)*VST_Assets!$J$11-VST_Assets!$K$11*K310-VST_Assets!$M$11*K$4</f>
        <v>24.9864526572192</v>
      </c>
      <c r="L311" s="7" t="n">
        <f aca="false">INDEX(Prices!L:L,VST_Assets!$AN$11)*VST_Assets!$J$11-VST_Assets!$K$11*L310-VST_Assets!$M$11*L$4</f>
        <v>25.4861817103636</v>
      </c>
      <c r="M311" s="7" t="n">
        <f aca="false">INDEX(Prices!M:M,VST_Assets!$AN$11)*VST_Assets!$J$11-VST_Assets!$K$11*M310-VST_Assets!$M$11*M$4</f>
        <v>25.9959053445709</v>
      </c>
      <c r="N311" s="7" t="n">
        <f aca="false">INDEX(Prices!N:N,VST_Assets!$AN$11)*VST_Assets!$J$11-VST_Assets!$K$11*N310-VST_Assets!$M$11*N$4</f>
        <v>26.5158234514623</v>
      </c>
      <c r="O311" s="7" t="n">
        <f aca="false">INDEX(Prices!O:O,VST_Assets!$AN$11)*VST_Assets!$J$11-VST_Assets!$K$11*O310-VST_Assets!$M$11*O$4</f>
        <v>27.0461399204915</v>
      </c>
      <c r="P311" s="7" t="n">
        <f aca="false">INDEX(Prices!P:P,VST_Assets!$AN$11)*VST_Assets!$J$11-VST_Assets!$K$11*P310-VST_Assets!$M$11*P$4</f>
        <v>27.5870627189014</v>
      </c>
      <c r="Q311" s="7" t="n">
        <f aca="false">INDEX(Prices!Q:Q,VST_Assets!$AN$11)*VST_Assets!$J$11-VST_Assets!$K$11*Q310-VST_Assets!$M$11*Q$4</f>
        <v>28.1388039732794</v>
      </c>
      <c r="R311" s="7" t="n">
        <f aca="false">INDEX(Prices!R:R,VST_Assets!$AN$11)*VST_Assets!$J$11-VST_Assets!$K$11*R310-VST_Assets!$M$11*R$4</f>
        <v>28.701580052745</v>
      </c>
      <c r="S311" s="7" t="n">
        <f aca="false">INDEX(Prices!S:S,VST_Assets!$AN$11)*VST_Assets!$J$11-VST_Assets!$K$11*S310-VST_Assets!$M$11*S$4</f>
        <v>29.2756116537999</v>
      </c>
      <c r="T311" s="7" t="n">
        <f aca="false">INDEX(Prices!T:T,VST_Assets!$AN$11)*VST_Assets!$J$11-VST_Assets!$K$11*T310-VST_Assets!$M$11*T$4</f>
        <v>29.8611238868759</v>
      </c>
      <c r="U311" s="7" t="n">
        <f aca="false">INDEX(Prices!U:U,VST_Assets!$AN$11)*VST_Assets!$J$11-VST_Assets!$K$11*U310-VST_Assets!$M$11*U$4</f>
        <v>30.4583463646134</v>
      </c>
      <c r="V311" s="7" t="n">
        <f aca="false">INDEX(Prices!V:V,VST_Assets!$AN$11)*VST_Assets!$J$11-VST_Assets!$K$11*V310-VST_Assets!$M$11*V$4</f>
        <v>31.0675132919057</v>
      </c>
      <c r="W311" s="7" t="n">
        <f aca="false">INDEX(Prices!W:W,VST_Assets!$AN$11)*VST_Assets!$J$11-VST_Assets!$K$11*W310-VST_Assets!$M$11*W$4</f>
        <v>31.6888635577438</v>
      </c>
      <c r="X311" s="7" t="n">
        <f aca="false">INDEX(Prices!X:X,VST_Assets!$AN$11)*VST_Assets!$J$11-VST_Assets!$K$11*X310-VST_Assets!$M$11*X$4</f>
        <v>32.3226408288987</v>
      </c>
      <c r="Y311" s="7" t="n">
        <f aca="false">INDEX(Prices!Y:Y,VST_Assets!$AN$11)*VST_Assets!$J$11-VST_Assets!$K$11*Y310-VST_Assets!$M$11*Y$4</f>
        <v>32.9690936454766</v>
      </c>
      <c r="Z311" s="7" t="n">
        <f aca="false">INDEX(Prices!Z:Z,VST_Assets!$AN$11)*VST_Assets!$J$11-VST_Assets!$K$11*Z310-VST_Assets!$M$11*Z$4</f>
        <v>33.6284755183862</v>
      </c>
      <c r="AA311" s="7" t="n">
        <f aca="false">INDEX(Prices!AA:AA,VST_Assets!$AN$11)*VST_Assets!$J$11-VST_Assets!$K$11*AA310-VST_Assets!$M$11*AA$4</f>
        <v>34.3010450287539</v>
      </c>
      <c r="AB311" s="7" t="n">
        <f aca="false">INDEX(Prices!AB:AB,VST_Assets!$AN$11)*VST_Assets!$J$11-VST_Assets!$K$11*AB310-VST_Assets!$M$11*AB$4</f>
        <v>34.987065929329</v>
      </c>
      <c r="AC311" s="7" t="n">
        <f aca="false">INDEX(Prices!AC:AC,VST_Assets!$AN$11)*VST_Assets!$J$11-VST_Assets!$K$11*AC310-VST_Assets!$M$11*AC$4</f>
        <v>35.6868072479155</v>
      </c>
      <c r="AD311" s="7" t="n">
        <f aca="false">INDEX(Prices!AD:AD,VST_Assets!$AN$11)*VST_Assets!$J$11-VST_Assets!$K$11*AD310-VST_Assets!$M$11*AD$4</f>
        <v>36.4005433928739</v>
      </c>
      <c r="AE311" s="7" t="n">
        <f aca="false">INDEX(Prices!AE:AE,VST_Assets!$AN$11)*VST_Assets!$J$11-VST_Assets!$K$11*AE310-VST_Assets!$M$11*AE$4</f>
        <v>37.1285542607313</v>
      </c>
      <c r="AF311" s="7" t="n">
        <f aca="false">INDEX(Prices!AF:AF,VST_Assets!$AN$11)*VST_Assets!$J$11-VST_Assets!$K$11*AF310-VST_Assets!$M$11*AF$4</f>
        <v>37.871125345946</v>
      </c>
      <c r="AG311" s="7" t="n">
        <f aca="false">INDEX(Prices!AG:AG,VST_Assets!$AN$11)*VST_Assets!$J$11-VST_Assets!$K$11*AG310-VST_Assets!$M$11*AG$4</f>
        <v>38.6285478528649</v>
      </c>
      <c r="AH311" s="7" t="n">
        <f aca="false">INDEX(Prices!AH:AH,VST_Assets!$AN$11)*VST_Assets!$J$11-VST_Assets!$K$11*AH310-VST_Assets!$M$11*AH$4</f>
        <v>39.4011188099222</v>
      </c>
      <c r="AI311" s="7" t="n">
        <f aca="false">INDEX(Prices!AI:AI,VST_Assets!$AN$11)*VST_Assets!$J$11-VST_Assets!$K$11*AI310-VST_Assets!$M$11*AI$4</f>
        <v>40.1891411861206</v>
      </c>
      <c r="AJ311" s="7" t="n">
        <f aca="false">INDEX(Prices!AJ:AJ,VST_Assets!$AN$11)*VST_Assets!$J$11-VST_Assets!$K$11*AJ310-VST_Assets!$M$11*AJ$4</f>
        <v>40.992924009843</v>
      </c>
      <c r="AK311" s="7" t="n">
        <f aca="false">INDEX(Prices!AK:AK,VST_Assets!$AN$11)*VST_Assets!$J$11-VST_Assets!$K$11*AK310-VST_Assets!$M$11*AK$4</f>
        <v>41.8127824900399</v>
      </c>
      <c r="AL311" s="7" t="n">
        <f aca="false">INDEX(Prices!AL:AL,VST_Assets!$AN$11)*VST_Assets!$J$11-VST_Assets!$K$11*AL310-VST_Assets!$M$11*AL$4</f>
        <v>42.6490381398407</v>
      </c>
      <c r="AM311" s="7" t="n">
        <f aca="false">INDEX(Prices!AM:AM,VST_Assets!$AN$11)*VST_Assets!$J$11-VST_Assets!$K$11*AM310-VST_Assets!$M$11*AM$4</f>
        <v>43.5020189026375</v>
      </c>
      <c r="AN311" s="7" t="n">
        <f aca="false">INDEX(Prices!AN:AN,VST_Assets!$AN$11)*VST_Assets!$J$11-VST_Assets!$K$11*AN310-VST_Assets!$M$11*AN$4</f>
        <v>44.3720592806903</v>
      </c>
      <c r="AO311" s="7" t="n">
        <f aca="false">INDEX(Prices!AO:AO,VST_Assets!$AN$11)*VST_Assets!$J$11-VST_Assets!$K$11*AO310-VST_Assets!$M$11*AO$4</f>
        <v>45.2595004663041</v>
      </c>
      <c r="AP311" s="7" t="n">
        <f aca="false">INDEX(Prices!AP:AP,VST_Assets!$AN$11)*VST_Assets!$J$11-VST_Assets!$K$11*AP310-VST_Assets!$M$11*AP$4</f>
        <v>46.1646904756301</v>
      </c>
      <c r="AQ311" s="7" t="n">
        <f aca="false">INDEX(Prices!AQ:AQ,VST_Assets!$AN$11)*VST_Assets!$J$11-VST_Assets!$K$11*AQ310-VST_Assets!$M$11*AQ$4</f>
        <v>47.0879842851428</v>
      </c>
      <c r="AR311" s="7" t="n">
        <f aca="false">INDEX(Prices!AR:AR,VST_Assets!$AN$11)*VST_Assets!$J$11-VST_Assets!$K$11*AR310-VST_Assets!$M$11*AR$4</f>
        <v>48.0297439708456</v>
      </c>
      <c r="AS311" s="7" t="n">
        <f aca="false">INDEX(Prices!AS:AS,VST_Assets!$AN$11)*VST_Assets!$J$11-VST_Assets!$K$11*AS310-VST_Assets!$M$11*AS$4</f>
        <v>48.9903388502625</v>
      </c>
    </row>
    <row r="312" customFormat="false" ht="15" hidden="false" customHeight="false" outlineLevel="0" collapsed="false">
      <c r="A312" s="6" t="s">
        <v>437</v>
      </c>
      <c r="B312" s="6" t="s">
        <v>438</v>
      </c>
      <c r="G312" s="47" t="n">
        <f aca="false">IF(VST_Assets!$X$11=1,IF(G311&gt;0,1,0),1)</f>
        <v>1</v>
      </c>
      <c r="H312" s="47" t="n">
        <f aca="false">IF(VST_Assets!$X$11=1,IF(H311&gt;0,1,0),1)</f>
        <v>1</v>
      </c>
      <c r="I312" s="47" t="n">
        <f aca="false">IF(VST_Assets!$X$11=1,IF(I311&gt;0,1,0),1)</f>
        <v>1</v>
      </c>
      <c r="J312" s="47" t="n">
        <f aca="false">IF(VST_Assets!$X$11=1,IF(J311&gt;0,1,0),1)</f>
        <v>1</v>
      </c>
      <c r="K312" s="47" t="n">
        <f aca="false">IF(VST_Assets!$X$11=1,IF(K311&gt;0,1,0),1)</f>
        <v>1</v>
      </c>
      <c r="L312" s="47" t="n">
        <f aca="false">IF(VST_Assets!$X$11=1,IF(L311&gt;0,1,0),1)</f>
        <v>1</v>
      </c>
      <c r="M312" s="47" t="n">
        <f aca="false">IF(VST_Assets!$X$11=1,IF(M311&gt;0,1,0),1)</f>
        <v>1</v>
      </c>
      <c r="N312" s="47" t="n">
        <f aca="false">IF(VST_Assets!$X$11=1,IF(N311&gt;0,1,0),1)</f>
        <v>1</v>
      </c>
      <c r="O312" s="47" t="n">
        <f aca="false">IF(VST_Assets!$X$11=1,IF(O311&gt;0,1,0),1)</f>
        <v>1</v>
      </c>
      <c r="P312" s="47" t="n">
        <f aca="false">IF(VST_Assets!$X$11=1,IF(P311&gt;0,1,0),1)</f>
        <v>1</v>
      </c>
      <c r="Q312" s="47" t="n">
        <f aca="false">IF(VST_Assets!$X$11=1,IF(Q311&gt;0,1,0),1)</f>
        <v>1</v>
      </c>
      <c r="R312" s="47" t="n">
        <f aca="false">IF(VST_Assets!$X$11=1,IF(R311&gt;0,1,0),1)</f>
        <v>1</v>
      </c>
      <c r="S312" s="47" t="n">
        <f aca="false">IF(VST_Assets!$X$11=1,IF(S311&gt;0,1,0),1)</f>
        <v>1</v>
      </c>
      <c r="T312" s="47" t="n">
        <f aca="false">IF(VST_Assets!$X$11=1,IF(T311&gt;0,1,0),1)</f>
        <v>1</v>
      </c>
      <c r="U312" s="47" t="n">
        <f aca="false">IF(VST_Assets!$X$11=1,IF(U311&gt;0,1,0),1)</f>
        <v>1</v>
      </c>
      <c r="V312" s="47" t="n">
        <f aca="false">IF(VST_Assets!$X$11=1,IF(V311&gt;0,1,0),1)</f>
        <v>1</v>
      </c>
      <c r="W312" s="47" t="n">
        <f aca="false">IF(VST_Assets!$X$11=1,IF(W311&gt;0,1,0),1)</f>
        <v>1</v>
      </c>
      <c r="X312" s="47" t="n">
        <f aca="false">IF(VST_Assets!$X$11=1,IF(X311&gt;0,1,0),1)</f>
        <v>1</v>
      </c>
      <c r="Y312" s="47" t="n">
        <f aca="false">IF(VST_Assets!$X$11=1,IF(Y311&gt;0,1,0),1)</f>
        <v>1</v>
      </c>
      <c r="Z312" s="47" t="n">
        <f aca="false">IF(VST_Assets!$X$11=1,IF(Z311&gt;0,1,0),1)</f>
        <v>1</v>
      </c>
      <c r="AA312" s="47" t="n">
        <f aca="false">IF(VST_Assets!$X$11=1,IF(AA311&gt;0,1,0),1)</f>
        <v>1</v>
      </c>
      <c r="AB312" s="47" t="n">
        <f aca="false">IF(VST_Assets!$X$11=1,IF(AB311&gt;0,1,0),1)</f>
        <v>1</v>
      </c>
      <c r="AC312" s="47" t="n">
        <f aca="false">IF(VST_Assets!$X$11=1,IF(AC311&gt;0,1,0),1)</f>
        <v>1</v>
      </c>
      <c r="AD312" s="47" t="n">
        <f aca="false">IF(VST_Assets!$X$11=1,IF(AD311&gt;0,1,0),1)</f>
        <v>1</v>
      </c>
      <c r="AE312" s="47" t="n">
        <f aca="false">IF(VST_Assets!$X$11=1,IF(AE311&gt;0,1,0),1)</f>
        <v>1</v>
      </c>
      <c r="AF312" s="47" t="n">
        <f aca="false">IF(VST_Assets!$X$11=1,IF(AF311&gt;0,1,0),1)</f>
        <v>1</v>
      </c>
      <c r="AG312" s="47" t="n">
        <f aca="false">IF(VST_Assets!$X$11=1,IF(AG311&gt;0,1,0),1)</f>
        <v>1</v>
      </c>
      <c r="AH312" s="47" t="n">
        <f aca="false">IF(VST_Assets!$X$11=1,IF(AH311&gt;0,1,0),1)</f>
        <v>1</v>
      </c>
      <c r="AI312" s="47" t="n">
        <f aca="false">IF(VST_Assets!$X$11=1,IF(AI311&gt;0,1,0),1)</f>
        <v>1</v>
      </c>
      <c r="AJ312" s="47" t="n">
        <f aca="false">IF(VST_Assets!$X$11=1,IF(AJ311&gt;0,1,0),1)</f>
        <v>1</v>
      </c>
      <c r="AK312" s="47" t="n">
        <f aca="false">IF(VST_Assets!$X$11=1,IF(AK311&gt;0,1,0),1)</f>
        <v>1</v>
      </c>
      <c r="AL312" s="47" t="n">
        <f aca="false">IF(VST_Assets!$X$11=1,IF(AL311&gt;0,1,0),1)</f>
        <v>1</v>
      </c>
      <c r="AM312" s="47" t="n">
        <f aca="false">IF(VST_Assets!$X$11=1,IF(AM311&gt;0,1,0),1)</f>
        <v>1</v>
      </c>
      <c r="AN312" s="47" t="n">
        <f aca="false">IF(VST_Assets!$X$11=1,IF(AN311&gt;0,1,0),1)</f>
        <v>1</v>
      </c>
      <c r="AO312" s="47" t="n">
        <f aca="false">IF(VST_Assets!$X$11=1,IF(AO311&gt;0,1,0),1)</f>
        <v>1</v>
      </c>
      <c r="AP312" s="47" t="n">
        <f aca="false">IF(VST_Assets!$X$11=1,IF(AP311&gt;0,1,0),1)</f>
        <v>1</v>
      </c>
      <c r="AQ312" s="47" t="n">
        <f aca="false">IF(VST_Assets!$X$11=1,IF(AQ311&gt;0,1,0),1)</f>
        <v>1</v>
      </c>
      <c r="AR312" s="47" t="n">
        <f aca="false">IF(VST_Assets!$X$11=1,IF(AR311&gt;0,1,0),1)</f>
        <v>1</v>
      </c>
      <c r="AS312" s="47" t="n">
        <f aca="false">IF(VST_Assets!$X$11=1,IF(AS311&gt;0,1,0),1)</f>
        <v>1</v>
      </c>
    </row>
    <row r="313" customFormat="false" ht="15" hidden="false" customHeight="false" outlineLevel="0" collapsed="false">
      <c r="A313" s="6" t="s">
        <v>439</v>
      </c>
      <c r="B313" s="6" t="s">
        <v>440</v>
      </c>
      <c r="C313" s="9" t="n">
        <f aca="false">SUM(G313:AS313)</f>
        <v>9937.5821712218</v>
      </c>
      <c r="G313" s="8" t="n">
        <f aca="false">G308*INDEX(Prices!G:G,VST_Assets!$AN$11)*VST_Assets!$J$11*G312/1000000*(1+VST_RevAdj)</f>
        <v>985.1058</v>
      </c>
      <c r="H313" s="8" t="n">
        <f aca="false">H308*INDEX(Prices!H:H,VST_Assets!$AN$11)*VST_Assets!$J$11*H312/1000000*(1+VST_RevAdj)</f>
        <v>1025.3142</v>
      </c>
      <c r="I313" s="8" t="n">
        <f aca="false">I308*INDEX(Prices!I:I,VST_Assets!$AN$11)*VST_Assets!$J$11*I312/1000000*(1+VST_RevAdj)</f>
        <v>1056.61101528684</v>
      </c>
      <c r="J313" s="8" t="n">
        <f aca="false">J308*INDEX(Prices!J:J,VST_Assets!$AN$11)*VST_Assets!$J$11*J312/1000000*(1+VST_RevAdj)</f>
        <v>1089.15970318515</v>
      </c>
      <c r="K313" s="8" t="n">
        <f aca="false">K308*INDEX(Prices!K:K,VST_Assets!$AN$11)*VST_Assets!$J$11*K312/1000000*(1+VST_RevAdj)</f>
        <v>1110.94289724886</v>
      </c>
      <c r="L313" s="8" t="n">
        <f aca="false">L308*INDEX(Prices!L:L,VST_Assets!$AN$11)*VST_Assets!$J$11*L312/1000000*(1+VST_RevAdj)</f>
        <v>1133.16175519383</v>
      </c>
      <c r="M313" s="8" t="n">
        <f aca="false">M308*INDEX(Prices!M:M,VST_Assets!$AN$11)*VST_Assets!$J$11*M312/1000000*(1+VST_RevAdj)</f>
        <v>1155.82499029771</v>
      </c>
      <c r="N313" s="8" t="n">
        <f aca="false">N308*INDEX(Prices!N:N,VST_Assets!$AN$11)*VST_Assets!$J$11*N312/1000000*(1+VST_RevAdj)</f>
        <v>1178.94149010366</v>
      </c>
      <c r="O313" s="8" t="n">
        <f aca="false">O308*INDEX(Prices!O:O,VST_Assets!$AN$11)*VST_Assets!$J$11*O312/1000000*(1+VST_RevAdj)</f>
        <v>1202.52031990574</v>
      </c>
      <c r="P313" s="8" t="n">
        <f aca="false">P308*INDEX(Prices!P:P,VST_Assets!$AN$11)*VST_Assets!$J$11*P312/1000000*(1+VST_RevAdj)</f>
        <v>0</v>
      </c>
      <c r="Q313" s="8" t="n">
        <f aca="false">Q308*INDEX(Prices!Q:Q,VST_Assets!$AN$11)*VST_Assets!$J$11*Q312/1000000*(1+VST_RevAdj)</f>
        <v>0</v>
      </c>
      <c r="R313" s="8" t="n">
        <f aca="false">R308*INDEX(Prices!R:R,VST_Assets!$AN$11)*VST_Assets!$J$11*R312/1000000*(1+VST_RevAdj)</f>
        <v>0</v>
      </c>
      <c r="S313" s="8" t="n">
        <f aca="false">S308*INDEX(Prices!S:S,VST_Assets!$AN$11)*VST_Assets!$J$11*S312/1000000*(1+VST_RevAdj)</f>
        <v>0</v>
      </c>
      <c r="T313" s="8" t="n">
        <f aca="false">T308*INDEX(Prices!T:T,VST_Assets!$AN$11)*VST_Assets!$J$11*T312/1000000*(1+VST_RevAdj)</f>
        <v>0</v>
      </c>
      <c r="U313" s="8" t="n">
        <f aca="false">U308*INDEX(Prices!U:U,VST_Assets!$AN$11)*VST_Assets!$J$11*U312/1000000*(1+VST_RevAdj)</f>
        <v>0</v>
      </c>
      <c r="V313" s="8" t="n">
        <f aca="false">V308*INDEX(Prices!V:V,VST_Assets!$AN$11)*VST_Assets!$J$11*V312/1000000*(1+VST_RevAdj)</f>
        <v>0</v>
      </c>
      <c r="W313" s="8" t="n">
        <f aca="false">W308*INDEX(Prices!W:W,VST_Assets!$AN$11)*VST_Assets!$J$11*W312/1000000*(1+VST_RevAdj)</f>
        <v>0</v>
      </c>
      <c r="X313" s="8" t="n">
        <f aca="false">X308*INDEX(Prices!X:X,VST_Assets!$AN$11)*VST_Assets!$J$11*X312/1000000*(1+VST_RevAdj)</f>
        <v>0</v>
      </c>
      <c r="Y313" s="8" t="n">
        <f aca="false">Y308*INDEX(Prices!Y:Y,VST_Assets!$AN$11)*VST_Assets!$J$11*Y312/1000000*(1+VST_RevAdj)</f>
        <v>0</v>
      </c>
      <c r="Z313" s="8" t="n">
        <f aca="false">Z308*INDEX(Prices!Z:Z,VST_Assets!$AN$11)*VST_Assets!$J$11*Z312/1000000*(1+VST_RevAdj)</f>
        <v>0</v>
      </c>
      <c r="AA313" s="8" t="n">
        <f aca="false">AA308*INDEX(Prices!AA:AA,VST_Assets!$AN$11)*VST_Assets!$J$11*AA312/1000000*(1+VST_RevAdj)</f>
        <v>0</v>
      </c>
      <c r="AB313" s="8" t="n">
        <f aca="false">AB308*INDEX(Prices!AB:AB,VST_Assets!$AN$11)*VST_Assets!$J$11*AB312/1000000*(1+VST_RevAdj)</f>
        <v>0</v>
      </c>
      <c r="AC313" s="8" t="n">
        <f aca="false">AC308*INDEX(Prices!AC:AC,VST_Assets!$AN$11)*VST_Assets!$J$11*AC312/1000000*(1+VST_RevAdj)</f>
        <v>0</v>
      </c>
      <c r="AD313" s="8" t="n">
        <f aca="false">AD308*INDEX(Prices!AD:AD,VST_Assets!$AN$11)*VST_Assets!$J$11*AD312/1000000*(1+VST_RevAdj)</f>
        <v>0</v>
      </c>
      <c r="AE313" s="8" t="n">
        <f aca="false">AE308*INDEX(Prices!AE:AE,VST_Assets!$AN$11)*VST_Assets!$J$11*AE312/1000000*(1+VST_RevAdj)</f>
        <v>0</v>
      </c>
      <c r="AF313" s="8" t="n">
        <f aca="false">AF308*INDEX(Prices!AF:AF,VST_Assets!$AN$11)*VST_Assets!$J$11*AF312/1000000*(1+VST_RevAdj)</f>
        <v>0</v>
      </c>
      <c r="AG313" s="8" t="n">
        <f aca="false">AG308*INDEX(Prices!AG:AG,VST_Assets!$AN$11)*VST_Assets!$J$11*AG312/1000000*(1+VST_RevAdj)</f>
        <v>0</v>
      </c>
      <c r="AH313" s="8" t="n">
        <f aca="false">AH308*INDEX(Prices!AH:AH,VST_Assets!$AN$11)*VST_Assets!$J$11*AH312/1000000*(1+VST_RevAdj)</f>
        <v>0</v>
      </c>
      <c r="AI313" s="8" t="n">
        <f aca="false">AI308*INDEX(Prices!AI:AI,VST_Assets!$AN$11)*VST_Assets!$J$11*AI312/1000000*(1+VST_RevAdj)</f>
        <v>0</v>
      </c>
      <c r="AJ313" s="8" t="n">
        <f aca="false">AJ308*INDEX(Prices!AJ:AJ,VST_Assets!$AN$11)*VST_Assets!$J$11*AJ312/1000000*(1+VST_RevAdj)</f>
        <v>0</v>
      </c>
      <c r="AK313" s="8" t="n">
        <f aca="false">AK308*INDEX(Prices!AK:AK,VST_Assets!$AN$11)*VST_Assets!$J$11*AK312/1000000*(1+VST_RevAdj)</f>
        <v>0</v>
      </c>
      <c r="AL313" s="8" t="n">
        <f aca="false">AL308*INDEX(Prices!AL:AL,VST_Assets!$AN$11)*VST_Assets!$J$11*AL312/1000000*(1+VST_RevAdj)</f>
        <v>0</v>
      </c>
      <c r="AM313" s="8" t="n">
        <f aca="false">AM308*INDEX(Prices!AM:AM,VST_Assets!$AN$11)*VST_Assets!$J$11*AM312/1000000*(1+VST_RevAdj)</f>
        <v>0</v>
      </c>
      <c r="AN313" s="8" t="n">
        <f aca="false">AN308*INDEX(Prices!AN:AN,VST_Assets!$AN$11)*VST_Assets!$J$11*AN312/1000000*(1+VST_RevAdj)</f>
        <v>0</v>
      </c>
      <c r="AO313" s="8" t="n">
        <f aca="false">AO308*INDEX(Prices!AO:AO,VST_Assets!$AN$11)*VST_Assets!$J$11*AO312/1000000*(1+VST_RevAdj)</f>
        <v>0</v>
      </c>
      <c r="AP313" s="8" t="n">
        <f aca="false">AP308*INDEX(Prices!AP:AP,VST_Assets!$AN$11)*VST_Assets!$J$11*AP312/1000000*(1+VST_RevAdj)</f>
        <v>0</v>
      </c>
      <c r="AQ313" s="8" t="n">
        <f aca="false">AQ308*INDEX(Prices!AQ:AQ,VST_Assets!$AN$11)*VST_Assets!$J$11*AQ312/1000000*(1+VST_RevAdj)</f>
        <v>0</v>
      </c>
      <c r="AR313" s="8" t="n">
        <f aca="false">AR308*INDEX(Prices!AR:AR,VST_Assets!$AN$11)*VST_Assets!$J$11*AR312/1000000*(1+VST_RevAdj)</f>
        <v>0</v>
      </c>
      <c r="AS313" s="8" t="n">
        <f aca="false">AS308*INDEX(Prices!AS:AS,VST_Assets!$AN$11)*VST_Assets!$J$11*AS312/1000000*(1+VST_RevAdj)</f>
        <v>0</v>
      </c>
    </row>
    <row r="314" customFormat="false" ht="15" hidden="false" customHeight="false" outlineLevel="0" collapsed="false">
      <c r="A314" s="6" t="s">
        <v>441</v>
      </c>
      <c r="B314" s="6" t="s">
        <v>442</v>
      </c>
      <c r="C314" s="9" t="n">
        <f aca="false">SUM(G314:AS314)</f>
        <v>0</v>
      </c>
      <c r="G314" s="8" t="n">
        <f aca="false">(VST_Assets!$D$11-G307)*INDEX(Prices!G:G,VST_Assets!$AP$11)*365*VST_Assets!$T$11*G306/1000000*(1+VST_RevAdj)</f>
        <v>0</v>
      </c>
      <c r="H314" s="8" t="n">
        <f aca="false">(VST_Assets!$D$11-H307)*INDEX(Prices!H:H,VST_Assets!$AP$11)*365*VST_Assets!$T$11*H306/1000000*(1+VST_RevAdj)</f>
        <v>0</v>
      </c>
      <c r="I314" s="8" t="n">
        <f aca="false">(VST_Assets!$D$11-I307)*INDEX(Prices!I:I,VST_Assets!$AP$11)*365*VST_Assets!$T$11*I306/1000000*(1+VST_RevAdj)</f>
        <v>0</v>
      </c>
      <c r="J314" s="8" t="n">
        <f aca="false">(VST_Assets!$D$11-J307)*INDEX(Prices!J:J,VST_Assets!$AP$11)*365*VST_Assets!$T$11*J306/1000000*(1+VST_RevAdj)</f>
        <v>0</v>
      </c>
      <c r="K314" s="8" t="n">
        <f aca="false">(VST_Assets!$D$11-K307)*INDEX(Prices!K:K,VST_Assets!$AP$11)*365*VST_Assets!$T$11*K306/1000000*(1+VST_RevAdj)</f>
        <v>0</v>
      </c>
      <c r="L314" s="8" t="n">
        <f aca="false">(VST_Assets!$D$11-L307)*INDEX(Prices!L:L,VST_Assets!$AP$11)*365*VST_Assets!$T$11*L306/1000000*(1+VST_RevAdj)</f>
        <v>0</v>
      </c>
      <c r="M314" s="8" t="n">
        <f aca="false">(VST_Assets!$D$11-M307)*INDEX(Prices!M:M,VST_Assets!$AP$11)*365*VST_Assets!$T$11*M306/1000000*(1+VST_RevAdj)</f>
        <v>0</v>
      </c>
      <c r="N314" s="8" t="n">
        <f aca="false">(VST_Assets!$D$11-N307)*INDEX(Prices!N:N,VST_Assets!$AP$11)*365*VST_Assets!$T$11*N306/1000000*(1+VST_RevAdj)</f>
        <v>0</v>
      </c>
      <c r="O314" s="8" t="n">
        <f aca="false">(VST_Assets!$D$11-O307)*INDEX(Prices!O:O,VST_Assets!$AP$11)*365*VST_Assets!$T$11*O306/1000000*(1+VST_RevAdj)</f>
        <v>0</v>
      </c>
      <c r="P314" s="8" t="n">
        <f aca="false">(VST_Assets!$D$11-P307)*INDEX(Prices!P:P,VST_Assets!$AP$11)*365*VST_Assets!$T$11*P306/1000000*(1+VST_RevAdj)</f>
        <v>0</v>
      </c>
      <c r="Q314" s="8" t="n">
        <f aca="false">(VST_Assets!$D$11-Q307)*INDEX(Prices!Q:Q,VST_Assets!$AP$11)*365*VST_Assets!$T$11*Q306/1000000*(1+VST_RevAdj)</f>
        <v>0</v>
      </c>
      <c r="R314" s="8" t="n">
        <f aca="false">(VST_Assets!$D$11-R307)*INDEX(Prices!R:R,VST_Assets!$AP$11)*365*VST_Assets!$T$11*R306/1000000*(1+VST_RevAdj)</f>
        <v>0</v>
      </c>
      <c r="S314" s="8" t="n">
        <f aca="false">(VST_Assets!$D$11-S307)*INDEX(Prices!S:S,VST_Assets!$AP$11)*365*VST_Assets!$T$11*S306/1000000*(1+VST_RevAdj)</f>
        <v>0</v>
      </c>
      <c r="T314" s="8" t="n">
        <f aca="false">(VST_Assets!$D$11-T307)*INDEX(Prices!T:T,VST_Assets!$AP$11)*365*VST_Assets!$T$11*T306/1000000*(1+VST_RevAdj)</f>
        <v>0</v>
      </c>
      <c r="U314" s="8" t="n">
        <f aca="false">(VST_Assets!$D$11-U307)*INDEX(Prices!U:U,VST_Assets!$AP$11)*365*VST_Assets!$T$11*U306/1000000*(1+VST_RevAdj)</f>
        <v>0</v>
      </c>
      <c r="V314" s="8" t="n">
        <f aca="false">(VST_Assets!$D$11-V307)*INDEX(Prices!V:V,VST_Assets!$AP$11)*365*VST_Assets!$T$11*V306/1000000*(1+VST_RevAdj)</f>
        <v>0</v>
      </c>
      <c r="W314" s="8" t="n">
        <f aca="false">(VST_Assets!$D$11-W307)*INDEX(Prices!W:W,VST_Assets!$AP$11)*365*VST_Assets!$T$11*W306/1000000*(1+VST_RevAdj)</f>
        <v>0</v>
      </c>
      <c r="X314" s="8" t="n">
        <f aca="false">(VST_Assets!$D$11-X307)*INDEX(Prices!X:X,VST_Assets!$AP$11)*365*VST_Assets!$T$11*X306/1000000*(1+VST_RevAdj)</f>
        <v>0</v>
      </c>
      <c r="Y314" s="8" t="n">
        <f aca="false">(VST_Assets!$D$11-Y307)*INDEX(Prices!Y:Y,VST_Assets!$AP$11)*365*VST_Assets!$T$11*Y306/1000000*(1+VST_RevAdj)</f>
        <v>0</v>
      </c>
      <c r="Z314" s="8" t="n">
        <f aca="false">(VST_Assets!$D$11-Z307)*INDEX(Prices!Z:Z,VST_Assets!$AP$11)*365*VST_Assets!$T$11*Z306/1000000*(1+VST_RevAdj)</f>
        <v>0</v>
      </c>
      <c r="AA314" s="8" t="n">
        <f aca="false">(VST_Assets!$D$11-AA307)*INDEX(Prices!AA:AA,VST_Assets!$AP$11)*365*VST_Assets!$T$11*AA306/1000000*(1+VST_RevAdj)</f>
        <v>0</v>
      </c>
      <c r="AB314" s="8" t="n">
        <f aca="false">(VST_Assets!$D$11-AB307)*INDEX(Prices!AB:AB,VST_Assets!$AP$11)*365*VST_Assets!$T$11*AB306/1000000*(1+VST_RevAdj)</f>
        <v>0</v>
      </c>
      <c r="AC314" s="8" t="n">
        <f aca="false">(VST_Assets!$D$11-AC307)*INDEX(Prices!AC:AC,VST_Assets!$AP$11)*365*VST_Assets!$T$11*AC306/1000000*(1+VST_RevAdj)</f>
        <v>0</v>
      </c>
      <c r="AD314" s="8" t="n">
        <f aca="false">(VST_Assets!$D$11-AD307)*INDEX(Prices!AD:AD,VST_Assets!$AP$11)*365*VST_Assets!$T$11*AD306/1000000*(1+VST_RevAdj)</f>
        <v>0</v>
      </c>
      <c r="AE314" s="8" t="n">
        <f aca="false">(VST_Assets!$D$11-AE307)*INDEX(Prices!AE:AE,VST_Assets!$AP$11)*365*VST_Assets!$T$11*AE306/1000000*(1+VST_RevAdj)</f>
        <v>0</v>
      </c>
      <c r="AF314" s="8" t="n">
        <f aca="false">(VST_Assets!$D$11-AF307)*INDEX(Prices!AF:AF,VST_Assets!$AP$11)*365*VST_Assets!$T$11*AF306/1000000*(1+VST_RevAdj)</f>
        <v>0</v>
      </c>
      <c r="AG314" s="8" t="n">
        <f aca="false">(VST_Assets!$D$11-AG307)*INDEX(Prices!AG:AG,VST_Assets!$AP$11)*365*VST_Assets!$T$11*AG306/1000000*(1+VST_RevAdj)</f>
        <v>0</v>
      </c>
      <c r="AH314" s="8" t="n">
        <f aca="false">(VST_Assets!$D$11-AH307)*INDEX(Prices!AH:AH,VST_Assets!$AP$11)*365*VST_Assets!$T$11*AH306/1000000*(1+VST_RevAdj)</f>
        <v>0</v>
      </c>
      <c r="AI314" s="8" t="n">
        <f aca="false">(VST_Assets!$D$11-AI307)*INDEX(Prices!AI:AI,VST_Assets!$AP$11)*365*VST_Assets!$T$11*AI306/1000000*(1+VST_RevAdj)</f>
        <v>0</v>
      </c>
      <c r="AJ314" s="8" t="n">
        <f aca="false">(VST_Assets!$D$11-AJ307)*INDEX(Prices!AJ:AJ,VST_Assets!$AP$11)*365*VST_Assets!$T$11*AJ306/1000000*(1+VST_RevAdj)</f>
        <v>0</v>
      </c>
      <c r="AK314" s="8" t="n">
        <f aca="false">(VST_Assets!$D$11-AK307)*INDEX(Prices!AK:AK,VST_Assets!$AP$11)*365*VST_Assets!$T$11*AK306/1000000*(1+VST_RevAdj)</f>
        <v>0</v>
      </c>
      <c r="AL314" s="8" t="n">
        <f aca="false">(VST_Assets!$D$11-AL307)*INDEX(Prices!AL:AL,VST_Assets!$AP$11)*365*VST_Assets!$T$11*AL306/1000000*(1+VST_RevAdj)</f>
        <v>0</v>
      </c>
      <c r="AM314" s="8" t="n">
        <f aca="false">(VST_Assets!$D$11-AM307)*INDEX(Prices!AM:AM,VST_Assets!$AP$11)*365*VST_Assets!$T$11*AM306/1000000*(1+VST_RevAdj)</f>
        <v>0</v>
      </c>
      <c r="AN314" s="8" t="n">
        <f aca="false">(VST_Assets!$D$11-AN307)*INDEX(Prices!AN:AN,VST_Assets!$AP$11)*365*VST_Assets!$T$11*AN306/1000000*(1+VST_RevAdj)</f>
        <v>0</v>
      </c>
      <c r="AO314" s="8" t="n">
        <f aca="false">(VST_Assets!$D$11-AO307)*INDEX(Prices!AO:AO,VST_Assets!$AP$11)*365*VST_Assets!$T$11*AO306/1000000*(1+VST_RevAdj)</f>
        <v>0</v>
      </c>
      <c r="AP314" s="8" t="n">
        <f aca="false">(VST_Assets!$D$11-AP307)*INDEX(Prices!AP:AP,VST_Assets!$AP$11)*365*VST_Assets!$T$11*AP306/1000000*(1+VST_RevAdj)</f>
        <v>0</v>
      </c>
      <c r="AQ314" s="8" t="n">
        <f aca="false">(VST_Assets!$D$11-AQ307)*INDEX(Prices!AQ:AQ,VST_Assets!$AP$11)*365*VST_Assets!$T$11*AQ306/1000000*(1+VST_RevAdj)</f>
        <v>0</v>
      </c>
      <c r="AR314" s="8" t="n">
        <f aca="false">(VST_Assets!$D$11-AR307)*INDEX(Prices!AR:AR,VST_Assets!$AP$11)*365*VST_Assets!$T$11*AR306/1000000*(1+VST_RevAdj)</f>
        <v>0</v>
      </c>
      <c r="AS314" s="8" t="n">
        <f aca="false">(VST_Assets!$D$11-AS307)*INDEX(Prices!AS:AS,VST_Assets!$AP$11)*365*VST_Assets!$T$11*AS306/1000000*(1+VST_RevAdj)</f>
        <v>0</v>
      </c>
    </row>
    <row r="315" customFormat="false" ht="15" hidden="false" customHeight="false" outlineLevel="0" collapsed="false">
      <c r="A315" s="6" t="s">
        <v>443</v>
      </c>
      <c r="B315" s="6" t="s">
        <v>444</v>
      </c>
      <c r="C315" s="9" t="n">
        <f aca="false">SUM(G315:AS315)</f>
        <v>0</v>
      </c>
      <c r="G315" s="8" t="n">
        <f aca="false">G309*(VST_Assets!$AD$11+VST_PPAAdj)/1000000*(1+VST_RevAdj)</f>
        <v>0</v>
      </c>
      <c r="H315" s="8" t="n">
        <f aca="false">H309*(VST_Assets!$AD$11+VST_PPAAdj)/1000000*(1+VST_RevAdj)</f>
        <v>0</v>
      </c>
      <c r="I315" s="8" t="n">
        <f aca="false">I309*(VST_Assets!$AD$11+VST_PPAAdj)/1000000*(1+VST_RevAdj)</f>
        <v>0</v>
      </c>
      <c r="J315" s="8" t="n">
        <f aca="false">J309*(VST_Assets!$AD$11+VST_PPAAdj)/1000000*(1+VST_RevAdj)</f>
        <v>0</v>
      </c>
      <c r="K315" s="8" t="n">
        <f aca="false">K309*(VST_Assets!$AD$11+VST_PPAAdj)/1000000*(1+VST_RevAdj)</f>
        <v>0</v>
      </c>
      <c r="L315" s="8" t="n">
        <f aca="false">L309*(VST_Assets!$AD$11+VST_PPAAdj)/1000000*(1+VST_RevAdj)</f>
        <v>0</v>
      </c>
      <c r="M315" s="8" t="n">
        <f aca="false">M309*(VST_Assets!$AD$11+VST_PPAAdj)/1000000*(1+VST_RevAdj)</f>
        <v>0</v>
      </c>
      <c r="N315" s="8" t="n">
        <f aca="false">N309*(VST_Assets!$AD$11+VST_PPAAdj)/1000000*(1+VST_RevAdj)</f>
        <v>0</v>
      </c>
      <c r="O315" s="8" t="n">
        <f aca="false">O309*(VST_Assets!$AD$11+VST_PPAAdj)/1000000*(1+VST_RevAdj)</f>
        <v>0</v>
      </c>
      <c r="P315" s="8" t="n">
        <f aca="false">P309*(VST_Assets!$AD$11+VST_PPAAdj)/1000000*(1+VST_RevAdj)</f>
        <v>0</v>
      </c>
      <c r="Q315" s="8" t="n">
        <f aca="false">Q309*(VST_Assets!$AD$11+VST_PPAAdj)/1000000*(1+VST_RevAdj)</f>
        <v>0</v>
      </c>
      <c r="R315" s="8" t="n">
        <f aca="false">R309*(VST_Assets!$AD$11+VST_PPAAdj)/1000000*(1+VST_RevAdj)</f>
        <v>0</v>
      </c>
      <c r="S315" s="8" t="n">
        <f aca="false">S309*(VST_Assets!$AD$11+VST_PPAAdj)/1000000*(1+VST_RevAdj)</f>
        <v>0</v>
      </c>
      <c r="T315" s="8" t="n">
        <f aca="false">T309*(VST_Assets!$AD$11+VST_PPAAdj)/1000000*(1+VST_RevAdj)</f>
        <v>0</v>
      </c>
      <c r="U315" s="8" t="n">
        <f aca="false">U309*(VST_Assets!$AD$11+VST_PPAAdj)/1000000*(1+VST_RevAdj)</f>
        <v>0</v>
      </c>
      <c r="V315" s="8" t="n">
        <f aca="false">V309*(VST_Assets!$AD$11+VST_PPAAdj)/1000000*(1+VST_RevAdj)</f>
        <v>0</v>
      </c>
      <c r="W315" s="8" t="n">
        <f aca="false">W309*(VST_Assets!$AD$11+VST_PPAAdj)/1000000*(1+VST_RevAdj)</f>
        <v>0</v>
      </c>
      <c r="X315" s="8" t="n">
        <f aca="false">X309*(VST_Assets!$AD$11+VST_PPAAdj)/1000000*(1+VST_RevAdj)</f>
        <v>0</v>
      </c>
      <c r="Y315" s="8" t="n">
        <f aca="false">Y309*(VST_Assets!$AD$11+VST_PPAAdj)/1000000*(1+VST_RevAdj)</f>
        <v>0</v>
      </c>
      <c r="Z315" s="8" t="n">
        <f aca="false">Z309*(VST_Assets!$AD$11+VST_PPAAdj)/1000000*(1+VST_RevAdj)</f>
        <v>0</v>
      </c>
      <c r="AA315" s="8" t="n">
        <f aca="false">AA309*(VST_Assets!$AD$11+VST_PPAAdj)/1000000*(1+VST_RevAdj)</f>
        <v>0</v>
      </c>
      <c r="AB315" s="8" t="n">
        <f aca="false">AB309*(VST_Assets!$AD$11+VST_PPAAdj)/1000000*(1+VST_RevAdj)</f>
        <v>0</v>
      </c>
      <c r="AC315" s="8" t="n">
        <f aca="false">AC309*(VST_Assets!$AD$11+VST_PPAAdj)/1000000*(1+VST_RevAdj)</f>
        <v>0</v>
      </c>
      <c r="AD315" s="8" t="n">
        <f aca="false">AD309*(VST_Assets!$AD$11+VST_PPAAdj)/1000000*(1+VST_RevAdj)</f>
        <v>0</v>
      </c>
      <c r="AE315" s="8" t="n">
        <f aca="false">AE309*(VST_Assets!$AD$11+VST_PPAAdj)/1000000*(1+VST_RevAdj)</f>
        <v>0</v>
      </c>
      <c r="AF315" s="8" t="n">
        <f aca="false">AF309*(VST_Assets!$AD$11+VST_PPAAdj)/1000000*(1+VST_RevAdj)</f>
        <v>0</v>
      </c>
      <c r="AG315" s="8" t="n">
        <f aca="false">AG309*(VST_Assets!$AD$11+VST_PPAAdj)/1000000*(1+VST_RevAdj)</f>
        <v>0</v>
      </c>
      <c r="AH315" s="8" t="n">
        <f aca="false">AH309*(VST_Assets!$AD$11+VST_PPAAdj)/1000000*(1+VST_RevAdj)</f>
        <v>0</v>
      </c>
      <c r="AI315" s="8" t="n">
        <f aca="false">AI309*(VST_Assets!$AD$11+VST_PPAAdj)/1000000*(1+VST_RevAdj)</f>
        <v>0</v>
      </c>
      <c r="AJ315" s="8" t="n">
        <f aca="false">AJ309*(VST_Assets!$AD$11+VST_PPAAdj)/1000000*(1+VST_RevAdj)</f>
        <v>0</v>
      </c>
      <c r="AK315" s="8" t="n">
        <f aca="false">AK309*(VST_Assets!$AD$11+VST_PPAAdj)/1000000*(1+VST_RevAdj)</f>
        <v>0</v>
      </c>
      <c r="AL315" s="8" t="n">
        <f aca="false">AL309*(VST_Assets!$AD$11+VST_PPAAdj)/1000000*(1+VST_RevAdj)</f>
        <v>0</v>
      </c>
      <c r="AM315" s="8" t="n">
        <f aca="false">AM309*(VST_Assets!$AD$11+VST_PPAAdj)/1000000*(1+VST_RevAdj)</f>
        <v>0</v>
      </c>
      <c r="AN315" s="8" t="n">
        <f aca="false">AN309*(VST_Assets!$AD$11+VST_PPAAdj)/1000000*(1+VST_RevAdj)</f>
        <v>0</v>
      </c>
      <c r="AO315" s="8" t="n">
        <f aca="false">AO309*(VST_Assets!$AD$11+VST_PPAAdj)/1000000*(1+VST_RevAdj)</f>
        <v>0</v>
      </c>
      <c r="AP315" s="8" t="n">
        <f aca="false">AP309*(VST_Assets!$AD$11+VST_PPAAdj)/1000000*(1+VST_RevAdj)</f>
        <v>0</v>
      </c>
      <c r="AQ315" s="8" t="n">
        <f aca="false">AQ309*(VST_Assets!$AD$11+VST_PPAAdj)/1000000*(1+VST_RevAdj)</f>
        <v>0</v>
      </c>
      <c r="AR315" s="8" t="n">
        <f aca="false">AR309*(VST_Assets!$AD$11+VST_PPAAdj)/1000000*(1+VST_RevAdj)</f>
        <v>0</v>
      </c>
      <c r="AS315" s="8" t="n">
        <f aca="false">AS309*(VST_Assets!$AD$11+VST_PPAAdj)/1000000*(1+VST_RevAdj)</f>
        <v>0</v>
      </c>
    </row>
    <row r="316" customFormat="false" ht="15" hidden="false" customHeight="false" outlineLevel="0" collapsed="false">
      <c r="A316" s="6" t="s">
        <v>445</v>
      </c>
      <c r="B316" s="6" t="s">
        <v>446</v>
      </c>
      <c r="C316" s="9" t="n">
        <f aca="false">SUM(G316:AS316)</f>
        <v>0</v>
      </c>
      <c r="G316" s="8" t="n">
        <f aca="false">IF(G$3&lt;=VST_Assets!$V$11,G308*VST_Assets!$U$11,0)/1000000*(1+VST_RevAdj)</f>
        <v>0</v>
      </c>
      <c r="H316" s="8" t="n">
        <f aca="false">IF(H$3&lt;=VST_Assets!$V$11,H308*VST_Assets!$U$11,0)/1000000*(1+VST_RevAdj)</f>
        <v>0</v>
      </c>
      <c r="I316" s="8" t="n">
        <f aca="false">IF(I$3&lt;=VST_Assets!$V$11,I308*VST_Assets!$U$11,0)/1000000*(1+VST_RevAdj)</f>
        <v>0</v>
      </c>
      <c r="J316" s="8" t="n">
        <f aca="false">IF(J$3&lt;=VST_Assets!$V$11,J308*VST_Assets!$U$11,0)/1000000*(1+VST_RevAdj)</f>
        <v>0</v>
      </c>
      <c r="K316" s="8" t="n">
        <f aca="false">IF(K$3&lt;=VST_Assets!$V$11,K308*VST_Assets!$U$11,0)/1000000*(1+VST_RevAdj)</f>
        <v>0</v>
      </c>
      <c r="L316" s="8" t="n">
        <f aca="false">IF(L$3&lt;=VST_Assets!$V$11,L308*VST_Assets!$U$11,0)/1000000*(1+VST_RevAdj)</f>
        <v>0</v>
      </c>
      <c r="M316" s="8" t="n">
        <f aca="false">IF(M$3&lt;=VST_Assets!$V$11,M308*VST_Assets!$U$11,0)/1000000*(1+VST_RevAdj)</f>
        <v>0</v>
      </c>
      <c r="N316" s="8" t="n">
        <f aca="false">IF(N$3&lt;=VST_Assets!$V$11,N308*VST_Assets!$U$11,0)/1000000*(1+VST_RevAdj)</f>
        <v>0</v>
      </c>
      <c r="O316" s="8" t="n">
        <f aca="false">IF(O$3&lt;=VST_Assets!$V$11,O308*VST_Assets!$U$11,0)/1000000*(1+VST_RevAdj)</f>
        <v>0</v>
      </c>
      <c r="P316" s="8" t="n">
        <f aca="false">IF(P$3&lt;=VST_Assets!$V$11,P308*VST_Assets!$U$11,0)/1000000*(1+VST_RevAdj)</f>
        <v>0</v>
      </c>
      <c r="Q316" s="8" t="n">
        <f aca="false">IF(Q$3&lt;=VST_Assets!$V$11,Q308*VST_Assets!$U$11,0)/1000000*(1+VST_RevAdj)</f>
        <v>0</v>
      </c>
      <c r="R316" s="8" t="n">
        <f aca="false">IF(R$3&lt;=VST_Assets!$V$11,R308*VST_Assets!$U$11,0)/1000000*(1+VST_RevAdj)</f>
        <v>0</v>
      </c>
      <c r="S316" s="8" t="n">
        <f aca="false">IF(S$3&lt;=VST_Assets!$V$11,S308*VST_Assets!$U$11,0)/1000000*(1+VST_RevAdj)</f>
        <v>0</v>
      </c>
      <c r="T316" s="8" t="n">
        <f aca="false">IF(T$3&lt;=VST_Assets!$V$11,T308*VST_Assets!$U$11,0)/1000000*(1+VST_RevAdj)</f>
        <v>0</v>
      </c>
      <c r="U316" s="8" t="n">
        <f aca="false">IF(U$3&lt;=VST_Assets!$V$11,U308*VST_Assets!$U$11,0)/1000000*(1+VST_RevAdj)</f>
        <v>0</v>
      </c>
      <c r="V316" s="8" t="n">
        <f aca="false">IF(V$3&lt;=VST_Assets!$V$11,V308*VST_Assets!$U$11,0)/1000000*(1+VST_RevAdj)</f>
        <v>0</v>
      </c>
      <c r="W316" s="8" t="n">
        <f aca="false">IF(W$3&lt;=VST_Assets!$V$11,W308*VST_Assets!$U$11,0)/1000000*(1+VST_RevAdj)</f>
        <v>0</v>
      </c>
      <c r="X316" s="8" t="n">
        <f aca="false">IF(X$3&lt;=VST_Assets!$V$11,X308*VST_Assets!$U$11,0)/1000000*(1+VST_RevAdj)</f>
        <v>0</v>
      </c>
      <c r="Y316" s="8" t="n">
        <f aca="false">IF(Y$3&lt;=VST_Assets!$V$11,Y308*VST_Assets!$U$11,0)/1000000*(1+VST_RevAdj)</f>
        <v>0</v>
      </c>
      <c r="Z316" s="8" t="n">
        <f aca="false">IF(Z$3&lt;=VST_Assets!$V$11,Z308*VST_Assets!$U$11,0)/1000000*(1+VST_RevAdj)</f>
        <v>0</v>
      </c>
      <c r="AA316" s="8" t="n">
        <f aca="false">IF(AA$3&lt;=VST_Assets!$V$11,AA308*VST_Assets!$U$11,0)/1000000*(1+VST_RevAdj)</f>
        <v>0</v>
      </c>
      <c r="AB316" s="8" t="n">
        <f aca="false">IF(AB$3&lt;=VST_Assets!$V$11,AB308*VST_Assets!$U$11,0)/1000000*(1+VST_RevAdj)</f>
        <v>0</v>
      </c>
      <c r="AC316" s="8" t="n">
        <f aca="false">IF(AC$3&lt;=VST_Assets!$V$11,AC308*VST_Assets!$U$11,0)/1000000*(1+VST_RevAdj)</f>
        <v>0</v>
      </c>
      <c r="AD316" s="8" t="n">
        <f aca="false">IF(AD$3&lt;=VST_Assets!$V$11,AD308*VST_Assets!$U$11,0)/1000000*(1+VST_RevAdj)</f>
        <v>0</v>
      </c>
      <c r="AE316" s="8" t="n">
        <f aca="false">IF(AE$3&lt;=VST_Assets!$V$11,AE308*VST_Assets!$U$11,0)/1000000*(1+VST_RevAdj)</f>
        <v>0</v>
      </c>
      <c r="AF316" s="8" t="n">
        <f aca="false">IF(AF$3&lt;=VST_Assets!$V$11,AF308*VST_Assets!$U$11,0)/1000000*(1+VST_RevAdj)</f>
        <v>0</v>
      </c>
      <c r="AG316" s="8" t="n">
        <f aca="false">IF(AG$3&lt;=VST_Assets!$V$11,AG308*VST_Assets!$U$11,0)/1000000*(1+VST_RevAdj)</f>
        <v>0</v>
      </c>
      <c r="AH316" s="8" t="n">
        <f aca="false">IF(AH$3&lt;=VST_Assets!$V$11,AH308*VST_Assets!$U$11,0)/1000000*(1+VST_RevAdj)</f>
        <v>0</v>
      </c>
      <c r="AI316" s="8" t="n">
        <f aca="false">IF(AI$3&lt;=VST_Assets!$V$11,AI308*VST_Assets!$U$11,0)/1000000*(1+VST_RevAdj)</f>
        <v>0</v>
      </c>
      <c r="AJ316" s="8" t="n">
        <f aca="false">IF(AJ$3&lt;=VST_Assets!$V$11,AJ308*VST_Assets!$U$11,0)/1000000*(1+VST_RevAdj)</f>
        <v>0</v>
      </c>
      <c r="AK316" s="8" t="n">
        <f aca="false">IF(AK$3&lt;=VST_Assets!$V$11,AK308*VST_Assets!$U$11,0)/1000000*(1+VST_RevAdj)</f>
        <v>0</v>
      </c>
      <c r="AL316" s="8" t="n">
        <f aca="false">IF(AL$3&lt;=VST_Assets!$V$11,AL308*VST_Assets!$U$11,0)/1000000*(1+VST_RevAdj)</f>
        <v>0</v>
      </c>
      <c r="AM316" s="8" t="n">
        <f aca="false">IF(AM$3&lt;=VST_Assets!$V$11,AM308*VST_Assets!$U$11,0)/1000000*(1+VST_RevAdj)</f>
        <v>0</v>
      </c>
      <c r="AN316" s="8" t="n">
        <f aca="false">IF(AN$3&lt;=VST_Assets!$V$11,AN308*VST_Assets!$U$11,0)/1000000*(1+VST_RevAdj)</f>
        <v>0</v>
      </c>
      <c r="AO316" s="8" t="n">
        <f aca="false">IF(AO$3&lt;=VST_Assets!$V$11,AO308*VST_Assets!$U$11,0)/1000000*(1+VST_RevAdj)</f>
        <v>0</v>
      </c>
      <c r="AP316" s="8" t="n">
        <f aca="false">IF(AP$3&lt;=VST_Assets!$V$11,AP308*VST_Assets!$U$11,0)/1000000*(1+VST_RevAdj)</f>
        <v>0</v>
      </c>
      <c r="AQ316" s="8" t="n">
        <f aca="false">IF(AQ$3&lt;=VST_Assets!$V$11,AQ308*VST_Assets!$U$11,0)/1000000*(1+VST_RevAdj)</f>
        <v>0</v>
      </c>
      <c r="AR316" s="8" t="n">
        <f aca="false">IF(AR$3&lt;=VST_Assets!$V$11,AR308*VST_Assets!$U$11,0)/1000000*(1+VST_RevAdj)</f>
        <v>0</v>
      </c>
      <c r="AS316" s="8" t="n">
        <f aca="false">IF(AS$3&lt;=VST_Assets!$V$11,AS308*VST_Assets!$U$11,0)/1000000*(1+VST_RevAdj)</f>
        <v>0</v>
      </c>
    </row>
    <row r="317" customFormat="false" ht="15" hidden="false" customHeight="false" outlineLevel="0" collapsed="false">
      <c r="A317" s="6" t="s">
        <v>447</v>
      </c>
      <c r="B317" s="6" t="s">
        <v>448</v>
      </c>
      <c r="C317" s="9" t="n">
        <f aca="false">SUM(G317:AS317)</f>
        <v>9937.5821712218</v>
      </c>
      <c r="G317" s="8" t="n">
        <f aca="false">G313+G314+G315+G316</f>
        <v>985.1058</v>
      </c>
      <c r="H317" s="8" t="n">
        <f aca="false">H313+H314+H315+H316</f>
        <v>1025.3142</v>
      </c>
      <c r="I317" s="8" t="n">
        <f aca="false">I313+I314+I315+I316</f>
        <v>1056.61101528684</v>
      </c>
      <c r="J317" s="8" t="n">
        <f aca="false">J313+J314+J315+J316</f>
        <v>1089.15970318515</v>
      </c>
      <c r="K317" s="8" t="n">
        <f aca="false">K313+K314+K315+K316</f>
        <v>1110.94289724886</v>
      </c>
      <c r="L317" s="8" t="n">
        <f aca="false">L313+L314+L315+L316</f>
        <v>1133.16175519383</v>
      </c>
      <c r="M317" s="8" t="n">
        <f aca="false">M313+M314+M315+M316</f>
        <v>1155.82499029771</v>
      </c>
      <c r="N317" s="8" t="n">
        <f aca="false">N313+N314+N315+N316</f>
        <v>1178.94149010366</v>
      </c>
      <c r="O317" s="8" t="n">
        <f aca="false">O313+O314+O315+O316</f>
        <v>1202.52031990574</v>
      </c>
      <c r="P317" s="8" t="n">
        <f aca="false">P313+P314+P315+P316</f>
        <v>0</v>
      </c>
      <c r="Q317" s="8" t="n">
        <f aca="false">Q313+Q314+Q315+Q316</f>
        <v>0</v>
      </c>
      <c r="R317" s="8" t="n">
        <f aca="false">R313+R314+R315+R316</f>
        <v>0</v>
      </c>
      <c r="S317" s="8" t="n">
        <f aca="false">S313+S314+S315+S316</f>
        <v>0</v>
      </c>
      <c r="T317" s="8" t="n">
        <f aca="false">T313+T314+T315+T316</f>
        <v>0</v>
      </c>
      <c r="U317" s="8" t="n">
        <f aca="false">U313+U314+U315+U316</f>
        <v>0</v>
      </c>
      <c r="V317" s="8" t="n">
        <f aca="false">V313+V314+V315+V316</f>
        <v>0</v>
      </c>
      <c r="W317" s="8" t="n">
        <f aca="false">W313+W314+W315+W316</f>
        <v>0</v>
      </c>
      <c r="X317" s="8" t="n">
        <f aca="false">X313+X314+X315+X316</f>
        <v>0</v>
      </c>
      <c r="Y317" s="8" t="n">
        <f aca="false">Y313+Y314+Y315+Y316</f>
        <v>0</v>
      </c>
      <c r="Z317" s="8" t="n">
        <f aca="false">Z313+Z314+Z315+Z316</f>
        <v>0</v>
      </c>
      <c r="AA317" s="8" t="n">
        <f aca="false">AA313+AA314+AA315+AA316</f>
        <v>0</v>
      </c>
      <c r="AB317" s="8" t="n">
        <f aca="false">AB313+AB314+AB315+AB316</f>
        <v>0</v>
      </c>
      <c r="AC317" s="8" t="n">
        <f aca="false">AC313+AC314+AC315+AC316</f>
        <v>0</v>
      </c>
      <c r="AD317" s="8" t="n">
        <f aca="false">AD313+AD314+AD315+AD316</f>
        <v>0</v>
      </c>
      <c r="AE317" s="8" t="n">
        <f aca="false">AE313+AE314+AE315+AE316</f>
        <v>0</v>
      </c>
      <c r="AF317" s="8" t="n">
        <f aca="false">AF313+AF314+AF315+AF316</f>
        <v>0</v>
      </c>
      <c r="AG317" s="8" t="n">
        <f aca="false">AG313+AG314+AG315+AG316</f>
        <v>0</v>
      </c>
      <c r="AH317" s="8" t="n">
        <f aca="false">AH313+AH314+AH315+AH316</f>
        <v>0</v>
      </c>
      <c r="AI317" s="8" t="n">
        <f aca="false">AI313+AI314+AI315+AI316</f>
        <v>0</v>
      </c>
      <c r="AJ317" s="8" t="n">
        <f aca="false">AJ313+AJ314+AJ315+AJ316</f>
        <v>0</v>
      </c>
      <c r="AK317" s="8" t="n">
        <f aca="false">AK313+AK314+AK315+AK316</f>
        <v>0</v>
      </c>
      <c r="AL317" s="8" t="n">
        <f aca="false">AL313+AL314+AL315+AL316</f>
        <v>0</v>
      </c>
      <c r="AM317" s="8" t="n">
        <f aca="false">AM313+AM314+AM315+AM316</f>
        <v>0</v>
      </c>
      <c r="AN317" s="8" t="n">
        <f aca="false">AN313+AN314+AN315+AN316</f>
        <v>0</v>
      </c>
      <c r="AO317" s="8" t="n">
        <f aca="false">AO313+AO314+AO315+AO316</f>
        <v>0</v>
      </c>
      <c r="AP317" s="8" t="n">
        <f aca="false">AP313+AP314+AP315+AP316</f>
        <v>0</v>
      </c>
      <c r="AQ317" s="8" t="n">
        <f aca="false">AQ313+AQ314+AQ315+AQ316</f>
        <v>0</v>
      </c>
      <c r="AR317" s="8" t="n">
        <f aca="false">AR313+AR314+AR315+AR316</f>
        <v>0</v>
      </c>
      <c r="AS317" s="8" t="n">
        <f aca="false">AS313+AS314+AS315+AS316</f>
        <v>0</v>
      </c>
    </row>
    <row r="318" customFormat="false" ht="15" hidden="false" customHeight="false" outlineLevel="0" collapsed="false">
      <c r="A318" s="6" t="s">
        <v>449</v>
      </c>
      <c r="B318" s="6" t="s">
        <v>450</v>
      </c>
      <c r="C318" s="9" t="n">
        <f aca="false">SUM(G318:AS318)</f>
        <v>5573.41780571536</v>
      </c>
      <c r="G318" s="8" t="n">
        <f aca="false">((VST_Assets!$K$11*G310+VST_Assets!$M$11*G$4)*G308*G312+VST_Assets!$N$11*(1+VST_Assets!$Q$11)^(G$3-2026)*(G308+G309))/1000000*(1+VST_FuelAdj)</f>
        <v>571.361364</v>
      </c>
      <c r="H318" s="8" t="n">
        <f aca="false">((VST_Assets!$K$11*H310+VST_Assets!$M$11*H$4)*H308*H312+VST_Assets!$N$11*(1+VST_Assets!$Q$11)^(H$3-2026)*(H308+H309))/1000000*(1+VST_FuelAdj)</f>
        <v>582.78859128</v>
      </c>
      <c r="I318" s="8" t="n">
        <f aca="false">((VST_Assets!$K$11*I310+VST_Assets!$M$11*I$4)*I308*I312+VST_Assets!$N$11*(1+VST_Assets!$Q$11)^(I$3-2026)*(I308+I309))/1000000*(1+VST_FuelAdj)</f>
        <v>594.4443631056</v>
      </c>
      <c r="J318" s="8" t="n">
        <f aca="false">((VST_Assets!$K$11*J310+VST_Assets!$M$11*J$4)*J308*J312+VST_Assets!$N$11*(1+VST_Assets!$Q$11)^(J$3-2026)*(J308+J309))/1000000*(1+VST_FuelAdj)</f>
        <v>606.333250367712</v>
      </c>
      <c r="K318" s="8" t="n">
        <f aca="false">((VST_Assets!$K$11*K310+VST_Assets!$M$11*K$4)*K308*K312+VST_Assets!$N$11*(1+VST_Assets!$Q$11)^(K$3-2026)*(K308+K309))/1000000*(1+VST_FuelAdj)</f>
        <v>618.459915375066</v>
      </c>
      <c r="L318" s="8" t="n">
        <f aca="false">((VST_Assets!$K$11*L310+VST_Assets!$M$11*L$4)*L308*L312+VST_Assets!$N$11*(1+VST_Assets!$Q$11)^(L$3-2026)*(L308+L309))/1000000*(1+VST_FuelAdj)</f>
        <v>630.829113682568</v>
      </c>
      <c r="M318" s="8" t="n">
        <f aca="false">((VST_Assets!$K$11*M310+VST_Assets!$M$11*M$4)*M308*M312+VST_Assets!$N$11*(1+VST_Assets!$Q$11)^(M$3-2026)*(M308+M309))/1000000*(1+VST_FuelAdj)</f>
        <v>643.445695956219</v>
      </c>
      <c r="N318" s="8" t="n">
        <f aca="false">((VST_Assets!$K$11*N310+VST_Assets!$M$11*N$4)*N308*N312+VST_Assets!$N$11*(1+VST_Assets!$Q$11)^(N$3-2026)*(N308+N309))/1000000*(1+VST_FuelAdj)</f>
        <v>656.314609875343</v>
      </c>
      <c r="O318" s="8" t="n">
        <f aca="false">((VST_Assets!$K$11*O310+VST_Assets!$M$11*O$4)*O308*O312+VST_Assets!$N$11*(1+VST_Assets!$Q$11)^(O$3-2026)*(O308+O309))/1000000*(1+VST_FuelAdj)</f>
        <v>669.44090207285</v>
      </c>
      <c r="P318" s="8" t="n">
        <f aca="false">((VST_Assets!$K$11*P310+VST_Assets!$M$11*P$4)*P308*P312+VST_Assets!$N$11*(1+VST_Assets!$Q$11)^(P$3-2026)*(P308+P309))/1000000*(1+VST_FuelAdj)</f>
        <v>0</v>
      </c>
      <c r="Q318" s="8" t="n">
        <f aca="false">((VST_Assets!$K$11*Q310+VST_Assets!$M$11*Q$4)*Q308*Q312+VST_Assets!$N$11*(1+VST_Assets!$Q$11)^(Q$3-2026)*(Q308+Q309))/1000000*(1+VST_FuelAdj)</f>
        <v>0</v>
      </c>
      <c r="R318" s="8" t="n">
        <f aca="false">((VST_Assets!$K$11*R310+VST_Assets!$M$11*R$4)*R308*R312+VST_Assets!$N$11*(1+VST_Assets!$Q$11)^(R$3-2026)*(R308+R309))/1000000*(1+VST_FuelAdj)</f>
        <v>0</v>
      </c>
      <c r="S318" s="8" t="n">
        <f aca="false">((VST_Assets!$K$11*S310+VST_Assets!$M$11*S$4)*S308*S312+VST_Assets!$N$11*(1+VST_Assets!$Q$11)^(S$3-2026)*(S308+S309))/1000000*(1+VST_FuelAdj)</f>
        <v>0</v>
      </c>
      <c r="T318" s="8" t="n">
        <f aca="false">((VST_Assets!$K$11*T310+VST_Assets!$M$11*T$4)*T308*T312+VST_Assets!$N$11*(1+VST_Assets!$Q$11)^(T$3-2026)*(T308+T309))/1000000*(1+VST_FuelAdj)</f>
        <v>0</v>
      </c>
      <c r="U318" s="8" t="n">
        <f aca="false">((VST_Assets!$K$11*U310+VST_Assets!$M$11*U$4)*U308*U312+VST_Assets!$N$11*(1+VST_Assets!$Q$11)^(U$3-2026)*(U308+U309))/1000000*(1+VST_FuelAdj)</f>
        <v>0</v>
      </c>
      <c r="V318" s="8" t="n">
        <f aca="false">((VST_Assets!$K$11*V310+VST_Assets!$M$11*V$4)*V308*V312+VST_Assets!$N$11*(1+VST_Assets!$Q$11)^(V$3-2026)*(V308+V309))/1000000*(1+VST_FuelAdj)</f>
        <v>0</v>
      </c>
      <c r="W318" s="8" t="n">
        <f aca="false">((VST_Assets!$K$11*W310+VST_Assets!$M$11*W$4)*W308*W312+VST_Assets!$N$11*(1+VST_Assets!$Q$11)^(W$3-2026)*(W308+W309))/1000000*(1+VST_FuelAdj)</f>
        <v>0</v>
      </c>
      <c r="X318" s="8" t="n">
        <f aca="false">((VST_Assets!$K$11*X310+VST_Assets!$M$11*X$4)*X308*X312+VST_Assets!$N$11*(1+VST_Assets!$Q$11)^(X$3-2026)*(X308+X309))/1000000*(1+VST_FuelAdj)</f>
        <v>0</v>
      </c>
      <c r="Y318" s="8" t="n">
        <f aca="false">((VST_Assets!$K$11*Y310+VST_Assets!$M$11*Y$4)*Y308*Y312+VST_Assets!$N$11*(1+VST_Assets!$Q$11)^(Y$3-2026)*(Y308+Y309))/1000000*(1+VST_FuelAdj)</f>
        <v>0</v>
      </c>
      <c r="Z318" s="8" t="n">
        <f aca="false">((VST_Assets!$K$11*Z310+VST_Assets!$M$11*Z$4)*Z308*Z312+VST_Assets!$N$11*(1+VST_Assets!$Q$11)^(Z$3-2026)*(Z308+Z309))/1000000*(1+VST_FuelAdj)</f>
        <v>0</v>
      </c>
      <c r="AA318" s="8" t="n">
        <f aca="false">((VST_Assets!$K$11*AA310+VST_Assets!$M$11*AA$4)*AA308*AA312+VST_Assets!$N$11*(1+VST_Assets!$Q$11)^(AA$3-2026)*(AA308+AA309))/1000000*(1+VST_FuelAdj)</f>
        <v>0</v>
      </c>
      <c r="AB318" s="8" t="n">
        <f aca="false">((VST_Assets!$K$11*AB310+VST_Assets!$M$11*AB$4)*AB308*AB312+VST_Assets!$N$11*(1+VST_Assets!$Q$11)^(AB$3-2026)*(AB308+AB309))/1000000*(1+VST_FuelAdj)</f>
        <v>0</v>
      </c>
      <c r="AC318" s="8" t="n">
        <f aca="false">((VST_Assets!$K$11*AC310+VST_Assets!$M$11*AC$4)*AC308*AC312+VST_Assets!$N$11*(1+VST_Assets!$Q$11)^(AC$3-2026)*(AC308+AC309))/1000000*(1+VST_FuelAdj)</f>
        <v>0</v>
      </c>
      <c r="AD318" s="8" t="n">
        <f aca="false">((VST_Assets!$K$11*AD310+VST_Assets!$M$11*AD$4)*AD308*AD312+VST_Assets!$N$11*(1+VST_Assets!$Q$11)^(AD$3-2026)*(AD308+AD309))/1000000*(1+VST_FuelAdj)</f>
        <v>0</v>
      </c>
      <c r="AE318" s="8" t="n">
        <f aca="false">((VST_Assets!$K$11*AE310+VST_Assets!$M$11*AE$4)*AE308*AE312+VST_Assets!$N$11*(1+VST_Assets!$Q$11)^(AE$3-2026)*(AE308+AE309))/1000000*(1+VST_FuelAdj)</f>
        <v>0</v>
      </c>
      <c r="AF318" s="8" t="n">
        <f aca="false">((VST_Assets!$K$11*AF310+VST_Assets!$M$11*AF$4)*AF308*AF312+VST_Assets!$N$11*(1+VST_Assets!$Q$11)^(AF$3-2026)*(AF308+AF309))/1000000*(1+VST_FuelAdj)</f>
        <v>0</v>
      </c>
      <c r="AG318" s="8" t="n">
        <f aca="false">((VST_Assets!$K$11*AG310+VST_Assets!$M$11*AG$4)*AG308*AG312+VST_Assets!$N$11*(1+VST_Assets!$Q$11)^(AG$3-2026)*(AG308+AG309))/1000000*(1+VST_FuelAdj)</f>
        <v>0</v>
      </c>
      <c r="AH318" s="8" t="n">
        <f aca="false">((VST_Assets!$K$11*AH310+VST_Assets!$M$11*AH$4)*AH308*AH312+VST_Assets!$N$11*(1+VST_Assets!$Q$11)^(AH$3-2026)*(AH308+AH309))/1000000*(1+VST_FuelAdj)</f>
        <v>0</v>
      </c>
      <c r="AI318" s="8" t="n">
        <f aca="false">((VST_Assets!$K$11*AI310+VST_Assets!$M$11*AI$4)*AI308*AI312+VST_Assets!$N$11*(1+VST_Assets!$Q$11)^(AI$3-2026)*(AI308+AI309))/1000000*(1+VST_FuelAdj)</f>
        <v>0</v>
      </c>
      <c r="AJ318" s="8" t="n">
        <f aca="false">((VST_Assets!$K$11*AJ310+VST_Assets!$M$11*AJ$4)*AJ308*AJ312+VST_Assets!$N$11*(1+VST_Assets!$Q$11)^(AJ$3-2026)*(AJ308+AJ309))/1000000*(1+VST_FuelAdj)</f>
        <v>0</v>
      </c>
      <c r="AK318" s="8" t="n">
        <f aca="false">((VST_Assets!$K$11*AK310+VST_Assets!$M$11*AK$4)*AK308*AK312+VST_Assets!$N$11*(1+VST_Assets!$Q$11)^(AK$3-2026)*(AK308+AK309))/1000000*(1+VST_FuelAdj)</f>
        <v>0</v>
      </c>
      <c r="AL318" s="8" t="n">
        <f aca="false">((VST_Assets!$K$11*AL310+VST_Assets!$M$11*AL$4)*AL308*AL312+VST_Assets!$N$11*(1+VST_Assets!$Q$11)^(AL$3-2026)*(AL308+AL309))/1000000*(1+VST_FuelAdj)</f>
        <v>0</v>
      </c>
      <c r="AM318" s="8" t="n">
        <f aca="false">((VST_Assets!$K$11*AM310+VST_Assets!$M$11*AM$4)*AM308*AM312+VST_Assets!$N$11*(1+VST_Assets!$Q$11)^(AM$3-2026)*(AM308+AM309))/1000000*(1+VST_FuelAdj)</f>
        <v>0</v>
      </c>
      <c r="AN318" s="8" t="n">
        <f aca="false">((VST_Assets!$K$11*AN310+VST_Assets!$M$11*AN$4)*AN308*AN312+VST_Assets!$N$11*(1+VST_Assets!$Q$11)^(AN$3-2026)*(AN308+AN309))/1000000*(1+VST_FuelAdj)</f>
        <v>0</v>
      </c>
      <c r="AO318" s="8" t="n">
        <f aca="false">((VST_Assets!$K$11*AO310+VST_Assets!$M$11*AO$4)*AO308*AO312+VST_Assets!$N$11*(1+VST_Assets!$Q$11)^(AO$3-2026)*(AO308+AO309))/1000000*(1+VST_FuelAdj)</f>
        <v>0</v>
      </c>
      <c r="AP318" s="8" t="n">
        <f aca="false">((VST_Assets!$K$11*AP310+VST_Assets!$M$11*AP$4)*AP308*AP312+VST_Assets!$N$11*(1+VST_Assets!$Q$11)^(AP$3-2026)*(AP308+AP309))/1000000*(1+VST_FuelAdj)</f>
        <v>0</v>
      </c>
      <c r="AQ318" s="8" t="n">
        <f aca="false">((VST_Assets!$K$11*AQ310+VST_Assets!$M$11*AQ$4)*AQ308*AQ312+VST_Assets!$N$11*(1+VST_Assets!$Q$11)^(AQ$3-2026)*(AQ308+AQ309))/1000000*(1+VST_FuelAdj)</f>
        <v>0</v>
      </c>
      <c r="AR318" s="8" t="n">
        <f aca="false">((VST_Assets!$K$11*AR310+VST_Assets!$M$11*AR$4)*AR308*AR312+VST_Assets!$N$11*(1+VST_Assets!$Q$11)^(AR$3-2026)*(AR308+AR309))/1000000*(1+VST_FuelAdj)</f>
        <v>0</v>
      </c>
      <c r="AS318" s="8" t="n">
        <f aca="false">((VST_Assets!$K$11*AS310+VST_Assets!$M$11*AS$4)*AS308*AS312+VST_Assets!$N$11*(1+VST_Assets!$Q$11)^(AS$3-2026)*(AS308+AS309))/1000000*(1+VST_FuelAdj)</f>
        <v>0</v>
      </c>
    </row>
    <row r="319" customFormat="false" ht="15" hidden="false" customHeight="false" outlineLevel="0" collapsed="false">
      <c r="A319" s="6" t="s">
        <v>451</v>
      </c>
      <c r="B319" s="6" t="s">
        <v>452</v>
      </c>
      <c r="C319" s="9" t="n">
        <f aca="false">SUM(G319:AS319)</f>
        <v>4364.16436550644</v>
      </c>
      <c r="G319" s="8" t="n">
        <f aca="false">G317-G318</f>
        <v>413.744436</v>
      </c>
      <c r="H319" s="8" t="n">
        <f aca="false">H317-H318</f>
        <v>442.52560872</v>
      </c>
      <c r="I319" s="8" t="n">
        <f aca="false">I317-I318</f>
        <v>462.16665218124</v>
      </c>
      <c r="J319" s="8" t="n">
        <f aca="false">J317-J318</f>
        <v>482.826452817442</v>
      </c>
      <c r="K319" s="8" t="n">
        <f aca="false">K317-K318</f>
        <v>492.482981873791</v>
      </c>
      <c r="L319" s="8" t="n">
        <f aca="false">L317-L318</f>
        <v>502.332641511266</v>
      </c>
      <c r="M319" s="8" t="n">
        <f aca="false">M317-M318</f>
        <v>512.379294341492</v>
      </c>
      <c r="N319" s="8" t="n">
        <f aca="false">N317-N318</f>
        <v>522.626880228322</v>
      </c>
      <c r="O319" s="8" t="n">
        <f aca="false">O317-O318</f>
        <v>533.079417832888</v>
      </c>
      <c r="P319" s="8" t="n">
        <f aca="false">P317-P318</f>
        <v>0</v>
      </c>
      <c r="Q319" s="8" t="n">
        <f aca="false">Q317-Q318</f>
        <v>0</v>
      </c>
      <c r="R319" s="8" t="n">
        <f aca="false">R317-R318</f>
        <v>0</v>
      </c>
      <c r="S319" s="8" t="n">
        <f aca="false">S317-S318</f>
        <v>0</v>
      </c>
      <c r="T319" s="8" t="n">
        <f aca="false">T317-T318</f>
        <v>0</v>
      </c>
      <c r="U319" s="8" t="n">
        <f aca="false">U317-U318</f>
        <v>0</v>
      </c>
      <c r="V319" s="8" t="n">
        <f aca="false">V317-V318</f>
        <v>0</v>
      </c>
      <c r="W319" s="8" t="n">
        <f aca="false">W317-W318</f>
        <v>0</v>
      </c>
      <c r="X319" s="8" t="n">
        <f aca="false">X317-X318</f>
        <v>0</v>
      </c>
      <c r="Y319" s="8" t="n">
        <f aca="false">Y317-Y318</f>
        <v>0</v>
      </c>
      <c r="Z319" s="8" t="n">
        <f aca="false">Z317-Z318</f>
        <v>0</v>
      </c>
      <c r="AA319" s="8" t="n">
        <f aca="false">AA317-AA318</f>
        <v>0</v>
      </c>
      <c r="AB319" s="8" t="n">
        <f aca="false">AB317-AB318</f>
        <v>0</v>
      </c>
      <c r="AC319" s="8" t="n">
        <f aca="false">AC317-AC318</f>
        <v>0</v>
      </c>
      <c r="AD319" s="8" t="n">
        <f aca="false">AD317-AD318</f>
        <v>0</v>
      </c>
      <c r="AE319" s="8" t="n">
        <f aca="false">AE317-AE318</f>
        <v>0</v>
      </c>
      <c r="AF319" s="8" t="n">
        <f aca="false">AF317-AF318</f>
        <v>0</v>
      </c>
      <c r="AG319" s="8" t="n">
        <f aca="false">AG317-AG318</f>
        <v>0</v>
      </c>
      <c r="AH319" s="8" t="n">
        <f aca="false">AH317-AH318</f>
        <v>0</v>
      </c>
      <c r="AI319" s="8" t="n">
        <f aca="false">AI317-AI318</f>
        <v>0</v>
      </c>
      <c r="AJ319" s="8" t="n">
        <f aca="false">AJ317-AJ318</f>
        <v>0</v>
      </c>
      <c r="AK319" s="8" t="n">
        <f aca="false">AK317-AK318</f>
        <v>0</v>
      </c>
      <c r="AL319" s="8" t="n">
        <f aca="false">AL317-AL318</f>
        <v>0</v>
      </c>
      <c r="AM319" s="8" t="n">
        <f aca="false">AM317-AM318</f>
        <v>0</v>
      </c>
      <c r="AN319" s="8" t="n">
        <f aca="false">AN317-AN318</f>
        <v>0</v>
      </c>
      <c r="AO319" s="8" t="n">
        <f aca="false">AO317-AO318</f>
        <v>0</v>
      </c>
      <c r="AP319" s="8" t="n">
        <f aca="false">AP317-AP318</f>
        <v>0</v>
      </c>
      <c r="AQ319" s="8" t="n">
        <f aca="false">AQ317-AQ318</f>
        <v>0</v>
      </c>
      <c r="AR319" s="8" t="n">
        <f aca="false">AR317-AR318</f>
        <v>0</v>
      </c>
      <c r="AS319" s="8" t="n">
        <f aca="false">AS317-AS318</f>
        <v>0</v>
      </c>
    </row>
    <row r="320" customFormat="false" ht="15" hidden="false" customHeight="false" outlineLevel="0" collapsed="false">
      <c r="A320" s="6" t="s">
        <v>453</v>
      </c>
      <c r="B320" s="6" t="s">
        <v>454</v>
      </c>
      <c r="C320" s="9" t="n">
        <f aca="false">SUM(G320:AS320)</f>
        <v>2238.68722494102</v>
      </c>
      <c r="G320" s="8" t="n">
        <f aca="false">(VST_Assets!$R$11*VST_Assets!$D$11*1000*G$4*G306+VST_Assets!$O$11*(1+VST_Assets!$Q$11)^(G$3-2026)*(G308+G309))/1000000*(1+VST_OMAdj)</f>
        <v>229.5</v>
      </c>
      <c r="H320" s="8" t="n">
        <f aca="false">(VST_Assets!$R$11*VST_Assets!$D$11*1000*H$4*H306+VST_Assets!$O$11*(1+VST_Assets!$Q$11)^(H$3-2026)*(H308+H309))/1000000*(1+VST_OMAdj)</f>
        <v>234.09</v>
      </c>
      <c r="I320" s="8" t="n">
        <f aca="false">(VST_Assets!$R$11*VST_Assets!$D$11*1000*I$4*I306+VST_Assets!$O$11*(1+VST_Assets!$Q$11)^(I$3-2026)*(I308+I309))/1000000*(1+VST_OMAdj)</f>
        <v>238.7718</v>
      </c>
      <c r="J320" s="8" t="n">
        <f aca="false">(VST_Assets!$R$11*VST_Assets!$D$11*1000*J$4*J306+VST_Assets!$O$11*(1+VST_Assets!$Q$11)^(J$3-2026)*(J308+J309))/1000000*(1+VST_OMAdj)</f>
        <v>243.547236</v>
      </c>
      <c r="K320" s="8" t="n">
        <f aca="false">(VST_Assets!$R$11*VST_Assets!$D$11*1000*K$4*K306+VST_Assets!$O$11*(1+VST_Assets!$Q$11)^(K$3-2026)*(K308+K309))/1000000*(1+VST_OMAdj)</f>
        <v>248.41818072</v>
      </c>
      <c r="L320" s="8" t="n">
        <f aca="false">(VST_Assets!$R$11*VST_Assets!$D$11*1000*L$4*L306+VST_Assets!$O$11*(1+VST_Assets!$Q$11)^(L$3-2026)*(L308+L309))/1000000*(1+VST_OMAdj)</f>
        <v>253.3865443344</v>
      </c>
      <c r="M320" s="8" t="n">
        <f aca="false">(VST_Assets!$R$11*VST_Assets!$D$11*1000*M$4*M306+VST_Assets!$O$11*(1+VST_Assets!$Q$11)^(M$3-2026)*(M308+M309))/1000000*(1+VST_OMAdj)</f>
        <v>258.454275221088</v>
      </c>
      <c r="N320" s="8" t="n">
        <f aca="false">(VST_Assets!$R$11*VST_Assets!$D$11*1000*N$4*N306+VST_Assets!$O$11*(1+VST_Assets!$Q$11)^(N$3-2026)*(N308+N309))/1000000*(1+VST_OMAdj)</f>
        <v>263.62336072551</v>
      </c>
      <c r="O320" s="8" t="n">
        <f aca="false">(VST_Assets!$R$11*VST_Assets!$D$11*1000*O$4*O306+VST_Assets!$O$11*(1+VST_Assets!$Q$11)^(O$3-2026)*(O308+O309))/1000000*(1+VST_OMAdj)</f>
        <v>268.89582794002</v>
      </c>
      <c r="P320" s="8" t="n">
        <f aca="false">(VST_Assets!$R$11*VST_Assets!$D$11*1000*P$4*P306+VST_Assets!$O$11*(1+VST_Assets!$Q$11)^(P$3-2026)*(P308+P309))/1000000*(1+VST_OMAdj)</f>
        <v>0</v>
      </c>
      <c r="Q320" s="8" t="n">
        <f aca="false">(VST_Assets!$R$11*VST_Assets!$D$11*1000*Q$4*Q306+VST_Assets!$O$11*(1+VST_Assets!$Q$11)^(Q$3-2026)*(Q308+Q309))/1000000*(1+VST_OMAdj)</f>
        <v>0</v>
      </c>
      <c r="R320" s="8" t="n">
        <f aca="false">(VST_Assets!$R$11*VST_Assets!$D$11*1000*R$4*R306+VST_Assets!$O$11*(1+VST_Assets!$Q$11)^(R$3-2026)*(R308+R309))/1000000*(1+VST_OMAdj)</f>
        <v>0</v>
      </c>
      <c r="S320" s="8" t="n">
        <f aca="false">(VST_Assets!$R$11*VST_Assets!$D$11*1000*S$4*S306+VST_Assets!$O$11*(1+VST_Assets!$Q$11)^(S$3-2026)*(S308+S309))/1000000*(1+VST_OMAdj)</f>
        <v>0</v>
      </c>
      <c r="T320" s="8" t="n">
        <f aca="false">(VST_Assets!$R$11*VST_Assets!$D$11*1000*T$4*T306+VST_Assets!$O$11*(1+VST_Assets!$Q$11)^(T$3-2026)*(T308+T309))/1000000*(1+VST_OMAdj)</f>
        <v>0</v>
      </c>
      <c r="U320" s="8" t="n">
        <f aca="false">(VST_Assets!$R$11*VST_Assets!$D$11*1000*U$4*U306+VST_Assets!$O$11*(1+VST_Assets!$Q$11)^(U$3-2026)*(U308+U309))/1000000*(1+VST_OMAdj)</f>
        <v>0</v>
      </c>
      <c r="V320" s="8" t="n">
        <f aca="false">(VST_Assets!$R$11*VST_Assets!$D$11*1000*V$4*V306+VST_Assets!$O$11*(1+VST_Assets!$Q$11)^(V$3-2026)*(V308+V309))/1000000*(1+VST_OMAdj)</f>
        <v>0</v>
      </c>
      <c r="W320" s="8" t="n">
        <f aca="false">(VST_Assets!$R$11*VST_Assets!$D$11*1000*W$4*W306+VST_Assets!$O$11*(1+VST_Assets!$Q$11)^(W$3-2026)*(W308+W309))/1000000*(1+VST_OMAdj)</f>
        <v>0</v>
      </c>
      <c r="X320" s="8" t="n">
        <f aca="false">(VST_Assets!$R$11*VST_Assets!$D$11*1000*X$4*X306+VST_Assets!$O$11*(1+VST_Assets!$Q$11)^(X$3-2026)*(X308+X309))/1000000*(1+VST_OMAdj)</f>
        <v>0</v>
      </c>
      <c r="Y320" s="8" t="n">
        <f aca="false">(VST_Assets!$R$11*VST_Assets!$D$11*1000*Y$4*Y306+VST_Assets!$O$11*(1+VST_Assets!$Q$11)^(Y$3-2026)*(Y308+Y309))/1000000*(1+VST_OMAdj)</f>
        <v>0</v>
      </c>
      <c r="Z320" s="8" t="n">
        <f aca="false">(VST_Assets!$R$11*VST_Assets!$D$11*1000*Z$4*Z306+VST_Assets!$O$11*(1+VST_Assets!$Q$11)^(Z$3-2026)*(Z308+Z309))/1000000*(1+VST_OMAdj)</f>
        <v>0</v>
      </c>
      <c r="AA320" s="8" t="n">
        <f aca="false">(VST_Assets!$R$11*VST_Assets!$D$11*1000*AA$4*AA306+VST_Assets!$O$11*(1+VST_Assets!$Q$11)^(AA$3-2026)*(AA308+AA309))/1000000*(1+VST_OMAdj)</f>
        <v>0</v>
      </c>
      <c r="AB320" s="8" t="n">
        <f aca="false">(VST_Assets!$R$11*VST_Assets!$D$11*1000*AB$4*AB306+VST_Assets!$O$11*(1+VST_Assets!$Q$11)^(AB$3-2026)*(AB308+AB309))/1000000*(1+VST_OMAdj)</f>
        <v>0</v>
      </c>
      <c r="AC320" s="8" t="n">
        <f aca="false">(VST_Assets!$R$11*VST_Assets!$D$11*1000*AC$4*AC306+VST_Assets!$O$11*(1+VST_Assets!$Q$11)^(AC$3-2026)*(AC308+AC309))/1000000*(1+VST_OMAdj)</f>
        <v>0</v>
      </c>
      <c r="AD320" s="8" t="n">
        <f aca="false">(VST_Assets!$R$11*VST_Assets!$D$11*1000*AD$4*AD306+VST_Assets!$O$11*(1+VST_Assets!$Q$11)^(AD$3-2026)*(AD308+AD309))/1000000*(1+VST_OMAdj)</f>
        <v>0</v>
      </c>
      <c r="AE320" s="8" t="n">
        <f aca="false">(VST_Assets!$R$11*VST_Assets!$D$11*1000*AE$4*AE306+VST_Assets!$O$11*(1+VST_Assets!$Q$11)^(AE$3-2026)*(AE308+AE309))/1000000*(1+VST_OMAdj)</f>
        <v>0</v>
      </c>
      <c r="AF320" s="8" t="n">
        <f aca="false">(VST_Assets!$R$11*VST_Assets!$D$11*1000*AF$4*AF306+VST_Assets!$O$11*(1+VST_Assets!$Q$11)^(AF$3-2026)*(AF308+AF309))/1000000*(1+VST_OMAdj)</f>
        <v>0</v>
      </c>
      <c r="AG320" s="8" t="n">
        <f aca="false">(VST_Assets!$R$11*VST_Assets!$D$11*1000*AG$4*AG306+VST_Assets!$O$11*(1+VST_Assets!$Q$11)^(AG$3-2026)*(AG308+AG309))/1000000*(1+VST_OMAdj)</f>
        <v>0</v>
      </c>
      <c r="AH320" s="8" t="n">
        <f aca="false">(VST_Assets!$R$11*VST_Assets!$D$11*1000*AH$4*AH306+VST_Assets!$O$11*(1+VST_Assets!$Q$11)^(AH$3-2026)*(AH308+AH309))/1000000*(1+VST_OMAdj)</f>
        <v>0</v>
      </c>
      <c r="AI320" s="8" t="n">
        <f aca="false">(VST_Assets!$R$11*VST_Assets!$D$11*1000*AI$4*AI306+VST_Assets!$O$11*(1+VST_Assets!$Q$11)^(AI$3-2026)*(AI308+AI309))/1000000*(1+VST_OMAdj)</f>
        <v>0</v>
      </c>
      <c r="AJ320" s="8" t="n">
        <f aca="false">(VST_Assets!$R$11*VST_Assets!$D$11*1000*AJ$4*AJ306+VST_Assets!$O$11*(1+VST_Assets!$Q$11)^(AJ$3-2026)*(AJ308+AJ309))/1000000*(1+VST_OMAdj)</f>
        <v>0</v>
      </c>
      <c r="AK320" s="8" t="n">
        <f aca="false">(VST_Assets!$R$11*VST_Assets!$D$11*1000*AK$4*AK306+VST_Assets!$O$11*(1+VST_Assets!$Q$11)^(AK$3-2026)*(AK308+AK309))/1000000*(1+VST_OMAdj)</f>
        <v>0</v>
      </c>
      <c r="AL320" s="8" t="n">
        <f aca="false">(VST_Assets!$R$11*VST_Assets!$D$11*1000*AL$4*AL306+VST_Assets!$O$11*(1+VST_Assets!$Q$11)^(AL$3-2026)*(AL308+AL309))/1000000*(1+VST_OMAdj)</f>
        <v>0</v>
      </c>
      <c r="AM320" s="8" t="n">
        <f aca="false">(VST_Assets!$R$11*VST_Assets!$D$11*1000*AM$4*AM306+VST_Assets!$O$11*(1+VST_Assets!$Q$11)^(AM$3-2026)*(AM308+AM309))/1000000*(1+VST_OMAdj)</f>
        <v>0</v>
      </c>
      <c r="AN320" s="8" t="n">
        <f aca="false">(VST_Assets!$R$11*VST_Assets!$D$11*1000*AN$4*AN306+VST_Assets!$O$11*(1+VST_Assets!$Q$11)^(AN$3-2026)*(AN308+AN309))/1000000*(1+VST_OMAdj)</f>
        <v>0</v>
      </c>
      <c r="AO320" s="8" t="n">
        <f aca="false">(VST_Assets!$R$11*VST_Assets!$D$11*1000*AO$4*AO306+VST_Assets!$O$11*(1+VST_Assets!$Q$11)^(AO$3-2026)*(AO308+AO309))/1000000*(1+VST_OMAdj)</f>
        <v>0</v>
      </c>
      <c r="AP320" s="8" t="n">
        <f aca="false">(VST_Assets!$R$11*VST_Assets!$D$11*1000*AP$4*AP306+VST_Assets!$O$11*(1+VST_Assets!$Q$11)^(AP$3-2026)*(AP308+AP309))/1000000*(1+VST_OMAdj)</f>
        <v>0</v>
      </c>
      <c r="AQ320" s="8" t="n">
        <f aca="false">(VST_Assets!$R$11*VST_Assets!$D$11*1000*AQ$4*AQ306+VST_Assets!$O$11*(1+VST_Assets!$Q$11)^(AQ$3-2026)*(AQ308+AQ309))/1000000*(1+VST_OMAdj)</f>
        <v>0</v>
      </c>
      <c r="AR320" s="8" t="n">
        <f aca="false">(VST_Assets!$R$11*VST_Assets!$D$11*1000*AR$4*AR306+VST_Assets!$O$11*(1+VST_Assets!$Q$11)^(AR$3-2026)*(AR308+AR309))/1000000*(1+VST_OMAdj)</f>
        <v>0</v>
      </c>
      <c r="AS320" s="8" t="n">
        <f aca="false">(VST_Assets!$R$11*VST_Assets!$D$11*1000*AS$4*AS306+VST_Assets!$O$11*(1+VST_Assets!$Q$11)^(AS$3-2026)*(AS308+AS309))/1000000*(1+VST_OMAdj)</f>
        <v>0</v>
      </c>
    </row>
    <row r="321" customFormat="false" ht="15" hidden="false" customHeight="false" outlineLevel="0" collapsed="false">
      <c r="A321" s="6" t="s">
        <v>455</v>
      </c>
      <c r="B321" s="6" t="s">
        <v>456</v>
      </c>
      <c r="C321" s="9" t="n">
        <f aca="false">SUM(G321:AS321)</f>
        <v>2125.47714056542</v>
      </c>
      <c r="G321" s="8" t="n">
        <f aca="false">G319-G320</f>
        <v>184.244436</v>
      </c>
      <c r="H321" s="8" t="n">
        <f aca="false">H319-H320</f>
        <v>208.43560872</v>
      </c>
      <c r="I321" s="8" t="n">
        <f aca="false">I319-I320</f>
        <v>223.39485218124</v>
      </c>
      <c r="J321" s="8" t="n">
        <f aca="false">J319-J320</f>
        <v>239.279216817442</v>
      </c>
      <c r="K321" s="8" t="n">
        <f aca="false">K319-K320</f>
        <v>244.064801153791</v>
      </c>
      <c r="L321" s="8" t="n">
        <f aca="false">L319-L320</f>
        <v>248.946097176866</v>
      </c>
      <c r="M321" s="8" t="n">
        <f aca="false">M319-M320</f>
        <v>253.925019120404</v>
      </c>
      <c r="N321" s="8" t="n">
        <f aca="false">N319-N320</f>
        <v>259.003519502812</v>
      </c>
      <c r="O321" s="8" t="n">
        <f aca="false">O319-O320</f>
        <v>264.183589892868</v>
      </c>
      <c r="P321" s="8" t="n">
        <f aca="false">P319-P320</f>
        <v>0</v>
      </c>
      <c r="Q321" s="8" t="n">
        <f aca="false">Q319-Q320</f>
        <v>0</v>
      </c>
      <c r="R321" s="8" t="n">
        <f aca="false">R319-R320</f>
        <v>0</v>
      </c>
      <c r="S321" s="8" t="n">
        <f aca="false">S319-S320</f>
        <v>0</v>
      </c>
      <c r="T321" s="8" t="n">
        <f aca="false">T319-T320</f>
        <v>0</v>
      </c>
      <c r="U321" s="8" t="n">
        <f aca="false">U319-U320</f>
        <v>0</v>
      </c>
      <c r="V321" s="8" t="n">
        <f aca="false">V319-V320</f>
        <v>0</v>
      </c>
      <c r="W321" s="8" t="n">
        <f aca="false">W319-W320</f>
        <v>0</v>
      </c>
      <c r="X321" s="8" t="n">
        <f aca="false">X319-X320</f>
        <v>0</v>
      </c>
      <c r="Y321" s="8" t="n">
        <f aca="false">Y319-Y320</f>
        <v>0</v>
      </c>
      <c r="Z321" s="8" t="n">
        <f aca="false">Z319-Z320</f>
        <v>0</v>
      </c>
      <c r="AA321" s="8" t="n">
        <f aca="false">AA319-AA320</f>
        <v>0</v>
      </c>
      <c r="AB321" s="8" t="n">
        <f aca="false">AB319-AB320</f>
        <v>0</v>
      </c>
      <c r="AC321" s="8" t="n">
        <f aca="false">AC319-AC320</f>
        <v>0</v>
      </c>
      <c r="AD321" s="8" t="n">
        <f aca="false">AD319-AD320</f>
        <v>0</v>
      </c>
      <c r="AE321" s="8" t="n">
        <f aca="false">AE319-AE320</f>
        <v>0</v>
      </c>
      <c r="AF321" s="8" t="n">
        <f aca="false">AF319-AF320</f>
        <v>0</v>
      </c>
      <c r="AG321" s="8" t="n">
        <f aca="false">AG319-AG320</f>
        <v>0</v>
      </c>
      <c r="AH321" s="8" t="n">
        <f aca="false">AH319-AH320</f>
        <v>0</v>
      </c>
      <c r="AI321" s="8" t="n">
        <f aca="false">AI319-AI320</f>
        <v>0</v>
      </c>
      <c r="AJ321" s="8" t="n">
        <f aca="false">AJ319-AJ320</f>
        <v>0</v>
      </c>
      <c r="AK321" s="8" t="n">
        <f aca="false">AK319-AK320</f>
        <v>0</v>
      </c>
      <c r="AL321" s="8" t="n">
        <f aca="false">AL319-AL320</f>
        <v>0</v>
      </c>
      <c r="AM321" s="8" t="n">
        <f aca="false">AM319-AM320</f>
        <v>0</v>
      </c>
      <c r="AN321" s="8" t="n">
        <f aca="false">AN319-AN320</f>
        <v>0</v>
      </c>
      <c r="AO321" s="8" t="n">
        <f aca="false">AO319-AO320</f>
        <v>0</v>
      </c>
      <c r="AP321" s="8" t="n">
        <f aca="false">AP319-AP320</f>
        <v>0</v>
      </c>
      <c r="AQ321" s="8" t="n">
        <f aca="false">AQ319-AQ320</f>
        <v>0</v>
      </c>
      <c r="AR321" s="8" t="n">
        <f aca="false">AR319-AR320</f>
        <v>0</v>
      </c>
      <c r="AS321" s="8" t="n">
        <f aca="false">AS319-AS320</f>
        <v>0</v>
      </c>
    </row>
    <row r="322" customFormat="false" ht="15" hidden="false" customHeight="false" outlineLevel="0" collapsed="false">
      <c r="A322" s="6" t="s">
        <v>457</v>
      </c>
      <c r="B322" s="6" t="s">
        <v>458</v>
      </c>
      <c r="C322" s="9" t="n">
        <f aca="false">SUM(G322:AS322)</f>
        <v>671.606167482305</v>
      </c>
      <c r="G322" s="8" t="n">
        <f aca="false">((VST_Assets!$S$11*VST_Assets!$D$11*1000*G$4*G306+VST_Assets!$P$11*(1+VST_Assets!$Q$11)^(G$3-2026)*(G308+G309))/1000000+IF(G$3=VST_Assets!$AH$11,VST_Assets!$AG$11,0))*(1+VST_CapexAdj)</f>
        <v>68.85</v>
      </c>
      <c r="H322" s="8" t="n">
        <f aca="false">((VST_Assets!$S$11*VST_Assets!$D$11*1000*H$4*H306+VST_Assets!$P$11*(1+VST_Assets!$Q$11)^(H$3-2026)*(H308+H309))/1000000+IF(H$3=VST_Assets!$AH$11,VST_Assets!$AG$11,0))*(1+VST_CapexAdj)</f>
        <v>70.227</v>
      </c>
      <c r="I322" s="8" t="n">
        <f aca="false">((VST_Assets!$S$11*VST_Assets!$D$11*1000*I$4*I306+VST_Assets!$P$11*(1+VST_Assets!$Q$11)^(I$3-2026)*(I308+I309))/1000000+IF(I$3=VST_Assets!$AH$11,VST_Assets!$AG$11,0))*(1+VST_CapexAdj)</f>
        <v>71.63154</v>
      </c>
      <c r="J322" s="8" t="n">
        <f aca="false">((VST_Assets!$S$11*VST_Assets!$D$11*1000*J$4*J306+VST_Assets!$P$11*(1+VST_Assets!$Q$11)^(J$3-2026)*(J308+J309))/1000000+IF(J$3=VST_Assets!$AH$11,VST_Assets!$AG$11,0))*(1+VST_CapexAdj)</f>
        <v>73.0641708</v>
      </c>
      <c r="K322" s="8" t="n">
        <f aca="false">((VST_Assets!$S$11*VST_Assets!$D$11*1000*K$4*K306+VST_Assets!$P$11*(1+VST_Assets!$Q$11)^(K$3-2026)*(K308+K309))/1000000+IF(K$3=VST_Assets!$AH$11,VST_Assets!$AG$11,0))*(1+VST_CapexAdj)</f>
        <v>74.525454216</v>
      </c>
      <c r="L322" s="8" t="n">
        <f aca="false">((VST_Assets!$S$11*VST_Assets!$D$11*1000*L$4*L306+VST_Assets!$P$11*(1+VST_Assets!$Q$11)^(L$3-2026)*(L308+L309))/1000000+IF(L$3=VST_Assets!$AH$11,VST_Assets!$AG$11,0))*(1+VST_CapexAdj)</f>
        <v>76.01596330032</v>
      </c>
      <c r="M322" s="8" t="n">
        <f aca="false">((VST_Assets!$S$11*VST_Assets!$D$11*1000*M$4*M306+VST_Assets!$P$11*(1+VST_Assets!$Q$11)^(M$3-2026)*(M308+M309))/1000000+IF(M$3=VST_Assets!$AH$11,VST_Assets!$AG$11,0))*(1+VST_CapexAdj)</f>
        <v>77.5362825663264</v>
      </c>
      <c r="N322" s="8" t="n">
        <f aca="false">((VST_Assets!$S$11*VST_Assets!$D$11*1000*N$4*N306+VST_Assets!$P$11*(1+VST_Assets!$Q$11)^(N$3-2026)*(N308+N309))/1000000+IF(N$3=VST_Assets!$AH$11,VST_Assets!$AG$11,0))*(1+VST_CapexAdj)</f>
        <v>79.0870082176529</v>
      </c>
      <c r="O322" s="8" t="n">
        <f aca="false">((VST_Assets!$S$11*VST_Assets!$D$11*1000*O$4*O306+VST_Assets!$P$11*(1+VST_Assets!$Q$11)^(O$3-2026)*(O308+O309))/1000000+IF(O$3=VST_Assets!$AH$11,VST_Assets!$AG$11,0))*(1+VST_CapexAdj)</f>
        <v>80.668748382006</v>
      </c>
      <c r="P322" s="8" t="n">
        <f aca="false">((VST_Assets!$S$11*VST_Assets!$D$11*1000*P$4*P306+VST_Assets!$P$11*(1+VST_Assets!$Q$11)^(P$3-2026)*(P308+P309))/1000000+IF(P$3=VST_Assets!$AH$11,VST_Assets!$AG$11,0))*(1+VST_CapexAdj)</f>
        <v>0</v>
      </c>
      <c r="Q322" s="8" t="n">
        <f aca="false">((VST_Assets!$S$11*VST_Assets!$D$11*1000*Q$4*Q306+VST_Assets!$P$11*(1+VST_Assets!$Q$11)^(Q$3-2026)*(Q308+Q309))/1000000+IF(Q$3=VST_Assets!$AH$11,VST_Assets!$AG$11,0))*(1+VST_CapexAdj)</f>
        <v>0</v>
      </c>
      <c r="R322" s="8" t="n">
        <f aca="false">((VST_Assets!$S$11*VST_Assets!$D$11*1000*R$4*R306+VST_Assets!$P$11*(1+VST_Assets!$Q$11)^(R$3-2026)*(R308+R309))/1000000+IF(R$3=VST_Assets!$AH$11,VST_Assets!$AG$11,0))*(1+VST_CapexAdj)</f>
        <v>0</v>
      </c>
      <c r="S322" s="8" t="n">
        <f aca="false">((VST_Assets!$S$11*VST_Assets!$D$11*1000*S$4*S306+VST_Assets!$P$11*(1+VST_Assets!$Q$11)^(S$3-2026)*(S308+S309))/1000000+IF(S$3=VST_Assets!$AH$11,VST_Assets!$AG$11,0))*(1+VST_CapexAdj)</f>
        <v>0</v>
      </c>
      <c r="T322" s="8" t="n">
        <f aca="false">((VST_Assets!$S$11*VST_Assets!$D$11*1000*T$4*T306+VST_Assets!$P$11*(1+VST_Assets!$Q$11)^(T$3-2026)*(T308+T309))/1000000+IF(T$3=VST_Assets!$AH$11,VST_Assets!$AG$11,0))*(1+VST_CapexAdj)</f>
        <v>0</v>
      </c>
      <c r="U322" s="8" t="n">
        <f aca="false">((VST_Assets!$S$11*VST_Assets!$D$11*1000*U$4*U306+VST_Assets!$P$11*(1+VST_Assets!$Q$11)^(U$3-2026)*(U308+U309))/1000000+IF(U$3=VST_Assets!$AH$11,VST_Assets!$AG$11,0))*(1+VST_CapexAdj)</f>
        <v>0</v>
      </c>
      <c r="V322" s="8" t="n">
        <f aca="false">((VST_Assets!$S$11*VST_Assets!$D$11*1000*V$4*V306+VST_Assets!$P$11*(1+VST_Assets!$Q$11)^(V$3-2026)*(V308+V309))/1000000+IF(V$3=VST_Assets!$AH$11,VST_Assets!$AG$11,0))*(1+VST_CapexAdj)</f>
        <v>0</v>
      </c>
      <c r="W322" s="8" t="n">
        <f aca="false">((VST_Assets!$S$11*VST_Assets!$D$11*1000*W$4*W306+VST_Assets!$P$11*(1+VST_Assets!$Q$11)^(W$3-2026)*(W308+W309))/1000000+IF(W$3=VST_Assets!$AH$11,VST_Assets!$AG$11,0))*(1+VST_CapexAdj)</f>
        <v>0</v>
      </c>
      <c r="X322" s="8" t="n">
        <f aca="false">((VST_Assets!$S$11*VST_Assets!$D$11*1000*X$4*X306+VST_Assets!$P$11*(1+VST_Assets!$Q$11)^(X$3-2026)*(X308+X309))/1000000+IF(X$3=VST_Assets!$AH$11,VST_Assets!$AG$11,0))*(1+VST_CapexAdj)</f>
        <v>0</v>
      </c>
      <c r="Y322" s="8" t="n">
        <f aca="false">((VST_Assets!$S$11*VST_Assets!$D$11*1000*Y$4*Y306+VST_Assets!$P$11*(1+VST_Assets!$Q$11)^(Y$3-2026)*(Y308+Y309))/1000000+IF(Y$3=VST_Assets!$AH$11,VST_Assets!$AG$11,0))*(1+VST_CapexAdj)</f>
        <v>0</v>
      </c>
      <c r="Z322" s="8" t="n">
        <f aca="false">((VST_Assets!$S$11*VST_Assets!$D$11*1000*Z$4*Z306+VST_Assets!$P$11*(1+VST_Assets!$Q$11)^(Z$3-2026)*(Z308+Z309))/1000000+IF(Z$3=VST_Assets!$AH$11,VST_Assets!$AG$11,0))*(1+VST_CapexAdj)</f>
        <v>0</v>
      </c>
      <c r="AA322" s="8" t="n">
        <f aca="false">((VST_Assets!$S$11*VST_Assets!$D$11*1000*AA$4*AA306+VST_Assets!$P$11*(1+VST_Assets!$Q$11)^(AA$3-2026)*(AA308+AA309))/1000000+IF(AA$3=VST_Assets!$AH$11,VST_Assets!$AG$11,0))*(1+VST_CapexAdj)</f>
        <v>0</v>
      </c>
      <c r="AB322" s="8" t="n">
        <f aca="false">((VST_Assets!$S$11*VST_Assets!$D$11*1000*AB$4*AB306+VST_Assets!$P$11*(1+VST_Assets!$Q$11)^(AB$3-2026)*(AB308+AB309))/1000000+IF(AB$3=VST_Assets!$AH$11,VST_Assets!$AG$11,0))*(1+VST_CapexAdj)</f>
        <v>0</v>
      </c>
      <c r="AC322" s="8" t="n">
        <f aca="false">((VST_Assets!$S$11*VST_Assets!$D$11*1000*AC$4*AC306+VST_Assets!$P$11*(1+VST_Assets!$Q$11)^(AC$3-2026)*(AC308+AC309))/1000000+IF(AC$3=VST_Assets!$AH$11,VST_Assets!$AG$11,0))*(1+VST_CapexAdj)</f>
        <v>0</v>
      </c>
      <c r="AD322" s="8" t="n">
        <f aca="false">((VST_Assets!$S$11*VST_Assets!$D$11*1000*AD$4*AD306+VST_Assets!$P$11*(1+VST_Assets!$Q$11)^(AD$3-2026)*(AD308+AD309))/1000000+IF(AD$3=VST_Assets!$AH$11,VST_Assets!$AG$11,0))*(1+VST_CapexAdj)</f>
        <v>0</v>
      </c>
      <c r="AE322" s="8" t="n">
        <f aca="false">((VST_Assets!$S$11*VST_Assets!$D$11*1000*AE$4*AE306+VST_Assets!$P$11*(1+VST_Assets!$Q$11)^(AE$3-2026)*(AE308+AE309))/1000000+IF(AE$3=VST_Assets!$AH$11,VST_Assets!$AG$11,0))*(1+VST_CapexAdj)</f>
        <v>0</v>
      </c>
      <c r="AF322" s="8" t="n">
        <f aca="false">((VST_Assets!$S$11*VST_Assets!$D$11*1000*AF$4*AF306+VST_Assets!$P$11*(1+VST_Assets!$Q$11)^(AF$3-2026)*(AF308+AF309))/1000000+IF(AF$3=VST_Assets!$AH$11,VST_Assets!$AG$11,0))*(1+VST_CapexAdj)</f>
        <v>0</v>
      </c>
      <c r="AG322" s="8" t="n">
        <f aca="false">((VST_Assets!$S$11*VST_Assets!$D$11*1000*AG$4*AG306+VST_Assets!$P$11*(1+VST_Assets!$Q$11)^(AG$3-2026)*(AG308+AG309))/1000000+IF(AG$3=VST_Assets!$AH$11,VST_Assets!$AG$11,0))*(1+VST_CapexAdj)</f>
        <v>0</v>
      </c>
      <c r="AH322" s="8" t="n">
        <f aca="false">((VST_Assets!$S$11*VST_Assets!$D$11*1000*AH$4*AH306+VST_Assets!$P$11*(1+VST_Assets!$Q$11)^(AH$3-2026)*(AH308+AH309))/1000000+IF(AH$3=VST_Assets!$AH$11,VST_Assets!$AG$11,0))*(1+VST_CapexAdj)</f>
        <v>0</v>
      </c>
      <c r="AI322" s="8" t="n">
        <f aca="false">((VST_Assets!$S$11*VST_Assets!$D$11*1000*AI$4*AI306+VST_Assets!$P$11*(1+VST_Assets!$Q$11)^(AI$3-2026)*(AI308+AI309))/1000000+IF(AI$3=VST_Assets!$AH$11,VST_Assets!$AG$11,0))*(1+VST_CapexAdj)</f>
        <v>0</v>
      </c>
      <c r="AJ322" s="8" t="n">
        <f aca="false">((VST_Assets!$S$11*VST_Assets!$D$11*1000*AJ$4*AJ306+VST_Assets!$P$11*(1+VST_Assets!$Q$11)^(AJ$3-2026)*(AJ308+AJ309))/1000000+IF(AJ$3=VST_Assets!$AH$11,VST_Assets!$AG$11,0))*(1+VST_CapexAdj)</f>
        <v>0</v>
      </c>
      <c r="AK322" s="8" t="n">
        <f aca="false">((VST_Assets!$S$11*VST_Assets!$D$11*1000*AK$4*AK306+VST_Assets!$P$11*(1+VST_Assets!$Q$11)^(AK$3-2026)*(AK308+AK309))/1000000+IF(AK$3=VST_Assets!$AH$11,VST_Assets!$AG$11,0))*(1+VST_CapexAdj)</f>
        <v>0</v>
      </c>
      <c r="AL322" s="8" t="n">
        <f aca="false">((VST_Assets!$S$11*VST_Assets!$D$11*1000*AL$4*AL306+VST_Assets!$P$11*(1+VST_Assets!$Q$11)^(AL$3-2026)*(AL308+AL309))/1000000+IF(AL$3=VST_Assets!$AH$11,VST_Assets!$AG$11,0))*(1+VST_CapexAdj)</f>
        <v>0</v>
      </c>
      <c r="AM322" s="8" t="n">
        <f aca="false">((VST_Assets!$S$11*VST_Assets!$D$11*1000*AM$4*AM306+VST_Assets!$P$11*(1+VST_Assets!$Q$11)^(AM$3-2026)*(AM308+AM309))/1000000+IF(AM$3=VST_Assets!$AH$11,VST_Assets!$AG$11,0))*(1+VST_CapexAdj)</f>
        <v>0</v>
      </c>
      <c r="AN322" s="8" t="n">
        <f aca="false">((VST_Assets!$S$11*VST_Assets!$D$11*1000*AN$4*AN306+VST_Assets!$P$11*(1+VST_Assets!$Q$11)^(AN$3-2026)*(AN308+AN309))/1000000+IF(AN$3=VST_Assets!$AH$11,VST_Assets!$AG$11,0))*(1+VST_CapexAdj)</f>
        <v>0</v>
      </c>
      <c r="AO322" s="8" t="n">
        <f aca="false">((VST_Assets!$S$11*VST_Assets!$D$11*1000*AO$4*AO306+VST_Assets!$P$11*(1+VST_Assets!$Q$11)^(AO$3-2026)*(AO308+AO309))/1000000+IF(AO$3=VST_Assets!$AH$11,VST_Assets!$AG$11,0))*(1+VST_CapexAdj)</f>
        <v>0</v>
      </c>
      <c r="AP322" s="8" t="n">
        <f aca="false">((VST_Assets!$S$11*VST_Assets!$D$11*1000*AP$4*AP306+VST_Assets!$P$11*(1+VST_Assets!$Q$11)^(AP$3-2026)*(AP308+AP309))/1000000+IF(AP$3=VST_Assets!$AH$11,VST_Assets!$AG$11,0))*(1+VST_CapexAdj)</f>
        <v>0</v>
      </c>
      <c r="AQ322" s="8" t="n">
        <f aca="false">((VST_Assets!$S$11*VST_Assets!$D$11*1000*AQ$4*AQ306+VST_Assets!$P$11*(1+VST_Assets!$Q$11)^(AQ$3-2026)*(AQ308+AQ309))/1000000+IF(AQ$3=VST_Assets!$AH$11,VST_Assets!$AG$11,0))*(1+VST_CapexAdj)</f>
        <v>0</v>
      </c>
      <c r="AR322" s="8" t="n">
        <f aca="false">((VST_Assets!$S$11*VST_Assets!$D$11*1000*AR$4*AR306+VST_Assets!$P$11*(1+VST_Assets!$Q$11)^(AR$3-2026)*(AR308+AR309))/1000000+IF(AR$3=VST_Assets!$AH$11,VST_Assets!$AG$11,0))*(1+VST_CapexAdj)</f>
        <v>0</v>
      </c>
      <c r="AS322" s="8" t="n">
        <f aca="false">((VST_Assets!$S$11*VST_Assets!$D$11*1000*AS$4*AS306+VST_Assets!$P$11*(1+VST_Assets!$Q$11)^(AS$3-2026)*(AS308+AS309))/1000000+IF(AS$3=VST_Assets!$AH$11,VST_Assets!$AG$11,0))*(1+VST_CapexAdj)</f>
        <v>0</v>
      </c>
    </row>
    <row r="323" customFormat="false" ht="15" hidden="false" customHeight="false" outlineLevel="0" collapsed="false">
      <c r="A323" s="6" t="s">
        <v>459</v>
      </c>
      <c r="B323" s="6" t="s">
        <v>460</v>
      </c>
      <c r="C323" s="9" t="n">
        <f aca="false">SUM(G323:AS323)</f>
        <v>1453.87097308312</v>
      </c>
      <c r="G323" s="8" t="n">
        <f aca="false">IF(VST_Assets!$Y$11=1,MAX(0,G321-G322),G321-G322)</f>
        <v>115.394436</v>
      </c>
      <c r="H323" s="8" t="n">
        <f aca="false">IF(VST_Assets!$Y$11=1,MAX(0,H321-H322),H321-H322)</f>
        <v>138.20860872</v>
      </c>
      <c r="I323" s="8" t="n">
        <f aca="false">IF(VST_Assets!$Y$11=1,MAX(0,I321-I322),I321-I322)</f>
        <v>151.76331218124</v>
      </c>
      <c r="J323" s="8" t="n">
        <f aca="false">IF(VST_Assets!$Y$11=1,MAX(0,J321-J322),J321-J322)</f>
        <v>166.215046017442</v>
      </c>
      <c r="K323" s="8" t="n">
        <f aca="false">IF(VST_Assets!$Y$11=1,MAX(0,K321-K322),K321-K322)</f>
        <v>169.539346937791</v>
      </c>
      <c r="L323" s="8" t="n">
        <f aca="false">IF(VST_Assets!$Y$11=1,MAX(0,L321-L322),L321-L322)</f>
        <v>172.930133876546</v>
      </c>
      <c r="M323" s="8" t="n">
        <f aca="false">IF(VST_Assets!$Y$11=1,MAX(0,M321-M322),M321-M322)</f>
        <v>176.388736554077</v>
      </c>
      <c r="N323" s="8" t="n">
        <f aca="false">IF(VST_Assets!$Y$11=1,MAX(0,N321-N322),N321-N322)</f>
        <v>179.916511285159</v>
      </c>
      <c r="O323" s="8" t="n">
        <f aca="false">IF(VST_Assets!$Y$11=1,MAX(0,O321-O322),O321-O322)</f>
        <v>183.514841510862</v>
      </c>
      <c r="P323" s="8" t="n">
        <f aca="false">IF(VST_Assets!$Y$11=1,MAX(0,P321-P322),P321-P322)</f>
        <v>0</v>
      </c>
      <c r="Q323" s="8" t="n">
        <f aca="false">IF(VST_Assets!$Y$11=1,MAX(0,Q321-Q322),Q321-Q322)</f>
        <v>0</v>
      </c>
      <c r="R323" s="8" t="n">
        <f aca="false">IF(VST_Assets!$Y$11=1,MAX(0,R321-R322),R321-R322)</f>
        <v>0</v>
      </c>
      <c r="S323" s="8" t="n">
        <f aca="false">IF(VST_Assets!$Y$11=1,MAX(0,S321-S322),S321-S322)</f>
        <v>0</v>
      </c>
      <c r="T323" s="8" t="n">
        <f aca="false">IF(VST_Assets!$Y$11=1,MAX(0,T321-T322),T321-T322)</f>
        <v>0</v>
      </c>
      <c r="U323" s="8" t="n">
        <f aca="false">IF(VST_Assets!$Y$11=1,MAX(0,U321-U322),U321-U322)</f>
        <v>0</v>
      </c>
      <c r="V323" s="8" t="n">
        <f aca="false">IF(VST_Assets!$Y$11=1,MAX(0,V321-V322),V321-V322)</f>
        <v>0</v>
      </c>
      <c r="W323" s="8" t="n">
        <f aca="false">IF(VST_Assets!$Y$11=1,MAX(0,W321-W322),W321-W322)</f>
        <v>0</v>
      </c>
      <c r="X323" s="8" t="n">
        <f aca="false">IF(VST_Assets!$Y$11=1,MAX(0,X321-X322),X321-X322)</f>
        <v>0</v>
      </c>
      <c r="Y323" s="8" t="n">
        <f aca="false">IF(VST_Assets!$Y$11=1,MAX(0,Y321-Y322),Y321-Y322)</f>
        <v>0</v>
      </c>
      <c r="Z323" s="8" t="n">
        <f aca="false">IF(VST_Assets!$Y$11=1,MAX(0,Z321-Z322),Z321-Z322)</f>
        <v>0</v>
      </c>
      <c r="AA323" s="8" t="n">
        <f aca="false">IF(VST_Assets!$Y$11=1,MAX(0,AA321-AA322),AA321-AA322)</f>
        <v>0</v>
      </c>
      <c r="AB323" s="8" t="n">
        <f aca="false">IF(VST_Assets!$Y$11=1,MAX(0,AB321-AB322),AB321-AB322)</f>
        <v>0</v>
      </c>
      <c r="AC323" s="8" t="n">
        <f aca="false">IF(VST_Assets!$Y$11=1,MAX(0,AC321-AC322),AC321-AC322)</f>
        <v>0</v>
      </c>
      <c r="AD323" s="8" t="n">
        <f aca="false">IF(VST_Assets!$Y$11=1,MAX(0,AD321-AD322),AD321-AD322)</f>
        <v>0</v>
      </c>
      <c r="AE323" s="8" t="n">
        <f aca="false">IF(VST_Assets!$Y$11=1,MAX(0,AE321-AE322),AE321-AE322)</f>
        <v>0</v>
      </c>
      <c r="AF323" s="8" t="n">
        <f aca="false">IF(VST_Assets!$Y$11=1,MAX(0,AF321-AF322),AF321-AF322)</f>
        <v>0</v>
      </c>
      <c r="AG323" s="8" t="n">
        <f aca="false">IF(VST_Assets!$Y$11=1,MAX(0,AG321-AG322),AG321-AG322)</f>
        <v>0</v>
      </c>
      <c r="AH323" s="8" t="n">
        <f aca="false">IF(VST_Assets!$Y$11=1,MAX(0,AH321-AH322),AH321-AH322)</f>
        <v>0</v>
      </c>
      <c r="AI323" s="8" t="n">
        <f aca="false">IF(VST_Assets!$Y$11=1,MAX(0,AI321-AI322),AI321-AI322)</f>
        <v>0</v>
      </c>
      <c r="AJ323" s="8" t="n">
        <f aca="false">IF(VST_Assets!$Y$11=1,MAX(0,AJ321-AJ322),AJ321-AJ322)</f>
        <v>0</v>
      </c>
      <c r="AK323" s="8" t="n">
        <f aca="false">IF(VST_Assets!$Y$11=1,MAX(0,AK321-AK322),AK321-AK322)</f>
        <v>0</v>
      </c>
      <c r="AL323" s="8" t="n">
        <f aca="false">IF(VST_Assets!$Y$11=1,MAX(0,AL321-AL322),AL321-AL322)</f>
        <v>0</v>
      </c>
      <c r="AM323" s="8" t="n">
        <f aca="false">IF(VST_Assets!$Y$11=1,MAX(0,AM321-AM322),AM321-AM322)</f>
        <v>0</v>
      </c>
      <c r="AN323" s="8" t="n">
        <f aca="false">IF(VST_Assets!$Y$11=1,MAX(0,AN321-AN322),AN321-AN322)</f>
        <v>0</v>
      </c>
      <c r="AO323" s="8" t="n">
        <f aca="false">IF(VST_Assets!$Y$11=1,MAX(0,AO321-AO322),AO321-AO322)</f>
        <v>0</v>
      </c>
      <c r="AP323" s="8" t="n">
        <f aca="false">IF(VST_Assets!$Y$11=1,MAX(0,AP321-AP322),AP321-AP322)</f>
        <v>0</v>
      </c>
      <c r="AQ323" s="8" t="n">
        <f aca="false">IF(VST_Assets!$Y$11=1,MAX(0,AQ321-AQ322),AQ321-AQ322)</f>
        <v>0</v>
      </c>
      <c r="AR323" s="8" t="n">
        <f aca="false">IF(VST_Assets!$Y$11=1,MAX(0,AR321-AR322),AR321-AR322)</f>
        <v>0</v>
      </c>
      <c r="AS323" s="8" t="n">
        <f aca="false">IF(VST_Assets!$Y$11=1,MAX(0,AS321-AS322),AS321-AS322)</f>
        <v>0</v>
      </c>
    </row>
    <row r="324" customFormat="false" ht="15" hidden="false" customHeight="false" outlineLevel="0" collapsed="false">
      <c r="A324" s="6" t="s">
        <v>461</v>
      </c>
      <c r="B324" s="6" t="s">
        <v>462</v>
      </c>
      <c r="C324" s="9" t="n">
        <f aca="false">SUM(G324:AS324)</f>
        <v>0</v>
      </c>
      <c r="G324" s="8" t="n">
        <f aca="false">IF(AND(VST_Assets!$W$11=1,G$3&lt;=PTCLast,G308&gt;0),G308*MAX(0,PTCCredit*(1+Infl)^(G$3-PTCBase)-0.8*MAX(0,(G313+G314+G316)*1000000/MAX(1,G308)-PTCThresh*(1+Infl)^(G$3-PTCBase)))/1000000,0)</f>
        <v>0</v>
      </c>
      <c r="H324" s="8" t="n">
        <f aca="false">IF(AND(VST_Assets!$W$11=1,H$3&lt;=PTCLast,H308&gt;0),H308*MAX(0,PTCCredit*(1+Infl)^(H$3-PTCBase)-0.8*MAX(0,(H313+H314+H316)*1000000/MAX(1,H308)-PTCThresh*(1+Infl)^(H$3-PTCBase)))/1000000,0)</f>
        <v>0</v>
      </c>
      <c r="I324" s="8" t="n">
        <f aca="false">IF(AND(VST_Assets!$W$11=1,I$3&lt;=PTCLast,I308&gt;0),I308*MAX(0,PTCCredit*(1+Infl)^(I$3-PTCBase)-0.8*MAX(0,(I313+I314+I316)*1000000/MAX(1,I308)-PTCThresh*(1+Infl)^(I$3-PTCBase)))/1000000,0)</f>
        <v>0</v>
      </c>
      <c r="J324" s="8" t="n">
        <f aca="false">IF(AND(VST_Assets!$W$11=1,J$3&lt;=PTCLast,J308&gt;0),J308*MAX(0,PTCCredit*(1+Infl)^(J$3-PTCBase)-0.8*MAX(0,(J313+J314+J316)*1000000/MAX(1,J308)-PTCThresh*(1+Infl)^(J$3-PTCBase)))/1000000,0)</f>
        <v>0</v>
      </c>
      <c r="K324" s="8" t="n">
        <f aca="false">IF(AND(VST_Assets!$W$11=1,K$3&lt;=PTCLast,K308&gt;0),K308*MAX(0,PTCCredit*(1+Infl)^(K$3-PTCBase)-0.8*MAX(0,(K313+K314+K316)*1000000/MAX(1,K308)-PTCThresh*(1+Infl)^(K$3-PTCBase)))/1000000,0)</f>
        <v>0</v>
      </c>
      <c r="L324" s="8" t="n">
        <f aca="false">IF(AND(VST_Assets!$W$11=1,L$3&lt;=PTCLast,L308&gt;0),L308*MAX(0,PTCCredit*(1+Infl)^(L$3-PTCBase)-0.8*MAX(0,(L313+L314+L316)*1000000/MAX(1,L308)-PTCThresh*(1+Infl)^(L$3-PTCBase)))/1000000,0)</f>
        <v>0</v>
      </c>
      <c r="M324" s="8" t="n">
        <f aca="false">IF(AND(VST_Assets!$W$11=1,M$3&lt;=PTCLast,M308&gt;0),M308*MAX(0,PTCCredit*(1+Infl)^(M$3-PTCBase)-0.8*MAX(0,(M313+M314+M316)*1000000/MAX(1,M308)-PTCThresh*(1+Infl)^(M$3-PTCBase)))/1000000,0)</f>
        <v>0</v>
      </c>
      <c r="N324" s="8" t="n">
        <f aca="false">IF(AND(VST_Assets!$W$11=1,N$3&lt;=PTCLast,N308&gt;0),N308*MAX(0,PTCCredit*(1+Infl)^(N$3-PTCBase)-0.8*MAX(0,(N313+N314+N316)*1000000/MAX(1,N308)-PTCThresh*(1+Infl)^(N$3-PTCBase)))/1000000,0)</f>
        <v>0</v>
      </c>
      <c r="O324" s="8" t="n">
        <f aca="false">IF(AND(VST_Assets!$W$11=1,O$3&lt;=PTCLast,O308&gt;0),O308*MAX(0,PTCCredit*(1+Infl)^(O$3-PTCBase)-0.8*MAX(0,(O313+O314+O316)*1000000/MAX(1,O308)-PTCThresh*(1+Infl)^(O$3-PTCBase)))/1000000,0)</f>
        <v>0</v>
      </c>
      <c r="P324" s="8" t="n">
        <f aca="false">IF(AND(VST_Assets!$W$11=1,P$3&lt;=PTCLast,P308&gt;0),P308*MAX(0,PTCCredit*(1+Infl)^(P$3-PTCBase)-0.8*MAX(0,(P313+P314+P316)*1000000/MAX(1,P308)-PTCThresh*(1+Infl)^(P$3-PTCBase)))/1000000,0)</f>
        <v>0</v>
      </c>
      <c r="Q324" s="8" t="n">
        <f aca="false">IF(AND(VST_Assets!$W$11=1,Q$3&lt;=PTCLast,Q308&gt;0),Q308*MAX(0,PTCCredit*(1+Infl)^(Q$3-PTCBase)-0.8*MAX(0,(Q313+Q314+Q316)*1000000/MAX(1,Q308)-PTCThresh*(1+Infl)^(Q$3-PTCBase)))/1000000,0)</f>
        <v>0</v>
      </c>
      <c r="R324" s="8" t="n">
        <f aca="false">IF(AND(VST_Assets!$W$11=1,R$3&lt;=PTCLast,R308&gt;0),R308*MAX(0,PTCCredit*(1+Infl)^(R$3-PTCBase)-0.8*MAX(0,(R313+R314+R316)*1000000/MAX(1,R308)-PTCThresh*(1+Infl)^(R$3-PTCBase)))/1000000,0)</f>
        <v>0</v>
      </c>
      <c r="S324" s="8" t="n">
        <f aca="false">IF(AND(VST_Assets!$W$11=1,S$3&lt;=PTCLast,S308&gt;0),S308*MAX(0,PTCCredit*(1+Infl)^(S$3-PTCBase)-0.8*MAX(0,(S313+S314+S316)*1000000/MAX(1,S308)-PTCThresh*(1+Infl)^(S$3-PTCBase)))/1000000,0)</f>
        <v>0</v>
      </c>
      <c r="T324" s="8" t="n">
        <f aca="false">IF(AND(VST_Assets!$W$11=1,T$3&lt;=PTCLast,T308&gt;0),T308*MAX(0,PTCCredit*(1+Infl)^(T$3-PTCBase)-0.8*MAX(0,(T313+T314+T316)*1000000/MAX(1,T308)-PTCThresh*(1+Infl)^(T$3-PTCBase)))/1000000,0)</f>
        <v>0</v>
      </c>
      <c r="U324" s="8" t="n">
        <f aca="false">IF(AND(VST_Assets!$W$11=1,U$3&lt;=PTCLast,U308&gt;0),U308*MAX(0,PTCCredit*(1+Infl)^(U$3-PTCBase)-0.8*MAX(0,(U313+U314+U316)*1000000/MAX(1,U308)-PTCThresh*(1+Infl)^(U$3-PTCBase)))/1000000,0)</f>
        <v>0</v>
      </c>
      <c r="V324" s="8" t="n">
        <f aca="false">IF(AND(VST_Assets!$W$11=1,V$3&lt;=PTCLast,V308&gt;0),V308*MAX(0,PTCCredit*(1+Infl)^(V$3-PTCBase)-0.8*MAX(0,(V313+V314+V316)*1000000/MAX(1,V308)-PTCThresh*(1+Infl)^(V$3-PTCBase)))/1000000,0)</f>
        <v>0</v>
      </c>
      <c r="W324" s="8" t="n">
        <f aca="false">IF(AND(VST_Assets!$W$11=1,W$3&lt;=PTCLast,W308&gt;0),W308*MAX(0,PTCCredit*(1+Infl)^(W$3-PTCBase)-0.8*MAX(0,(W313+W314+W316)*1000000/MAX(1,W308)-PTCThresh*(1+Infl)^(W$3-PTCBase)))/1000000,0)</f>
        <v>0</v>
      </c>
      <c r="X324" s="8" t="n">
        <f aca="false">IF(AND(VST_Assets!$W$11=1,X$3&lt;=PTCLast,X308&gt;0),X308*MAX(0,PTCCredit*(1+Infl)^(X$3-PTCBase)-0.8*MAX(0,(X313+X314+X316)*1000000/MAX(1,X308)-PTCThresh*(1+Infl)^(X$3-PTCBase)))/1000000,0)</f>
        <v>0</v>
      </c>
      <c r="Y324" s="8" t="n">
        <f aca="false">IF(AND(VST_Assets!$W$11=1,Y$3&lt;=PTCLast,Y308&gt;0),Y308*MAX(0,PTCCredit*(1+Infl)^(Y$3-PTCBase)-0.8*MAX(0,(Y313+Y314+Y316)*1000000/MAX(1,Y308)-PTCThresh*(1+Infl)^(Y$3-PTCBase)))/1000000,0)</f>
        <v>0</v>
      </c>
      <c r="Z324" s="8" t="n">
        <f aca="false">IF(AND(VST_Assets!$W$11=1,Z$3&lt;=PTCLast,Z308&gt;0),Z308*MAX(0,PTCCredit*(1+Infl)^(Z$3-PTCBase)-0.8*MAX(0,(Z313+Z314+Z316)*1000000/MAX(1,Z308)-PTCThresh*(1+Infl)^(Z$3-PTCBase)))/1000000,0)</f>
        <v>0</v>
      </c>
      <c r="AA324" s="8" t="n">
        <f aca="false">IF(AND(VST_Assets!$W$11=1,AA$3&lt;=PTCLast,AA308&gt;0),AA308*MAX(0,PTCCredit*(1+Infl)^(AA$3-PTCBase)-0.8*MAX(0,(AA313+AA314+AA316)*1000000/MAX(1,AA308)-PTCThresh*(1+Infl)^(AA$3-PTCBase)))/1000000,0)</f>
        <v>0</v>
      </c>
      <c r="AB324" s="8" t="n">
        <f aca="false">IF(AND(VST_Assets!$W$11=1,AB$3&lt;=PTCLast,AB308&gt;0),AB308*MAX(0,PTCCredit*(1+Infl)^(AB$3-PTCBase)-0.8*MAX(0,(AB313+AB314+AB316)*1000000/MAX(1,AB308)-PTCThresh*(1+Infl)^(AB$3-PTCBase)))/1000000,0)</f>
        <v>0</v>
      </c>
      <c r="AC324" s="8" t="n">
        <f aca="false">IF(AND(VST_Assets!$W$11=1,AC$3&lt;=PTCLast,AC308&gt;0),AC308*MAX(0,PTCCredit*(1+Infl)^(AC$3-PTCBase)-0.8*MAX(0,(AC313+AC314+AC316)*1000000/MAX(1,AC308)-PTCThresh*(1+Infl)^(AC$3-PTCBase)))/1000000,0)</f>
        <v>0</v>
      </c>
      <c r="AD324" s="8" t="n">
        <f aca="false">IF(AND(VST_Assets!$W$11=1,AD$3&lt;=PTCLast,AD308&gt;0),AD308*MAX(0,PTCCredit*(1+Infl)^(AD$3-PTCBase)-0.8*MAX(0,(AD313+AD314+AD316)*1000000/MAX(1,AD308)-PTCThresh*(1+Infl)^(AD$3-PTCBase)))/1000000,0)</f>
        <v>0</v>
      </c>
      <c r="AE324" s="8" t="n">
        <f aca="false">IF(AND(VST_Assets!$W$11=1,AE$3&lt;=PTCLast,AE308&gt;0),AE308*MAX(0,PTCCredit*(1+Infl)^(AE$3-PTCBase)-0.8*MAX(0,(AE313+AE314+AE316)*1000000/MAX(1,AE308)-PTCThresh*(1+Infl)^(AE$3-PTCBase)))/1000000,0)</f>
        <v>0</v>
      </c>
      <c r="AF324" s="8" t="n">
        <f aca="false">IF(AND(VST_Assets!$W$11=1,AF$3&lt;=PTCLast,AF308&gt;0),AF308*MAX(0,PTCCredit*(1+Infl)^(AF$3-PTCBase)-0.8*MAX(0,(AF313+AF314+AF316)*1000000/MAX(1,AF308)-PTCThresh*(1+Infl)^(AF$3-PTCBase)))/1000000,0)</f>
        <v>0</v>
      </c>
      <c r="AG324" s="8" t="n">
        <f aca="false">IF(AND(VST_Assets!$W$11=1,AG$3&lt;=PTCLast,AG308&gt;0),AG308*MAX(0,PTCCredit*(1+Infl)^(AG$3-PTCBase)-0.8*MAX(0,(AG313+AG314+AG316)*1000000/MAX(1,AG308)-PTCThresh*(1+Infl)^(AG$3-PTCBase)))/1000000,0)</f>
        <v>0</v>
      </c>
      <c r="AH324" s="8" t="n">
        <f aca="false">IF(AND(VST_Assets!$W$11=1,AH$3&lt;=PTCLast,AH308&gt;0),AH308*MAX(0,PTCCredit*(1+Infl)^(AH$3-PTCBase)-0.8*MAX(0,(AH313+AH314+AH316)*1000000/MAX(1,AH308)-PTCThresh*(1+Infl)^(AH$3-PTCBase)))/1000000,0)</f>
        <v>0</v>
      </c>
      <c r="AI324" s="8" t="n">
        <f aca="false">IF(AND(VST_Assets!$W$11=1,AI$3&lt;=PTCLast,AI308&gt;0),AI308*MAX(0,PTCCredit*(1+Infl)^(AI$3-PTCBase)-0.8*MAX(0,(AI313+AI314+AI316)*1000000/MAX(1,AI308)-PTCThresh*(1+Infl)^(AI$3-PTCBase)))/1000000,0)</f>
        <v>0</v>
      </c>
      <c r="AJ324" s="8" t="n">
        <f aca="false">IF(AND(VST_Assets!$W$11=1,AJ$3&lt;=PTCLast,AJ308&gt;0),AJ308*MAX(0,PTCCredit*(1+Infl)^(AJ$3-PTCBase)-0.8*MAX(0,(AJ313+AJ314+AJ316)*1000000/MAX(1,AJ308)-PTCThresh*(1+Infl)^(AJ$3-PTCBase)))/1000000,0)</f>
        <v>0</v>
      </c>
      <c r="AK324" s="8" t="n">
        <f aca="false">IF(AND(VST_Assets!$W$11=1,AK$3&lt;=PTCLast,AK308&gt;0),AK308*MAX(0,PTCCredit*(1+Infl)^(AK$3-PTCBase)-0.8*MAX(0,(AK313+AK314+AK316)*1000000/MAX(1,AK308)-PTCThresh*(1+Infl)^(AK$3-PTCBase)))/1000000,0)</f>
        <v>0</v>
      </c>
      <c r="AL324" s="8" t="n">
        <f aca="false">IF(AND(VST_Assets!$W$11=1,AL$3&lt;=PTCLast,AL308&gt;0),AL308*MAX(0,PTCCredit*(1+Infl)^(AL$3-PTCBase)-0.8*MAX(0,(AL313+AL314+AL316)*1000000/MAX(1,AL308)-PTCThresh*(1+Infl)^(AL$3-PTCBase)))/1000000,0)</f>
        <v>0</v>
      </c>
      <c r="AM324" s="8" t="n">
        <f aca="false">IF(AND(VST_Assets!$W$11=1,AM$3&lt;=PTCLast,AM308&gt;0),AM308*MAX(0,PTCCredit*(1+Infl)^(AM$3-PTCBase)-0.8*MAX(0,(AM313+AM314+AM316)*1000000/MAX(1,AM308)-PTCThresh*(1+Infl)^(AM$3-PTCBase)))/1000000,0)</f>
        <v>0</v>
      </c>
      <c r="AN324" s="8" t="n">
        <f aca="false">IF(AND(VST_Assets!$W$11=1,AN$3&lt;=PTCLast,AN308&gt;0),AN308*MAX(0,PTCCredit*(1+Infl)^(AN$3-PTCBase)-0.8*MAX(0,(AN313+AN314+AN316)*1000000/MAX(1,AN308)-PTCThresh*(1+Infl)^(AN$3-PTCBase)))/1000000,0)</f>
        <v>0</v>
      </c>
      <c r="AO324" s="8" t="n">
        <f aca="false">IF(AND(VST_Assets!$W$11=1,AO$3&lt;=PTCLast,AO308&gt;0),AO308*MAX(0,PTCCredit*(1+Infl)^(AO$3-PTCBase)-0.8*MAX(0,(AO313+AO314+AO316)*1000000/MAX(1,AO308)-PTCThresh*(1+Infl)^(AO$3-PTCBase)))/1000000,0)</f>
        <v>0</v>
      </c>
      <c r="AP324" s="8" t="n">
        <f aca="false">IF(AND(VST_Assets!$W$11=1,AP$3&lt;=PTCLast,AP308&gt;0),AP308*MAX(0,PTCCredit*(1+Infl)^(AP$3-PTCBase)-0.8*MAX(0,(AP313+AP314+AP316)*1000000/MAX(1,AP308)-PTCThresh*(1+Infl)^(AP$3-PTCBase)))/1000000,0)</f>
        <v>0</v>
      </c>
      <c r="AQ324" s="8" t="n">
        <f aca="false">IF(AND(VST_Assets!$W$11=1,AQ$3&lt;=PTCLast,AQ308&gt;0),AQ308*MAX(0,PTCCredit*(1+Infl)^(AQ$3-PTCBase)-0.8*MAX(0,(AQ313+AQ314+AQ316)*1000000/MAX(1,AQ308)-PTCThresh*(1+Infl)^(AQ$3-PTCBase)))/1000000,0)</f>
        <v>0</v>
      </c>
      <c r="AR324" s="8" t="n">
        <f aca="false">IF(AND(VST_Assets!$W$11=1,AR$3&lt;=PTCLast,AR308&gt;0),AR308*MAX(0,PTCCredit*(1+Infl)^(AR$3-PTCBase)-0.8*MAX(0,(AR313+AR314+AR316)*1000000/MAX(1,AR308)-PTCThresh*(1+Infl)^(AR$3-PTCBase)))/1000000,0)</f>
        <v>0</v>
      </c>
      <c r="AS324" s="8" t="n">
        <f aca="false">IF(AND(VST_Assets!$W$11=1,AS$3&lt;=PTCLast,AS308&gt;0),AS308*MAX(0,PTCCredit*(1+Infl)^(AS$3-PTCBase)-0.8*MAX(0,(AS313+AS314+AS316)*1000000/MAX(1,AS308)-PTCThresh*(1+Infl)^(AS$3-PTCBase)))/1000000,0)</f>
        <v>0</v>
      </c>
    </row>
    <row r="325" customFormat="false" ht="15" hidden="false" customHeight="false" outlineLevel="0" collapsed="false">
      <c r="A325" s="6" t="s">
        <v>463</v>
      </c>
      <c r="B325" s="6" t="s">
        <v>464</v>
      </c>
      <c r="G325" s="8" t="n">
        <f aca="false">G315-G309*(VST_Assets!$N$11*(1+VST_FuelAdj)+VST_Assets!$O$11*(1+VST_OMAdj)+VST_Assets!$P$11*(1+VST_CapexAdj))*(1+VST_Assets!$Q$11)^(G$3-2026)/1000000</f>
        <v>0</v>
      </c>
      <c r="H325" s="8" t="n">
        <f aca="false">H315-H309*(VST_Assets!$N$11*(1+VST_FuelAdj)+VST_Assets!$O$11*(1+VST_OMAdj)+VST_Assets!$P$11*(1+VST_CapexAdj))*(1+VST_Assets!$Q$11)^(H$3-2026)/1000000</f>
        <v>0</v>
      </c>
      <c r="I325" s="8" t="n">
        <f aca="false">I315-I309*(VST_Assets!$N$11*(1+VST_FuelAdj)+VST_Assets!$O$11*(1+VST_OMAdj)+VST_Assets!$P$11*(1+VST_CapexAdj))*(1+VST_Assets!$Q$11)^(I$3-2026)/1000000</f>
        <v>0</v>
      </c>
      <c r="J325" s="8" t="n">
        <f aca="false">J315-J309*(VST_Assets!$N$11*(1+VST_FuelAdj)+VST_Assets!$O$11*(1+VST_OMAdj)+VST_Assets!$P$11*(1+VST_CapexAdj))*(1+VST_Assets!$Q$11)^(J$3-2026)/1000000</f>
        <v>0</v>
      </c>
      <c r="K325" s="8" t="n">
        <f aca="false">K315-K309*(VST_Assets!$N$11*(1+VST_FuelAdj)+VST_Assets!$O$11*(1+VST_OMAdj)+VST_Assets!$P$11*(1+VST_CapexAdj))*(1+VST_Assets!$Q$11)^(K$3-2026)/1000000</f>
        <v>0</v>
      </c>
      <c r="L325" s="8" t="n">
        <f aca="false">L315-L309*(VST_Assets!$N$11*(1+VST_FuelAdj)+VST_Assets!$O$11*(1+VST_OMAdj)+VST_Assets!$P$11*(1+VST_CapexAdj))*(1+VST_Assets!$Q$11)^(L$3-2026)/1000000</f>
        <v>0</v>
      </c>
      <c r="M325" s="8" t="n">
        <f aca="false">M315-M309*(VST_Assets!$N$11*(1+VST_FuelAdj)+VST_Assets!$O$11*(1+VST_OMAdj)+VST_Assets!$P$11*(1+VST_CapexAdj))*(1+VST_Assets!$Q$11)^(M$3-2026)/1000000</f>
        <v>0</v>
      </c>
      <c r="N325" s="8" t="n">
        <f aca="false">N315-N309*(VST_Assets!$N$11*(1+VST_FuelAdj)+VST_Assets!$O$11*(1+VST_OMAdj)+VST_Assets!$P$11*(1+VST_CapexAdj))*(1+VST_Assets!$Q$11)^(N$3-2026)/1000000</f>
        <v>0</v>
      </c>
      <c r="O325" s="8" t="n">
        <f aca="false">O315-O309*(VST_Assets!$N$11*(1+VST_FuelAdj)+VST_Assets!$O$11*(1+VST_OMAdj)+VST_Assets!$P$11*(1+VST_CapexAdj))*(1+VST_Assets!$Q$11)^(O$3-2026)/1000000</f>
        <v>0</v>
      </c>
      <c r="P325" s="8" t="n">
        <f aca="false">P315-P309*(VST_Assets!$N$11*(1+VST_FuelAdj)+VST_Assets!$O$11*(1+VST_OMAdj)+VST_Assets!$P$11*(1+VST_CapexAdj))*(1+VST_Assets!$Q$11)^(P$3-2026)/1000000</f>
        <v>0</v>
      </c>
      <c r="Q325" s="8" t="n">
        <f aca="false">Q315-Q309*(VST_Assets!$N$11*(1+VST_FuelAdj)+VST_Assets!$O$11*(1+VST_OMAdj)+VST_Assets!$P$11*(1+VST_CapexAdj))*(1+VST_Assets!$Q$11)^(Q$3-2026)/1000000</f>
        <v>0</v>
      </c>
      <c r="R325" s="8" t="n">
        <f aca="false">R315-R309*(VST_Assets!$N$11*(1+VST_FuelAdj)+VST_Assets!$O$11*(1+VST_OMAdj)+VST_Assets!$P$11*(1+VST_CapexAdj))*(1+VST_Assets!$Q$11)^(R$3-2026)/1000000</f>
        <v>0</v>
      </c>
      <c r="S325" s="8" t="n">
        <f aca="false">S315-S309*(VST_Assets!$N$11*(1+VST_FuelAdj)+VST_Assets!$O$11*(1+VST_OMAdj)+VST_Assets!$P$11*(1+VST_CapexAdj))*(1+VST_Assets!$Q$11)^(S$3-2026)/1000000</f>
        <v>0</v>
      </c>
      <c r="T325" s="8" t="n">
        <f aca="false">T315-T309*(VST_Assets!$N$11*(1+VST_FuelAdj)+VST_Assets!$O$11*(1+VST_OMAdj)+VST_Assets!$P$11*(1+VST_CapexAdj))*(1+VST_Assets!$Q$11)^(T$3-2026)/1000000</f>
        <v>0</v>
      </c>
      <c r="U325" s="8" t="n">
        <f aca="false">U315-U309*(VST_Assets!$N$11*(1+VST_FuelAdj)+VST_Assets!$O$11*(1+VST_OMAdj)+VST_Assets!$P$11*(1+VST_CapexAdj))*(1+VST_Assets!$Q$11)^(U$3-2026)/1000000</f>
        <v>0</v>
      </c>
      <c r="V325" s="8" t="n">
        <f aca="false">V315-V309*(VST_Assets!$N$11*(1+VST_FuelAdj)+VST_Assets!$O$11*(1+VST_OMAdj)+VST_Assets!$P$11*(1+VST_CapexAdj))*(1+VST_Assets!$Q$11)^(V$3-2026)/1000000</f>
        <v>0</v>
      </c>
      <c r="W325" s="8" t="n">
        <f aca="false">W315-W309*(VST_Assets!$N$11*(1+VST_FuelAdj)+VST_Assets!$O$11*(1+VST_OMAdj)+VST_Assets!$P$11*(1+VST_CapexAdj))*(1+VST_Assets!$Q$11)^(W$3-2026)/1000000</f>
        <v>0</v>
      </c>
      <c r="X325" s="8" t="n">
        <f aca="false">X315-X309*(VST_Assets!$N$11*(1+VST_FuelAdj)+VST_Assets!$O$11*(1+VST_OMAdj)+VST_Assets!$P$11*(1+VST_CapexAdj))*(1+VST_Assets!$Q$11)^(X$3-2026)/1000000</f>
        <v>0</v>
      </c>
      <c r="Y325" s="8" t="n">
        <f aca="false">Y315-Y309*(VST_Assets!$N$11*(1+VST_FuelAdj)+VST_Assets!$O$11*(1+VST_OMAdj)+VST_Assets!$P$11*(1+VST_CapexAdj))*(1+VST_Assets!$Q$11)^(Y$3-2026)/1000000</f>
        <v>0</v>
      </c>
      <c r="Z325" s="8" t="n">
        <f aca="false">Z315-Z309*(VST_Assets!$N$11*(1+VST_FuelAdj)+VST_Assets!$O$11*(1+VST_OMAdj)+VST_Assets!$P$11*(1+VST_CapexAdj))*(1+VST_Assets!$Q$11)^(Z$3-2026)/1000000</f>
        <v>0</v>
      </c>
      <c r="AA325" s="8" t="n">
        <f aca="false">AA315-AA309*(VST_Assets!$N$11*(1+VST_FuelAdj)+VST_Assets!$O$11*(1+VST_OMAdj)+VST_Assets!$P$11*(1+VST_CapexAdj))*(1+VST_Assets!$Q$11)^(AA$3-2026)/1000000</f>
        <v>0</v>
      </c>
      <c r="AB325" s="8" t="n">
        <f aca="false">AB315-AB309*(VST_Assets!$N$11*(1+VST_FuelAdj)+VST_Assets!$O$11*(1+VST_OMAdj)+VST_Assets!$P$11*(1+VST_CapexAdj))*(1+VST_Assets!$Q$11)^(AB$3-2026)/1000000</f>
        <v>0</v>
      </c>
      <c r="AC325" s="8" t="n">
        <f aca="false">AC315-AC309*(VST_Assets!$N$11*(1+VST_FuelAdj)+VST_Assets!$O$11*(1+VST_OMAdj)+VST_Assets!$P$11*(1+VST_CapexAdj))*(1+VST_Assets!$Q$11)^(AC$3-2026)/1000000</f>
        <v>0</v>
      </c>
      <c r="AD325" s="8" t="n">
        <f aca="false">AD315-AD309*(VST_Assets!$N$11*(1+VST_FuelAdj)+VST_Assets!$O$11*(1+VST_OMAdj)+VST_Assets!$P$11*(1+VST_CapexAdj))*(1+VST_Assets!$Q$11)^(AD$3-2026)/1000000</f>
        <v>0</v>
      </c>
      <c r="AE325" s="8" t="n">
        <f aca="false">AE315-AE309*(VST_Assets!$N$11*(1+VST_FuelAdj)+VST_Assets!$O$11*(1+VST_OMAdj)+VST_Assets!$P$11*(1+VST_CapexAdj))*(1+VST_Assets!$Q$11)^(AE$3-2026)/1000000</f>
        <v>0</v>
      </c>
      <c r="AF325" s="8" t="n">
        <f aca="false">AF315-AF309*(VST_Assets!$N$11*(1+VST_FuelAdj)+VST_Assets!$O$11*(1+VST_OMAdj)+VST_Assets!$P$11*(1+VST_CapexAdj))*(1+VST_Assets!$Q$11)^(AF$3-2026)/1000000</f>
        <v>0</v>
      </c>
      <c r="AG325" s="8" t="n">
        <f aca="false">AG315-AG309*(VST_Assets!$N$11*(1+VST_FuelAdj)+VST_Assets!$O$11*(1+VST_OMAdj)+VST_Assets!$P$11*(1+VST_CapexAdj))*(1+VST_Assets!$Q$11)^(AG$3-2026)/1000000</f>
        <v>0</v>
      </c>
      <c r="AH325" s="8" t="n">
        <f aca="false">AH315-AH309*(VST_Assets!$N$11*(1+VST_FuelAdj)+VST_Assets!$O$11*(1+VST_OMAdj)+VST_Assets!$P$11*(1+VST_CapexAdj))*(1+VST_Assets!$Q$11)^(AH$3-2026)/1000000</f>
        <v>0</v>
      </c>
      <c r="AI325" s="8" t="n">
        <f aca="false">AI315-AI309*(VST_Assets!$N$11*(1+VST_FuelAdj)+VST_Assets!$O$11*(1+VST_OMAdj)+VST_Assets!$P$11*(1+VST_CapexAdj))*(1+VST_Assets!$Q$11)^(AI$3-2026)/1000000</f>
        <v>0</v>
      </c>
      <c r="AJ325" s="8" t="n">
        <f aca="false">AJ315-AJ309*(VST_Assets!$N$11*(1+VST_FuelAdj)+VST_Assets!$O$11*(1+VST_OMAdj)+VST_Assets!$P$11*(1+VST_CapexAdj))*(1+VST_Assets!$Q$11)^(AJ$3-2026)/1000000</f>
        <v>0</v>
      </c>
      <c r="AK325" s="8" t="n">
        <f aca="false">AK315-AK309*(VST_Assets!$N$11*(1+VST_FuelAdj)+VST_Assets!$O$11*(1+VST_OMAdj)+VST_Assets!$P$11*(1+VST_CapexAdj))*(1+VST_Assets!$Q$11)^(AK$3-2026)/1000000</f>
        <v>0</v>
      </c>
      <c r="AL325" s="8" t="n">
        <f aca="false">AL315-AL309*(VST_Assets!$N$11*(1+VST_FuelAdj)+VST_Assets!$O$11*(1+VST_OMAdj)+VST_Assets!$P$11*(1+VST_CapexAdj))*(1+VST_Assets!$Q$11)^(AL$3-2026)/1000000</f>
        <v>0</v>
      </c>
      <c r="AM325" s="8" t="n">
        <f aca="false">AM315-AM309*(VST_Assets!$N$11*(1+VST_FuelAdj)+VST_Assets!$O$11*(1+VST_OMAdj)+VST_Assets!$P$11*(1+VST_CapexAdj))*(1+VST_Assets!$Q$11)^(AM$3-2026)/1000000</f>
        <v>0</v>
      </c>
      <c r="AN325" s="8" t="n">
        <f aca="false">AN315-AN309*(VST_Assets!$N$11*(1+VST_FuelAdj)+VST_Assets!$O$11*(1+VST_OMAdj)+VST_Assets!$P$11*(1+VST_CapexAdj))*(1+VST_Assets!$Q$11)^(AN$3-2026)/1000000</f>
        <v>0</v>
      </c>
      <c r="AO325" s="8" t="n">
        <f aca="false">AO315-AO309*(VST_Assets!$N$11*(1+VST_FuelAdj)+VST_Assets!$O$11*(1+VST_OMAdj)+VST_Assets!$P$11*(1+VST_CapexAdj))*(1+VST_Assets!$Q$11)^(AO$3-2026)/1000000</f>
        <v>0</v>
      </c>
      <c r="AP325" s="8" t="n">
        <f aca="false">AP315-AP309*(VST_Assets!$N$11*(1+VST_FuelAdj)+VST_Assets!$O$11*(1+VST_OMAdj)+VST_Assets!$P$11*(1+VST_CapexAdj))*(1+VST_Assets!$Q$11)^(AP$3-2026)/1000000</f>
        <v>0</v>
      </c>
      <c r="AQ325" s="8" t="n">
        <f aca="false">AQ315-AQ309*(VST_Assets!$N$11*(1+VST_FuelAdj)+VST_Assets!$O$11*(1+VST_OMAdj)+VST_Assets!$P$11*(1+VST_CapexAdj))*(1+VST_Assets!$Q$11)^(AQ$3-2026)/1000000</f>
        <v>0</v>
      </c>
      <c r="AR325" s="8" t="n">
        <f aca="false">AR315-AR309*(VST_Assets!$N$11*(1+VST_FuelAdj)+VST_Assets!$O$11*(1+VST_OMAdj)+VST_Assets!$P$11*(1+VST_CapexAdj))*(1+VST_Assets!$Q$11)^(AR$3-2026)/1000000</f>
        <v>0</v>
      </c>
      <c r="AS325" s="8" t="n">
        <f aca="false">AS315-AS309*(VST_Assets!$N$11*(1+VST_FuelAdj)+VST_Assets!$O$11*(1+VST_OMAdj)+VST_Assets!$P$11*(1+VST_CapexAdj))*(1+VST_Assets!$Q$11)^(AS$3-2026)/1000000</f>
        <v>0</v>
      </c>
    </row>
    <row r="326" customFormat="false" ht="15" hidden="false" customHeight="false" outlineLevel="0" collapsed="false">
      <c r="A326" s="6" t="s">
        <v>465</v>
      </c>
      <c r="B326" s="6" t="s">
        <v>466</v>
      </c>
      <c r="G326" s="8" t="n">
        <f aca="false">G323-G325</f>
        <v>115.394436</v>
      </c>
      <c r="H326" s="8" t="n">
        <f aca="false">H323-H325</f>
        <v>138.20860872</v>
      </c>
      <c r="I326" s="8" t="n">
        <f aca="false">I323-I325</f>
        <v>151.76331218124</v>
      </c>
      <c r="J326" s="8" t="n">
        <f aca="false">J323-J325</f>
        <v>166.215046017442</v>
      </c>
      <c r="K326" s="8" t="n">
        <f aca="false">K323-K325</f>
        <v>169.539346937791</v>
      </c>
      <c r="L326" s="8" t="n">
        <f aca="false">L323-L325</f>
        <v>172.930133876546</v>
      </c>
      <c r="M326" s="8" t="n">
        <f aca="false">M323-M325</f>
        <v>176.388736554077</v>
      </c>
      <c r="N326" s="8" t="n">
        <f aca="false">N323-N325</f>
        <v>179.916511285159</v>
      </c>
      <c r="O326" s="8" t="n">
        <f aca="false">O323-O325</f>
        <v>183.514841510862</v>
      </c>
      <c r="P326" s="8" t="n">
        <f aca="false">P323-P325</f>
        <v>0</v>
      </c>
      <c r="Q326" s="8" t="n">
        <f aca="false">Q323-Q325</f>
        <v>0</v>
      </c>
      <c r="R326" s="8" t="n">
        <f aca="false">R323-R325</f>
        <v>0</v>
      </c>
      <c r="S326" s="8" t="n">
        <f aca="false">S323-S325</f>
        <v>0</v>
      </c>
      <c r="T326" s="8" t="n">
        <f aca="false">T323-T325</f>
        <v>0</v>
      </c>
      <c r="U326" s="8" t="n">
        <f aca="false">U323-U325</f>
        <v>0</v>
      </c>
      <c r="V326" s="8" t="n">
        <f aca="false">V323-V325</f>
        <v>0</v>
      </c>
      <c r="W326" s="8" t="n">
        <f aca="false">W323-W325</f>
        <v>0</v>
      </c>
      <c r="X326" s="8" t="n">
        <f aca="false">X323-X325</f>
        <v>0</v>
      </c>
      <c r="Y326" s="8" t="n">
        <f aca="false">Y323-Y325</f>
        <v>0</v>
      </c>
      <c r="Z326" s="8" t="n">
        <f aca="false">Z323-Z325</f>
        <v>0</v>
      </c>
      <c r="AA326" s="8" t="n">
        <f aca="false">AA323-AA325</f>
        <v>0</v>
      </c>
      <c r="AB326" s="8" t="n">
        <f aca="false">AB323-AB325</f>
        <v>0</v>
      </c>
      <c r="AC326" s="8" t="n">
        <f aca="false">AC323-AC325</f>
        <v>0</v>
      </c>
      <c r="AD326" s="8" t="n">
        <f aca="false">AD323-AD325</f>
        <v>0</v>
      </c>
      <c r="AE326" s="8" t="n">
        <f aca="false">AE323-AE325</f>
        <v>0</v>
      </c>
      <c r="AF326" s="8" t="n">
        <f aca="false">AF323-AF325</f>
        <v>0</v>
      </c>
      <c r="AG326" s="8" t="n">
        <f aca="false">AG323-AG325</f>
        <v>0</v>
      </c>
      <c r="AH326" s="8" t="n">
        <f aca="false">AH323-AH325</f>
        <v>0</v>
      </c>
      <c r="AI326" s="8" t="n">
        <f aca="false">AI323-AI325</f>
        <v>0</v>
      </c>
      <c r="AJ326" s="8" t="n">
        <f aca="false">AJ323-AJ325</f>
        <v>0</v>
      </c>
      <c r="AK326" s="8" t="n">
        <f aca="false">AK323-AK325</f>
        <v>0</v>
      </c>
      <c r="AL326" s="8" t="n">
        <f aca="false">AL323-AL325</f>
        <v>0</v>
      </c>
      <c r="AM326" s="8" t="n">
        <f aca="false">AM323-AM325</f>
        <v>0</v>
      </c>
      <c r="AN326" s="8" t="n">
        <f aca="false">AN323-AN325</f>
        <v>0</v>
      </c>
      <c r="AO326" s="8" t="n">
        <f aca="false">AO323-AO325</f>
        <v>0</v>
      </c>
      <c r="AP326" s="8" t="n">
        <f aca="false">AP323-AP325</f>
        <v>0</v>
      </c>
      <c r="AQ326" s="8" t="n">
        <f aca="false">AQ323-AQ325</f>
        <v>0</v>
      </c>
      <c r="AR326" s="8" t="n">
        <f aca="false">AR323-AR325</f>
        <v>0</v>
      </c>
      <c r="AS326" s="8" t="n">
        <f aca="false">AS323-AS325</f>
        <v>0</v>
      </c>
    </row>
    <row r="327" customFormat="false" ht="15" hidden="false" customHeight="false" outlineLevel="0" collapsed="false">
      <c r="A327" s="6" t="s">
        <v>467</v>
      </c>
      <c r="B327" s="6" t="s">
        <v>468</v>
      </c>
      <c r="G327" s="8" t="n">
        <f aca="false">G326*(1-TaxRate)+G324</f>
        <v>92.3155488000001</v>
      </c>
      <c r="H327" s="8" t="n">
        <f aca="false">H326*(1-TaxRate)+H324</f>
        <v>110.566886976</v>
      </c>
      <c r="I327" s="8" t="n">
        <f aca="false">I326*(1-TaxRate)+I324</f>
        <v>121.410649744992</v>
      </c>
      <c r="J327" s="8" t="n">
        <f aca="false">J326*(1-TaxRate)+J324</f>
        <v>132.972036813953</v>
      </c>
      <c r="K327" s="8" t="n">
        <f aca="false">K326*(1-TaxRate)+K324</f>
        <v>135.631477550232</v>
      </c>
      <c r="L327" s="8" t="n">
        <f aca="false">L326*(1-TaxRate)+L324</f>
        <v>138.344107101237</v>
      </c>
      <c r="M327" s="8" t="n">
        <f aca="false">M326*(1-TaxRate)+M324</f>
        <v>141.110989243262</v>
      </c>
      <c r="N327" s="8" t="n">
        <f aca="false">N326*(1-TaxRate)+N324</f>
        <v>143.933209028127</v>
      </c>
      <c r="O327" s="8" t="n">
        <f aca="false">O326*(1-TaxRate)+O324</f>
        <v>146.811873208689</v>
      </c>
      <c r="P327" s="8" t="n">
        <f aca="false">P326*(1-TaxRate)+P324</f>
        <v>0</v>
      </c>
      <c r="Q327" s="8" t="n">
        <f aca="false">Q326*(1-TaxRate)+Q324</f>
        <v>0</v>
      </c>
      <c r="R327" s="8" t="n">
        <f aca="false">R326*(1-TaxRate)+R324</f>
        <v>0</v>
      </c>
      <c r="S327" s="8" t="n">
        <f aca="false">S326*(1-TaxRate)+S324</f>
        <v>0</v>
      </c>
      <c r="T327" s="8" t="n">
        <f aca="false">T326*(1-TaxRate)+T324</f>
        <v>0</v>
      </c>
      <c r="U327" s="8" t="n">
        <f aca="false">U326*(1-TaxRate)+U324</f>
        <v>0</v>
      </c>
      <c r="V327" s="8" t="n">
        <f aca="false">V326*(1-TaxRate)+V324</f>
        <v>0</v>
      </c>
      <c r="W327" s="8" t="n">
        <f aca="false">W326*(1-TaxRate)+W324</f>
        <v>0</v>
      </c>
      <c r="X327" s="8" t="n">
        <f aca="false">X326*(1-TaxRate)+X324</f>
        <v>0</v>
      </c>
      <c r="Y327" s="8" t="n">
        <f aca="false">Y326*(1-TaxRate)+Y324</f>
        <v>0</v>
      </c>
      <c r="Z327" s="8" t="n">
        <f aca="false">Z326*(1-TaxRate)+Z324</f>
        <v>0</v>
      </c>
      <c r="AA327" s="8" t="n">
        <f aca="false">AA326*(1-TaxRate)+AA324</f>
        <v>0</v>
      </c>
      <c r="AB327" s="8" t="n">
        <f aca="false">AB326*(1-TaxRate)+AB324</f>
        <v>0</v>
      </c>
      <c r="AC327" s="8" t="n">
        <f aca="false">AC326*(1-TaxRate)+AC324</f>
        <v>0</v>
      </c>
      <c r="AD327" s="8" t="n">
        <f aca="false">AD326*(1-TaxRate)+AD324</f>
        <v>0</v>
      </c>
      <c r="AE327" s="8" t="n">
        <f aca="false">AE326*(1-TaxRate)+AE324</f>
        <v>0</v>
      </c>
      <c r="AF327" s="8" t="n">
        <f aca="false">AF326*(1-TaxRate)+AF324</f>
        <v>0</v>
      </c>
      <c r="AG327" s="8" t="n">
        <f aca="false">AG326*(1-TaxRate)+AG324</f>
        <v>0</v>
      </c>
      <c r="AH327" s="8" t="n">
        <f aca="false">AH326*(1-TaxRate)+AH324</f>
        <v>0</v>
      </c>
      <c r="AI327" s="8" t="n">
        <f aca="false">AI326*(1-TaxRate)+AI324</f>
        <v>0</v>
      </c>
      <c r="AJ327" s="8" t="n">
        <f aca="false">AJ326*(1-TaxRate)+AJ324</f>
        <v>0</v>
      </c>
      <c r="AK327" s="8" t="n">
        <f aca="false">AK326*(1-TaxRate)+AK324</f>
        <v>0</v>
      </c>
      <c r="AL327" s="8" t="n">
        <f aca="false">AL326*(1-TaxRate)+AL324</f>
        <v>0</v>
      </c>
      <c r="AM327" s="8" t="n">
        <f aca="false">AM326*(1-TaxRate)+AM324</f>
        <v>0</v>
      </c>
      <c r="AN327" s="8" t="n">
        <f aca="false">AN326*(1-TaxRate)+AN324</f>
        <v>0</v>
      </c>
      <c r="AO327" s="8" t="n">
        <f aca="false">AO326*(1-TaxRate)+AO324</f>
        <v>0</v>
      </c>
      <c r="AP327" s="8" t="n">
        <f aca="false">AP326*(1-TaxRate)+AP324</f>
        <v>0</v>
      </c>
      <c r="AQ327" s="8" t="n">
        <f aca="false">AQ326*(1-TaxRate)+AQ324</f>
        <v>0</v>
      </c>
      <c r="AR327" s="8" t="n">
        <f aca="false">AR326*(1-TaxRate)+AR324</f>
        <v>0</v>
      </c>
      <c r="AS327" s="8" t="n">
        <f aca="false">AS326*(1-TaxRate)+AS324</f>
        <v>0</v>
      </c>
    </row>
    <row r="328" customFormat="false" ht="15" hidden="false" customHeight="false" outlineLevel="0" collapsed="false">
      <c r="A328" s="6" t="s">
        <v>469</v>
      </c>
      <c r="B328" s="6" t="s">
        <v>470</v>
      </c>
      <c r="G328" s="8" t="n">
        <f aca="false">G325*(1-TaxRate)</f>
        <v>0</v>
      </c>
      <c r="H328" s="8" t="n">
        <f aca="false">H325*(1-TaxRate)</f>
        <v>0</v>
      </c>
      <c r="I328" s="8" t="n">
        <f aca="false">I325*(1-TaxRate)</f>
        <v>0</v>
      </c>
      <c r="J328" s="8" t="n">
        <f aca="false">J325*(1-TaxRate)</f>
        <v>0</v>
      </c>
      <c r="K328" s="8" t="n">
        <f aca="false">K325*(1-TaxRate)</f>
        <v>0</v>
      </c>
      <c r="L328" s="8" t="n">
        <f aca="false">L325*(1-TaxRate)</f>
        <v>0</v>
      </c>
      <c r="M328" s="8" t="n">
        <f aca="false">M325*(1-TaxRate)</f>
        <v>0</v>
      </c>
      <c r="N328" s="8" t="n">
        <f aca="false">N325*(1-TaxRate)</f>
        <v>0</v>
      </c>
      <c r="O328" s="8" t="n">
        <f aca="false">O325*(1-TaxRate)</f>
        <v>0</v>
      </c>
      <c r="P328" s="8" t="n">
        <f aca="false">P325*(1-TaxRate)</f>
        <v>0</v>
      </c>
      <c r="Q328" s="8" t="n">
        <f aca="false">Q325*(1-TaxRate)</f>
        <v>0</v>
      </c>
      <c r="R328" s="8" t="n">
        <f aca="false">R325*(1-TaxRate)</f>
        <v>0</v>
      </c>
      <c r="S328" s="8" t="n">
        <f aca="false">S325*(1-TaxRate)</f>
        <v>0</v>
      </c>
      <c r="T328" s="8" t="n">
        <f aca="false">T325*(1-TaxRate)</f>
        <v>0</v>
      </c>
      <c r="U328" s="8" t="n">
        <f aca="false">U325*(1-TaxRate)</f>
        <v>0</v>
      </c>
      <c r="V328" s="8" t="n">
        <f aca="false">V325*(1-TaxRate)</f>
        <v>0</v>
      </c>
      <c r="W328" s="8" t="n">
        <f aca="false">W325*(1-TaxRate)</f>
        <v>0</v>
      </c>
      <c r="X328" s="8" t="n">
        <f aca="false">X325*(1-TaxRate)</f>
        <v>0</v>
      </c>
      <c r="Y328" s="8" t="n">
        <f aca="false">Y325*(1-TaxRate)</f>
        <v>0</v>
      </c>
      <c r="Z328" s="8" t="n">
        <f aca="false">Z325*(1-TaxRate)</f>
        <v>0</v>
      </c>
      <c r="AA328" s="8" t="n">
        <f aca="false">AA325*(1-TaxRate)</f>
        <v>0</v>
      </c>
      <c r="AB328" s="8" t="n">
        <f aca="false">AB325*(1-TaxRate)</f>
        <v>0</v>
      </c>
      <c r="AC328" s="8" t="n">
        <f aca="false">AC325*(1-TaxRate)</f>
        <v>0</v>
      </c>
      <c r="AD328" s="8" t="n">
        <f aca="false">AD325*(1-TaxRate)</f>
        <v>0</v>
      </c>
      <c r="AE328" s="8" t="n">
        <f aca="false">AE325*(1-TaxRate)</f>
        <v>0</v>
      </c>
      <c r="AF328" s="8" t="n">
        <f aca="false">AF325*(1-TaxRate)</f>
        <v>0</v>
      </c>
      <c r="AG328" s="8" t="n">
        <f aca="false">AG325*(1-TaxRate)</f>
        <v>0</v>
      </c>
      <c r="AH328" s="8" t="n">
        <f aca="false">AH325*(1-TaxRate)</f>
        <v>0</v>
      </c>
      <c r="AI328" s="8" t="n">
        <f aca="false">AI325*(1-TaxRate)</f>
        <v>0</v>
      </c>
      <c r="AJ328" s="8" t="n">
        <f aca="false">AJ325*(1-TaxRate)</f>
        <v>0</v>
      </c>
      <c r="AK328" s="8" t="n">
        <f aca="false">AK325*(1-TaxRate)</f>
        <v>0</v>
      </c>
      <c r="AL328" s="8" t="n">
        <f aca="false">AL325*(1-TaxRate)</f>
        <v>0</v>
      </c>
      <c r="AM328" s="8" t="n">
        <f aca="false">AM325*(1-TaxRate)</f>
        <v>0</v>
      </c>
      <c r="AN328" s="8" t="n">
        <f aca="false">AN325*(1-TaxRate)</f>
        <v>0</v>
      </c>
      <c r="AO328" s="8" t="n">
        <f aca="false">AO325*(1-TaxRate)</f>
        <v>0</v>
      </c>
      <c r="AP328" s="8" t="n">
        <f aca="false">AP325*(1-TaxRate)</f>
        <v>0</v>
      </c>
      <c r="AQ328" s="8" t="n">
        <f aca="false">AQ325*(1-TaxRate)</f>
        <v>0</v>
      </c>
      <c r="AR328" s="8" t="n">
        <f aca="false">AR325*(1-TaxRate)</f>
        <v>0</v>
      </c>
      <c r="AS328" s="8" t="n">
        <f aca="false">AS325*(1-TaxRate)</f>
        <v>0</v>
      </c>
    </row>
    <row r="329" customFormat="false" ht="15" hidden="false" customHeight="false" outlineLevel="0" collapsed="false">
      <c r="A329" s="6" t="s">
        <v>471</v>
      </c>
      <c r="B329" s="6" t="s">
        <v>472</v>
      </c>
      <c r="G329" s="42" t="n">
        <f aca="false">(1+VST_Assets!$AE$11)^-(G$3+0.5-ValDate)</f>
        <v>0.918515486359</v>
      </c>
      <c r="H329" s="42" t="n">
        <f aca="false">(1+VST_Assets!$AE$11)^-(H$3+0.5-ValDate)</f>
        <v>0.820103112820536</v>
      </c>
      <c r="I329" s="42" t="n">
        <f aca="false">(1+VST_Assets!$AE$11)^-(I$3+0.5-ValDate)</f>
        <v>0.732234922161193</v>
      </c>
      <c r="J329" s="42" t="n">
        <f aca="false">(1+VST_Assets!$AE$11)^-(J$3+0.5-ValDate)</f>
        <v>0.653781180501065</v>
      </c>
      <c r="K329" s="42" t="n">
        <f aca="false">(1+VST_Assets!$AE$11)^-(K$3+0.5-ValDate)</f>
        <v>0.583733196875951</v>
      </c>
      <c r="L329" s="42" t="n">
        <f aca="false">(1+VST_Assets!$AE$11)^-(L$3+0.5-ValDate)</f>
        <v>0.521190354353527</v>
      </c>
      <c r="M329" s="42" t="n">
        <f aca="false">(1+VST_Assets!$AE$11)^-(M$3+0.5-ValDate)</f>
        <v>0.465348530672792</v>
      </c>
      <c r="N329" s="42" t="n">
        <f aca="false">(1+VST_Assets!$AE$11)^-(N$3+0.5-ValDate)</f>
        <v>0.415489759529279</v>
      </c>
      <c r="O329" s="42" t="n">
        <f aca="false">(1+VST_Assets!$AE$11)^-(O$3+0.5-ValDate)</f>
        <v>0.370972999579713</v>
      </c>
      <c r="P329" s="42" t="n">
        <f aca="false">(1+VST_Assets!$AE$11)^-(P$3+0.5-ValDate)</f>
        <v>0.331225892481887</v>
      </c>
      <c r="Q329" s="42" t="n">
        <f aca="false">(1+VST_Assets!$AE$11)^-(Q$3+0.5-ValDate)</f>
        <v>0.295737404001684</v>
      </c>
      <c r="R329" s="42" t="n">
        <f aca="false">(1+VST_Assets!$AE$11)^-(R$3+0.5-ValDate)</f>
        <v>0.264051253572933</v>
      </c>
      <c r="S329" s="42" t="n">
        <f aca="false">(1+VST_Assets!$AE$11)^-(S$3+0.5-ValDate)</f>
        <v>0.235760047832975</v>
      </c>
      <c r="T329" s="42" t="n">
        <f aca="false">(1+VST_Assets!$AE$11)^-(T$3+0.5-ValDate)</f>
        <v>0.210500042708014</v>
      </c>
      <c r="U329" s="42" t="n">
        <f aca="false">(1+VST_Assets!$AE$11)^-(U$3+0.5-ValDate)</f>
        <v>0.187946466703584</v>
      </c>
      <c r="V329" s="42" t="n">
        <f aca="false">(1+VST_Assets!$AE$11)^-(V$3+0.5-ValDate)</f>
        <v>0.167809345271057</v>
      </c>
      <c r="W329" s="42" t="n">
        <f aca="false">(1+VST_Assets!$AE$11)^-(W$3+0.5-ValDate)</f>
        <v>0.149829772563444</v>
      </c>
      <c r="X329" s="42" t="n">
        <f aca="false">(1+VST_Assets!$AE$11)^-(X$3+0.5-ValDate)</f>
        <v>0.133776582645932</v>
      </c>
      <c r="Y329" s="42" t="n">
        <f aca="false">(1+VST_Assets!$AE$11)^-(Y$3+0.5-ValDate)</f>
        <v>0.119443377362439</v>
      </c>
      <c r="Z329" s="42" t="n">
        <f aca="false">(1+VST_Assets!$AE$11)^-(Z$3+0.5-ValDate)</f>
        <v>0.106645872645035</v>
      </c>
      <c r="AA329" s="42" t="n">
        <f aca="false">(1+VST_Assets!$AE$11)^-(AA$3+0.5-ValDate)</f>
        <v>0.0952195291473526</v>
      </c>
      <c r="AB329" s="42" t="n">
        <f aca="false">(1+VST_Assets!$AE$11)^-(AB$3+0.5-ValDate)</f>
        <v>0.0850174367387077</v>
      </c>
      <c r="AC329" s="42" t="n">
        <f aca="false">(1+VST_Assets!$AE$11)^-(AC$3+0.5-ValDate)</f>
        <v>0.0759084256595604</v>
      </c>
      <c r="AD329" s="42" t="n">
        <f aca="false">(1+VST_Assets!$AE$11)^-(AD$3+0.5-ValDate)</f>
        <v>0.0677753800531789</v>
      </c>
      <c r="AE329" s="42" t="n">
        <f aca="false">(1+VST_Assets!$AE$11)^-(AE$3+0.5-ValDate)</f>
        <v>0.0605137321903383</v>
      </c>
      <c r="AF329" s="42" t="n">
        <f aca="false">(1+VST_Assets!$AE$11)^-(AF$3+0.5-ValDate)</f>
        <v>0.0540301180270878</v>
      </c>
      <c r="AG329" s="42" t="n">
        <f aca="false">(1+VST_Assets!$AE$11)^-(AG$3+0.5-ValDate)</f>
        <v>0.0482411768098998</v>
      </c>
      <c r="AH329" s="42" t="n">
        <f aca="false">(1+VST_Assets!$AE$11)^-(AH$3+0.5-ValDate)</f>
        <v>0.0430724792945534</v>
      </c>
      <c r="AI329" s="42" t="n">
        <f aca="false">(1+VST_Assets!$AE$11)^-(AI$3+0.5-ValDate)</f>
        <v>0.0384575707987084</v>
      </c>
      <c r="AJ329" s="42" t="n">
        <f aca="false">(1+VST_Assets!$AE$11)^-(AJ$3+0.5-ValDate)</f>
        <v>0.034337116784561</v>
      </c>
      <c r="AK329" s="42" t="n">
        <f aca="false">(1+VST_Assets!$AE$11)^-(AK$3+0.5-ValDate)</f>
        <v>0.0306581399862152</v>
      </c>
      <c r="AL329" s="42" t="n">
        <f aca="false">(1+VST_Assets!$AE$11)^-(AL$3+0.5-ValDate)</f>
        <v>0.0273733392734064</v>
      </c>
      <c r="AM329" s="42" t="n">
        <f aca="false">(1+VST_Assets!$AE$11)^-(AM$3+0.5-ValDate)</f>
        <v>0.0244404814941129</v>
      </c>
      <c r="AN329" s="42" t="n">
        <f aca="false">(1+VST_Assets!$AE$11)^-(AN$3+0.5-ValDate)</f>
        <v>0.0218218584768865</v>
      </c>
      <c r="AO329" s="42" t="n">
        <f aca="false">(1+VST_Assets!$AE$11)^-(AO$3+0.5-ValDate)</f>
        <v>0.0194838022115058</v>
      </c>
      <c r="AP329" s="42" t="n">
        <f aca="false">(1+VST_Assets!$AE$11)^-(AP$3+0.5-ValDate)</f>
        <v>0.0173962519745588</v>
      </c>
      <c r="AQ329" s="42" t="n">
        <f aca="false">(1+VST_Assets!$AE$11)^-(AQ$3+0.5-ValDate)</f>
        <v>0.0155323678344275</v>
      </c>
      <c r="AR329" s="42" t="n">
        <f aca="false">(1+VST_Assets!$AE$11)^-(AR$3+0.5-ValDate)</f>
        <v>0.0138681855664531</v>
      </c>
      <c r="AS329" s="42" t="n">
        <f aca="false">(1+VST_Assets!$AE$11)^-(AS$3+0.5-ValDate)</f>
        <v>0.012382308541476</v>
      </c>
    </row>
    <row r="330" customFormat="false" ht="15" hidden="false" customHeight="false" outlineLevel="0" collapsed="false">
      <c r="A330" s="6" t="s">
        <v>473</v>
      </c>
      <c r="B330" s="6" t="s">
        <v>474</v>
      </c>
      <c r="G330" s="42" t="n">
        <f aca="false">(1+VST_Assets!$AF$11)^-(G$3+0.5-ValDate)</f>
        <v>0.918515486359</v>
      </c>
      <c r="H330" s="42" t="n">
        <f aca="false">(1+VST_Assets!$AF$11)^-(H$3+0.5-ValDate)</f>
        <v>0.820103112820536</v>
      </c>
      <c r="I330" s="42" t="n">
        <f aca="false">(1+VST_Assets!$AF$11)^-(I$3+0.5-ValDate)</f>
        <v>0.732234922161193</v>
      </c>
      <c r="J330" s="42" t="n">
        <f aca="false">(1+VST_Assets!$AF$11)^-(J$3+0.5-ValDate)</f>
        <v>0.653781180501065</v>
      </c>
      <c r="K330" s="42" t="n">
        <f aca="false">(1+VST_Assets!$AF$11)^-(K$3+0.5-ValDate)</f>
        <v>0.583733196875951</v>
      </c>
      <c r="L330" s="42" t="n">
        <f aca="false">(1+VST_Assets!$AF$11)^-(L$3+0.5-ValDate)</f>
        <v>0.521190354353527</v>
      </c>
      <c r="M330" s="42" t="n">
        <f aca="false">(1+VST_Assets!$AF$11)^-(M$3+0.5-ValDate)</f>
        <v>0.465348530672792</v>
      </c>
      <c r="N330" s="42" t="n">
        <f aca="false">(1+VST_Assets!$AF$11)^-(N$3+0.5-ValDate)</f>
        <v>0.415489759529279</v>
      </c>
      <c r="O330" s="42" t="n">
        <f aca="false">(1+VST_Assets!$AF$11)^-(O$3+0.5-ValDate)</f>
        <v>0.370972999579713</v>
      </c>
      <c r="P330" s="42" t="n">
        <f aca="false">(1+VST_Assets!$AF$11)^-(P$3+0.5-ValDate)</f>
        <v>0.331225892481887</v>
      </c>
      <c r="Q330" s="42" t="n">
        <f aca="false">(1+VST_Assets!$AF$11)^-(Q$3+0.5-ValDate)</f>
        <v>0.295737404001684</v>
      </c>
      <c r="R330" s="42" t="n">
        <f aca="false">(1+VST_Assets!$AF$11)^-(R$3+0.5-ValDate)</f>
        <v>0.264051253572933</v>
      </c>
      <c r="S330" s="42" t="n">
        <f aca="false">(1+VST_Assets!$AF$11)^-(S$3+0.5-ValDate)</f>
        <v>0.235760047832975</v>
      </c>
      <c r="T330" s="42" t="n">
        <f aca="false">(1+VST_Assets!$AF$11)^-(T$3+0.5-ValDate)</f>
        <v>0.210500042708014</v>
      </c>
      <c r="U330" s="42" t="n">
        <f aca="false">(1+VST_Assets!$AF$11)^-(U$3+0.5-ValDate)</f>
        <v>0.187946466703584</v>
      </c>
      <c r="V330" s="42" t="n">
        <f aca="false">(1+VST_Assets!$AF$11)^-(V$3+0.5-ValDate)</f>
        <v>0.167809345271057</v>
      </c>
      <c r="W330" s="42" t="n">
        <f aca="false">(1+VST_Assets!$AF$11)^-(W$3+0.5-ValDate)</f>
        <v>0.149829772563444</v>
      </c>
      <c r="X330" s="42" t="n">
        <f aca="false">(1+VST_Assets!$AF$11)^-(X$3+0.5-ValDate)</f>
        <v>0.133776582645932</v>
      </c>
      <c r="Y330" s="42" t="n">
        <f aca="false">(1+VST_Assets!$AF$11)^-(Y$3+0.5-ValDate)</f>
        <v>0.119443377362439</v>
      </c>
      <c r="Z330" s="42" t="n">
        <f aca="false">(1+VST_Assets!$AF$11)^-(Z$3+0.5-ValDate)</f>
        <v>0.106645872645035</v>
      </c>
      <c r="AA330" s="42" t="n">
        <f aca="false">(1+VST_Assets!$AF$11)^-(AA$3+0.5-ValDate)</f>
        <v>0.0952195291473526</v>
      </c>
      <c r="AB330" s="42" t="n">
        <f aca="false">(1+VST_Assets!$AF$11)^-(AB$3+0.5-ValDate)</f>
        <v>0.0850174367387077</v>
      </c>
      <c r="AC330" s="42" t="n">
        <f aca="false">(1+VST_Assets!$AF$11)^-(AC$3+0.5-ValDate)</f>
        <v>0.0759084256595604</v>
      </c>
      <c r="AD330" s="42" t="n">
        <f aca="false">(1+VST_Assets!$AF$11)^-(AD$3+0.5-ValDate)</f>
        <v>0.0677753800531789</v>
      </c>
      <c r="AE330" s="42" t="n">
        <f aca="false">(1+VST_Assets!$AF$11)^-(AE$3+0.5-ValDate)</f>
        <v>0.0605137321903383</v>
      </c>
      <c r="AF330" s="42" t="n">
        <f aca="false">(1+VST_Assets!$AF$11)^-(AF$3+0.5-ValDate)</f>
        <v>0.0540301180270878</v>
      </c>
      <c r="AG330" s="42" t="n">
        <f aca="false">(1+VST_Assets!$AF$11)^-(AG$3+0.5-ValDate)</f>
        <v>0.0482411768098998</v>
      </c>
      <c r="AH330" s="42" t="n">
        <f aca="false">(1+VST_Assets!$AF$11)^-(AH$3+0.5-ValDate)</f>
        <v>0.0430724792945534</v>
      </c>
      <c r="AI330" s="42" t="n">
        <f aca="false">(1+VST_Assets!$AF$11)^-(AI$3+0.5-ValDate)</f>
        <v>0.0384575707987084</v>
      </c>
      <c r="AJ330" s="42" t="n">
        <f aca="false">(1+VST_Assets!$AF$11)^-(AJ$3+0.5-ValDate)</f>
        <v>0.034337116784561</v>
      </c>
      <c r="AK330" s="42" t="n">
        <f aca="false">(1+VST_Assets!$AF$11)^-(AK$3+0.5-ValDate)</f>
        <v>0.0306581399862152</v>
      </c>
      <c r="AL330" s="42" t="n">
        <f aca="false">(1+VST_Assets!$AF$11)^-(AL$3+0.5-ValDate)</f>
        <v>0.0273733392734064</v>
      </c>
      <c r="AM330" s="42" t="n">
        <f aca="false">(1+VST_Assets!$AF$11)^-(AM$3+0.5-ValDate)</f>
        <v>0.0244404814941129</v>
      </c>
      <c r="AN330" s="42" t="n">
        <f aca="false">(1+VST_Assets!$AF$11)^-(AN$3+0.5-ValDate)</f>
        <v>0.0218218584768865</v>
      </c>
      <c r="AO330" s="42" t="n">
        <f aca="false">(1+VST_Assets!$AF$11)^-(AO$3+0.5-ValDate)</f>
        <v>0.0194838022115058</v>
      </c>
      <c r="AP330" s="42" t="n">
        <f aca="false">(1+VST_Assets!$AF$11)^-(AP$3+0.5-ValDate)</f>
        <v>0.0173962519745588</v>
      </c>
      <c r="AQ330" s="42" t="n">
        <f aca="false">(1+VST_Assets!$AF$11)^-(AQ$3+0.5-ValDate)</f>
        <v>0.0155323678344275</v>
      </c>
      <c r="AR330" s="42" t="n">
        <f aca="false">(1+VST_Assets!$AF$11)^-(AR$3+0.5-ValDate)</f>
        <v>0.0138681855664531</v>
      </c>
      <c r="AS330" s="42" t="n">
        <f aca="false">(1+VST_Assets!$AF$11)^-(AS$3+0.5-ValDate)</f>
        <v>0.012382308541476</v>
      </c>
    </row>
    <row r="331" customFormat="false" ht="15" hidden="false" customHeight="false" outlineLevel="0" collapsed="false">
      <c r="A331" s="6" t="s">
        <v>475</v>
      </c>
      <c r="B331" s="6" t="s">
        <v>476</v>
      </c>
      <c r="C331" s="43" t="n">
        <f aca="false">SUM(G331:AS331)</f>
        <v>682.513259337722</v>
      </c>
      <c r="D331" s="8" t="n">
        <f aca="false">SUMIF($G$3:$AS$3,"&lt;="&amp;Horizon,G331:AS331)</f>
        <v>351.305242255846</v>
      </c>
      <c r="E331" s="8" t="n">
        <f aca="false">(C331-D331)*(1+VST_Assets!$AE$11)^(Horizon+1-ValDate)</f>
        <v>536.139045640852</v>
      </c>
      <c r="G331" s="8" t="n">
        <f aca="false">G327*G329</f>
        <v>84.7932612045301</v>
      </c>
      <c r="H331" s="8" t="n">
        <f aca="false">H327*H329</f>
        <v>90.676248183894</v>
      </c>
      <c r="I331" s="8" t="n">
        <f aca="false">I327*I329</f>
        <v>88.901117665564</v>
      </c>
      <c r="J331" s="8" t="n">
        <f aca="false">J327*J329</f>
        <v>86.9346152018575</v>
      </c>
      <c r="K331" s="8" t="n">
        <f aca="false">K327*K329</f>
        <v>79.1725959874059</v>
      </c>
      <c r="L331" s="8" t="n">
        <f aca="false">L327*L329</f>
        <v>72.1036142028161</v>
      </c>
      <c r="M331" s="8" t="n">
        <f aca="false">M327*M329</f>
        <v>65.6657915061361</v>
      </c>
      <c r="N331" s="8" t="n">
        <f aca="false">N327*N329</f>
        <v>59.8027744073739</v>
      </c>
      <c r="O331" s="8" t="n">
        <f aca="false">O327*O329</f>
        <v>54.463240978144</v>
      </c>
      <c r="P331" s="8" t="n">
        <f aca="false">P327*P329</f>
        <v>0</v>
      </c>
      <c r="Q331" s="8" t="n">
        <f aca="false">Q327*Q329</f>
        <v>0</v>
      </c>
      <c r="R331" s="8" t="n">
        <f aca="false">R327*R329</f>
        <v>0</v>
      </c>
      <c r="S331" s="8" t="n">
        <f aca="false">S327*S329</f>
        <v>0</v>
      </c>
      <c r="T331" s="8" t="n">
        <f aca="false">T327*T329</f>
        <v>0</v>
      </c>
      <c r="U331" s="8" t="n">
        <f aca="false">U327*U329</f>
        <v>0</v>
      </c>
      <c r="V331" s="8" t="n">
        <f aca="false">V327*V329</f>
        <v>0</v>
      </c>
      <c r="W331" s="8" t="n">
        <f aca="false">W327*W329</f>
        <v>0</v>
      </c>
      <c r="X331" s="8" t="n">
        <f aca="false">X327*X329</f>
        <v>0</v>
      </c>
      <c r="Y331" s="8" t="n">
        <f aca="false">Y327*Y329</f>
        <v>0</v>
      </c>
      <c r="Z331" s="8" t="n">
        <f aca="false">Z327*Z329</f>
        <v>0</v>
      </c>
      <c r="AA331" s="8" t="n">
        <f aca="false">AA327*AA329</f>
        <v>0</v>
      </c>
      <c r="AB331" s="8" t="n">
        <f aca="false">AB327*AB329</f>
        <v>0</v>
      </c>
      <c r="AC331" s="8" t="n">
        <f aca="false">AC327*AC329</f>
        <v>0</v>
      </c>
      <c r="AD331" s="8" t="n">
        <f aca="false">AD327*AD329</f>
        <v>0</v>
      </c>
      <c r="AE331" s="8" t="n">
        <f aca="false">AE327*AE329</f>
        <v>0</v>
      </c>
      <c r="AF331" s="8" t="n">
        <f aca="false">AF327*AF329</f>
        <v>0</v>
      </c>
      <c r="AG331" s="8" t="n">
        <f aca="false">AG327*AG329</f>
        <v>0</v>
      </c>
      <c r="AH331" s="8" t="n">
        <f aca="false">AH327*AH329</f>
        <v>0</v>
      </c>
      <c r="AI331" s="8" t="n">
        <f aca="false">AI327*AI329</f>
        <v>0</v>
      </c>
      <c r="AJ331" s="8" t="n">
        <f aca="false">AJ327*AJ329</f>
        <v>0</v>
      </c>
      <c r="AK331" s="8" t="n">
        <f aca="false">AK327*AK329</f>
        <v>0</v>
      </c>
      <c r="AL331" s="8" t="n">
        <f aca="false">AL327*AL329</f>
        <v>0</v>
      </c>
      <c r="AM331" s="8" t="n">
        <f aca="false">AM327*AM329</f>
        <v>0</v>
      </c>
      <c r="AN331" s="8" t="n">
        <f aca="false">AN327*AN329</f>
        <v>0</v>
      </c>
      <c r="AO331" s="8" t="n">
        <f aca="false">AO327*AO329</f>
        <v>0</v>
      </c>
      <c r="AP331" s="8" t="n">
        <f aca="false">AP327*AP329</f>
        <v>0</v>
      </c>
      <c r="AQ331" s="8" t="n">
        <f aca="false">AQ327*AQ329</f>
        <v>0</v>
      </c>
      <c r="AR331" s="8" t="n">
        <f aca="false">AR327*AR329</f>
        <v>0</v>
      </c>
      <c r="AS331" s="8" t="n">
        <f aca="false">AS327*AS329</f>
        <v>0</v>
      </c>
    </row>
    <row r="332" customFormat="false" ht="15" hidden="false" customHeight="false" outlineLevel="0" collapsed="false">
      <c r="A332" s="6" t="s">
        <v>477</v>
      </c>
      <c r="B332" s="6" t="s">
        <v>478</v>
      </c>
      <c r="C332" s="43" t="n">
        <f aca="false">SUM(G332:AS332)</f>
        <v>0</v>
      </c>
      <c r="D332" s="8" t="n">
        <f aca="false">SUMIF($G$3:$AS$3,"&lt;="&amp;Horizon,G332:AS332)</f>
        <v>0</v>
      </c>
      <c r="E332" s="8" t="n">
        <f aca="false">(C332-D332)*(1+VST_Assets!$AF$11)^(Horizon+1-ValDate)</f>
        <v>0</v>
      </c>
      <c r="G332" s="8" t="n">
        <f aca="false">G328*G330</f>
        <v>0</v>
      </c>
      <c r="H332" s="8" t="n">
        <f aca="false">H328*H330</f>
        <v>0</v>
      </c>
      <c r="I332" s="8" t="n">
        <f aca="false">I328*I330</f>
        <v>0</v>
      </c>
      <c r="J332" s="8" t="n">
        <f aca="false">J328*J330</f>
        <v>0</v>
      </c>
      <c r="K332" s="8" t="n">
        <f aca="false">K328*K330</f>
        <v>0</v>
      </c>
      <c r="L332" s="8" t="n">
        <f aca="false">L328*L330</f>
        <v>0</v>
      </c>
      <c r="M332" s="8" t="n">
        <f aca="false">M328*M330</f>
        <v>0</v>
      </c>
      <c r="N332" s="8" t="n">
        <f aca="false">N328*N330</f>
        <v>0</v>
      </c>
      <c r="O332" s="8" t="n">
        <f aca="false">O328*O330</f>
        <v>0</v>
      </c>
      <c r="P332" s="8" t="n">
        <f aca="false">P328*P330</f>
        <v>0</v>
      </c>
      <c r="Q332" s="8" t="n">
        <f aca="false">Q328*Q330</f>
        <v>0</v>
      </c>
      <c r="R332" s="8" t="n">
        <f aca="false">R328*R330</f>
        <v>0</v>
      </c>
      <c r="S332" s="8" t="n">
        <f aca="false">S328*S330</f>
        <v>0</v>
      </c>
      <c r="T332" s="8" t="n">
        <f aca="false">T328*T330</f>
        <v>0</v>
      </c>
      <c r="U332" s="8" t="n">
        <f aca="false">U328*U330</f>
        <v>0</v>
      </c>
      <c r="V332" s="8" t="n">
        <f aca="false">V328*V330</f>
        <v>0</v>
      </c>
      <c r="W332" s="8" t="n">
        <f aca="false">W328*W330</f>
        <v>0</v>
      </c>
      <c r="X332" s="8" t="n">
        <f aca="false">X328*X330</f>
        <v>0</v>
      </c>
      <c r="Y332" s="8" t="n">
        <f aca="false">Y328*Y330</f>
        <v>0</v>
      </c>
      <c r="Z332" s="8" t="n">
        <f aca="false">Z328*Z330</f>
        <v>0</v>
      </c>
      <c r="AA332" s="8" t="n">
        <f aca="false">AA328*AA330</f>
        <v>0</v>
      </c>
      <c r="AB332" s="8" t="n">
        <f aca="false">AB328*AB330</f>
        <v>0</v>
      </c>
      <c r="AC332" s="8" t="n">
        <f aca="false">AC328*AC330</f>
        <v>0</v>
      </c>
      <c r="AD332" s="8" t="n">
        <f aca="false">AD328*AD330</f>
        <v>0</v>
      </c>
      <c r="AE332" s="8" t="n">
        <f aca="false">AE328*AE330</f>
        <v>0</v>
      </c>
      <c r="AF332" s="8" t="n">
        <f aca="false">AF328*AF330</f>
        <v>0</v>
      </c>
      <c r="AG332" s="8" t="n">
        <f aca="false">AG328*AG330</f>
        <v>0</v>
      </c>
      <c r="AH332" s="8" t="n">
        <f aca="false">AH328*AH330</f>
        <v>0</v>
      </c>
      <c r="AI332" s="8" t="n">
        <f aca="false">AI328*AI330</f>
        <v>0</v>
      </c>
      <c r="AJ332" s="8" t="n">
        <f aca="false">AJ328*AJ330</f>
        <v>0</v>
      </c>
      <c r="AK332" s="8" t="n">
        <f aca="false">AK328*AK330</f>
        <v>0</v>
      </c>
      <c r="AL332" s="8" t="n">
        <f aca="false">AL328*AL330</f>
        <v>0</v>
      </c>
      <c r="AM332" s="8" t="n">
        <f aca="false">AM328*AM330</f>
        <v>0</v>
      </c>
      <c r="AN332" s="8" t="n">
        <f aca="false">AN328*AN330</f>
        <v>0</v>
      </c>
      <c r="AO332" s="8" t="n">
        <f aca="false">AO328*AO330</f>
        <v>0</v>
      </c>
      <c r="AP332" s="8" t="n">
        <f aca="false">AP328*AP330</f>
        <v>0</v>
      </c>
      <c r="AQ332" s="8" t="n">
        <f aca="false">AQ328*AQ330</f>
        <v>0</v>
      </c>
      <c r="AR332" s="8" t="n">
        <f aca="false">AR328*AR330</f>
        <v>0</v>
      </c>
      <c r="AS332" s="8" t="n">
        <f aca="false">AS328*AS330</f>
        <v>0</v>
      </c>
    </row>
    <row r="333" customFormat="false" ht="15" hidden="false" customHeight="false" outlineLevel="0" collapsed="false">
      <c r="A333" s="6" t="s">
        <v>479</v>
      </c>
      <c r="B333" s="6" t="s">
        <v>480</v>
      </c>
      <c r="C333" s="43" t="n">
        <f aca="false">IF(VST_Assets!$H$11="$/kW",VST_Assets!$D$11*VST_Assets!$AI$11*(1+0.4*(PJMWLR/PJMWLRBase-1))/1000,0)</f>
        <v>0</v>
      </c>
      <c r="E333" s="8" t="n">
        <f aca="false">C333</f>
        <v>0</v>
      </c>
      <c r="G333" s="8" t="n">
        <f aca="false">0</f>
        <v>0</v>
      </c>
      <c r="H333" s="8" t="n">
        <f aca="false">0</f>
        <v>0</v>
      </c>
      <c r="I333" s="8" t="n">
        <f aca="false">0</f>
        <v>0</v>
      </c>
      <c r="J333" s="8" t="n">
        <f aca="false">0</f>
        <v>0</v>
      </c>
      <c r="K333" s="8" t="n">
        <f aca="false">0</f>
        <v>0</v>
      </c>
      <c r="L333" s="8" t="n">
        <f aca="false">0</f>
        <v>0</v>
      </c>
      <c r="M333" s="8" t="n">
        <f aca="false">0</f>
        <v>0</v>
      </c>
      <c r="N333" s="8" t="n">
        <f aca="false">0</f>
        <v>0</v>
      </c>
      <c r="O333" s="8" t="n">
        <f aca="false">0</f>
        <v>0</v>
      </c>
      <c r="P333" s="8" t="n">
        <f aca="false">0</f>
        <v>0</v>
      </c>
      <c r="Q333" s="8" t="n">
        <f aca="false">0</f>
        <v>0</v>
      </c>
      <c r="R333" s="8" t="n">
        <f aca="false">0</f>
        <v>0</v>
      </c>
      <c r="S333" s="8" t="n">
        <f aca="false">0</f>
        <v>0</v>
      </c>
      <c r="T333" s="8" t="n">
        <f aca="false">0</f>
        <v>0</v>
      </c>
      <c r="U333" s="8" t="n">
        <f aca="false">0</f>
        <v>0</v>
      </c>
      <c r="V333" s="8" t="n">
        <f aca="false">0</f>
        <v>0</v>
      </c>
      <c r="W333" s="8" t="n">
        <f aca="false">0</f>
        <v>0</v>
      </c>
      <c r="X333" s="8" t="n">
        <f aca="false">0</f>
        <v>0</v>
      </c>
      <c r="Y333" s="8" t="n">
        <f aca="false">0</f>
        <v>0</v>
      </c>
      <c r="Z333" s="8" t="n">
        <f aca="false">0</f>
        <v>0</v>
      </c>
      <c r="AA333" s="8" t="n">
        <f aca="false">0</f>
        <v>0</v>
      </c>
      <c r="AB333" s="8" t="n">
        <f aca="false">0</f>
        <v>0</v>
      </c>
      <c r="AC333" s="8" t="n">
        <f aca="false">0</f>
        <v>0</v>
      </c>
      <c r="AD333" s="8" t="n">
        <f aca="false">0</f>
        <v>0</v>
      </c>
      <c r="AE333" s="8" t="n">
        <f aca="false">0</f>
        <v>0</v>
      </c>
      <c r="AF333" s="8" t="n">
        <f aca="false">0</f>
        <v>0</v>
      </c>
      <c r="AG333" s="8" t="n">
        <f aca="false">0</f>
        <v>0</v>
      </c>
      <c r="AH333" s="8" t="n">
        <f aca="false">0</f>
        <v>0</v>
      </c>
      <c r="AI333" s="8" t="n">
        <f aca="false">0</f>
        <v>0</v>
      </c>
      <c r="AJ333" s="8" t="n">
        <f aca="false">0</f>
        <v>0</v>
      </c>
      <c r="AK333" s="8" t="n">
        <f aca="false">0</f>
        <v>0</v>
      </c>
      <c r="AL333" s="8" t="n">
        <f aca="false">0</f>
        <v>0</v>
      </c>
      <c r="AM333" s="8" t="n">
        <f aca="false">0</f>
        <v>0</v>
      </c>
      <c r="AN333" s="8" t="n">
        <f aca="false">0</f>
        <v>0</v>
      </c>
      <c r="AO333" s="8" t="n">
        <f aca="false">0</f>
        <v>0</v>
      </c>
      <c r="AP333" s="8" t="n">
        <f aca="false">0</f>
        <v>0</v>
      </c>
      <c r="AQ333" s="8" t="n">
        <f aca="false">0</f>
        <v>0</v>
      </c>
      <c r="AR333" s="8" t="n">
        <f aca="false">0</f>
        <v>0</v>
      </c>
      <c r="AS333" s="8" t="n">
        <f aca="false">0</f>
        <v>0</v>
      </c>
    </row>
    <row r="335" customFormat="false" ht="15" hidden="false" customHeight="false" outlineLevel="0" collapsed="false">
      <c r="A335" s="54" t="str">
        <f aca="false">VST_Assets!$A$12</f>
        <v>Coal - IL/OH (Baldwin, Kincaid, Newton, Miami Fort) - retiring ~2027</v>
      </c>
    </row>
    <row r="336" customFormat="false" ht="15" hidden="false" customHeight="false" outlineLevel="0" collapsed="false">
      <c r="A336" s="6" t="s">
        <v>425</v>
      </c>
      <c r="B336" s="6" t="s">
        <v>426</v>
      </c>
      <c r="G336" s="47" t="n">
        <f aca="false">IF(AND(G$3&gt;=VST_Assets!$E$12,G$3&lt;=VST_Assets!$F$12,VST_Assets!$H$12="Cashflow"),1,0)</f>
        <v>1</v>
      </c>
      <c r="H336" s="47" t="n">
        <f aca="false">IF(AND(H$3&gt;=VST_Assets!$E$12,H$3&lt;=VST_Assets!$F$12,VST_Assets!$H$12="Cashflow"),1,0)</f>
        <v>0</v>
      </c>
      <c r="I336" s="47" t="n">
        <f aca="false">IF(AND(I$3&gt;=VST_Assets!$E$12,I$3&lt;=VST_Assets!$F$12,VST_Assets!$H$12="Cashflow"),1,0)</f>
        <v>0</v>
      </c>
      <c r="J336" s="47" t="n">
        <f aca="false">IF(AND(J$3&gt;=VST_Assets!$E$12,J$3&lt;=VST_Assets!$F$12,VST_Assets!$H$12="Cashflow"),1,0)</f>
        <v>0</v>
      </c>
      <c r="K336" s="47" t="n">
        <f aca="false">IF(AND(K$3&gt;=VST_Assets!$E$12,K$3&lt;=VST_Assets!$F$12,VST_Assets!$H$12="Cashflow"),1,0)</f>
        <v>0</v>
      </c>
      <c r="L336" s="47" t="n">
        <f aca="false">IF(AND(L$3&gt;=VST_Assets!$E$12,L$3&lt;=VST_Assets!$F$12,VST_Assets!$H$12="Cashflow"),1,0)</f>
        <v>0</v>
      </c>
      <c r="M336" s="47" t="n">
        <f aca="false">IF(AND(M$3&gt;=VST_Assets!$E$12,M$3&lt;=VST_Assets!$F$12,VST_Assets!$H$12="Cashflow"),1,0)</f>
        <v>0</v>
      </c>
      <c r="N336" s="47" t="n">
        <f aca="false">IF(AND(N$3&gt;=VST_Assets!$E$12,N$3&lt;=VST_Assets!$F$12,VST_Assets!$H$12="Cashflow"),1,0)</f>
        <v>0</v>
      </c>
      <c r="O336" s="47" t="n">
        <f aca="false">IF(AND(O$3&gt;=VST_Assets!$E$12,O$3&lt;=VST_Assets!$F$12,VST_Assets!$H$12="Cashflow"),1,0)</f>
        <v>0</v>
      </c>
      <c r="P336" s="47" t="n">
        <f aca="false">IF(AND(P$3&gt;=VST_Assets!$E$12,P$3&lt;=VST_Assets!$F$12,VST_Assets!$H$12="Cashflow"),1,0)</f>
        <v>0</v>
      </c>
      <c r="Q336" s="47" t="n">
        <f aca="false">IF(AND(Q$3&gt;=VST_Assets!$E$12,Q$3&lt;=VST_Assets!$F$12,VST_Assets!$H$12="Cashflow"),1,0)</f>
        <v>0</v>
      </c>
      <c r="R336" s="47" t="n">
        <f aca="false">IF(AND(R$3&gt;=VST_Assets!$E$12,R$3&lt;=VST_Assets!$F$12,VST_Assets!$H$12="Cashflow"),1,0)</f>
        <v>0</v>
      </c>
      <c r="S336" s="47" t="n">
        <f aca="false">IF(AND(S$3&gt;=VST_Assets!$E$12,S$3&lt;=VST_Assets!$F$12,VST_Assets!$H$12="Cashflow"),1,0)</f>
        <v>0</v>
      </c>
      <c r="T336" s="47" t="n">
        <f aca="false">IF(AND(T$3&gt;=VST_Assets!$E$12,T$3&lt;=VST_Assets!$F$12,VST_Assets!$H$12="Cashflow"),1,0)</f>
        <v>0</v>
      </c>
      <c r="U336" s="47" t="n">
        <f aca="false">IF(AND(U$3&gt;=VST_Assets!$E$12,U$3&lt;=VST_Assets!$F$12,VST_Assets!$H$12="Cashflow"),1,0)</f>
        <v>0</v>
      </c>
      <c r="V336" s="47" t="n">
        <f aca="false">IF(AND(V$3&gt;=VST_Assets!$E$12,V$3&lt;=VST_Assets!$F$12,VST_Assets!$H$12="Cashflow"),1,0)</f>
        <v>0</v>
      </c>
      <c r="W336" s="47" t="n">
        <f aca="false">IF(AND(W$3&gt;=VST_Assets!$E$12,W$3&lt;=VST_Assets!$F$12,VST_Assets!$H$12="Cashflow"),1,0)</f>
        <v>0</v>
      </c>
      <c r="X336" s="47" t="n">
        <f aca="false">IF(AND(X$3&gt;=VST_Assets!$E$12,X$3&lt;=VST_Assets!$F$12,VST_Assets!$H$12="Cashflow"),1,0)</f>
        <v>0</v>
      </c>
      <c r="Y336" s="47" t="n">
        <f aca="false">IF(AND(Y$3&gt;=VST_Assets!$E$12,Y$3&lt;=VST_Assets!$F$12,VST_Assets!$H$12="Cashflow"),1,0)</f>
        <v>0</v>
      </c>
      <c r="Z336" s="47" t="n">
        <f aca="false">IF(AND(Z$3&gt;=VST_Assets!$E$12,Z$3&lt;=VST_Assets!$F$12,VST_Assets!$H$12="Cashflow"),1,0)</f>
        <v>0</v>
      </c>
      <c r="AA336" s="47" t="n">
        <f aca="false">IF(AND(AA$3&gt;=VST_Assets!$E$12,AA$3&lt;=VST_Assets!$F$12,VST_Assets!$H$12="Cashflow"),1,0)</f>
        <v>0</v>
      </c>
      <c r="AB336" s="47" t="n">
        <f aca="false">IF(AND(AB$3&gt;=VST_Assets!$E$12,AB$3&lt;=VST_Assets!$F$12,VST_Assets!$H$12="Cashflow"),1,0)</f>
        <v>0</v>
      </c>
      <c r="AC336" s="47" t="n">
        <f aca="false">IF(AND(AC$3&gt;=VST_Assets!$E$12,AC$3&lt;=VST_Assets!$F$12,VST_Assets!$H$12="Cashflow"),1,0)</f>
        <v>0</v>
      </c>
      <c r="AD336" s="47" t="n">
        <f aca="false">IF(AND(AD$3&gt;=VST_Assets!$E$12,AD$3&lt;=VST_Assets!$F$12,VST_Assets!$H$12="Cashflow"),1,0)</f>
        <v>0</v>
      </c>
      <c r="AE336" s="47" t="n">
        <f aca="false">IF(AND(AE$3&gt;=VST_Assets!$E$12,AE$3&lt;=VST_Assets!$F$12,VST_Assets!$H$12="Cashflow"),1,0)</f>
        <v>0</v>
      </c>
      <c r="AF336" s="47" t="n">
        <f aca="false">IF(AND(AF$3&gt;=VST_Assets!$E$12,AF$3&lt;=VST_Assets!$F$12,VST_Assets!$H$12="Cashflow"),1,0)</f>
        <v>0</v>
      </c>
      <c r="AG336" s="47" t="n">
        <f aca="false">IF(AND(AG$3&gt;=VST_Assets!$E$12,AG$3&lt;=VST_Assets!$F$12,VST_Assets!$H$12="Cashflow"),1,0)</f>
        <v>0</v>
      </c>
      <c r="AH336" s="47" t="n">
        <f aca="false">IF(AND(AH$3&gt;=VST_Assets!$E$12,AH$3&lt;=VST_Assets!$F$12,VST_Assets!$H$12="Cashflow"),1,0)</f>
        <v>0</v>
      </c>
      <c r="AI336" s="47" t="n">
        <f aca="false">IF(AND(AI$3&gt;=VST_Assets!$E$12,AI$3&lt;=VST_Assets!$F$12,VST_Assets!$H$12="Cashflow"),1,0)</f>
        <v>0</v>
      </c>
      <c r="AJ336" s="47" t="n">
        <f aca="false">IF(AND(AJ$3&gt;=VST_Assets!$E$12,AJ$3&lt;=VST_Assets!$F$12,VST_Assets!$H$12="Cashflow"),1,0)</f>
        <v>0</v>
      </c>
      <c r="AK336" s="47" t="n">
        <f aca="false">IF(AND(AK$3&gt;=VST_Assets!$E$12,AK$3&lt;=VST_Assets!$F$12,VST_Assets!$H$12="Cashflow"),1,0)</f>
        <v>0</v>
      </c>
      <c r="AL336" s="47" t="n">
        <f aca="false">IF(AND(AL$3&gt;=VST_Assets!$E$12,AL$3&lt;=VST_Assets!$F$12,VST_Assets!$H$12="Cashflow"),1,0)</f>
        <v>0</v>
      </c>
      <c r="AM336" s="47" t="n">
        <f aca="false">IF(AND(AM$3&gt;=VST_Assets!$E$12,AM$3&lt;=VST_Assets!$F$12,VST_Assets!$H$12="Cashflow"),1,0)</f>
        <v>0</v>
      </c>
      <c r="AN336" s="47" t="n">
        <f aca="false">IF(AND(AN$3&gt;=VST_Assets!$E$12,AN$3&lt;=VST_Assets!$F$12,VST_Assets!$H$12="Cashflow"),1,0)</f>
        <v>0</v>
      </c>
      <c r="AO336" s="47" t="n">
        <f aca="false">IF(AND(AO$3&gt;=VST_Assets!$E$12,AO$3&lt;=VST_Assets!$F$12,VST_Assets!$H$12="Cashflow"),1,0)</f>
        <v>0</v>
      </c>
      <c r="AP336" s="47" t="n">
        <f aca="false">IF(AND(AP$3&gt;=VST_Assets!$E$12,AP$3&lt;=VST_Assets!$F$12,VST_Assets!$H$12="Cashflow"),1,0)</f>
        <v>0</v>
      </c>
      <c r="AQ336" s="47" t="n">
        <f aca="false">IF(AND(AQ$3&gt;=VST_Assets!$E$12,AQ$3&lt;=VST_Assets!$F$12,VST_Assets!$H$12="Cashflow"),1,0)</f>
        <v>0</v>
      </c>
      <c r="AR336" s="47" t="n">
        <f aca="false">IF(AND(AR$3&gt;=VST_Assets!$E$12,AR$3&lt;=VST_Assets!$F$12,VST_Assets!$H$12="Cashflow"),1,0)</f>
        <v>0</v>
      </c>
      <c r="AS336" s="47" t="n">
        <f aca="false">IF(AND(AS$3&gt;=VST_Assets!$E$12,AS$3&lt;=VST_Assets!$F$12,VST_Assets!$H$12="Cashflow"),1,0)</f>
        <v>0</v>
      </c>
    </row>
    <row r="337" customFormat="false" ht="15" hidden="false" customHeight="false" outlineLevel="0" collapsed="false">
      <c r="A337" s="6" t="s">
        <v>427</v>
      </c>
      <c r="B337" s="6" t="s">
        <v>428</v>
      </c>
      <c r="G337" s="9" t="n">
        <f aca="false">IF(AND(G$3&gt;=VST_Assets!$AA$12,G$3&lt;=VST_Assets!$AB$12),MIN(VST_Assets!$D$12,VST_Assets!$Z$12*MIN(1,(G$3-VST_Assets!$AA$12+1)/MAX(1,VST_Assets!$AC$12))),0)*G336</f>
        <v>0</v>
      </c>
      <c r="H337" s="9" t="n">
        <f aca="false">IF(AND(H$3&gt;=VST_Assets!$AA$12,H$3&lt;=VST_Assets!$AB$12),MIN(VST_Assets!$D$12,VST_Assets!$Z$12*MIN(1,(H$3-VST_Assets!$AA$12+1)/MAX(1,VST_Assets!$AC$12))),0)*H336</f>
        <v>0</v>
      </c>
      <c r="I337" s="9" t="n">
        <f aca="false">IF(AND(I$3&gt;=VST_Assets!$AA$12,I$3&lt;=VST_Assets!$AB$12),MIN(VST_Assets!$D$12,VST_Assets!$Z$12*MIN(1,(I$3-VST_Assets!$AA$12+1)/MAX(1,VST_Assets!$AC$12))),0)*I336</f>
        <v>0</v>
      </c>
      <c r="J337" s="9" t="n">
        <f aca="false">IF(AND(J$3&gt;=VST_Assets!$AA$12,J$3&lt;=VST_Assets!$AB$12),MIN(VST_Assets!$D$12,VST_Assets!$Z$12*MIN(1,(J$3-VST_Assets!$AA$12+1)/MAX(1,VST_Assets!$AC$12))),0)*J336</f>
        <v>0</v>
      </c>
      <c r="K337" s="9" t="n">
        <f aca="false">IF(AND(K$3&gt;=VST_Assets!$AA$12,K$3&lt;=VST_Assets!$AB$12),MIN(VST_Assets!$D$12,VST_Assets!$Z$12*MIN(1,(K$3-VST_Assets!$AA$12+1)/MAX(1,VST_Assets!$AC$12))),0)*K336</f>
        <v>0</v>
      </c>
      <c r="L337" s="9" t="n">
        <f aca="false">IF(AND(L$3&gt;=VST_Assets!$AA$12,L$3&lt;=VST_Assets!$AB$12),MIN(VST_Assets!$D$12,VST_Assets!$Z$12*MIN(1,(L$3-VST_Assets!$AA$12+1)/MAX(1,VST_Assets!$AC$12))),0)*L336</f>
        <v>0</v>
      </c>
      <c r="M337" s="9" t="n">
        <f aca="false">IF(AND(M$3&gt;=VST_Assets!$AA$12,M$3&lt;=VST_Assets!$AB$12),MIN(VST_Assets!$D$12,VST_Assets!$Z$12*MIN(1,(M$3-VST_Assets!$AA$12+1)/MAX(1,VST_Assets!$AC$12))),0)*M336</f>
        <v>0</v>
      </c>
      <c r="N337" s="9" t="n">
        <f aca="false">IF(AND(N$3&gt;=VST_Assets!$AA$12,N$3&lt;=VST_Assets!$AB$12),MIN(VST_Assets!$D$12,VST_Assets!$Z$12*MIN(1,(N$3-VST_Assets!$AA$12+1)/MAX(1,VST_Assets!$AC$12))),0)*N336</f>
        <v>0</v>
      </c>
      <c r="O337" s="9" t="n">
        <f aca="false">IF(AND(O$3&gt;=VST_Assets!$AA$12,O$3&lt;=VST_Assets!$AB$12),MIN(VST_Assets!$D$12,VST_Assets!$Z$12*MIN(1,(O$3-VST_Assets!$AA$12+1)/MAX(1,VST_Assets!$AC$12))),0)*O336</f>
        <v>0</v>
      </c>
      <c r="P337" s="9" t="n">
        <f aca="false">IF(AND(P$3&gt;=VST_Assets!$AA$12,P$3&lt;=VST_Assets!$AB$12),MIN(VST_Assets!$D$12,VST_Assets!$Z$12*MIN(1,(P$3-VST_Assets!$AA$12+1)/MAX(1,VST_Assets!$AC$12))),0)*P336</f>
        <v>0</v>
      </c>
      <c r="Q337" s="9" t="n">
        <f aca="false">IF(AND(Q$3&gt;=VST_Assets!$AA$12,Q$3&lt;=VST_Assets!$AB$12),MIN(VST_Assets!$D$12,VST_Assets!$Z$12*MIN(1,(Q$3-VST_Assets!$AA$12+1)/MAX(1,VST_Assets!$AC$12))),0)*Q336</f>
        <v>0</v>
      </c>
      <c r="R337" s="9" t="n">
        <f aca="false">IF(AND(R$3&gt;=VST_Assets!$AA$12,R$3&lt;=VST_Assets!$AB$12),MIN(VST_Assets!$D$12,VST_Assets!$Z$12*MIN(1,(R$3-VST_Assets!$AA$12+1)/MAX(1,VST_Assets!$AC$12))),0)*R336</f>
        <v>0</v>
      </c>
      <c r="S337" s="9" t="n">
        <f aca="false">IF(AND(S$3&gt;=VST_Assets!$AA$12,S$3&lt;=VST_Assets!$AB$12),MIN(VST_Assets!$D$12,VST_Assets!$Z$12*MIN(1,(S$3-VST_Assets!$AA$12+1)/MAX(1,VST_Assets!$AC$12))),0)*S336</f>
        <v>0</v>
      </c>
      <c r="T337" s="9" t="n">
        <f aca="false">IF(AND(T$3&gt;=VST_Assets!$AA$12,T$3&lt;=VST_Assets!$AB$12),MIN(VST_Assets!$D$12,VST_Assets!$Z$12*MIN(1,(T$3-VST_Assets!$AA$12+1)/MAX(1,VST_Assets!$AC$12))),0)*T336</f>
        <v>0</v>
      </c>
      <c r="U337" s="9" t="n">
        <f aca="false">IF(AND(U$3&gt;=VST_Assets!$AA$12,U$3&lt;=VST_Assets!$AB$12),MIN(VST_Assets!$D$12,VST_Assets!$Z$12*MIN(1,(U$3-VST_Assets!$AA$12+1)/MAX(1,VST_Assets!$AC$12))),0)*U336</f>
        <v>0</v>
      </c>
      <c r="V337" s="9" t="n">
        <f aca="false">IF(AND(V$3&gt;=VST_Assets!$AA$12,V$3&lt;=VST_Assets!$AB$12),MIN(VST_Assets!$D$12,VST_Assets!$Z$12*MIN(1,(V$3-VST_Assets!$AA$12+1)/MAX(1,VST_Assets!$AC$12))),0)*V336</f>
        <v>0</v>
      </c>
      <c r="W337" s="9" t="n">
        <f aca="false">IF(AND(W$3&gt;=VST_Assets!$AA$12,W$3&lt;=VST_Assets!$AB$12),MIN(VST_Assets!$D$12,VST_Assets!$Z$12*MIN(1,(W$3-VST_Assets!$AA$12+1)/MAX(1,VST_Assets!$AC$12))),0)*W336</f>
        <v>0</v>
      </c>
      <c r="X337" s="9" t="n">
        <f aca="false">IF(AND(X$3&gt;=VST_Assets!$AA$12,X$3&lt;=VST_Assets!$AB$12),MIN(VST_Assets!$D$12,VST_Assets!$Z$12*MIN(1,(X$3-VST_Assets!$AA$12+1)/MAX(1,VST_Assets!$AC$12))),0)*X336</f>
        <v>0</v>
      </c>
      <c r="Y337" s="9" t="n">
        <f aca="false">IF(AND(Y$3&gt;=VST_Assets!$AA$12,Y$3&lt;=VST_Assets!$AB$12),MIN(VST_Assets!$D$12,VST_Assets!$Z$12*MIN(1,(Y$3-VST_Assets!$AA$12+1)/MAX(1,VST_Assets!$AC$12))),0)*Y336</f>
        <v>0</v>
      </c>
      <c r="Z337" s="9" t="n">
        <f aca="false">IF(AND(Z$3&gt;=VST_Assets!$AA$12,Z$3&lt;=VST_Assets!$AB$12),MIN(VST_Assets!$D$12,VST_Assets!$Z$12*MIN(1,(Z$3-VST_Assets!$AA$12+1)/MAX(1,VST_Assets!$AC$12))),0)*Z336</f>
        <v>0</v>
      </c>
      <c r="AA337" s="9" t="n">
        <f aca="false">IF(AND(AA$3&gt;=VST_Assets!$AA$12,AA$3&lt;=VST_Assets!$AB$12),MIN(VST_Assets!$D$12,VST_Assets!$Z$12*MIN(1,(AA$3-VST_Assets!$AA$12+1)/MAX(1,VST_Assets!$AC$12))),0)*AA336</f>
        <v>0</v>
      </c>
      <c r="AB337" s="9" t="n">
        <f aca="false">IF(AND(AB$3&gt;=VST_Assets!$AA$12,AB$3&lt;=VST_Assets!$AB$12),MIN(VST_Assets!$D$12,VST_Assets!$Z$12*MIN(1,(AB$3-VST_Assets!$AA$12+1)/MAX(1,VST_Assets!$AC$12))),0)*AB336</f>
        <v>0</v>
      </c>
      <c r="AC337" s="9" t="n">
        <f aca="false">IF(AND(AC$3&gt;=VST_Assets!$AA$12,AC$3&lt;=VST_Assets!$AB$12),MIN(VST_Assets!$D$12,VST_Assets!$Z$12*MIN(1,(AC$3-VST_Assets!$AA$12+1)/MAX(1,VST_Assets!$AC$12))),0)*AC336</f>
        <v>0</v>
      </c>
      <c r="AD337" s="9" t="n">
        <f aca="false">IF(AND(AD$3&gt;=VST_Assets!$AA$12,AD$3&lt;=VST_Assets!$AB$12),MIN(VST_Assets!$D$12,VST_Assets!$Z$12*MIN(1,(AD$3-VST_Assets!$AA$12+1)/MAX(1,VST_Assets!$AC$12))),0)*AD336</f>
        <v>0</v>
      </c>
      <c r="AE337" s="9" t="n">
        <f aca="false">IF(AND(AE$3&gt;=VST_Assets!$AA$12,AE$3&lt;=VST_Assets!$AB$12),MIN(VST_Assets!$D$12,VST_Assets!$Z$12*MIN(1,(AE$3-VST_Assets!$AA$12+1)/MAX(1,VST_Assets!$AC$12))),0)*AE336</f>
        <v>0</v>
      </c>
      <c r="AF337" s="9" t="n">
        <f aca="false">IF(AND(AF$3&gt;=VST_Assets!$AA$12,AF$3&lt;=VST_Assets!$AB$12),MIN(VST_Assets!$D$12,VST_Assets!$Z$12*MIN(1,(AF$3-VST_Assets!$AA$12+1)/MAX(1,VST_Assets!$AC$12))),0)*AF336</f>
        <v>0</v>
      </c>
      <c r="AG337" s="9" t="n">
        <f aca="false">IF(AND(AG$3&gt;=VST_Assets!$AA$12,AG$3&lt;=VST_Assets!$AB$12),MIN(VST_Assets!$D$12,VST_Assets!$Z$12*MIN(1,(AG$3-VST_Assets!$AA$12+1)/MAX(1,VST_Assets!$AC$12))),0)*AG336</f>
        <v>0</v>
      </c>
      <c r="AH337" s="9" t="n">
        <f aca="false">IF(AND(AH$3&gt;=VST_Assets!$AA$12,AH$3&lt;=VST_Assets!$AB$12),MIN(VST_Assets!$D$12,VST_Assets!$Z$12*MIN(1,(AH$3-VST_Assets!$AA$12+1)/MAX(1,VST_Assets!$AC$12))),0)*AH336</f>
        <v>0</v>
      </c>
      <c r="AI337" s="9" t="n">
        <f aca="false">IF(AND(AI$3&gt;=VST_Assets!$AA$12,AI$3&lt;=VST_Assets!$AB$12),MIN(VST_Assets!$D$12,VST_Assets!$Z$12*MIN(1,(AI$3-VST_Assets!$AA$12+1)/MAX(1,VST_Assets!$AC$12))),0)*AI336</f>
        <v>0</v>
      </c>
      <c r="AJ337" s="9" t="n">
        <f aca="false">IF(AND(AJ$3&gt;=VST_Assets!$AA$12,AJ$3&lt;=VST_Assets!$AB$12),MIN(VST_Assets!$D$12,VST_Assets!$Z$12*MIN(1,(AJ$3-VST_Assets!$AA$12+1)/MAX(1,VST_Assets!$AC$12))),0)*AJ336</f>
        <v>0</v>
      </c>
      <c r="AK337" s="9" t="n">
        <f aca="false">IF(AND(AK$3&gt;=VST_Assets!$AA$12,AK$3&lt;=VST_Assets!$AB$12),MIN(VST_Assets!$D$12,VST_Assets!$Z$12*MIN(1,(AK$3-VST_Assets!$AA$12+1)/MAX(1,VST_Assets!$AC$12))),0)*AK336</f>
        <v>0</v>
      </c>
      <c r="AL337" s="9" t="n">
        <f aca="false">IF(AND(AL$3&gt;=VST_Assets!$AA$12,AL$3&lt;=VST_Assets!$AB$12),MIN(VST_Assets!$D$12,VST_Assets!$Z$12*MIN(1,(AL$3-VST_Assets!$AA$12+1)/MAX(1,VST_Assets!$AC$12))),0)*AL336</f>
        <v>0</v>
      </c>
      <c r="AM337" s="9" t="n">
        <f aca="false">IF(AND(AM$3&gt;=VST_Assets!$AA$12,AM$3&lt;=VST_Assets!$AB$12),MIN(VST_Assets!$D$12,VST_Assets!$Z$12*MIN(1,(AM$3-VST_Assets!$AA$12+1)/MAX(1,VST_Assets!$AC$12))),0)*AM336</f>
        <v>0</v>
      </c>
      <c r="AN337" s="9" t="n">
        <f aca="false">IF(AND(AN$3&gt;=VST_Assets!$AA$12,AN$3&lt;=VST_Assets!$AB$12),MIN(VST_Assets!$D$12,VST_Assets!$Z$12*MIN(1,(AN$3-VST_Assets!$AA$12+1)/MAX(1,VST_Assets!$AC$12))),0)*AN336</f>
        <v>0</v>
      </c>
      <c r="AO337" s="9" t="n">
        <f aca="false">IF(AND(AO$3&gt;=VST_Assets!$AA$12,AO$3&lt;=VST_Assets!$AB$12),MIN(VST_Assets!$D$12,VST_Assets!$Z$12*MIN(1,(AO$3-VST_Assets!$AA$12+1)/MAX(1,VST_Assets!$AC$12))),0)*AO336</f>
        <v>0</v>
      </c>
      <c r="AP337" s="9" t="n">
        <f aca="false">IF(AND(AP$3&gt;=VST_Assets!$AA$12,AP$3&lt;=VST_Assets!$AB$12),MIN(VST_Assets!$D$12,VST_Assets!$Z$12*MIN(1,(AP$3-VST_Assets!$AA$12+1)/MAX(1,VST_Assets!$AC$12))),0)*AP336</f>
        <v>0</v>
      </c>
      <c r="AQ337" s="9" t="n">
        <f aca="false">IF(AND(AQ$3&gt;=VST_Assets!$AA$12,AQ$3&lt;=VST_Assets!$AB$12),MIN(VST_Assets!$D$12,VST_Assets!$Z$12*MIN(1,(AQ$3-VST_Assets!$AA$12+1)/MAX(1,VST_Assets!$AC$12))),0)*AQ336</f>
        <v>0</v>
      </c>
      <c r="AR337" s="9" t="n">
        <f aca="false">IF(AND(AR$3&gt;=VST_Assets!$AA$12,AR$3&lt;=VST_Assets!$AB$12),MIN(VST_Assets!$D$12,VST_Assets!$Z$12*MIN(1,(AR$3-VST_Assets!$AA$12+1)/MAX(1,VST_Assets!$AC$12))),0)*AR336</f>
        <v>0</v>
      </c>
      <c r="AS337" s="9" t="n">
        <f aca="false">IF(AND(AS$3&gt;=VST_Assets!$AA$12,AS$3&lt;=VST_Assets!$AB$12),MIN(VST_Assets!$D$12,VST_Assets!$Z$12*MIN(1,(AS$3-VST_Assets!$AA$12+1)/MAX(1,VST_Assets!$AC$12))),0)*AS336</f>
        <v>0</v>
      </c>
    </row>
    <row r="338" customFormat="false" ht="15" hidden="false" customHeight="false" outlineLevel="0" collapsed="false">
      <c r="A338" s="6" t="s">
        <v>429</v>
      </c>
      <c r="B338" s="6" t="s">
        <v>430</v>
      </c>
      <c r="G338" s="9" t="n">
        <f aca="false">(VST_Assets!$D$12-G337)*8760*VST_Assets!$I$12*G336</f>
        <v>18584340</v>
      </c>
      <c r="H338" s="9" t="n">
        <f aca="false">(VST_Assets!$D$12-H337)*8760*VST_Assets!$I$12*H336</f>
        <v>0</v>
      </c>
      <c r="I338" s="9" t="n">
        <f aca="false">(VST_Assets!$D$12-I337)*8760*VST_Assets!$I$12*I336</f>
        <v>0</v>
      </c>
      <c r="J338" s="9" t="n">
        <f aca="false">(VST_Assets!$D$12-J337)*8760*VST_Assets!$I$12*J336</f>
        <v>0</v>
      </c>
      <c r="K338" s="9" t="n">
        <f aca="false">(VST_Assets!$D$12-K337)*8760*VST_Assets!$I$12*K336</f>
        <v>0</v>
      </c>
      <c r="L338" s="9" t="n">
        <f aca="false">(VST_Assets!$D$12-L337)*8760*VST_Assets!$I$12*L336</f>
        <v>0</v>
      </c>
      <c r="M338" s="9" t="n">
        <f aca="false">(VST_Assets!$D$12-M337)*8760*VST_Assets!$I$12*M336</f>
        <v>0</v>
      </c>
      <c r="N338" s="9" t="n">
        <f aca="false">(VST_Assets!$D$12-N337)*8760*VST_Assets!$I$12*N336</f>
        <v>0</v>
      </c>
      <c r="O338" s="9" t="n">
        <f aca="false">(VST_Assets!$D$12-O337)*8760*VST_Assets!$I$12*O336</f>
        <v>0</v>
      </c>
      <c r="P338" s="9" t="n">
        <f aca="false">(VST_Assets!$D$12-P337)*8760*VST_Assets!$I$12*P336</f>
        <v>0</v>
      </c>
      <c r="Q338" s="9" t="n">
        <f aca="false">(VST_Assets!$D$12-Q337)*8760*VST_Assets!$I$12*Q336</f>
        <v>0</v>
      </c>
      <c r="R338" s="9" t="n">
        <f aca="false">(VST_Assets!$D$12-R337)*8760*VST_Assets!$I$12*R336</f>
        <v>0</v>
      </c>
      <c r="S338" s="9" t="n">
        <f aca="false">(VST_Assets!$D$12-S337)*8760*VST_Assets!$I$12*S336</f>
        <v>0</v>
      </c>
      <c r="T338" s="9" t="n">
        <f aca="false">(VST_Assets!$D$12-T337)*8760*VST_Assets!$I$12*T336</f>
        <v>0</v>
      </c>
      <c r="U338" s="9" t="n">
        <f aca="false">(VST_Assets!$D$12-U337)*8760*VST_Assets!$I$12*U336</f>
        <v>0</v>
      </c>
      <c r="V338" s="9" t="n">
        <f aca="false">(VST_Assets!$D$12-V337)*8760*VST_Assets!$I$12*V336</f>
        <v>0</v>
      </c>
      <c r="W338" s="9" t="n">
        <f aca="false">(VST_Assets!$D$12-W337)*8760*VST_Assets!$I$12*W336</f>
        <v>0</v>
      </c>
      <c r="X338" s="9" t="n">
        <f aca="false">(VST_Assets!$D$12-X337)*8760*VST_Assets!$I$12*X336</f>
        <v>0</v>
      </c>
      <c r="Y338" s="9" t="n">
        <f aca="false">(VST_Assets!$D$12-Y337)*8760*VST_Assets!$I$12*Y336</f>
        <v>0</v>
      </c>
      <c r="Z338" s="9" t="n">
        <f aca="false">(VST_Assets!$D$12-Z337)*8760*VST_Assets!$I$12*Z336</f>
        <v>0</v>
      </c>
      <c r="AA338" s="9" t="n">
        <f aca="false">(VST_Assets!$D$12-AA337)*8760*VST_Assets!$I$12*AA336</f>
        <v>0</v>
      </c>
      <c r="AB338" s="9" t="n">
        <f aca="false">(VST_Assets!$D$12-AB337)*8760*VST_Assets!$I$12*AB336</f>
        <v>0</v>
      </c>
      <c r="AC338" s="9" t="n">
        <f aca="false">(VST_Assets!$D$12-AC337)*8760*VST_Assets!$I$12*AC336</f>
        <v>0</v>
      </c>
      <c r="AD338" s="9" t="n">
        <f aca="false">(VST_Assets!$D$12-AD337)*8760*VST_Assets!$I$12*AD336</f>
        <v>0</v>
      </c>
      <c r="AE338" s="9" t="n">
        <f aca="false">(VST_Assets!$D$12-AE337)*8760*VST_Assets!$I$12*AE336</f>
        <v>0</v>
      </c>
      <c r="AF338" s="9" t="n">
        <f aca="false">(VST_Assets!$D$12-AF337)*8760*VST_Assets!$I$12*AF336</f>
        <v>0</v>
      </c>
      <c r="AG338" s="9" t="n">
        <f aca="false">(VST_Assets!$D$12-AG337)*8760*VST_Assets!$I$12*AG336</f>
        <v>0</v>
      </c>
      <c r="AH338" s="9" t="n">
        <f aca="false">(VST_Assets!$D$12-AH337)*8760*VST_Assets!$I$12*AH336</f>
        <v>0</v>
      </c>
      <c r="AI338" s="9" t="n">
        <f aca="false">(VST_Assets!$D$12-AI337)*8760*VST_Assets!$I$12*AI336</f>
        <v>0</v>
      </c>
      <c r="AJ338" s="9" t="n">
        <f aca="false">(VST_Assets!$D$12-AJ337)*8760*VST_Assets!$I$12*AJ336</f>
        <v>0</v>
      </c>
      <c r="AK338" s="9" t="n">
        <f aca="false">(VST_Assets!$D$12-AK337)*8760*VST_Assets!$I$12*AK336</f>
        <v>0</v>
      </c>
      <c r="AL338" s="9" t="n">
        <f aca="false">(VST_Assets!$D$12-AL337)*8760*VST_Assets!$I$12*AL336</f>
        <v>0</v>
      </c>
      <c r="AM338" s="9" t="n">
        <f aca="false">(VST_Assets!$D$12-AM337)*8760*VST_Assets!$I$12*AM336</f>
        <v>0</v>
      </c>
      <c r="AN338" s="9" t="n">
        <f aca="false">(VST_Assets!$D$12-AN337)*8760*VST_Assets!$I$12*AN336</f>
        <v>0</v>
      </c>
      <c r="AO338" s="9" t="n">
        <f aca="false">(VST_Assets!$D$12-AO337)*8760*VST_Assets!$I$12*AO336</f>
        <v>0</v>
      </c>
      <c r="AP338" s="9" t="n">
        <f aca="false">(VST_Assets!$D$12-AP337)*8760*VST_Assets!$I$12*AP336</f>
        <v>0</v>
      </c>
      <c r="AQ338" s="9" t="n">
        <f aca="false">(VST_Assets!$D$12-AQ337)*8760*VST_Assets!$I$12*AQ336</f>
        <v>0</v>
      </c>
      <c r="AR338" s="9" t="n">
        <f aca="false">(VST_Assets!$D$12-AR337)*8760*VST_Assets!$I$12*AR336</f>
        <v>0</v>
      </c>
      <c r="AS338" s="9" t="n">
        <f aca="false">(VST_Assets!$D$12-AS337)*8760*VST_Assets!$I$12*AS336</f>
        <v>0</v>
      </c>
    </row>
    <row r="339" customFormat="false" ht="15" hidden="false" customHeight="false" outlineLevel="0" collapsed="false">
      <c r="A339" s="6" t="s">
        <v>431</v>
      </c>
      <c r="B339" s="6" t="s">
        <v>432</v>
      </c>
      <c r="G339" s="9" t="n">
        <f aca="false">G337*8760*VST_Assets!$I$12*G336</f>
        <v>0</v>
      </c>
      <c r="H339" s="9" t="n">
        <f aca="false">H337*8760*VST_Assets!$I$12*H336</f>
        <v>0</v>
      </c>
      <c r="I339" s="9" t="n">
        <f aca="false">I337*8760*VST_Assets!$I$12*I336</f>
        <v>0</v>
      </c>
      <c r="J339" s="9" t="n">
        <f aca="false">J337*8760*VST_Assets!$I$12*J336</f>
        <v>0</v>
      </c>
      <c r="K339" s="9" t="n">
        <f aca="false">K337*8760*VST_Assets!$I$12*K336</f>
        <v>0</v>
      </c>
      <c r="L339" s="9" t="n">
        <f aca="false">L337*8760*VST_Assets!$I$12*L336</f>
        <v>0</v>
      </c>
      <c r="M339" s="9" t="n">
        <f aca="false">M337*8760*VST_Assets!$I$12*M336</f>
        <v>0</v>
      </c>
      <c r="N339" s="9" t="n">
        <f aca="false">N337*8760*VST_Assets!$I$12*N336</f>
        <v>0</v>
      </c>
      <c r="O339" s="9" t="n">
        <f aca="false">O337*8760*VST_Assets!$I$12*O336</f>
        <v>0</v>
      </c>
      <c r="P339" s="9" t="n">
        <f aca="false">P337*8760*VST_Assets!$I$12*P336</f>
        <v>0</v>
      </c>
      <c r="Q339" s="9" t="n">
        <f aca="false">Q337*8760*VST_Assets!$I$12*Q336</f>
        <v>0</v>
      </c>
      <c r="R339" s="9" t="n">
        <f aca="false">R337*8760*VST_Assets!$I$12*R336</f>
        <v>0</v>
      </c>
      <c r="S339" s="9" t="n">
        <f aca="false">S337*8760*VST_Assets!$I$12*S336</f>
        <v>0</v>
      </c>
      <c r="T339" s="9" t="n">
        <f aca="false">T337*8760*VST_Assets!$I$12*T336</f>
        <v>0</v>
      </c>
      <c r="U339" s="9" t="n">
        <f aca="false">U337*8760*VST_Assets!$I$12*U336</f>
        <v>0</v>
      </c>
      <c r="V339" s="9" t="n">
        <f aca="false">V337*8760*VST_Assets!$I$12*V336</f>
        <v>0</v>
      </c>
      <c r="W339" s="9" t="n">
        <f aca="false">W337*8760*VST_Assets!$I$12*W336</f>
        <v>0</v>
      </c>
      <c r="X339" s="9" t="n">
        <f aca="false">X337*8760*VST_Assets!$I$12*X336</f>
        <v>0</v>
      </c>
      <c r="Y339" s="9" t="n">
        <f aca="false">Y337*8760*VST_Assets!$I$12*Y336</f>
        <v>0</v>
      </c>
      <c r="Z339" s="9" t="n">
        <f aca="false">Z337*8760*VST_Assets!$I$12*Z336</f>
        <v>0</v>
      </c>
      <c r="AA339" s="9" t="n">
        <f aca="false">AA337*8760*VST_Assets!$I$12*AA336</f>
        <v>0</v>
      </c>
      <c r="AB339" s="9" t="n">
        <f aca="false">AB337*8760*VST_Assets!$I$12*AB336</f>
        <v>0</v>
      </c>
      <c r="AC339" s="9" t="n">
        <f aca="false">AC337*8760*VST_Assets!$I$12*AC336</f>
        <v>0</v>
      </c>
      <c r="AD339" s="9" t="n">
        <f aca="false">AD337*8760*VST_Assets!$I$12*AD336</f>
        <v>0</v>
      </c>
      <c r="AE339" s="9" t="n">
        <f aca="false">AE337*8760*VST_Assets!$I$12*AE336</f>
        <v>0</v>
      </c>
      <c r="AF339" s="9" t="n">
        <f aca="false">AF337*8760*VST_Assets!$I$12*AF336</f>
        <v>0</v>
      </c>
      <c r="AG339" s="9" t="n">
        <f aca="false">AG337*8760*VST_Assets!$I$12*AG336</f>
        <v>0</v>
      </c>
      <c r="AH339" s="9" t="n">
        <f aca="false">AH337*8760*VST_Assets!$I$12*AH336</f>
        <v>0</v>
      </c>
      <c r="AI339" s="9" t="n">
        <f aca="false">AI337*8760*VST_Assets!$I$12*AI336</f>
        <v>0</v>
      </c>
      <c r="AJ339" s="9" t="n">
        <f aca="false">AJ337*8760*VST_Assets!$I$12*AJ336</f>
        <v>0</v>
      </c>
      <c r="AK339" s="9" t="n">
        <f aca="false">AK337*8760*VST_Assets!$I$12*AK336</f>
        <v>0</v>
      </c>
      <c r="AL339" s="9" t="n">
        <f aca="false">AL337*8760*VST_Assets!$I$12*AL336</f>
        <v>0</v>
      </c>
      <c r="AM339" s="9" t="n">
        <f aca="false">AM337*8760*VST_Assets!$I$12*AM336</f>
        <v>0</v>
      </c>
      <c r="AN339" s="9" t="n">
        <f aca="false">AN337*8760*VST_Assets!$I$12*AN336</f>
        <v>0</v>
      </c>
      <c r="AO339" s="9" t="n">
        <f aca="false">AO337*8760*VST_Assets!$I$12*AO336</f>
        <v>0</v>
      </c>
      <c r="AP339" s="9" t="n">
        <f aca="false">AP337*8760*VST_Assets!$I$12*AP336</f>
        <v>0</v>
      </c>
      <c r="AQ339" s="9" t="n">
        <f aca="false">AQ337*8760*VST_Assets!$I$12*AQ336</f>
        <v>0</v>
      </c>
      <c r="AR339" s="9" t="n">
        <f aca="false">AR337*8760*VST_Assets!$I$12*AR336</f>
        <v>0</v>
      </c>
      <c r="AS339" s="9" t="n">
        <f aca="false">AS337*8760*VST_Assets!$I$12*AS336</f>
        <v>0</v>
      </c>
    </row>
    <row r="340" customFormat="false" ht="15" hidden="false" customHeight="false" outlineLevel="0" collapsed="false">
      <c r="A340" s="6" t="s">
        <v>433</v>
      </c>
      <c r="B340" s="6" t="s">
        <v>434</v>
      </c>
      <c r="G340" s="7" t="n">
        <f aca="false">IF(ISNUMBER(VST_Assets!$L$12),VST_Assets!$L$12*G$4,INDEX(Prices!G:G,VST_Assets!$AO$12)+FuelAdder*G$4)</f>
        <v>2.346</v>
      </c>
      <c r="H340" s="7" t="n">
        <f aca="false">IF(ISNUMBER(VST_Assets!$L$12),VST_Assets!$L$12*H$4,INDEX(Prices!H:H,VST_Assets!$AO$12)+FuelAdder*H$4)</f>
        <v>2.39292</v>
      </c>
      <c r="I340" s="7" t="n">
        <f aca="false">IF(ISNUMBER(VST_Assets!$L$12),VST_Assets!$L$12*I$4,INDEX(Prices!I:I,VST_Assets!$AO$12)+FuelAdder*I$4)</f>
        <v>2.4407784</v>
      </c>
      <c r="J340" s="7" t="n">
        <f aca="false">IF(ISNUMBER(VST_Assets!$L$12),VST_Assets!$L$12*J$4,INDEX(Prices!J:J,VST_Assets!$AO$12)+FuelAdder*J$4)</f>
        <v>2.489593968</v>
      </c>
      <c r="K340" s="7" t="n">
        <f aca="false">IF(ISNUMBER(VST_Assets!$L$12),VST_Assets!$L$12*K$4,INDEX(Prices!K:K,VST_Assets!$AO$12)+FuelAdder*K$4)</f>
        <v>2.53938584736</v>
      </c>
      <c r="L340" s="7" t="n">
        <f aca="false">IF(ISNUMBER(VST_Assets!$L$12),VST_Assets!$L$12*L$4,INDEX(Prices!L:L,VST_Assets!$AO$12)+FuelAdder*L$4)</f>
        <v>2.5901735643072</v>
      </c>
      <c r="M340" s="7" t="n">
        <f aca="false">IF(ISNUMBER(VST_Assets!$L$12),VST_Assets!$L$12*M$4,INDEX(Prices!M:M,VST_Assets!$AO$12)+FuelAdder*M$4)</f>
        <v>2.64197703559334</v>
      </c>
      <c r="N340" s="7" t="n">
        <f aca="false">IF(ISNUMBER(VST_Assets!$L$12),VST_Assets!$L$12*N$4,INDEX(Prices!N:N,VST_Assets!$AO$12)+FuelAdder*N$4)</f>
        <v>2.69481657630521</v>
      </c>
      <c r="O340" s="7" t="n">
        <f aca="false">IF(ISNUMBER(VST_Assets!$L$12),VST_Assets!$L$12*O$4,INDEX(Prices!O:O,VST_Assets!$AO$12)+FuelAdder*O$4)</f>
        <v>2.74871290783132</v>
      </c>
      <c r="P340" s="7" t="n">
        <f aca="false">IF(ISNUMBER(VST_Assets!$L$12),VST_Assets!$L$12*P$4,INDEX(Prices!P:P,VST_Assets!$AO$12)+FuelAdder*P$4)</f>
        <v>2.80368716598794</v>
      </c>
      <c r="Q340" s="7" t="n">
        <f aca="false">IF(ISNUMBER(VST_Assets!$L$12),VST_Assets!$L$12*Q$4,INDEX(Prices!Q:Q,VST_Assets!$AO$12)+FuelAdder*Q$4)</f>
        <v>2.8597609093077</v>
      </c>
      <c r="R340" s="7" t="n">
        <f aca="false">IF(ISNUMBER(VST_Assets!$L$12),VST_Assets!$L$12*R$4,INDEX(Prices!R:R,VST_Assets!$AO$12)+FuelAdder*R$4)</f>
        <v>2.91695612749385</v>
      </c>
      <c r="S340" s="7" t="n">
        <f aca="false">IF(ISNUMBER(VST_Assets!$L$12),VST_Assets!$L$12*S$4,INDEX(Prices!S:S,VST_Assets!$AO$12)+FuelAdder*S$4)</f>
        <v>2.97529525004373</v>
      </c>
      <c r="T340" s="7" t="n">
        <f aca="false">IF(ISNUMBER(VST_Assets!$L$12),VST_Assets!$L$12*T$4,INDEX(Prices!T:T,VST_Assets!$AO$12)+FuelAdder*T$4)</f>
        <v>3.03480115504461</v>
      </c>
      <c r="U340" s="7" t="n">
        <f aca="false">IF(ISNUMBER(VST_Assets!$L$12),VST_Assets!$L$12*U$4,INDEX(Prices!U:U,VST_Assets!$AO$12)+FuelAdder*U$4)</f>
        <v>3.0954971781455</v>
      </c>
      <c r="V340" s="7" t="n">
        <f aca="false">IF(ISNUMBER(VST_Assets!$L$12),VST_Assets!$L$12*V$4,INDEX(Prices!V:V,VST_Assets!$AO$12)+FuelAdder*V$4)</f>
        <v>3.15740712170841</v>
      </c>
      <c r="W340" s="7" t="n">
        <f aca="false">IF(ISNUMBER(VST_Assets!$L$12),VST_Assets!$L$12*W$4,INDEX(Prices!W:W,VST_Assets!$AO$12)+FuelAdder*W$4)</f>
        <v>3.22055526414258</v>
      </c>
      <c r="X340" s="7" t="n">
        <f aca="false">IF(ISNUMBER(VST_Assets!$L$12),VST_Assets!$L$12*X$4,INDEX(Prices!X:X,VST_Assets!$AO$12)+FuelAdder*X$4)</f>
        <v>3.28496636942543</v>
      </c>
      <c r="Y340" s="7" t="n">
        <f aca="false">IF(ISNUMBER(VST_Assets!$L$12),VST_Assets!$L$12*Y$4,INDEX(Prices!Y:Y,VST_Assets!$AO$12)+FuelAdder*Y$4)</f>
        <v>3.35066569681394</v>
      </c>
      <c r="Z340" s="7" t="n">
        <f aca="false">IF(ISNUMBER(VST_Assets!$L$12),VST_Assets!$L$12*Z$4,INDEX(Prices!Z:Z,VST_Assets!$AO$12)+FuelAdder*Z$4)</f>
        <v>3.41767901075022</v>
      </c>
      <c r="AA340" s="7" t="n">
        <f aca="false">IF(ISNUMBER(VST_Assets!$L$12),VST_Assets!$L$12*AA$4,INDEX(Prices!AA:AA,VST_Assets!$AO$12)+FuelAdder*AA$4)</f>
        <v>3.48603259096522</v>
      </c>
      <c r="AB340" s="7" t="n">
        <f aca="false">IF(ISNUMBER(VST_Assets!$L$12),VST_Assets!$L$12*AB$4,INDEX(Prices!AB:AB,VST_Assets!$AO$12)+FuelAdder*AB$4)</f>
        <v>3.55575324278452</v>
      </c>
      <c r="AC340" s="7" t="n">
        <f aca="false">IF(ISNUMBER(VST_Assets!$L$12),VST_Assets!$L$12*AC$4,INDEX(Prices!AC:AC,VST_Assets!$AO$12)+FuelAdder*AC$4)</f>
        <v>3.62686830764022</v>
      </c>
      <c r="AD340" s="7" t="n">
        <f aca="false">IF(ISNUMBER(VST_Assets!$L$12),VST_Assets!$L$12*AD$4,INDEX(Prices!AD:AD,VST_Assets!$AO$12)+FuelAdder*AD$4)</f>
        <v>3.69940567379302</v>
      </c>
      <c r="AE340" s="7" t="n">
        <f aca="false">IF(ISNUMBER(VST_Assets!$L$12),VST_Assets!$L$12*AE$4,INDEX(Prices!AE:AE,VST_Assets!$AO$12)+FuelAdder*AE$4)</f>
        <v>3.77339378726888</v>
      </c>
      <c r="AF340" s="7" t="n">
        <f aca="false">IF(ISNUMBER(VST_Assets!$L$12),VST_Assets!$L$12*AF$4,INDEX(Prices!AF:AF,VST_Assets!$AO$12)+FuelAdder*AF$4)</f>
        <v>3.84886166301426</v>
      </c>
      <c r="AG340" s="7" t="n">
        <f aca="false">IF(ISNUMBER(VST_Assets!$L$12),VST_Assets!$L$12*AG$4,INDEX(Prices!AG:AG,VST_Assets!$AO$12)+FuelAdder*AG$4)</f>
        <v>3.92583889627454</v>
      </c>
      <c r="AH340" s="7" t="n">
        <f aca="false">IF(ISNUMBER(VST_Assets!$L$12),VST_Assets!$L$12*AH$4,INDEX(Prices!AH:AH,VST_Assets!$AO$12)+FuelAdder*AH$4)</f>
        <v>4.00435567420003</v>
      </c>
      <c r="AI340" s="7" t="n">
        <f aca="false">IF(ISNUMBER(VST_Assets!$L$12),VST_Assets!$L$12*AI$4,INDEX(Prices!AI:AI,VST_Assets!$AO$12)+FuelAdder*AI$4)</f>
        <v>4.08444278768404</v>
      </c>
      <c r="AJ340" s="7" t="n">
        <f aca="false">IF(ISNUMBER(VST_Assets!$L$12),VST_Assets!$L$12*AJ$4,INDEX(Prices!AJ:AJ,VST_Assets!$AO$12)+FuelAdder*AJ$4)</f>
        <v>4.16613164343772</v>
      </c>
      <c r="AK340" s="7" t="n">
        <f aca="false">IF(ISNUMBER(VST_Assets!$L$12),VST_Assets!$L$12*AK$4,INDEX(Prices!AK:AK,VST_Assets!$AO$12)+FuelAdder*AK$4)</f>
        <v>4.24945427630647</v>
      </c>
      <c r="AL340" s="7" t="n">
        <f aca="false">IF(ISNUMBER(VST_Assets!$L$12),VST_Assets!$L$12*AL$4,INDEX(Prices!AL:AL,VST_Assets!$AO$12)+FuelAdder*AL$4)</f>
        <v>4.3344433618326</v>
      </c>
      <c r="AM340" s="7" t="n">
        <f aca="false">IF(ISNUMBER(VST_Assets!$L$12),VST_Assets!$L$12*AM$4,INDEX(Prices!AM:AM,VST_Assets!$AO$12)+FuelAdder*AM$4)</f>
        <v>4.42113222906925</v>
      </c>
      <c r="AN340" s="7" t="n">
        <f aca="false">IF(ISNUMBER(VST_Assets!$L$12),VST_Assets!$L$12*AN$4,INDEX(Prices!AN:AN,VST_Assets!$AO$12)+FuelAdder*AN$4)</f>
        <v>4.50955487365064</v>
      </c>
      <c r="AO340" s="7" t="n">
        <f aca="false">IF(ISNUMBER(VST_Assets!$L$12),VST_Assets!$L$12*AO$4,INDEX(Prices!AO:AO,VST_Assets!$AO$12)+FuelAdder*AO$4)</f>
        <v>4.59974597112365</v>
      </c>
      <c r="AP340" s="7" t="n">
        <f aca="false">IF(ISNUMBER(VST_Assets!$L$12),VST_Assets!$L$12*AP$4,INDEX(Prices!AP:AP,VST_Assets!$AO$12)+FuelAdder*AP$4)</f>
        <v>4.69174089054612</v>
      </c>
      <c r="AQ340" s="7" t="n">
        <f aca="false">IF(ISNUMBER(VST_Assets!$L$12),VST_Assets!$L$12*AQ$4,INDEX(Prices!AQ:AQ,VST_Assets!$AO$12)+FuelAdder*AQ$4)</f>
        <v>4.78557570835705</v>
      </c>
      <c r="AR340" s="7" t="n">
        <f aca="false">IF(ISNUMBER(VST_Assets!$L$12),VST_Assets!$L$12*AR$4,INDEX(Prices!AR:AR,VST_Assets!$AO$12)+FuelAdder*AR$4)</f>
        <v>4.88128722252419</v>
      </c>
      <c r="AS340" s="7" t="n">
        <f aca="false">IF(ISNUMBER(VST_Assets!$L$12),VST_Assets!$L$12*AS$4,INDEX(Prices!AS:AS,VST_Assets!$AO$12)+FuelAdder*AS$4)</f>
        <v>4.97891296697467</v>
      </c>
    </row>
    <row r="341" customFormat="false" ht="15" hidden="false" customHeight="false" outlineLevel="0" collapsed="false">
      <c r="A341" s="6" t="s">
        <v>435</v>
      </c>
      <c r="B341" s="6" t="s">
        <v>436</v>
      </c>
      <c r="G341" s="7" t="n">
        <f aca="false">INDEX(Prices!G:G,VST_Assets!$AN$12)*VST_Assets!$J$12-VST_Assets!$K$12*G340-VST_Assets!$M$12*G$4</f>
        <v>44.4516</v>
      </c>
      <c r="H341" s="7" t="n">
        <f aca="false">INDEX(Prices!H:H,VST_Assets!$AN$12)*VST_Assets!$J$12-VST_Assets!$K$12*H340-VST_Assets!$M$12*H$4</f>
        <v>44.891832</v>
      </c>
      <c r="I341" s="7" t="n">
        <f aca="false">INDEX(Prices!I:I,VST_Assets!$AN$12)*VST_Assets!$J$12-VST_Assets!$K$12*I340-VST_Assets!$M$12*I$4</f>
        <v>38.135207058</v>
      </c>
      <c r="J341" s="7" t="n">
        <f aca="false">INDEX(Prices!J:J,VST_Assets!$AN$12)*VST_Assets!$J$12-VST_Assets!$K$12*J340-VST_Assets!$M$12*J$4</f>
        <v>35.73054438552</v>
      </c>
      <c r="K341" s="7" t="n">
        <f aca="false">INDEX(Prices!K:K,VST_Assets!$AN$12)*VST_Assets!$J$12-VST_Assets!$K$12*K340-VST_Assets!$M$12*K$4</f>
        <v>36.4451552732304</v>
      </c>
      <c r="L341" s="7" t="n">
        <f aca="false">INDEX(Prices!L:L,VST_Assets!$AN$12)*VST_Assets!$J$12-VST_Assets!$K$12*L340-VST_Assets!$M$12*L$4</f>
        <v>37.174058378695</v>
      </c>
      <c r="M341" s="7" t="n">
        <f aca="false">INDEX(Prices!M:M,VST_Assets!$AN$12)*VST_Assets!$J$12-VST_Assets!$K$12*M340-VST_Assets!$M$12*M$4</f>
        <v>37.9175395462689</v>
      </c>
      <c r="N341" s="7" t="n">
        <f aca="false">INDEX(Prices!N:N,VST_Assets!$AN$12)*VST_Assets!$J$12-VST_Assets!$K$12*N340-VST_Assets!$M$12*N$4</f>
        <v>38.6758903371943</v>
      </c>
      <c r="O341" s="7" t="n">
        <f aca="false">INDEX(Prices!O:O,VST_Assets!$AN$12)*VST_Assets!$J$12-VST_Assets!$K$12*O340-VST_Assets!$M$12*O$4</f>
        <v>39.4494081439382</v>
      </c>
      <c r="P341" s="7" t="n">
        <f aca="false">INDEX(Prices!P:P,VST_Assets!$AN$12)*VST_Assets!$J$12-VST_Assets!$K$12*P340-VST_Assets!$M$12*P$4</f>
        <v>40.2383963068169</v>
      </c>
      <c r="Q341" s="7" t="n">
        <f aca="false">INDEX(Prices!Q:Q,VST_Assets!$AN$12)*VST_Assets!$J$12-VST_Assets!$K$12*Q340-VST_Assets!$M$12*Q$4</f>
        <v>41.0431642329533</v>
      </c>
      <c r="R341" s="7" t="n">
        <f aca="false">INDEX(Prices!R:R,VST_Assets!$AN$12)*VST_Assets!$J$12-VST_Assets!$K$12*R340-VST_Assets!$M$12*R$4</f>
        <v>41.8640275176124</v>
      </c>
      <c r="S341" s="7" t="n">
        <f aca="false">INDEX(Prices!S:S,VST_Assets!$AN$12)*VST_Assets!$J$12-VST_Assets!$K$12*S340-VST_Assets!$M$12*S$4</f>
        <v>42.7013080679646</v>
      </c>
      <c r="T341" s="7" t="n">
        <f aca="false">INDEX(Prices!T:T,VST_Assets!$AN$12)*VST_Assets!$J$12-VST_Assets!$K$12*T340-VST_Assets!$M$12*T$4</f>
        <v>43.5553342293239</v>
      </c>
      <c r="U341" s="7" t="n">
        <f aca="false">INDEX(Prices!U:U,VST_Assets!$AN$12)*VST_Assets!$J$12-VST_Assets!$K$12*U340-VST_Assets!$M$12*U$4</f>
        <v>44.4264409139104</v>
      </c>
      <c r="V341" s="7" t="n">
        <f aca="false">INDEX(Prices!V:V,VST_Assets!$AN$12)*VST_Assets!$J$12-VST_Assets!$K$12*V340-VST_Assets!$M$12*V$4</f>
        <v>45.3149697321886</v>
      </c>
      <c r="W341" s="7" t="n">
        <f aca="false">INDEX(Prices!W:W,VST_Assets!$AN$12)*VST_Assets!$J$12-VST_Assets!$K$12*W340-VST_Assets!$M$12*W$4</f>
        <v>46.2212691268324</v>
      </c>
      <c r="X341" s="7" t="n">
        <f aca="false">INDEX(Prices!X:X,VST_Assets!$AN$12)*VST_Assets!$J$12-VST_Assets!$K$12*X340-VST_Assets!$M$12*X$4</f>
        <v>47.145694509369</v>
      </c>
      <c r="Y341" s="7" t="n">
        <f aca="false">INDEX(Prices!Y:Y,VST_Assets!$AN$12)*VST_Assets!$J$12-VST_Assets!$K$12*Y340-VST_Assets!$M$12*Y$4</f>
        <v>48.0886083995564</v>
      </c>
      <c r="Z341" s="7" t="n">
        <f aca="false">INDEX(Prices!Z:Z,VST_Assets!$AN$12)*VST_Assets!$J$12-VST_Assets!$K$12*Z340-VST_Assets!$M$12*Z$4</f>
        <v>49.0503805675475</v>
      </c>
      <c r="AA341" s="7" t="n">
        <f aca="false">INDEX(Prices!AA:AA,VST_Assets!$AN$12)*VST_Assets!$J$12-VST_Assets!$K$12*AA340-VST_Assets!$M$12*AA$4</f>
        <v>50.0313881788985</v>
      </c>
      <c r="AB341" s="7" t="n">
        <f aca="false">INDEX(Prices!AB:AB,VST_Assets!$AN$12)*VST_Assets!$J$12-VST_Assets!$K$12*AB340-VST_Assets!$M$12*AB$4</f>
        <v>51.0320159424764</v>
      </c>
      <c r="AC341" s="7" t="n">
        <f aca="false">INDEX(Prices!AC:AC,VST_Assets!$AN$12)*VST_Assets!$J$12-VST_Assets!$K$12*AC340-VST_Assets!$M$12*AC$4</f>
        <v>52.052656261326</v>
      </c>
      <c r="AD341" s="7" t="n">
        <f aca="false">INDEX(Prices!AD:AD,VST_Assets!$AN$12)*VST_Assets!$J$12-VST_Assets!$K$12*AD340-VST_Assets!$M$12*AD$4</f>
        <v>53.0937093865525</v>
      </c>
      <c r="AE341" s="7" t="n">
        <f aca="false">INDEX(Prices!AE:AE,VST_Assets!$AN$12)*VST_Assets!$J$12-VST_Assets!$K$12*AE340-VST_Assets!$M$12*AE$4</f>
        <v>54.1555835742835</v>
      </c>
      <c r="AF341" s="7" t="n">
        <f aca="false">INDEX(Prices!AF:AF,VST_Assets!$AN$12)*VST_Assets!$J$12-VST_Assets!$K$12*AF340-VST_Assets!$M$12*AF$4</f>
        <v>55.2386952457692</v>
      </c>
      <c r="AG341" s="7" t="n">
        <f aca="false">INDEX(Prices!AG:AG,VST_Assets!$AN$12)*VST_Assets!$J$12-VST_Assets!$K$12*AG340-VST_Assets!$M$12*AG$4</f>
        <v>56.3434691506846</v>
      </c>
      <c r="AH341" s="7" t="n">
        <f aca="false">INDEX(Prices!AH:AH,VST_Assets!$AN$12)*VST_Assets!$J$12-VST_Assets!$K$12*AH340-VST_Assets!$M$12*AH$4</f>
        <v>57.4703385336983</v>
      </c>
      <c r="AI341" s="7" t="n">
        <f aca="false">INDEX(Prices!AI:AI,VST_Assets!$AN$12)*VST_Assets!$J$12-VST_Assets!$K$12*AI340-VST_Assets!$M$12*AI$4</f>
        <v>58.6197453043722</v>
      </c>
      <c r="AJ341" s="7" t="n">
        <f aca="false">INDEX(Prices!AJ:AJ,VST_Assets!$AN$12)*VST_Assets!$J$12-VST_Assets!$K$12*AJ340-VST_Assets!$M$12*AJ$4</f>
        <v>59.7921402104597</v>
      </c>
      <c r="AK341" s="7" t="n">
        <f aca="false">INDEX(Prices!AK:AK,VST_Assets!$AN$12)*VST_Assets!$J$12-VST_Assets!$K$12*AK340-VST_Assets!$M$12*AK$4</f>
        <v>60.9879830146689</v>
      </c>
      <c r="AL341" s="7" t="n">
        <f aca="false">INDEX(Prices!AL:AL,VST_Assets!$AN$12)*VST_Assets!$J$12-VST_Assets!$K$12*AL340-VST_Assets!$M$12*AL$4</f>
        <v>62.2077426749623</v>
      </c>
      <c r="AM341" s="7" t="n">
        <f aca="false">INDEX(Prices!AM:AM,VST_Assets!$AN$12)*VST_Assets!$J$12-VST_Assets!$K$12*AM340-VST_Assets!$M$12*AM$4</f>
        <v>63.4518975284615</v>
      </c>
      <c r="AN341" s="7" t="n">
        <f aca="false">INDEX(Prices!AN:AN,VST_Assets!$AN$12)*VST_Assets!$J$12-VST_Assets!$K$12*AN340-VST_Assets!$M$12*AN$4</f>
        <v>64.7209354790307</v>
      </c>
      <c r="AO341" s="7" t="n">
        <f aca="false">INDEX(Prices!AO:AO,VST_Assets!$AN$12)*VST_Assets!$J$12-VST_Assets!$K$12*AO340-VST_Assets!$M$12*AO$4</f>
        <v>66.0153541886114</v>
      </c>
      <c r="AP341" s="7" t="n">
        <f aca="false">INDEX(Prices!AP:AP,VST_Assets!$AN$12)*VST_Assets!$J$12-VST_Assets!$K$12*AP340-VST_Assets!$M$12*AP$4</f>
        <v>67.3356612723836</v>
      </c>
      <c r="AQ341" s="7" t="n">
        <f aca="false">INDEX(Prices!AQ:AQ,VST_Assets!$AN$12)*VST_Assets!$J$12-VST_Assets!$K$12*AQ340-VST_Assets!$M$12*AQ$4</f>
        <v>68.6823744978313</v>
      </c>
      <c r="AR341" s="7" t="n">
        <f aca="false">INDEX(Prices!AR:AR,VST_Assets!$AN$12)*VST_Assets!$J$12-VST_Assets!$K$12*AR340-VST_Assets!$M$12*AR$4</f>
        <v>70.0560219877879</v>
      </c>
      <c r="AS341" s="7" t="n">
        <f aca="false">INDEX(Prices!AS:AS,VST_Assets!$AN$12)*VST_Assets!$J$12-VST_Assets!$K$12*AS340-VST_Assets!$M$12*AS$4</f>
        <v>71.4571424275436</v>
      </c>
    </row>
    <row r="342" customFormat="false" ht="15" hidden="false" customHeight="false" outlineLevel="0" collapsed="false">
      <c r="A342" s="6" t="s">
        <v>437</v>
      </c>
      <c r="B342" s="6" t="s">
        <v>438</v>
      </c>
      <c r="G342" s="47" t="n">
        <f aca="false">IF(VST_Assets!$X$12=1,IF(G341&gt;0,1,0),1)</f>
        <v>1</v>
      </c>
      <c r="H342" s="47" t="n">
        <f aca="false">IF(VST_Assets!$X$12=1,IF(H341&gt;0,1,0),1)</f>
        <v>1</v>
      </c>
      <c r="I342" s="47" t="n">
        <f aca="false">IF(VST_Assets!$X$12=1,IF(I341&gt;0,1,0),1)</f>
        <v>1</v>
      </c>
      <c r="J342" s="47" t="n">
        <f aca="false">IF(VST_Assets!$X$12=1,IF(J341&gt;0,1,0),1)</f>
        <v>1</v>
      </c>
      <c r="K342" s="47" t="n">
        <f aca="false">IF(VST_Assets!$X$12=1,IF(K341&gt;0,1,0),1)</f>
        <v>1</v>
      </c>
      <c r="L342" s="47" t="n">
        <f aca="false">IF(VST_Assets!$X$12=1,IF(L341&gt;0,1,0),1)</f>
        <v>1</v>
      </c>
      <c r="M342" s="47" t="n">
        <f aca="false">IF(VST_Assets!$X$12=1,IF(M341&gt;0,1,0),1)</f>
        <v>1</v>
      </c>
      <c r="N342" s="47" t="n">
        <f aca="false">IF(VST_Assets!$X$12=1,IF(N341&gt;0,1,0),1)</f>
        <v>1</v>
      </c>
      <c r="O342" s="47" t="n">
        <f aca="false">IF(VST_Assets!$X$12=1,IF(O341&gt;0,1,0),1)</f>
        <v>1</v>
      </c>
      <c r="P342" s="47" t="n">
        <f aca="false">IF(VST_Assets!$X$12=1,IF(P341&gt;0,1,0),1)</f>
        <v>1</v>
      </c>
      <c r="Q342" s="47" t="n">
        <f aca="false">IF(VST_Assets!$X$12=1,IF(Q341&gt;0,1,0),1)</f>
        <v>1</v>
      </c>
      <c r="R342" s="47" t="n">
        <f aca="false">IF(VST_Assets!$X$12=1,IF(R341&gt;0,1,0),1)</f>
        <v>1</v>
      </c>
      <c r="S342" s="47" t="n">
        <f aca="false">IF(VST_Assets!$X$12=1,IF(S341&gt;0,1,0),1)</f>
        <v>1</v>
      </c>
      <c r="T342" s="47" t="n">
        <f aca="false">IF(VST_Assets!$X$12=1,IF(T341&gt;0,1,0),1)</f>
        <v>1</v>
      </c>
      <c r="U342" s="47" t="n">
        <f aca="false">IF(VST_Assets!$X$12=1,IF(U341&gt;0,1,0),1)</f>
        <v>1</v>
      </c>
      <c r="V342" s="47" t="n">
        <f aca="false">IF(VST_Assets!$X$12=1,IF(V341&gt;0,1,0),1)</f>
        <v>1</v>
      </c>
      <c r="W342" s="47" t="n">
        <f aca="false">IF(VST_Assets!$X$12=1,IF(W341&gt;0,1,0),1)</f>
        <v>1</v>
      </c>
      <c r="X342" s="47" t="n">
        <f aca="false">IF(VST_Assets!$X$12=1,IF(X341&gt;0,1,0),1)</f>
        <v>1</v>
      </c>
      <c r="Y342" s="47" t="n">
        <f aca="false">IF(VST_Assets!$X$12=1,IF(Y341&gt;0,1,0),1)</f>
        <v>1</v>
      </c>
      <c r="Z342" s="47" t="n">
        <f aca="false">IF(VST_Assets!$X$12=1,IF(Z341&gt;0,1,0),1)</f>
        <v>1</v>
      </c>
      <c r="AA342" s="47" t="n">
        <f aca="false">IF(VST_Assets!$X$12=1,IF(AA341&gt;0,1,0),1)</f>
        <v>1</v>
      </c>
      <c r="AB342" s="47" t="n">
        <f aca="false">IF(VST_Assets!$X$12=1,IF(AB341&gt;0,1,0),1)</f>
        <v>1</v>
      </c>
      <c r="AC342" s="47" t="n">
        <f aca="false">IF(VST_Assets!$X$12=1,IF(AC341&gt;0,1,0),1)</f>
        <v>1</v>
      </c>
      <c r="AD342" s="47" t="n">
        <f aca="false">IF(VST_Assets!$X$12=1,IF(AD341&gt;0,1,0),1)</f>
        <v>1</v>
      </c>
      <c r="AE342" s="47" t="n">
        <f aca="false">IF(VST_Assets!$X$12=1,IF(AE341&gt;0,1,0),1)</f>
        <v>1</v>
      </c>
      <c r="AF342" s="47" t="n">
        <f aca="false">IF(VST_Assets!$X$12=1,IF(AF341&gt;0,1,0),1)</f>
        <v>1</v>
      </c>
      <c r="AG342" s="47" t="n">
        <f aca="false">IF(VST_Assets!$X$12=1,IF(AG341&gt;0,1,0),1)</f>
        <v>1</v>
      </c>
      <c r="AH342" s="47" t="n">
        <f aca="false">IF(VST_Assets!$X$12=1,IF(AH341&gt;0,1,0),1)</f>
        <v>1</v>
      </c>
      <c r="AI342" s="47" t="n">
        <f aca="false">IF(VST_Assets!$X$12=1,IF(AI341&gt;0,1,0),1)</f>
        <v>1</v>
      </c>
      <c r="AJ342" s="47" t="n">
        <f aca="false">IF(VST_Assets!$X$12=1,IF(AJ341&gt;0,1,0),1)</f>
        <v>1</v>
      </c>
      <c r="AK342" s="47" t="n">
        <f aca="false">IF(VST_Assets!$X$12=1,IF(AK341&gt;0,1,0),1)</f>
        <v>1</v>
      </c>
      <c r="AL342" s="47" t="n">
        <f aca="false">IF(VST_Assets!$X$12=1,IF(AL341&gt;0,1,0),1)</f>
        <v>1</v>
      </c>
      <c r="AM342" s="47" t="n">
        <f aca="false">IF(VST_Assets!$X$12=1,IF(AM341&gt;0,1,0),1)</f>
        <v>1</v>
      </c>
      <c r="AN342" s="47" t="n">
        <f aca="false">IF(VST_Assets!$X$12=1,IF(AN341&gt;0,1,0),1)</f>
        <v>1</v>
      </c>
      <c r="AO342" s="47" t="n">
        <f aca="false">IF(VST_Assets!$X$12=1,IF(AO341&gt;0,1,0),1)</f>
        <v>1</v>
      </c>
      <c r="AP342" s="47" t="n">
        <f aca="false">IF(VST_Assets!$X$12=1,IF(AP341&gt;0,1,0),1)</f>
        <v>1</v>
      </c>
      <c r="AQ342" s="47" t="n">
        <f aca="false">IF(VST_Assets!$X$12=1,IF(AQ341&gt;0,1,0),1)</f>
        <v>1</v>
      </c>
      <c r="AR342" s="47" t="n">
        <f aca="false">IF(VST_Assets!$X$12=1,IF(AR341&gt;0,1,0),1)</f>
        <v>1</v>
      </c>
      <c r="AS342" s="47" t="n">
        <f aca="false">IF(VST_Assets!$X$12=1,IF(AS341&gt;0,1,0),1)</f>
        <v>1</v>
      </c>
    </row>
    <row r="343" customFormat="false" ht="15" hidden="false" customHeight="false" outlineLevel="0" collapsed="false">
      <c r="A343" s="6" t="s">
        <v>439</v>
      </c>
      <c r="B343" s="6" t="s">
        <v>440</v>
      </c>
      <c r="C343" s="9" t="n">
        <f aca="false">SUM(G343:AS343)</f>
        <v>1364.8339296</v>
      </c>
      <c r="G343" s="8" t="n">
        <f aca="false">G338*INDEX(Prices!G:G,VST_Assets!$AN$12)*VST_Assets!$J$12*G342/1000000*(1+VST_RevAdj)</f>
        <v>1364.8339296</v>
      </c>
      <c r="H343" s="8" t="n">
        <f aca="false">H338*INDEX(Prices!H:H,VST_Assets!$AN$12)*VST_Assets!$J$12*H342/1000000*(1+VST_RevAdj)</f>
        <v>0</v>
      </c>
      <c r="I343" s="8" t="n">
        <f aca="false">I338*INDEX(Prices!I:I,VST_Assets!$AN$12)*VST_Assets!$J$12*I342/1000000*(1+VST_RevAdj)</f>
        <v>0</v>
      </c>
      <c r="J343" s="8" t="n">
        <f aca="false">J338*INDEX(Prices!J:J,VST_Assets!$AN$12)*VST_Assets!$J$12*J342/1000000*(1+VST_RevAdj)</f>
        <v>0</v>
      </c>
      <c r="K343" s="8" t="n">
        <f aca="false">K338*INDEX(Prices!K:K,VST_Assets!$AN$12)*VST_Assets!$J$12*K342/1000000*(1+VST_RevAdj)</f>
        <v>0</v>
      </c>
      <c r="L343" s="8" t="n">
        <f aca="false">L338*INDEX(Prices!L:L,VST_Assets!$AN$12)*VST_Assets!$J$12*L342/1000000*(1+VST_RevAdj)</f>
        <v>0</v>
      </c>
      <c r="M343" s="8" t="n">
        <f aca="false">M338*INDEX(Prices!M:M,VST_Assets!$AN$12)*VST_Assets!$J$12*M342/1000000*(1+VST_RevAdj)</f>
        <v>0</v>
      </c>
      <c r="N343" s="8" t="n">
        <f aca="false">N338*INDEX(Prices!N:N,VST_Assets!$AN$12)*VST_Assets!$J$12*N342/1000000*(1+VST_RevAdj)</f>
        <v>0</v>
      </c>
      <c r="O343" s="8" t="n">
        <f aca="false">O338*INDEX(Prices!O:O,VST_Assets!$AN$12)*VST_Assets!$J$12*O342/1000000*(1+VST_RevAdj)</f>
        <v>0</v>
      </c>
      <c r="P343" s="8" t="n">
        <f aca="false">P338*INDEX(Prices!P:P,VST_Assets!$AN$12)*VST_Assets!$J$12*P342/1000000*(1+VST_RevAdj)</f>
        <v>0</v>
      </c>
      <c r="Q343" s="8" t="n">
        <f aca="false">Q338*INDEX(Prices!Q:Q,VST_Assets!$AN$12)*VST_Assets!$J$12*Q342/1000000*(1+VST_RevAdj)</f>
        <v>0</v>
      </c>
      <c r="R343" s="8" t="n">
        <f aca="false">R338*INDEX(Prices!R:R,VST_Assets!$AN$12)*VST_Assets!$J$12*R342/1000000*(1+VST_RevAdj)</f>
        <v>0</v>
      </c>
      <c r="S343" s="8" t="n">
        <f aca="false">S338*INDEX(Prices!S:S,VST_Assets!$AN$12)*VST_Assets!$J$12*S342/1000000*(1+VST_RevAdj)</f>
        <v>0</v>
      </c>
      <c r="T343" s="8" t="n">
        <f aca="false">T338*INDEX(Prices!T:T,VST_Assets!$AN$12)*VST_Assets!$J$12*T342/1000000*(1+VST_RevAdj)</f>
        <v>0</v>
      </c>
      <c r="U343" s="8" t="n">
        <f aca="false">U338*INDEX(Prices!U:U,VST_Assets!$AN$12)*VST_Assets!$J$12*U342/1000000*(1+VST_RevAdj)</f>
        <v>0</v>
      </c>
      <c r="V343" s="8" t="n">
        <f aca="false">V338*INDEX(Prices!V:V,VST_Assets!$AN$12)*VST_Assets!$J$12*V342/1000000*(1+VST_RevAdj)</f>
        <v>0</v>
      </c>
      <c r="W343" s="8" t="n">
        <f aca="false">W338*INDEX(Prices!W:W,VST_Assets!$AN$12)*VST_Assets!$J$12*W342/1000000*(1+VST_RevAdj)</f>
        <v>0</v>
      </c>
      <c r="X343" s="8" t="n">
        <f aca="false">X338*INDEX(Prices!X:X,VST_Assets!$AN$12)*VST_Assets!$J$12*X342/1000000*(1+VST_RevAdj)</f>
        <v>0</v>
      </c>
      <c r="Y343" s="8" t="n">
        <f aca="false">Y338*INDEX(Prices!Y:Y,VST_Assets!$AN$12)*VST_Assets!$J$12*Y342/1000000*(1+VST_RevAdj)</f>
        <v>0</v>
      </c>
      <c r="Z343" s="8" t="n">
        <f aca="false">Z338*INDEX(Prices!Z:Z,VST_Assets!$AN$12)*VST_Assets!$J$12*Z342/1000000*(1+VST_RevAdj)</f>
        <v>0</v>
      </c>
      <c r="AA343" s="8" t="n">
        <f aca="false">AA338*INDEX(Prices!AA:AA,VST_Assets!$AN$12)*VST_Assets!$J$12*AA342/1000000*(1+VST_RevAdj)</f>
        <v>0</v>
      </c>
      <c r="AB343" s="8" t="n">
        <f aca="false">AB338*INDEX(Prices!AB:AB,VST_Assets!$AN$12)*VST_Assets!$J$12*AB342/1000000*(1+VST_RevAdj)</f>
        <v>0</v>
      </c>
      <c r="AC343" s="8" t="n">
        <f aca="false">AC338*INDEX(Prices!AC:AC,VST_Assets!$AN$12)*VST_Assets!$J$12*AC342/1000000*(1+VST_RevAdj)</f>
        <v>0</v>
      </c>
      <c r="AD343" s="8" t="n">
        <f aca="false">AD338*INDEX(Prices!AD:AD,VST_Assets!$AN$12)*VST_Assets!$J$12*AD342/1000000*(1+VST_RevAdj)</f>
        <v>0</v>
      </c>
      <c r="AE343" s="8" t="n">
        <f aca="false">AE338*INDEX(Prices!AE:AE,VST_Assets!$AN$12)*VST_Assets!$J$12*AE342/1000000*(1+VST_RevAdj)</f>
        <v>0</v>
      </c>
      <c r="AF343" s="8" t="n">
        <f aca="false">AF338*INDEX(Prices!AF:AF,VST_Assets!$AN$12)*VST_Assets!$J$12*AF342/1000000*(1+VST_RevAdj)</f>
        <v>0</v>
      </c>
      <c r="AG343" s="8" t="n">
        <f aca="false">AG338*INDEX(Prices!AG:AG,VST_Assets!$AN$12)*VST_Assets!$J$12*AG342/1000000*(1+VST_RevAdj)</f>
        <v>0</v>
      </c>
      <c r="AH343" s="8" t="n">
        <f aca="false">AH338*INDEX(Prices!AH:AH,VST_Assets!$AN$12)*VST_Assets!$J$12*AH342/1000000*(1+VST_RevAdj)</f>
        <v>0</v>
      </c>
      <c r="AI343" s="8" t="n">
        <f aca="false">AI338*INDEX(Prices!AI:AI,VST_Assets!$AN$12)*VST_Assets!$J$12*AI342/1000000*(1+VST_RevAdj)</f>
        <v>0</v>
      </c>
      <c r="AJ343" s="8" t="n">
        <f aca="false">AJ338*INDEX(Prices!AJ:AJ,VST_Assets!$AN$12)*VST_Assets!$J$12*AJ342/1000000*(1+VST_RevAdj)</f>
        <v>0</v>
      </c>
      <c r="AK343" s="8" t="n">
        <f aca="false">AK338*INDEX(Prices!AK:AK,VST_Assets!$AN$12)*VST_Assets!$J$12*AK342/1000000*(1+VST_RevAdj)</f>
        <v>0</v>
      </c>
      <c r="AL343" s="8" t="n">
        <f aca="false">AL338*INDEX(Prices!AL:AL,VST_Assets!$AN$12)*VST_Assets!$J$12*AL342/1000000*(1+VST_RevAdj)</f>
        <v>0</v>
      </c>
      <c r="AM343" s="8" t="n">
        <f aca="false">AM338*INDEX(Prices!AM:AM,VST_Assets!$AN$12)*VST_Assets!$J$12*AM342/1000000*(1+VST_RevAdj)</f>
        <v>0</v>
      </c>
      <c r="AN343" s="8" t="n">
        <f aca="false">AN338*INDEX(Prices!AN:AN,VST_Assets!$AN$12)*VST_Assets!$J$12*AN342/1000000*(1+VST_RevAdj)</f>
        <v>0</v>
      </c>
      <c r="AO343" s="8" t="n">
        <f aca="false">AO338*INDEX(Prices!AO:AO,VST_Assets!$AN$12)*VST_Assets!$J$12*AO342/1000000*(1+VST_RevAdj)</f>
        <v>0</v>
      </c>
      <c r="AP343" s="8" t="n">
        <f aca="false">AP338*INDEX(Prices!AP:AP,VST_Assets!$AN$12)*VST_Assets!$J$12*AP342/1000000*(1+VST_RevAdj)</f>
        <v>0</v>
      </c>
      <c r="AQ343" s="8" t="n">
        <f aca="false">AQ338*INDEX(Prices!AQ:AQ,VST_Assets!$AN$12)*VST_Assets!$J$12*AQ342/1000000*(1+VST_RevAdj)</f>
        <v>0</v>
      </c>
      <c r="AR343" s="8" t="n">
        <f aca="false">AR338*INDEX(Prices!AR:AR,VST_Assets!$AN$12)*VST_Assets!$J$12*AR342/1000000*(1+VST_RevAdj)</f>
        <v>0</v>
      </c>
      <c r="AS343" s="8" t="n">
        <f aca="false">AS338*INDEX(Prices!AS:AS,VST_Assets!$AN$12)*VST_Assets!$J$12*AS342/1000000*(1+VST_RevAdj)</f>
        <v>0</v>
      </c>
    </row>
    <row r="344" customFormat="false" ht="15" hidden="false" customHeight="false" outlineLevel="0" collapsed="false">
      <c r="A344" s="6" t="s">
        <v>441</v>
      </c>
      <c r="B344" s="6" t="s">
        <v>442</v>
      </c>
      <c r="C344" s="9" t="n">
        <f aca="false">SUM(G344:AS344)</f>
        <v>426.321352471</v>
      </c>
      <c r="G344" s="8" t="n">
        <f aca="false">(VST_Assets!$D$12-G337)*INDEX(Prices!G:G,VST_Assets!$AP$12)*365*VST_Assets!$T$12*G336/1000000*(1+VST_RevAdj)</f>
        <v>426.321352471</v>
      </c>
      <c r="H344" s="8" t="n">
        <f aca="false">(VST_Assets!$D$12-H337)*INDEX(Prices!H:H,VST_Assets!$AP$12)*365*VST_Assets!$T$12*H336/1000000*(1+VST_RevAdj)</f>
        <v>0</v>
      </c>
      <c r="I344" s="8" t="n">
        <f aca="false">(VST_Assets!$D$12-I337)*INDEX(Prices!I:I,VST_Assets!$AP$12)*365*VST_Assets!$T$12*I336/1000000*(1+VST_RevAdj)</f>
        <v>0</v>
      </c>
      <c r="J344" s="8" t="n">
        <f aca="false">(VST_Assets!$D$12-J337)*INDEX(Prices!J:J,VST_Assets!$AP$12)*365*VST_Assets!$T$12*J336/1000000*(1+VST_RevAdj)</f>
        <v>0</v>
      </c>
      <c r="K344" s="8" t="n">
        <f aca="false">(VST_Assets!$D$12-K337)*INDEX(Prices!K:K,VST_Assets!$AP$12)*365*VST_Assets!$T$12*K336/1000000*(1+VST_RevAdj)</f>
        <v>0</v>
      </c>
      <c r="L344" s="8" t="n">
        <f aca="false">(VST_Assets!$D$12-L337)*INDEX(Prices!L:L,VST_Assets!$AP$12)*365*VST_Assets!$T$12*L336/1000000*(1+VST_RevAdj)</f>
        <v>0</v>
      </c>
      <c r="M344" s="8" t="n">
        <f aca="false">(VST_Assets!$D$12-M337)*INDEX(Prices!M:M,VST_Assets!$AP$12)*365*VST_Assets!$T$12*M336/1000000*(1+VST_RevAdj)</f>
        <v>0</v>
      </c>
      <c r="N344" s="8" t="n">
        <f aca="false">(VST_Assets!$D$12-N337)*INDEX(Prices!N:N,VST_Assets!$AP$12)*365*VST_Assets!$T$12*N336/1000000*(1+VST_RevAdj)</f>
        <v>0</v>
      </c>
      <c r="O344" s="8" t="n">
        <f aca="false">(VST_Assets!$D$12-O337)*INDEX(Prices!O:O,VST_Assets!$AP$12)*365*VST_Assets!$T$12*O336/1000000*(1+VST_RevAdj)</f>
        <v>0</v>
      </c>
      <c r="P344" s="8" t="n">
        <f aca="false">(VST_Assets!$D$12-P337)*INDEX(Prices!P:P,VST_Assets!$AP$12)*365*VST_Assets!$T$12*P336/1000000*(1+VST_RevAdj)</f>
        <v>0</v>
      </c>
      <c r="Q344" s="8" t="n">
        <f aca="false">(VST_Assets!$D$12-Q337)*INDEX(Prices!Q:Q,VST_Assets!$AP$12)*365*VST_Assets!$T$12*Q336/1000000*(1+VST_RevAdj)</f>
        <v>0</v>
      </c>
      <c r="R344" s="8" t="n">
        <f aca="false">(VST_Assets!$D$12-R337)*INDEX(Prices!R:R,VST_Assets!$AP$12)*365*VST_Assets!$T$12*R336/1000000*(1+VST_RevAdj)</f>
        <v>0</v>
      </c>
      <c r="S344" s="8" t="n">
        <f aca="false">(VST_Assets!$D$12-S337)*INDEX(Prices!S:S,VST_Assets!$AP$12)*365*VST_Assets!$T$12*S336/1000000*(1+VST_RevAdj)</f>
        <v>0</v>
      </c>
      <c r="T344" s="8" t="n">
        <f aca="false">(VST_Assets!$D$12-T337)*INDEX(Prices!T:T,VST_Assets!$AP$12)*365*VST_Assets!$T$12*T336/1000000*(1+VST_RevAdj)</f>
        <v>0</v>
      </c>
      <c r="U344" s="8" t="n">
        <f aca="false">(VST_Assets!$D$12-U337)*INDEX(Prices!U:U,VST_Assets!$AP$12)*365*VST_Assets!$T$12*U336/1000000*(1+VST_RevAdj)</f>
        <v>0</v>
      </c>
      <c r="V344" s="8" t="n">
        <f aca="false">(VST_Assets!$D$12-V337)*INDEX(Prices!V:V,VST_Assets!$AP$12)*365*VST_Assets!$T$12*V336/1000000*(1+VST_RevAdj)</f>
        <v>0</v>
      </c>
      <c r="W344" s="8" t="n">
        <f aca="false">(VST_Assets!$D$12-W337)*INDEX(Prices!W:W,VST_Assets!$AP$12)*365*VST_Assets!$T$12*W336/1000000*(1+VST_RevAdj)</f>
        <v>0</v>
      </c>
      <c r="X344" s="8" t="n">
        <f aca="false">(VST_Assets!$D$12-X337)*INDEX(Prices!X:X,VST_Assets!$AP$12)*365*VST_Assets!$T$12*X336/1000000*(1+VST_RevAdj)</f>
        <v>0</v>
      </c>
      <c r="Y344" s="8" t="n">
        <f aca="false">(VST_Assets!$D$12-Y337)*INDEX(Prices!Y:Y,VST_Assets!$AP$12)*365*VST_Assets!$T$12*Y336/1000000*(1+VST_RevAdj)</f>
        <v>0</v>
      </c>
      <c r="Z344" s="8" t="n">
        <f aca="false">(VST_Assets!$D$12-Z337)*INDEX(Prices!Z:Z,VST_Assets!$AP$12)*365*VST_Assets!$T$12*Z336/1000000*(1+VST_RevAdj)</f>
        <v>0</v>
      </c>
      <c r="AA344" s="8" t="n">
        <f aca="false">(VST_Assets!$D$12-AA337)*INDEX(Prices!AA:AA,VST_Assets!$AP$12)*365*VST_Assets!$T$12*AA336/1000000*(1+VST_RevAdj)</f>
        <v>0</v>
      </c>
      <c r="AB344" s="8" t="n">
        <f aca="false">(VST_Assets!$D$12-AB337)*INDEX(Prices!AB:AB,VST_Assets!$AP$12)*365*VST_Assets!$T$12*AB336/1000000*(1+VST_RevAdj)</f>
        <v>0</v>
      </c>
      <c r="AC344" s="8" t="n">
        <f aca="false">(VST_Assets!$D$12-AC337)*INDEX(Prices!AC:AC,VST_Assets!$AP$12)*365*VST_Assets!$T$12*AC336/1000000*(1+VST_RevAdj)</f>
        <v>0</v>
      </c>
      <c r="AD344" s="8" t="n">
        <f aca="false">(VST_Assets!$D$12-AD337)*INDEX(Prices!AD:AD,VST_Assets!$AP$12)*365*VST_Assets!$T$12*AD336/1000000*(1+VST_RevAdj)</f>
        <v>0</v>
      </c>
      <c r="AE344" s="8" t="n">
        <f aca="false">(VST_Assets!$D$12-AE337)*INDEX(Prices!AE:AE,VST_Assets!$AP$12)*365*VST_Assets!$T$12*AE336/1000000*(1+VST_RevAdj)</f>
        <v>0</v>
      </c>
      <c r="AF344" s="8" t="n">
        <f aca="false">(VST_Assets!$D$12-AF337)*INDEX(Prices!AF:AF,VST_Assets!$AP$12)*365*VST_Assets!$T$12*AF336/1000000*(1+VST_RevAdj)</f>
        <v>0</v>
      </c>
      <c r="AG344" s="8" t="n">
        <f aca="false">(VST_Assets!$D$12-AG337)*INDEX(Prices!AG:AG,VST_Assets!$AP$12)*365*VST_Assets!$T$12*AG336/1000000*(1+VST_RevAdj)</f>
        <v>0</v>
      </c>
      <c r="AH344" s="8" t="n">
        <f aca="false">(VST_Assets!$D$12-AH337)*INDEX(Prices!AH:AH,VST_Assets!$AP$12)*365*VST_Assets!$T$12*AH336/1000000*(1+VST_RevAdj)</f>
        <v>0</v>
      </c>
      <c r="AI344" s="8" t="n">
        <f aca="false">(VST_Assets!$D$12-AI337)*INDEX(Prices!AI:AI,VST_Assets!$AP$12)*365*VST_Assets!$T$12*AI336/1000000*(1+VST_RevAdj)</f>
        <v>0</v>
      </c>
      <c r="AJ344" s="8" t="n">
        <f aca="false">(VST_Assets!$D$12-AJ337)*INDEX(Prices!AJ:AJ,VST_Assets!$AP$12)*365*VST_Assets!$T$12*AJ336/1000000*(1+VST_RevAdj)</f>
        <v>0</v>
      </c>
      <c r="AK344" s="8" t="n">
        <f aca="false">(VST_Assets!$D$12-AK337)*INDEX(Prices!AK:AK,VST_Assets!$AP$12)*365*VST_Assets!$T$12*AK336/1000000*(1+VST_RevAdj)</f>
        <v>0</v>
      </c>
      <c r="AL344" s="8" t="n">
        <f aca="false">(VST_Assets!$D$12-AL337)*INDEX(Prices!AL:AL,VST_Assets!$AP$12)*365*VST_Assets!$T$12*AL336/1000000*(1+VST_RevAdj)</f>
        <v>0</v>
      </c>
      <c r="AM344" s="8" t="n">
        <f aca="false">(VST_Assets!$D$12-AM337)*INDEX(Prices!AM:AM,VST_Assets!$AP$12)*365*VST_Assets!$T$12*AM336/1000000*(1+VST_RevAdj)</f>
        <v>0</v>
      </c>
      <c r="AN344" s="8" t="n">
        <f aca="false">(VST_Assets!$D$12-AN337)*INDEX(Prices!AN:AN,VST_Assets!$AP$12)*365*VST_Assets!$T$12*AN336/1000000*(1+VST_RevAdj)</f>
        <v>0</v>
      </c>
      <c r="AO344" s="8" t="n">
        <f aca="false">(VST_Assets!$D$12-AO337)*INDEX(Prices!AO:AO,VST_Assets!$AP$12)*365*VST_Assets!$T$12*AO336/1000000*(1+VST_RevAdj)</f>
        <v>0</v>
      </c>
      <c r="AP344" s="8" t="n">
        <f aca="false">(VST_Assets!$D$12-AP337)*INDEX(Prices!AP:AP,VST_Assets!$AP$12)*365*VST_Assets!$T$12*AP336/1000000*(1+VST_RevAdj)</f>
        <v>0</v>
      </c>
      <c r="AQ344" s="8" t="n">
        <f aca="false">(VST_Assets!$D$12-AQ337)*INDEX(Prices!AQ:AQ,VST_Assets!$AP$12)*365*VST_Assets!$T$12*AQ336/1000000*(1+VST_RevAdj)</f>
        <v>0</v>
      </c>
      <c r="AR344" s="8" t="n">
        <f aca="false">(VST_Assets!$D$12-AR337)*INDEX(Prices!AR:AR,VST_Assets!$AP$12)*365*VST_Assets!$T$12*AR336/1000000*(1+VST_RevAdj)</f>
        <v>0</v>
      </c>
      <c r="AS344" s="8" t="n">
        <f aca="false">(VST_Assets!$D$12-AS337)*INDEX(Prices!AS:AS,VST_Assets!$AP$12)*365*VST_Assets!$T$12*AS336/1000000*(1+VST_RevAdj)</f>
        <v>0</v>
      </c>
    </row>
    <row r="345" customFormat="false" ht="15" hidden="false" customHeight="false" outlineLevel="0" collapsed="false">
      <c r="A345" s="6" t="s">
        <v>443</v>
      </c>
      <c r="B345" s="6" t="s">
        <v>444</v>
      </c>
      <c r="C345" s="9" t="n">
        <f aca="false">SUM(G345:AS345)</f>
        <v>0</v>
      </c>
      <c r="G345" s="8" t="n">
        <f aca="false">G339*(VST_Assets!$AD$12+VST_PPAAdj)/1000000*(1+VST_RevAdj)</f>
        <v>0</v>
      </c>
      <c r="H345" s="8" t="n">
        <f aca="false">H339*(VST_Assets!$AD$12+VST_PPAAdj)/1000000*(1+VST_RevAdj)</f>
        <v>0</v>
      </c>
      <c r="I345" s="8" t="n">
        <f aca="false">I339*(VST_Assets!$AD$12+VST_PPAAdj)/1000000*(1+VST_RevAdj)</f>
        <v>0</v>
      </c>
      <c r="J345" s="8" t="n">
        <f aca="false">J339*(VST_Assets!$AD$12+VST_PPAAdj)/1000000*(1+VST_RevAdj)</f>
        <v>0</v>
      </c>
      <c r="K345" s="8" t="n">
        <f aca="false">K339*(VST_Assets!$AD$12+VST_PPAAdj)/1000000*(1+VST_RevAdj)</f>
        <v>0</v>
      </c>
      <c r="L345" s="8" t="n">
        <f aca="false">L339*(VST_Assets!$AD$12+VST_PPAAdj)/1000000*(1+VST_RevAdj)</f>
        <v>0</v>
      </c>
      <c r="M345" s="8" t="n">
        <f aca="false">M339*(VST_Assets!$AD$12+VST_PPAAdj)/1000000*(1+VST_RevAdj)</f>
        <v>0</v>
      </c>
      <c r="N345" s="8" t="n">
        <f aca="false">N339*(VST_Assets!$AD$12+VST_PPAAdj)/1000000*(1+VST_RevAdj)</f>
        <v>0</v>
      </c>
      <c r="O345" s="8" t="n">
        <f aca="false">O339*(VST_Assets!$AD$12+VST_PPAAdj)/1000000*(1+VST_RevAdj)</f>
        <v>0</v>
      </c>
      <c r="P345" s="8" t="n">
        <f aca="false">P339*(VST_Assets!$AD$12+VST_PPAAdj)/1000000*(1+VST_RevAdj)</f>
        <v>0</v>
      </c>
      <c r="Q345" s="8" t="n">
        <f aca="false">Q339*(VST_Assets!$AD$12+VST_PPAAdj)/1000000*(1+VST_RevAdj)</f>
        <v>0</v>
      </c>
      <c r="R345" s="8" t="n">
        <f aca="false">R339*(VST_Assets!$AD$12+VST_PPAAdj)/1000000*(1+VST_RevAdj)</f>
        <v>0</v>
      </c>
      <c r="S345" s="8" t="n">
        <f aca="false">S339*(VST_Assets!$AD$12+VST_PPAAdj)/1000000*(1+VST_RevAdj)</f>
        <v>0</v>
      </c>
      <c r="T345" s="8" t="n">
        <f aca="false">T339*(VST_Assets!$AD$12+VST_PPAAdj)/1000000*(1+VST_RevAdj)</f>
        <v>0</v>
      </c>
      <c r="U345" s="8" t="n">
        <f aca="false">U339*(VST_Assets!$AD$12+VST_PPAAdj)/1000000*(1+VST_RevAdj)</f>
        <v>0</v>
      </c>
      <c r="V345" s="8" t="n">
        <f aca="false">V339*(VST_Assets!$AD$12+VST_PPAAdj)/1000000*(1+VST_RevAdj)</f>
        <v>0</v>
      </c>
      <c r="W345" s="8" t="n">
        <f aca="false">W339*(VST_Assets!$AD$12+VST_PPAAdj)/1000000*(1+VST_RevAdj)</f>
        <v>0</v>
      </c>
      <c r="X345" s="8" t="n">
        <f aca="false">X339*(VST_Assets!$AD$12+VST_PPAAdj)/1000000*(1+VST_RevAdj)</f>
        <v>0</v>
      </c>
      <c r="Y345" s="8" t="n">
        <f aca="false">Y339*(VST_Assets!$AD$12+VST_PPAAdj)/1000000*(1+VST_RevAdj)</f>
        <v>0</v>
      </c>
      <c r="Z345" s="8" t="n">
        <f aca="false">Z339*(VST_Assets!$AD$12+VST_PPAAdj)/1000000*(1+VST_RevAdj)</f>
        <v>0</v>
      </c>
      <c r="AA345" s="8" t="n">
        <f aca="false">AA339*(VST_Assets!$AD$12+VST_PPAAdj)/1000000*(1+VST_RevAdj)</f>
        <v>0</v>
      </c>
      <c r="AB345" s="8" t="n">
        <f aca="false">AB339*(VST_Assets!$AD$12+VST_PPAAdj)/1000000*(1+VST_RevAdj)</f>
        <v>0</v>
      </c>
      <c r="AC345" s="8" t="n">
        <f aca="false">AC339*(VST_Assets!$AD$12+VST_PPAAdj)/1000000*(1+VST_RevAdj)</f>
        <v>0</v>
      </c>
      <c r="AD345" s="8" t="n">
        <f aca="false">AD339*(VST_Assets!$AD$12+VST_PPAAdj)/1000000*(1+VST_RevAdj)</f>
        <v>0</v>
      </c>
      <c r="AE345" s="8" t="n">
        <f aca="false">AE339*(VST_Assets!$AD$12+VST_PPAAdj)/1000000*(1+VST_RevAdj)</f>
        <v>0</v>
      </c>
      <c r="AF345" s="8" t="n">
        <f aca="false">AF339*(VST_Assets!$AD$12+VST_PPAAdj)/1000000*(1+VST_RevAdj)</f>
        <v>0</v>
      </c>
      <c r="AG345" s="8" t="n">
        <f aca="false">AG339*(VST_Assets!$AD$12+VST_PPAAdj)/1000000*(1+VST_RevAdj)</f>
        <v>0</v>
      </c>
      <c r="AH345" s="8" t="n">
        <f aca="false">AH339*(VST_Assets!$AD$12+VST_PPAAdj)/1000000*(1+VST_RevAdj)</f>
        <v>0</v>
      </c>
      <c r="AI345" s="8" t="n">
        <f aca="false">AI339*(VST_Assets!$AD$12+VST_PPAAdj)/1000000*(1+VST_RevAdj)</f>
        <v>0</v>
      </c>
      <c r="AJ345" s="8" t="n">
        <f aca="false">AJ339*(VST_Assets!$AD$12+VST_PPAAdj)/1000000*(1+VST_RevAdj)</f>
        <v>0</v>
      </c>
      <c r="AK345" s="8" t="n">
        <f aca="false">AK339*(VST_Assets!$AD$12+VST_PPAAdj)/1000000*(1+VST_RevAdj)</f>
        <v>0</v>
      </c>
      <c r="AL345" s="8" t="n">
        <f aca="false">AL339*(VST_Assets!$AD$12+VST_PPAAdj)/1000000*(1+VST_RevAdj)</f>
        <v>0</v>
      </c>
      <c r="AM345" s="8" t="n">
        <f aca="false">AM339*(VST_Assets!$AD$12+VST_PPAAdj)/1000000*(1+VST_RevAdj)</f>
        <v>0</v>
      </c>
      <c r="AN345" s="8" t="n">
        <f aca="false">AN339*(VST_Assets!$AD$12+VST_PPAAdj)/1000000*(1+VST_RevAdj)</f>
        <v>0</v>
      </c>
      <c r="AO345" s="8" t="n">
        <f aca="false">AO339*(VST_Assets!$AD$12+VST_PPAAdj)/1000000*(1+VST_RevAdj)</f>
        <v>0</v>
      </c>
      <c r="AP345" s="8" t="n">
        <f aca="false">AP339*(VST_Assets!$AD$12+VST_PPAAdj)/1000000*(1+VST_RevAdj)</f>
        <v>0</v>
      </c>
      <c r="AQ345" s="8" t="n">
        <f aca="false">AQ339*(VST_Assets!$AD$12+VST_PPAAdj)/1000000*(1+VST_RevAdj)</f>
        <v>0</v>
      </c>
      <c r="AR345" s="8" t="n">
        <f aca="false">AR339*(VST_Assets!$AD$12+VST_PPAAdj)/1000000*(1+VST_RevAdj)</f>
        <v>0</v>
      </c>
      <c r="AS345" s="8" t="n">
        <f aca="false">AS339*(VST_Assets!$AD$12+VST_PPAAdj)/1000000*(1+VST_RevAdj)</f>
        <v>0</v>
      </c>
    </row>
    <row r="346" customFormat="false" ht="15" hidden="false" customHeight="false" outlineLevel="0" collapsed="false">
      <c r="A346" s="6" t="s">
        <v>445</v>
      </c>
      <c r="B346" s="6" t="s">
        <v>446</v>
      </c>
      <c r="C346" s="9" t="n">
        <f aca="false">SUM(G346:AS346)</f>
        <v>0</v>
      </c>
      <c r="G346" s="8" t="n">
        <f aca="false">IF(G$3&lt;=VST_Assets!$V$12,G338*VST_Assets!$U$12,0)/1000000*(1+VST_RevAdj)</f>
        <v>0</v>
      </c>
      <c r="H346" s="8" t="n">
        <f aca="false">IF(H$3&lt;=VST_Assets!$V$12,H338*VST_Assets!$U$12,0)/1000000*(1+VST_RevAdj)</f>
        <v>0</v>
      </c>
      <c r="I346" s="8" t="n">
        <f aca="false">IF(I$3&lt;=VST_Assets!$V$12,I338*VST_Assets!$U$12,0)/1000000*(1+VST_RevAdj)</f>
        <v>0</v>
      </c>
      <c r="J346" s="8" t="n">
        <f aca="false">IF(J$3&lt;=VST_Assets!$V$12,J338*VST_Assets!$U$12,0)/1000000*(1+VST_RevAdj)</f>
        <v>0</v>
      </c>
      <c r="K346" s="8" t="n">
        <f aca="false">IF(K$3&lt;=VST_Assets!$V$12,K338*VST_Assets!$U$12,0)/1000000*(1+VST_RevAdj)</f>
        <v>0</v>
      </c>
      <c r="L346" s="8" t="n">
        <f aca="false">IF(L$3&lt;=VST_Assets!$V$12,L338*VST_Assets!$U$12,0)/1000000*(1+VST_RevAdj)</f>
        <v>0</v>
      </c>
      <c r="M346" s="8" t="n">
        <f aca="false">IF(M$3&lt;=VST_Assets!$V$12,M338*VST_Assets!$U$12,0)/1000000*(1+VST_RevAdj)</f>
        <v>0</v>
      </c>
      <c r="N346" s="8" t="n">
        <f aca="false">IF(N$3&lt;=VST_Assets!$V$12,N338*VST_Assets!$U$12,0)/1000000*(1+VST_RevAdj)</f>
        <v>0</v>
      </c>
      <c r="O346" s="8" t="n">
        <f aca="false">IF(O$3&lt;=VST_Assets!$V$12,O338*VST_Assets!$U$12,0)/1000000*(1+VST_RevAdj)</f>
        <v>0</v>
      </c>
      <c r="P346" s="8" t="n">
        <f aca="false">IF(P$3&lt;=VST_Assets!$V$12,P338*VST_Assets!$U$12,0)/1000000*(1+VST_RevAdj)</f>
        <v>0</v>
      </c>
      <c r="Q346" s="8" t="n">
        <f aca="false">IF(Q$3&lt;=VST_Assets!$V$12,Q338*VST_Assets!$U$12,0)/1000000*(1+VST_RevAdj)</f>
        <v>0</v>
      </c>
      <c r="R346" s="8" t="n">
        <f aca="false">IF(R$3&lt;=VST_Assets!$V$12,R338*VST_Assets!$U$12,0)/1000000*(1+VST_RevAdj)</f>
        <v>0</v>
      </c>
      <c r="S346" s="8" t="n">
        <f aca="false">IF(S$3&lt;=VST_Assets!$V$12,S338*VST_Assets!$U$12,0)/1000000*(1+VST_RevAdj)</f>
        <v>0</v>
      </c>
      <c r="T346" s="8" t="n">
        <f aca="false">IF(T$3&lt;=VST_Assets!$V$12,T338*VST_Assets!$U$12,0)/1000000*(1+VST_RevAdj)</f>
        <v>0</v>
      </c>
      <c r="U346" s="8" t="n">
        <f aca="false">IF(U$3&lt;=VST_Assets!$V$12,U338*VST_Assets!$U$12,0)/1000000*(1+VST_RevAdj)</f>
        <v>0</v>
      </c>
      <c r="V346" s="8" t="n">
        <f aca="false">IF(V$3&lt;=VST_Assets!$V$12,V338*VST_Assets!$U$12,0)/1000000*(1+VST_RevAdj)</f>
        <v>0</v>
      </c>
      <c r="W346" s="8" t="n">
        <f aca="false">IF(W$3&lt;=VST_Assets!$V$12,W338*VST_Assets!$U$12,0)/1000000*(1+VST_RevAdj)</f>
        <v>0</v>
      </c>
      <c r="X346" s="8" t="n">
        <f aca="false">IF(X$3&lt;=VST_Assets!$V$12,X338*VST_Assets!$U$12,0)/1000000*(1+VST_RevAdj)</f>
        <v>0</v>
      </c>
      <c r="Y346" s="8" t="n">
        <f aca="false">IF(Y$3&lt;=VST_Assets!$V$12,Y338*VST_Assets!$U$12,0)/1000000*(1+VST_RevAdj)</f>
        <v>0</v>
      </c>
      <c r="Z346" s="8" t="n">
        <f aca="false">IF(Z$3&lt;=VST_Assets!$V$12,Z338*VST_Assets!$U$12,0)/1000000*(1+VST_RevAdj)</f>
        <v>0</v>
      </c>
      <c r="AA346" s="8" t="n">
        <f aca="false">IF(AA$3&lt;=VST_Assets!$V$12,AA338*VST_Assets!$U$12,0)/1000000*(1+VST_RevAdj)</f>
        <v>0</v>
      </c>
      <c r="AB346" s="8" t="n">
        <f aca="false">IF(AB$3&lt;=VST_Assets!$V$12,AB338*VST_Assets!$U$12,0)/1000000*(1+VST_RevAdj)</f>
        <v>0</v>
      </c>
      <c r="AC346" s="8" t="n">
        <f aca="false">IF(AC$3&lt;=VST_Assets!$V$12,AC338*VST_Assets!$U$12,0)/1000000*(1+VST_RevAdj)</f>
        <v>0</v>
      </c>
      <c r="AD346" s="8" t="n">
        <f aca="false">IF(AD$3&lt;=VST_Assets!$V$12,AD338*VST_Assets!$U$12,0)/1000000*(1+VST_RevAdj)</f>
        <v>0</v>
      </c>
      <c r="AE346" s="8" t="n">
        <f aca="false">IF(AE$3&lt;=VST_Assets!$V$12,AE338*VST_Assets!$U$12,0)/1000000*(1+VST_RevAdj)</f>
        <v>0</v>
      </c>
      <c r="AF346" s="8" t="n">
        <f aca="false">IF(AF$3&lt;=VST_Assets!$V$12,AF338*VST_Assets!$U$12,0)/1000000*(1+VST_RevAdj)</f>
        <v>0</v>
      </c>
      <c r="AG346" s="8" t="n">
        <f aca="false">IF(AG$3&lt;=VST_Assets!$V$12,AG338*VST_Assets!$U$12,0)/1000000*(1+VST_RevAdj)</f>
        <v>0</v>
      </c>
      <c r="AH346" s="8" t="n">
        <f aca="false">IF(AH$3&lt;=VST_Assets!$V$12,AH338*VST_Assets!$U$12,0)/1000000*(1+VST_RevAdj)</f>
        <v>0</v>
      </c>
      <c r="AI346" s="8" t="n">
        <f aca="false">IF(AI$3&lt;=VST_Assets!$V$12,AI338*VST_Assets!$U$12,0)/1000000*(1+VST_RevAdj)</f>
        <v>0</v>
      </c>
      <c r="AJ346" s="8" t="n">
        <f aca="false">IF(AJ$3&lt;=VST_Assets!$V$12,AJ338*VST_Assets!$U$12,0)/1000000*(1+VST_RevAdj)</f>
        <v>0</v>
      </c>
      <c r="AK346" s="8" t="n">
        <f aca="false">IF(AK$3&lt;=VST_Assets!$V$12,AK338*VST_Assets!$U$12,0)/1000000*(1+VST_RevAdj)</f>
        <v>0</v>
      </c>
      <c r="AL346" s="8" t="n">
        <f aca="false">IF(AL$3&lt;=VST_Assets!$V$12,AL338*VST_Assets!$U$12,0)/1000000*(1+VST_RevAdj)</f>
        <v>0</v>
      </c>
      <c r="AM346" s="8" t="n">
        <f aca="false">IF(AM$3&lt;=VST_Assets!$V$12,AM338*VST_Assets!$U$12,0)/1000000*(1+VST_RevAdj)</f>
        <v>0</v>
      </c>
      <c r="AN346" s="8" t="n">
        <f aca="false">IF(AN$3&lt;=VST_Assets!$V$12,AN338*VST_Assets!$U$12,0)/1000000*(1+VST_RevAdj)</f>
        <v>0</v>
      </c>
      <c r="AO346" s="8" t="n">
        <f aca="false">IF(AO$3&lt;=VST_Assets!$V$12,AO338*VST_Assets!$U$12,0)/1000000*(1+VST_RevAdj)</f>
        <v>0</v>
      </c>
      <c r="AP346" s="8" t="n">
        <f aca="false">IF(AP$3&lt;=VST_Assets!$V$12,AP338*VST_Assets!$U$12,0)/1000000*(1+VST_RevAdj)</f>
        <v>0</v>
      </c>
      <c r="AQ346" s="8" t="n">
        <f aca="false">IF(AQ$3&lt;=VST_Assets!$V$12,AQ338*VST_Assets!$U$12,0)/1000000*(1+VST_RevAdj)</f>
        <v>0</v>
      </c>
      <c r="AR346" s="8" t="n">
        <f aca="false">IF(AR$3&lt;=VST_Assets!$V$12,AR338*VST_Assets!$U$12,0)/1000000*(1+VST_RevAdj)</f>
        <v>0</v>
      </c>
      <c r="AS346" s="8" t="n">
        <f aca="false">IF(AS$3&lt;=VST_Assets!$V$12,AS338*VST_Assets!$U$12,0)/1000000*(1+VST_RevAdj)</f>
        <v>0</v>
      </c>
    </row>
    <row r="347" customFormat="false" ht="15" hidden="false" customHeight="false" outlineLevel="0" collapsed="false">
      <c r="A347" s="6" t="s">
        <v>447</v>
      </c>
      <c r="B347" s="6" t="s">
        <v>448</v>
      </c>
      <c r="C347" s="9" t="n">
        <f aca="false">SUM(G347:AS347)</f>
        <v>1791.155282071</v>
      </c>
      <c r="G347" s="8" t="n">
        <f aca="false">G343+G344+G345+G346</f>
        <v>1791.155282071</v>
      </c>
      <c r="H347" s="8" t="n">
        <f aca="false">H343+H344+H345+H346</f>
        <v>0</v>
      </c>
      <c r="I347" s="8" t="n">
        <f aca="false">I343+I344+I345+I346</f>
        <v>0</v>
      </c>
      <c r="J347" s="8" t="n">
        <f aca="false">J343+J344+J345+J346</f>
        <v>0</v>
      </c>
      <c r="K347" s="8" t="n">
        <f aca="false">K343+K344+K345+K346</f>
        <v>0</v>
      </c>
      <c r="L347" s="8" t="n">
        <f aca="false">L343+L344+L345+L346</f>
        <v>0</v>
      </c>
      <c r="M347" s="8" t="n">
        <f aca="false">M343+M344+M345+M346</f>
        <v>0</v>
      </c>
      <c r="N347" s="8" t="n">
        <f aca="false">N343+N344+N345+N346</f>
        <v>0</v>
      </c>
      <c r="O347" s="8" t="n">
        <f aca="false">O343+O344+O345+O346</f>
        <v>0</v>
      </c>
      <c r="P347" s="8" t="n">
        <f aca="false">P343+P344+P345+P346</f>
        <v>0</v>
      </c>
      <c r="Q347" s="8" t="n">
        <f aca="false">Q343+Q344+Q345+Q346</f>
        <v>0</v>
      </c>
      <c r="R347" s="8" t="n">
        <f aca="false">R343+R344+R345+R346</f>
        <v>0</v>
      </c>
      <c r="S347" s="8" t="n">
        <f aca="false">S343+S344+S345+S346</f>
        <v>0</v>
      </c>
      <c r="T347" s="8" t="n">
        <f aca="false">T343+T344+T345+T346</f>
        <v>0</v>
      </c>
      <c r="U347" s="8" t="n">
        <f aca="false">U343+U344+U345+U346</f>
        <v>0</v>
      </c>
      <c r="V347" s="8" t="n">
        <f aca="false">V343+V344+V345+V346</f>
        <v>0</v>
      </c>
      <c r="W347" s="8" t="n">
        <f aca="false">W343+W344+W345+W346</f>
        <v>0</v>
      </c>
      <c r="X347" s="8" t="n">
        <f aca="false">X343+X344+X345+X346</f>
        <v>0</v>
      </c>
      <c r="Y347" s="8" t="n">
        <f aca="false">Y343+Y344+Y345+Y346</f>
        <v>0</v>
      </c>
      <c r="Z347" s="8" t="n">
        <f aca="false">Z343+Z344+Z345+Z346</f>
        <v>0</v>
      </c>
      <c r="AA347" s="8" t="n">
        <f aca="false">AA343+AA344+AA345+AA346</f>
        <v>0</v>
      </c>
      <c r="AB347" s="8" t="n">
        <f aca="false">AB343+AB344+AB345+AB346</f>
        <v>0</v>
      </c>
      <c r="AC347" s="8" t="n">
        <f aca="false">AC343+AC344+AC345+AC346</f>
        <v>0</v>
      </c>
      <c r="AD347" s="8" t="n">
        <f aca="false">AD343+AD344+AD345+AD346</f>
        <v>0</v>
      </c>
      <c r="AE347" s="8" t="n">
        <f aca="false">AE343+AE344+AE345+AE346</f>
        <v>0</v>
      </c>
      <c r="AF347" s="8" t="n">
        <f aca="false">AF343+AF344+AF345+AF346</f>
        <v>0</v>
      </c>
      <c r="AG347" s="8" t="n">
        <f aca="false">AG343+AG344+AG345+AG346</f>
        <v>0</v>
      </c>
      <c r="AH347" s="8" t="n">
        <f aca="false">AH343+AH344+AH345+AH346</f>
        <v>0</v>
      </c>
      <c r="AI347" s="8" t="n">
        <f aca="false">AI343+AI344+AI345+AI346</f>
        <v>0</v>
      </c>
      <c r="AJ347" s="8" t="n">
        <f aca="false">AJ343+AJ344+AJ345+AJ346</f>
        <v>0</v>
      </c>
      <c r="AK347" s="8" t="n">
        <f aca="false">AK343+AK344+AK345+AK346</f>
        <v>0</v>
      </c>
      <c r="AL347" s="8" t="n">
        <f aca="false">AL343+AL344+AL345+AL346</f>
        <v>0</v>
      </c>
      <c r="AM347" s="8" t="n">
        <f aca="false">AM343+AM344+AM345+AM346</f>
        <v>0</v>
      </c>
      <c r="AN347" s="8" t="n">
        <f aca="false">AN343+AN344+AN345+AN346</f>
        <v>0</v>
      </c>
      <c r="AO347" s="8" t="n">
        <f aca="false">AO343+AO344+AO345+AO346</f>
        <v>0</v>
      </c>
      <c r="AP347" s="8" t="n">
        <f aca="false">AP343+AP344+AP345+AP346</f>
        <v>0</v>
      </c>
      <c r="AQ347" s="8" t="n">
        <f aca="false">AQ343+AQ344+AQ345+AQ346</f>
        <v>0</v>
      </c>
      <c r="AR347" s="8" t="n">
        <f aca="false">AR343+AR344+AR345+AR346</f>
        <v>0</v>
      </c>
      <c r="AS347" s="8" t="n">
        <f aca="false">AS343+AS344+AS345+AS346</f>
        <v>0</v>
      </c>
    </row>
    <row r="348" customFormat="false" ht="15" hidden="false" customHeight="false" outlineLevel="0" collapsed="false">
      <c r="A348" s="6" t="s">
        <v>449</v>
      </c>
      <c r="B348" s="6" t="s">
        <v>450</v>
      </c>
      <c r="C348" s="9" t="n">
        <f aca="false">SUM(G348:AS348)</f>
        <v>538.730281656</v>
      </c>
      <c r="G348" s="8" t="n">
        <f aca="false">((VST_Assets!$K$12*G340+VST_Assets!$M$12*G$4)*G338*G342+VST_Assets!$N$12*(1+VST_Assets!$Q$12)^(G$3-2026)*(G338+G339))/1000000*(1+VST_FuelAdj)</f>
        <v>538.730281656</v>
      </c>
      <c r="H348" s="8" t="n">
        <f aca="false">((VST_Assets!$K$12*H340+VST_Assets!$M$12*H$4)*H338*H342+VST_Assets!$N$12*(1+VST_Assets!$Q$12)^(H$3-2026)*(H338+H339))/1000000*(1+VST_FuelAdj)</f>
        <v>0</v>
      </c>
      <c r="I348" s="8" t="n">
        <f aca="false">((VST_Assets!$K$12*I340+VST_Assets!$M$12*I$4)*I338*I342+VST_Assets!$N$12*(1+VST_Assets!$Q$12)^(I$3-2026)*(I338+I339))/1000000*(1+VST_FuelAdj)</f>
        <v>0</v>
      </c>
      <c r="J348" s="8" t="n">
        <f aca="false">((VST_Assets!$K$12*J340+VST_Assets!$M$12*J$4)*J338*J342+VST_Assets!$N$12*(1+VST_Assets!$Q$12)^(J$3-2026)*(J338+J339))/1000000*(1+VST_FuelAdj)</f>
        <v>0</v>
      </c>
      <c r="K348" s="8" t="n">
        <f aca="false">((VST_Assets!$K$12*K340+VST_Assets!$M$12*K$4)*K338*K342+VST_Assets!$N$12*(1+VST_Assets!$Q$12)^(K$3-2026)*(K338+K339))/1000000*(1+VST_FuelAdj)</f>
        <v>0</v>
      </c>
      <c r="L348" s="8" t="n">
        <f aca="false">((VST_Assets!$K$12*L340+VST_Assets!$M$12*L$4)*L338*L342+VST_Assets!$N$12*(1+VST_Assets!$Q$12)^(L$3-2026)*(L338+L339))/1000000*(1+VST_FuelAdj)</f>
        <v>0</v>
      </c>
      <c r="M348" s="8" t="n">
        <f aca="false">((VST_Assets!$K$12*M340+VST_Assets!$M$12*M$4)*M338*M342+VST_Assets!$N$12*(1+VST_Assets!$Q$12)^(M$3-2026)*(M338+M339))/1000000*(1+VST_FuelAdj)</f>
        <v>0</v>
      </c>
      <c r="N348" s="8" t="n">
        <f aca="false">((VST_Assets!$K$12*N340+VST_Assets!$M$12*N$4)*N338*N342+VST_Assets!$N$12*(1+VST_Assets!$Q$12)^(N$3-2026)*(N338+N339))/1000000*(1+VST_FuelAdj)</f>
        <v>0</v>
      </c>
      <c r="O348" s="8" t="n">
        <f aca="false">((VST_Assets!$K$12*O340+VST_Assets!$M$12*O$4)*O338*O342+VST_Assets!$N$12*(1+VST_Assets!$Q$12)^(O$3-2026)*(O338+O339))/1000000*(1+VST_FuelAdj)</f>
        <v>0</v>
      </c>
      <c r="P348" s="8" t="n">
        <f aca="false">((VST_Assets!$K$12*P340+VST_Assets!$M$12*P$4)*P338*P342+VST_Assets!$N$12*(1+VST_Assets!$Q$12)^(P$3-2026)*(P338+P339))/1000000*(1+VST_FuelAdj)</f>
        <v>0</v>
      </c>
      <c r="Q348" s="8" t="n">
        <f aca="false">((VST_Assets!$K$12*Q340+VST_Assets!$M$12*Q$4)*Q338*Q342+VST_Assets!$N$12*(1+VST_Assets!$Q$12)^(Q$3-2026)*(Q338+Q339))/1000000*(1+VST_FuelAdj)</f>
        <v>0</v>
      </c>
      <c r="R348" s="8" t="n">
        <f aca="false">((VST_Assets!$K$12*R340+VST_Assets!$M$12*R$4)*R338*R342+VST_Assets!$N$12*(1+VST_Assets!$Q$12)^(R$3-2026)*(R338+R339))/1000000*(1+VST_FuelAdj)</f>
        <v>0</v>
      </c>
      <c r="S348" s="8" t="n">
        <f aca="false">((VST_Assets!$K$12*S340+VST_Assets!$M$12*S$4)*S338*S342+VST_Assets!$N$12*(1+VST_Assets!$Q$12)^(S$3-2026)*(S338+S339))/1000000*(1+VST_FuelAdj)</f>
        <v>0</v>
      </c>
      <c r="T348" s="8" t="n">
        <f aca="false">((VST_Assets!$K$12*T340+VST_Assets!$M$12*T$4)*T338*T342+VST_Assets!$N$12*(1+VST_Assets!$Q$12)^(T$3-2026)*(T338+T339))/1000000*(1+VST_FuelAdj)</f>
        <v>0</v>
      </c>
      <c r="U348" s="8" t="n">
        <f aca="false">((VST_Assets!$K$12*U340+VST_Assets!$M$12*U$4)*U338*U342+VST_Assets!$N$12*(1+VST_Assets!$Q$12)^(U$3-2026)*(U338+U339))/1000000*(1+VST_FuelAdj)</f>
        <v>0</v>
      </c>
      <c r="V348" s="8" t="n">
        <f aca="false">((VST_Assets!$K$12*V340+VST_Assets!$M$12*V$4)*V338*V342+VST_Assets!$N$12*(1+VST_Assets!$Q$12)^(V$3-2026)*(V338+V339))/1000000*(1+VST_FuelAdj)</f>
        <v>0</v>
      </c>
      <c r="W348" s="8" t="n">
        <f aca="false">((VST_Assets!$K$12*W340+VST_Assets!$M$12*W$4)*W338*W342+VST_Assets!$N$12*(1+VST_Assets!$Q$12)^(W$3-2026)*(W338+W339))/1000000*(1+VST_FuelAdj)</f>
        <v>0</v>
      </c>
      <c r="X348" s="8" t="n">
        <f aca="false">((VST_Assets!$K$12*X340+VST_Assets!$M$12*X$4)*X338*X342+VST_Assets!$N$12*(1+VST_Assets!$Q$12)^(X$3-2026)*(X338+X339))/1000000*(1+VST_FuelAdj)</f>
        <v>0</v>
      </c>
      <c r="Y348" s="8" t="n">
        <f aca="false">((VST_Assets!$K$12*Y340+VST_Assets!$M$12*Y$4)*Y338*Y342+VST_Assets!$N$12*(1+VST_Assets!$Q$12)^(Y$3-2026)*(Y338+Y339))/1000000*(1+VST_FuelAdj)</f>
        <v>0</v>
      </c>
      <c r="Z348" s="8" t="n">
        <f aca="false">((VST_Assets!$K$12*Z340+VST_Assets!$M$12*Z$4)*Z338*Z342+VST_Assets!$N$12*(1+VST_Assets!$Q$12)^(Z$3-2026)*(Z338+Z339))/1000000*(1+VST_FuelAdj)</f>
        <v>0</v>
      </c>
      <c r="AA348" s="8" t="n">
        <f aca="false">((VST_Assets!$K$12*AA340+VST_Assets!$M$12*AA$4)*AA338*AA342+VST_Assets!$N$12*(1+VST_Assets!$Q$12)^(AA$3-2026)*(AA338+AA339))/1000000*(1+VST_FuelAdj)</f>
        <v>0</v>
      </c>
      <c r="AB348" s="8" t="n">
        <f aca="false">((VST_Assets!$K$12*AB340+VST_Assets!$M$12*AB$4)*AB338*AB342+VST_Assets!$N$12*(1+VST_Assets!$Q$12)^(AB$3-2026)*(AB338+AB339))/1000000*(1+VST_FuelAdj)</f>
        <v>0</v>
      </c>
      <c r="AC348" s="8" t="n">
        <f aca="false">((VST_Assets!$K$12*AC340+VST_Assets!$M$12*AC$4)*AC338*AC342+VST_Assets!$N$12*(1+VST_Assets!$Q$12)^(AC$3-2026)*(AC338+AC339))/1000000*(1+VST_FuelAdj)</f>
        <v>0</v>
      </c>
      <c r="AD348" s="8" t="n">
        <f aca="false">((VST_Assets!$K$12*AD340+VST_Assets!$M$12*AD$4)*AD338*AD342+VST_Assets!$N$12*(1+VST_Assets!$Q$12)^(AD$3-2026)*(AD338+AD339))/1000000*(1+VST_FuelAdj)</f>
        <v>0</v>
      </c>
      <c r="AE348" s="8" t="n">
        <f aca="false">((VST_Assets!$K$12*AE340+VST_Assets!$M$12*AE$4)*AE338*AE342+VST_Assets!$N$12*(1+VST_Assets!$Q$12)^(AE$3-2026)*(AE338+AE339))/1000000*(1+VST_FuelAdj)</f>
        <v>0</v>
      </c>
      <c r="AF348" s="8" t="n">
        <f aca="false">((VST_Assets!$K$12*AF340+VST_Assets!$M$12*AF$4)*AF338*AF342+VST_Assets!$N$12*(1+VST_Assets!$Q$12)^(AF$3-2026)*(AF338+AF339))/1000000*(1+VST_FuelAdj)</f>
        <v>0</v>
      </c>
      <c r="AG348" s="8" t="n">
        <f aca="false">((VST_Assets!$K$12*AG340+VST_Assets!$M$12*AG$4)*AG338*AG342+VST_Assets!$N$12*(1+VST_Assets!$Q$12)^(AG$3-2026)*(AG338+AG339))/1000000*(1+VST_FuelAdj)</f>
        <v>0</v>
      </c>
      <c r="AH348" s="8" t="n">
        <f aca="false">((VST_Assets!$K$12*AH340+VST_Assets!$M$12*AH$4)*AH338*AH342+VST_Assets!$N$12*(1+VST_Assets!$Q$12)^(AH$3-2026)*(AH338+AH339))/1000000*(1+VST_FuelAdj)</f>
        <v>0</v>
      </c>
      <c r="AI348" s="8" t="n">
        <f aca="false">((VST_Assets!$K$12*AI340+VST_Assets!$M$12*AI$4)*AI338*AI342+VST_Assets!$N$12*(1+VST_Assets!$Q$12)^(AI$3-2026)*(AI338+AI339))/1000000*(1+VST_FuelAdj)</f>
        <v>0</v>
      </c>
      <c r="AJ348" s="8" t="n">
        <f aca="false">((VST_Assets!$K$12*AJ340+VST_Assets!$M$12*AJ$4)*AJ338*AJ342+VST_Assets!$N$12*(1+VST_Assets!$Q$12)^(AJ$3-2026)*(AJ338+AJ339))/1000000*(1+VST_FuelAdj)</f>
        <v>0</v>
      </c>
      <c r="AK348" s="8" t="n">
        <f aca="false">((VST_Assets!$K$12*AK340+VST_Assets!$M$12*AK$4)*AK338*AK342+VST_Assets!$N$12*(1+VST_Assets!$Q$12)^(AK$3-2026)*(AK338+AK339))/1000000*(1+VST_FuelAdj)</f>
        <v>0</v>
      </c>
      <c r="AL348" s="8" t="n">
        <f aca="false">((VST_Assets!$K$12*AL340+VST_Assets!$M$12*AL$4)*AL338*AL342+VST_Assets!$N$12*(1+VST_Assets!$Q$12)^(AL$3-2026)*(AL338+AL339))/1000000*(1+VST_FuelAdj)</f>
        <v>0</v>
      </c>
      <c r="AM348" s="8" t="n">
        <f aca="false">((VST_Assets!$K$12*AM340+VST_Assets!$M$12*AM$4)*AM338*AM342+VST_Assets!$N$12*(1+VST_Assets!$Q$12)^(AM$3-2026)*(AM338+AM339))/1000000*(1+VST_FuelAdj)</f>
        <v>0</v>
      </c>
      <c r="AN348" s="8" t="n">
        <f aca="false">((VST_Assets!$K$12*AN340+VST_Assets!$M$12*AN$4)*AN338*AN342+VST_Assets!$N$12*(1+VST_Assets!$Q$12)^(AN$3-2026)*(AN338+AN339))/1000000*(1+VST_FuelAdj)</f>
        <v>0</v>
      </c>
      <c r="AO348" s="8" t="n">
        <f aca="false">((VST_Assets!$K$12*AO340+VST_Assets!$M$12*AO$4)*AO338*AO342+VST_Assets!$N$12*(1+VST_Assets!$Q$12)^(AO$3-2026)*(AO338+AO339))/1000000*(1+VST_FuelAdj)</f>
        <v>0</v>
      </c>
      <c r="AP348" s="8" t="n">
        <f aca="false">((VST_Assets!$K$12*AP340+VST_Assets!$M$12*AP$4)*AP338*AP342+VST_Assets!$N$12*(1+VST_Assets!$Q$12)^(AP$3-2026)*(AP338+AP339))/1000000*(1+VST_FuelAdj)</f>
        <v>0</v>
      </c>
      <c r="AQ348" s="8" t="n">
        <f aca="false">((VST_Assets!$K$12*AQ340+VST_Assets!$M$12*AQ$4)*AQ338*AQ342+VST_Assets!$N$12*(1+VST_Assets!$Q$12)^(AQ$3-2026)*(AQ338+AQ339))/1000000*(1+VST_FuelAdj)</f>
        <v>0</v>
      </c>
      <c r="AR348" s="8" t="n">
        <f aca="false">((VST_Assets!$K$12*AR340+VST_Assets!$M$12*AR$4)*AR338*AR342+VST_Assets!$N$12*(1+VST_Assets!$Q$12)^(AR$3-2026)*(AR338+AR339))/1000000*(1+VST_FuelAdj)</f>
        <v>0</v>
      </c>
      <c r="AS348" s="8" t="n">
        <f aca="false">((VST_Assets!$K$12*AS340+VST_Assets!$M$12*AS$4)*AS338*AS342+VST_Assets!$N$12*(1+VST_Assets!$Q$12)^(AS$3-2026)*(AS338+AS339))/1000000*(1+VST_FuelAdj)</f>
        <v>0</v>
      </c>
    </row>
    <row r="349" customFormat="false" ht="15" hidden="false" customHeight="false" outlineLevel="0" collapsed="false">
      <c r="A349" s="6" t="s">
        <v>451</v>
      </c>
      <c r="B349" s="6" t="s">
        <v>452</v>
      </c>
      <c r="C349" s="9" t="n">
        <f aca="false">SUM(G349:AS349)</f>
        <v>1252.425000415</v>
      </c>
      <c r="G349" s="8" t="n">
        <f aca="false">G347-G348</f>
        <v>1252.425000415</v>
      </c>
      <c r="H349" s="8" t="n">
        <f aca="false">H347-H348</f>
        <v>0</v>
      </c>
      <c r="I349" s="8" t="n">
        <f aca="false">I347-I348</f>
        <v>0</v>
      </c>
      <c r="J349" s="8" t="n">
        <f aca="false">J347-J348</f>
        <v>0</v>
      </c>
      <c r="K349" s="8" t="n">
        <f aca="false">K347-K348</f>
        <v>0</v>
      </c>
      <c r="L349" s="8" t="n">
        <f aca="false">L347-L348</f>
        <v>0</v>
      </c>
      <c r="M349" s="8" t="n">
        <f aca="false">M347-M348</f>
        <v>0</v>
      </c>
      <c r="N349" s="8" t="n">
        <f aca="false">N347-N348</f>
        <v>0</v>
      </c>
      <c r="O349" s="8" t="n">
        <f aca="false">O347-O348</f>
        <v>0</v>
      </c>
      <c r="P349" s="8" t="n">
        <f aca="false">P347-P348</f>
        <v>0</v>
      </c>
      <c r="Q349" s="8" t="n">
        <f aca="false">Q347-Q348</f>
        <v>0</v>
      </c>
      <c r="R349" s="8" t="n">
        <f aca="false">R347-R348</f>
        <v>0</v>
      </c>
      <c r="S349" s="8" t="n">
        <f aca="false">S347-S348</f>
        <v>0</v>
      </c>
      <c r="T349" s="8" t="n">
        <f aca="false">T347-T348</f>
        <v>0</v>
      </c>
      <c r="U349" s="8" t="n">
        <f aca="false">U347-U348</f>
        <v>0</v>
      </c>
      <c r="V349" s="8" t="n">
        <f aca="false">V347-V348</f>
        <v>0</v>
      </c>
      <c r="W349" s="8" t="n">
        <f aca="false">W347-W348</f>
        <v>0</v>
      </c>
      <c r="X349" s="8" t="n">
        <f aca="false">X347-X348</f>
        <v>0</v>
      </c>
      <c r="Y349" s="8" t="n">
        <f aca="false">Y347-Y348</f>
        <v>0</v>
      </c>
      <c r="Z349" s="8" t="n">
        <f aca="false">Z347-Z348</f>
        <v>0</v>
      </c>
      <c r="AA349" s="8" t="n">
        <f aca="false">AA347-AA348</f>
        <v>0</v>
      </c>
      <c r="AB349" s="8" t="n">
        <f aca="false">AB347-AB348</f>
        <v>0</v>
      </c>
      <c r="AC349" s="8" t="n">
        <f aca="false">AC347-AC348</f>
        <v>0</v>
      </c>
      <c r="AD349" s="8" t="n">
        <f aca="false">AD347-AD348</f>
        <v>0</v>
      </c>
      <c r="AE349" s="8" t="n">
        <f aca="false">AE347-AE348</f>
        <v>0</v>
      </c>
      <c r="AF349" s="8" t="n">
        <f aca="false">AF347-AF348</f>
        <v>0</v>
      </c>
      <c r="AG349" s="8" t="n">
        <f aca="false">AG347-AG348</f>
        <v>0</v>
      </c>
      <c r="AH349" s="8" t="n">
        <f aca="false">AH347-AH348</f>
        <v>0</v>
      </c>
      <c r="AI349" s="8" t="n">
        <f aca="false">AI347-AI348</f>
        <v>0</v>
      </c>
      <c r="AJ349" s="8" t="n">
        <f aca="false">AJ347-AJ348</f>
        <v>0</v>
      </c>
      <c r="AK349" s="8" t="n">
        <f aca="false">AK347-AK348</f>
        <v>0</v>
      </c>
      <c r="AL349" s="8" t="n">
        <f aca="false">AL347-AL348</f>
        <v>0</v>
      </c>
      <c r="AM349" s="8" t="n">
        <f aca="false">AM347-AM348</f>
        <v>0</v>
      </c>
      <c r="AN349" s="8" t="n">
        <f aca="false">AN347-AN348</f>
        <v>0</v>
      </c>
      <c r="AO349" s="8" t="n">
        <f aca="false">AO347-AO348</f>
        <v>0</v>
      </c>
      <c r="AP349" s="8" t="n">
        <f aca="false">AP347-AP348</f>
        <v>0</v>
      </c>
      <c r="AQ349" s="8" t="n">
        <f aca="false">AQ347-AQ348</f>
        <v>0</v>
      </c>
      <c r="AR349" s="8" t="n">
        <f aca="false">AR347-AR348</f>
        <v>0</v>
      </c>
      <c r="AS349" s="8" t="n">
        <f aca="false">AS347-AS348</f>
        <v>0</v>
      </c>
    </row>
    <row r="350" customFormat="false" ht="15" hidden="false" customHeight="false" outlineLevel="0" collapsed="false">
      <c r="A350" s="6" t="s">
        <v>453</v>
      </c>
      <c r="B350" s="6" t="s">
        <v>454</v>
      </c>
      <c r="C350" s="9" t="n">
        <f aca="false">SUM(G350:AS350)</f>
        <v>216.393</v>
      </c>
      <c r="G350" s="8" t="n">
        <f aca="false">(VST_Assets!$R$12*VST_Assets!$D$12*1000*G$4*G336+VST_Assets!$O$12*(1+VST_Assets!$Q$12)^(G$3-2026)*(G338+G339))/1000000*(1+VST_OMAdj)</f>
        <v>216.393</v>
      </c>
      <c r="H350" s="8" t="n">
        <f aca="false">(VST_Assets!$R$12*VST_Assets!$D$12*1000*H$4*H336+VST_Assets!$O$12*(1+VST_Assets!$Q$12)^(H$3-2026)*(H338+H339))/1000000*(1+VST_OMAdj)</f>
        <v>0</v>
      </c>
      <c r="I350" s="8" t="n">
        <f aca="false">(VST_Assets!$R$12*VST_Assets!$D$12*1000*I$4*I336+VST_Assets!$O$12*(1+VST_Assets!$Q$12)^(I$3-2026)*(I338+I339))/1000000*(1+VST_OMAdj)</f>
        <v>0</v>
      </c>
      <c r="J350" s="8" t="n">
        <f aca="false">(VST_Assets!$R$12*VST_Assets!$D$12*1000*J$4*J336+VST_Assets!$O$12*(1+VST_Assets!$Q$12)^(J$3-2026)*(J338+J339))/1000000*(1+VST_OMAdj)</f>
        <v>0</v>
      </c>
      <c r="K350" s="8" t="n">
        <f aca="false">(VST_Assets!$R$12*VST_Assets!$D$12*1000*K$4*K336+VST_Assets!$O$12*(1+VST_Assets!$Q$12)^(K$3-2026)*(K338+K339))/1000000*(1+VST_OMAdj)</f>
        <v>0</v>
      </c>
      <c r="L350" s="8" t="n">
        <f aca="false">(VST_Assets!$R$12*VST_Assets!$D$12*1000*L$4*L336+VST_Assets!$O$12*(1+VST_Assets!$Q$12)^(L$3-2026)*(L338+L339))/1000000*(1+VST_OMAdj)</f>
        <v>0</v>
      </c>
      <c r="M350" s="8" t="n">
        <f aca="false">(VST_Assets!$R$12*VST_Assets!$D$12*1000*M$4*M336+VST_Assets!$O$12*(1+VST_Assets!$Q$12)^(M$3-2026)*(M338+M339))/1000000*(1+VST_OMAdj)</f>
        <v>0</v>
      </c>
      <c r="N350" s="8" t="n">
        <f aca="false">(VST_Assets!$R$12*VST_Assets!$D$12*1000*N$4*N336+VST_Assets!$O$12*(1+VST_Assets!$Q$12)^(N$3-2026)*(N338+N339))/1000000*(1+VST_OMAdj)</f>
        <v>0</v>
      </c>
      <c r="O350" s="8" t="n">
        <f aca="false">(VST_Assets!$R$12*VST_Assets!$D$12*1000*O$4*O336+VST_Assets!$O$12*(1+VST_Assets!$Q$12)^(O$3-2026)*(O338+O339))/1000000*(1+VST_OMAdj)</f>
        <v>0</v>
      </c>
      <c r="P350" s="8" t="n">
        <f aca="false">(VST_Assets!$R$12*VST_Assets!$D$12*1000*P$4*P336+VST_Assets!$O$12*(1+VST_Assets!$Q$12)^(P$3-2026)*(P338+P339))/1000000*(1+VST_OMAdj)</f>
        <v>0</v>
      </c>
      <c r="Q350" s="8" t="n">
        <f aca="false">(VST_Assets!$R$12*VST_Assets!$D$12*1000*Q$4*Q336+VST_Assets!$O$12*(1+VST_Assets!$Q$12)^(Q$3-2026)*(Q338+Q339))/1000000*(1+VST_OMAdj)</f>
        <v>0</v>
      </c>
      <c r="R350" s="8" t="n">
        <f aca="false">(VST_Assets!$R$12*VST_Assets!$D$12*1000*R$4*R336+VST_Assets!$O$12*(1+VST_Assets!$Q$12)^(R$3-2026)*(R338+R339))/1000000*(1+VST_OMAdj)</f>
        <v>0</v>
      </c>
      <c r="S350" s="8" t="n">
        <f aca="false">(VST_Assets!$R$12*VST_Assets!$D$12*1000*S$4*S336+VST_Assets!$O$12*(1+VST_Assets!$Q$12)^(S$3-2026)*(S338+S339))/1000000*(1+VST_OMAdj)</f>
        <v>0</v>
      </c>
      <c r="T350" s="8" t="n">
        <f aca="false">(VST_Assets!$R$12*VST_Assets!$D$12*1000*T$4*T336+VST_Assets!$O$12*(1+VST_Assets!$Q$12)^(T$3-2026)*(T338+T339))/1000000*(1+VST_OMAdj)</f>
        <v>0</v>
      </c>
      <c r="U350" s="8" t="n">
        <f aca="false">(VST_Assets!$R$12*VST_Assets!$D$12*1000*U$4*U336+VST_Assets!$O$12*(1+VST_Assets!$Q$12)^(U$3-2026)*(U338+U339))/1000000*(1+VST_OMAdj)</f>
        <v>0</v>
      </c>
      <c r="V350" s="8" t="n">
        <f aca="false">(VST_Assets!$R$12*VST_Assets!$D$12*1000*V$4*V336+VST_Assets!$O$12*(1+VST_Assets!$Q$12)^(V$3-2026)*(V338+V339))/1000000*(1+VST_OMAdj)</f>
        <v>0</v>
      </c>
      <c r="W350" s="8" t="n">
        <f aca="false">(VST_Assets!$R$12*VST_Assets!$D$12*1000*W$4*W336+VST_Assets!$O$12*(1+VST_Assets!$Q$12)^(W$3-2026)*(W338+W339))/1000000*(1+VST_OMAdj)</f>
        <v>0</v>
      </c>
      <c r="X350" s="8" t="n">
        <f aca="false">(VST_Assets!$R$12*VST_Assets!$D$12*1000*X$4*X336+VST_Assets!$O$12*(1+VST_Assets!$Q$12)^(X$3-2026)*(X338+X339))/1000000*(1+VST_OMAdj)</f>
        <v>0</v>
      </c>
      <c r="Y350" s="8" t="n">
        <f aca="false">(VST_Assets!$R$12*VST_Assets!$D$12*1000*Y$4*Y336+VST_Assets!$O$12*(1+VST_Assets!$Q$12)^(Y$3-2026)*(Y338+Y339))/1000000*(1+VST_OMAdj)</f>
        <v>0</v>
      </c>
      <c r="Z350" s="8" t="n">
        <f aca="false">(VST_Assets!$R$12*VST_Assets!$D$12*1000*Z$4*Z336+VST_Assets!$O$12*(1+VST_Assets!$Q$12)^(Z$3-2026)*(Z338+Z339))/1000000*(1+VST_OMAdj)</f>
        <v>0</v>
      </c>
      <c r="AA350" s="8" t="n">
        <f aca="false">(VST_Assets!$R$12*VST_Assets!$D$12*1000*AA$4*AA336+VST_Assets!$O$12*(1+VST_Assets!$Q$12)^(AA$3-2026)*(AA338+AA339))/1000000*(1+VST_OMAdj)</f>
        <v>0</v>
      </c>
      <c r="AB350" s="8" t="n">
        <f aca="false">(VST_Assets!$R$12*VST_Assets!$D$12*1000*AB$4*AB336+VST_Assets!$O$12*(1+VST_Assets!$Q$12)^(AB$3-2026)*(AB338+AB339))/1000000*(1+VST_OMAdj)</f>
        <v>0</v>
      </c>
      <c r="AC350" s="8" t="n">
        <f aca="false">(VST_Assets!$R$12*VST_Assets!$D$12*1000*AC$4*AC336+VST_Assets!$O$12*(1+VST_Assets!$Q$12)^(AC$3-2026)*(AC338+AC339))/1000000*(1+VST_OMAdj)</f>
        <v>0</v>
      </c>
      <c r="AD350" s="8" t="n">
        <f aca="false">(VST_Assets!$R$12*VST_Assets!$D$12*1000*AD$4*AD336+VST_Assets!$O$12*(1+VST_Assets!$Q$12)^(AD$3-2026)*(AD338+AD339))/1000000*(1+VST_OMAdj)</f>
        <v>0</v>
      </c>
      <c r="AE350" s="8" t="n">
        <f aca="false">(VST_Assets!$R$12*VST_Assets!$D$12*1000*AE$4*AE336+VST_Assets!$O$12*(1+VST_Assets!$Q$12)^(AE$3-2026)*(AE338+AE339))/1000000*(1+VST_OMAdj)</f>
        <v>0</v>
      </c>
      <c r="AF350" s="8" t="n">
        <f aca="false">(VST_Assets!$R$12*VST_Assets!$D$12*1000*AF$4*AF336+VST_Assets!$O$12*(1+VST_Assets!$Q$12)^(AF$3-2026)*(AF338+AF339))/1000000*(1+VST_OMAdj)</f>
        <v>0</v>
      </c>
      <c r="AG350" s="8" t="n">
        <f aca="false">(VST_Assets!$R$12*VST_Assets!$D$12*1000*AG$4*AG336+VST_Assets!$O$12*(1+VST_Assets!$Q$12)^(AG$3-2026)*(AG338+AG339))/1000000*(1+VST_OMAdj)</f>
        <v>0</v>
      </c>
      <c r="AH350" s="8" t="n">
        <f aca="false">(VST_Assets!$R$12*VST_Assets!$D$12*1000*AH$4*AH336+VST_Assets!$O$12*(1+VST_Assets!$Q$12)^(AH$3-2026)*(AH338+AH339))/1000000*(1+VST_OMAdj)</f>
        <v>0</v>
      </c>
      <c r="AI350" s="8" t="n">
        <f aca="false">(VST_Assets!$R$12*VST_Assets!$D$12*1000*AI$4*AI336+VST_Assets!$O$12*(1+VST_Assets!$Q$12)^(AI$3-2026)*(AI338+AI339))/1000000*(1+VST_OMAdj)</f>
        <v>0</v>
      </c>
      <c r="AJ350" s="8" t="n">
        <f aca="false">(VST_Assets!$R$12*VST_Assets!$D$12*1000*AJ$4*AJ336+VST_Assets!$O$12*(1+VST_Assets!$Q$12)^(AJ$3-2026)*(AJ338+AJ339))/1000000*(1+VST_OMAdj)</f>
        <v>0</v>
      </c>
      <c r="AK350" s="8" t="n">
        <f aca="false">(VST_Assets!$R$12*VST_Assets!$D$12*1000*AK$4*AK336+VST_Assets!$O$12*(1+VST_Assets!$Q$12)^(AK$3-2026)*(AK338+AK339))/1000000*(1+VST_OMAdj)</f>
        <v>0</v>
      </c>
      <c r="AL350" s="8" t="n">
        <f aca="false">(VST_Assets!$R$12*VST_Assets!$D$12*1000*AL$4*AL336+VST_Assets!$O$12*(1+VST_Assets!$Q$12)^(AL$3-2026)*(AL338+AL339))/1000000*(1+VST_OMAdj)</f>
        <v>0</v>
      </c>
      <c r="AM350" s="8" t="n">
        <f aca="false">(VST_Assets!$R$12*VST_Assets!$D$12*1000*AM$4*AM336+VST_Assets!$O$12*(1+VST_Assets!$Q$12)^(AM$3-2026)*(AM338+AM339))/1000000*(1+VST_OMAdj)</f>
        <v>0</v>
      </c>
      <c r="AN350" s="8" t="n">
        <f aca="false">(VST_Assets!$R$12*VST_Assets!$D$12*1000*AN$4*AN336+VST_Assets!$O$12*(1+VST_Assets!$Q$12)^(AN$3-2026)*(AN338+AN339))/1000000*(1+VST_OMAdj)</f>
        <v>0</v>
      </c>
      <c r="AO350" s="8" t="n">
        <f aca="false">(VST_Assets!$R$12*VST_Assets!$D$12*1000*AO$4*AO336+VST_Assets!$O$12*(1+VST_Assets!$Q$12)^(AO$3-2026)*(AO338+AO339))/1000000*(1+VST_OMAdj)</f>
        <v>0</v>
      </c>
      <c r="AP350" s="8" t="n">
        <f aca="false">(VST_Assets!$R$12*VST_Assets!$D$12*1000*AP$4*AP336+VST_Assets!$O$12*(1+VST_Assets!$Q$12)^(AP$3-2026)*(AP338+AP339))/1000000*(1+VST_OMAdj)</f>
        <v>0</v>
      </c>
      <c r="AQ350" s="8" t="n">
        <f aca="false">(VST_Assets!$R$12*VST_Assets!$D$12*1000*AQ$4*AQ336+VST_Assets!$O$12*(1+VST_Assets!$Q$12)^(AQ$3-2026)*(AQ338+AQ339))/1000000*(1+VST_OMAdj)</f>
        <v>0</v>
      </c>
      <c r="AR350" s="8" t="n">
        <f aca="false">(VST_Assets!$R$12*VST_Assets!$D$12*1000*AR$4*AR336+VST_Assets!$O$12*(1+VST_Assets!$Q$12)^(AR$3-2026)*(AR338+AR339))/1000000*(1+VST_OMAdj)</f>
        <v>0</v>
      </c>
      <c r="AS350" s="8" t="n">
        <f aca="false">(VST_Assets!$R$12*VST_Assets!$D$12*1000*AS$4*AS336+VST_Assets!$O$12*(1+VST_Assets!$Q$12)^(AS$3-2026)*(AS338+AS339))/1000000*(1+VST_OMAdj)</f>
        <v>0</v>
      </c>
    </row>
    <row r="351" customFormat="false" ht="15" hidden="false" customHeight="false" outlineLevel="0" collapsed="false">
      <c r="A351" s="6" t="s">
        <v>455</v>
      </c>
      <c r="B351" s="6" t="s">
        <v>456</v>
      </c>
      <c r="C351" s="9" t="n">
        <f aca="false">SUM(G351:AS351)</f>
        <v>1036.032000415</v>
      </c>
      <c r="G351" s="8" t="n">
        <f aca="false">G349-G350</f>
        <v>1036.032000415</v>
      </c>
      <c r="H351" s="8" t="n">
        <f aca="false">H349-H350</f>
        <v>0</v>
      </c>
      <c r="I351" s="8" t="n">
        <f aca="false">I349-I350</f>
        <v>0</v>
      </c>
      <c r="J351" s="8" t="n">
        <f aca="false">J349-J350</f>
        <v>0</v>
      </c>
      <c r="K351" s="8" t="n">
        <f aca="false">K349-K350</f>
        <v>0</v>
      </c>
      <c r="L351" s="8" t="n">
        <f aca="false">L349-L350</f>
        <v>0</v>
      </c>
      <c r="M351" s="8" t="n">
        <f aca="false">M349-M350</f>
        <v>0</v>
      </c>
      <c r="N351" s="8" t="n">
        <f aca="false">N349-N350</f>
        <v>0</v>
      </c>
      <c r="O351" s="8" t="n">
        <f aca="false">O349-O350</f>
        <v>0</v>
      </c>
      <c r="P351" s="8" t="n">
        <f aca="false">P349-P350</f>
        <v>0</v>
      </c>
      <c r="Q351" s="8" t="n">
        <f aca="false">Q349-Q350</f>
        <v>0</v>
      </c>
      <c r="R351" s="8" t="n">
        <f aca="false">R349-R350</f>
        <v>0</v>
      </c>
      <c r="S351" s="8" t="n">
        <f aca="false">S349-S350</f>
        <v>0</v>
      </c>
      <c r="T351" s="8" t="n">
        <f aca="false">T349-T350</f>
        <v>0</v>
      </c>
      <c r="U351" s="8" t="n">
        <f aca="false">U349-U350</f>
        <v>0</v>
      </c>
      <c r="V351" s="8" t="n">
        <f aca="false">V349-V350</f>
        <v>0</v>
      </c>
      <c r="W351" s="8" t="n">
        <f aca="false">W349-W350</f>
        <v>0</v>
      </c>
      <c r="X351" s="8" t="n">
        <f aca="false">X349-X350</f>
        <v>0</v>
      </c>
      <c r="Y351" s="8" t="n">
        <f aca="false">Y349-Y350</f>
        <v>0</v>
      </c>
      <c r="Z351" s="8" t="n">
        <f aca="false">Z349-Z350</f>
        <v>0</v>
      </c>
      <c r="AA351" s="8" t="n">
        <f aca="false">AA349-AA350</f>
        <v>0</v>
      </c>
      <c r="AB351" s="8" t="n">
        <f aca="false">AB349-AB350</f>
        <v>0</v>
      </c>
      <c r="AC351" s="8" t="n">
        <f aca="false">AC349-AC350</f>
        <v>0</v>
      </c>
      <c r="AD351" s="8" t="n">
        <f aca="false">AD349-AD350</f>
        <v>0</v>
      </c>
      <c r="AE351" s="8" t="n">
        <f aca="false">AE349-AE350</f>
        <v>0</v>
      </c>
      <c r="AF351" s="8" t="n">
        <f aca="false">AF349-AF350</f>
        <v>0</v>
      </c>
      <c r="AG351" s="8" t="n">
        <f aca="false">AG349-AG350</f>
        <v>0</v>
      </c>
      <c r="AH351" s="8" t="n">
        <f aca="false">AH349-AH350</f>
        <v>0</v>
      </c>
      <c r="AI351" s="8" t="n">
        <f aca="false">AI349-AI350</f>
        <v>0</v>
      </c>
      <c r="AJ351" s="8" t="n">
        <f aca="false">AJ349-AJ350</f>
        <v>0</v>
      </c>
      <c r="AK351" s="8" t="n">
        <f aca="false">AK349-AK350</f>
        <v>0</v>
      </c>
      <c r="AL351" s="8" t="n">
        <f aca="false">AL349-AL350</f>
        <v>0</v>
      </c>
      <c r="AM351" s="8" t="n">
        <f aca="false">AM349-AM350</f>
        <v>0</v>
      </c>
      <c r="AN351" s="8" t="n">
        <f aca="false">AN349-AN350</f>
        <v>0</v>
      </c>
      <c r="AO351" s="8" t="n">
        <f aca="false">AO349-AO350</f>
        <v>0</v>
      </c>
      <c r="AP351" s="8" t="n">
        <f aca="false">AP349-AP350</f>
        <v>0</v>
      </c>
      <c r="AQ351" s="8" t="n">
        <f aca="false">AQ349-AQ350</f>
        <v>0</v>
      </c>
      <c r="AR351" s="8" t="n">
        <f aca="false">AR349-AR350</f>
        <v>0</v>
      </c>
      <c r="AS351" s="8" t="n">
        <f aca="false">AS349-AS350</f>
        <v>0</v>
      </c>
    </row>
    <row r="352" customFormat="false" ht="15" hidden="false" customHeight="false" outlineLevel="0" collapsed="false">
      <c r="A352" s="6" t="s">
        <v>457</v>
      </c>
      <c r="B352" s="6" t="s">
        <v>458</v>
      </c>
      <c r="C352" s="9" t="n">
        <f aca="false">SUM(G352:AS352)</f>
        <v>64.9179</v>
      </c>
      <c r="G352" s="8" t="n">
        <f aca="false">((VST_Assets!$S$12*VST_Assets!$D$12*1000*G$4*G336+VST_Assets!$P$12*(1+VST_Assets!$Q$12)^(G$3-2026)*(G338+G339))/1000000+IF(G$3=VST_Assets!$AH$12,VST_Assets!$AG$12,0))*(1+VST_CapexAdj)</f>
        <v>64.9179</v>
      </c>
      <c r="H352" s="8" t="n">
        <f aca="false">((VST_Assets!$S$12*VST_Assets!$D$12*1000*H$4*H336+VST_Assets!$P$12*(1+VST_Assets!$Q$12)^(H$3-2026)*(H338+H339))/1000000+IF(H$3=VST_Assets!$AH$12,VST_Assets!$AG$12,0))*(1+VST_CapexAdj)</f>
        <v>0</v>
      </c>
      <c r="I352" s="8" t="n">
        <f aca="false">((VST_Assets!$S$12*VST_Assets!$D$12*1000*I$4*I336+VST_Assets!$P$12*(1+VST_Assets!$Q$12)^(I$3-2026)*(I338+I339))/1000000+IF(I$3=VST_Assets!$AH$12,VST_Assets!$AG$12,0))*(1+VST_CapexAdj)</f>
        <v>0</v>
      </c>
      <c r="J352" s="8" t="n">
        <f aca="false">((VST_Assets!$S$12*VST_Assets!$D$12*1000*J$4*J336+VST_Assets!$P$12*(1+VST_Assets!$Q$12)^(J$3-2026)*(J338+J339))/1000000+IF(J$3=VST_Assets!$AH$12,VST_Assets!$AG$12,0))*(1+VST_CapexAdj)</f>
        <v>0</v>
      </c>
      <c r="K352" s="8" t="n">
        <f aca="false">((VST_Assets!$S$12*VST_Assets!$D$12*1000*K$4*K336+VST_Assets!$P$12*(1+VST_Assets!$Q$12)^(K$3-2026)*(K338+K339))/1000000+IF(K$3=VST_Assets!$AH$12,VST_Assets!$AG$12,0))*(1+VST_CapexAdj)</f>
        <v>0</v>
      </c>
      <c r="L352" s="8" t="n">
        <f aca="false">((VST_Assets!$S$12*VST_Assets!$D$12*1000*L$4*L336+VST_Assets!$P$12*(1+VST_Assets!$Q$12)^(L$3-2026)*(L338+L339))/1000000+IF(L$3=VST_Assets!$AH$12,VST_Assets!$AG$12,0))*(1+VST_CapexAdj)</f>
        <v>0</v>
      </c>
      <c r="M352" s="8" t="n">
        <f aca="false">((VST_Assets!$S$12*VST_Assets!$D$12*1000*M$4*M336+VST_Assets!$P$12*(1+VST_Assets!$Q$12)^(M$3-2026)*(M338+M339))/1000000+IF(M$3=VST_Assets!$AH$12,VST_Assets!$AG$12,0))*(1+VST_CapexAdj)</f>
        <v>0</v>
      </c>
      <c r="N352" s="8" t="n">
        <f aca="false">((VST_Assets!$S$12*VST_Assets!$D$12*1000*N$4*N336+VST_Assets!$P$12*(1+VST_Assets!$Q$12)^(N$3-2026)*(N338+N339))/1000000+IF(N$3=VST_Assets!$AH$12,VST_Assets!$AG$12,0))*(1+VST_CapexAdj)</f>
        <v>0</v>
      </c>
      <c r="O352" s="8" t="n">
        <f aca="false">((VST_Assets!$S$12*VST_Assets!$D$12*1000*O$4*O336+VST_Assets!$P$12*(1+VST_Assets!$Q$12)^(O$3-2026)*(O338+O339))/1000000+IF(O$3=VST_Assets!$AH$12,VST_Assets!$AG$12,0))*(1+VST_CapexAdj)</f>
        <v>0</v>
      </c>
      <c r="P352" s="8" t="n">
        <f aca="false">((VST_Assets!$S$12*VST_Assets!$D$12*1000*P$4*P336+VST_Assets!$P$12*(1+VST_Assets!$Q$12)^(P$3-2026)*(P338+P339))/1000000+IF(P$3=VST_Assets!$AH$12,VST_Assets!$AG$12,0))*(1+VST_CapexAdj)</f>
        <v>0</v>
      </c>
      <c r="Q352" s="8" t="n">
        <f aca="false">((VST_Assets!$S$12*VST_Assets!$D$12*1000*Q$4*Q336+VST_Assets!$P$12*(1+VST_Assets!$Q$12)^(Q$3-2026)*(Q338+Q339))/1000000+IF(Q$3=VST_Assets!$AH$12,VST_Assets!$AG$12,0))*(1+VST_CapexAdj)</f>
        <v>0</v>
      </c>
      <c r="R352" s="8" t="n">
        <f aca="false">((VST_Assets!$S$12*VST_Assets!$D$12*1000*R$4*R336+VST_Assets!$P$12*(1+VST_Assets!$Q$12)^(R$3-2026)*(R338+R339))/1000000+IF(R$3=VST_Assets!$AH$12,VST_Assets!$AG$12,0))*(1+VST_CapexAdj)</f>
        <v>0</v>
      </c>
      <c r="S352" s="8" t="n">
        <f aca="false">((VST_Assets!$S$12*VST_Assets!$D$12*1000*S$4*S336+VST_Assets!$P$12*(1+VST_Assets!$Q$12)^(S$3-2026)*(S338+S339))/1000000+IF(S$3=VST_Assets!$AH$12,VST_Assets!$AG$12,0))*(1+VST_CapexAdj)</f>
        <v>0</v>
      </c>
      <c r="T352" s="8" t="n">
        <f aca="false">((VST_Assets!$S$12*VST_Assets!$D$12*1000*T$4*T336+VST_Assets!$P$12*(1+VST_Assets!$Q$12)^(T$3-2026)*(T338+T339))/1000000+IF(T$3=VST_Assets!$AH$12,VST_Assets!$AG$12,0))*(1+VST_CapexAdj)</f>
        <v>0</v>
      </c>
      <c r="U352" s="8" t="n">
        <f aca="false">((VST_Assets!$S$12*VST_Assets!$D$12*1000*U$4*U336+VST_Assets!$P$12*(1+VST_Assets!$Q$12)^(U$3-2026)*(U338+U339))/1000000+IF(U$3=VST_Assets!$AH$12,VST_Assets!$AG$12,0))*(1+VST_CapexAdj)</f>
        <v>0</v>
      </c>
      <c r="V352" s="8" t="n">
        <f aca="false">((VST_Assets!$S$12*VST_Assets!$D$12*1000*V$4*V336+VST_Assets!$P$12*(1+VST_Assets!$Q$12)^(V$3-2026)*(V338+V339))/1000000+IF(V$3=VST_Assets!$AH$12,VST_Assets!$AG$12,0))*(1+VST_CapexAdj)</f>
        <v>0</v>
      </c>
      <c r="W352" s="8" t="n">
        <f aca="false">((VST_Assets!$S$12*VST_Assets!$D$12*1000*W$4*W336+VST_Assets!$P$12*(1+VST_Assets!$Q$12)^(W$3-2026)*(W338+W339))/1000000+IF(W$3=VST_Assets!$AH$12,VST_Assets!$AG$12,0))*(1+VST_CapexAdj)</f>
        <v>0</v>
      </c>
      <c r="X352" s="8" t="n">
        <f aca="false">((VST_Assets!$S$12*VST_Assets!$D$12*1000*X$4*X336+VST_Assets!$P$12*(1+VST_Assets!$Q$12)^(X$3-2026)*(X338+X339))/1000000+IF(X$3=VST_Assets!$AH$12,VST_Assets!$AG$12,0))*(1+VST_CapexAdj)</f>
        <v>0</v>
      </c>
      <c r="Y352" s="8" t="n">
        <f aca="false">((VST_Assets!$S$12*VST_Assets!$D$12*1000*Y$4*Y336+VST_Assets!$P$12*(1+VST_Assets!$Q$12)^(Y$3-2026)*(Y338+Y339))/1000000+IF(Y$3=VST_Assets!$AH$12,VST_Assets!$AG$12,0))*(1+VST_CapexAdj)</f>
        <v>0</v>
      </c>
      <c r="Z352" s="8" t="n">
        <f aca="false">((VST_Assets!$S$12*VST_Assets!$D$12*1000*Z$4*Z336+VST_Assets!$P$12*(1+VST_Assets!$Q$12)^(Z$3-2026)*(Z338+Z339))/1000000+IF(Z$3=VST_Assets!$AH$12,VST_Assets!$AG$12,0))*(1+VST_CapexAdj)</f>
        <v>0</v>
      </c>
      <c r="AA352" s="8" t="n">
        <f aca="false">((VST_Assets!$S$12*VST_Assets!$D$12*1000*AA$4*AA336+VST_Assets!$P$12*(1+VST_Assets!$Q$12)^(AA$3-2026)*(AA338+AA339))/1000000+IF(AA$3=VST_Assets!$AH$12,VST_Assets!$AG$12,0))*(1+VST_CapexAdj)</f>
        <v>0</v>
      </c>
      <c r="AB352" s="8" t="n">
        <f aca="false">((VST_Assets!$S$12*VST_Assets!$D$12*1000*AB$4*AB336+VST_Assets!$P$12*(1+VST_Assets!$Q$12)^(AB$3-2026)*(AB338+AB339))/1000000+IF(AB$3=VST_Assets!$AH$12,VST_Assets!$AG$12,0))*(1+VST_CapexAdj)</f>
        <v>0</v>
      </c>
      <c r="AC352" s="8" t="n">
        <f aca="false">((VST_Assets!$S$12*VST_Assets!$D$12*1000*AC$4*AC336+VST_Assets!$P$12*(1+VST_Assets!$Q$12)^(AC$3-2026)*(AC338+AC339))/1000000+IF(AC$3=VST_Assets!$AH$12,VST_Assets!$AG$12,0))*(1+VST_CapexAdj)</f>
        <v>0</v>
      </c>
      <c r="AD352" s="8" t="n">
        <f aca="false">((VST_Assets!$S$12*VST_Assets!$D$12*1000*AD$4*AD336+VST_Assets!$P$12*(1+VST_Assets!$Q$12)^(AD$3-2026)*(AD338+AD339))/1000000+IF(AD$3=VST_Assets!$AH$12,VST_Assets!$AG$12,0))*(1+VST_CapexAdj)</f>
        <v>0</v>
      </c>
      <c r="AE352" s="8" t="n">
        <f aca="false">((VST_Assets!$S$12*VST_Assets!$D$12*1000*AE$4*AE336+VST_Assets!$P$12*(1+VST_Assets!$Q$12)^(AE$3-2026)*(AE338+AE339))/1000000+IF(AE$3=VST_Assets!$AH$12,VST_Assets!$AG$12,0))*(1+VST_CapexAdj)</f>
        <v>0</v>
      </c>
      <c r="AF352" s="8" t="n">
        <f aca="false">((VST_Assets!$S$12*VST_Assets!$D$12*1000*AF$4*AF336+VST_Assets!$P$12*(1+VST_Assets!$Q$12)^(AF$3-2026)*(AF338+AF339))/1000000+IF(AF$3=VST_Assets!$AH$12,VST_Assets!$AG$12,0))*(1+VST_CapexAdj)</f>
        <v>0</v>
      </c>
      <c r="AG352" s="8" t="n">
        <f aca="false">((VST_Assets!$S$12*VST_Assets!$D$12*1000*AG$4*AG336+VST_Assets!$P$12*(1+VST_Assets!$Q$12)^(AG$3-2026)*(AG338+AG339))/1000000+IF(AG$3=VST_Assets!$AH$12,VST_Assets!$AG$12,0))*(1+VST_CapexAdj)</f>
        <v>0</v>
      </c>
      <c r="AH352" s="8" t="n">
        <f aca="false">((VST_Assets!$S$12*VST_Assets!$D$12*1000*AH$4*AH336+VST_Assets!$P$12*(1+VST_Assets!$Q$12)^(AH$3-2026)*(AH338+AH339))/1000000+IF(AH$3=VST_Assets!$AH$12,VST_Assets!$AG$12,0))*(1+VST_CapexAdj)</f>
        <v>0</v>
      </c>
      <c r="AI352" s="8" t="n">
        <f aca="false">((VST_Assets!$S$12*VST_Assets!$D$12*1000*AI$4*AI336+VST_Assets!$P$12*(1+VST_Assets!$Q$12)^(AI$3-2026)*(AI338+AI339))/1000000+IF(AI$3=VST_Assets!$AH$12,VST_Assets!$AG$12,0))*(1+VST_CapexAdj)</f>
        <v>0</v>
      </c>
      <c r="AJ352" s="8" t="n">
        <f aca="false">((VST_Assets!$S$12*VST_Assets!$D$12*1000*AJ$4*AJ336+VST_Assets!$P$12*(1+VST_Assets!$Q$12)^(AJ$3-2026)*(AJ338+AJ339))/1000000+IF(AJ$3=VST_Assets!$AH$12,VST_Assets!$AG$12,0))*(1+VST_CapexAdj)</f>
        <v>0</v>
      </c>
      <c r="AK352" s="8" t="n">
        <f aca="false">((VST_Assets!$S$12*VST_Assets!$D$12*1000*AK$4*AK336+VST_Assets!$P$12*(1+VST_Assets!$Q$12)^(AK$3-2026)*(AK338+AK339))/1000000+IF(AK$3=VST_Assets!$AH$12,VST_Assets!$AG$12,0))*(1+VST_CapexAdj)</f>
        <v>0</v>
      </c>
      <c r="AL352" s="8" t="n">
        <f aca="false">((VST_Assets!$S$12*VST_Assets!$D$12*1000*AL$4*AL336+VST_Assets!$P$12*(1+VST_Assets!$Q$12)^(AL$3-2026)*(AL338+AL339))/1000000+IF(AL$3=VST_Assets!$AH$12,VST_Assets!$AG$12,0))*(1+VST_CapexAdj)</f>
        <v>0</v>
      </c>
      <c r="AM352" s="8" t="n">
        <f aca="false">((VST_Assets!$S$12*VST_Assets!$D$12*1000*AM$4*AM336+VST_Assets!$P$12*(1+VST_Assets!$Q$12)^(AM$3-2026)*(AM338+AM339))/1000000+IF(AM$3=VST_Assets!$AH$12,VST_Assets!$AG$12,0))*(1+VST_CapexAdj)</f>
        <v>0</v>
      </c>
      <c r="AN352" s="8" t="n">
        <f aca="false">((VST_Assets!$S$12*VST_Assets!$D$12*1000*AN$4*AN336+VST_Assets!$P$12*(1+VST_Assets!$Q$12)^(AN$3-2026)*(AN338+AN339))/1000000+IF(AN$3=VST_Assets!$AH$12,VST_Assets!$AG$12,0))*(1+VST_CapexAdj)</f>
        <v>0</v>
      </c>
      <c r="AO352" s="8" t="n">
        <f aca="false">((VST_Assets!$S$12*VST_Assets!$D$12*1000*AO$4*AO336+VST_Assets!$P$12*(1+VST_Assets!$Q$12)^(AO$3-2026)*(AO338+AO339))/1000000+IF(AO$3=VST_Assets!$AH$12,VST_Assets!$AG$12,0))*(1+VST_CapexAdj)</f>
        <v>0</v>
      </c>
      <c r="AP352" s="8" t="n">
        <f aca="false">((VST_Assets!$S$12*VST_Assets!$D$12*1000*AP$4*AP336+VST_Assets!$P$12*(1+VST_Assets!$Q$12)^(AP$3-2026)*(AP338+AP339))/1000000+IF(AP$3=VST_Assets!$AH$12,VST_Assets!$AG$12,0))*(1+VST_CapexAdj)</f>
        <v>0</v>
      </c>
      <c r="AQ352" s="8" t="n">
        <f aca="false">((VST_Assets!$S$12*VST_Assets!$D$12*1000*AQ$4*AQ336+VST_Assets!$P$12*(1+VST_Assets!$Q$12)^(AQ$3-2026)*(AQ338+AQ339))/1000000+IF(AQ$3=VST_Assets!$AH$12,VST_Assets!$AG$12,0))*(1+VST_CapexAdj)</f>
        <v>0</v>
      </c>
      <c r="AR352" s="8" t="n">
        <f aca="false">((VST_Assets!$S$12*VST_Assets!$D$12*1000*AR$4*AR336+VST_Assets!$P$12*(1+VST_Assets!$Q$12)^(AR$3-2026)*(AR338+AR339))/1000000+IF(AR$3=VST_Assets!$AH$12,VST_Assets!$AG$12,0))*(1+VST_CapexAdj)</f>
        <v>0</v>
      </c>
      <c r="AS352" s="8" t="n">
        <f aca="false">((VST_Assets!$S$12*VST_Assets!$D$12*1000*AS$4*AS336+VST_Assets!$P$12*(1+VST_Assets!$Q$12)^(AS$3-2026)*(AS338+AS339))/1000000+IF(AS$3=VST_Assets!$AH$12,VST_Assets!$AG$12,0))*(1+VST_CapexAdj)</f>
        <v>0</v>
      </c>
    </row>
    <row r="353" customFormat="false" ht="15" hidden="false" customHeight="false" outlineLevel="0" collapsed="false">
      <c r="A353" s="6" t="s">
        <v>459</v>
      </c>
      <c r="B353" s="6" t="s">
        <v>460</v>
      </c>
      <c r="C353" s="9" t="n">
        <f aca="false">SUM(G353:AS353)</f>
        <v>971.114100415</v>
      </c>
      <c r="G353" s="8" t="n">
        <f aca="false">IF(VST_Assets!$Y$12=1,MAX(0,G351-G352),G351-G352)</f>
        <v>971.114100415</v>
      </c>
      <c r="H353" s="8" t="n">
        <f aca="false">IF(VST_Assets!$Y$12=1,MAX(0,H351-H352),H351-H352)</f>
        <v>0</v>
      </c>
      <c r="I353" s="8" t="n">
        <f aca="false">IF(VST_Assets!$Y$12=1,MAX(0,I351-I352),I351-I352)</f>
        <v>0</v>
      </c>
      <c r="J353" s="8" t="n">
        <f aca="false">IF(VST_Assets!$Y$12=1,MAX(0,J351-J352),J351-J352)</f>
        <v>0</v>
      </c>
      <c r="K353" s="8" t="n">
        <f aca="false">IF(VST_Assets!$Y$12=1,MAX(0,K351-K352),K351-K352)</f>
        <v>0</v>
      </c>
      <c r="L353" s="8" t="n">
        <f aca="false">IF(VST_Assets!$Y$12=1,MAX(0,L351-L352),L351-L352)</f>
        <v>0</v>
      </c>
      <c r="M353" s="8" t="n">
        <f aca="false">IF(VST_Assets!$Y$12=1,MAX(0,M351-M352),M351-M352)</f>
        <v>0</v>
      </c>
      <c r="N353" s="8" t="n">
        <f aca="false">IF(VST_Assets!$Y$12=1,MAX(0,N351-N352),N351-N352)</f>
        <v>0</v>
      </c>
      <c r="O353" s="8" t="n">
        <f aca="false">IF(VST_Assets!$Y$12=1,MAX(0,O351-O352),O351-O352)</f>
        <v>0</v>
      </c>
      <c r="P353" s="8" t="n">
        <f aca="false">IF(VST_Assets!$Y$12=1,MAX(0,P351-P352),P351-P352)</f>
        <v>0</v>
      </c>
      <c r="Q353" s="8" t="n">
        <f aca="false">IF(VST_Assets!$Y$12=1,MAX(0,Q351-Q352),Q351-Q352)</f>
        <v>0</v>
      </c>
      <c r="R353" s="8" t="n">
        <f aca="false">IF(VST_Assets!$Y$12=1,MAX(0,R351-R352),R351-R352)</f>
        <v>0</v>
      </c>
      <c r="S353" s="8" t="n">
        <f aca="false">IF(VST_Assets!$Y$12=1,MAX(0,S351-S352),S351-S352)</f>
        <v>0</v>
      </c>
      <c r="T353" s="8" t="n">
        <f aca="false">IF(VST_Assets!$Y$12=1,MAX(0,T351-T352),T351-T352)</f>
        <v>0</v>
      </c>
      <c r="U353" s="8" t="n">
        <f aca="false">IF(VST_Assets!$Y$12=1,MAX(0,U351-U352),U351-U352)</f>
        <v>0</v>
      </c>
      <c r="V353" s="8" t="n">
        <f aca="false">IF(VST_Assets!$Y$12=1,MAX(0,V351-V352),V351-V352)</f>
        <v>0</v>
      </c>
      <c r="W353" s="8" t="n">
        <f aca="false">IF(VST_Assets!$Y$12=1,MAX(0,W351-W352),W351-W352)</f>
        <v>0</v>
      </c>
      <c r="X353" s="8" t="n">
        <f aca="false">IF(VST_Assets!$Y$12=1,MAX(0,X351-X352),X351-X352)</f>
        <v>0</v>
      </c>
      <c r="Y353" s="8" t="n">
        <f aca="false">IF(VST_Assets!$Y$12=1,MAX(0,Y351-Y352),Y351-Y352)</f>
        <v>0</v>
      </c>
      <c r="Z353" s="8" t="n">
        <f aca="false">IF(VST_Assets!$Y$12=1,MAX(0,Z351-Z352),Z351-Z352)</f>
        <v>0</v>
      </c>
      <c r="AA353" s="8" t="n">
        <f aca="false">IF(VST_Assets!$Y$12=1,MAX(0,AA351-AA352),AA351-AA352)</f>
        <v>0</v>
      </c>
      <c r="AB353" s="8" t="n">
        <f aca="false">IF(VST_Assets!$Y$12=1,MAX(0,AB351-AB352),AB351-AB352)</f>
        <v>0</v>
      </c>
      <c r="AC353" s="8" t="n">
        <f aca="false">IF(VST_Assets!$Y$12=1,MAX(0,AC351-AC352),AC351-AC352)</f>
        <v>0</v>
      </c>
      <c r="AD353" s="8" t="n">
        <f aca="false">IF(VST_Assets!$Y$12=1,MAX(0,AD351-AD352),AD351-AD352)</f>
        <v>0</v>
      </c>
      <c r="AE353" s="8" t="n">
        <f aca="false">IF(VST_Assets!$Y$12=1,MAX(0,AE351-AE352),AE351-AE352)</f>
        <v>0</v>
      </c>
      <c r="AF353" s="8" t="n">
        <f aca="false">IF(VST_Assets!$Y$12=1,MAX(0,AF351-AF352),AF351-AF352)</f>
        <v>0</v>
      </c>
      <c r="AG353" s="8" t="n">
        <f aca="false">IF(VST_Assets!$Y$12=1,MAX(0,AG351-AG352),AG351-AG352)</f>
        <v>0</v>
      </c>
      <c r="AH353" s="8" t="n">
        <f aca="false">IF(VST_Assets!$Y$12=1,MAX(0,AH351-AH352),AH351-AH352)</f>
        <v>0</v>
      </c>
      <c r="AI353" s="8" t="n">
        <f aca="false">IF(VST_Assets!$Y$12=1,MAX(0,AI351-AI352),AI351-AI352)</f>
        <v>0</v>
      </c>
      <c r="AJ353" s="8" t="n">
        <f aca="false">IF(VST_Assets!$Y$12=1,MAX(0,AJ351-AJ352),AJ351-AJ352)</f>
        <v>0</v>
      </c>
      <c r="AK353" s="8" t="n">
        <f aca="false">IF(VST_Assets!$Y$12=1,MAX(0,AK351-AK352),AK351-AK352)</f>
        <v>0</v>
      </c>
      <c r="AL353" s="8" t="n">
        <f aca="false">IF(VST_Assets!$Y$12=1,MAX(0,AL351-AL352),AL351-AL352)</f>
        <v>0</v>
      </c>
      <c r="AM353" s="8" t="n">
        <f aca="false">IF(VST_Assets!$Y$12=1,MAX(0,AM351-AM352),AM351-AM352)</f>
        <v>0</v>
      </c>
      <c r="AN353" s="8" t="n">
        <f aca="false">IF(VST_Assets!$Y$12=1,MAX(0,AN351-AN352),AN351-AN352)</f>
        <v>0</v>
      </c>
      <c r="AO353" s="8" t="n">
        <f aca="false">IF(VST_Assets!$Y$12=1,MAX(0,AO351-AO352),AO351-AO352)</f>
        <v>0</v>
      </c>
      <c r="AP353" s="8" t="n">
        <f aca="false">IF(VST_Assets!$Y$12=1,MAX(0,AP351-AP352),AP351-AP352)</f>
        <v>0</v>
      </c>
      <c r="AQ353" s="8" t="n">
        <f aca="false">IF(VST_Assets!$Y$12=1,MAX(0,AQ351-AQ352),AQ351-AQ352)</f>
        <v>0</v>
      </c>
      <c r="AR353" s="8" t="n">
        <f aca="false">IF(VST_Assets!$Y$12=1,MAX(0,AR351-AR352),AR351-AR352)</f>
        <v>0</v>
      </c>
      <c r="AS353" s="8" t="n">
        <f aca="false">IF(VST_Assets!$Y$12=1,MAX(0,AS351-AS352),AS351-AS352)</f>
        <v>0</v>
      </c>
    </row>
    <row r="354" customFormat="false" ht="15" hidden="false" customHeight="false" outlineLevel="0" collapsed="false">
      <c r="A354" s="6" t="s">
        <v>461</v>
      </c>
      <c r="B354" s="6" t="s">
        <v>462</v>
      </c>
      <c r="C354" s="9" t="n">
        <f aca="false">SUM(G354:AS354)</f>
        <v>0</v>
      </c>
      <c r="G354" s="8" t="n">
        <f aca="false">IF(AND(VST_Assets!$W$12=1,G$3&lt;=PTCLast,G338&gt;0),G338*MAX(0,PTCCredit*(1+Infl)^(G$3-PTCBase)-0.8*MAX(0,(G343+G344+G346)*1000000/MAX(1,G338)-PTCThresh*(1+Infl)^(G$3-PTCBase)))/1000000,0)</f>
        <v>0</v>
      </c>
      <c r="H354" s="8" t="n">
        <f aca="false">IF(AND(VST_Assets!$W$12=1,H$3&lt;=PTCLast,H338&gt;0),H338*MAX(0,PTCCredit*(1+Infl)^(H$3-PTCBase)-0.8*MAX(0,(H343+H344+H346)*1000000/MAX(1,H338)-PTCThresh*(1+Infl)^(H$3-PTCBase)))/1000000,0)</f>
        <v>0</v>
      </c>
      <c r="I354" s="8" t="n">
        <f aca="false">IF(AND(VST_Assets!$W$12=1,I$3&lt;=PTCLast,I338&gt;0),I338*MAX(0,PTCCredit*(1+Infl)^(I$3-PTCBase)-0.8*MAX(0,(I343+I344+I346)*1000000/MAX(1,I338)-PTCThresh*(1+Infl)^(I$3-PTCBase)))/1000000,0)</f>
        <v>0</v>
      </c>
      <c r="J354" s="8" t="n">
        <f aca="false">IF(AND(VST_Assets!$W$12=1,J$3&lt;=PTCLast,J338&gt;0),J338*MAX(0,PTCCredit*(1+Infl)^(J$3-PTCBase)-0.8*MAX(0,(J343+J344+J346)*1000000/MAX(1,J338)-PTCThresh*(1+Infl)^(J$3-PTCBase)))/1000000,0)</f>
        <v>0</v>
      </c>
      <c r="K354" s="8" t="n">
        <f aca="false">IF(AND(VST_Assets!$W$12=1,K$3&lt;=PTCLast,K338&gt;0),K338*MAX(0,PTCCredit*(1+Infl)^(K$3-PTCBase)-0.8*MAX(0,(K343+K344+K346)*1000000/MAX(1,K338)-PTCThresh*(1+Infl)^(K$3-PTCBase)))/1000000,0)</f>
        <v>0</v>
      </c>
      <c r="L354" s="8" t="n">
        <f aca="false">IF(AND(VST_Assets!$W$12=1,L$3&lt;=PTCLast,L338&gt;0),L338*MAX(0,PTCCredit*(1+Infl)^(L$3-PTCBase)-0.8*MAX(0,(L343+L344+L346)*1000000/MAX(1,L338)-PTCThresh*(1+Infl)^(L$3-PTCBase)))/1000000,0)</f>
        <v>0</v>
      </c>
      <c r="M354" s="8" t="n">
        <f aca="false">IF(AND(VST_Assets!$W$12=1,M$3&lt;=PTCLast,M338&gt;0),M338*MAX(0,PTCCredit*(1+Infl)^(M$3-PTCBase)-0.8*MAX(0,(M343+M344+M346)*1000000/MAX(1,M338)-PTCThresh*(1+Infl)^(M$3-PTCBase)))/1000000,0)</f>
        <v>0</v>
      </c>
      <c r="N354" s="8" t="n">
        <f aca="false">IF(AND(VST_Assets!$W$12=1,N$3&lt;=PTCLast,N338&gt;0),N338*MAX(0,PTCCredit*(1+Infl)^(N$3-PTCBase)-0.8*MAX(0,(N343+N344+N346)*1000000/MAX(1,N338)-PTCThresh*(1+Infl)^(N$3-PTCBase)))/1000000,0)</f>
        <v>0</v>
      </c>
      <c r="O354" s="8" t="n">
        <f aca="false">IF(AND(VST_Assets!$W$12=1,O$3&lt;=PTCLast,O338&gt;0),O338*MAX(0,PTCCredit*(1+Infl)^(O$3-PTCBase)-0.8*MAX(0,(O343+O344+O346)*1000000/MAX(1,O338)-PTCThresh*(1+Infl)^(O$3-PTCBase)))/1000000,0)</f>
        <v>0</v>
      </c>
      <c r="P354" s="8" t="n">
        <f aca="false">IF(AND(VST_Assets!$W$12=1,P$3&lt;=PTCLast,P338&gt;0),P338*MAX(0,PTCCredit*(1+Infl)^(P$3-PTCBase)-0.8*MAX(0,(P343+P344+P346)*1000000/MAX(1,P338)-PTCThresh*(1+Infl)^(P$3-PTCBase)))/1000000,0)</f>
        <v>0</v>
      </c>
      <c r="Q354" s="8" t="n">
        <f aca="false">IF(AND(VST_Assets!$W$12=1,Q$3&lt;=PTCLast,Q338&gt;0),Q338*MAX(0,PTCCredit*(1+Infl)^(Q$3-PTCBase)-0.8*MAX(0,(Q343+Q344+Q346)*1000000/MAX(1,Q338)-PTCThresh*(1+Infl)^(Q$3-PTCBase)))/1000000,0)</f>
        <v>0</v>
      </c>
      <c r="R354" s="8" t="n">
        <f aca="false">IF(AND(VST_Assets!$W$12=1,R$3&lt;=PTCLast,R338&gt;0),R338*MAX(0,PTCCredit*(1+Infl)^(R$3-PTCBase)-0.8*MAX(0,(R343+R344+R346)*1000000/MAX(1,R338)-PTCThresh*(1+Infl)^(R$3-PTCBase)))/1000000,0)</f>
        <v>0</v>
      </c>
      <c r="S354" s="8" t="n">
        <f aca="false">IF(AND(VST_Assets!$W$12=1,S$3&lt;=PTCLast,S338&gt;0),S338*MAX(0,PTCCredit*(1+Infl)^(S$3-PTCBase)-0.8*MAX(0,(S343+S344+S346)*1000000/MAX(1,S338)-PTCThresh*(1+Infl)^(S$3-PTCBase)))/1000000,0)</f>
        <v>0</v>
      </c>
      <c r="T354" s="8" t="n">
        <f aca="false">IF(AND(VST_Assets!$W$12=1,T$3&lt;=PTCLast,T338&gt;0),T338*MAX(0,PTCCredit*(1+Infl)^(T$3-PTCBase)-0.8*MAX(0,(T343+T344+T346)*1000000/MAX(1,T338)-PTCThresh*(1+Infl)^(T$3-PTCBase)))/1000000,0)</f>
        <v>0</v>
      </c>
      <c r="U354" s="8" t="n">
        <f aca="false">IF(AND(VST_Assets!$W$12=1,U$3&lt;=PTCLast,U338&gt;0),U338*MAX(0,PTCCredit*(1+Infl)^(U$3-PTCBase)-0.8*MAX(0,(U343+U344+U346)*1000000/MAX(1,U338)-PTCThresh*(1+Infl)^(U$3-PTCBase)))/1000000,0)</f>
        <v>0</v>
      </c>
      <c r="V354" s="8" t="n">
        <f aca="false">IF(AND(VST_Assets!$W$12=1,V$3&lt;=PTCLast,V338&gt;0),V338*MAX(0,PTCCredit*(1+Infl)^(V$3-PTCBase)-0.8*MAX(0,(V343+V344+V346)*1000000/MAX(1,V338)-PTCThresh*(1+Infl)^(V$3-PTCBase)))/1000000,0)</f>
        <v>0</v>
      </c>
      <c r="W354" s="8" t="n">
        <f aca="false">IF(AND(VST_Assets!$W$12=1,W$3&lt;=PTCLast,W338&gt;0),W338*MAX(0,PTCCredit*(1+Infl)^(W$3-PTCBase)-0.8*MAX(0,(W343+W344+W346)*1000000/MAX(1,W338)-PTCThresh*(1+Infl)^(W$3-PTCBase)))/1000000,0)</f>
        <v>0</v>
      </c>
      <c r="X354" s="8" t="n">
        <f aca="false">IF(AND(VST_Assets!$W$12=1,X$3&lt;=PTCLast,X338&gt;0),X338*MAX(0,PTCCredit*(1+Infl)^(X$3-PTCBase)-0.8*MAX(0,(X343+X344+X346)*1000000/MAX(1,X338)-PTCThresh*(1+Infl)^(X$3-PTCBase)))/1000000,0)</f>
        <v>0</v>
      </c>
      <c r="Y354" s="8" t="n">
        <f aca="false">IF(AND(VST_Assets!$W$12=1,Y$3&lt;=PTCLast,Y338&gt;0),Y338*MAX(0,PTCCredit*(1+Infl)^(Y$3-PTCBase)-0.8*MAX(0,(Y343+Y344+Y346)*1000000/MAX(1,Y338)-PTCThresh*(1+Infl)^(Y$3-PTCBase)))/1000000,0)</f>
        <v>0</v>
      </c>
      <c r="Z354" s="8" t="n">
        <f aca="false">IF(AND(VST_Assets!$W$12=1,Z$3&lt;=PTCLast,Z338&gt;0),Z338*MAX(0,PTCCredit*(1+Infl)^(Z$3-PTCBase)-0.8*MAX(0,(Z343+Z344+Z346)*1000000/MAX(1,Z338)-PTCThresh*(1+Infl)^(Z$3-PTCBase)))/1000000,0)</f>
        <v>0</v>
      </c>
      <c r="AA354" s="8" t="n">
        <f aca="false">IF(AND(VST_Assets!$W$12=1,AA$3&lt;=PTCLast,AA338&gt;0),AA338*MAX(0,PTCCredit*(1+Infl)^(AA$3-PTCBase)-0.8*MAX(0,(AA343+AA344+AA346)*1000000/MAX(1,AA338)-PTCThresh*(1+Infl)^(AA$3-PTCBase)))/1000000,0)</f>
        <v>0</v>
      </c>
      <c r="AB354" s="8" t="n">
        <f aca="false">IF(AND(VST_Assets!$W$12=1,AB$3&lt;=PTCLast,AB338&gt;0),AB338*MAX(0,PTCCredit*(1+Infl)^(AB$3-PTCBase)-0.8*MAX(0,(AB343+AB344+AB346)*1000000/MAX(1,AB338)-PTCThresh*(1+Infl)^(AB$3-PTCBase)))/1000000,0)</f>
        <v>0</v>
      </c>
      <c r="AC354" s="8" t="n">
        <f aca="false">IF(AND(VST_Assets!$W$12=1,AC$3&lt;=PTCLast,AC338&gt;0),AC338*MAX(0,PTCCredit*(1+Infl)^(AC$3-PTCBase)-0.8*MAX(0,(AC343+AC344+AC346)*1000000/MAX(1,AC338)-PTCThresh*(1+Infl)^(AC$3-PTCBase)))/1000000,0)</f>
        <v>0</v>
      </c>
      <c r="AD354" s="8" t="n">
        <f aca="false">IF(AND(VST_Assets!$W$12=1,AD$3&lt;=PTCLast,AD338&gt;0),AD338*MAX(0,PTCCredit*(1+Infl)^(AD$3-PTCBase)-0.8*MAX(0,(AD343+AD344+AD346)*1000000/MAX(1,AD338)-PTCThresh*(1+Infl)^(AD$3-PTCBase)))/1000000,0)</f>
        <v>0</v>
      </c>
      <c r="AE354" s="8" t="n">
        <f aca="false">IF(AND(VST_Assets!$W$12=1,AE$3&lt;=PTCLast,AE338&gt;0),AE338*MAX(0,PTCCredit*(1+Infl)^(AE$3-PTCBase)-0.8*MAX(0,(AE343+AE344+AE346)*1000000/MAX(1,AE338)-PTCThresh*(1+Infl)^(AE$3-PTCBase)))/1000000,0)</f>
        <v>0</v>
      </c>
      <c r="AF354" s="8" t="n">
        <f aca="false">IF(AND(VST_Assets!$W$12=1,AF$3&lt;=PTCLast,AF338&gt;0),AF338*MAX(0,PTCCredit*(1+Infl)^(AF$3-PTCBase)-0.8*MAX(0,(AF343+AF344+AF346)*1000000/MAX(1,AF338)-PTCThresh*(1+Infl)^(AF$3-PTCBase)))/1000000,0)</f>
        <v>0</v>
      </c>
      <c r="AG354" s="8" t="n">
        <f aca="false">IF(AND(VST_Assets!$W$12=1,AG$3&lt;=PTCLast,AG338&gt;0),AG338*MAX(0,PTCCredit*(1+Infl)^(AG$3-PTCBase)-0.8*MAX(0,(AG343+AG344+AG346)*1000000/MAX(1,AG338)-PTCThresh*(1+Infl)^(AG$3-PTCBase)))/1000000,0)</f>
        <v>0</v>
      </c>
      <c r="AH354" s="8" t="n">
        <f aca="false">IF(AND(VST_Assets!$W$12=1,AH$3&lt;=PTCLast,AH338&gt;0),AH338*MAX(0,PTCCredit*(1+Infl)^(AH$3-PTCBase)-0.8*MAX(0,(AH343+AH344+AH346)*1000000/MAX(1,AH338)-PTCThresh*(1+Infl)^(AH$3-PTCBase)))/1000000,0)</f>
        <v>0</v>
      </c>
      <c r="AI354" s="8" t="n">
        <f aca="false">IF(AND(VST_Assets!$W$12=1,AI$3&lt;=PTCLast,AI338&gt;0),AI338*MAX(0,PTCCredit*(1+Infl)^(AI$3-PTCBase)-0.8*MAX(0,(AI343+AI344+AI346)*1000000/MAX(1,AI338)-PTCThresh*(1+Infl)^(AI$3-PTCBase)))/1000000,0)</f>
        <v>0</v>
      </c>
      <c r="AJ354" s="8" t="n">
        <f aca="false">IF(AND(VST_Assets!$W$12=1,AJ$3&lt;=PTCLast,AJ338&gt;0),AJ338*MAX(0,PTCCredit*(1+Infl)^(AJ$3-PTCBase)-0.8*MAX(0,(AJ343+AJ344+AJ346)*1000000/MAX(1,AJ338)-PTCThresh*(1+Infl)^(AJ$3-PTCBase)))/1000000,0)</f>
        <v>0</v>
      </c>
      <c r="AK354" s="8" t="n">
        <f aca="false">IF(AND(VST_Assets!$W$12=1,AK$3&lt;=PTCLast,AK338&gt;0),AK338*MAX(0,PTCCredit*(1+Infl)^(AK$3-PTCBase)-0.8*MAX(0,(AK343+AK344+AK346)*1000000/MAX(1,AK338)-PTCThresh*(1+Infl)^(AK$3-PTCBase)))/1000000,0)</f>
        <v>0</v>
      </c>
      <c r="AL354" s="8" t="n">
        <f aca="false">IF(AND(VST_Assets!$W$12=1,AL$3&lt;=PTCLast,AL338&gt;0),AL338*MAX(0,PTCCredit*(1+Infl)^(AL$3-PTCBase)-0.8*MAX(0,(AL343+AL344+AL346)*1000000/MAX(1,AL338)-PTCThresh*(1+Infl)^(AL$3-PTCBase)))/1000000,0)</f>
        <v>0</v>
      </c>
      <c r="AM354" s="8" t="n">
        <f aca="false">IF(AND(VST_Assets!$W$12=1,AM$3&lt;=PTCLast,AM338&gt;0),AM338*MAX(0,PTCCredit*(1+Infl)^(AM$3-PTCBase)-0.8*MAX(0,(AM343+AM344+AM346)*1000000/MAX(1,AM338)-PTCThresh*(1+Infl)^(AM$3-PTCBase)))/1000000,0)</f>
        <v>0</v>
      </c>
      <c r="AN354" s="8" t="n">
        <f aca="false">IF(AND(VST_Assets!$W$12=1,AN$3&lt;=PTCLast,AN338&gt;0),AN338*MAX(0,PTCCredit*(1+Infl)^(AN$3-PTCBase)-0.8*MAX(0,(AN343+AN344+AN346)*1000000/MAX(1,AN338)-PTCThresh*(1+Infl)^(AN$3-PTCBase)))/1000000,0)</f>
        <v>0</v>
      </c>
      <c r="AO354" s="8" t="n">
        <f aca="false">IF(AND(VST_Assets!$W$12=1,AO$3&lt;=PTCLast,AO338&gt;0),AO338*MAX(0,PTCCredit*(1+Infl)^(AO$3-PTCBase)-0.8*MAX(0,(AO343+AO344+AO346)*1000000/MAX(1,AO338)-PTCThresh*(1+Infl)^(AO$3-PTCBase)))/1000000,0)</f>
        <v>0</v>
      </c>
      <c r="AP354" s="8" t="n">
        <f aca="false">IF(AND(VST_Assets!$W$12=1,AP$3&lt;=PTCLast,AP338&gt;0),AP338*MAX(0,PTCCredit*(1+Infl)^(AP$3-PTCBase)-0.8*MAX(0,(AP343+AP344+AP346)*1000000/MAX(1,AP338)-PTCThresh*(1+Infl)^(AP$3-PTCBase)))/1000000,0)</f>
        <v>0</v>
      </c>
      <c r="AQ354" s="8" t="n">
        <f aca="false">IF(AND(VST_Assets!$W$12=1,AQ$3&lt;=PTCLast,AQ338&gt;0),AQ338*MAX(0,PTCCredit*(1+Infl)^(AQ$3-PTCBase)-0.8*MAX(0,(AQ343+AQ344+AQ346)*1000000/MAX(1,AQ338)-PTCThresh*(1+Infl)^(AQ$3-PTCBase)))/1000000,0)</f>
        <v>0</v>
      </c>
      <c r="AR354" s="8" t="n">
        <f aca="false">IF(AND(VST_Assets!$W$12=1,AR$3&lt;=PTCLast,AR338&gt;0),AR338*MAX(0,PTCCredit*(1+Infl)^(AR$3-PTCBase)-0.8*MAX(0,(AR343+AR344+AR346)*1000000/MAX(1,AR338)-PTCThresh*(1+Infl)^(AR$3-PTCBase)))/1000000,0)</f>
        <v>0</v>
      </c>
      <c r="AS354" s="8" t="n">
        <f aca="false">IF(AND(VST_Assets!$W$12=1,AS$3&lt;=PTCLast,AS338&gt;0),AS338*MAX(0,PTCCredit*(1+Infl)^(AS$3-PTCBase)-0.8*MAX(0,(AS343+AS344+AS346)*1000000/MAX(1,AS338)-PTCThresh*(1+Infl)^(AS$3-PTCBase)))/1000000,0)</f>
        <v>0</v>
      </c>
    </row>
    <row r="355" customFormat="false" ht="15" hidden="false" customHeight="false" outlineLevel="0" collapsed="false">
      <c r="A355" s="6" t="s">
        <v>463</v>
      </c>
      <c r="B355" s="6" t="s">
        <v>464</v>
      </c>
      <c r="G355" s="8" t="n">
        <f aca="false">G345-G339*(VST_Assets!$N$12*(1+VST_FuelAdj)+VST_Assets!$O$12*(1+VST_OMAdj)+VST_Assets!$P$12*(1+VST_CapexAdj))*(1+VST_Assets!$Q$12)^(G$3-2026)/1000000</f>
        <v>0</v>
      </c>
      <c r="H355" s="8" t="n">
        <f aca="false">H345-H339*(VST_Assets!$N$12*(1+VST_FuelAdj)+VST_Assets!$O$12*(1+VST_OMAdj)+VST_Assets!$P$12*(1+VST_CapexAdj))*(1+VST_Assets!$Q$12)^(H$3-2026)/1000000</f>
        <v>0</v>
      </c>
      <c r="I355" s="8" t="n">
        <f aca="false">I345-I339*(VST_Assets!$N$12*(1+VST_FuelAdj)+VST_Assets!$O$12*(1+VST_OMAdj)+VST_Assets!$P$12*(1+VST_CapexAdj))*(1+VST_Assets!$Q$12)^(I$3-2026)/1000000</f>
        <v>0</v>
      </c>
      <c r="J355" s="8" t="n">
        <f aca="false">J345-J339*(VST_Assets!$N$12*(1+VST_FuelAdj)+VST_Assets!$O$12*(1+VST_OMAdj)+VST_Assets!$P$12*(1+VST_CapexAdj))*(1+VST_Assets!$Q$12)^(J$3-2026)/1000000</f>
        <v>0</v>
      </c>
      <c r="K355" s="8" t="n">
        <f aca="false">K345-K339*(VST_Assets!$N$12*(1+VST_FuelAdj)+VST_Assets!$O$12*(1+VST_OMAdj)+VST_Assets!$P$12*(1+VST_CapexAdj))*(1+VST_Assets!$Q$12)^(K$3-2026)/1000000</f>
        <v>0</v>
      </c>
      <c r="L355" s="8" t="n">
        <f aca="false">L345-L339*(VST_Assets!$N$12*(1+VST_FuelAdj)+VST_Assets!$O$12*(1+VST_OMAdj)+VST_Assets!$P$12*(1+VST_CapexAdj))*(1+VST_Assets!$Q$12)^(L$3-2026)/1000000</f>
        <v>0</v>
      </c>
      <c r="M355" s="8" t="n">
        <f aca="false">M345-M339*(VST_Assets!$N$12*(1+VST_FuelAdj)+VST_Assets!$O$12*(1+VST_OMAdj)+VST_Assets!$P$12*(1+VST_CapexAdj))*(1+VST_Assets!$Q$12)^(M$3-2026)/1000000</f>
        <v>0</v>
      </c>
      <c r="N355" s="8" t="n">
        <f aca="false">N345-N339*(VST_Assets!$N$12*(1+VST_FuelAdj)+VST_Assets!$O$12*(1+VST_OMAdj)+VST_Assets!$P$12*(1+VST_CapexAdj))*(1+VST_Assets!$Q$12)^(N$3-2026)/1000000</f>
        <v>0</v>
      </c>
      <c r="O355" s="8" t="n">
        <f aca="false">O345-O339*(VST_Assets!$N$12*(1+VST_FuelAdj)+VST_Assets!$O$12*(1+VST_OMAdj)+VST_Assets!$P$12*(1+VST_CapexAdj))*(1+VST_Assets!$Q$12)^(O$3-2026)/1000000</f>
        <v>0</v>
      </c>
      <c r="P355" s="8" t="n">
        <f aca="false">P345-P339*(VST_Assets!$N$12*(1+VST_FuelAdj)+VST_Assets!$O$12*(1+VST_OMAdj)+VST_Assets!$P$12*(1+VST_CapexAdj))*(1+VST_Assets!$Q$12)^(P$3-2026)/1000000</f>
        <v>0</v>
      </c>
      <c r="Q355" s="8" t="n">
        <f aca="false">Q345-Q339*(VST_Assets!$N$12*(1+VST_FuelAdj)+VST_Assets!$O$12*(1+VST_OMAdj)+VST_Assets!$P$12*(1+VST_CapexAdj))*(1+VST_Assets!$Q$12)^(Q$3-2026)/1000000</f>
        <v>0</v>
      </c>
      <c r="R355" s="8" t="n">
        <f aca="false">R345-R339*(VST_Assets!$N$12*(1+VST_FuelAdj)+VST_Assets!$O$12*(1+VST_OMAdj)+VST_Assets!$P$12*(1+VST_CapexAdj))*(1+VST_Assets!$Q$12)^(R$3-2026)/1000000</f>
        <v>0</v>
      </c>
      <c r="S355" s="8" t="n">
        <f aca="false">S345-S339*(VST_Assets!$N$12*(1+VST_FuelAdj)+VST_Assets!$O$12*(1+VST_OMAdj)+VST_Assets!$P$12*(1+VST_CapexAdj))*(1+VST_Assets!$Q$12)^(S$3-2026)/1000000</f>
        <v>0</v>
      </c>
      <c r="T355" s="8" t="n">
        <f aca="false">T345-T339*(VST_Assets!$N$12*(1+VST_FuelAdj)+VST_Assets!$O$12*(1+VST_OMAdj)+VST_Assets!$P$12*(1+VST_CapexAdj))*(1+VST_Assets!$Q$12)^(T$3-2026)/1000000</f>
        <v>0</v>
      </c>
      <c r="U355" s="8" t="n">
        <f aca="false">U345-U339*(VST_Assets!$N$12*(1+VST_FuelAdj)+VST_Assets!$O$12*(1+VST_OMAdj)+VST_Assets!$P$12*(1+VST_CapexAdj))*(1+VST_Assets!$Q$12)^(U$3-2026)/1000000</f>
        <v>0</v>
      </c>
      <c r="V355" s="8" t="n">
        <f aca="false">V345-V339*(VST_Assets!$N$12*(1+VST_FuelAdj)+VST_Assets!$O$12*(1+VST_OMAdj)+VST_Assets!$P$12*(1+VST_CapexAdj))*(1+VST_Assets!$Q$12)^(V$3-2026)/1000000</f>
        <v>0</v>
      </c>
      <c r="W355" s="8" t="n">
        <f aca="false">W345-W339*(VST_Assets!$N$12*(1+VST_FuelAdj)+VST_Assets!$O$12*(1+VST_OMAdj)+VST_Assets!$P$12*(1+VST_CapexAdj))*(1+VST_Assets!$Q$12)^(W$3-2026)/1000000</f>
        <v>0</v>
      </c>
      <c r="X355" s="8" t="n">
        <f aca="false">X345-X339*(VST_Assets!$N$12*(1+VST_FuelAdj)+VST_Assets!$O$12*(1+VST_OMAdj)+VST_Assets!$P$12*(1+VST_CapexAdj))*(1+VST_Assets!$Q$12)^(X$3-2026)/1000000</f>
        <v>0</v>
      </c>
      <c r="Y355" s="8" t="n">
        <f aca="false">Y345-Y339*(VST_Assets!$N$12*(1+VST_FuelAdj)+VST_Assets!$O$12*(1+VST_OMAdj)+VST_Assets!$P$12*(1+VST_CapexAdj))*(1+VST_Assets!$Q$12)^(Y$3-2026)/1000000</f>
        <v>0</v>
      </c>
      <c r="Z355" s="8" t="n">
        <f aca="false">Z345-Z339*(VST_Assets!$N$12*(1+VST_FuelAdj)+VST_Assets!$O$12*(1+VST_OMAdj)+VST_Assets!$P$12*(1+VST_CapexAdj))*(1+VST_Assets!$Q$12)^(Z$3-2026)/1000000</f>
        <v>0</v>
      </c>
      <c r="AA355" s="8" t="n">
        <f aca="false">AA345-AA339*(VST_Assets!$N$12*(1+VST_FuelAdj)+VST_Assets!$O$12*(1+VST_OMAdj)+VST_Assets!$P$12*(1+VST_CapexAdj))*(1+VST_Assets!$Q$12)^(AA$3-2026)/1000000</f>
        <v>0</v>
      </c>
      <c r="AB355" s="8" t="n">
        <f aca="false">AB345-AB339*(VST_Assets!$N$12*(1+VST_FuelAdj)+VST_Assets!$O$12*(1+VST_OMAdj)+VST_Assets!$P$12*(1+VST_CapexAdj))*(1+VST_Assets!$Q$12)^(AB$3-2026)/1000000</f>
        <v>0</v>
      </c>
      <c r="AC355" s="8" t="n">
        <f aca="false">AC345-AC339*(VST_Assets!$N$12*(1+VST_FuelAdj)+VST_Assets!$O$12*(1+VST_OMAdj)+VST_Assets!$P$12*(1+VST_CapexAdj))*(1+VST_Assets!$Q$12)^(AC$3-2026)/1000000</f>
        <v>0</v>
      </c>
      <c r="AD355" s="8" t="n">
        <f aca="false">AD345-AD339*(VST_Assets!$N$12*(1+VST_FuelAdj)+VST_Assets!$O$12*(1+VST_OMAdj)+VST_Assets!$P$12*(1+VST_CapexAdj))*(1+VST_Assets!$Q$12)^(AD$3-2026)/1000000</f>
        <v>0</v>
      </c>
      <c r="AE355" s="8" t="n">
        <f aca="false">AE345-AE339*(VST_Assets!$N$12*(1+VST_FuelAdj)+VST_Assets!$O$12*(1+VST_OMAdj)+VST_Assets!$P$12*(1+VST_CapexAdj))*(1+VST_Assets!$Q$12)^(AE$3-2026)/1000000</f>
        <v>0</v>
      </c>
      <c r="AF355" s="8" t="n">
        <f aca="false">AF345-AF339*(VST_Assets!$N$12*(1+VST_FuelAdj)+VST_Assets!$O$12*(1+VST_OMAdj)+VST_Assets!$P$12*(1+VST_CapexAdj))*(1+VST_Assets!$Q$12)^(AF$3-2026)/1000000</f>
        <v>0</v>
      </c>
      <c r="AG355" s="8" t="n">
        <f aca="false">AG345-AG339*(VST_Assets!$N$12*(1+VST_FuelAdj)+VST_Assets!$O$12*(1+VST_OMAdj)+VST_Assets!$P$12*(1+VST_CapexAdj))*(1+VST_Assets!$Q$12)^(AG$3-2026)/1000000</f>
        <v>0</v>
      </c>
      <c r="AH355" s="8" t="n">
        <f aca="false">AH345-AH339*(VST_Assets!$N$12*(1+VST_FuelAdj)+VST_Assets!$O$12*(1+VST_OMAdj)+VST_Assets!$P$12*(1+VST_CapexAdj))*(1+VST_Assets!$Q$12)^(AH$3-2026)/1000000</f>
        <v>0</v>
      </c>
      <c r="AI355" s="8" t="n">
        <f aca="false">AI345-AI339*(VST_Assets!$N$12*(1+VST_FuelAdj)+VST_Assets!$O$12*(1+VST_OMAdj)+VST_Assets!$P$12*(1+VST_CapexAdj))*(1+VST_Assets!$Q$12)^(AI$3-2026)/1000000</f>
        <v>0</v>
      </c>
      <c r="AJ355" s="8" t="n">
        <f aca="false">AJ345-AJ339*(VST_Assets!$N$12*(1+VST_FuelAdj)+VST_Assets!$O$12*(1+VST_OMAdj)+VST_Assets!$P$12*(1+VST_CapexAdj))*(1+VST_Assets!$Q$12)^(AJ$3-2026)/1000000</f>
        <v>0</v>
      </c>
      <c r="AK355" s="8" t="n">
        <f aca="false">AK345-AK339*(VST_Assets!$N$12*(1+VST_FuelAdj)+VST_Assets!$O$12*(1+VST_OMAdj)+VST_Assets!$P$12*(1+VST_CapexAdj))*(1+VST_Assets!$Q$12)^(AK$3-2026)/1000000</f>
        <v>0</v>
      </c>
      <c r="AL355" s="8" t="n">
        <f aca="false">AL345-AL339*(VST_Assets!$N$12*(1+VST_FuelAdj)+VST_Assets!$O$12*(1+VST_OMAdj)+VST_Assets!$P$12*(1+VST_CapexAdj))*(1+VST_Assets!$Q$12)^(AL$3-2026)/1000000</f>
        <v>0</v>
      </c>
      <c r="AM355" s="8" t="n">
        <f aca="false">AM345-AM339*(VST_Assets!$N$12*(1+VST_FuelAdj)+VST_Assets!$O$12*(1+VST_OMAdj)+VST_Assets!$P$12*(1+VST_CapexAdj))*(1+VST_Assets!$Q$12)^(AM$3-2026)/1000000</f>
        <v>0</v>
      </c>
      <c r="AN355" s="8" t="n">
        <f aca="false">AN345-AN339*(VST_Assets!$N$12*(1+VST_FuelAdj)+VST_Assets!$O$12*(1+VST_OMAdj)+VST_Assets!$P$12*(1+VST_CapexAdj))*(1+VST_Assets!$Q$12)^(AN$3-2026)/1000000</f>
        <v>0</v>
      </c>
      <c r="AO355" s="8" t="n">
        <f aca="false">AO345-AO339*(VST_Assets!$N$12*(1+VST_FuelAdj)+VST_Assets!$O$12*(1+VST_OMAdj)+VST_Assets!$P$12*(1+VST_CapexAdj))*(1+VST_Assets!$Q$12)^(AO$3-2026)/1000000</f>
        <v>0</v>
      </c>
      <c r="AP355" s="8" t="n">
        <f aca="false">AP345-AP339*(VST_Assets!$N$12*(1+VST_FuelAdj)+VST_Assets!$O$12*(1+VST_OMAdj)+VST_Assets!$P$12*(1+VST_CapexAdj))*(1+VST_Assets!$Q$12)^(AP$3-2026)/1000000</f>
        <v>0</v>
      </c>
      <c r="AQ355" s="8" t="n">
        <f aca="false">AQ345-AQ339*(VST_Assets!$N$12*(1+VST_FuelAdj)+VST_Assets!$O$12*(1+VST_OMAdj)+VST_Assets!$P$12*(1+VST_CapexAdj))*(1+VST_Assets!$Q$12)^(AQ$3-2026)/1000000</f>
        <v>0</v>
      </c>
      <c r="AR355" s="8" t="n">
        <f aca="false">AR345-AR339*(VST_Assets!$N$12*(1+VST_FuelAdj)+VST_Assets!$O$12*(1+VST_OMAdj)+VST_Assets!$P$12*(1+VST_CapexAdj))*(1+VST_Assets!$Q$12)^(AR$3-2026)/1000000</f>
        <v>0</v>
      </c>
      <c r="AS355" s="8" t="n">
        <f aca="false">AS345-AS339*(VST_Assets!$N$12*(1+VST_FuelAdj)+VST_Assets!$O$12*(1+VST_OMAdj)+VST_Assets!$P$12*(1+VST_CapexAdj))*(1+VST_Assets!$Q$12)^(AS$3-2026)/1000000</f>
        <v>0</v>
      </c>
    </row>
    <row r="356" customFormat="false" ht="15" hidden="false" customHeight="false" outlineLevel="0" collapsed="false">
      <c r="A356" s="6" t="s">
        <v>465</v>
      </c>
      <c r="B356" s="6" t="s">
        <v>466</v>
      </c>
      <c r="G356" s="8" t="n">
        <f aca="false">G353-G355</f>
        <v>971.114100415</v>
      </c>
      <c r="H356" s="8" t="n">
        <f aca="false">H353-H355</f>
        <v>0</v>
      </c>
      <c r="I356" s="8" t="n">
        <f aca="false">I353-I355</f>
        <v>0</v>
      </c>
      <c r="J356" s="8" t="n">
        <f aca="false">J353-J355</f>
        <v>0</v>
      </c>
      <c r="K356" s="8" t="n">
        <f aca="false">K353-K355</f>
        <v>0</v>
      </c>
      <c r="L356" s="8" t="n">
        <f aca="false">L353-L355</f>
        <v>0</v>
      </c>
      <c r="M356" s="8" t="n">
        <f aca="false">M353-M355</f>
        <v>0</v>
      </c>
      <c r="N356" s="8" t="n">
        <f aca="false">N353-N355</f>
        <v>0</v>
      </c>
      <c r="O356" s="8" t="n">
        <f aca="false">O353-O355</f>
        <v>0</v>
      </c>
      <c r="P356" s="8" t="n">
        <f aca="false">P353-P355</f>
        <v>0</v>
      </c>
      <c r="Q356" s="8" t="n">
        <f aca="false">Q353-Q355</f>
        <v>0</v>
      </c>
      <c r="R356" s="8" t="n">
        <f aca="false">R353-R355</f>
        <v>0</v>
      </c>
      <c r="S356" s="8" t="n">
        <f aca="false">S353-S355</f>
        <v>0</v>
      </c>
      <c r="T356" s="8" t="n">
        <f aca="false">T353-T355</f>
        <v>0</v>
      </c>
      <c r="U356" s="8" t="n">
        <f aca="false">U353-U355</f>
        <v>0</v>
      </c>
      <c r="V356" s="8" t="n">
        <f aca="false">V353-V355</f>
        <v>0</v>
      </c>
      <c r="W356" s="8" t="n">
        <f aca="false">W353-W355</f>
        <v>0</v>
      </c>
      <c r="X356" s="8" t="n">
        <f aca="false">X353-X355</f>
        <v>0</v>
      </c>
      <c r="Y356" s="8" t="n">
        <f aca="false">Y353-Y355</f>
        <v>0</v>
      </c>
      <c r="Z356" s="8" t="n">
        <f aca="false">Z353-Z355</f>
        <v>0</v>
      </c>
      <c r="AA356" s="8" t="n">
        <f aca="false">AA353-AA355</f>
        <v>0</v>
      </c>
      <c r="AB356" s="8" t="n">
        <f aca="false">AB353-AB355</f>
        <v>0</v>
      </c>
      <c r="AC356" s="8" t="n">
        <f aca="false">AC353-AC355</f>
        <v>0</v>
      </c>
      <c r="AD356" s="8" t="n">
        <f aca="false">AD353-AD355</f>
        <v>0</v>
      </c>
      <c r="AE356" s="8" t="n">
        <f aca="false">AE353-AE355</f>
        <v>0</v>
      </c>
      <c r="AF356" s="8" t="n">
        <f aca="false">AF353-AF355</f>
        <v>0</v>
      </c>
      <c r="AG356" s="8" t="n">
        <f aca="false">AG353-AG355</f>
        <v>0</v>
      </c>
      <c r="AH356" s="8" t="n">
        <f aca="false">AH353-AH355</f>
        <v>0</v>
      </c>
      <c r="AI356" s="8" t="n">
        <f aca="false">AI353-AI355</f>
        <v>0</v>
      </c>
      <c r="AJ356" s="8" t="n">
        <f aca="false">AJ353-AJ355</f>
        <v>0</v>
      </c>
      <c r="AK356" s="8" t="n">
        <f aca="false">AK353-AK355</f>
        <v>0</v>
      </c>
      <c r="AL356" s="8" t="n">
        <f aca="false">AL353-AL355</f>
        <v>0</v>
      </c>
      <c r="AM356" s="8" t="n">
        <f aca="false">AM353-AM355</f>
        <v>0</v>
      </c>
      <c r="AN356" s="8" t="n">
        <f aca="false">AN353-AN355</f>
        <v>0</v>
      </c>
      <c r="AO356" s="8" t="n">
        <f aca="false">AO353-AO355</f>
        <v>0</v>
      </c>
      <c r="AP356" s="8" t="n">
        <f aca="false">AP353-AP355</f>
        <v>0</v>
      </c>
      <c r="AQ356" s="8" t="n">
        <f aca="false">AQ353-AQ355</f>
        <v>0</v>
      </c>
      <c r="AR356" s="8" t="n">
        <f aca="false">AR353-AR355</f>
        <v>0</v>
      </c>
      <c r="AS356" s="8" t="n">
        <f aca="false">AS353-AS355</f>
        <v>0</v>
      </c>
    </row>
    <row r="357" customFormat="false" ht="15" hidden="false" customHeight="false" outlineLevel="0" collapsed="false">
      <c r="A357" s="6" t="s">
        <v>467</v>
      </c>
      <c r="B357" s="6" t="s">
        <v>468</v>
      </c>
      <c r="G357" s="8" t="n">
        <f aca="false">G356*(1-TaxRate)+G354</f>
        <v>776.891280332</v>
      </c>
      <c r="H357" s="8" t="n">
        <f aca="false">H356*(1-TaxRate)+H354</f>
        <v>0</v>
      </c>
      <c r="I357" s="8" t="n">
        <f aca="false">I356*(1-TaxRate)+I354</f>
        <v>0</v>
      </c>
      <c r="J357" s="8" t="n">
        <f aca="false">J356*(1-TaxRate)+J354</f>
        <v>0</v>
      </c>
      <c r="K357" s="8" t="n">
        <f aca="false">K356*(1-TaxRate)+K354</f>
        <v>0</v>
      </c>
      <c r="L357" s="8" t="n">
        <f aca="false">L356*(1-TaxRate)+L354</f>
        <v>0</v>
      </c>
      <c r="M357" s="8" t="n">
        <f aca="false">M356*(1-TaxRate)+M354</f>
        <v>0</v>
      </c>
      <c r="N357" s="8" t="n">
        <f aca="false">N356*(1-TaxRate)+N354</f>
        <v>0</v>
      </c>
      <c r="O357" s="8" t="n">
        <f aca="false">O356*(1-TaxRate)+O354</f>
        <v>0</v>
      </c>
      <c r="P357" s="8" t="n">
        <f aca="false">P356*(1-TaxRate)+P354</f>
        <v>0</v>
      </c>
      <c r="Q357" s="8" t="n">
        <f aca="false">Q356*(1-TaxRate)+Q354</f>
        <v>0</v>
      </c>
      <c r="R357" s="8" t="n">
        <f aca="false">R356*(1-TaxRate)+R354</f>
        <v>0</v>
      </c>
      <c r="S357" s="8" t="n">
        <f aca="false">S356*(1-TaxRate)+S354</f>
        <v>0</v>
      </c>
      <c r="T357" s="8" t="n">
        <f aca="false">T356*(1-TaxRate)+T354</f>
        <v>0</v>
      </c>
      <c r="U357" s="8" t="n">
        <f aca="false">U356*(1-TaxRate)+U354</f>
        <v>0</v>
      </c>
      <c r="V357" s="8" t="n">
        <f aca="false">V356*(1-TaxRate)+V354</f>
        <v>0</v>
      </c>
      <c r="W357" s="8" t="n">
        <f aca="false">W356*(1-TaxRate)+W354</f>
        <v>0</v>
      </c>
      <c r="X357" s="8" t="n">
        <f aca="false">X356*(1-TaxRate)+X354</f>
        <v>0</v>
      </c>
      <c r="Y357" s="8" t="n">
        <f aca="false">Y356*(1-TaxRate)+Y354</f>
        <v>0</v>
      </c>
      <c r="Z357" s="8" t="n">
        <f aca="false">Z356*(1-TaxRate)+Z354</f>
        <v>0</v>
      </c>
      <c r="AA357" s="8" t="n">
        <f aca="false">AA356*(1-TaxRate)+AA354</f>
        <v>0</v>
      </c>
      <c r="AB357" s="8" t="n">
        <f aca="false">AB356*(1-TaxRate)+AB354</f>
        <v>0</v>
      </c>
      <c r="AC357" s="8" t="n">
        <f aca="false">AC356*(1-TaxRate)+AC354</f>
        <v>0</v>
      </c>
      <c r="AD357" s="8" t="n">
        <f aca="false">AD356*(1-TaxRate)+AD354</f>
        <v>0</v>
      </c>
      <c r="AE357" s="8" t="n">
        <f aca="false">AE356*(1-TaxRate)+AE354</f>
        <v>0</v>
      </c>
      <c r="AF357" s="8" t="n">
        <f aca="false">AF356*(1-TaxRate)+AF354</f>
        <v>0</v>
      </c>
      <c r="AG357" s="8" t="n">
        <f aca="false">AG356*(1-TaxRate)+AG354</f>
        <v>0</v>
      </c>
      <c r="AH357" s="8" t="n">
        <f aca="false">AH356*(1-TaxRate)+AH354</f>
        <v>0</v>
      </c>
      <c r="AI357" s="8" t="n">
        <f aca="false">AI356*(1-TaxRate)+AI354</f>
        <v>0</v>
      </c>
      <c r="AJ357" s="8" t="n">
        <f aca="false">AJ356*(1-TaxRate)+AJ354</f>
        <v>0</v>
      </c>
      <c r="AK357" s="8" t="n">
        <f aca="false">AK356*(1-TaxRate)+AK354</f>
        <v>0</v>
      </c>
      <c r="AL357" s="8" t="n">
        <f aca="false">AL356*(1-TaxRate)+AL354</f>
        <v>0</v>
      </c>
      <c r="AM357" s="8" t="n">
        <f aca="false">AM356*(1-TaxRate)+AM354</f>
        <v>0</v>
      </c>
      <c r="AN357" s="8" t="n">
        <f aca="false">AN356*(1-TaxRate)+AN354</f>
        <v>0</v>
      </c>
      <c r="AO357" s="8" t="n">
        <f aca="false">AO356*(1-TaxRate)+AO354</f>
        <v>0</v>
      </c>
      <c r="AP357" s="8" t="n">
        <f aca="false">AP356*(1-TaxRate)+AP354</f>
        <v>0</v>
      </c>
      <c r="AQ357" s="8" t="n">
        <f aca="false">AQ356*(1-TaxRate)+AQ354</f>
        <v>0</v>
      </c>
      <c r="AR357" s="8" t="n">
        <f aca="false">AR356*(1-TaxRate)+AR354</f>
        <v>0</v>
      </c>
      <c r="AS357" s="8" t="n">
        <f aca="false">AS356*(1-TaxRate)+AS354</f>
        <v>0</v>
      </c>
    </row>
    <row r="358" customFormat="false" ht="15" hidden="false" customHeight="false" outlineLevel="0" collapsed="false">
      <c r="A358" s="6" t="s">
        <v>469</v>
      </c>
      <c r="B358" s="6" t="s">
        <v>470</v>
      </c>
      <c r="G358" s="8" t="n">
        <f aca="false">G355*(1-TaxRate)</f>
        <v>0</v>
      </c>
      <c r="H358" s="8" t="n">
        <f aca="false">H355*(1-TaxRate)</f>
        <v>0</v>
      </c>
      <c r="I358" s="8" t="n">
        <f aca="false">I355*(1-TaxRate)</f>
        <v>0</v>
      </c>
      <c r="J358" s="8" t="n">
        <f aca="false">J355*(1-TaxRate)</f>
        <v>0</v>
      </c>
      <c r="K358" s="8" t="n">
        <f aca="false">K355*(1-TaxRate)</f>
        <v>0</v>
      </c>
      <c r="L358" s="8" t="n">
        <f aca="false">L355*(1-TaxRate)</f>
        <v>0</v>
      </c>
      <c r="M358" s="8" t="n">
        <f aca="false">M355*(1-TaxRate)</f>
        <v>0</v>
      </c>
      <c r="N358" s="8" t="n">
        <f aca="false">N355*(1-TaxRate)</f>
        <v>0</v>
      </c>
      <c r="O358" s="8" t="n">
        <f aca="false">O355*(1-TaxRate)</f>
        <v>0</v>
      </c>
      <c r="P358" s="8" t="n">
        <f aca="false">P355*(1-TaxRate)</f>
        <v>0</v>
      </c>
      <c r="Q358" s="8" t="n">
        <f aca="false">Q355*(1-TaxRate)</f>
        <v>0</v>
      </c>
      <c r="R358" s="8" t="n">
        <f aca="false">R355*(1-TaxRate)</f>
        <v>0</v>
      </c>
      <c r="S358" s="8" t="n">
        <f aca="false">S355*(1-TaxRate)</f>
        <v>0</v>
      </c>
      <c r="T358" s="8" t="n">
        <f aca="false">T355*(1-TaxRate)</f>
        <v>0</v>
      </c>
      <c r="U358" s="8" t="n">
        <f aca="false">U355*(1-TaxRate)</f>
        <v>0</v>
      </c>
      <c r="V358" s="8" t="n">
        <f aca="false">V355*(1-TaxRate)</f>
        <v>0</v>
      </c>
      <c r="W358" s="8" t="n">
        <f aca="false">W355*(1-TaxRate)</f>
        <v>0</v>
      </c>
      <c r="X358" s="8" t="n">
        <f aca="false">X355*(1-TaxRate)</f>
        <v>0</v>
      </c>
      <c r="Y358" s="8" t="n">
        <f aca="false">Y355*(1-TaxRate)</f>
        <v>0</v>
      </c>
      <c r="Z358" s="8" t="n">
        <f aca="false">Z355*(1-TaxRate)</f>
        <v>0</v>
      </c>
      <c r="AA358" s="8" t="n">
        <f aca="false">AA355*(1-TaxRate)</f>
        <v>0</v>
      </c>
      <c r="AB358" s="8" t="n">
        <f aca="false">AB355*(1-TaxRate)</f>
        <v>0</v>
      </c>
      <c r="AC358" s="8" t="n">
        <f aca="false">AC355*(1-TaxRate)</f>
        <v>0</v>
      </c>
      <c r="AD358" s="8" t="n">
        <f aca="false">AD355*(1-TaxRate)</f>
        <v>0</v>
      </c>
      <c r="AE358" s="8" t="n">
        <f aca="false">AE355*(1-TaxRate)</f>
        <v>0</v>
      </c>
      <c r="AF358" s="8" t="n">
        <f aca="false">AF355*(1-TaxRate)</f>
        <v>0</v>
      </c>
      <c r="AG358" s="8" t="n">
        <f aca="false">AG355*(1-TaxRate)</f>
        <v>0</v>
      </c>
      <c r="AH358" s="8" t="n">
        <f aca="false">AH355*(1-TaxRate)</f>
        <v>0</v>
      </c>
      <c r="AI358" s="8" t="n">
        <f aca="false">AI355*(1-TaxRate)</f>
        <v>0</v>
      </c>
      <c r="AJ358" s="8" t="n">
        <f aca="false">AJ355*(1-TaxRate)</f>
        <v>0</v>
      </c>
      <c r="AK358" s="8" t="n">
        <f aca="false">AK355*(1-TaxRate)</f>
        <v>0</v>
      </c>
      <c r="AL358" s="8" t="n">
        <f aca="false">AL355*(1-TaxRate)</f>
        <v>0</v>
      </c>
      <c r="AM358" s="8" t="n">
        <f aca="false">AM355*(1-TaxRate)</f>
        <v>0</v>
      </c>
      <c r="AN358" s="8" t="n">
        <f aca="false">AN355*(1-TaxRate)</f>
        <v>0</v>
      </c>
      <c r="AO358" s="8" t="n">
        <f aca="false">AO355*(1-TaxRate)</f>
        <v>0</v>
      </c>
      <c r="AP358" s="8" t="n">
        <f aca="false">AP355*(1-TaxRate)</f>
        <v>0</v>
      </c>
      <c r="AQ358" s="8" t="n">
        <f aca="false">AQ355*(1-TaxRate)</f>
        <v>0</v>
      </c>
      <c r="AR358" s="8" t="n">
        <f aca="false">AR355*(1-TaxRate)</f>
        <v>0</v>
      </c>
      <c r="AS358" s="8" t="n">
        <f aca="false">AS355*(1-TaxRate)</f>
        <v>0</v>
      </c>
    </row>
    <row r="359" customFormat="false" ht="15" hidden="false" customHeight="false" outlineLevel="0" collapsed="false">
      <c r="A359" s="6" t="s">
        <v>471</v>
      </c>
      <c r="B359" s="6" t="s">
        <v>472</v>
      </c>
      <c r="G359" s="42" t="n">
        <f aca="false">(1+VST_Assets!$AE$12)^-(G$3+0.5-ValDate)</f>
        <v>0.918515486359</v>
      </c>
      <c r="H359" s="42" t="n">
        <f aca="false">(1+VST_Assets!$AE$12)^-(H$3+0.5-ValDate)</f>
        <v>0.820103112820536</v>
      </c>
      <c r="I359" s="42" t="n">
        <f aca="false">(1+VST_Assets!$AE$12)^-(I$3+0.5-ValDate)</f>
        <v>0.732234922161193</v>
      </c>
      <c r="J359" s="42" t="n">
        <f aca="false">(1+VST_Assets!$AE$12)^-(J$3+0.5-ValDate)</f>
        <v>0.653781180501065</v>
      </c>
      <c r="K359" s="42" t="n">
        <f aca="false">(1+VST_Assets!$AE$12)^-(K$3+0.5-ValDate)</f>
        <v>0.583733196875951</v>
      </c>
      <c r="L359" s="42" t="n">
        <f aca="false">(1+VST_Assets!$AE$12)^-(L$3+0.5-ValDate)</f>
        <v>0.521190354353527</v>
      </c>
      <c r="M359" s="42" t="n">
        <f aca="false">(1+VST_Assets!$AE$12)^-(M$3+0.5-ValDate)</f>
        <v>0.465348530672792</v>
      </c>
      <c r="N359" s="42" t="n">
        <f aca="false">(1+VST_Assets!$AE$12)^-(N$3+0.5-ValDate)</f>
        <v>0.415489759529279</v>
      </c>
      <c r="O359" s="42" t="n">
        <f aca="false">(1+VST_Assets!$AE$12)^-(O$3+0.5-ValDate)</f>
        <v>0.370972999579713</v>
      </c>
      <c r="P359" s="42" t="n">
        <f aca="false">(1+VST_Assets!$AE$12)^-(P$3+0.5-ValDate)</f>
        <v>0.331225892481887</v>
      </c>
      <c r="Q359" s="42" t="n">
        <f aca="false">(1+VST_Assets!$AE$12)^-(Q$3+0.5-ValDate)</f>
        <v>0.295737404001684</v>
      </c>
      <c r="R359" s="42" t="n">
        <f aca="false">(1+VST_Assets!$AE$12)^-(R$3+0.5-ValDate)</f>
        <v>0.264051253572933</v>
      </c>
      <c r="S359" s="42" t="n">
        <f aca="false">(1+VST_Assets!$AE$12)^-(S$3+0.5-ValDate)</f>
        <v>0.235760047832975</v>
      </c>
      <c r="T359" s="42" t="n">
        <f aca="false">(1+VST_Assets!$AE$12)^-(T$3+0.5-ValDate)</f>
        <v>0.210500042708014</v>
      </c>
      <c r="U359" s="42" t="n">
        <f aca="false">(1+VST_Assets!$AE$12)^-(U$3+0.5-ValDate)</f>
        <v>0.187946466703584</v>
      </c>
      <c r="V359" s="42" t="n">
        <f aca="false">(1+VST_Assets!$AE$12)^-(V$3+0.5-ValDate)</f>
        <v>0.167809345271057</v>
      </c>
      <c r="W359" s="42" t="n">
        <f aca="false">(1+VST_Assets!$AE$12)^-(W$3+0.5-ValDate)</f>
        <v>0.149829772563444</v>
      </c>
      <c r="X359" s="42" t="n">
        <f aca="false">(1+VST_Assets!$AE$12)^-(X$3+0.5-ValDate)</f>
        <v>0.133776582645932</v>
      </c>
      <c r="Y359" s="42" t="n">
        <f aca="false">(1+VST_Assets!$AE$12)^-(Y$3+0.5-ValDate)</f>
        <v>0.119443377362439</v>
      </c>
      <c r="Z359" s="42" t="n">
        <f aca="false">(1+VST_Assets!$AE$12)^-(Z$3+0.5-ValDate)</f>
        <v>0.106645872645035</v>
      </c>
      <c r="AA359" s="42" t="n">
        <f aca="false">(1+VST_Assets!$AE$12)^-(AA$3+0.5-ValDate)</f>
        <v>0.0952195291473526</v>
      </c>
      <c r="AB359" s="42" t="n">
        <f aca="false">(1+VST_Assets!$AE$12)^-(AB$3+0.5-ValDate)</f>
        <v>0.0850174367387077</v>
      </c>
      <c r="AC359" s="42" t="n">
        <f aca="false">(1+VST_Assets!$AE$12)^-(AC$3+0.5-ValDate)</f>
        <v>0.0759084256595604</v>
      </c>
      <c r="AD359" s="42" t="n">
        <f aca="false">(1+VST_Assets!$AE$12)^-(AD$3+0.5-ValDate)</f>
        <v>0.0677753800531789</v>
      </c>
      <c r="AE359" s="42" t="n">
        <f aca="false">(1+VST_Assets!$AE$12)^-(AE$3+0.5-ValDate)</f>
        <v>0.0605137321903383</v>
      </c>
      <c r="AF359" s="42" t="n">
        <f aca="false">(1+VST_Assets!$AE$12)^-(AF$3+0.5-ValDate)</f>
        <v>0.0540301180270878</v>
      </c>
      <c r="AG359" s="42" t="n">
        <f aca="false">(1+VST_Assets!$AE$12)^-(AG$3+0.5-ValDate)</f>
        <v>0.0482411768098998</v>
      </c>
      <c r="AH359" s="42" t="n">
        <f aca="false">(1+VST_Assets!$AE$12)^-(AH$3+0.5-ValDate)</f>
        <v>0.0430724792945534</v>
      </c>
      <c r="AI359" s="42" t="n">
        <f aca="false">(1+VST_Assets!$AE$12)^-(AI$3+0.5-ValDate)</f>
        <v>0.0384575707987084</v>
      </c>
      <c r="AJ359" s="42" t="n">
        <f aca="false">(1+VST_Assets!$AE$12)^-(AJ$3+0.5-ValDate)</f>
        <v>0.034337116784561</v>
      </c>
      <c r="AK359" s="42" t="n">
        <f aca="false">(1+VST_Assets!$AE$12)^-(AK$3+0.5-ValDate)</f>
        <v>0.0306581399862152</v>
      </c>
      <c r="AL359" s="42" t="n">
        <f aca="false">(1+VST_Assets!$AE$12)^-(AL$3+0.5-ValDate)</f>
        <v>0.0273733392734064</v>
      </c>
      <c r="AM359" s="42" t="n">
        <f aca="false">(1+VST_Assets!$AE$12)^-(AM$3+0.5-ValDate)</f>
        <v>0.0244404814941129</v>
      </c>
      <c r="AN359" s="42" t="n">
        <f aca="false">(1+VST_Assets!$AE$12)^-(AN$3+0.5-ValDate)</f>
        <v>0.0218218584768865</v>
      </c>
      <c r="AO359" s="42" t="n">
        <f aca="false">(1+VST_Assets!$AE$12)^-(AO$3+0.5-ValDate)</f>
        <v>0.0194838022115058</v>
      </c>
      <c r="AP359" s="42" t="n">
        <f aca="false">(1+VST_Assets!$AE$12)^-(AP$3+0.5-ValDate)</f>
        <v>0.0173962519745588</v>
      </c>
      <c r="AQ359" s="42" t="n">
        <f aca="false">(1+VST_Assets!$AE$12)^-(AQ$3+0.5-ValDate)</f>
        <v>0.0155323678344275</v>
      </c>
      <c r="AR359" s="42" t="n">
        <f aca="false">(1+VST_Assets!$AE$12)^-(AR$3+0.5-ValDate)</f>
        <v>0.0138681855664531</v>
      </c>
      <c r="AS359" s="42" t="n">
        <f aca="false">(1+VST_Assets!$AE$12)^-(AS$3+0.5-ValDate)</f>
        <v>0.012382308541476</v>
      </c>
    </row>
    <row r="360" customFormat="false" ht="15" hidden="false" customHeight="false" outlineLevel="0" collapsed="false">
      <c r="A360" s="6" t="s">
        <v>473</v>
      </c>
      <c r="B360" s="6" t="s">
        <v>474</v>
      </c>
      <c r="G360" s="42" t="n">
        <f aca="false">(1+VST_Assets!$AF$12)^-(G$3+0.5-ValDate)</f>
        <v>0.918515486359</v>
      </c>
      <c r="H360" s="42" t="n">
        <f aca="false">(1+VST_Assets!$AF$12)^-(H$3+0.5-ValDate)</f>
        <v>0.820103112820536</v>
      </c>
      <c r="I360" s="42" t="n">
        <f aca="false">(1+VST_Assets!$AF$12)^-(I$3+0.5-ValDate)</f>
        <v>0.732234922161193</v>
      </c>
      <c r="J360" s="42" t="n">
        <f aca="false">(1+VST_Assets!$AF$12)^-(J$3+0.5-ValDate)</f>
        <v>0.653781180501065</v>
      </c>
      <c r="K360" s="42" t="n">
        <f aca="false">(1+VST_Assets!$AF$12)^-(K$3+0.5-ValDate)</f>
        <v>0.583733196875951</v>
      </c>
      <c r="L360" s="42" t="n">
        <f aca="false">(1+VST_Assets!$AF$12)^-(L$3+0.5-ValDate)</f>
        <v>0.521190354353527</v>
      </c>
      <c r="M360" s="42" t="n">
        <f aca="false">(1+VST_Assets!$AF$12)^-(M$3+0.5-ValDate)</f>
        <v>0.465348530672792</v>
      </c>
      <c r="N360" s="42" t="n">
        <f aca="false">(1+VST_Assets!$AF$12)^-(N$3+0.5-ValDate)</f>
        <v>0.415489759529279</v>
      </c>
      <c r="O360" s="42" t="n">
        <f aca="false">(1+VST_Assets!$AF$12)^-(O$3+0.5-ValDate)</f>
        <v>0.370972999579713</v>
      </c>
      <c r="P360" s="42" t="n">
        <f aca="false">(1+VST_Assets!$AF$12)^-(P$3+0.5-ValDate)</f>
        <v>0.331225892481887</v>
      </c>
      <c r="Q360" s="42" t="n">
        <f aca="false">(1+VST_Assets!$AF$12)^-(Q$3+0.5-ValDate)</f>
        <v>0.295737404001684</v>
      </c>
      <c r="R360" s="42" t="n">
        <f aca="false">(1+VST_Assets!$AF$12)^-(R$3+0.5-ValDate)</f>
        <v>0.264051253572933</v>
      </c>
      <c r="S360" s="42" t="n">
        <f aca="false">(1+VST_Assets!$AF$12)^-(S$3+0.5-ValDate)</f>
        <v>0.235760047832975</v>
      </c>
      <c r="T360" s="42" t="n">
        <f aca="false">(1+VST_Assets!$AF$12)^-(T$3+0.5-ValDate)</f>
        <v>0.210500042708014</v>
      </c>
      <c r="U360" s="42" t="n">
        <f aca="false">(1+VST_Assets!$AF$12)^-(U$3+0.5-ValDate)</f>
        <v>0.187946466703584</v>
      </c>
      <c r="V360" s="42" t="n">
        <f aca="false">(1+VST_Assets!$AF$12)^-(V$3+0.5-ValDate)</f>
        <v>0.167809345271057</v>
      </c>
      <c r="W360" s="42" t="n">
        <f aca="false">(1+VST_Assets!$AF$12)^-(W$3+0.5-ValDate)</f>
        <v>0.149829772563444</v>
      </c>
      <c r="X360" s="42" t="n">
        <f aca="false">(1+VST_Assets!$AF$12)^-(X$3+0.5-ValDate)</f>
        <v>0.133776582645932</v>
      </c>
      <c r="Y360" s="42" t="n">
        <f aca="false">(1+VST_Assets!$AF$12)^-(Y$3+0.5-ValDate)</f>
        <v>0.119443377362439</v>
      </c>
      <c r="Z360" s="42" t="n">
        <f aca="false">(1+VST_Assets!$AF$12)^-(Z$3+0.5-ValDate)</f>
        <v>0.106645872645035</v>
      </c>
      <c r="AA360" s="42" t="n">
        <f aca="false">(1+VST_Assets!$AF$12)^-(AA$3+0.5-ValDate)</f>
        <v>0.0952195291473526</v>
      </c>
      <c r="AB360" s="42" t="n">
        <f aca="false">(1+VST_Assets!$AF$12)^-(AB$3+0.5-ValDate)</f>
        <v>0.0850174367387077</v>
      </c>
      <c r="AC360" s="42" t="n">
        <f aca="false">(1+VST_Assets!$AF$12)^-(AC$3+0.5-ValDate)</f>
        <v>0.0759084256595604</v>
      </c>
      <c r="AD360" s="42" t="n">
        <f aca="false">(1+VST_Assets!$AF$12)^-(AD$3+0.5-ValDate)</f>
        <v>0.0677753800531789</v>
      </c>
      <c r="AE360" s="42" t="n">
        <f aca="false">(1+VST_Assets!$AF$12)^-(AE$3+0.5-ValDate)</f>
        <v>0.0605137321903383</v>
      </c>
      <c r="AF360" s="42" t="n">
        <f aca="false">(1+VST_Assets!$AF$12)^-(AF$3+0.5-ValDate)</f>
        <v>0.0540301180270878</v>
      </c>
      <c r="AG360" s="42" t="n">
        <f aca="false">(1+VST_Assets!$AF$12)^-(AG$3+0.5-ValDate)</f>
        <v>0.0482411768098998</v>
      </c>
      <c r="AH360" s="42" t="n">
        <f aca="false">(1+VST_Assets!$AF$12)^-(AH$3+0.5-ValDate)</f>
        <v>0.0430724792945534</v>
      </c>
      <c r="AI360" s="42" t="n">
        <f aca="false">(1+VST_Assets!$AF$12)^-(AI$3+0.5-ValDate)</f>
        <v>0.0384575707987084</v>
      </c>
      <c r="AJ360" s="42" t="n">
        <f aca="false">(1+VST_Assets!$AF$12)^-(AJ$3+0.5-ValDate)</f>
        <v>0.034337116784561</v>
      </c>
      <c r="AK360" s="42" t="n">
        <f aca="false">(1+VST_Assets!$AF$12)^-(AK$3+0.5-ValDate)</f>
        <v>0.0306581399862152</v>
      </c>
      <c r="AL360" s="42" t="n">
        <f aca="false">(1+VST_Assets!$AF$12)^-(AL$3+0.5-ValDate)</f>
        <v>0.0273733392734064</v>
      </c>
      <c r="AM360" s="42" t="n">
        <f aca="false">(1+VST_Assets!$AF$12)^-(AM$3+0.5-ValDate)</f>
        <v>0.0244404814941129</v>
      </c>
      <c r="AN360" s="42" t="n">
        <f aca="false">(1+VST_Assets!$AF$12)^-(AN$3+0.5-ValDate)</f>
        <v>0.0218218584768865</v>
      </c>
      <c r="AO360" s="42" t="n">
        <f aca="false">(1+VST_Assets!$AF$12)^-(AO$3+0.5-ValDate)</f>
        <v>0.0194838022115058</v>
      </c>
      <c r="AP360" s="42" t="n">
        <f aca="false">(1+VST_Assets!$AF$12)^-(AP$3+0.5-ValDate)</f>
        <v>0.0173962519745588</v>
      </c>
      <c r="AQ360" s="42" t="n">
        <f aca="false">(1+VST_Assets!$AF$12)^-(AQ$3+0.5-ValDate)</f>
        <v>0.0155323678344275</v>
      </c>
      <c r="AR360" s="42" t="n">
        <f aca="false">(1+VST_Assets!$AF$12)^-(AR$3+0.5-ValDate)</f>
        <v>0.0138681855664531</v>
      </c>
      <c r="AS360" s="42" t="n">
        <f aca="false">(1+VST_Assets!$AF$12)^-(AS$3+0.5-ValDate)</f>
        <v>0.012382308541476</v>
      </c>
    </row>
    <row r="361" customFormat="false" ht="15" hidden="false" customHeight="false" outlineLevel="0" collapsed="false">
      <c r="A361" s="6" t="s">
        <v>475</v>
      </c>
      <c r="B361" s="6" t="s">
        <v>476</v>
      </c>
      <c r="C361" s="43" t="n">
        <f aca="false">SUM(G361:AS361)</f>
        <v>713.586672202213</v>
      </c>
      <c r="D361" s="8" t="n">
        <f aca="false">SUMIF($G$3:$AS$3,"&lt;="&amp;Horizon,G361:AS361)</f>
        <v>713.586672202213</v>
      </c>
      <c r="E361" s="8" t="n">
        <f aca="false">(C361-D361)*(1+VST_Assets!$AE$12)^(Horizon+1-ValDate)</f>
        <v>0</v>
      </c>
      <c r="G361" s="8" t="n">
        <f aca="false">G357*G359</f>
        <v>713.586672202213</v>
      </c>
      <c r="H361" s="8" t="n">
        <f aca="false">H357*H359</f>
        <v>0</v>
      </c>
      <c r="I361" s="8" t="n">
        <f aca="false">I357*I359</f>
        <v>0</v>
      </c>
      <c r="J361" s="8" t="n">
        <f aca="false">J357*J359</f>
        <v>0</v>
      </c>
      <c r="K361" s="8" t="n">
        <f aca="false">K357*K359</f>
        <v>0</v>
      </c>
      <c r="L361" s="8" t="n">
        <f aca="false">L357*L359</f>
        <v>0</v>
      </c>
      <c r="M361" s="8" t="n">
        <f aca="false">M357*M359</f>
        <v>0</v>
      </c>
      <c r="N361" s="8" t="n">
        <f aca="false">N357*N359</f>
        <v>0</v>
      </c>
      <c r="O361" s="8" t="n">
        <f aca="false">O357*O359</f>
        <v>0</v>
      </c>
      <c r="P361" s="8" t="n">
        <f aca="false">P357*P359</f>
        <v>0</v>
      </c>
      <c r="Q361" s="8" t="n">
        <f aca="false">Q357*Q359</f>
        <v>0</v>
      </c>
      <c r="R361" s="8" t="n">
        <f aca="false">R357*R359</f>
        <v>0</v>
      </c>
      <c r="S361" s="8" t="n">
        <f aca="false">S357*S359</f>
        <v>0</v>
      </c>
      <c r="T361" s="8" t="n">
        <f aca="false">T357*T359</f>
        <v>0</v>
      </c>
      <c r="U361" s="8" t="n">
        <f aca="false">U357*U359</f>
        <v>0</v>
      </c>
      <c r="V361" s="8" t="n">
        <f aca="false">V357*V359</f>
        <v>0</v>
      </c>
      <c r="W361" s="8" t="n">
        <f aca="false">W357*W359</f>
        <v>0</v>
      </c>
      <c r="X361" s="8" t="n">
        <f aca="false">X357*X359</f>
        <v>0</v>
      </c>
      <c r="Y361" s="8" t="n">
        <f aca="false">Y357*Y359</f>
        <v>0</v>
      </c>
      <c r="Z361" s="8" t="n">
        <f aca="false">Z357*Z359</f>
        <v>0</v>
      </c>
      <c r="AA361" s="8" t="n">
        <f aca="false">AA357*AA359</f>
        <v>0</v>
      </c>
      <c r="AB361" s="8" t="n">
        <f aca="false">AB357*AB359</f>
        <v>0</v>
      </c>
      <c r="AC361" s="8" t="n">
        <f aca="false">AC357*AC359</f>
        <v>0</v>
      </c>
      <c r="AD361" s="8" t="n">
        <f aca="false">AD357*AD359</f>
        <v>0</v>
      </c>
      <c r="AE361" s="8" t="n">
        <f aca="false">AE357*AE359</f>
        <v>0</v>
      </c>
      <c r="AF361" s="8" t="n">
        <f aca="false">AF357*AF359</f>
        <v>0</v>
      </c>
      <c r="AG361" s="8" t="n">
        <f aca="false">AG357*AG359</f>
        <v>0</v>
      </c>
      <c r="AH361" s="8" t="n">
        <f aca="false">AH357*AH359</f>
        <v>0</v>
      </c>
      <c r="AI361" s="8" t="n">
        <f aca="false">AI357*AI359</f>
        <v>0</v>
      </c>
      <c r="AJ361" s="8" t="n">
        <f aca="false">AJ357*AJ359</f>
        <v>0</v>
      </c>
      <c r="AK361" s="8" t="n">
        <f aca="false">AK357*AK359</f>
        <v>0</v>
      </c>
      <c r="AL361" s="8" t="n">
        <f aca="false">AL357*AL359</f>
        <v>0</v>
      </c>
      <c r="AM361" s="8" t="n">
        <f aca="false">AM357*AM359</f>
        <v>0</v>
      </c>
      <c r="AN361" s="8" t="n">
        <f aca="false">AN357*AN359</f>
        <v>0</v>
      </c>
      <c r="AO361" s="8" t="n">
        <f aca="false">AO357*AO359</f>
        <v>0</v>
      </c>
      <c r="AP361" s="8" t="n">
        <f aca="false">AP357*AP359</f>
        <v>0</v>
      </c>
      <c r="AQ361" s="8" t="n">
        <f aca="false">AQ357*AQ359</f>
        <v>0</v>
      </c>
      <c r="AR361" s="8" t="n">
        <f aca="false">AR357*AR359</f>
        <v>0</v>
      </c>
      <c r="AS361" s="8" t="n">
        <f aca="false">AS357*AS359</f>
        <v>0</v>
      </c>
    </row>
    <row r="362" customFormat="false" ht="15" hidden="false" customHeight="false" outlineLevel="0" collapsed="false">
      <c r="A362" s="6" t="s">
        <v>477</v>
      </c>
      <c r="B362" s="6" t="s">
        <v>478</v>
      </c>
      <c r="C362" s="43" t="n">
        <f aca="false">SUM(G362:AS362)</f>
        <v>0</v>
      </c>
      <c r="D362" s="8" t="n">
        <f aca="false">SUMIF($G$3:$AS$3,"&lt;="&amp;Horizon,G362:AS362)</f>
        <v>0</v>
      </c>
      <c r="E362" s="8" t="n">
        <f aca="false">(C362-D362)*(1+VST_Assets!$AF$12)^(Horizon+1-ValDate)</f>
        <v>0</v>
      </c>
      <c r="G362" s="8" t="n">
        <f aca="false">G358*G360</f>
        <v>0</v>
      </c>
      <c r="H362" s="8" t="n">
        <f aca="false">H358*H360</f>
        <v>0</v>
      </c>
      <c r="I362" s="8" t="n">
        <f aca="false">I358*I360</f>
        <v>0</v>
      </c>
      <c r="J362" s="8" t="n">
        <f aca="false">J358*J360</f>
        <v>0</v>
      </c>
      <c r="K362" s="8" t="n">
        <f aca="false">K358*K360</f>
        <v>0</v>
      </c>
      <c r="L362" s="8" t="n">
        <f aca="false">L358*L360</f>
        <v>0</v>
      </c>
      <c r="M362" s="8" t="n">
        <f aca="false">M358*M360</f>
        <v>0</v>
      </c>
      <c r="N362" s="8" t="n">
        <f aca="false">N358*N360</f>
        <v>0</v>
      </c>
      <c r="O362" s="8" t="n">
        <f aca="false">O358*O360</f>
        <v>0</v>
      </c>
      <c r="P362" s="8" t="n">
        <f aca="false">P358*P360</f>
        <v>0</v>
      </c>
      <c r="Q362" s="8" t="n">
        <f aca="false">Q358*Q360</f>
        <v>0</v>
      </c>
      <c r="R362" s="8" t="n">
        <f aca="false">R358*R360</f>
        <v>0</v>
      </c>
      <c r="S362" s="8" t="n">
        <f aca="false">S358*S360</f>
        <v>0</v>
      </c>
      <c r="T362" s="8" t="n">
        <f aca="false">T358*T360</f>
        <v>0</v>
      </c>
      <c r="U362" s="8" t="n">
        <f aca="false">U358*U360</f>
        <v>0</v>
      </c>
      <c r="V362" s="8" t="n">
        <f aca="false">V358*V360</f>
        <v>0</v>
      </c>
      <c r="W362" s="8" t="n">
        <f aca="false">W358*W360</f>
        <v>0</v>
      </c>
      <c r="X362" s="8" t="n">
        <f aca="false">X358*X360</f>
        <v>0</v>
      </c>
      <c r="Y362" s="8" t="n">
        <f aca="false">Y358*Y360</f>
        <v>0</v>
      </c>
      <c r="Z362" s="8" t="n">
        <f aca="false">Z358*Z360</f>
        <v>0</v>
      </c>
      <c r="AA362" s="8" t="n">
        <f aca="false">AA358*AA360</f>
        <v>0</v>
      </c>
      <c r="AB362" s="8" t="n">
        <f aca="false">AB358*AB360</f>
        <v>0</v>
      </c>
      <c r="AC362" s="8" t="n">
        <f aca="false">AC358*AC360</f>
        <v>0</v>
      </c>
      <c r="AD362" s="8" t="n">
        <f aca="false">AD358*AD360</f>
        <v>0</v>
      </c>
      <c r="AE362" s="8" t="n">
        <f aca="false">AE358*AE360</f>
        <v>0</v>
      </c>
      <c r="AF362" s="8" t="n">
        <f aca="false">AF358*AF360</f>
        <v>0</v>
      </c>
      <c r="AG362" s="8" t="n">
        <f aca="false">AG358*AG360</f>
        <v>0</v>
      </c>
      <c r="AH362" s="8" t="n">
        <f aca="false">AH358*AH360</f>
        <v>0</v>
      </c>
      <c r="AI362" s="8" t="n">
        <f aca="false">AI358*AI360</f>
        <v>0</v>
      </c>
      <c r="AJ362" s="8" t="n">
        <f aca="false">AJ358*AJ360</f>
        <v>0</v>
      </c>
      <c r="AK362" s="8" t="n">
        <f aca="false">AK358*AK360</f>
        <v>0</v>
      </c>
      <c r="AL362" s="8" t="n">
        <f aca="false">AL358*AL360</f>
        <v>0</v>
      </c>
      <c r="AM362" s="8" t="n">
        <f aca="false">AM358*AM360</f>
        <v>0</v>
      </c>
      <c r="AN362" s="8" t="n">
        <f aca="false">AN358*AN360</f>
        <v>0</v>
      </c>
      <c r="AO362" s="8" t="n">
        <f aca="false">AO358*AO360</f>
        <v>0</v>
      </c>
      <c r="AP362" s="8" t="n">
        <f aca="false">AP358*AP360</f>
        <v>0</v>
      </c>
      <c r="AQ362" s="8" t="n">
        <f aca="false">AQ358*AQ360</f>
        <v>0</v>
      </c>
      <c r="AR362" s="8" t="n">
        <f aca="false">AR358*AR360</f>
        <v>0</v>
      </c>
      <c r="AS362" s="8" t="n">
        <f aca="false">AS358*AS360</f>
        <v>0</v>
      </c>
    </row>
    <row r="363" customFormat="false" ht="15" hidden="false" customHeight="false" outlineLevel="0" collapsed="false">
      <c r="A363" s="6" t="s">
        <v>479</v>
      </c>
      <c r="B363" s="6" t="s">
        <v>480</v>
      </c>
      <c r="C363" s="43" t="n">
        <f aca="false">IF(VST_Assets!$H$12="$/kW",VST_Assets!$D$12*VST_Assets!$AI$12*(1+0.4*(PJMWLR/PJMWLRBase-1))/1000,0)</f>
        <v>0</v>
      </c>
      <c r="E363" s="8" t="n">
        <f aca="false">C363</f>
        <v>0</v>
      </c>
      <c r="G363" s="8" t="n">
        <f aca="false">0</f>
        <v>0</v>
      </c>
      <c r="H363" s="8" t="n">
        <f aca="false">0</f>
        <v>0</v>
      </c>
      <c r="I363" s="8" t="n">
        <f aca="false">0</f>
        <v>0</v>
      </c>
      <c r="J363" s="8" t="n">
        <f aca="false">0</f>
        <v>0</v>
      </c>
      <c r="K363" s="8" t="n">
        <f aca="false">0</f>
        <v>0</v>
      </c>
      <c r="L363" s="8" t="n">
        <f aca="false">0</f>
        <v>0</v>
      </c>
      <c r="M363" s="8" t="n">
        <f aca="false">0</f>
        <v>0</v>
      </c>
      <c r="N363" s="8" t="n">
        <f aca="false">0</f>
        <v>0</v>
      </c>
      <c r="O363" s="8" t="n">
        <f aca="false">0</f>
        <v>0</v>
      </c>
      <c r="P363" s="8" t="n">
        <f aca="false">0</f>
        <v>0</v>
      </c>
      <c r="Q363" s="8" t="n">
        <f aca="false">0</f>
        <v>0</v>
      </c>
      <c r="R363" s="8" t="n">
        <f aca="false">0</f>
        <v>0</v>
      </c>
      <c r="S363" s="8" t="n">
        <f aca="false">0</f>
        <v>0</v>
      </c>
      <c r="T363" s="8" t="n">
        <f aca="false">0</f>
        <v>0</v>
      </c>
      <c r="U363" s="8" t="n">
        <f aca="false">0</f>
        <v>0</v>
      </c>
      <c r="V363" s="8" t="n">
        <f aca="false">0</f>
        <v>0</v>
      </c>
      <c r="W363" s="8" t="n">
        <f aca="false">0</f>
        <v>0</v>
      </c>
      <c r="X363" s="8" t="n">
        <f aca="false">0</f>
        <v>0</v>
      </c>
      <c r="Y363" s="8" t="n">
        <f aca="false">0</f>
        <v>0</v>
      </c>
      <c r="Z363" s="8" t="n">
        <f aca="false">0</f>
        <v>0</v>
      </c>
      <c r="AA363" s="8" t="n">
        <f aca="false">0</f>
        <v>0</v>
      </c>
      <c r="AB363" s="8" t="n">
        <f aca="false">0</f>
        <v>0</v>
      </c>
      <c r="AC363" s="8" t="n">
        <f aca="false">0</f>
        <v>0</v>
      </c>
      <c r="AD363" s="8" t="n">
        <f aca="false">0</f>
        <v>0</v>
      </c>
      <c r="AE363" s="8" t="n">
        <f aca="false">0</f>
        <v>0</v>
      </c>
      <c r="AF363" s="8" t="n">
        <f aca="false">0</f>
        <v>0</v>
      </c>
      <c r="AG363" s="8" t="n">
        <f aca="false">0</f>
        <v>0</v>
      </c>
      <c r="AH363" s="8" t="n">
        <f aca="false">0</f>
        <v>0</v>
      </c>
      <c r="AI363" s="8" t="n">
        <f aca="false">0</f>
        <v>0</v>
      </c>
      <c r="AJ363" s="8" t="n">
        <f aca="false">0</f>
        <v>0</v>
      </c>
      <c r="AK363" s="8" t="n">
        <f aca="false">0</f>
        <v>0</v>
      </c>
      <c r="AL363" s="8" t="n">
        <f aca="false">0</f>
        <v>0</v>
      </c>
      <c r="AM363" s="8" t="n">
        <f aca="false">0</f>
        <v>0</v>
      </c>
      <c r="AN363" s="8" t="n">
        <f aca="false">0</f>
        <v>0</v>
      </c>
      <c r="AO363" s="8" t="n">
        <f aca="false">0</f>
        <v>0</v>
      </c>
      <c r="AP363" s="8" t="n">
        <f aca="false">0</f>
        <v>0</v>
      </c>
      <c r="AQ363" s="8" t="n">
        <f aca="false">0</f>
        <v>0</v>
      </c>
      <c r="AR363" s="8" t="n">
        <f aca="false">0</f>
        <v>0</v>
      </c>
      <c r="AS363" s="8" t="n">
        <f aca="false">0</f>
        <v>0</v>
      </c>
    </row>
    <row r="365" customFormat="false" ht="15" hidden="false" customHeight="false" outlineLevel="0" collapsed="false">
      <c r="A365" s="54" t="str">
        <f aca="false">VST_Assets!$A$13</f>
        <v>Solar &amp; batteries (Vistra Zero)</v>
      </c>
    </row>
    <row r="366" customFormat="false" ht="15" hidden="false" customHeight="false" outlineLevel="0" collapsed="false">
      <c r="A366" s="6" t="s">
        <v>425</v>
      </c>
      <c r="B366" s="6" t="s">
        <v>426</v>
      </c>
      <c r="G366" s="47" t="n">
        <f aca="false">IF(AND(G$3&gt;=VST_Assets!$E$13,G$3&lt;=VST_Assets!$F$13,VST_Assets!$H$13="Cashflow"),1,0)</f>
        <v>0</v>
      </c>
      <c r="H366" s="47" t="n">
        <f aca="false">IF(AND(H$3&gt;=VST_Assets!$E$13,H$3&lt;=VST_Assets!$F$13,VST_Assets!$H$13="Cashflow"),1,0)</f>
        <v>0</v>
      </c>
      <c r="I366" s="47" t="n">
        <f aca="false">IF(AND(I$3&gt;=VST_Assets!$E$13,I$3&lt;=VST_Assets!$F$13,VST_Assets!$H$13="Cashflow"),1,0)</f>
        <v>0</v>
      </c>
      <c r="J366" s="47" t="n">
        <f aca="false">IF(AND(J$3&gt;=VST_Assets!$E$13,J$3&lt;=VST_Assets!$F$13,VST_Assets!$H$13="Cashflow"),1,0)</f>
        <v>0</v>
      </c>
      <c r="K366" s="47" t="n">
        <f aca="false">IF(AND(K$3&gt;=VST_Assets!$E$13,K$3&lt;=VST_Assets!$F$13,VST_Assets!$H$13="Cashflow"),1,0)</f>
        <v>0</v>
      </c>
      <c r="L366" s="47" t="n">
        <f aca="false">IF(AND(L$3&gt;=VST_Assets!$E$13,L$3&lt;=VST_Assets!$F$13,VST_Assets!$H$13="Cashflow"),1,0)</f>
        <v>0</v>
      </c>
      <c r="M366" s="47" t="n">
        <f aca="false">IF(AND(M$3&gt;=VST_Assets!$E$13,M$3&lt;=VST_Assets!$F$13,VST_Assets!$H$13="Cashflow"),1,0)</f>
        <v>0</v>
      </c>
      <c r="N366" s="47" t="n">
        <f aca="false">IF(AND(N$3&gt;=VST_Assets!$E$13,N$3&lt;=VST_Assets!$F$13,VST_Assets!$H$13="Cashflow"),1,0)</f>
        <v>0</v>
      </c>
      <c r="O366" s="47" t="n">
        <f aca="false">IF(AND(O$3&gt;=VST_Assets!$E$13,O$3&lt;=VST_Assets!$F$13,VST_Assets!$H$13="Cashflow"),1,0)</f>
        <v>0</v>
      </c>
      <c r="P366" s="47" t="n">
        <f aca="false">IF(AND(P$3&gt;=VST_Assets!$E$13,P$3&lt;=VST_Assets!$F$13,VST_Assets!$H$13="Cashflow"),1,0)</f>
        <v>0</v>
      </c>
      <c r="Q366" s="47" t="n">
        <f aca="false">IF(AND(Q$3&gt;=VST_Assets!$E$13,Q$3&lt;=VST_Assets!$F$13,VST_Assets!$H$13="Cashflow"),1,0)</f>
        <v>0</v>
      </c>
      <c r="R366" s="47" t="n">
        <f aca="false">IF(AND(R$3&gt;=VST_Assets!$E$13,R$3&lt;=VST_Assets!$F$13,VST_Assets!$H$13="Cashflow"),1,0)</f>
        <v>0</v>
      </c>
      <c r="S366" s="47" t="n">
        <f aca="false">IF(AND(S$3&gt;=VST_Assets!$E$13,S$3&lt;=VST_Assets!$F$13,VST_Assets!$H$13="Cashflow"),1,0)</f>
        <v>0</v>
      </c>
      <c r="T366" s="47" t="n">
        <f aca="false">IF(AND(T$3&gt;=VST_Assets!$E$13,T$3&lt;=VST_Assets!$F$13,VST_Assets!$H$13="Cashflow"),1,0)</f>
        <v>0</v>
      </c>
      <c r="U366" s="47" t="n">
        <f aca="false">IF(AND(U$3&gt;=VST_Assets!$E$13,U$3&lt;=VST_Assets!$F$13,VST_Assets!$H$13="Cashflow"),1,0)</f>
        <v>0</v>
      </c>
      <c r="V366" s="47" t="n">
        <f aca="false">IF(AND(V$3&gt;=VST_Assets!$E$13,V$3&lt;=VST_Assets!$F$13,VST_Assets!$H$13="Cashflow"),1,0)</f>
        <v>0</v>
      </c>
      <c r="W366" s="47" t="n">
        <f aca="false">IF(AND(W$3&gt;=VST_Assets!$E$13,W$3&lt;=VST_Assets!$F$13,VST_Assets!$H$13="Cashflow"),1,0)</f>
        <v>0</v>
      </c>
      <c r="X366" s="47" t="n">
        <f aca="false">IF(AND(X$3&gt;=VST_Assets!$E$13,X$3&lt;=VST_Assets!$F$13,VST_Assets!$H$13="Cashflow"),1,0)</f>
        <v>0</v>
      </c>
      <c r="Y366" s="47" t="n">
        <f aca="false">IF(AND(Y$3&gt;=VST_Assets!$E$13,Y$3&lt;=VST_Assets!$F$13,VST_Assets!$H$13="Cashflow"),1,0)</f>
        <v>0</v>
      </c>
      <c r="Z366" s="47" t="n">
        <f aca="false">IF(AND(Z$3&gt;=VST_Assets!$E$13,Z$3&lt;=VST_Assets!$F$13,VST_Assets!$H$13="Cashflow"),1,0)</f>
        <v>0</v>
      </c>
      <c r="AA366" s="47" t="n">
        <f aca="false">IF(AND(AA$3&gt;=VST_Assets!$E$13,AA$3&lt;=VST_Assets!$F$13,VST_Assets!$H$13="Cashflow"),1,0)</f>
        <v>0</v>
      </c>
      <c r="AB366" s="47" t="n">
        <f aca="false">IF(AND(AB$3&gt;=VST_Assets!$E$13,AB$3&lt;=VST_Assets!$F$13,VST_Assets!$H$13="Cashflow"),1,0)</f>
        <v>0</v>
      </c>
      <c r="AC366" s="47" t="n">
        <f aca="false">IF(AND(AC$3&gt;=VST_Assets!$E$13,AC$3&lt;=VST_Assets!$F$13,VST_Assets!$H$13="Cashflow"),1,0)</f>
        <v>0</v>
      </c>
      <c r="AD366" s="47" t="n">
        <f aca="false">IF(AND(AD$3&gt;=VST_Assets!$E$13,AD$3&lt;=VST_Assets!$F$13,VST_Assets!$H$13="Cashflow"),1,0)</f>
        <v>0</v>
      </c>
      <c r="AE366" s="47" t="n">
        <f aca="false">IF(AND(AE$3&gt;=VST_Assets!$E$13,AE$3&lt;=VST_Assets!$F$13,VST_Assets!$H$13="Cashflow"),1,0)</f>
        <v>0</v>
      </c>
      <c r="AF366" s="47" t="n">
        <f aca="false">IF(AND(AF$3&gt;=VST_Assets!$E$13,AF$3&lt;=VST_Assets!$F$13,VST_Assets!$H$13="Cashflow"),1,0)</f>
        <v>0</v>
      </c>
      <c r="AG366" s="47" t="n">
        <f aca="false">IF(AND(AG$3&gt;=VST_Assets!$E$13,AG$3&lt;=VST_Assets!$F$13,VST_Assets!$H$13="Cashflow"),1,0)</f>
        <v>0</v>
      </c>
      <c r="AH366" s="47" t="n">
        <f aca="false">IF(AND(AH$3&gt;=VST_Assets!$E$13,AH$3&lt;=VST_Assets!$F$13,VST_Assets!$H$13="Cashflow"),1,0)</f>
        <v>0</v>
      </c>
      <c r="AI366" s="47" t="n">
        <f aca="false">IF(AND(AI$3&gt;=VST_Assets!$E$13,AI$3&lt;=VST_Assets!$F$13,VST_Assets!$H$13="Cashflow"),1,0)</f>
        <v>0</v>
      </c>
      <c r="AJ366" s="47" t="n">
        <f aca="false">IF(AND(AJ$3&gt;=VST_Assets!$E$13,AJ$3&lt;=VST_Assets!$F$13,VST_Assets!$H$13="Cashflow"),1,0)</f>
        <v>0</v>
      </c>
      <c r="AK366" s="47" t="n">
        <f aca="false">IF(AND(AK$3&gt;=VST_Assets!$E$13,AK$3&lt;=VST_Assets!$F$13,VST_Assets!$H$13="Cashflow"),1,0)</f>
        <v>0</v>
      </c>
      <c r="AL366" s="47" t="n">
        <f aca="false">IF(AND(AL$3&gt;=VST_Assets!$E$13,AL$3&lt;=VST_Assets!$F$13,VST_Assets!$H$13="Cashflow"),1,0)</f>
        <v>0</v>
      </c>
      <c r="AM366" s="47" t="n">
        <f aca="false">IF(AND(AM$3&gt;=VST_Assets!$E$13,AM$3&lt;=VST_Assets!$F$13,VST_Assets!$H$13="Cashflow"),1,0)</f>
        <v>0</v>
      </c>
      <c r="AN366" s="47" t="n">
        <f aca="false">IF(AND(AN$3&gt;=VST_Assets!$E$13,AN$3&lt;=VST_Assets!$F$13,VST_Assets!$H$13="Cashflow"),1,0)</f>
        <v>0</v>
      </c>
      <c r="AO366" s="47" t="n">
        <f aca="false">IF(AND(AO$3&gt;=VST_Assets!$E$13,AO$3&lt;=VST_Assets!$F$13,VST_Assets!$H$13="Cashflow"),1,0)</f>
        <v>0</v>
      </c>
      <c r="AP366" s="47" t="n">
        <f aca="false">IF(AND(AP$3&gt;=VST_Assets!$E$13,AP$3&lt;=VST_Assets!$F$13,VST_Assets!$H$13="Cashflow"),1,0)</f>
        <v>0</v>
      </c>
      <c r="AQ366" s="47" t="n">
        <f aca="false">IF(AND(AQ$3&gt;=VST_Assets!$E$13,AQ$3&lt;=VST_Assets!$F$13,VST_Assets!$H$13="Cashflow"),1,0)</f>
        <v>0</v>
      </c>
      <c r="AR366" s="47" t="n">
        <f aca="false">IF(AND(AR$3&gt;=VST_Assets!$E$13,AR$3&lt;=VST_Assets!$F$13,VST_Assets!$H$13="Cashflow"),1,0)</f>
        <v>0</v>
      </c>
      <c r="AS366" s="47" t="n">
        <f aca="false">IF(AND(AS$3&gt;=VST_Assets!$E$13,AS$3&lt;=VST_Assets!$F$13,VST_Assets!$H$13="Cashflow"),1,0)</f>
        <v>0</v>
      </c>
    </row>
    <row r="367" customFormat="false" ht="15" hidden="false" customHeight="false" outlineLevel="0" collapsed="false">
      <c r="A367" s="6" t="s">
        <v>427</v>
      </c>
      <c r="B367" s="6" t="s">
        <v>428</v>
      </c>
      <c r="G367" s="9" t="n">
        <f aca="false">IF(AND(G$3&gt;=VST_Assets!$AA$13,G$3&lt;=VST_Assets!$AB$13),MIN(VST_Assets!$D$13,VST_Assets!$Z$13*MIN(1,(G$3-VST_Assets!$AA$13+1)/MAX(1,VST_Assets!$AC$13))),0)*G366</f>
        <v>0</v>
      </c>
      <c r="H367" s="9" t="n">
        <f aca="false">IF(AND(H$3&gt;=VST_Assets!$AA$13,H$3&lt;=VST_Assets!$AB$13),MIN(VST_Assets!$D$13,VST_Assets!$Z$13*MIN(1,(H$3-VST_Assets!$AA$13+1)/MAX(1,VST_Assets!$AC$13))),0)*H366</f>
        <v>0</v>
      </c>
      <c r="I367" s="9" t="n">
        <f aca="false">IF(AND(I$3&gt;=VST_Assets!$AA$13,I$3&lt;=VST_Assets!$AB$13),MIN(VST_Assets!$D$13,VST_Assets!$Z$13*MIN(1,(I$3-VST_Assets!$AA$13+1)/MAX(1,VST_Assets!$AC$13))),0)*I366</f>
        <v>0</v>
      </c>
      <c r="J367" s="9" t="n">
        <f aca="false">IF(AND(J$3&gt;=VST_Assets!$AA$13,J$3&lt;=VST_Assets!$AB$13),MIN(VST_Assets!$D$13,VST_Assets!$Z$13*MIN(1,(J$3-VST_Assets!$AA$13+1)/MAX(1,VST_Assets!$AC$13))),0)*J366</f>
        <v>0</v>
      </c>
      <c r="K367" s="9" t="n">
        <f aca="false">IF(AND(K$3&gt;=VST_Assets!$AA$13,K$3&lt;=VST_Assets!$AB$13),MIN(VST_Assets!$D$13,VST_Assets!$Z$13*MIN(1,(K$3-VST_Assets!$AA$13+1)/MAX(1,VST_Assets!$AC$13))),0)*K366</f>
        <v>0</v>
      </c>
      <c r="L367" s="9" t="n">
        <f aca="false">IF(AND(L$3&gt;=VST_Assets!$AA$13,L$3&lt;=VST_Assets!$AB$13),MIN(VST_Assets!$D$13,VST_Assets!$Z$13*MIN(1,(L$3-VST_Assets!$AA$13+1)/MAX(1,VST_Assets!$AC$13))),0)*L366</f>
        <v>0</v>
      </c>
      <c r="M367" s="9" t="n">
        <f aca="false">IF(AND(M$3&gt;=VST_Assets!$AA$13,M$3&lt;=VST_Assets!$AB$13),MIN(VST_Assets!$D$13,VST_Assets!$Z$13*MIN(1,(M$3-VST_Assets!$AA$13+1)/MAX(1,VST_Assets!$AC$13))),0)*M366</f>
        <v>0</v>
      </c>
      <c r="N367" s="9" t="n">
        <f aca="false">IF(AND(N$3&gt;=VST_Assets!$AA$13,N$3&lt;=VST_Assets!$AB$13),MIN(VST_Assets!$D$13,VST_Assets!$Z$13*MIN(1,(N$3-VST_Assets!$AA$13+1)/MAX(1,VST_Assets!$AC$13))),0)*N366</f>
        <v>0</v>
      </c>
      <c r="O367" s="9" t="n">
        <f aca="false">IF(AND(O$3&gt;=VST_Assets!$AA$13,O$3&lt;=VST_Assets!$AB$13),MIN(VST_Assets!$D$13,VST_Assets!$Z$13*MIN(1,(O$3-VST_Assets!$AA$13+1)/MAX(1,VST_Assets!$AC$13))),0)*O366</f>
        <v>0</v>
      </c>
      <c r="P367" s="9" t="n">
        <f aca="false">IF(AND(P$3&gt;=VST_Assets!$AA$13,P$3&lt;=VST_Assets!$AB$13),MIN(VST_Assets!$D$13,VST_Assets!$Z$13*MIN(1,(P$3-VST_Assets!$AA$13+1)/MAX(1,VST_Assets!$AC$13))),0)*P366</f>
        <v>0</v>
      </c>
      <c r="Q367" s="9" t="n">
        <f aca="false">IF(AND(Q$3&gt;=VST_Assets!$AA$13,Q$3&lt;=VST_Assets!$AB$13),MIN(VST_Assets!$D$13,VST_Assets!$Z$13*MIN(1,(Q$3-VST_Assets!$AA$13+1)/MAX(1,VST_Assets!$AC$13))),0)*Q366</f>
        <v>0</v>
      </c>
      <c r="R367" s="9" t="n">
        <f aca="false">IF(AND(R$3&gt;=VST_Assets!$AA$13,R$3&lt;=VST_Assets!$AB$13),MIN(VST_Assets!$D$13,VST_Assets!$Z$13*MIN(1,(R$3-VST_Assets!$AA$13+1)/MAX(1,VST_Assets!$AC$13))),0)*R366</f>
        <v>0</v>
      </c>
      <c r="S367" s="9" t="n">
        <f aca="false">IF(AND(S$3&gt;=VST_Assets!$AA$13,S$3&lt;=VST_Assets!$AB$13),MIN(VST_Assets!$D$13,VST_Assets!$Z$13*MIN(1,(S$3-VST_Assets!$AA$13+1)/MAX(1,VST_Assets!$AC$13))),0)*S366</f>
        <v>0</v>
      </c>
      <c r="T367" s="9" t="n">
        <f aca="false">IF(AND(T$3&gt;=VST_Assets!$AA$13,T$3&lt;=VST_Assets!$AB$13),MIN(VST_Assets!$D$13,VST_Assets!$Z$13*MIN(1,(T$3-VST_Assets!$AA$13+1)/MAX(1,VST_Assets!$AC$13))),0)*T366</f>
        <v>0</v>
      </c>
      <c r="U367" s="9" t="n">
        <f aca="false">IF(AND(U$3&gt;=VST_Assets!$AA$13,U$3&lt;=VST_Assets!$AB$13),MIN(VST_Assets!$D$13,VST_Assets!$Z$13*MIN(1,(U$3-VST_Assets!$AA$13+1)/MAX(1,VST_Assets!$AC$13))),0)*U366</f>
        <v>0</v>
      </c>
      <c r="V367" s="9" t="n">
        <f aca="false">IF(AND(V$3&gt;=VST_Assets!$AA$13,V$3&lt;=VST_Assets!$AB$13),MIN(VST_Assets!$D$13,VST_Assets!$Z$13*MIN(1,(V$3-VST_Assets!$AA$13+1)/MAX(1,VST_Assets!$AC$13))),0)*V366</f>
        <v>0</v>
      </c>
      <c r="W367" s="9" t="n">
        <f aca="false">IF(AND(W$3&gt;=VST_Assets!$AA$13,W$3&lt;=VST_Assets!$AB$13),MIN(VST_Assets!$D$13,VST_Assets!$Z$13*MIN(1,(W$3-VST_Assets!$AA$13+1)/MAX(1,VST_Assets!$AC$13))),0)*W366</f>
        <v>0</v>
      </c>
      <c r="X367" s="9" t="n">
        <f aca="false">IF(AND(X$3&gt;=VST_Assets!$AA$13,X$3&lt;=VST_Assets!$AB$13),MIN(VST_Assets!$D$13,VST_Assets!$Z$13*MIN(1,(X$3-VST_Assets!$AA$13+1)/MAX(1,VST_Assets!$AC$13))),0)*X366</f>
        <v>0</v>
      </c>
      <c r="Y367" s="9" t="n">
        <f aca="false">IF(AND(Y$3&gt;=VST_Assets!$AA$13,Y$3&lt;=VST_Assets!$AB$13),MIN(VST_Assets!$D$13,VST_Assets!$Z$13*MIN(1,(Y$3-VST_Assets!$AA$13+1)/MAX(1,VST_Assets!$AC$13))),0)*Y366</f>
        <v>0</v>
      </c>
      <c r="Z367" s="9" t="n">
        <f aca="false">IF(AND(Z$3&gt;=VST_Assets!$AA$13,Z$3&lt;=VST_Assets!$AB$13),MIN(VST_Assets!$D$13,VST_Assets!$Z$13*MIN(1,(Z$3-VST_Assets!$AA$13+1)/MAX(1,VST_Assets!$AC$13))),0)*Z366</f>
        <v>0</v>
      </c>
      <c r="AA367" s="9" t="n">
        <f aca="false">IF(AND(AA$3&gt;=VST_Assets!$AA$13,AA$3&lt;=VST_Assets!$AB$13),MIN(VST_Assets!$D$13,VST_Assets!$Z$13*MIN(1,(AA$3-VST_Assets!$AA$13+1)/MAX(1,VST_Assets!$AC$13))),0)*AA366</f>
        <v>0</v>
      </c>
      <c r="AB367" s="9" t="n">
        <f aca="false">IF(AND(AB$3&gt;=VST_Assets!$AA$13,AB$3&lt;=VST_Assets!$AB$13),MIN(VST_Assets!$D$13,VST_Assets!$Z$13*MIN(1,(AB$3-VST_Assets!$AA$13+1)/MAX(1,VST_Assets!$AC$13))),0)*AB366</f>
        <v>0</v>
      </c>
      <c r="AC367" s="9" t="n">
        <f aca="false">IF(AND(AC$3&gt;=VST_Assets!$AA$13,AC$3&lt;=VST_Assets!$AB$13),MIN(VST_Assets!$D$13,VST_Assets!$Z$13*MIN(1,(AC$3-VST_Assets!$AA$13+1)/MAX(1,VST_Assets!$AC$13))),0)*AC366</f>
        <v>0</v>
      </c>
      <c r="AD367" s="9" t="n">
        <f aca="false">IF(AND(AD$3&gt;=VST_Assets!$AA$13,AD$3&lt;=VST_Assets!$AB$13),MIN(VST_Assets!$D$13,VST_Assets!$Z$13*MIN(1,(AD$3-VST_Assets!$AA$13+1)/MAX(1,VST_Assets!$AC$13))),0)*AD366</f>
        <v>0</v>
      </c>
      <c r="AE367" s="9" t="n">
        <f aca="false">IF(AND(AE$3&gt;=VST_Assets!$AA$13,AE$3&lt;=VST_Assets!$AB$13),MIN(VST_Assets!$D$13,VST_Assets!$Z$13*MIN(1,(AE$3-VST_Assets!$AA$13+1)/MAX(1,VST_Assets!$AC$13))),0)*AE366</f>
        <v>0</v>
      </c>
      <c r="AF367" s="9" t="n">
        <f aca="false">IF(AND(AF$3&gt;=VST_Assets!$AA$13,AF$3&lt;=VST_Assets!$AB$13),MIN(VST_Assets!$D$13,VST_Assets!$Z$13*MIN(1,(AF$3-VST_Assets!$AA$13+1)/MAX(1,VST_Assets!$AC$13))),0)*AF366</f>
        <v>0</v>
      </c>
      <c r="AG367" s="9" t="n">
        <f aca="false">IF(AND(AG$3&gt;=VST_Assets!$AA$13,AG$3&lt;=VST_Assets!$AB$13),MIN(VST_Assets!$D$13,VST_Assets!$Z$13*MIN(1,(AG$3-VST_Assets!$AA$13+1)/MAX(1,VST_Assets!$AC$13))),0)*AG366</f>
        <v>0</v>
      </c>
      <c r="AH367" s="9" t="n">
        <f aca="false">IF(AND(AH$3&gt;=VST_Assets!$AA$13,AH$3&lt;=VST_Assets!$AB$13),MIN(VST_Assets!$D$13,VST_Assets!$Z$13*MIN(1,(AH$3-VST_Assets!$AA$13+1)/MAX(1,VST_Assets!$AC$13))),0)*AH366</f>
        <v>0</v>
      </c>
      <c r="AI367" s="9" t="n">
        <f aca="false">IF(AND(AI$3&gt;=VST_Assets!$AA$13,AI$3&lt;=VST_Assets!$AB$13),MIN(VST_Assets!$D$13,VST_Assets!$Z$13*MIN(1,(AI$3-VST_Assets!$AA$13+1)/MAX(1,VST_Assets!$AC$13))),0)*AI366</f>
        <v>0</v>
      </c>
      <c r="AJ367" s="9" t="n">
        <f aca="false">IF(AND(AJ$3&gt;=VST_Assets!$AA$13,AJ$3&lt;=VST_Assets!$AB$13),MIN(VST_Assets!$D$13,VST_Assets!$Z$13*MIN(1,(AJ$3-VST_Assets!$AA$13+1)/MAX(1,VST_Assets!$AC$13))),0)*AJ366</f>
        <v>0</v>
      </c>
      <c r="AK367" s="9" t="n">
        <f aca="false">IF(AND(AK$3&gt;=VST_Assets!$AA$13,AK$3&lt;=VST_Assets!$AB$13),MIN(VST_Assets!$D$13,VST_Assets!$Z$13*MIN(1,(AK$3-VST_Assets!$AA$13+1)/MAX(1,VST_Assets!$AC$13))),0)*AK366</f>
        <v>0</v>
      </c>
      <c r="AL367" s="9" t="n">
        <f aca="false">IF(AND(AL$3&gt;=VST_Assets!$AA$13,AL$3&lt;=VST_Assets!$AB$13),MIN(VST_Assets!$D$13,VST_Assets!$Z$13*MIN(1,(AL$3-VST_Assets!$AA$13+1)/MAX(1,VST_Assets!$AC$13))),0)*AL366</f>
        <v>0</v>
      </c>
      <c r="AM367" s="9" t="n">
        <f aca="false">IF(AND(AM$3&gt;=VST_Assets!$AA$13,AM$3&lt;=VST_Assets!$AB$13),MIN(VST_Assets!$D$13,VST_Assets!$Z$13*MIN(1,(AM$3-VST_Assets!$AA$13+1)/MAX(1,VST_Assets!$AC$13))),0)*AM366</f>
        <v>0</v>
      </c>
      <c r="AN367" s="9" t="n">
        <f aca="false">IF(AND(AN$3&gt;=VST_Assets!$AA$13,AN$3&lt;=VST_Assets!$AB$13),MIN(VST_Assets!$D$13,VST_Assets!$Z$13*MIN(1,(AN$3-VST_Assets!$AA$13+1)/MAX(1,VST_Assets!$AC$13))),0)*AN366</f>
        <v>0</v>
      </c>
      <c r="AO367" s="9" t="n">
        <f aca="false">IF(AND(AO$3&gt;=VST_Assets!$AA$13,AO$3&lt;=VST_Assets!$AB$13),MIN(VST_Assets!$D$13,VST_Assets!$Z$13*MIN(1,(AO$3-VST_Assets!$AA$13+1)/MAX(1,VST_Assets!$AC$13))),0)*AO366</f>
        <v>0</v>
      </c>
      <c r="AP367" s="9" t="n">
        <f aca="false">IF(AND(AP$3&gt;=VST_Assets!$AA$13,AP$3&lt;=VST_Assets!$AB$13),MIN(VST_Assets!$D$13,VST_Assets!$Z$13*MIN(1,(AP$3-VST_Assets!$AA$13+1)/MAX(1,VST_Assets!$AC$13))),0)*AP366</f>
        <v>0</v>
      </c>
      <c r="AQ367" s="9" t="n">
        <f aca="false">IF(AND(AQ$3&gt;=VST_Assets!$AA$13,AQ$3&lt;=VST_Assets!$AB$13),MIN(VST_Assets!$D$13,VST_Assets!$Z$13*MIN(1,(AQ$3-VST_Assets!$AA$13+1)/MAX(1,VST_Assets!$AC$13))),0)*AQ366</f>
        <v>0</v>
      </c>
      <c r="AR367" s="9" t="n">
        <f aca="false">IF(AND(AR$3&gt;=VST_Assets!$AA$13,AR$3&lt;=VST_Assets!$AB$13),MIN(VST_Assets!$D$13,VST_Assets!$Z$13*MIN(1,(AR$3-VST_Assets!$AA$13+1)/MAX(1,VST_Assets!$AC$13))),0)*AR366</f>
        <v>0</v>
      </c>
      <c r="AS367" s="9" t="n">
        <f aca="false">IF(AND(AS$3&gt;=VST_Assets!$AA$13,AS$3&lt;=VST_Assets!$AB$13),MIN(VST_Assets!$D$13,VST_Assets!$Z$13*MIN(1,(AS$3-VST_Assets!$AA$13+1)/MAX(1,VST_Assets!$AC$13))),0)*AS366</f>
        <v>0</v>
      </c>
    </row>
    <row r="368" customFormat="false" ht="15" hidden="false" customHeight="false" outlineLevel="0" collapsed="false">
      <c r="A368" s="6" t="s">
        <v>429</v>
      </c>
      <c r="B368" s="6" t="s">
        <v>430</v>
      </c>
      <c r="G368" s="9" t="n">
        <f aca="false">(VST_Assets!$D$13-G367)*8760*VST_Assets!$I$13*G366</f>
        <v>0</v>
      </c>
      <c r="H368" s="9" t="n">
        <f aca="false">(VST_Assets!$D$13-H367)*8760*VST_Assets!$I$13*H366</f>
        <v>0</v>
      </c>
      <c r="I368" s="9" t="n">
        <f aca="false">(VST_Assets!$D$13-I367)*8760*VST_Assets!$I$13*I366</f>
        <v>0</v>
      </c>
      <c r="J368" s="9" t="n">
        <f aca="false">(VST_Assets!$D$13-J367)*8760*VST_Assets!$I$13*J366</f>
        <v>0</v>
      </c>
      <c r="K368" s="9" t="n">
        <f aca="false">(VST_Assets!$D$13-K367)*8760*VST_Assets!$I$13*K366</f>
        <v>0</v>
      </c>
      <c r="L368" s="9" t="n">
        <f aca="false">(VST_Assets!$D$13-L367)*8760*VST_Assets!$I$13*L366</f>
        <v>0</v>
      </c>
      <c r="M368" s="9" t="n">
        <f aca="false">(VST_Assets!$D$13-M367)*8760*VST_Assets!$I$13*M366</f>
        <v>0</v>
      </c>
      <c r="N368" s="9" t="n">
        <f aca="false">(VST_Assets!$D$13-N367)*8760*VST_Assets!$I$13*N366</f>
        <v>0</v>
      </c>
      <c r="O368" s="9" t="n">
        <f aca="false">(VST_Assets!$D$13-O367)*8760*VST_Assets!$I$13*O366</f>
        <v>0</v>
      </c>
      <c r="P368" s="9" t="n">
        <f aca="false">(VST_Assets!$D$13-P367)*8760*VST_Assets!$I$13*P366</f>
        <v>0</v>
      </c>
      <c r="Q368" s="9" t="n">
        <f aca="false">(VST_Assets!$D$13-Q367)*8760*VST_Assets!$I$13*Q366</f>
        <v>0</v>
      </c>
      <c r="R368" s="9" t="n">
        <f aca="false">(VST_Assets!$D$13-R367)*8760*VST_Assets!$I$13*R366</f>
        <v>0</v>
      </c>
      <c r="S368" s="9" t="n">
        <f aca="false">(VST_Assets!$D$13-S367)*8760*VST_Assets!$I$13*S366</f>
        <v>0</v>
      </c>
      <c r="T368" s="9" t="n">
        <f aca="false">(VST_Assets!$D$13-T367)*8760*VST_Assets!$I$13*T366</f>
        <v>0</v>
      </c>
      <c r="U368" s="9" t="n">
        <f aca="false">(VST_Assets!$D$13-U367)*8760*VST_Assets!$I$13*U366</f>
        <v>0</v>
      </c>
      <c r="V368" s="9" t="n">
        <f aca="false">(VST_Assets!$D$13-V367)*8760*VST_Assets!$I$13*V366</f>
        <v>0</v>
      </c>
      <c r="W368" s="9" t="n">
        <f aca="false">(VST_Assets!$D$13-W367)*8760*VST_Assets!$I$13*W366</f>
        <v>0</v>
      </c>
      <c r="X368" s="9" t="n">
        <f aca="false">(VST_Assets!$D$13-X367)*8760*VST_Assets!$I$13*X366</f>
        <v>0</v>
      </c>
      <c r="Y368" s="9" t="n">
        <f aca="false">(VST_Assets!$D$13-Y367)*8760*VST_Assets!$I$13*Y366</f>
        <v>0</v>
      </c>
      <c r="Z368" s="9" t="n">
        <f aca="false">(VST_Assets!$D$13-Z367)*8760*VST_Assets!$I$13*Z366</f>
        <v>0</v>
      </c>
      <c r="AA368" s="9" t="n">
        <f aca="false">(VST_Assets!$D$13-AA367)*8760*VST_Assets!$I$13*AA366</f>
        <v>0</v>
      </c>
      <c r="AB368" s="9" t="n">
        <f aca="false">(VST_Assets!$D$13-AB367)*8760*VST_Assets!$I$13*AB366</f>
        <v>0</v>
      </c>
      <c r="AC368" s="9" t="n">
        <f aca="false">(VST_Assets!$D$13-AC367)*8760*VST_Assets!$I$13*AC366</f>
        <v>0</v>
      </c>
      <c r="AD368" s="9" t="n">
        <f aca="false">(VST_Assets!$D$13-AD367)*8760*VST_Assets!$I$13*AD366</f>
        <v>0</v>
      </c>
      <c r="AE368" s="9" t="n">
        <f aca="false">(VST_Assets!$D$13-AE367)*8760*VST_Assets!$I$13*AE366</f>
        <v>0</v>
      </c>
      <c r="AF368" s="9" t="n">
        <f aca="false">(VST_Assets!$D$13-AF367)*8760*VST_Assets!$I$13*AF366</f>
        <v>0</v>
      </c>
      <c r="AG368" s="9" t="n">
        <f aca="false">(VST_Assets!$D$13-AG367)*8760*VST_Assets!$I$13*AG366</f>
        <v>0</v>
      </c>
      <c r="AH368" s="9" t="n">
        <f aca="false">(VST_Assets!$D$13-AH367)*8760*VST_Assets!$I$13*AH366</f>
        <v>0</v>
      </c>
      <c r="AI368" s="9" t="n">
        <f aca="false">(VST_Assets!$D$13-AI367)*8760*VST_Assets!$I$13*AI366</f>
        <v>0</v>
      </c>
      <c r="AJ368" s="9" t="n">
        <f aca="false">(VST_Assets!$D$13-AJ367)*8760*VST_Assets!$I$13*AJ366</f>
        <v>0</v>
      </c>
      <c r="AK368" s="9" t="n">
        <f aca="false">(VST_Assets!$D$13-AK367)*8760*VST_Assets!$I$13*AK366</f>
        <v>0</v>
      </c>
      <c r="AL368" s="9" t="n">
        <f aca="false">(VST_Assets!$D$13-AL367)*8760*VST_Assets!$I$13*AL366</f>
        <v>0</v>
      </c>
      <c r="AM368" s="9" t="n">
        <f aca="false">(VST_Assets!$D$13-AM367)*8760*VST_Assets!$I$13*AM366</f>
        <v>0</v>
      </c>
      <c r="AN368" s="9" t="n">
        <f aca="false">(VST_Assets!$D$13-AN367)*8760*VST_Assets!$I$13*AN366</f>
        <v>0</v>
      </c>
      <c r="AO368" s="9" t="n">
        <f aca="false">(VST_Assets!$D$13-AO367)*8760*VST_Assets!$I$13*AO366</f>
        <v>0</v>
      </c>
      <c r="AP368" s="9" t="n">
        <f aca="false">(VST_Assets!$D$13-AP367)*8760*VST_Assets!$I$13*AP366</f>
        <v>0</v>
      </c>
      <c r="AQ368" s="9" t="n">
        <f aca="false">(VST_Assets!$D$13-AQ367)*8760*VST_Assets!$I$13*AQ366</f>
        <v>0</v>
      </c>
      <c r="AR368" s="9" t="n">
        <f aca="false">(VST_Assets!$D$13-AR367)*8760*VST_Assets!$I$13*AR366</f>
        <v>0</v>
      </c>
      <c r="AS368" s="9" t="n">
        <f aca="false">(VST_Assets!$D$13-AS367)*8760*VST_Assets!$I$13*AS366</f>
        <v>0</v>
      </c>
    </row>
    <row r="369" customFormat="false" ht="15" hidden="false" customHeight="false" outlineLevel="0" collapsed="false">
      <c r="A369" s="6" t="s">
        <v>431</v>
      </c>
      <c r="B369" s="6" t="s">
        <v>432</v>
      </c>
      <c r="G369" s="9" t="n">
        <f aca="false">G367*8760*VST_Assets!$I$13*G366</f>
        <v>0</v>
      </c>
      <c r="H369" s="9" t="n">
        <f aca="false">H367*8760*VST_Assets!$I$13*H366</f>
        <v>0</v>
      </c>
      <c r="I369" s="9" t="n">
        <f aca="false">I367*8760*VST_Assets!$I$13*I366</f>
        <v>0</v>
      </c>
      <c r="J369" s="9" t="n">
        <f aca="false">J367*8760*VST_Assets!$I$13*J366</f>
        <v>0</v>
      </c>
      <c r="K369" s="9" t="n">
        <f aca="false">K367*8760*VST_Assets!$I$13*K366</f>
        <v>0</v>
      </c>
      <c r="L369" s="9" t="n">
        <f aca="false">L367*8760*VST_Assets!$I$13*L366</f>
        <v>0</v>
      </c>
      <c r="M369" s="9" t="n">
        <f aca="false">M367*8760*VST_Assets!$I$13*M366</f>
        <v>0</v>
      </c>
      <c r="N369" s="9" t="n">
        <f aca="false">N367*8760*VST_Assets!$I$13*N366</f>
        <v>0</v>
      </c>
      <c r="O369" s="9" t="n">
        <f aca="false">O367*8760*VST_Assets!$I$13*O366</f>
        <v>0</v>
      </c>
      <c r="P369" s="9" t="n">
        <f aca="false">P367*8760*VST_Assets!$I$13*P366</f>
        <v>0</v>
      </c>
      <c r="Q369" s="9" t="n">
        <f aca="false">Q367*8760*VST_Assets!$I$13*Q366</f>
        <v>0</v>
      </c>
      <c r="R369" s="9" t="n">
        <f aca="false">R367*8760*VST_Assets!$I$13*R366</f>
        <v>0</v>
      </c>
      <c r="S369" s="9" t="n">
        <f aca="false">S367*8760*VST_Assets!$I$13*S366</f>
        <v>0</v>
      </c>
      <c r="T369" s="9" t="n">
        <f aca="false">T367*8760*VST_Assets!$I$13*T366</f>
        <v>0</v>
      </c>
      <c r="U369" s="9" t="n">
        <f aca="false">U367*8760*VST_Assets!$I$13*U366</f>
        <v>0</v>
      </c>
      <c r="V369" s="9" t="n">
        <f aca="false">V367*8760*VST_Assets!$I$13*V366</f>
        <v>0</v>
      </c>
      <c r="W369" s="9" t="n">
        <f aca="false">W367*8760*VST_Assets!$I$13*W366</f>
        <v>0</v>
      </c>
      <c r="X369" s="9" t="n">
        <f aca="false">X367*8760*VST_Assets!$I$13*X366</f>
        <v>0</v>
      </c>
      <c r="Y369" s="9" t="n">
        <f aca="false">Y367*8760*VST_Assets!$I$13*Y366</f>
        <v>0</v>
      </c>
      <c r="Z369" s="9" t="n">
        <f aca="false">Z367*8760*VST_Assets!$I$13*Z366</f>
        <v>0</v>
      </c>
      <c r="AA369" s="9" t="n">
        <f aca="false">AA367*8760*VST_Assets!$I$13*AA366</f>
        <v>0</v>
      </c>
      <c r="AB369" s="9" t="n">
        <f aca="false">AB367*8760*VST_Assets!$I$13*AB366</f>
        <v>0</v>
      </c>
      <c r="AC369" s="9" t="n">
        <f aca="false">AC367*8760*VST_Assets!$I$13*AC366</f>
        <v>0</v>
      </c>
      <c r="AD369" s="9" t="n">
        <f aca="false">AD367*8760*VST_Assets!$I$13*AD366</f>
        <v>0</v>
      </c>
      <c r="AE369" s="9" t="n">
        <f aca="false">AE367*8760*VST_Assets!$I$13*AE366</f>
        <v>0</v>
      </c>
      <c r="AF369" s="9" t="n">
        <f aca="false">AF367*8760*VST_Assets!$I$13*AF366</f>
        <v>0</v>
      </c>
      <c r="AG369" s="9" t="n">
        <f aca="false">AG367*8760*VST_Assets!$I$13*AG366</f>
        <v>0</v>
      </c>
      <c r="AH369" s="9" t="n">
        <f aca="false">AH367*8760*VST_Assets!$I$13*AH366</f>
        <v>0</v>
      </c>
      <c r="AI369" s="9" t="n">
        <f aca="false">AI367*8760*VST_Assets!$I$13*AI366</f>
        <v>0</v>
      </c>
      <c r="AJ369" s="9" t="n">
        <f aca="false">AJ367*8760*VST_Assets!$I$13*AJ366</f>
        <v>0</v>
      </c>
      <c r="AK369" s="9" t="n">
        <f aca="false">AK367*8760*VST_Assets!$I$13*AK366</f>
        <v>0</v>
      </c>
      <c r="AL369" s="9" t="n">
        <f aca="false">AL367*8760*VST_Assets!$I$13*AL366</f>
        <v>0</v>
      </c>
      <c r="AM369" s="9" t="n">
        <f aca="false">AM367*8760*VST_Assets!$I$13*AM366</f>
        <v>0</v>
      </c>
      <c r="AN369" s="9" t="n">
        <f aca="false">AN367*8760*VST_Assets!$I$13*AN366</f>
        <v>0</v>
      </c>
      <c r="AO369" s="9" t="n">
        <f aca="false">AO367*8760*VST_Assets!$I$13*AO366</f>
        <v>0</v>
      </c>
      <c r="AP369" s="9" t="n">
        <f aca="false">AP367*8760*VST_Assets!$I$13*AP366</f>
        <v>0</v>
      </c>
      <c r="AQ369" s="9" t="n">
        <f aca="false">AQ367*8760*VST_Assets!$I$13*AQ366</f>
        <v>0</v>
      </c>
      <c r="AR369" s="9" t="n">
        <f aca="false">AR367*8760*VST_Assets!$I$13*AR366</f>
        <v>0</v>
      </c>
      <c r="AS369" s="9" t="n">
        <f aca="false">AS367*8760*VST_Assets!$I$13*AS366</f>
        <v>0</v>
      </c>
    </row>
    <row r="370" customFormat="false" ht="15" hidden="false" customHeight="false" outlineLevel="0" collapsed="false">
      <c r="A370" s="6" t="s">
        <v>433</v>
      </c>
      <c r="B370" s="6" t="s">
        <v>434</v>
      </c>
      <c r="G370" s="7" t="n">
        <f aca="false">IF(ISNUMBER(VST_Assets!$L$13),VST_Assets!$L$13*G$4,INDEX(Prices!G:G,VST_Assets!$AO$13)+FuelAdder*G$4)</f>
        <v>4.131</v>
      </c>
      <c r="H370" s="7" t="n">
        <f aca="false">IF(ISNUMBER(VST_Assets!$L$13),VST_Assets!$L$13*H$4,INDEX(Prices!H:H,VST_Assets!$AO$13)+FuelAdder*H$4)</f>
        <v>4.21362</v>
      </c>
      <c r="I370" s="7" t="n">
        <f aca="false">IF(ISNUMBER(VST_Assets!$L$13),VST_Assets!$L$13*I$4,INDEX(Prices!I:I,VST_Assets!$AO$13)+FuelAdder*I$4)</f>
        <v>4.4040132</v>
      </c>
      <c r="J370" s="7" t="n">
        <f aca="false">IF(ISNUMBER(VST_Assets!$L$13),VST_Assets!$L$13*J$4,INDEX(Prices!J:J,VST_Assets!$AO$13)+FuelAdder*J$4)</f>
        <v>4.492093464</v>
      </c>
      <c r="K370" s="7" t="n">
        <f aca="false">IF(ISNUMBER(VST_Assets!$L$13),VST_Assets!$L$13*K$4,INDEX(Prices!K:K,VST_Assets!$AO$13)+FuelAdder*K$4)</f>
        <v>4.58193533328</v>
      </c>
      <c r="L370" s="7" t="n">
        <f aca="false">IF(ISNUMBER(VST_Assets!$L$13),VST_Assets!$L$13*L$4,INDEX(Prices!L:L,VST_Assets!$AO$13)+FuelAdder*L$4)</f>
        <v>4.6735740399456</v>
      </c>
      <c r="M370" s="7" t="n">
        <f aca="false">IF(ISNUMBER(VST_Assets!$L$13),VST_Assets!$L$13*M$4,INDEX(Prices!M:M,VST_Assets!$AO$13)+FuelAdder*M$4)</f>
        <v>4.76704552074451</v>
      </c>
      <c r="N370" s="7" t="n">
        <f aca="false">IF(ISNUMBER(VST_Assets!$L$13),VST_Assets!$L$13*N$4,INDEX(Prices!N:N,VST_Assets!$AO$13)+FuelAdder*N$4)</f>
        <v>4.8623864311594</v>
      </c>
      <c r="O370" s="7" t="n">
        <f aca="false">IF(ISNUMBER(VST_Assets!$L$13),VST_Assets!$L$13*O$4,INDEX(Prices!O:O,VST_Assets!$AO$13)+FuelAdder*O$4)</f>
        <v>4.95963415978259</v>
      </c>
      <c r="P370" s="7" t="n">
        <f aca="false">IF(ISNUMBER(VST_Assets!$L$13),VST_Assets!$L$13*P$4,INDEX(Prices!P:P,VST_Assets!$AO$13)+FuelAdder*P$4)</f>
        <v>5.05882684297824</v>
      </c>
      <c r="Q370" s="7" t="n">
        <f aca="false">IF(ISNUMBER(VST_Assets!$L$13),VST_Assets!$L$13*Q$4,INDEX(Prices!Q:Q,VST_Assets!$AO$13)+FuelAdder*Q$4)</f>
        <v>5.16000337983781</v>
      </c>
      <c r="R370" s="7" t="n">
        <f aca="false">IF(ISNUMBER(VST_Assets!$L$13),VST_Assets!$L$13*R$4,INDEX(Prices!R:R,VST_Assets!$AO$13)+FuelAdder*R$4)</f>
        <v>5.26320344743456</v>
      </c>
      <c r="S370" s="7" t="n">
        <f aca="false">IF(ISNUMBER(VST_Assets!$L$13),VST_Assets!$L$13*S$4,INDEX(Prices!S:S,VST_Assets!$AO$13)+FuelAdder*S$4)</f>
        <v>5.36846751638326</v>
      </c>
      <c r="T370" s="7" t="n">
        <f aca="false">IF(ISNUMBER(VST_Assets!$L$13),VST_Assets!$L$13*T$4,INDEX(Prices!T:T,VST_Assets!$AO$13)+FuelAdder*T$4)</f>
        <v>5.47583686671092</v>
      </c>
      <c r="U370" s="7" t="n">
        <f aca="false">IF(ISNUMBER(VST_Assets!$L$13),VST_Assets!$L$13*U$4,INDEX(Prices!U:U,VST_Assets!$AO$13)+FuelAdder*U$4)</f>
        <v>5.58535360404514</v>
      </c>
      <c r="V370" s="7" t="n">
        <f aca="false">IF(ISNUMBER(VST_Assets!$L$13),VST_Assets!$L$13*V$4,INDEX(Prices!V:V,VST_Assets!$AO$13)+FuelAdder*V$4)</f>
        <v>5.69706067612604</v>
      </c>
      <c r="W370" s="7" t="n">
        <f aca="false">IF(ISNUMBER(VST_Assets!$L$13),VST_Assets!$L$13*W$4,INDEX(Prices!W:W,VST_Assets!$AO$13)+FuelAdder*W$4)</f>
        <v>5.81100188964856</v>
      </c>
      <c r="X370" s="7" t="n">
        <f aca="false">IF(ISNUMBER(VST_Assets!$L$13),VST_Assets!$L$13*X$4,INDEX(Prices!X:X,VST_Assets!$AO$13)+FuelAdder*X$4)</f>
        <v>5.92722192744153</v>
      </c>
      <c r="Y370" s="7" t="n">
        <f aca="false">IF(ISNUMBER(VST_Assets!$L$13),VST_Assets!$L$13*Y$4,INDEX(Prices!Y:Y,VST_Assets!$AO$13)+FuelAdder*Y$4)</f>
        <v>6.04576636599037</v>
      </c>
      <c r="Z370" s="7" t="n">
        <f aca="false">IF(ISNUMBER(VST_Assets!$L$13),VST_Assets!$L$13*Z$4,INDEX(Prices!Z:Z,VST_Assets!$AO$13)+FuelAdder*Z$4)</f>
        <v>6.16668169331017</v>
      </c>
      <c r="AA370" s="7" t="n">
        <f aca="false">IF(ISNUMBER(VST_Assets!$L$13),VST_Assets!$L$13*AA$4,INDEX(Prices!AA:AA,VST_Assets!$AO$13)+FuelAdder*AA$4)</f>
        <v>6.29001532717638</v>
      </c>
      <c r="AB370" s="7" t="n">
        <f aca="false">IF(ISNUMBER(VST_Assets!$L$13),VST_Assets!$L$13*AB$4,INDEX(Prices!AB:AB,VST_Assets!$AO$13)+FuelAdder*AB$4)</f>
        <v>6.4158156337199</v>
      </c>
      <c r="AC370" s="7" t="n">
        <f aca="false">IF(ISNUMBER(VST_Assets!$L$13),VST_Assets!$L$13*AC$4,INDEX(Prices!AC:AC,VST_Assets!$AO$13)+FuelAdder*AC$4)</f>
        <v>6.5441319463943</v>
      </c>
      <c r="AD370" s="7" t="n">
        <f aca="false">IF(ISNUMBER(VST_Assets!$L$13),VST_Assets!$L$13*AD$4,INDEX(Prices!AD:AD,VST_Assets!$AO$13)+FuelAdder*AD$4)</f>
        <v>6.67501458532219</v>
      </c>
      <c r="AE370" s="7" t="n">
        <f aca="false">IF(ISNUMBER(VST_Assets!$L$13),VST_Assets!$L$13*AE$4,INDEX(Prices!AE:AE,VST_Assets!$AO$13)+FuelAdder*AE$4)</f>
        <v>6.80851487702863</v>
      </c>
      <c r="AF370" s="7" t="n">
        <f aca="false">IF(ISNUMBER(VST_Assets!$L$13),VST_Assets!$L$13*AF$4,INDEX(Prices!AF:AF,VST_Assets!$AO$13)+FuelAdder*AF$4)</f>
        <v>6.94468517456921</v>
      </c>
      <c r="AG370" s="7" t="n">
        <f aca="false">IF(ISNUMBER(VST_Assets!$L$13),VST_Assets!$L$13*AG$4,INDEX(Prices!AG:AG,VST_Assets!$AO$13)+FuelAdder*AG$4)</f>
        <v>7.08357887806059</v>
      </c>
      <c r="AH370" s="7" t="n">
        <f aca="false">IF(ISNUMBER(VST_Assets!$L$13),VST_Assets!$L$13*AH$4,INDEX(Prices!AH:AH,VST_Assets!$AO$13)+FuelAdder*AH$4)</f>
        <v>7.2252504556218</v>
      </c>
      <c r="AI370" s="7" t="n">
        <f aca="false">IF(ISNUMBER(VST_Assets!$L$13),VST_Assets!$L$13*AI$4,INDEX(Prices!AI:AI,VST_Assets!$AO$13)+FuelAdder*AI$4)</f>
        <v>7.36975546473424</v>
      </c>
      <c r="AJ370" s="7" t="n">
        <f aca="false">IF(ISNUMBER(VST_Assets!$L$13),VST_Assets!$L$13*AJ$4,INDEX(Prices!AJ:AJ,VST_Assets!$AO$13)+FuelAdder*AJ$4)</f>
        <v>7.51715057402892</v>
      </c>
      <c r="AK370" s="7" t="n">
        <f aca="false">IF(ISNUMBER(VST_Assets!$L$13),VST_Assets!$L$13*AK$4,INDEX(Prices!AK:AK,VST_Assets!$AO$13)+FuelAdder*AK$4)</f>
        <v>7.6674935855095</v>
      </c>
      <c r="AL370" s="7" t="n">
        <f aca="false">IF(ISNUMBER(VST_Assets!$L$13),VST_Assets!$L$13*AL$4,INDEX(Prices!AL:AL,VST_Assets!$AO$13)+FuelAdder*AL$4)</f>
        <v>7.82084345721969</v>
      </c>
      <c r="AM370" s="7" t="n">
        <f aca="false">IF(ISNUMBER(VST_Assets!$L$13),VST_Assets!$L$13*AM$4,INDEX(Prices!AM:AM,VST_Assets!$AO$13)+FuelAdder*AM$4)</f>
        <v>7.97726032636409</v>
      </c>
      <c r="AN370" s="7" t="n">
        <f aca="false">IF(ISNUMBER(VST_Assets!$L$13),VST_Assets!$L$13*AN$4,INDEX(Prices!AN:AN,VST_Assets!$AO$13)+FuelAdder*AN$4)</f>
        <v>8.13680553289137</v>
      </c>
      <c r="AO370" s="7" t="n">
        <f aca="false">IF(ISNUMBER(VST_Assets!$L$13),VST_Assets!$L$13*AO$4,INDEX(Prices!AO:AO,VST_Assets!$AO$13)+FuelAdder*AO$4)</f>
        <v>8.29954164354919</v>
      </c>
      <c r="AP370" s="7" t="n">
        <f aca="false">IF(ISNUMBER(VST_Assets!$L$13),VST_Assets!$L$13*AP$4,INDEX(Prices!AP:AP,VST_Assets!$AO$13)+FuelAdder*AP$4)</f>
        <v>8.46553247642018</v>
      </c>
      <c r="AQ370" s="7" t="n">
        <f aca="false">IF(ISNUMBER(VST_Assets!$L$13),VST_Assets!$L$13*AQ$4,INDEX(Prices!AQ:AQ,VST_Assets!$AO$13)+FuelAdder*AQ$4)</f>
        <v>8.63484312594858</v>
      </c>
      <c r="AR370" s="7" t="n">
        <f aca="false">IF(ISNUMBER(VST_Assets!$L$13),VST_Assets!$L$13*AR$4,INDEX(Prices!AR:AR,VST_Assets!$AO$13)+FuelAdder*AR$4)</f>
        <v>8.80753998846755</v>
      </c>
      <c r="AS370" s="7" t="n">
        <f aca="false">IF(ISNUMBER(VST_Assets!$L$13),VST_Assets!$L$13*AS$4,INDEX(Prices!AS:AS,VST_Assets!$AO$13)+FuelAdder*AS$4)</f>
        <v>8.9836907882369</v>
      </c>
    </row>
    <row r="371" customFormat="false" ht="15" hidden="false" customHeight="false" outlineLevel="0" collapsed="false">
      <c r="A371" s="6" t="s">
        <v>435</v>
      </c>
      <c r="B371" s="6" t="s">
        <v>436</v>
      </c>
      <c r="G371" s="7" t="n">
        <f aca="false">INDEX(Prices!G:G,VST_Assets!$AN$13)*VST_Assets!$J$13-VST_Assets!$K$13*G370-VST_Assets!$M$13*G$4</f>
        <v>0</v>
      </c>
      <c r="H371" s="7" t="n">
        <f aca="false">INDEX(Prices!H:H,VST_Assets!$AN$13)*VST_Assets!$J$13-VST_Assets!$K$13*H370-VST_Assets!$M$13*H$4</f>
        <v>0</v>
      </c>
      <c r="I371" s="7" t="n">
        <f aca="false">INDEX(Prices!I:I,VST_Assets!$AN$13)*VST_Assets!$J$13-VST_Assets!$K$13*I370-VST_Assets!$M$13*I$4</f>
        <v>0</v>
      </c>
      <c r="J371" s="7" t="n">
        <f aca="false">INDEX(Prices!J:J,VST_Assets!$AN$13)*VST_Assets!$J$13-VST_Assets!$K$13*J370-VST_Assets!$M$13*J$4</f>
        <v>0</v>
      </c>
      <c r="K371" s="7" t="n">
        <f aca="false">INDEX(Prices!K:K,VST_Assets!$AN$13)*VST_Assets!$J$13-VST_Assets!$K$13*K370-VST_Assets!$M$13*K$4</f>
        <v>0</v>
      </c>
      <c r="L371" s="7" t="n">
        <f aca="false">INDEX(Prices!L:L,VST_Assets!$AN$13)*VST_Assets!$J$13-VST_Assets!$K$13*L370-VST_Assets!$M$13*L$4</f>
        <v>0</v>
      </c>
      <c r="M371" s="7" t="n">
        <f aca="false">INDEX(Prices!M:M,VST_Assets!$AN$13)*VST_Assets!$J$13-VST_Assets!$K$13*M370-VST_Assets!$M$13*M$4</f>
        <v>0</v>
      </c>
      <c r="N371" s="7" t="n">
        <f aca="false">INDEX(Prices!N:N,VST_Assets!$AN$13)*VST_Assets!$J$13-VST_Assets!$K$13*N370-VST_Assets!$M$13*N$4</f>
        <v>0</v>
      </c>
      <c r="O371" s="7" t="n">
        <f aca="false">INDEX(Prices!O:O,VST_Assets!$AN$13)*VST_Assets!$J$13-VST_Assets!$K$13*O370-VST_Assets!$M$13*O$4</f>
        <v>0</v>
      </c>
      <c r="P371" s="7" t="n">
        <f aca="false">INDEX(Prices!P:P,VST_Assets!$AN$13)*VST_Assets!$J$13-VST_Assets!$K$13*P370-VST_Assets!$M$13*P$4</f>
        <v>0</v>
      </c>
      <c r="Q371" s="7" t="n">
        <f aca="false">INDEX(Prices!Q:Q,VST_Assets!$AN$13)*VST_Assets!$J$13-VST_Assets!$K$13*Q370-VST_Assets!$M$13*Q$4</f>
        <v>0</v>
      </c>
      <c r="R371" s="7" t="n">
        <f aca="false">INDEX(Prices!R:R,VST_Assets!$AN$13)*VST_Assets!$J$13-VST_Assets!$K$13*R370-VST_Assets!$M$13*R$4</f>
        <v>0</v>
      </c>
      <c r="S371" s="7" t="n">
        <f aca="false">INDEX(Prices!S:S,VST_Assets!$AN$13)*VST_Assets!$J$13-VST_Assets!$K$13*S370-VST_Assets!$M$13*S$4</f>
        <v>0</v>
      </c>
      <c r="T371" s="7" t="n">
        <f aca="false">INDEX(Prices!T:T,VST_Assets!$AN$13)*VST_Assets!$J$13-VST_Assets!$K$13*T370-VST_Assets!$M$13*T$4</f>
        <v>0</v>
      </c>
      <c r="U371" s="7" t="n">
        <f aca="false">INDEX(Prices!U:U,VST_Assets!$AN$13)*VST_Assets!$J$13-VST_Assets!$K$13*U370-VST_Assets!$M$13*U$4</f>
        <v>0</v>
      </c>
      <c r="V371" s="7" t="n">
        <f aca="false">INDEX(Prices!V:V,VST_Assets!$AN$13)*VST_Assets!$J$13-VST_Assets!$K$13*V370-VST_Assets!$M$13*V$4</f>
        <v>0</v>
      </c>
      <c r="W371" s="7" t="n">
        <f aca="false">INDEX(Prices!W:W,VST_Assets!$AN$13)*VST_Assets!$J$13-VST_Assets!$K$13*W370-VST_Assets!$M$13*W$4</f>
        <v>0</v>
      </c>
      <c r="X371" s="7" t="n">
        <f aca="false">INDEX(Prices!X:X,VST_Assets!$AN$13)*VST_Assets!$J$13-VST_Assets!$K$13*X370-VST_Assets!$M$13*X$4</f>
        <v>0</v>
      </c>
      <c r="Y371" s="7" t="n">
        <f aca="false">INDEX(Prices!Y:Y,VST_Assets!$AN$13)*VST_Assets!$J$13-VST_Assets!$K$13*Y370-VST_Assets!$M$13*Y$4</f>
        <v>0</v>
      </c>
      <c r="Z371" s="7" t="n">
        <f aca="false">INDEX(Prices!Z:Z,VST_Assets!$AN$13)*VST_Assets!$J$13-VST_Assets!$K$13*Z370-VST_Assets!$M$13*Z$4</f>
        <v>0</v>
      </c>
      <c r="AA371" s="7" t="n">
        <f aca="false">INDEX(Prices!AA:AA,VST_Assets!$AN$13)*VST_Assets!$J$13-VST_Assets!$K$13*AA370-VST_Assets!$M$13*AA$4</f>
        <v>0</v>
      </c>
      <c r="AB371" s="7" t="n">
        <f aca="false">INDEX(Prices!AB:AB,VST_Assets!$AN$13)*VST_Assets!$J$13-VST_Assets!$K$13*AB370-VST_Assets!$M$13*AB$4</f>
        <v>0</v>
      </c>
      <c r="AC371" s="7" t="n">
        <f aca="false">INDEX(Prices!AC:AC,VST_Assets!$AN$13)*VST_Assets!$J$13-VST_Assets!$K$13*AC370-VST_Assets!$M$13*AC$4</f>
        <v>0</v>
      </c>
      <c r="AD371" s="7" t="n">
        <f aca="false">INDEX(Prices!AD:AD,VST_Assets!$AN$13)*VST_Assets!$J$13-VST_Assets!$K$13*AD370-VST_Assets!$M$13*AD$4</f>
        <v>0</v>
      </c>
      <c r="AE371" s="7" t="n">
        <f aca="false">INDEX(Prices!AE:AE,VST_Assets!$AN$13)*VST_Assets!$J$13-VST_Assets!$K$13*AE370-VST_Assets!$M$13*AE$4</f>
        <v>0</v>
      </c>
      <c r="AF371" s="7" t="n">
        <f aca="false">INDEX(Prices!AF:AF,VST_Assets!$AN$13)*VST_Assets!$J$13-VST_Assets!$K$13*AF370-VST_Assets!$M$13*AF$4</f>
        <v>0</v>
      </c>
      <c r="AG371" s="7" t="n">
        <f aca="false">INDEX(Prices!AG:AG,VST_Assets!$AN$13)*VST_Assets!$J$13-VST_Assets!$K$13*AG370-VST_Assets!$M$13*AG$4</f>
        <v>0</v>
      </c>
      <c r="AH371" s="7" t="n">
        <f aca="false">INDEX(Prices!AH:AH,VST_Assets!$AN$13)*VST_Assets!$J$13-VST_Assets!$K$13*AH370-VST_Assets!$M$13*AH$4</f>
        <v>0</v>
      </c>
      <c r="AI371" s="7" t="n">
        <f aca="false">INDEX(Prices!AI:AI,VST_Assets!$AN$13)*VST_Assets!$J$13-VST_Assets!$K$13*AI370-VST_Assets!$M$13*AI$4</f>
        <v>0</v>
      </c>
      <c r="AJ371" s="7" t="n">
        <f aca="false">INDEX(Prices!AJ:AJ,VST_Assets!$AN$13)*VST_Assets!$J$13-VST_Assets!$K$13*AJ370-VST_Assets!$M$13*AJ$4</f>
        <v>0</v>
      </c>
      <c r="AK371" s="7" t="n">
        <f aca="false">INDEX(Prices!AK:AK,VST_Assets!$AN$13)*VST_Assets!$J$13-VST_Assets!$K$13*AK370-VST_Assets!$M$13*AK$4</f>
        <v>0</v>
      </c>
      <c r="AL371" s="7" t="n">
        <f aca="false">INDEX(Prices!AL:AL,VST_Assets!$AN$13)*VST_Assets!$J$13-VST_Assets!$K$13*AL370-VST_Assets!$M$13*AL$4</f>
        <v>0</v>
      </c>
      <c r="AM371" s="7" t="n">
        <f aca="false">INDEX(Prices!AM:AM,VST_Assets!$AN$13)*VST_Assets!$J$13-VST_Assets!$K$13*AM370-VST_Assets!$M$13*AM$4</f>
        <v>0</v>
      </c>
      <c r="AN371" s="7" t="n">
        <f aca="false">INDEX(Prices!AN:AN,VST_Assets!$AN$13)*VST_Assets!$J$13-VST_Assets!$K$13*AN370-VST_Assets!$M$13*AN$4</f>
        <v>0</v>
      </c>
      <c r="AO371" s="7" t="n">
        <f aca="false">INDEX(Prices!AO:AO,VST_Assets!$AN$13)*VST_Assets!$J$13-VST_Assets!$K$13*AO370-VST_Assets!$M$13*AO$4</f>
        <v>0</v>
      </c>
      <c r="AP371" s="7" t="n">
        <f aca="false">INDEX(Prices!AP:AP,VST_Assets!$AN$13)*VST_Assets!$J$13-VST_Assets!$K$13*AP370-VST_Assets!$M$13*AP$4</f>
        <v>0</v>
      </c>
      <c r="AQ371" s="7" t="n">
        <f aca="false">INDEX(Prices!AQ:AQ,VST_Assets!$AN$13)*VST_Assets!$J$13-VST_Assets!$K$13*AQ370-VST_Assets!$M$13*AQ$4</f>
        <v>0</v>
      </c>
      <c r="AR371" s="7" t="n">
        <f aca="false">INDEX(Prices!AR:AR,VST_Assets!$AN$13)*VST_Assets!$J$13-VST_Assets!$K$13*AR370-VST_Assets!$M$13*AR$4</f>
        <v>0</v>
      </c>
      <c r="AS371" s="7" t="n">
        <f aca="false">INDEX(Prices!AS:AS,VST_Assets!$AN$13)*VST_Assets!$J$13-VST_Assets!$K$13*AS370-VST_Assets!$M$13*AS$4</f>
        <v>0</v>
      </c>
    </row>
    <row r="372" customFormat="false" ht="15" hidden="false" customHeight="false" outlineLevel="0" collapsed="false">
      <c r="A372" s="6" t="s">
        <v>437</v>
      </c>
      <c r="B372" s="6" t="s">
        <v>438</v>
      </c>
      <c r="G372" s="47" t="n">
        <f aca="false">IF(VST_Assets!$X$13=1,IF(G371&gt;0,1,0),1)</f>
        <v>1</v>
      </c>
      <c r="H372" s="47" t="n">
        <f aca="false">IF(VST_Assets!$X$13=1,IF(H371&gt;0,1,0),1)</f>
        <v>1</v>
      </c>
      <c r="I372" s="47" t="n">
        <f aca="false">IF(VST_Assets!$X$13=1,IF(I371&gt;0,1,0),1)</f>
        <v>1</v>
      </c>
      <c r="J372" s="47" t="n">
        <f aca="false">IF(VST_Assets!$X$13=1,IF(J371&gt;0,1,0),1)</f>
        <v>1</v>
      </c>
      <c r="K372" s="47" t="n">
        <f aca="false">IF(VST_Assets!$X$13=1,IF(K371&gt;0,1,0),1)</f>
        <v>1</v>
      </c>
      <c r="L372" s="47" t="n">
        <f aca="false">IF(VST_Assets!$X$13=1,IF(L371&gt;0,1,0),1)</f>
        <v>1</v>
      </c>
      <c r="M372" s="47" t="n">
        <f aca="false">IF(VST_Assets!$X$13=1,IF(M371&gt;0,1,0),1)</f>
        <v>1</v>
      </c>
      <c r="N372" s="47" t="n">
        <f aca="false">IF(VST_Assets!$X$13=1,IF(N371&gt;0,1,0),1)</f>
        <v>1</v>
      </c>
      <c r="O372" s="47" t="n">
        <f aca="false">IF(VST_Assets!$X$13=1,IF(O371&gt;0,1,0),1)</f>
        <v>1</v>
      </c>
      <c r="P372" s="47" t="n">
        <f aca="false">IF(VST_Assets!$X$13=1,IF(P371&gt;0,1,0),1)</f>
        <v>1</v>
      </c>
      <c r="Q372" s="47" t="n">
        <f aca="false">IF(VST_Assets!$X$13=1,IF(Q371&gt;0,1,0),1)</f>
        <v>1</v>
      </c>
      <c r="R372" s="47" t="n">
        <f aca="false">IF(VST_Assets!$X$13=1,IF(R371&gt;0,1,0),1)</f>
        <v>1</v>
      </c>
      <c r="S372" s="47" t="n">
        <f aca="false">IF(VST_Assets!$X$13=1,IF(S371&gt;0,1,0),1)</f>
        <v>1</v>
      </c>
      <c r="T372" s="47" t="n">
        <f aca="false">IF(VST_Assets!$X$13=1,IF(T371&gt;0,1,0),1)</f>
        <v>1</v>
      </c>
      <c r="U372" s="47" t="n">
        <f aca="false">IF(VST_Assets!$X$13=1,IF(U371&gt;0,1,0),1)</f>
        <v>1</v>
      </c>
      <c r="V372" s="47" t="n">
        <f aca="false">IF(VST_Assets!$X$13=1,IF(V371&gt;0,1,0),1)</f>
        <v>1</v>
      </c>
      <c r="W372" s="47" t="n">
        <f aca="false">IF(VST_Assets!$X$13=1,IF(W371&gt;0,1,0),1)</f>
        <v>1</v>
      </c>
      <c r="X372" s="47" t="n">
        <f aca="false">IF(VST_Assets!$X$13=1,IF(X371&gt;0,1,0),1)</f>
        <v>1</v>
      </c>
      <c r="Y372" s="47" t="n">
        <f aca="false">IF(VST_Assets!$X$13=1,IF(Y371&gt;0,1,0),1)</f>
        <v>1</v>
      </c>
      <c r="Z372" s="47" t="n">
        <f aca="false">IF(VST_Assets!$X$13=1,IF(Z371&gt;0,1,0),1)</f>
        <v>1</v>
      </c>
      <c r="AA372" s="47" t="n">
        <f aca="false">IF(VST_Assets!$X$13=1,IF(AA371&gt;0,1,0),1)</f>
        <v>1</v>
      </c>
      <c r="AB372" s="47" t="n">
        <f aca="false">IF(VST_Assets!$X$13=1,IF(AB371&gt;0,1,0),1)</f>
        <v>1</v>
      </c>
      <c r="AC372" s="47" t="n">
        <f aca="false">IF(VST_Assets!$X$13=1,IF(AC371&gt;0,1,0),1)</f>
        <v>1</v>
      </c>
      <c r="AD372" s="47" t="n">
        <f aca="false">IF(VST_Assets!$X$13=1,IF(AD371&gt;0,1,0),1)</f>
        <v>1</v>
      </c>
      <c r="AE372" s="47" t="n">
        <f aca="false">IF(VST_Assets!$X$13=1,IF(AE371&gt;0,1,0),1)</f>
        <v>1</v>
      </c>
      <c r="AF372" s="47" t="n">
        <f aca="false">IF(VST_Assets!$X$13=1,IF(AF371&gt;0,1,0),1)</f>
        <v>1</v>
      </c>
      <c r="AG372" s="47" t="n">
        <f aca="false">IF(VST_Assets!$X$13=1,IF(AG371&gt;0,1,0),1)</f>
        <v>1</v>
      </c>
      <c r="AH372" s="47" t="n">
        <f aca="false">IF(VST_Assets!$X$13=1,IF(AH371&gt;0,1,0),1)</f>
        <v>1</v>
      </c>
      <c r="AI372" s="47" t="n">
        <f aca="false">IF(VST_Assets!$X$13=1,IF(AI371&gt;0,1,0),1)</f>
        <v>1</v>
      </c>
      <c r="AJ372" s="47" t="n">
        <f aca="false">IF(VST_Assets!$X$13=1,IF(AJ371&gt;0,1,0),1)</f>
        <v>1</v>
      </c>
      <c r="AK372" s="47" t="n">
        <f aca="false">IF(VST_Assets!$X$13=1,IF(AK371&gt;0,1,0),1)</f>
        <v>1</v>
      </c>
      <c r="AL372" s="47" t="n">
        <f aca="false">IF(VST_Assets!$X$13=1,IF(AL371&gt;0,1,0),1)</f>
        <v>1</v>
      </c>
      <c r="AM372" s="47" t="n">
        <f aca="false">IF(VST_Assets!$X$13=1,IF(AM371&gt;0,1,0),1)</f>
        <v>1</v>
      </c>
      <c r="AN372" s="47" t="n">
        <f aca="false">IF(VST_Assets!$X$13=1,IF(AN371&gt;0,1,0),1)</f>
        <v>1</v>
      </c>
      <c r="AO372" s="47" t="n">
        <f aca="false">IF(VST_Assets!$X$13=1,IF(AO371&gt;0,1,0),1)</f>
        <v>1</v>
      </c>
      <c r="AP372" s="47" t="n">
        <f aca="false">IF(VST_Assets!$X$13=1,IF(AP371&gt;0,1,0),1)</f>
        <v>1</v>
      </c>
      <c r="AQ372" s="47" t="n">
        <f aca="false">IF(VST_Assets!$X$13=1,IF(AQ371&gt;0,1,0),1)</f>
        <v>1</v>
      </c>
      <c r="AR372" s="47" t="n">
        <f aca="false">IF(VST_Assets!$X$13=1,IF(AR371&gt;0,1,0),1)</f>
        <v>1</v>
      </c>
      <c r="AS372" s="47" t="n">
        <f aca="false">IF(VST_Assets!$X$13=1,IF(AS371&gt;0,1,0),1)</f>
        <v>1</v>
      </c>
    </row>
    <row r="373" customFormat="false" ht="15" hidden="false" customHeight="false" outlineLevel="0" collapsed="false">
      <c r="A373" s="6" t="s">
        <v>439</v>
      </c>
      <c r="B373" s="6" t="s">
        <v>440</v>
      </c>
      <c r="C373" s="9" t="n">
        <f aca="false">SUM(G373:AS373)</f>
        <v>0</v>
      </c>
      <c r="G373" s="8" t="n">
        <f aca="false">G368*INDEX(Prices!G:G,VST_Assets!$AN$13)*VST_Assets!$J$13*G372/1000000*(1+VST_RevAdj)</f>
        <v>0</v>
      </c>
      <c r="H373" s="8" t="n">
        <f aca="false">H368*INDEX(Prices!H:H,VST_Assets!$AN$13)*VST_Assets!$J$13*H372/1000000*(1+VST_RevAdj)</f>
        <v>0</v>
      </c>
      <c r="I373" s="8" t="n">
        <f aca="false">I368*INDEX(Prices!I:I,VST_Assets!$AN$13)*VST_Assets!$J$13*I372/1000000*(1+VST_RevAdj)</f>
        <v>0</v>
      </c>
      <c r="J373" s="8" t="n">
        <f aca="false">J368*INDEX(Prices!J:J,VST_Assets!$AN$13)*VST_Assets!$J$13*J372/1000000*(1+VST_RevAdj)</f>
        <v>0</v>
      </c>
      <c r="K373" s="8" t="n">
        <f aca="false">K368*INDEX(Prices!K:K,VST_Assets!$AN$13)*VST_Assets!$J$13*K372/1000000*(1+VST_RevAdj)</f>
        <v>0</v>
      </c>
      <c r="L373" s="8" t="n">
        <f aca="false">L368*INDEX(Prices!L:L,VST_Assets!$AN$13)*VST_Assets!$J$13*L372/1000000*(1+VST_RevAdj)</f>
        <v>0</v>
      </c>
      <c r="M373" s="8" t="n">
        <f aca="false">M368*INDEX(Prices!M:M,VST_Assets!$AN$13)*VST_Assets!$J$13*M372/1000000*(1+VST_RevAdj)</f>
        <v>0</v>
      </c>
      <c r="N373" s="8" t="n">
        <f aca="false">N368*INDEX(Prices!N:N,VST_Assets!$AN$13)*VST_Assets!$J$13*N372/1000000*(1+VST_RevAdj)</f>
        <v>0</v>
      </c>
      <c r="O373" s="8" t="n">
        <f aca="false">O368*INDEX(Prices!O:O,VST_Assets!$AN$13)*VST_Assets!$J$13*O372/1000000*(1+VST_RevAdj)</f>
        <v>0</v>
      </c>
      <c r="P373" s="8" t="n">
        <f aca="false">P368*INDEX(Prices!P:P,VST_Assets!$AN$13)*VST_Assets!$J$13*P372/1000000*(1+VST_RevAdj)</f>
        <v>0</v>
      </c>
      <c r="Q373" s="8" t="n">
        <f aca="false">Q368*INDEX(Prices!Q:Q,VST_Assets!$AN$13)*VST_Assets!$J$13*Q372/1000000*(1+VST_RevAdj)</f>
        <v>0</v>
      </c>
      <c r="R373" s="8" t="n">
        <f aca="false">R368*INDEX(Prices!R:R,VST_Assets!$AN$13)*VST_Assets!$J$13*R372/1000000*(1+VST_RevAdj)</f>
        <v>0</v>
      </c>
      <c r="S373" s="8" t="n">
        <f aca="false">S368*INDEX(Prices!S:S,VST_Assets!$AN$13)*VST_Assets!$J$13*S372/1000000*(1+VST_RevAdj)</f>
        <v>0</v>
      </c>
      <c r="T373" s="8" t="n">
        <f aca="false">T368*INDEX(Prices!T:T,VST_Assets!$AN$13)*VST_Assets!$J$13*T372/1000000*(1+VST_RevAdj)</f>
        <v>0</v>
      </c>
      <c r="U373" s="8" t="n">
        <f aca="false">U368*INDEX(Prices!U:U,VST_Assets!$AN$13)*VST_Assets!$J$13*U372/1000000*(1+VST_RevAdj)</f>
        <v>0</v>
      </c>
      <c r="V373" s="8" t="n">
        <f aca="false">V368*INDEX(Prices!V:V,VST_Assets!$AN$13)*VST_Assets!$J$13*V372/1000000*(1+VST_RevAdj)</f>
        <v>0</v>
      </c>
      <c r="W373" s="8" t="n">
        <f aca="false">W368*INDEX(Prices!W:W,VST_Assets!$AN$13)*VST_Assets!$J$13*W372/1000000*(1+VST_RevAdj)</f>
        <v>0</v>
      </c>
      <c r="X373" s="8" t="n">
        <f aca="false">X368*INDEX(Prices!X:X,VST_Assets!$AN$13)*VST_Assets!$J$13*X372/1000000*(1+VST_RevAdj)</f>
        <v>0</v>
      </c>
      <c r="Y373" s="8" t="n">
        <f aca="false">Y368*INDEX(Prices!Y:Y,VST_Assets!$AN$13)*VST_Assets!$J$13*Y372/1000000*(1+VST_RevAdj)</f>
        <v>0</v>
      </c>
      <c r="Z373" s="8" t="n">
        <f aca="false">Z368*INDEX(Prices!Z:Z,VST_Assets!$AN$13)*VST_Assets!$J$13*Z372/1000000*(1+VST_RevAdj)</f>
        <v>0</v>
      </c>
      <c r="AA373" s="8" t="n">
        <f aca="false">AA368*INDEX(Prices!AA:AA,VST_Assets!$AN$13)*VST_Assets!$J$13*AA372/1000000*(1+VST_RevAdj)</f>
        <v>0</v>
      </c>
      <c r="AB373" s="8" t="n">
        <f aca="false">AB368*INDEX(Prices!AB:AB,VST_Assets!$AN$13)*VST_Assets!$J$13*AB372/1000000*(1+VST_RevAdj)</f>
        <v>0</v>
      </c>
      <c r="AC373" s="8" t="n">
        <f aca="false">AC368*INDEX(Prices!AC:AC,VST_Assets!$AN$13)*VST_Assets!$J$13*AC372/1000000*(1+VST_RevAdj)</f>
        <v>0</v>
      </c>
      <c r="AD373" s="8" t="n">
        <f aca="false">AD368*INDEX(Prices!AD:AD,VST_Assets!$AN$13)*VST_Assets!$J$13*AD372/1000000*(1+VST_RevAdj)</f>
        <v>0</v>
      </c>
      <c r="AE373" s="8" t="n">
        <f aca="false">AE368*INDEX(Prices!AE:AE,VST_Assets!$AN$13)*VST_Assets!$J$13*AE372/1000000*(1+VST_RevAdj)</f>
        <v>0</v>
      </c>
      <c r="AF373" s="8" t="n">
        <f aca="false">AF368*INDEX(Prices!AF:AF,VST_Assets!$AN$13)*VST_Assets!$J$13*AF372/1000000*(1+VST_RevAdj)</f>
        <v>0</v>
      </c>
      <c r="AG373" s="8" t="n">
        <f aca="false">AG368*INDEX(Prices!AG:AG,VST_Assets!$AN$13)*VST_Assets!$J$13*AG372/1000000*(1+VST_RevAdj)</f>
        <v>0</v>
      </c>
      <c r="AH373" s="8" t="n">
        <f aca="false">AH368*INDEX(Prices!AH:AH,VST_Assets!$AN$13)*VST_Assets!$J$13*AH372/1000000*(1+VST_RevAdj)</f>
        <v>0</v>
      </c>
      <c r="AI373" s="8" t="n">
        <f aca="false">AI368*INDEX(Prices!AI:AI,VST_Assets!$AN$13)*VST_Assets!$J$13*AI372/1000000*(1+VST_RevAdj)</f>
        <v>0</v>
      </c>
      <c r="AJ373" s="8" t="n">
        <f aca="false">AJ368*INDEX(Prices!AJ:AJ,VST_Assets!$AN$13)*VST_Assets!$J$13*AJ372/1000000*(1+VST_RevAdj)</f>
        <v>0</v>
      </c>
      <c r="AK373" s="8" t="n">
        <f aca="false">AK368*INDEX(Prices!AK:AK,VST_Assets!$AN$13)*VST_Assets!$J$13*AK372/1000000*(1+VST_RevAdj)</f>
        <v>0</v>
      </c>
      <c r="AL373" s="8" t="n">
        <f aca="false">AL368*INDEX(Prices!AL:AL,VST_Assets!$AN$13)*VST_Assets!$J$13*AL372/1000000*(1+VST_RevAdj)</f>
        <v>0</v>
      </c>
      <c r="AM373" s="8" t="n">
        <f aca="false">AM368*INDEX(Prices!AM:AM,VST_Assets!$AN$13)*VST_Assets!$J$13*AM372/1000000*(1+VST_RevAdj)</f>
        <v>0</v>
      </c>
      <c r="AN373" s="8" t="n">
        <f aca="false">AN368*INDEX(Prices!AN:AN,VST_Assets!$AN$13)*VST_Assets!$J$13*AN372/1000000*(1+VST_RevAdj)</f>
        <v>0</v>
      </c>
      <c r="AO373" s="8" t="n">
        <f aca="false">AO368*INDEX(Prices!AO:AO,VST_Assets!$AN$13)*VST_Assets!$J$13*AO372/1000000*(1+VST_RevAdj)</f>
        <v>0</v>
      </c>
      <c r="AP373" s="8" t="n">
        <f aca="false">AP368*INDEX(Prices!AP:AP,VST_Assets!$AN$13)*VST_Assets!$J$13*AP372/1000000*(1+VST_RevAdj)</f>
        <v>0</v>
      </c>
      <c r="AQ373" s="8" t="n">
        <f aca="false">AQ368*INDEX(Prices!AQ:AQ,VST_Assets!$AN$13)*VST_Assets!$J$13*AQ372/1000000*(1+VST_RevAdj)</f>
        <v>0</v>
      </c>
      <c r="AR373" s="8" t="n">
        <f aca="false">AR368*INDEX(Prices!AR:AR,VST_Assets!$AN$13)*VST_Assets!$J$13*AR372/1000000*(1+VST_RevAdj)</f>
        <v>0</v>
      </c>
      <c r="AS373" s="8" t="n">
        <f aca="false">AS368*INDEX(Prices!AS:AS,VST_Assets!$AN$13)*VST_Assets!$J$13*AS372/1000000*(1+VST_RevAdj)</f>
        <v>0</v>
      </c>
    </row>
    <row r="374" customFormat="false" ht="15" hidden="false" customHeight="false" outlineLevel="0" collapsed="false">
      <c r="A374" s="6" t="s">
        <v>441</v>
      </c>
      <c r="B374" s="6" t="s">
        <v>442</v>
      </c>
      <c r="C374" s="9" t="n">
        <f aca="false">SUM(G374:AS374)</f>
        <v>0</v>
      </c>
      <c r="G374" s="8" t="n">
        <f aca="false">(VST_Assets!$D$13-G367)*INDEX(Prices!G:G,VST_Assets!$AP$13)*365*VST_Assets!$T$13*G366/1000000*(1+VST_RevAdj)</f>
        <v>0</v>
      </c>
      <c r="H374" s="8" t="n">
        <f aca="false">(VST_Assets!$D$13-H367)*INDEX(Prices!H:H,VST_Assets!$AP$13)*365*VST_Assets!$T$13*H366/1000000*(1+VST_RevAdj)</f>
        <v>0</v>
      </c>
      <c r="I374" s="8" t="n">
        <f aca="false">(VST_Assets!$D$13-I367)*INDEX(Prices!I:I,VST_Assets!$AP$13)*365*VST_Assets!$T$13*I366/1000000*(1+VST_RevAdj)</f>
        <v>0</v>
      </c>
      <c r="J374" s="8" t="n">
        <f aca="false">(VST_Assets!$D$13-J367)*INDEX(Prices!J:J,VST_Assets!$AP$13)*365*VST_Assets!$T$13*J366/1000000*(1+VST_RevAdj)</f>
        <v>0</v>
      </c>
      <c r="K374" s="8" t="n">
        <f aca="false">(VST_Assets!$D$13-K367)*INDEX(Prices!K:K,VST_Assets!$AP$13)*365*VST_Assets!$T$13*K366/1000000*(1+VST_RevAdj)</f>
        <v>0</v>
      </c>
      <c r="L374" s="8" t="n">
        <f aca="false">(VST_Assets!$D$13-L367)*INDEX(Prices!L:L,VST_Assets!$AP$13)*365*VST_Assets!$T$13*L366/1000000*(1+VST_RevAdj)</f>
        <v>0</v>
      </c>
      <c r="M374" s="8" t="n">
        <f aca="false">(VST_Assets!$D$13-M367)*INDEX(Prices!M:M,VST_Assets!$AP$13)*365*VST_Assets!$T$13*M366/1000000*(1+VST_RevAdj)</f>
        <v>0</v>
      </c>
      <c r="N374" s="8" t="n">
        <f aca="false">(VST_Assets!$D$13-N367)*INDEX(Prices!N:N,VST_Assets!$AP$13)*365*VST_Assets!$T$13*N366/1000000*(1+VST_RevAdj)</f>
        <v>0</v>
      </c>
      <c r="O374" s="8" t="n">
        <f aca="false">(VST_Assets!$D$13-O367)*INDEX(Prices!O:O,VST_Assets!$AP$13)*365*VST_Assets!$T$13*O366/1000000*(1+VST_RevAdj)</f>
        <v>0</v>
      </c>
      <c r="P374" s="8" t="n">
        <f aca="false">(VST_Assets!$D$13-P367)*INDEX(Prices!P:P,VST_Assets!$AP$13)*365*VST_Assets!$T$13*P366/1000000*(1+VST_RevAdj)</f>
        <v>0</v>
      </c>
      <c r="Q374" s="8" t="n">
        <f aca="false">(VST_Assets!$D$13-Q367)*INDEX(Prices!Q:Q,VST_Assets!$AP$13)*365*VST_Assets!$T$13*Q366/1000000*(1+VST_RevAdj)</f>
        <v>0</v>
      </c>
      <c r="R374" s="8" t="n">
        <f aca="false">(VST_Assets!$D$13-R367)*INDEX(Prices!R:R,VST_Assets!$AP$13)*365*VST_Assets!$T$13*R366/1000000*(1+VST_RevAdj)</f>
        <v>0</v>
      </c>
      <c r="S374" s="8" t="n">
        <f aca="false">(VST_Assets!$D$13-S367)*INDEX(Prices!S:S,VST_Assets!$AP$13)*365*VST_Assets!$T$13*S366/1000000*(1+VST_RevAdj)</f>
        <v>0</v>
      </c>
      <c r="T374" s="8" t="n">
        <f aca="false">(VST_Assets!$D$13-T367)*INDEX(Prices!T:T,VST_Assets!$AP$13)*365*VST_Assets!$T$13*T366/1000000*(1+VST_RevAdj)</f>
        <v>0</v>
      </c>
      <c r="U374" s="8" t="n">
        <f aca="false">(VST_Assets!$D$13-U367)*INDEX(Prices!U:U,VST_Assets!$AP$13)*365*VST_Assets!$T$13*U366/1000000*(1+VST_RevAdj)</f>
        <v>0</v>
      </c>
      <c r="V374" s="8" t="n">
        <f aca="false">(VST_Assets!$D$13-V367)*INDEX(Prices!V:V,VST_Assets!$AP$13)*365*VST_Assets!$T$13*V366/1000000*(1+VST_RevAdj)</f>
        <v>0</v>
      </c>
      <c r="W374" s="8" t="n">
        <f aca="false">(VST_Assets!$D$13-W367)*INDEX(Prices!W:W,VST_Assets!$AP$13)*365*VST_Assets!$T$13*W366/1000000*(1+VST_RevAdj)</f>
        <v>0</v>
      </c>
      <c r="X374" s="8" t="n">
        <f aca="false">(VST_Assets!$D$13-X367)*INDEX(Prices!X:X,VST_Assets!$AP$13)*365*VST_Assets!$T$13*X366/1000000*(1+VST_RevAdj)</f>
        <v>0</v>
      </c>
      <c r="Y374" s="8" t="n">
        <f aca="false">(VST_Assets!$D$13-Y367)*INDEX(Prices!Y:Y,VST_Assets!$AP$13)*365*VST_Assets!$T$13*Y366/1000000*(1+VST_RevAdj)</f>
        <v>0</v>
      </c>
      <c r="Z374" s="8" t="n">
        <f aca="false">(VST_Assets!$D$13-Z367)*INDEX(Prices!Z:Z,VST_Assets!$AP$13)*365*VST_Assets!$T$13*Z366/1000000*(1+VST_RevAdj)</f>
        <v>0</v>
      </c>
      <c r="AA374" s="8" t="n">
        <f aca="false">(VST_Assets!$D$13-AA367)*INDEX(Prices!AA:AA,VST_Assets!$AP$13)*365*VST_Assets!$T$13*AA366/1000000*(1+VST_RevAdj)</f>
        <v>0</v>
      </c>
      <c r="AB374" s="8" t="n">
        <f aca="false">(VST_Assets!$D$13-AB367)*INDEX(Prices!AB:AB,VST_Assets!$AP$13)*365*VST_Assets!$T$13*AB366/1000000*(1+VST_RevAdj)</f>
        <v>0</v>
      </c>
      <c r="AC374" s="8" t="n">
        <f aca="false">(VST_Assets!$D$13-AC367)*INDEX(Prices!AC:AC,VST_Assets!$AP$13)*365*VST_Assets!$T$13*AC366/1000000*(1+VST_RevAdj)</f>
        <v>0</v>
      </c>
      <c r="AD374" s="8" t="n">
        <f aca="false">(VST_Assets!$D$13-AD367)*INDEX(Prices!AD:AD,VST_Assets!$AP$13)*365*VST_Assets!$T$13*AD366/1000000*(1+VST_RevAdj)</f>
        <v>0</v>
      </c>
      <c r="AE374" s="8" t="n">
        <f aca="false">(VST_Assets!$D$13-AE367)*INDEX(Prices!AE:AE,VST_Assets!$AP$13)*365*VST_Assets!$T$13*AE366/1000000*(1+VST_RevAdj)</f>
        <v>0</v>
      </c>
      <c r="AF374" s="8" t="n">
        <f aca="false">(VST_Assets!$D$13-AF367)*INDEX(Prices!AF:AF,VST_Assets!$AP$13)*365*VST_Assets!$T$13*AF366/1000000*(1+VST_RevAdj)</f>
        <v>0</v>
      </c>
      <c r="AG374" s="8" t="n">
        <f aca="false">(VST_Assets!$D$13-AG367)*INDEX(Prices!AG:AG,VST_Assets!$AP$13)*365*VST_Assets!$T$13*AG366/1000000*(1+VST_RevAdj)</f>
        <v>0</v>
      </c>
      <c r="AH374" s="8" t="n">
        <f aca="false">(VST_Assets!$D$13-AH367)*INDEX(Prices!AH:AH,VST_Assets!$AP$13)*365*VST_Assets!$T$13*AH366/1000000*(1+VST_RevAdj)</f>
        <v>0</v>
      </c>
      <c r="AI374" s="8" t="n">
        <f aca="false">(VST_Assets!$D$13-AI367)*INDEX(Prices!AI:AI,VST_Assets!$AP$13)*365*VST_Assets!$T$13*AI366/1000000*(1+VST_RevAdj)</f>
        <v>0</v>
      </c>
      <c r="AJ374" s="8" t="n">
        <f aca="false">(VST_Assets!$D$13-AJ367)*INDEX(Prices!AJ:AJ,VST_Assets!$AP$13)*365*VST_Assets!$T$13*AJ366/1000000*(1+VST_RevAdj)</f>
        <v>0</v>
      </c>
      <c r="AK374" s="8" t="n">
        <f aca="false">(VST_Assets!$D$13-AK367)*INDEX(Prices!AK:AK,VST_Assets!$AP$13)*365*VST_Assets!$T$13*AK366/1000000*(1+VST_RevAdj)</f>
        <v>0</v>
      </c>
      <c r="AL374" s="8" t="n">
        <f aca="false">(VST_Assets!$D$13-AL367)*INDEX(Prices!AL:AL,VST_Assets!$AP$13)*365*VST_Assets!$T$13*AL366/1000000*(1+VST_RevAdj)</f>
        <v>0</v>
      </c>
      <c r="AM374" s="8" t="n">
        <f aca="false">(VST_Assets!$D$13-AM367)*INDEX(Prices!AM:AM,VST_Assets!$AP$13)*365*VST_Assets!$T$13*AM366/1000000*(1+VST_RevAdj)</f>
        <v>0</v>
      </c>
      <c r="AN374" s="8" t="n">
        <f aca="false">(VST_Assets!$D$13-AN367)*INDEX(Prices!AN:AN,VST_Assets!$AP$13)*365*VST_Assets!$T$13*AN366/1000000*(1+VST_RevAdj)</f>
        <v>0</v>
      </c>
      <c r="AO374" s="8" t="n">
        <f aca="false">(VST_Assets!$D$13-AO367)*INDEX(Prices!AO:AO,VST_Assets!$AP$13)*365*VST_Assets!$T$13*AO366/1000000*(1+VST_RevAdj)</f>
        <v>0</v>
      </c>
      <c r="AP374" s="8" t="n">
        <f aca="false">(VST_Assets!$D$13-AP367)*INDEX(Prices!AP:AP,VST_Assets!$AP$13)*365*VST_Assets!$T$13*AP366/1000000*(1+VST_RevAdj)</f>
        <v>0</v>
      </c>
      <c r="AQ374" s="8" t="n">
        <f aca="false">(VST_Assets!$D$13-AQ367)*INDEX(Prices!AQ:AQ,VST_Assets!$AP$13)*365*VST_Assets!$T$13*AQ366/1000000*(1+VST_RevAdj)</f>
        <v>0</v>
      </c>
      <c r="AR374" s="8" t="n">
        <f aca="false">(VST_Assets!$D$13-AR367)*INDEX(Prices!AR:AR,VST_Assets!$AP$13)*365*VST_Assets!$T$13*AR366/1000000*(1+VST_RevAdj)</f>
        <v>0</v>
      </c>
      <c r="AS374" s="8" t="n">
        <f aca="false">(VST_Assets!$D$13-AS367)*INDEX(Prices!AS:AS,VST_Assets!$AP$13)*365*VST_Assets!$T$13*AS366/1000000*(1+VST_RevAdj)</f>
        <v>0</v>
      </c>
    </row>
    <row r="375" customFormat="false" ht="15" hidden="false" customHeight="false" outlineLevel="0" collapsed="false">
      <c r="A375" s="6" t="s">
        <v>443</v>
      </c>
      <c r="B375" s="6" t="s">
        <v>444</v>
      </c>
      <c r="C375" s="9" t="n">
        <f aca="false">SUM(G375:AS375)</f>
        <v>0</v>
      </c>
      <c r="G375" s="8" t="n">
        <f aca="false">G369*(VST_Assets!$AD$13+VST_PPAAdj)/1000000*(1+VST_RevAdj)</f>
        <v>0</v>
      </c>
      <c r="H375" s="8" t="n">
        <f aca="false">H369*(VST_Assets!$AD$13+VST_PPAAdj)/1000000*(1+VST_RevAdj)</f>
        <v>0</v>
      </c>
      <c r="I375" s="8" t="n">
        <f aca="false">I369*(VST_Assets!$AD$13+VST_PPAAdj)/1000000*(1+VST_RevAdj)</f>
        <v>0</v>
      </c>
      <c r="J375" s="8" t="n">
        <f aca="false">J369*(VST_Assets!$AD$13+VST_PPAAdj)/1000000*(1+VST_RevAdj)</f>
        <v>0</v>
      </c>
      <c r="K375" s="8" t="n">
        <f aca="false">K369*(VST_Assets!$AD$13+VST_PPAAdj)/1000000*(1+VST_RevAdj)</f>
        <v>0</v>
      </c>
      <c r="L375" s="8" t="n">
        <f aca="false">L369*(VST_Assets!$AD$13+VST_PPAAdj)/1000000*(1+VST_RevAdj)</f>
        <v>0</v>
      </c>
      <c r="M375" s="8" t="n">
        <f aca="false">M369*(VST_Assets!$AD$13+VST_PPAAdj)/1000000*(1+VST_RevAdj)</f>
        <v>0</v>
      </c>
      <c r="N375" s="8" t="n">
        <f aca="false">N369*(VST_Assets!$AD$13+VST_PPAAdj)/1000000*(1+VST_RevAdj)</f>
        <v>0</v>
      </c>
      <c r="O375" s="8" t="n">
        <f aca="false">O369*(VST_Assets!$AD$13+VST_PPAAdj)/1000000*(1+VST_RevAdj)</f>
        <v>0</v>
      </c>
      <c r="P375" s="8" t="n">
        <f aca="false">P369*(VST_Assets!$AD$13+VST_PPAAdj)/1000000*(1+VST_RevAdj)</f>
        <v>0</v>
      </c>
      <c r="Q375" s="8" t="n">
        <f aca="false">Q369*(VST_Assets!$AD$13+VST_PPAAdj)/1000000*(1+VST_RevAdj)</f>
        <v>0</v>
      </c>
      <c r="R375" s="8" t="n">
        <f aca="false">R369*(VST_Assets!$AD$13+VST_PPAAdj)/1000000*(1+VST_RevAdj)</f>
        <v>0</v>
      </c>
      <c r="S375" s="8" t="n">
        <f aca="false">S369*(VST_Assets!$AD$13+VST_PPAAdj)/1000000*(1+VST_RevAdj)</f>
        <v>0</v>
      </c>
      <c r="T375" s="8" t="n">
        <f aca="false">T369*(VST_Assets!$AD$13+VST_PPAAdj)/1000000*(1+VST_RevAdj)</f>
        <v>0</v>
      </c>
      <c r="U375" s="8" t="n">
        <f aca="false">U369*(VST_Assets!$AD$13+VST_PPAAdj)/1000000*(1+VST_RevAdj)</f>
        <v>0</v>
      </c>
      <c r="V375" s="8" t="n">
        <f aca="false">V369*(VST_Assets!$AD$13+VST_PPAAdj)/1000000*(1+VST_RevAdj)</f>
        <v>0</v>
      </c>
      <c r="W375" s="8" t="n">
        <f aca="false">W369*(VST_Assets!$AD$13+VST_PPAAdj)/1000000*(1+VST_RevAdj)</f>
        <v>0</v>
      </c>
      <c r="X375" s="8" t="n">
        <f aca="false">X369*(VST_Assets!$AD$13+VST_PPAAdj)/1000000*(1+VST_RevAdj)</f>
        <v>0</v>
      </c>
      <c r="Y375" s="8" t="n">
        <f aca="false">Y369*(VST_Assets!$AD$13+VST_PPAAdj)/1000000*(1+VST_RevAdj)</f>
        <v>0</v>
      </c>
      <c r="Z375" s="8" t="n">
        <f aca="false">Z369*(VST_Assets!$AD$13+VST_PPAAdj)/1000000*(1+VST_RevAdj)</f>
        <v>0</v>
      </c>
      <c r="AA375" s="8" t="n">
        <f aca="false">AA369*(VST_Assets!$AD$13+VST_PPAAdj)/1000000*(1+VST_RevAdj)</f>
        <v>0</v>
      </c>
      <c r="AB375" s="8" t="n">
        <f aca="false">AB369*(VST_Assets!$AD$13+VST_PPAAdj)/1000000*(1+VST_RevAdj)</f>
        <v>0</v>
      </c>
      <c r="AC375" s="8" t="n">
        <f aca="false">AC369*(VST_Assets!$AD$13+VST_PPAAdj)/1000000*(1+VST_RevAdj)</f>
        <v>0</v>
      </c>
      <c r="AD375" s="8" t="n">
        <f aca="false">AD369*(VST_Assets!$AD$13+VST_PPAAdj)/1000000*(1+VST_RevAdj)</f>
        <v>0</v>
      </c>
      <c r="AE375" s="8" t="n">
        <f aca="false">AE369*(VST_Assets!$AD$13+VST_PPAAdj)/1000000*(1+VST_RevAdj)</f>
        <v>0</v>
      </c>
      <c r="AF375" s="8" t="n">
        <f aca="false">AF369*(VST_Assets!$AD$13+VST_PPAAdj)/1000000*(1+VST_RevAdj)</f>
        <v>0</v>
      </c>
      <c r="AG375" s="8" t="n">
        <f aca="false">AG369*(VST_Assets!$AD$13+VST_PPAAdj)/1000000*(1+VST_RevAdj)</f>
        <v>0</v>
      </c>
      <c r="AH375" s="8" t="n">
        <f aca="false">AH369*(VST_Assets!$AD$13+VST_PPAAdj)/1000000*(1+VST_RevAdj)</f>
        <v>0</v>
      </c>
      <c r="AI375" s="8" t="n">
        <f aca="false">AI369*(VST_Assets!$AD$13+VST_PPAAdj)/1000000*(1+VST_RevAdj)</f>
        <v>0</v>
      </c>
      <c r="AJ375" s="8" t="n">
        <f aca="false">AJ369*(VST_Assets!$AD$13+VST_PPAAdj)/1000000*(1+VST_RevAdj)</f>
        <v>0</v>
      </c>
      <c r="AK375" s="8" t="n">
        <f aca="false">AK369*(VST_Assets!$AD$13+VST_PPAAdj)/1000000*(1+VST_RevAdj)</f>
        <v>0</v>
      </c>
      <c r="AL375" s="8" t="n">
        <f aca="false">AL369*(VST_Assets!$AD$13+VST_PPAAdj)/1000000*(1+VST_RevAdj)</f>
        <v>0</v>
      </c>
      <c r="AM375" s="8" t="n">
        <f aca="false">AM369*(VST_Assets!$AD$13+VST_PPAAdj)/1000000*(1+VST_RevAdj)</f>
        <v>0</v>
      </c>
      <c r="AN375" s="8" t="n">
        <f aca="false">AN369*(VST_Assets!$AD$13+VST_PPAAdj)/1000000*(1+VST_RevAdj)</f>
        <v>0</v>
      </c>
      <c r="AO375" s="8" t="n">
        <f aca="false">AO369*(VST_Assets!$AD$13+VST_PPAAdj)/1000000*(1+VST_RevAdj)</f>
        <v>0</v>
      </c>
      <c r="AP375" s="8" t="n">
        <f aca="false">AP369*(VST_Assets!$AD$13+VST_PPAAdj)/1000000*(1+VST_RevAdj)</f>
        <v>0</v>
      </c>
      <c r="AQ375" s="8" t="n">
        <f aca="false">AQ369*(VST_Assets!$AD$13+VST_PPAAdj)/1000000*(1+VST_RevAdj)</f>
        <v>0</v>
      </c>
      <c r="AR375" s="8" t="n">
        <f aca="false">AR369*(VST_Assets!$AD$13+VST_PPAAdj)/1000000*(1+VST_RevAdj)</f>
        <v>0</v>
      </c>
      <c r="AS375" s="8" t="n">
        <f aca="false">AS369*(VST_Assets!$AD$13+VST_PPAAdj)/1000000*(1+VST_RevAdj)</f>
        <v>0</v>
      </c>
    </row>
    <row r="376" customFormat="false" ht="15" hidden="false" customHeight="false" outlineLevel="0" collapsed="false">
      <c r="A376" s="6" t="s">
        <v>445</v>
      </c>
      <c r="B376" s="6" t="s">
        <v>446</v>
      </c>
      <c r="C376" s="9" t="n">
        <f aca="false">SUM(G376:AS376)</f>
        <v>0</v>
      </c>
      <c r="G376" s="8" t="n">
        <f aca="false">IF(G$3&lt;=VST_Assets!$V$13,G368*VST_Assets!$U$13,0)/1000000*(1+VST_RevAdj)</f>
        <v>0</v>
      </c>
      <c r="H376" s="8" t="n">
        <f aca="false">IF(H$3&lt;=VST_Assets!$V$13,H368*VST_Assets!$U$13,0)/1000000*(1+VST_RevAdj)</f>
        <v>0</v>
      </c>
      <c r="I376" s="8" t="n">
        <f aca="false">IF(I$3&lt;=VST_Assets!$V$13,I368*VST_Assets!$U$13,0)/1000000*(1+VST_RevAdj)</f>
        <v>0</v>
      </c>
      <c r="J376" s="8" t="n">
        <f aca="false">IF(J$3&lt;=VST_Assets!$V$13,J368*VST_Assets!$U$13,0)/1000000*(1+VST_RevAdj)</f>
        <v>0</v>
      </c>
      <c r="K376" s="8" t="n">
        <f aca="false">IF(K$3&lt;=VST_Assets!$V$13,K368*VST_Assets!$U$13,0)/1000000*(1+VST_RevAdj)</f>
        <v>0</v>
      </c>
      <c r="L376" s="8" t="n">
        <f aca="false">IF(L$3&lt;=VST_Assets!$V$13,L368*VST_Assets!$U$13,0)/1000000*(1+VST_RevAdj)</f>
        <v>0</v>
      </c>
      <c r="M376" s="8" t="n">
        <f aca="false">IF(M$3&lt;=VST_Assets!$V$13,M368*VST_Assets!$U$13,0)/1000000*(1+VST_RevAdj)</f>
        <v>0</v>
      </c>
      <c r="N376" s="8" t="n">
        <f aca="false">IF(N$3&lt;=VST_Assets!$V$13,N368*VST_Assets!$U$13,0)/1000000*(1+VST_RevAdj)</f>
        <v>0</v>
      </c>
      <c r="O376" s="8" t="n">
        <f aca="false">IF(O$3&lt;=VST_Assets!$V$13,O368*VST_Assets!$U$13,0)/1000000*(1+VST_RevAdj)</f>
        <v>0</v>
      </c>
      <c r="P376" s="8" t="n">
        <f aca="false">IF(P$3&lt;=VST_Assets!$V$13,P368*VST_Assets!$U$13,0)/1000000*(1+VST_RevAdj)</f>
        <v>0</v>
      </c>
      <c r="Q376" s="8" t="n">
        <f aca="false">IF(Q$3&lt;=VST_Assets!$V$13,Q368*VST_Assets!$U$13,0)/1000000*(1+VST_RevAdj)</f>
        <v>0</v>
      </c>
      <c r="R376" s="8" t="n">
        <f aca="false">IF(R$3&lt;=VST_Assets!$V$13,R368*VST_Assets!$U$13,0)/1000000*(1+VST_RevAdj)</f>
        <v>0</v>
      </c>
      <c r="S376" s="8" t="n">
        <f aca="false">IF(S$3&lt;=VST_Assets!$V$13,S368*VST_Assets!$U$13,0)/1000000*(1+VST_RevAdj)</f>
        <v>0</v>
      </c>
      <c r="T376" s="8" t="n">
        <f aca="false">IF(T$3&lt;=VST_Assets!$V$13,T368*VST_Assets!$U$13,0)/1000000*(1+VST_RevAdj)</f>
        <v>0</v>
      </c>
      <c r="U376" s="8" t="n">
        <f aca="false">IF(U$3&lt;=VST_Assets!$V$13,U368*VST_Assets!$U$13,0)/1000000*(1+VST_RevAdj)</f>
        <v>0</v>
      </c>
      <c r="V376" s="8" t="n">
        <f aca="false">IF(V$3&lt;=VST_Assets!$V$13,V368*VST_Assets!$U$13,0)/1000000*(1+VST_RevAdj)</f>
        <v>0</v>
      </c>
      <c r="W376" s="8" t="n">
        <f aca="false">IF(W$3&lt;=VST_Assets!$V$13,W368*VST_Assets!$U$13,0)/1000000*(1+VST_RevAdj)</f>
        <v>0</v>
      </c>
      <c r="X376" s="8" t="n">
        <f aca="false">IF(X$3&lt;=VST_Assets!$V$13,X368*VST_Assets!$U$13,0)/1000000*(1+VST_RevAdj)</f>
        <v>0</v>
      </c>
      <c r="Y376" s="8" t="n">
        <f aca="false">IF(Y$3&lt;=VST_Assets!$V$13,Y368*VST_Assets!$U$13,0)/1000000*(1+VST_RevAdj)</f>
        <v>0</v>
      </c>
      <c r="Z376" s="8" t="n">
        <f aca="false">IF(Z$3&lt;=VST_Assets!$V$13,Z368*VST_Assets!$U$13,0)/1000000*(1+VST_RevAdj)</f>
        <v>0</v>
      </c>
      <c r="AA376" s="8" t="n">
        <f aca="false">IF(AA$3&lt;=VST_Assets!$V$13,AA368*VST_Assets!$U$13,0)/1000000*(1+VST_RevAdj)</f>
        <v>0</v>
      </c>
      <c r="AB376" s="8" t="n">
        <f aca="false">IF(AB$3&lt;=VST_Assets!$V$13,AB368*VST_Assets!$U$13,0)/1000000*(1+VST_RevAdj)</f>
        <v>0</v>
      </c>
      <c r="AC376" s="8" t="n">
        <f aca="false">IF(AC$3&lt;=VST_Assets!$V$13,AC368*VST_Assets!$U$13,0)/1000000*(1+VST_RevAdj)</f>
        <v>0</v>
      </c>
      <c r="AD376" s="8" t="n">
        <f aca="false">IF(AD$3&lt;=VST_Assets!$V$13,AD368*VST_Assets!$U$13,0)/1000000*(1+VST_RevAdj)</f>
        <v>0</v>
      </c>
      <c r="AE376" s="8" t="n">
        <f aca="false">IF(AE$3&lt;=VST_Assets!$V$13,AE368*VST_Assets!$U$13,0)/1000000*(1+VST_RevAdj)</f>
        <v>0</v>
      </c>
      <c r="AF376" s="8" t="n">
        <f aca="false">IF(AF$3&lt;=VST_Assets!$V$13,AF368*VST_Assets!$U$13,0)/1000000*(1+VST_RevAdj)</f>
        <v>0</v>
      </c>
      <c r="AG376" s="8" t="n">
        <f aca="false">IF(AG$3&lt;=VST_Assets!$V$13,AG368*VST_Assets!$U$13,0)/1000000*(1+VST_RevAdj)</f>
        <v>0</v>
      </c>
      <c r="AH376" s="8" t="n">
        <f aca="false">IF(AH$3&lt;=VST_Assets!$V$13,AH368*VST_Assets!$U$13,0)/1000000*(1+VST_RevAdj)</f>
        <v>0</v>
      </c>
      <c r="AI376" s="8" t="n">
        <f aca="false">IF(AI$3&lt;=VST_Assets!$V$13,AI368*VST_Assets!$U$13,0)/1000000*(1+VST_RevAdj)</f>
        <v>0</v>
      </c>
      <c r="AJ376" s="8" t="n">
        <f aca="false">IF(AJ$3&lt;=VST_Assets!$V$13,AJ368*VST_Assets!$U$13,0)/1000000*(1+VST_RevAdj)</f>
        <v>0</v>
      </c>
      <c r="AK376" s="8" t="n">
        <f aca="false">IF(AK$3&lt;=VST_Assets!$V$13,AK368*VST_Assets!$U$13,0)/1000000*(1+VST_RevAdj)</f>
        <v>0</v>
      </c>
      <c r="AL376" s="8" t="n">
        <f aca="false">IF(AL$3&lt;=VST_Assets!$V$13,AL368*VST_Assets!$U$13,0)/1000000*(1+VST_RevAdj)</f>
        <v>0</v>
      </c>
      <c r="AM376" s="8" t="n">
        <f aca="false">IF(AM$3&lt;=VST_Assets!$V$13,AM368*VST_Assets!$U$13,0)/1000000*(1+VST_RevAdj)</f>
        <v>0</v>
      </c>
      <c r="AN376" s="8" t="n">
        <f aca="false">IF(AN$3&lt;=VST_Assets!$V$13,AN368*VST_Assets!$U$13,0)/1000000*(1+VST_RevAdj)</f>
        <v>0</v>
      </c>
      <c r="AO376" s="8" t="n">
        <f aca="false">IF(AO$3&lt;=VST_Assets!$V$13,AO368*VST_Assets!$U$13,0)/1000000*(1+VST_RevAdj)</f>
        <v>0</v>
      </c>
      <c r="AP376" s="8" t="n">
        <f aca="false">IF(AP$3&lt;=VST_Assets!$V$13,AP368*VST_Assets!$U$13,0)/1000000*(1+VST_RevAdj)</f>
        <v>0</v>
      </c>
      <c r="AQ376" s="8" t="n">
        <f aca="false">IF(AQ$3&lt;=VST_Assets!$V$13,AQ368*VST_Assets!$U$13,0)/1000000*(1+VST_RevAdj)</f>
        <v>0</v>
      </c>
      <c r="AR376" s="8" t="n">
        <f aca="false">IF(AR$3&lt;=VST_Assets!$V$13,AR368*VST_Assets!$U$13,0)/1000000*(1+VST_RevAdj)</f>
        <v>0</v>
      </c>
      <c r="AS376" s="8" t="n">
        <f aca="false">IF(AS$3&lt;=VST_Assets!$V$13,AS368*VST_Assets!$U$13,0)/1000000*(1+VST_RevAdj)</f>
        <v>0</v>
      </c>
    </row>
    <row r="377" customFormat="false" ht="15" hidden="false" customHeight="false" outlineLevel="0" collapsed="false">
      <c r="A377" s="6" t="s">
        <v>447</v>
      </c>
      <c r="B377" s="6" t="s">
        <v>448</v>
      </c>
      <c r="C377" s="9" t="n">
        <f aca="false">SUM(G377:AS377)</f>
        <v>0</v>
      </c>
      <c r="G377" s="8" t="n">
        <f aca="false">G373+G374+G375+G376</f>
        <v>0</v>
      </c>
      <c r="H377" s="8" t="n">
        <f aca="false">H373+H374+H375+H376</f>
        <v>0</v>
      </c>
      <c r="I377" s="8" t="n">
        <f aca="false">I373+I374+I375+I376</f>
        <v>0</v>
      </c>
      <c r="J377" s="8" t="n">
        <f aca="false">J373+J374+J375+J376</f>
        <v>0</v>
      </c>
      <c r="K377" s="8" t="n">
        <f aca="false">K373+K374+K375+K376</f>
        <v>0</v>
      </c>
      <c r="L377" s="8" t="n">
        <f aca="false">L373+L374+L375+L376</f>
        <v>0</v>
      </c>
      <c r="M377" s="8" t="n">
        <f aca="false">M373+M374+M375+M376</f>
        <v>0</v>
      </c>
      <c r="N377" s="8" t="n">
        <f aca="false">N373+N374+N375+N376</f>
        <v>0</v>
      </c>
      <c r="O377" s="8" t="n">
        <f aca="false">O373+O374+O375+O376</f>
        <v>0</v>
      </c>
      <c r="P377" s="8" t="n">
        <f aca="false">P373+P374+P375+P376</f>
        <v>0</v>
      </c>
      <c r="Q377" s="8" t="n">
        <f aca="false">Q373+Q374+Q375+Q376</f>
        <v>0</v>
      </c>
      <c r="R377" s="8" t="n">
        <f aca="false">R373+R374+R375+R376</f>
        <v>0</v>
      </c>
      <c r="S377" s="8" t="n">
        <f aca="false">S373+S374+S375+S376</f>
        <v>0</v>
      </c>
      <c r="T377" s="8" t="n">
        <f aca="false">T373+T374+T375+T376</f>
        <v>0</v>
      </c>
      <c r="U377" s="8" t="n">
        <f aca="false">U373+U374+U375+U376</f>
        <v>0</v>
      </c>
      <c r="V377" s="8" t="n">
        <f aca="false">V373+V374+V375+V376</f>
        <v>0</v>
      </c>
      <c r="W377" s="8" t="n">
        <f aca="false">W373+W374+W375+W376</f>
        <v>0</v>
      </c>
      <c r="X377" s="8" t="n">
        <f aca="false">X373+X374+X375+X376</f>
        <v>0</v>
      </c>
      <c r="Y377" s="8" t="n">
        <f aca="false">Y373+Y374+Y375+Y376</f>
        <v>0</v>
      </c>
      <c r="Z377" s="8" t="n">
        <f aca="false">Z373+Z374+Z375+Z376</f>
        <v>0</v>
      </c>
      <c r="AA377" s="8" t="n">
        <f aca="false">AA373+AA374+AA375+AA376</f>
        <v>0</v>
      </c>
      <c r="AB377" s="8" t="n">
        <f aca="false">AB373+AB374+AB375+AB376</f>
        <v>0</v>
      </c>
      <c r="AC377" s="8" t="n">
        <f aca="false">AC373+AC374+AC375+AC376</f>
        <v>0</v>
      </c>
      <c r="AD377" s="8" t="n">
        <f aca="false">AD373+AD374+AD375+AD376</f>
        <v>0</v>
      </c>
      <c r="AE377" s="8" t="n">
        <f aca="false">AE373+AE374+AE375+AE376</f>
        <v>0</v>
      </c>
      <c r="AF377" s="8" t="n">
        <f aca="false">AF373+AF374+AF375+AF376</f>
        <v>0</v>
      </c>
      <c r="AG377" s="8" t="n">
        <f aca="false">AG373+AG374+AG375+AG376</f>
        <v>0</v>
      </c>
      <c r="AH377" s="8" t="n">
        <f aca="false">AH373+AH374+AH375+AH376</f>
        <v>0</v>
      </c>
      <c r="AI377" s="8" t="n">
        <f aca="false">AI373+AI374+AI375+AI376</f>
        <v>0</v>
      </c>
      <c r="AJ377" s="8" t="n">
        <f aca="false">AJ373+AJ374+AJ375+AJ376</f>
        <v>0</v>
      </c>
      <c r="AK377" s="8" t="n">
        <f aca="false">AK373+AK374+AK375+AK376</f>
        <v>0</v>
      </c>
      <c r="AL377" s="8" t="n">
        <f aca="false">AL373+AL374+AL375+AL376</f>
        <v>0</v>
      </c>
      <c r="AM377" s="8" t="n">
        <f aca="false">AM373+AM374+AM375+AM376</f>
        <v>0</v>
      </c>
      <c r="AN377" s="8" t="n">
        <f aca="false">AN373+AN374+AN375+AN376</f>
        <v>0</v>
      </c>
      <c r="AO377" s="8" t="n">
        <f aca="false">AO373+AO374+AO375+AO376</f>
        <v>0</v>
      </c>
      <c r="AP377" s="8" t="n">
        <f aca="false">AP373+AP374+AP375+AP376</f>
        <v>0</v>
      </c>
      <c r="AQ377" s="8" t="n">
        <f aca="false">AQ373+AQ374+AQ375+AQ376</f>
        <v>0</v>
      </c>
      <c r="AR377" s="8" t="n">
        <f aca="false">AR373+AR374+AR375+AR376</f>
        <v>0</v>
      </c>
      <c r="AS377" s="8" t="n">
        <f aca="false">AS373+AS374+AS375+AS376</f>
        <v>0</v>
      </c>
    </row>
    <row r="378" customFormat="false" ht="15" hidden="false" customHeight="false" outlineLevel="0" collapsed="false">
      <c r="A378" s="6" t="s">
        <v>449</v>
      </c>
      <c r="B378" s="6" t="s">
        <v>450</v>
      </c>
      <c r="C378" s="9" t="n">
        <f aca="false">SUM(G378:AS378)</f>
        <v>0</v>
      </c>
      <c r="G378" s="8" t="n">
        <f aca="false">((VST_Assets!$K$13*G370+VST_Assets!$M$13*G$4)*G368*G372+VST_Assets!$N$13*(1+VST_Assets!$Q$13)^(G$3-2026)*(G368+G369))/1000000*(1+VST_FuelAdj)</f>
        <v>0</v>
      </c>
      <c r="H378" s="8" t="n">
        <f aca="false">((VST_Assets!$K$13*H370+VST_Assets!$M$13*H$4)*H368*H372+VST_Assets!$N$13*(1+VST_Assets!$Q$13)^(H$3-2026)*(H368+H369))/1000000*(1+VST_FuelAdj)</f>
        <v>0</v>
      </c>
      <c r="I378" s="8" t="n">
        <f aca="false">((VST_Assets!$K$13*I370+VST_Assets!$M$13*I$4)*I368*I372+VST_Assets!$N$13*(1+VST_Assets!$Q$13)^(I$3-2026)*(I368+I369))/1000000*(1+VST_FuelAdj)</f>
        <v>0</v>
      </c>
      <c r="J378" s="8" t="n">
        <f aca="false">((VST_Assets!$K$13*J370+VST_Assets!$M$13*J$4)*J368*J372+VST_Assets!$N$13*(1+VST_Assets!$Q$13)^(J$3-2026)*(J368+J369))/1000000*(1+VST_FuelAdj)</f>
        <v>0</v>
      </c>
      <c r="K378" s="8" t="n">
        <f aca="false">((VST_Assets!$K$13*K370+VST_Assets!$M$13*K$4)*K368*K372+VST_Assets!$N$13*(1+VST_Assets!$Q$13)^(K$3-2026)*(K368+K369))/1000000*(1+VST_FuelAdj)</f>
        <v>0</v>
      </c>
      <c r="L378" s="8" t="n">
        <f aca="false">((VST_Assets!$K$13*L370+VST_Assets!$M$13*L$4)*L368*L372+VST_Assets!$N$13*(1+VST_Assets!$Q$13)^(L$3-2026)*(L368+L369))/1000000*(1+VST_FuelAdj)</f>
        <v>0</v>
      </c>
      <c r="M378" s="8" t="n">
        <f aca="false">((VST_Assets!$K$13*M370+VST_Assets!$M$13*M$4)*M368*M372+VST_Assets!$N$13*(1+VST_Assets!$Q$13)^(M$3-2026)*(M368+M369))/1000000*(1+VST_FuelAdj)</f>
        <v>0</v>
      </c>
      <c r="N378" s="8" t="n">
        <f aca="false">((VST_Assets!$K$13*N370+VST_Assets!$M$13*N$4)*N368*N372+VST_Assets!$N$13*(1+VST_Assets!$Q$13)^(N$3-2026)*(N368+N369))/1000000*(1+VST_FuelAdj)</f>
        <v>0</v>
      </c>
      <c r="O378" s="8" t="n">
        <f aca="false">((VST_Assets!$K$13*O370+VST_Assets!$M$13*O$4)*O368*O372+VST_Assets!$N$13*(1+VST_Assets!$Q$13)^(O$3-2026)*(O368+O369))/1000000*(1+VST_FuelAdj)</f>
        <v>0</v>
      </c>
      <c r="P378" s="8" t="n">
        <f aca="false">((VST_Assets!$K$13*P370+VST_Assets!$M$13*P$4)*P368*P372+VST_Assets!$N$13*(1+VST_Assets!$Q$13)^(P$3-2026)*(P368+P369))/1000000*(1+VST_FuelAdj)</f>
        <v>0</v>
      </c>
      <c r="Q378" s="8" t="n">
        <f aca="false">((VST_Assets!$K$13*Q370+VST_Assets!$M$13*Q$4)*Q368*Q372+VST_Assets!$N$13*(1+VST_Assets!$Q$13)^(Q$3-2026)*(Q368+Q369))/1000000*(1+VST_FuelAdj)</f>
        <v>0</v>
      </c>
      <c r="R378" s="8" t="n">
        <f aca="false">((VST_Assets!$K$13*R370+VST_Assets!$M$13*R$4)*R368*R372+VST_Assets!$N$13*(1+VST_Assets!$Q$13)^(R$3-2026)*(R368+R369))/1000000*(1+VST_FuelAdj)</f>
        <v>0</v>
      </c>
      <c r="S378" s="8" t="n">
        <f aca="false">((VST_Assets!$K$13*S370+VST_Assets!$M$13*S$4)*S368*S372+VST_Assets!$N$13*(1+VST_Assets!$Q$13)^(S$3-2026)*(S368+S369))/1000000*(1+VST_FuelAdj)</f>
        <v>0</v>
      </c>
      <c r="T378" s="8" t="n">
        <f aca="false">((VST_Assets!$K$13*T370+VST_Assets!$M$13*T$4)*T368*T372+VST_Assets!$N$13*(1+VST_Assets!$Q$13)^(T$3-2026)*(T368+T369))/1000000*(1+VST_FuelAdj)</f>
        <v>0</v>
      </c>
      <c r="U378" s="8" t="n">
        <f aca="false">((VST_Assets!$K$13*U370+VST_Assets!$M$13*U$4)*U368*U372+VST_Assets!$N$13*(1+VST_Assets!$Q$13)^(U$3-2026)*(U368+U369))/1000000*(1+VST_FuelAdj)</f>
        <v>0</v>
      </c>
      <c r="V378" s="8" t="n">
        <f aca="false">((VST_Assets!$K$13*V370+VST_Assets!$M$13*V$4)*V368*V372+VST_Assets!$N$13*(1+VST_Assets!$Q$13)^(V$3-2026)*(V368+V369))/1000000*(1+VST_FuelAdj)</f>
        <v>0</v>
      </c>
      <c r="W378" s="8" t="n">
        <f aca="false">((VST_Assets!$K$13*W370+VST_Assets!$M$13*W$4)*W368*W372+VST_Assets!$N$13*(1+VST_Assets!$Q$13)^(W$3-2026)*(W368+W369))/1000000*(1+VST_FuelAdj)</f>
        <v>0</v>
      </c>
      <c r="X378" s="8" t="n">
        <f aca="false">((VST_Assets!$K$13*X370+VST_Assets!$M$13*X$4)*X368*X372+VST_Assets!$N$13*(1+VST_Assets!$Q$13)^(X$3-2026)*(X368+X369))/1000000*(1+VST_FuelAdj)</f>
        <v>0</v>
      </c>
      <c r="Y378" s="8" t="n">
        <f aca="false">((VST_Assets!$K$13*Y370+VST_Assets!$M$13*Y$4)*Y368*Y372+VST_Assets!$N$13*(1+VST_Assets!$Q$13)^(Y$3-2026)*(Y368+Y369))/1000000*(1+VST_FuelAdj)</f>
        <v>0</v>
      </c>
      <c r="Z378" s="8" t="n">
        <f aca="false">((VST_Assets!$K$13*Z370+VST_Assets!$M$13*Z$4)*Z368*Z372+VST_Assets!$N$13*(1+VST_Assets!$Q$13)^(Z$3-2026)*(Z368+Z369))/1000000*(1+VST_FuelAdj)</f>
        <v>0</v>
      </c>
      <c r="AA378" s="8" t="n">
        <f aca="false">((VST_Assets!$K$13*AA370+VST_Assets!$M$13*AA$4)*AA368*AA372+VST_Assets!$N$13*(1+VST_Assets!$Q$13)^(AA$3-2026)*(AA368+AA369))/1000000*(1+VST_FuelAdj)</f>
        <v>0</v>
      </c>
      <c r="AB378" s="8" t="n">
        <f aca="false">((VST_Assets!$K$13*AB370+VST_Assets!$M$13*AB$4)*AB368*AB372+VST_Assets!$N$13*(1+VST_Assets!$Q$13)^(AB$3-2026)*(AB368+AB369))/1000000*(1+VST_FuelAdj)</f>
        <v>0</v>
      </c>
      <c r="AC378" s="8" t="n">
        <f aca="false">((VST_Assets!$K$13*AC370+VST_Assets!$M$13*AC$4)*AC368*AC372+VST_Assets!$N$13*(1+VST_Assets!$Q$13)^(AC$3-2026)*(AC368+AC369))/1000000*(1+VST_FuelAdj)</f>
        <v>0</v>
      </c>
      <c r="AD378" s="8" t="n">
        <f aca="false">((VST_Assets!$K$13*AD370+VST_Assets!$M$13*AD$4)*AD368*AD372+VST_Assets!$N$13*(1+VST_Assets!$Q$13)^(AD$3-2026)*(AD368+AD369))/1000000*(1+VST_FuelAdj)</f>
        <v>0</v>
      </c>
      <c r="AE378" s="8" t="n">
        <f aca="false">((VST_Assets!$K$13*AE370+VST_Assets!$M$13*AE$4)*AE368*AE372+VST_Assets!$N$13*(1+VST_Assets!$Q$13)^(AE$3-2026)*(AE368+AE369))/1000000*(1+VST_FuelAdj)</f>
        <v>0</v>
      </c>
      <c r="AF378" s="8" t="n">
        <f aca="false">((VST_Assets!$K$13*AF370+VST_Assets!$M$13*AF$4)*AF368*AF372+VST_Assets!$N$13*(1+VST_Assets!$Q$13)^(AF$3-2026)*(AF368+AF369))/1000000*(1+VST_FuelAdj)</f>
        <v>0</v>
      </c>
      <c r="AG378" s="8" t="n">
        <f aca="false">((VST_Assets!$K$13*AG370+VST_Assets!$M$13*AG$4)*AG368*AG372+VST_Assets!$N$13*(1+VST_Assets!$Q$13)^(AG$3-2026)*(AG368+AG369))/1000000*(1+VST_FuelAdj)</f>
        <v>0</v>
      </c>
      <c r="AH378" s="8" t="n">
        <f aca="false">((VST_Assets!$K$13*AH370+VST_Assets!$M$13*AH$4)*AH368*AH372+VST_Assets!$N$13*(1+VST_Assets!$Q$13)^(AH$3-2026)*(AH368+AH369))/1000000*(1+VST_FuelAdj)</f>
        <v>0</v>
      </c>
      <c r="AI378" s="8" t="n">
        <f aca="false">((VST_Assets!$K$13*AI370+VST_Assets!$M$13*AI$4)*AI368*AI372+VST_Assets!$N$13*(1+VST_Assets!$Q$13)^(AI$3-2026)*(AI368+AI369))/1000000*(1+VST_FuelAdj)</f>
        <v>0</v>
      </c>
      <c r="AJ378" s="8" t="n">
        <f aca="false">((VST_Assets!$K$13*AJ370+VST_Assets!$M$13*AJ$4)*AJ368*AJ372+VST_Assets!$N$13*(1+VST_Assets!$Q$13)^(AJ$3-2026)*(AJ368+AJ369))/1000000*(1+VST_FuelAdj)</f>
        <v>0</v>
      </c>
      <c r="AK378" s="8" t="n">
        <f aca="false">((VST_Assets!$K$13*AK370+VST_Assets!$M$13*AK$4)*AK368*AK372+VST_Assets!$N$13*(1+VST_Assets!$Q$13)^(AK$3-2026)*(AK368+AK369))/1000000*(1+VST_FuelAdj)</f>
        <v>0</v>
      </c>
      <c r="AL378" s="8" t="n">
        <f aca="false">((VST_Assets!$K$13*AL370+VST_Assets!$M$13*AL$4)*AL368*AL372+VST_Assets!$N$13*(1+VST_Assets!$Q$13)^(AL$3-2026)*(AL368+AL369))/1000000*(1+VST_FuelAdj)</f>
        <v>0</v>
      </c>
      <c r="AM378" s="8" t="n">
        <f aca="false">((VST_Assets!$K$13*AM370+VST_Assets!$M$13*AM$4)*AM368*AM372+VST_Assets!$N$13*(1+VST_Assets!$Q$13)^(AM$3-2026)*(AM368+AM369))/1000000*(1+VST_FuelAdj)</f>
        <v>0</v>
      </c>
      <c r="AN378" s="8" t="n">
        <f aca="false">((VST_Assets!$K$13*AN370+VST_Assets!$M$13*AN$4)*AN368*AN372+VST_Assets!$N$13*(1+VST_Assets!$Q$13)^(AN$3-2026)*(AN368+AN369))/1000000*(1+VST_FuelAdj)</f>
        <v>0</v>
      </c>
      <c r="AO378" s="8" t="n">
        <f aca="false">((VST_Assets!$K$13*AO370+VST_Assets!$M$13*AO$4)*AO368*AO372+VST_Assets!$N$13*(1+VST_Assets!$Q$13)^(AO$3-2026)*(AO368+AO369))/1000000*(1+VST_FuelAdj)</f>
        <v>0</v>
      </c>
      <c r="AP378" s="8" t="n">
        <f aca="false">((VST_Assets!$K$13*AP370+VST_Assets!$M$13*AP$4)*AP368*AP372+VST_Assets!$N$13*(1+VST_Assets!$Q$13)^(AP$3-2026)*(AP368+AP369))/1000000*(1+VST_FuelAdj)</f>
        <v>0</v>
      </c>
      <c r="AQ378" s="8" t="n">
        <f aca="false">((VST_Assets!$K$13*AQ370+VST_Assets!$M$13*AQ$4)*AQ368*AQ372+VST_Assets!$N$13*(1+VST_Assets!$Q$13)^(AQ$3-2026)*(AQ368+AQ369))/1000000*(1+VST_FuelAdj)</f>
        <v>0</v>
      </c>
      <c r="AR378" s="8" t="n">
        <f aca="false">((VST_Assets!$K$13*AR370+VST_Assets!$M$13*AR$4)*AR368*AR372+VST_Assets!$N$13*(1+VST_Assets!$Q$13)^(AR$3-2026)*(AR368+AR369))/1000000*(1+VST_FuelAdj)</f>
        <v>0</v>
      </c>
      <c r="AS378" s="8" t="n">
        <f aca="false">((VST_Assets!$K$13*AS370+VST_Assets!$M$13*AS$4)*AS368*AS372+VST_Assets!$N$13*(1+VST_Assets!$Q$13)^(AS$3-2026)*(AS368+AS369))/1000000*(1+VST_FuelAdj)</f>
        <v>0</v>
      </c>
    </row>
    <row r="379" customFormat="false" ht="15" hidden="false" customHeight="false" outlineLevel="0" collapsed="false">
      <c r="A379" s="6" t="s">
        <v>451</v>
      </c>
      <c r="B379" s="6" t="s">
        <v>452</v>
      </c>
      <c r="C379" s="9" t="n">
        <f aca="false">SUM(G379:AS379)</f>
        <v>0</v>
      </c>
      <c r="G379" s="8" t="n">
        <f aca="false">G377-G378</f>
        <v>0</v>
      </c>
      <c r="H379" s="8" t="n">
        <f aca="false">H377-H378</f>
        <v>0</v>
      </c>
      <c r="I379" s="8" t="n">
        <f aca="false">I377-I378</f>
        <v>0</v>
      </c>
      <c r="J379" s="8" t="n">
        <f aca="false">J377-J378</f>
        <v>0</v>
      </c>
      <c r="K379" s="8" t="n">
        <f aca="false">K377-K378</f>
        <v>0</v>
      </c>
      <c r="L379" s="8" t="n">
        <f aca="false">L377-L378</f>
        <v>0</v>
      </c>
      <c r="M379" s="8" t="n">
        <f aca="false">M377-M378</f>
        <v>0</v>
      </c>
      <c r="N379" s="8" t="n">
        <f aca="false">N377-N378</f>
        <v>0</v>
      </c>
      <c r="O379" s="8" t="n">
        <f aca="false">O377-O378</f>
        <v>0</v>
      </c>
      <c r="P379" s="8" t="n">
        <f aca="false">P377-P378</f>
        <v>0</v>
      </c>
      <c r="Q379" s="8" t="n">
        <f aca="false">Q377-Q378</f>
        <v>0</v>
      </c>
      <c r="R379" s="8" t="n">
        <f aca="false">R377-R378</f>
        <v>0</v>
      </c>
      <c r="S379" s="8" t="n">
        <f aca="false">S377-S378</f>
        <v>0</v>
      </c>
      <c r="T379" s="8" t="n">
        <f aca="false">T377-T378</f>
        <v>0</v>
      </c>
      <c r="U379" s="8" t="n">
        <f aca="false">U377-U378</f>
        <v>0</v>
      </c>
      <c r="V379" s="8" t="n">
        <f aca="false">V377-V378</f>
        <v>0</v>
      </c>
      <c r="W379" s="8" t="n">
        <f aca="false">W377-W378</f>
        <v>0</v>
      </c>
      <c r="X379" s="8" t="n">
        <f aca="false">X377-X378</f>
        <v>0</v>
      </c>
      <c r="Y379" s="8" t="n">
        <f aca="false">Y377-Y378</f>
        <v>0</v>
      </c>
      <c r="Z379" s="8" t="n">
        <f aca="false">Z377-Z378</f>
        <v>0</v>
      </c>
      <c r="AA379" s="8" t="n">
        <f aca="false">AA377-AA378</f>
        <v>0</v>
      </c>
      <c r="AB379" s="8" t="n">
        <f aca="false">AB377-AB378</f>
        <v>0</v>
      </c>
      <c r="AC379" s="8" t="n">
        <f aca="false">AC377-AC378</f>
        <v>0</v>
      </c>
      <c r="AD379" s="8" t="n">
        <f aca="false">AD377-AD378</f>
        <v>0</v>
      </c>
      <c r="AE379" s="8" t="n">
        <f aca="false">AE377-AE378</f>
        <v>0</v>
      </c>
      <c r="AF379" s="8" t="n">
        <f aca="false">AF377-AF378</f>
        <v>0</v>
      </c>
      <c r="AG379" s="8" t="n">
        <f aca="false">AG377-AG378</f>
        <v>0</v>
      </c>
      <c r="AH379" s="8" t="n">
        <f aca="false">AH377-AH378</f>
        <v>0</v>
      </c>
      <c r="AI379" s="8" t="n">
        <f aca="false">AI377-AI378</f>
        <v>0</v>
      </c>
      <c r="AJ379" s="8" t="n">
        <f aca="false">AJ377-AJ378</f>
        <v>0</v>
      </c>
      <c r="AK379" s="8" t="n">
        <f aca="false">AK377-AK378</f>
        <v>0</v>
      </c>
      <c r="AL379" s="8" t="n">
        <f aca="false">AL377-AL378</f>
        <v>0</v>
      </c>
      <c r="AM379" s="8" t="n">
        <f aca="false">AM377-AM378</f>
        <v>0</v>
      </c>
      <c r="AN379" s="8" t="n">
        <f aca="false">AN377-AN378</f>
        <v>0</v>
      </c>
      <c r="AO379" s="8" t="n">
        <f aca="false">AO377-AO378</f>
        <v>0</v>
      </c>
      <c r="AP379" s="8" t="n">
        <f aca="false">AP377-AP378</f>
        <v>0</v>
      </c>
      <c r="AQ379" s="8" t="n">
        <f aca="false">AQ377-AQ378</f>
        <v>0</v>
      </c>
      <c r="AR379" s="8" t="n">
        <f aca="false">AR377-AR378</f>
        <v>0</v>
      </c>
      <c r="AS379" s="8" t="n">
        <f aca="false">AS377-AS378</f>
        <v>0</v>
      </c>
    </row>
    <row r="380" customFormat="false" ht="15" hidden="false" customHeight="false" outlineLevel="0" collapsed="false">
      <c r="A380" s="6" t="s">
        <v>453</v>
      </c>
      <c r="B380" s="6" t="s">
        <v>454</v>
      </c>
      <c r="C380" s="9" t="n">
        <f aca="false">SUM(G380:AS380)</f>
        <v>0</v>
      </c>
      <c r="G380" s="8" t="n">
        <f aca="false">(VST_Assets!$R$13*VST_Assets!$D$13*1000*G$4*G366+VST_Assets!$O$13*(1+VST_Assets!$Q$13)^(G$3-2026)*(G368+G369))/1000000*(1+VST_OMAdj)</f>
        <v>0</v>
      </c>
      <c r="H380" s="8" t="n">
        <f aca="false">(VST_Assets!$R$13*VST_Assets!$D$13*1000*H$4*H366+VST_Assets!$O$13*(1+VST_Assets!$Q$13)^(H$3-2026)*(H368+H369))/1000000*(1+VST_OMAdj)</f>
        <v>0</v>
      </c>
      <c r="I380" s="8" t="n">
        <f aca="false">(VST_Assets!$R$13*VST_Assets!$D$13*1000*I$4*I366+VST_Assets!$O$13*(1+VST_Assets!$Q$13)^(I$3-2026)*(I368+I369))/1000000*(1+VST_OMAdj)</f>
        <v>0</v>
      </c>
      <c r="J380" s="8" t="n">
        <f aca="false">(VST_Assets!$R$13*VST_Assets!$D$13*1000*J$4*J366+VST_Assets!$O$13*(1+VST_Assets!$Q$13)^(J$3-2026)*(J368+J369))/1000000*(1+VST_OMAdj)</f>
        <v>0</v>
      </c>
      <c r="K380" s="8" t="n">
        <f aca="false">(VST_Assets!$R$13*VST_Assets!$D$13*1000*K$4*K366+VST_Assets!$O$13*(1+VST_Assets!$Q$13)^(K$3-2026)*(K368+K369))/1000000*(1+VST_OMAdj)</f>
        <v>0</v>
      </c>
      <c r="L380" s="8" t="n">
        <f aca="false">(VST_Assets!$R$13*VST_Assets!$D$13*1000*L$4*L366+VST_Assets!$O$13*(1+VST_Assets!$Q$13)^(L$3-2026)*(L368+L369))/1000000*(1+VST_OMAdj)</f>
        <v>0</v>
      </c>
      <c r="M380" s="8" t="n">
        <f aca="false">(VST_Assets!$R$13*VST_Assets!$D$13*1000*M$4*M366+VST_Assets!$O$13*(1+VST_Assets!$Q$13)^(M$3-2026)*(M368+M369))/1000000*(1+VST_OMAdj)</f>
        <v>0</v>
      </c>
      <c r="N380" s="8" t="n">
        <f aca="false">(VST_Assets!$R$13*VST_Assets!$D$13*1000*N$4*N366+VST_Assets!$O$13*(1+VST_Assets!$Q$13)^(N$3-2026)*(N368+N369))/1000000*(1+VST_OMAdj)</f>
        <v>0</v>
      </c>
      <c r="O380" s="8" t="n">
        <f aca="false">(VST_Assets!$R$13*VST_Assets!$D$13*1000*O$4*O366+VST_Assets!$O$13*(1+VST_Assets!$Q$13)^(O$3-2026)*(O368+O369))/1000000*(1+VST_OMAdj)</f>
        <v>0</v>
      </c>
      <c r="P380" s="8" t="n">
        <f aca="false">(VST_Assets!$R$13*VST_Assets!$D$13*1000*P$4*P366+VST_Assets!$O$13*(1+VST_Assets!$Q$13)^(P$3-2026)*(P368+P369))/1000000*(1+VST_OMAdj)</f>
        <v>0</v>
      </c>
      <c r="Q380" s="8" t="n">
        <f aca="false">(VST_Assets!$R$13*VST_Assets!$D$13*1000*Q$4*Q366+VST_Assets!$O$13*(1+VST_Assets!$Q$13)^(Q$3-2026)*(Q368+Q369))/1000000*(1+VST_OMAdj)</f>
        <v>0</v>
      </c>
      <c r="R380" s="8" t="n">
        <f aca="false">(VST_Assets!$R$13*VST_Assets!$D$13*1000*R$4*R366+VST_Assets!$O$13*(1+VST_Assets!$Q$13)^(R$3-2026)*(R368+R369))/1000000*(1+VST_OMAdj)</f>
        <v>0</v>
      </c>
      <c r="S380" s="8" t="n">
        <f aca="false">(VST_Assets!$R$13*VST_Assets!$D$13*1000*S$4*S366+VST_Assets!$O$13*(1+VST_Assets!$Q$13)^(S$3-2026)*(S368+S369))/1000000*(1+VST_OMAdj)</f>
        <v>0</v>
      </c>
      <c r="T380" s="8" t="n">
        <f aca="false">(VST_Assets!$R$13*VST_Assets!$D$13*1000*T$4*T366+VST_Assets!$O$13*(1+VST_Assets!$Q$13)^(T$3-2026)*(T368+T369))/1000000*(1+VST_OMAdj)</f>
        <v>0</v>
      </c>
      <c r="U380" s="8" t="n">
        <f aca="false">(VST_Assets!$R$13*VST_Assets!$D$13*1000*U$4*U366+VST_Assets!$O$13*(1+VST_Assets!$Q$13)^(U$3-2026)*(U368+U369))/1000000*(1+VST_OMAdj)</f>
        <v>0</v>
      </c>
      <c r="V380" s="8" t="n">
        <f aca="false">(VST_Assets!$R$13*VST_Assets!$D$13*1000*V$4*V366+VST_Assets!$O$13*(1+VST_Assets!$Q$13)^(V$3-2026)*(V368+V369))/1000000*(1+VST_OMAdj)</f>
        <v>0</v>
      </c>
      <c r="W380" s="8" t="n">
        <f aca="false">(VST_Assets!$R$13*VST_Assets!$D$13*1000*W$4*W366+VST_Assets!$O$13*(1+VST_Assets!$Q$13)^(W$3-2026)*(W368+W369))/1000000*(1+VST_OMAdj)</f>
        <v>0</v>
      </c>
      <c r="X380" s="8" t="n">
        <f aca="false">(VST_Assets!$R$13*VST_Assets!$D$13*1000*X$4*X366+VST_Assets!$O$13*(1+VST_Assets!$Q$13)^(X$3-2026)*(X368+X369))/1000000*(1+VST_OMAdj)</f>
        <v>0</v>
      </c>
      <c r="Y380" s="8" t="n">
        <f aca="false">(VST_Assets!$R$13*VST_Assets!$D$13*1000*Y$4*Y366+VST_Assets!$O$13*(1+VST_Assets!$Q$13)^(Y$3-2026)*(Y368+Y369))/1000000*(1+VST_OMAdj)</f>
        <v>0</v>
      </c>
      <c r="Z380" s="8" t="n">
        <f aca="false">(VST_Assets!$R$13*VST_Assets!$D$13*1000*Z$4*Z366+VST_Assets!$O$13*(1+VST_Assets!$Q$13)^(Z$3-2026)*(Z368+Z369))/1000000*(1+VST_OMAdj)</f>
        <v>0</v>
      </c>
      <c r="AA380" s="8" t="n">
        <f aca="false">(VST_Assets!$R$13*VST_Assets!$D$13*1000*AA$4*AA366+VST_Assets!$O$13*(1+VST_Assets!$Q$13)^(AA$3-2026)*(AA368+AA369))/1000000*(1+VST_OMAdj)</f>
        <v>0</v>
      </c>
      <c r="AB380" s="8" t="n">
        <f aca="false">(VST_Assets!$R$13*VST_Assets!$D$13*1000*AB$4*AB366+VST_Assets!$O$13*(1+VST_Assets!$Q$13)^(AB$3-2026)*(AB368+AB369))/1000000*(1+VST_OMAdj)</f>
        <v>0</v>
      </c>
      <c r="AC380" s="8" t="n">
        <f aca="false">(VST_Assets!$R$13*VST_Assets!$D$13*1000*AC$4*AC366+VST_Assets!$O$13*(1+VST_Assets!$Q$13)^(AC$3-2026)*(AC368+AC369))/1000000*(1+VST_OMAdj)</f>
        <v>0</v>
      </c>
      <c r="AD380" s="8" t="n">
        <f aca="false">(VST_Assets!$R$13*VST_Assets!$D$13*1000*AD$4*AD366+VST_Assets!$O$13*(1+VST_Assets!$Q$13)^(AD$3-2026)*(AD368+AD369))/1000000*(1+VST_OMAdj)</f>
        <v>0</v>
      </c>
      <c r="AE380" s="8" t="n">
        <f aca="false">(VST_Assets!$R$13*VST_Assets!$D$13*1000*AE$4*AE366+VST_Assets!$O$13*(1+VST_Assets!$Q$13)^(AE$3-2026)*(AE368+AE369))/1000000*(1+VST_OMAdj)</f>
        <v>0</v>
      </c>
      <c r="AF380" s="8" t="n">
        <f aca="false">(VST_Assets!$R$13*VST_Assets!$D$13*1000*AF$4*AF366+VST_Assets!$O$13*(1+VST_Assets!$Q$13)^(AF$3-2026)*(AF368+AF369))/1000000*(1+VST_OMAdj)</f>
        <v>0</v>
      </c>
      <c r="AG380" s="8" t="n">
        <f aca="false">(VST_Assets!$R$13*VST_Assets!$D$13*1000*AG$4*AG366+VST_Assets!$O$13*(1+VST_Assets!$Q$13)^(AG$3-2026)*(AG368+AG369))/1000000*(1+VST_OMAdj)</f>
        <v>0</v>
      </c>
      <c r="AH380" s="8" t="n">
        <f aca="false">(VST_Assets!$R$13*VST_Assets!$D$13*1000*AH$4*AH366+VST_Assets!$O$13*(1+VST_Assets!$Q$13)^(AH$3-2026)*(AH368+AH369))/1000000*(1+VST_OMAdj)</f>
        <v>0</v>
      </c>
      <c r="AI380" s="8" t="n">
        <f aca="false">(VST_Assets!$R$13*VST_Assets!$D$13*1000*AI$4*AI366+VST_Assets!$O$13*(1+VST_Assets!$Q$13)^(AI$3-2026)*(AI368+AI369))/1000000*(1+VST_OMAdj)</f>
        <v>0</v>
      </c>
      <c r="AJ380" s="8" t="n">
        <f aca="false">(VST_Assets!$R$13*VST_Assets!$D$13*1000*AJ$4*AJ366+VST_Assets!$O$13*(1+VST_Assets!$Q$13)^(AJ$3-2026)*(AJ368+AJ369))/1000000*(1+VST_OMAdj)</f>
        <v>0</v>
      </c>
      <c r="AK380" s="8" t="n">
        <f aca="false">(VST_Assets!$R$13*VST_Assets!$D$13*1000*AK$4*AK366+VST_Assets!$O$13*(1+VST_Assets!$Q$13)^(AK$3-2026)*(AK368+AK369))/1000000*(1+VST_OMAdj)</f>
        <v>0</v>
      </c>
      <c r="AL380" s="8" t="n">
        <f aca="false">(VST_Assets!$R$13*VST_Assets!$D$13*1000*AL$4*AL366+VST_Assets!$O$13*(1+VST_Assets!$Q$13)^(AL$3-2026)*(AL368+AL369))/1000000*(1+VST_OMAdj)</f>
        <v>0</v>
      </c>
      <c r="AM380" s="8" t="n">
        <f aca="false">(VST_Assets!$R$13*VST_Assets!$D$13*1000*AM$4*AM366+VST_Assets!$O$13*(1+VST_Assets!$Q$13)^(AM$3-2026)*(AM368+AM369))/1000000*(1+VST_OMAdj)</f>
        <v>0</v>
      </c>
      <c r="AN380" s="8" t="n">
        <f aca="false">(VST_Assets!$R$13*VST_Assets!$D$13*1000*AN$4*AN366+VST_Assets!$O$13*(1+VST_Assets!$Q$13)^(AN$3-2026)*(AN368+AN369))/1000000*(1+VST_OMAdj)</f>
        <v>0</v>
      </c>
      <c r="AO380" s="8" t="n">
        <f aca="false">(VST_Assets!$R$13*VST_Assets!$D$13*1000*AO$4*AO366+VST_Assets!$O$13*(1+VST_Assets!$Q$13)^(AO$3-2026)*(AO368+AO369))/1000000*(1+VST_OMAdj)</f>
        <v>0</v>
      </c>
      <c r="AP380" s="8" t="n">
        <f aca="false">(VST_Assets!$R$13*VST_Assets!$D$13*1000*AP$4*AP366+VST_Assets!$O$13*(1+VST_Assets!$Q$13)^(AP$3-2026)*(AP368+AP369))/1000000*(1+VST_OMAdj)</f>
        <v>0</v>
      </c>
      <c r="AQ380" s="8" t="n">
        <f aca="false">(VST_Assets!$R$13*VST_Assets!$D$13*1000*AQ$4*AQ366+VST_Assets!$O$13*(1+VST_Assets!$Q$13)^(AQ$3-2026)*(AQ368+AQ369))/1000000*(1+VST_OMAdj)</f>
        <v>0</v>
      </c>
      <c r="AR380" s="8" t="n">
        <f aca="false">(VST_Assets!$R$13*VST_Assets!$D$13*1000*AR$4*AR366+VST_Assets!$O$13*(1+VST_Assets!$Q$13)^(AR$3-2026)*(AR368+AR369))/1000000*(1+VST_OMAdj)</f>
        <v>0</v>
      </c>
      <c r="AS380" s="8" t="n">
        <f aca="false">(VST_Assets!$R$13*VST_Assets!$D$13*1000*AS$4*AS366+VST_Assets!$O$13*(1+VST_Assets!$Q$13)^(AS$3-2026)*(AS368+AS369))/1000000*(1+VST_OMAdj)</f>
        <v>0</v>
      </c>
    </row>
    <row r="381" customFormat="false" ht="15" hidden="false" customHeight="false" outlineLevel="0" collapsed="false">
      <c r="A381" s="6" t="s">
        <v>455</v>
      </c>
      <c r="B381" s="6" t="s">
        <v>456</v>
      </c>
      <c r="C381" s="9" t="n">
        <f aca="false">SUM(G381:AS381)</f>
        <v>0</v>
      </c>
      <c r="G381" s="8" t="n">
        <f aca="false">G379-G380</f>
        <v>0</v>
      </c>
      <c r="H381" s="8" t="n">
        <f aca="false">H379-H380</f>
        <v>0</v>
      </c>
      <c r="I381" s="8" t="n">
        <f aca="false">I379-I380</f>
        <v>0</v>
      </c>
      <c r="J381" s="8" t="n">
        <f aca="false">J379-J380</f>
        <v>0</v>
      </c>
      <c r="K381" s="8" t="n">
        <f aca="false">K379-K380</f>
        <v>0</v>
      </c>
      <c r="L381" s="8" t="n">
        <f aca="false">L379-L380</f>
        <v>0</v>
      </c>
      <c r="M381" s="8" t="n">
        <f aca="false">M379-M380</f>
        <v>0</v>
      </c>
      <c r="N381" s="8" t="n">
        <f aca="false">N379-N380</f>
        <v>0</v>
      </c>
      <c r="O381" s="8" t="n">
        <f aca="false">O379-O380</f>
        <v>0</v>
      </c>
      <c r="P381" s="8" t="n">
        <f aca="false">P379-P380</f>
        <v>0</v>
      </c>
      <c r="Q381" s="8" t="n">
        <f aca="false">Q379-Q380</f>
        <v>0</v>
      </c>
      <c r="R381" s="8" t="n">
        <f aca="false">R379-R380</f>
        <v>0</v>
      </c>
      <c r="S381" s="8" t="n">
        <f aca="false">S379-S380</f>
        <v>0</v>
      </c>
      <c r="T381" s="8" t="n">
        <f aca="false">T379-T380</f>
        <v>0</v>
      </c>
      <c r="U381" s="8" t="n">
        <f aca="false">U379-U380</f>
        <v>0</v>
      </c>
      <c r="V381" s="8" t="n">
        <f aca="false">V379-V380</f>
        <v>0</v>
      </c>
      <c r="W381" s="8" t="n">
        <f aca="false">W379-W380</f>
        <v>0</v>
      </c>
      <c r="X381" s="8" t="n">
        <f aca="false">X379-X380</f>
        <v>0</v>
      </c>
      <c r="Y381" s="8" t="n">
        <f aca="false">Y379-Y380</f>
        <v>0</v>
      </c>
      <c r="Z381" s="8" t="n">
        <f aca="false">Z379-Z380</f>
        <v>0</v>
      </c>
      <c r="AA381" s="8" t="n">
        <f aca="false">AA379-AA380</f>
        <v>0</v>
      </c>
      <c r="AB381" s="8" t="n">
        <f aca="false">AB379-AB380</f>
        <v>0</v>
      </c>
      <c r="AC381" s="8" t="n">
        <f aca="false">AC379-AC380</f>
        <v>0</v>
      </c>
      <c r="AD381" s="8" t="n">
        <f aca="false">AD379-AD380</f>
        <v>0</v>
      </c>
      <c r="AE381" s="8" t="n">
        <f aca="false">AE379-AE380</f>
        <v>0</v>
      </c>
      <c r="AF381" s="8" t="n">
        <f aca="false">AF379-AF380</f>
        <v>0</v>
      </c>
      <c r="AG381" s="8" t="n">
        <f aca="false">AG379-AG380</f>
        <v>0</v>
      </c>
      <c r="AH381" s="8" t="n">
        <f aca="false">AH379-AH380</f>
        <v>0</v>
      </c>
      <c r="AI381" s="8" t="n">
        <f aca="false">AI379-AI380</f>
        <v>0</v>
      </c>
      <c r="AJ381" s="8" t="n">
        <f aca="false">AJ379-AJ380</f>
        <v>0</v>
      </c>
      <c r="AK381" s="8" t="n">
        <f aca="false">AK379-AK380</f>
        <v>0</v>
      </c>
      <c r="AL381" s="8" t="n">
        <f aca="false">AL379-AL380</f>
        <v>0</v>
      </c>
      <c r="AM381" s="8" t="n">
        <f aca="false">AM379-AM380</f>
        <v>0</v>
      </c>
      <c r="AN381" s="8" t="n">
        <f aca="false">AN379-AN380</f>
        <v>0</v>
      </c>
      <c r="AO381" s="8" t="n">
        <f aca="false">AO379-AO380</f>
        <v>0</v>
      </c>
      <c r="AP381" s="8" t="n">
        <f aca="false">AP379-AP380</f>
        <v>0</v>
      </c>
      <c r="AQ381" s="8" t="n">
        <f aca="false">AQ379-AQ380</f>
        <v>0</v>
      </c>
      <c r="AR381" s="8" t="n">
        <f aca="false">AR379-AR380</f>
        <v>0</v>
      </c>
      <c r="AS381" s="8" t="n">
        <f aca="false">AS379-AS380</f>
        <v>0</v>
      </c>
    </row>
    <row r="382" customFormat="false" ht="15" hidden="false" customHeight="false" outlineLevel="0" collapsed="false">
      <c r="A382" s="6" t="s">
        <v>457</v>
      </c>
      <c r="B382" s="6" t="s">
        <v>458</v>
      </c>
      <c r="C382" s="9" t="n">
        <f aca="false">SUM(G382:AS382)</f>
        <v>0</v>
      </c>
      <c r="G382" s="8" t="n">
        <f aca="false">((VST_Assets!$S$13*VST_Assets!$D$13*1000*G$4*G366+VST_Assets!$P$13*(1+VST_Assets!$Q$13)^(G$3-2026)*(G368+G369))/1000000+IF(G$3=VST_Assets!$AH$13,VST_Assets!$AG$13,0))*(1+VST_CapexAdj)</f>
        <v>0</v>
      </c>
      <c r="H382" s="8" t="n">
        <f aca="false">((VST_Assets!$S$13*VST_Assets!$D$13*1000*H$4*H366+VST_Assets!$P$13*(1+VST_Assets!$Q$13)^(H$3-2026)*(H368+H369))/1000000+IF(H$3=VST_Assets!$AH$13,VST_Assets!$AG$13,0))*(1+VST_CapexAdj)</f>
        <v>0</v>
      </c>
      <c r="I382" s="8" t="n">
        <f aca="false">((VST_Assets!$S$13*VST_Assets!$D$13*1000*I$4*I366+VST_Assets!$P$13*(1+VST_Assets!$Q$13)^(I$3-2026)*(I368+I369))/1000000+IF(I$3=VST_Assets!$AH$13,VST_Assets!$AG$13,0))*(1+VST_CapexAdj)</f>
        <v>0</v>
      </c>
      <c r="J382" s="8" t="n">
        <f aca="false">((VST_Assets!$S$13*VST_Assets!$D$13*1000*J$4*J366+VST_Assets!$P$13*(1+VST_Assets!$Q$13)^(J$3-2026)*(J368+J369))/1000000+IF(J$3=VST_Assets!$AH$13,VST_Assets!$AG$13,0))*(1+VST_CapexAdj)</f>
        <v>0</v>
      </c>
      <c r="K382" s="8" t="n">
        <f aca="false">((VST_Assets!$S$13*VST_Assets!$D$13*1000*K$4*K366+VST_Assets!$P$13*(1+VST_Assets!$Q$13)^(K$3-2026)*(K368+K369))/1000000+IF(K$3=VST_Assets!$AH$13,VST_Assets!$AG$13,0))*(1+VST_CapexAdj)</f>
        <v>0</v>
      </c>
      <c r="L382" s="8" t="n">
        <f aca="false">((VST_Assets!$S$13*VST_Assets!$D$13*1000*L$4*L366+VST_Assets!$P$13*(1+VST_Assets!$Q$13)^(L$3-2026)*(L368+L369))/1000000+IF(L$3=VST_Assets!$AH$13,VST_Assets!$AG$13,0))*(1+VST_CapexAdj)</f>
        <v>0</v>
      </c>
      <c r="M382" s="8" t="n">
        <f aca="false">((VST_Assets!$S$13*VST_Assets!$D$13*1000*M$4*M366+VST_Assets!$P$13*(1+VST_Assets!$Q$13)^(M$3-2026)*(M368+M369))/1000000+IF(M$3=VST_Assets!$AH$13,VST_Assets!$AG$13,0))*(1+VST_CapexAdj)</f>
        <v>0</v>
      </c>
      <c r="N382" s="8" t="n">
        <f aca="false">((VST_Assets!$S$13*VST_Assets!$D$13*1000*N$4*N366+VST_Assets!$P$13*(1+VST_Assets!$Q$13)^(N$3-2026)*(N368+N369))/1000000+IF(N$3=VST_Assets!$AH$13,VST_Assets!$AG$13,0))*(1+VST_CapexAdj)</f>
        <v>0</v>
      </c>
      <c r="O382" s="8" t="n">
        <f aca="false">((VST_Assets!$S$13*VST_Assets!$D$13*1000*O$4*O366+VST_Assets!$P$13*(1+VST_Assets!$Q$13)^(O$3-2026)*(O368+O369))/1000000+IF(O$3=VST_Assets!$AH$13,VST_Assets!$AG$13,0))*(1+VST_CapexAdj)</f>
        <v>0</v>
      </c>
      <c r="P382" s="8" t="n">
        <f aca="false">((VST_Assets!$S$13*VST_Assets!$D$13*1000*P$4*P366+VST_Assets!$P$13*(1+VST_Assets!$Q$13)^(P$3-2026)*(P368+P369))/1000000+IF(P$3=VST_Assets!$AH$13,VST_Assets!$AG$13,0))*(1+VST_CapexAdj)</f>
        <v>0</v>
      </c>
      <c r="Q382" s="8" t="n">
        <f aca="false">((VST_Assets!$S$13*VST_Assets!$D$13*1000*Q$4*Q366+VST_Assets!$P$13*(1+VST_Assets!$Q$13)^(Q$3-2026)*(Q368+Q369))/1000000+IF(Q$3=VST_Assets!$AH$13,VST_Assets!$AG$13,0))*(1+VST_CapexAdj)</f>
        <v>0</v>
      </c>
      <c r="R382" s="8" t="n">
        <f aca="false">((VST_Assets!$S$13*VST_Assets!$D$13*1000*R$4*R366+VST_Assets!$P$13*(1+VST_Assets!$Q$13)^(R$3-2026)*(R368+R369))/1000000+IF(R$3=VST_Assets!$AH$13,VST_Assets!$AG$13,0))*(1+VST_CapexAdj)</f>
        <v>0</v>
      </c>
      <c r="S382" s="8" t="n">
        <f aca="false">((VST_Assets!$S$13*VST_Assets!$D$13*1000*S$4*S366+VST_Assets!$P$13*(1+VST_Assets!$Q$13)^(S$3-2026)*(S368+S369))/1000000+IF(S$3=VST_Assets!$AH$13,VST_Assets!$AG$13,0))*(1+VST_CapexAdj)</f>
        <v>0</v>
      </c>
      <c r="T382" s="8" t="n">
        <f aca="false">((VST_Assets!$S$13*VST_Assets!$D$13*1000*T$4*T366+VST_Assets!$P$13*(1+VST_Assets!$Q$13)^(T$3-2026)*(T368+T369))/1000000+IF(T$3=VST_Assets!$AH$13,VST_Assets!$AG$13,0))*(1+VST_CapexAdj)</f>
        <v>0</v>
      </c>
      <c r="U382" s="8" t="n">
        <f aca="false">((VST_Assets!$S$13*VST_Assets!$D$13*1000*U$4*U366+VST_Assets!$P$13*(1+VST_Assets!$Q$13)^(U$3-2026)*(U368+U369))/1000000+IF(U$3=VST_Assets!$AH$13,VST_Assets!$AG$13,0))*(1+VST_CapexAdj)</f>
        <v>0</v>
      </c>
      <c r="V382" s="8" t="n">
        <f aca="false">((VST_Assets!$S$13*VST_Assets!$D$13*1000*V$4*V366+VST_Assets!$P$13*(1+VST_Assets!$Q$13)^(V$3-2026)*(V368+V369))/1000000+IF(V$3=VST_Assets!$AH$13,VST_Assets!$AG$13,0))*(1+VST_CapexAdj)</f>
        <v>0</v>
      </c>
      <c r="W382" s="8" t="n">
        <f aca="false">((VST_Assets!$S$13*VST_Assets!$D$13*1000*W$4*W366+VST_Assets!$P$13*(1+VST_Assets!$Q$13)^(W$3-2026)*(W368+W369))/1000000+IF(W$3=VST_Assets!$AH$13,VST_Assets!$AG$13,0))*(1+VST_CapexAdj)</f>
        <v>0</v>
      </c>
      <c r="X382" s="8" t="n">
        <f aca="false">((VST_Assets!$S$13*VST_Assets!$D$13*1000*X$4*X366+VST_Assets!$P$13*(1+VST_Assets!$Q$13)^(X$3-2026)*(X368+X369))/1000000+IF(X$3=VST_Assets!$AH$13,VST_Assets!$AG$13,0))*(1+VST_CapexAdj)</f>
        <v>0</v>
      </c>
      <c r="Y382" s="8" t="n">
        <f aca="false">((VST_Assets!$S$13*VST_Assets!$D$13*1000*Y$4*Y366+VST_Assets!$P$13*(1+VST_Assets!$Q$13)^(Y$3-2026)*(Y368+Y369))/1000000+IF(Y$3=VST_Assets!$AH$13,VST_Assets!$AG$13,0))*(1+VST_CapexAdj)</f>
        <v>0</v>
      </c>
      <c r="Z382" s="8" t="n">
        <f aca="false">((VST_Assets!$S$13*VST_Assets!$D$13*1000*Z$4*Z366+VST_Assets!$P$13*(1+VST_Assets!$Q$13)^(Z$3-2026)*(Z368+Z369))/1000000+IF(Z$3=VST_Assets!$AH$13,VST_Assets!$AG$13,0))*(1+VST_CapexAdj)</f>
        <v>0</v>
      </c>
      <c r="AA382" s="8" t="n">
        <f aca="false">((VST_Assets!$S$13*VST_Assets!$D$13*1000*AA$4*AA366+VST_Assets!$P$13*(1+VST_Assets!$Q$13)^(AA$3-2026)*(AA368+AA369))/1000000+IF(AA$3=VST_Assets!$AH$13,VST_Assets!$AG$13,0))*(1+VST_CapexAdj)</f>
        <v>0</v>
      </c>
      <c r="AB382" s="8" t="n">
        <f aca="false">((VST_Assets!$S$13*VST_Assets!$D$13*1000*AB$4*AB366+VST_Assets!$P$13*(1+VST_Assets!$Q$13)^(AB$3-2026)*(AB368+AB369))/1000000+IF(AB$3=VST_Assets!$AH$13,VST_Assets!$AG$13,0))*(1+VST_CapexAdj)</f>
        <v>0</v>
      </c>
      <c r="AC382" s="8" t="n">
        <f aca="false">((VST_Assets!$S$13*VST_Assets!$D$13*1000*AC$4*AC366+VST_Assets!$P$13*(1+VST_Assets!$Q$13)^(AC$3-2026)*(AC368+AC369))/1000000+IF(AC$3=VST_Assets!$AH$13,VST_Assets!$AG$13,0))*(1+VST_CapexAdj)</f>
        <v>0</v>
      </c>
      <c r="AD382" s="8" t="n">
        <f aca="false">((VST_Assets!$S$13*VST_Assets!$D$13*1000*AD$4*AD366+VST_Assets!$P$13*(1+VST_Assets!$Q$13)^(AD$3-2026)*(AD368+AD369))/1000000+IF(AD$3=VST_Assets!$AH$13,VST_Assets!$AG$13,0))*(1+VST_CapexAdj)</f>
        <v>0</v>
      </c>
      <c r="AE382" s="8" t="n">
        <f aca="false">((VST_Assets!$S$13*VST_Assets!$D$13*1000*AE$4*AE366+VST_Assets!$P$13*(1+VST_Assets!$Q$13)^(AE$3-2026)*(AE368+AE369))/1000000+IF(AE$3=VST_Assets!$AH$13,VST_Assets!$AG$13,0))*(1+VST_CapexAdj)</f>
        <v>0</v>
      </c>
      <c r="AF382" s="8" t="n">
        <f aca="false">((VST_Assets!$S$13*VST_Assets!$D$13*1000*AF$4*AF366+VST_Assets!$P$13*(1+VST_Assets!$Q$13)^(AF$3-2026)*(AF368+AF369))/1000000+IF(AF$3=VST_Assets!$AH$13,VST_Assets!$AG$13,0))*(1+VST_CapexAdj)</f>
        <v>0</v>
      </c>
      <c r="AG382" s="8" t="n">
        <f aca="false">((VST_Assets!$S$13*VST_Assets!$D$13*1000*AG$4*AG366+VST_Assets!$P$13*(1+VST_Assets!$Q$13)^(AG$3-2026)*(AG368+AG369))/1000000+IF(AG$3=VST_Assets!$AH$13,VST_Assets!$AG$13,0))*(1+VST_CapexAdj)</f>
        <v>0</v>
      </c>
      <c r="AH382" s="8" t="n">
        <f aca="false">((VST_Assets!$S$13*VST_Assets!$D$13*1000*AH$4*AH366+VST_Assets!$P$13*(1+VST_Assets!$Q$13)^(AH$3-2026)*(AH368+AH369))/1000000+IF(AH$3=VST_Assets!$AH$13,VST_Assets!$AG$13,0))*(1+VST_CapexAdj)</f>
        <v>0</v>
      </c>
      <c r="AI382" s="8" t="n">
        <f aca="false">((VST_Assets!$S$13*VST_Assets!$D$13*1000*AI$4*AI366+VST_Assets!$P$13*(1+VST_Assets!$Q$13)^(AI$3-2026)*(AI368+AI369))/1000000+IF(AI$3=VST_Assets!$AH$13,VST_Assets!$AG$13,0))*(1+VST_CapexAdj)</f>
        <v>0</v>
      </c>
      <c r="AJ382" s="8" t="n">
        <f aca="false">((VST_Assets!$S$13*VST_Assets!$D$13*1000*AJ$4*AJ366+VST_Assets!$P$13*(1+VST_Assets!$Q$13)^(AJ$3-2026)*(AJ368+AJ369))/1000000+IF(AJ$3=VST_Assets!$AH$13,VST_Assets!$AG$13,0))*(1+VST_CapexAdj)</f>
        <v>0</v>
      </c>
      <c r="AK382" s="8" t="n">
        <f aca="false">((VST_Assets!$S$13*VST_Assets!$D$13*1000*AK$4*AK366+VST_Assets!$P$13*(1+VST_Assets!$Q$13)^(AK$3-2026)*(AK368+AK369))/1000000+IF(AK$3=VST_Assets!$AH$13,VST_Assets!$AG$13,0))*(1+VST_CapexAdj)</f>
        <v>0</v>
      </c>
      <c r="AL382" s="8" t="n">
        <f aca="false">((VST_Assets!$S$13*VST_Assets!$D$13*1000*AL$4*AL366+VST_Assets!$P$13*(1+VST_Assets!$Q$13)^(AL$3-2026)*(AL368+AL369))/1000000+IF(AL$3=VST_Assets!$AH$13,VST_Assets!$AG$13,0))*(1+VST_CapexAdj)</f>
        <v>0</v>
      </c>
      <c r="AM382" s="8" t="n">
        <f aca="false">((VST_Assets!$S$13*VST_Assets!$D$13*1000*AM$4*AM366+VST_Assets!$P$13*(1+VST_Assets!$Q$13)^(AM$3-2026)*(AM368+AM369))/1000000+IF(AM$3=VST_Assets!$AH$13,VST_Assets!$AG$13,0))*(1+VST_CapexAdj)</f>
        <v>0</v>
      </c>
      <c r="AN382" s="8" t="n">
        <f aca="false">((VST_Assets!$S$13*VST_Assets!$D$13*1000*AN$4*AN366+VST_Assets!$P$13*(1+VST_Assets!$Q$13)^(AN$3-2026)*(AN368+AN369))/1000000+IF(AN$3=VST_Assets!$AH$13,VST_Assets!$AG$13,0))*(1+VST_CapexAdj)</f>
        <v>0</v>
      </c>
      <c r="AO382" s="8" t="n">
        <f aca="false">((VST_Assets!$S$13*VST_Assets!$D$13*1000*AO$4*AO366+VST_Assets!$P$13*(1+VST_Assets!$Q$13)^(AO$3-2026)*(AO368+AO369))/1000000+IF(AO$3=VST_Assets!$AH$13,VST_Assets!$AG$13,0))*(1+VST_CapexAdj)</f>
        <v>0</v>
      </c>
      <c r="AP382" s="8" t="n">
        <f aca="false">((VST_Assets!$S$13*VST_Assets!$D$13*1000*AP$4*AP366+VST_Assets!$P$13*(1+VST_Assets!$Q$13)^(AP$3-2026)*(AP368+AP369))/1000000+IF(AP$3=VST_Assets!$AH$13,VST_Assets!$AG$13,0))*(1+VST_CapexAdj)</f>
        <v>0</v>
      </c>
      <c r="AQ382" s="8" t="n">
        <f aca="false">((VST_Assets!$S$13*VST_Assets!$D$13*1000*AQ$4*AQ366+VST_Assets!$P$13*(1+VST_Assets!$Q$13)^(AQ$3-2026)*(AQ368+AQ369))/1000000+IF(AQ$3=VST_Assets!$AH$13,VST_Assets!$AG$13,0))*(1+VST_CapexAdj)</f>
        <v>0</v>
      </c>
      <c r="AR382" s="8" t="n">
        <f aca="false">((VST_Assets!$S$13*VST_Assets!$D$13*1000*AR$4*AR366+VST_Assets!$P$13*(1+VST_Assets!$Q$13)^(AR$3-2026)*(AR368+AR369))/1000000+IF(AR$3=VST_Assets!$AH$13,VST_Assets!$AG$13,0))*(1+VST_CapexAdj)</f>
        <v>0</v>
      </c>
      <c r="AS382" s="8" t="n">
        <f aca="false">((VST_Assets!$S$13*VST_Assets!$D$13*1000*AS$4*AS366+VST_Assets!$P$13*(1+VST_Assets!$Q$13)^(AS$3-2026)*(AS368+AS369))/1000000+IF(AS$3=VST_Assets!$AH$13,VST_Assets!$AG$13,0))*(1+VST_CapexAdj)</f>
        <v>0</v>
      </c>
    </row>
    <row r="383" customFormat="false" ht="15" hidden="false" customHeight="false" outlineLevel="0" collapsed="false">
      <c r="A383" s="6" t="s">
        <v>459</v>
      </c>
      <c r="B383" s="6" t="s">
        <v>460</v>
      </c>
      <c r="C383" s="9" t="n">
        <f aca="false">SUM(G383:AS383)</f>
        <v>0</v>
      </c>
      <c r="G383" s="8" t="n">
        <f aca="false">IF(VST_Assets!$Y$13=1,MAX(0,G381-G382),G381-G382)</f>
        <v>0</v>
      </c>
      <c r="H383" s="8" t="n">
        <f aca="false">IF(VST_Assets!$Y$13=1,MAX(0,H381-H382),H381-H382)</f>
        <v>0</v>
      </c>
      <c r="I383" s="8" t="n">
        <f aca="false">IF(VST_Assets!$Y$13=1,MAX(0,I381-I382),I381-I382)</f>
        <v>0</v>
      </c>
      <c r="J383" s="8" t="n">
        <f aca="false">IF(VST_Assets!$Y$13=1,MAX(0,J381-J382),J381-J382)</f>
        <v>0</v>
      </c>
      <c r="K383" s="8" t="n">
        <f aca="false">IF(VST_Assets!$Y$13=1,MAX(0,K381-K382),K381-K382)</f>
        <v>0</v>
      </c>
      <c r="L383" s="8" t="n">
        <f aca="false">IF(VST_Assets!$Y$13=1,MAX(0,L381-L382),L381-L382)</f>
        <v>0</v>
      </c>
      <c r="M383" s="8" t="n">
        <f aca="false">IF(VST_Assets!$Y$13=1,MAX(0,M381-M382),M381-M382)</f>
        <v>0</v>
      </c>
      <c r="N383" s="8" t="n">
        <f aca="false">IF(VST_Assets!$Y$13=1,MAX(0,N381-N382),N381-N382)</f>
        <v>0</v>
      </c>
      <c r="O383" s="8" t="n">
        <f aca="false">IF(VST_Assets!$Y$13=1,MAX(0,O381-O382),O381-O382)</f>
        <v>0</v>
      </c>
      <c r="P383" s="8" t="n">
        <f aca="false">IF(VST_Assets!$Y$13=1,MAX(0,P381-P382),P381-P382)</f>
        <v>0</v>
      </c>
      <c r="Q383" s="8" t="n">
        <f aca="false">IF(VST_Assets!$Y$13=1,MAX(0,Q381-Q382),Q381-Q382)</f>
        <v>0</v>
      </c>
      <c r="R383" s="8" t="n">
        <f aca="false">IF(VST_Assets!$Y$13=1,MAX(0,R381-R382),R381-R382)</f>
        <v>0</v>
      </c>
      <c r="S383" s="8" t="n">
        <f aca="false">IF(VST_Assets!$Y$13=1,MAX(0,S381-S382),S381-S382)</f>
        <v>0</v>
      </c>
      <c r="T383" s="8" t="n">
        <f aca="false">IF(VST_Assets!$Y$13=1,MAX(0,T381-T382),T381-T382)</f>
        <v>0</v>
      </c>
      <c r="U383" s="8" t="n">
        <f aca="false">IF(VST_Assets!$Y$13=1,MAX(0,U381-U382),U381-U382)</f>
        <v>0</v>
      </c>
      <c r="V383" s="8" t="n">
        <f aca="false">IF(VST_Assets!$Y$13=1,MAX(0,V381-V382),V381-V382)</f>
        <v>0</v>
      </c>
      <c r="W383" s="8" t="n">
        <f aca="false">IF(VST_Assets!$Y$13=1,MAX(0,W381-W382),W381-W382)</f>
        <v>0</v>
      </c>
      <c r="X383" s="8" t="n">
        <f aca="false">IF(VST_Assets!$Y$13=1,MAX(0,X381-X382),X381-X382)</f>
        <v>0</v>
      </c>
      <c r="Y383" s="8" t="n">
        <f aca="false">IF(VST_Assets!$Y$13=1,MAX(0,Y381-Y382),Y381-Y382)</f>
        <v>0</v>
      </c>
      <c r="Z383" s="8" t="n">
        <f aca="false">IF(VST_Assets!$Y$13=1,MAX(0,Z381-Z382),Z381-Z382)</f>
        <v>0</v>
      </c>
      <c r="AA383" s="8" t="n">
        <f aca="false">IF(VST_Assets!$Y$13=1,MAX(0,AA381-AA382),AA381-AA382)</f>
        <v>0</v>
      </c>
      <c r="AB383" s="8" t="n">
        <f aca="false">IF(VST_Assets!$Y$13=1,MAX(0,AB381-AB382),AB381-AB382)</f>
        <v>0</v>
      </c>
      <c r="AC383" s="8" t="n">
        <f aca="false">IF(VST_Assets!$Y$13=1,MAX(0,AC381-AC382),AC381-AC382)</f>
        <v>0</v>
      </c>
      <c r="AD383" s="8" t="n">
        <f aca="false">IF(VST_Assets!$Y$13=1,MAX(0,AD381-AD382),AD381-AD382)</f>
        <v>0</v>
      </c>
      <c r="AE383" s="8" t="n">
        <f aca="false">IF(VST_Assets!$Y$13=1,MAX(0,AE381-AE382),AE381-AE382)</f>
        <v>0</v>
      </c>
      <c r="AF383" s="8" t="n">
        <f aca="false">IF(VST_Assets!$Y$13=1,MAX(0,AF381-AF382),AF381-AF382)</f>
        <v>0</v>
      </c>
      <c r="AG383" s="8" t="n">
        <f aca="false">IF(VST_Assets!$Y$13=1,MAX(0,AG381-AG382),AG381-AG382)</f>
        <v>0</v>
      </c>
      <c r="AH383" s="8" t="n">
        <f aca="false">IF(VST_Assets!$Y$13=1,MAX(0,AH381-AH382),AH381-AH382)</f>
        <v>0</v>
      </c>
      <c r="AI383" s="8" t="n">
        <f aca="false">IF(VST_Assets!$Y$13=1,MAX(0,AI381-AI382),AI381-AI382)</f>
        <v>0</v>
      </c>
      <c r="AJ383" s="8" t="n">
        <f aca="false">IF(VST_Assets!$Y$13=1,MAX(0,AJ381-AJ382),AJ381-AJ382)</f>
        <v>0</v>
      </c>
      <c r="AK383" s="8" t="n">
        <f aca="false">IF(VST_Assets!$Y$13=1,MAX(0,AK381-AK382),AK381-AK382)</f>
        <v>0</v>
      </c>
      <c r="AL383" s="8" t="n">
        <f aca="false">IF(VST_Assets!$Y$13=1,MAX(0,AL381-AL382),AL381-AL382)</f>
        <v>0</v>
      </c>
      <c r="AM383" s="8" t="n">
        <f aca="false">IF(VST_Assets!$Y$13=1,MAX(0,AM381-AM382),AM381-AM382)</f>
        <v>0</v>
      </c>
      <c r="AN383" s="8" t="n">
        <f aca="false">IF(VST_Assets!$Y$13=1,MAX(0,AN381-AN382),AN381-AN382)</f>
        <v>0</v>
      </c>
      <c r="AO383" s="8" t="n">
        <f aca="false">IF(VST_Assets!$Y$13=1,MAX(0,AO381-AO382),AO381-AO382)</f>
        <v>0</v>
      </c>
      <c r="AP383" s="8" t="n">
        <f aca="false">IF(VST_Assets!$Y$13=1,MAX(0,AP381-AP382),AP381-AP382)</f>
        <v>0</v>
      </c>
      <c r="AQ383" s="8" t="n">
        <f aca="false">IF(VST_Assets!$Y$13=1,MAX(0,AQ381-AQ382),AQ381-AQ382)</f>
        <v>0</v>
      </c>
      <c r="AR383" s="8" t="n">
        <f aca="false">IF(VST_Assets!$Y$13=1,MAX(0,AR381-AR382),AR381-AR382)</f>
        <v>0</v>
      </c>
      <c r="AS383" s="8" t="n">
        <f aca="false">IF(VST_Assets!$Y$13=1,MAX(0,AS381-AS382),AS381-AS382)</f>
        <v>0</v>
      </c>
    </row>
    <row r="384" customFormat="false" ht="15" hidden="false" customHeight="false" outlineLevel="0" collapsed="false">
      <c r="A384" s="6" t="s">
        <v>461</v>
      </c>
      <c r="B384" s="6" t="s">
        <v>462</v>
      </c>
      <c r="C384" s="9" t="n">
        <f aca="false">SUM(G384:AS384)</f>
        <v>0</v>
      </c>
      <c r="G384" s="8" t="n">
        <f aca="false">IF(AND(VST_Assets!$W$13=1,G$3&lt;=PTCLast,G368&gt;0),G368*MAX(0,PTCCredit*(1+Infl)^(G$3-PTCBase)-0.8*MAX(0,(G373+G374+G376)*1000000/MAX(1,G368)-PTCThresh*(1+Infl)^(G$3-PTCBase)))/1000000,0)</f>
        <v>0</v>
      </c>
      <c r="H384" s="8" t="n">
        <f aca="false">IF(AND(VST_Assets!$W$13=1,H$3&lt;=PTCLast,H368&gt;0),H368*MAX(0,PTCCredit*(1+Infl)^(H$3-PTCBase)-0.8*MAX(0,(H373+H374+H376)*1000000/MAX(1,H368)-PTCThresh*(1+Infl)^(H$3-PTCBase)))/1000000,0)</f>
        <v>0</v>
      </c>
      <c r="I384" s="8" t="n">
        <f aca="false">IF(AND(VST_Assets!$W$13=1,I$3&lt;=PTCLast,I368&gt;0),I368*MAX(0,PTCCredit*(1+Infl)^(I$3-PTCBase)-0.8*MAX(0,(I373+I374+I376)*1000000/MAX(1,I368)-PTCThresh*(1+Infl)^(I$3-PTCBase)))/1000000,0)</f>
        <v>0</v>
      </c>
      <c r="J384" s="8" t="n">
        <f aca="false">IF(AND(VST_Assets!$W$13=1,J$3&lt;=PTCLast,J368&gt;0),J368*MAX(0,PTCCredit*(1+Infl)^(J$3-PTCBase)-0.8*MAX(0,(J373+J374+J376)*1000000/MAX(1,J368)-PTCThresh*(1+Infl)^(J$3-PTCBase)))/1000000,0)</f>
        <v>0</v>
      </c>
      <c r="K384" s="8" t="n">
        <f aca="false">IF(AND(VST_Assets!$W$13=1,K$3&lt;=PTCLast,K368&gt;0),K368*MAX(0,PTCCredit*(1+Infl)^(K$3-PTCBase)-0.8*MAX(0,(K373+K374+K376)*1000000/MAX(1,K368)-PTCThresh*(1+Infl)^(K$3-PTCBase)))/1000000,0)</f>
        <v>0</v>
      </c>
      <c r="L384" s="8" t="n">
        <f aca="false">IF(AND(VST_Assets!$W$13=1,L$3&lt;=PTCLast,L368&gt;0),L368*MAX(0,PTCCredit*(1+Infl)^(L$3-PTCBase)-0.8*MAX(0,(L373+L374+L376)*1000000/MAX(1,L368)-PTCThresh*(1+Infl)^(L$3-PTCBase)))/1000000,0)</f>
        <v>0</v>
      </c>
      <c r="M384" s="8" t="n">
        <f aca="false">IF(AND(VST_Assets!$W$13=1,M$3&lt;=PTCLast,M368&gt;0),M368*MAX(0,PTCCredit*(1+Infl)^(M$3-PTCBase)-0.8*MAX(0,(M373+M374+M376)*1000000/MAX(1,M368)-PTCThresh*(1+Infl)^(M$3-PTCBase)))/1000000,0)</f>
        <v>0</v>
      </c>
      <c r="N384" s="8" t="n">
        <f aca="false">IF(AND(VST_Assets!$W$13=1,N$3&lt;=PTCLast,N368&gt;0),N368*MAX(0,PTCCredit*(1+Infl)^(N$3-PTCBase)-0.8*MAX(0,(N373+N374+N376)*1000000/MAX(1,N368)-PTCThresh*(1+Infl)^(N$3-PTCBase)))/1000000,0)</f>
        <v>0</v>
      </c>
      <c r="O384" s="8" t="n">
        <f aca="false">IF(AND(VST_Assets!$W$13=1,O$3&lt;=PTCLast,O368&gt;0),O368*MAX(0,PTCCredit*(1+Infl)^(O$3-PTCBase)-0.8*MAX(0,(O373+O374+O376)*1000000/MAX(1,O368)-PTCThresh*(1+Infl)^(O$3-PTCBase)))/1000000,0)</f>
        <v>0</v>
      </c>
      <c r="P384" s="8" t="n">
        <f aca="false">IF(AND(VST_Assets!$W$13=1,P$3&lt;=PTCLast,P368&gt;0),P368*MAX(0,PTCCredit*(1+Infl)^(P$3-PTCBase)-0.8*MAX(0,(P373+P374+P376)*1000000/MAX(1,P368)-PTCThresh*(1+Infl)^(P$3-PTCBase)))/1000000,0)</f>
        <v>0</v>
      </c>
      <c r="Q384" s="8" t="n">
        <f aca="false">IF(AND(VST_Assets!$W$13=1,Q$3&lt;=PTCLast,Q368&gt;0),Q368*MAX(0,PTCCredit*(1+Infl)^(Q$3-PTCBase)-0.8*MAX(0,(Q373+Q374+Q376)*1000000/MAX(1,Q368)-PTCThresh*(1+Infl)^(Q$3-PTCBase)))/1000000,0)</f>
        <v>0</v>
      </c>
      <c r="R384" s="8" t="n">
        <f aca="false">IF(AND(VST_Assets!$W$13=1,R$3&lt;=PTCLast,R368&gt;0),R368*MAX(0,PTCCredit*(1+Infl)^(R$3-PTCBase)-0.8*MAX(0,(R373+R374+R376)*1000000/MAX(1,R368)-PTCThresh*(1+Infl)^(R$3-PTCBase)))/1000000,0)</f>
        <v>0</v>
      </c>
      <c r="S384" s="8" t="n">
        <f aca="false">IF(AND(VST_Assets!$W$13=1,S$3&lt;=PTCLast,S368&gt;0),S368*MAX(0,PTCCredit*(1+Infl)^(S$3-PTCBase)-0.8*MAX(0,(S373+S374+S376)*1000000/MAX(1,S368)-PTCThresh*(1+Infl)^(S$3-PTCBase)))/1000000,0)</f>
        <v>0</v>
      </c>
      <c r="T384" s="8" t="n">
        <f aca="false">IF(AND(VST_Assets!$W$13=1,T$3&lt;=PTCLast,T368&gt;0),T368*MAX(0,PTCCredit*(1+Infl)^(T$3-PTCBase)-0.8*MAX(0,(T373+T374+T376)*1000000/MAX(1,T368)-PTCThresh*(1+Infl)^(T$3-PTCBase)))/1000000,0)</f>
        <v>0</v>
      </c>
      <c r="U384" s="8" t="n">
        <f aca="false">IF(AND(VST_Assets!$W$13=1,U$3&lt;=PTCLast,U368&gt;0),U368*MAX(0,PTCCredit*(1+Infl)^(U$3-PTCBase)-0.8*MAX(0,(U373+U374+U376)*1000000/MAX(1,U368)-PTCThresh*(1+Infl)^(U$3-PTCBase)))/1000000,0)</f>
        <v>0</v>
      </c>
      <c r="V384" s="8" t="n">
        <f aca="false">IF(AND(VST_Assets!$W$13=1,V$3&lt;=PTCLast,V368&gt;0),V368*MAX(0,PTCCredit*(1+Infl)^(V$3-PTCBase)-0.8*MAX(0,(V373+V374+V376)*1000000/MAX(1,V368)-PTCThresh*(1+Infl)^(V$3-PTCBase)))/1000000,0)</f>
        <v>0</v>
      </c>
      <c r="W384" s="8" t="n">
        <f aca="false">IF(AND(VST_Assets!$W$13=1,W$3&lt;=PTCLast,W368&gt;0),W368*MAX(0,PTCCredit*(1+Infl)^(W$3-PTCBase)-0.8*MAX(0,(W373+W374+W376)*1000000/MAX(1,W368)-PTCThresh*(1+Infl)^(W$3-PTCBase)))/1000000,0)</f>
        <v>0</v>
      </c>
      <c r="X384" s="8" t="n">
        <f aca="false">IF(AND(VST_Assets!$W$13=1,X$3&lt;=PTCLast,X368&gt;0),X368*MAX(0,PTCCredit*(1+Infl)^(X$3-PTCBase)-0.8*MAX(0,(X373+X374+X376)*1000000/MAX(1,X368)-PTCThresh*(1+Infl)^(X$3-PTCBase)))/1000000,0)</f>
        <v>0</v>
      </c>
      <c r="Y384" s="8" t="n">
        <f aca="false">IF(AND(VST_Assets!$W$13=1,Y$3&lt;=PTCLast,Y368&gt;0),Y368*MAX(0,PTCCredit*(1+Infl)^(Y$3-PTCBase)-0.8*MAX(0,(Y373+Y374+Y376)*1000000/MAX(1,Y368)-PTCThresh*(1+Infl)^(Y$3-PTCBase)))/1000000,0)</f>
        <v>0</v>
      </c>
      <c r="Z384" s="8" t="n">
        <f aca="false">IF(AND(VST_Assets!$W$13=1,Z$3&lt;=PTCLast,Z368&gt;0),Z368*MAX(0,PTCCredit*(1+Infl)^(Z$3-PTCBase)-0.8*MAX(0,(Z373+Z374+Z376)*1000000/MAX(1,Z368)-PTCThresh*(1+Infl)^(Z$3-PTCBase)))/1000000,0)</f>
        <v>0</v>
      </c>
      <c r="AA384" s="8" t="n">
        <f aca="false">IF(AND(VST_Assets!$W$13=1,AA$3&lt;=PTCLast,AA368&gt;0),AA368*MAX(0,PTCCredit*(1+Infl)^(AA$3-PTCBase)-0.8*MAX(0,(AA373+AA374+AA376)*1000000/MAX(1,AA368)-PTCThresh*(1+Infl)^(AA$3-PTCBase)))/1000000,0)</f>
        <v>0</v>
      </c>
      <c r="AB384" s="8" t="n">
        <f aca="false">IF(AND(VST_Assets!$W$13=1,AB$3&lt;=PTCLast,AB368&gt;0),AB368*MAX(0,PTCCredit*(1+Infl)^(AB$3-PTCBase)-0.8*MAX(0,(AB373+AB374+AB376)*1000000/MAX(1,AB368)-PTCThresh*(1+Infl)^(AB$3-PTCBase)))/1000000,0)</f>
        <v>0</v>
      </c>
      <c r="AC384" s="8" t="n">
        <f aca="false">IF(AND(VST_Assets!$W$13=1,AC$3&lt;=PTCLast,AC368&gt;0),AC368*MAX(0,PTCCredit*(1+Infl)^(AC$3-PTCBase)-0.8*MAX(0,(AC373+AC374+AC376)*1000000/MAX(1,AC368)-PTCThresh*(1+Infl)^(AC$3-PTCBase)))/1000000,0)</f>
        <v>0</v>
      </c>
      <c r="AD384" s="8" t="n">
        <f aca="false">IF(AND(VST_Assets!$W$13=1,AD$3&lt;=PTCLast,AD368&gt;0),AD368*MAX(0,PTCCredit*(1+Infl)^(AD$3-PTCBase)-0.8*MAX(0,(AD373+AD374+AD376)*1000000/MAX(1,AD368)-PTCThresh*(1+Infl)^(AD$3-PTCBase)))/1000000,0)</f>
        <v>0</v>
      </c>
      <c r="AE384" s="8" t="n">
        <f aca="false">IF(AND(VST_Assets!$W$13=1,AE$3&lt;=PTCLast,AE368&gt;0),AE368*MAX(0,PTCCredit*(1+Infl)^(AE$3-PTCBase)-0.8*MAX(0,(AE373+AE374+AE376)*1000000/MAX(1,AE368)-PTCThresh*(1+Infl)^(AE$3-PTCBase)))/1000000,0)</f>
        <v>0</v>
      </c>
      <c r="AF384" s="8" t="n">
        <f aca="false">IF(AND(VST_Assets!$W$13=1,AF$3&lt;=PTCLast,AF368&gt;0),AF368*MAX(0,PTCCredit*(1+Infl)^(AF$3-PTCBase)-0.8*MAX(0,(AF373+AF374+AF376)*1000000/MAX(1,AF368)-PTCThresh*(1+Infl)^(AF$3-PTCBase)))/1000000,0)</f>
        <v>0</v>
      </c>
      <c r="AG384" s="8" t="n">
        <f aca="false">IF(AND(VST_Assets!$W$13=1,AG$3&lt;=PTCLast,AG368&gt;0),AG368*MAX(0,PTCCredit*(1+Infl)^(AG$3-PTCBase)-0.8*MAX(0,(AG373+AG374+AG376)*1000000/MAX(1,AG368)-PTCThresh*(1+Infl)^(AG$3-PTCBase)))/1000000,0)</f>
        <v>0</v>
      </c>
      <c r="AH384" s="8" t="n">
        <f aca="false">IF(AND(VST_Assets!$W$13=1,AH$3&lt;=PTCLast,AH368&gt;0),AH368*MAX(0,PTCCredit*(1+Infl)^(AH$3-PTCBase)-0.8*MAX(0,(AH373+AH374+AH376)*1000000/MAX(1,AH368)-PTCThresh*(1+Infl)^(AH$3-PTCBase)))/1000000,0)</f>
        <v>0</v>
      </c>
      <c r="AI384" s="8" t="n">
        <f aca="false">IF(AND(VST_Assets!$W$13=1,AI$3&lt;=PTCLast,AI368&gt;0),AI368*MAX(0,PTCCredit*(1+Infl)^(AI$3-PTCBase)-0.8*MAX(0,(AI373+AI374+AI376)*1000000/MAX(1,AI368)-PTCThresh*(1+Infl)^(AI$3-PTCBase)))/1000000,0)</f>
        <v>0</v>
      </c>
      <c r="AJ384" s="8" t="n">
        <f aca="false">IF(AND(VST_Assets!$W$13=1,AJ$3&lt;=PTCLast,AJ368&gt;0),AJ368*MAX(0,PTCCredit*(1+Infl)^(AJ$3-PTCBase)-0.8*MAX(0,(AJ373+AJ374+AJ376)*1000000/MAX(1,AJ368)-PTCThresh*(1+Infl)^(AJ$3-PTCBase)))/1000000,0)</f>
        <v>0</v>
      </c>
      <c r="AK384" s="8" t="n">
        <f aca="false">IF(AND(VST_Assets!$W$13=1,AK$3&lt;=PTCLast,AK368&gt;0),AK368*MAX(0,PTCCredit*(1+Infl)^(AK$3-PTCBase)-0.8*MAX(0,(AK373+AK374+AK376)*1000000/MAX(1,AK368)-PTCThresh*(1+Infl)^(AK$3-PTCBase)))/1000000,0)</f>
        <v>0</v>
      </c>
      <c r="AL384" s="8" t="n">
        <f aca="false">IF(AND(VST_Assets!$W$13=1,AL$3&lt;=PTCLast,AL368&gt;0),AL368*MAX(0,PTCCredit*(1+Infl)^(AL$3-PTCBase)-0.8*MAX(0,(AL373+AL374+AL376)*1000000/MAX(1,AL368)-PTCThresh*(1+Infl)^(AL$3-PTCBase)))/1000000,0)</f>
        <v>0</v>
      </c>
      <c r="AM384" s="8" t="n">
        <f aca="false">IF(AND(VST_Assets!$W$13=1,AM$3&lt;=PTCLast,AM368&gt;0),AM368*MAX(0,PTCCredit*(1+Infl)^(AM$3-PTCBase)-0.8*MAX(0,(AM373+AM374+AM376)*1000000/MAX(1,AM368)-PTCThresh*(1+Infl)^(AM$3-PTCBase)))/1000000,0)</f>
        <v>0</v>
      </c>
      <c r="AN384" s="8" t="n">
        <f aca="false">IF(AND(VST_Assets!$W$13=1,AN$3&lt;=PTCLast,AN368&gt;0),AN368*MAX(0,PTCCredit*(1+Infl)^(AN$3-PTCBase)-0.8*MAX(0,(AN373+AN374+AN376)*1000000/MAX(1,AN368)-PTCThresh*(1+Infl)^(AN$3-PTCBase)))/1000000,0)</f>
        <v>0</v>
      </c>
      <c r="AO384" s="8" t="n">
        <f aca="false">IF(AND(VST_Assets!$W$13=1,AO$3&lt;=PTCLast,AO368&gt;0),AO368*MAX(0,PTCCredit*(1+Infl)^(AO$3-PTCBase)-0.8*MAX(0,(AO373+AO374+AO376)*1000000/MAX(1,AO368)-PTCThresh*(1+Infl)^(AO$3-PTCBase)))/1000000,0)</f>
        <v>0</v>
      </c>
      <c r="AP384" s="8" t="n">
        <f aca="false">IF(AND(VST_Assets!$W$13=1,AP$3&lt;=PTCLast,AP368&gt;0),AP368*MAX(0,PTCCredit*(1+Infl)^(AP$3-PTCBase)-0.8*MAX(0,(AP373+AP374+AP376)*1000000/MAX(1,AP368)-PTCThresh*(1+Infl)^(AP$3-PTCBase)))/1000000,0)</f>
        <v>0</v>
      </c>
      <c r="AQ384" s="8" t="n">
        <f aca="false">IF(AND(VST_Assets!$W$13=1,AQ$3&lt;=PTCLast,AQ368&gt;0),AQ368*MAX(0,PTCCredit*(1+Infl)^(AQ$3-PTCBase)-0.8*MAX(0,(AQ373+AQ374+AQ376)*1000000/MAX(1,AQ368)-PTCThresh*(1+Infl)^(AQ$3-PTCBase)))/1000000,0)</f>
        <v>0</v>
      </c>
      <c r="AR384" s="8" t="n">
        <f aca="false">IF(AND(VST_Assets!$W$13=1,AR$3&lt;=PTCLast,AR368&gt;0),AR368*MAX(0,PTCCredit*(1+Infl)^(AR$3-PTCBase)-0.8*MAX(0,(AR373+AR374+AR376)*1000000/MAX(1,AR368)-PTCThresh*(1+Infl)^(AR$3-PTCBase)))/1000000,0)</f>
        <v>0</v>
      </c>
      <c r="AS384" s="8" t="n">
        <f aca="false">IF(AND(VST_Assets!$W$13=1,AS$3&lt;=PTCLast,AS368&gt;0),AS368*MAX(0,PTCCredit*(1+Infl)^(AS$3-PTCBase)-0.8*MAX(0,(AS373+AS374+AS376)*1000000/MAX(1,AS368)-PTCThresh*(1+Infl)^(AS$3-PTCBase)))/1000000,0)</f>
        <v>0</v>
      </c>
    </row>
    <row r="385" customFormat="false" ht="15" hidden="false" customHeight="false" outlineLevel="0" collapsed="false">
      <c r="A385" s="6" t="s">
        <v>463</v>
      </c>
      <c r="B385" s="6" t="s">
        <v>464</v>
      </c>
      <c r="G385" s="8" t="n">
        <f aca="false">G375-G369*(VST_Assets!$N$13*(1+VST_FuelAdj)+VST_Assets!$O$13*(1+VST_OMAdj)+VST_Assets!$P$13*(1+VST_CapexAdj))*(1+VST_Assets!$Q$13)^(G$3-2026)/1000000</f>
        <v>0</v>
      </c>
      <c r="H385" s="8" t="n">
        <f aca="false">H375-H369*(VST_Assets!$N$13*(1+VST_FuelAdj)+VST_Assets!$O$13*(1+VST_OMAdj)+VST_Assets!$P$13*(1+VST_CapexAdj))*(1+VST_Assets!$Q$13)^(H$3-2026)/1000000</f>
        <v>0</v>
      </c>
      <c r="I385" s="8" t="n">
        <f aca="false">I375-I369*(VST_Assets!$N$13*(1+VST_FuelAdj)+VST_Assets!$O$13*(1+VST_OMAdj)+VST_Assets!$P$13*(1+VST_CapexAdj))*(1+VST_Assets!$Q$13)^(I$3-2026)/1000000</f>
        <v>0</v>
      </c>
      <c r="J385" s="8" t="n">
        <f aca="false">J375-J369*(VST_Assets!$N$13*(1+VST_FuelAdj)+VST_Assets!$O$13*(1+VST_OMAdj)+VST_Assets!$P$13*(1+VST_CapexAdj))*(1+VST_Assets!$Q$13)^(J$3-2026)/1000000</f>
        <v>0</v>
      </c>
      <c r="K385" s="8" t="n">
        <f aca="false">K375-K369*(VST_Assets!$N$13*(1+VST_FuelAdj)+VST_Assets!$O$13*(1+VST_OMAdj)+VST_Assets!$P$13*(1+VST_CapexAdj))*(1+VST_Assets!$Q$13)^(K$3-2026)/1000000</f>
        <v>0</v>
      </c>
      <c r="L385" s="8" t="n">
        <f aca="false">L375-L369*(VST_Assets!$N$13*(1+VST_FuelAdj)+VST_Assets!$O$13*(1+VST_OMAdj)+VST_Assets!$P$13*(1+VST_CapexAdj))*(1+VST_Assets!$Q$13)^(L$3-2026)/1000000</f>
        <v>0</v>
      </c>
      <c r="M385" s="8" t="n">
        <f aca="false">M375-M369*(VST_Assets!$N$13*(1+VST_FuelAdj)+VST_Assets!$O$13*(1+VST_OMAdj)+VST_Assets!$P$13*(1+VST_CapexAdj))*(1+VST_Assets!$Q$13)^(M$3-2026)/1000000</f>
        <v>0</v>
      </c>
      <c r="N385" s="8" t="n">
        <f aca="false">N375-N369*(VST_Assets!$N$13*(1+VST_FuelAdj)+VST_Assets!$O$13*(1+VST_OMAdj)+VST_Assets!$P$13*(1+VST_CapexAdj))*(1+VST_Assets!$Q$13)^(N$3-2026)/1000000</f>
        <v>0</v>
      </c>
      <c r="O385" s="8" t="n">
        <f aca="false">O375-O369*(VST_Assets!$N$13*(1+VST_FuelAdj)+VST_Assets!$O$13*(1+VST_OMAdj)+VST_Assets!$P$13*(1+VST_CapexAdj))*(1+VST_Assets!$Q$13)^(O$3-2026)/1000000</f>
        <v>0</v>
      </c>
      <c r="P385" s="8" t="n">
        <f aca="false">P375-P369*(VST_Assets!$N$13*(1+VST_FuelAdj)+VST_Assets!$O$13*(1+VST_OMAdj)+VST_Assets!$P$13*(1+VST_CapexAdj))*(1+VST_Assets!$Q$13)^(P$3-2026)/1000000</f>
        <v>0</v>
      </c>
      <c r="Q385" s="8" t="n">
        <f aca="false">Q375-Q369*(VST_Assets!$N$13*(1+VST_FuelAdj)+VST_Assets!$O$13*(1+VST_OMAdj)+VST_Assets!$P$13*(1+VST_CapexAdj))*(1+VST_Assets!$Q$13)^(Q$3-2026)/1000000</f>
        <v>0</v>
      </c>
      <c r="R385" s="8" t="n">
        <f aca="false">R375-R369*(VST_Assets!$N$13*(1+VST_FuelAdj)+VST_Assets!$O$13*(1+VST_OMAdj)+VST_Assets!$P$13*(1+VST_CapexAdj))*(1+VST_Assets!$Q$13)^(R$3-2026)/1000000</f>
        <v>0</v>
      </c>
      <c r="S385" s="8" t="n">
        <f aca="false">S375-S369*(VST_Assets!$N$13*(1+VST_FuelAdj)+VST_Assets!$O$13*(1+VST_OMAdj)+VST_Assets!$P$13*(1+VST_CapexAdj))*(1+VST_Assets!$Q$13)^(S$3-2026)/1000000</f>
        <v>0</v>
      </c>
      <c r="T385" s="8" t="n">
        <f aca="false">T375-T369*(VST_Assets!$N$13*(1+VST_FuelAdj)+VST_Assets!$O$13*(1+VST_OMAdj)+VST_Assets!$P$13*(1+VST_CapexAdj))*(1+VST_Assets!$Q$13)^(T$3-2026)/1000000</f>
        <v>0</v>
      </c>
      <c r="U385" s="8" t="n">
        <f aca="false">U375-U369*(VST_Assets!$N$13*(1+VST_FuelAdj)+VST_Assets!$O$13*(1+VST_OMAdj)+VST_Assets!$P$13*(1+VST_CapexAdj))*(1+VST_Assets!$Q$13)^(U$3-2026)/1000000</f>
        <v>0</v>
      </c>
      <c r="V385" s="8" t="n">
        <f aca="false">V375-V369*(VST_Assets!$N$13*(1+VST_FuelAdj)+VST_Assets!$O$13*(1+VST_OMAdj)+VST_Assets!$P$13*(1+VST_CapexAdj))*(1+VST_Assets!$Q$13)^(V$3-2026)/1000000</f>
        <v>0</v>
      </c>
      <c r="W385" s="8" t="n">
        <f aca="false">W375-W369*(VST_Assets!$N$13*(1+VST_FuelAdj)+VST_Assets!$O$13*(1+VST_OMAdj)+VST_Assets!$P$13*(1+VST_CapexAdj))*(1+VST_Assets!$Q$13)^(W$3-2026)/1000000</f>
        <v>0</v>
      </c>
      <c r="X385" s="8" t="n">
        <f aca="false">X375-X369*(VST_Assets!$N$13*(1+VST_FuelAdj)+VST_Assets!$O$13*(1+VST_OMAdj)+VST_Assets!$P$13*(1+VST_CapexAdj))*(1+VST_Assets!$Q$13)^(X$3-2026)/1000000</f>
        <v>0</v>
      </c>
      <c r="Y385" s="8" t="n">
        <f aca="false">Y375-Y369*(VST_Assets!$N$13*(1+VST_FuelAdj)+VST_Assets!$O$13*(1+VST_OMAdj)+VST_Assets!$P$13*(1+VST_CapexAdj))*(1+VST_Assets!$Q$13)^(Y$3-2026)/1000000</f>
        <v>0</v>
      </c>
      <c r="Z385" s="8" t="n">
        <f aca="false">Z375-Z369*(VST_Assets!$N$13*(1+VST_FuelAdj)+VST_Assets!$O$13*(1+VST_OMAdj)+VST_Assets!$P$13*(1+VST_CapexAdj))*(1+VST_Assets!$Q$13)^(Z$3-2026)/1000000</f>
        <v>0</v>
      </c>
      <c r="AA385" s="8" t="n">
        <f aca="false">AA375-AA369*(VST_Assets!$N$13*(1+VST_FuelAdj)+VST_Assets!$O$13*(1+VST_OMAdj)+VST_Assets!$P$13*(1+VST_CapexAdj))*(1+VST_Assets!$Q$13)^(AA$3-2026)/1000000</f>
        <v>0</v>
      </c>
      <c r="AB385" s="8" t="n">
        <f aca="false">AB375-AB369*(VST_Assets!$N$13*(1+VST_FuelAdj)+VST_Assets!$O$13*(1+VST_OMAdj)+VST_Assets!$P$13*(1+VST_CapexAdj))*(1+VST_Assets!$Q$13)^(AB$3-2026)/1000000</f>
        <v>0</v>
      </c>
      <c r="AC385" s="8" t="n">
        <f aca="false">AC375-AC369*(VST_Assets!$N$13*(1+VST_FuelAdj)+VST_Assets!$O$13*(1+VST_OMAdj)+VST_Assets!$P$13*(1+VST_CapexAdj))*(1+VST_Assets!$Q$13)^(AC$3-2026)/1000000</f>
        <v>0</v>
      </c>
      <c r="AD385" s="8" t="n">
        <f aca="false">AD375-AD369*(VST_Assets!$N$13*(1+VST_FuelAdj)+VST_Assets!$O$13*(1+VST_OMAdj)+VST_Assets!$P$13*(1+VST_CapexAdj))*(1+VST_Assets!$Q$13)^(AD$3-2026)/1000000</f>
        <v>0</v>
      </c>
      <c r="AE385" s="8" t="n">
        <f aca="false">AE375-AE369*(VST_Assets!$N$13*(1+VST_FuelAdj)+VST_Assets!$O$13*(1+VST_OMAdj)+VST_Assets!$P$13*(1+VST_CapexAdj))*(1+VST_Assets!$Q$13)^(AE$3-2026)/1000000</f>
        <v>0</v>
      </c>
      <c r="AF385" s="8" t="n">
        <f aca="false">AF375-AF369*(VST_Assets!$N$13*(1+VST_FuelAdj)+VST_Assets!$O$13*(1+VST_OMAdj)+VST_Assets!$P$13*(1+VST_CapexAdj))*(1+VST_Assets!$Q$13)^(AF$3-2026)/1000000</f>
        <v>0</v>
      </c>
      <c r="AG385" s="8" t="n">
        <f aca="false">AG375-AG369*(VST_Assets!$N$13*(1+VST_FuelAdj)+VST_Assets!$O$13*(1+VST_OMAdj)+VST_Assets!$P$13*(1+VST_CapexAdj))*(1+VST_Assets!$Q$13)^(AG$3-2026)/1000000</f>
        <v>0</v>
      </c>
      <c r="AH385" s="8" t="n">
        <f aca="false">AH375-AH369*(VST_Assets!$N$13*(1+VST_FuelAdj)+VST_Assets!$O$13*(1+VST_OMAdj)+VST_Assets!$P$13*(1+VST_CapexAdj))*(1+VST_Assets!$Q$13)^(AH$3-2026)/1000000</f>
        <v>0</v>
      </c>
      <c r="AI385" s="8" t="n">
        <f aca="false">AI375-AI369*(VST_Assets!$N$13*(1+VST_FuelAdj)+VST_Assets!$O$13*(1+VST_OMAdj)+VST_Assets!$P$13*(1+VST_CapexAdj))*(1+VST_Assets!$Q$13)^(AI$3-2026)/1000000</f>
        <v>0</v>
      </c>
      <c r="AJ385" s="8" t="n">
        <f aca="false">AJ375-AJ369*(VST_Assets!$N$13*(1+VST_FuelAdj)+VST_Assets!$O$13*(1+VST_OMAdj)+VST_Assets!$P$13*(1+VST_CapexAdj))*(1+VST_Assets!$Q$13)^(AJ$3-2026)/1000000</f>
        <v>0</v>
      </c>
      <c r="AK385" s="8" t="n">
        <f aca="false">AK375-AK369*(VST_Assets!$N$13*(1+VST_FuelAdj)+VST_Assets!$O$13*(1+VST_OMAdj)+VST_Assets!$P$13*(1+VST_CapexAdj))*(1+VST_Assets!$Q$13)^(AK$3-2026)/1000000</f>
        <v>0</v>
      </c>
      <c r="AL385" s="8" t="n">
        <f aca="false">AL375-AL369*(VST_Assets!$N$13*(1+VST_FuelAdj)+VST_Assets!$O$13*(1+VST_OMAdj)+VST_Assets!$P$13*(1+VST_CapexAdj))*(1+VST_Assets!$Q$13)^(AL$3-2026)/1000000</f>
        <v>0</v>
      </c>
      <c r="AM385" s="8" t="n">
        <f aca="false">AM375-AM369*(VST_Assets!$N$13*(1+VST_FuelAdj)+VST_Assets!$O$13*(1+VST_OMAdj)+VST_Assets!$P$13*(1+VST_CapexAdj))*(1+VST_Assets!$Q$13)^(AM$3-2026)/1000000</f>
        <v>0</v>
      </c>
      <c r="AN385" s="8" t="n">
        <f aca="false">AN375-AN369*(VST_Assets!$N$13*(1+VST_FuelAdj)+VST_Assets!$O$13*(1+VST_OMAdj)+VST_Assets!$P$13*(1+VST_CapexAdj))*(1+VST_Assets!$Q$13)^(AN$3-2026)/1000000</f>
        <v>0</v>
      </c>
      <c r="AO385" s="8" t="n">
        <f aca="false">AO375-AO369*(VST_Assets!$N$13*(1+VST_FuelAdj)+VST_Assets!$O$13*(1+VST_OMAdj)+VST_Assets!$P$13*(1+VST_CapexAdj))*(1+VST_Assets!$Q$13)^(AO$3-2026)/1000000</f>
        <v>0</v>
      </c>
      <c r="AP385" s="8" t="n">
        <f aca="false">AP375-AP369*(VST_Assets!$N$13*(1+VST_FuelAdj)+VST_Assets!$O$13*(1+VST_OMAdj)+VST_Assets!$P$13*(1+VST_CapexAdj))*(1+VST_Assets!$Q$13)^(AP$3-2026)/1000000</f>
        <v>0</v>
      </c>
      <c r="AQ385" s="8" t="n">
        <f aca="false">AQ375-AQ369*(VST_Assets!$N$13*(1+VST_FuelAdj)+VST_Assets!$O$13*(1+VST_OMAdj)+VST_Assets!$P$13*(1+VST_CapexAdj))*(1+VST_Assets!$Q$13)^(AQ$3-2026)/1000000</f>
        <v>0</v>
      </c>
      <c r="AR385" s="8" t="n">
        <f aca="false">AR375-AR369*(VST_Assets!$N$13*(1+VST_FuelAdj)+VST_Assets!$O$13*(1+VST_OMAdj)+VST_Assets!$P$13*(1+VST_CapexAdj))*(1+VST_Assets!$Q$13)^(AR$3-2026)/1000000</f>
        <v>0</v>
      </c>
      <c r="AS385" s="8" t="n">
        <f aca="false">AS375-AS369*(VST_Assets!$N$13*(1+VST_FuelAdj)+VST_Assets!$O$13*(1+VST_OMAdj)+VST_Assets!$P$13*(1+VST_CapexAdj))*(1+VST_Assets!$Q$13)^(AS$3-2026)/1000000</f>
        <v>0</v>
      </c>
    </row>
    <row r="386" customFormat="false" ht="15" hidden="false" customHeight="false" outlineLevel="0" collapsed="false">
      <c r="A386" s="6" t="s">
        <v>465</v>
      </c>
      <c r="B386" s="6" t="s">
        <v>466</v>
      </c>
      <c r="G386" s="8" t="n">
        <f aca="false">G383-G385</f>
        <v>0</v>
      </c>
      <c r="H386" s="8" t="n">
        <f aca="false">H383-H385</f>
        <v>0</v>
      </c>
      <c r="I386" s="8" t="n">
        <f aca="false">I383-I385</f>
        <v>0</v>
      </c>
      <c r="J386" s="8" t="n">
        <f aca="false">J383-J385</f>
        <v>0</v>
      </c>
      <c r="K386" s="8" t="n">
        <f aca="false">K383-K385</f>
        <v>0</v>
      </c>
      <c r="L386" s="8" t="n">
        <f aca="false">L383-L385</f>
        <v>0</v>
      </c>
      <c r="M386" s="8" t="n">
        <f aca="false">M383-M385</f>
        <v>0</v>
      </c>
      <c r="N386" s="8" t="n">
        <f aca="false">N383-N385</f>
        <v>0</v>
      </c>
      <c r="O386" s="8" t="n">
        <f aca="false">O383-O385</f>
        <v>0</v>
      </c>
      <c r="P386" s="8" t="n">
        <f aca="false">P383-P385</f>
        <v>0</v>
      </c>
      <c r="Q386" s="8" t="n">
        <f aca="false">Q383-Q385</f>
        <v>0</v>
      </c>
      <c r="R386" s="8" t="n">
        <f aca="false">R383-R385</f>
        <v>0</v>
      </c>
      <c r="S386" s="8" t="n">
        <f aca="false">S383-S385</f>
        <v>0</v>
      </c>
      <c r="T386" s="8" t="n">
        <f aca="false">T383-T385</f>
        <v>0</v>
      </c>
      <c r="U386" s="8" t="n">
        <f aca="false">U383-U385</f>
        <v>0</v>
      </c>
      <c r="V386" s="8" t="n">
        <f aca="false">V383-V385</f>
        <v>0</v>
      </c>
      <c r="W386" s="8" t="n">
        <f aca="false">W383-W385</f>
        <v>0</v>
      </c>
      <c r="X386" s="8" t="n">
        <f aca="false">X383-X385</f>
        <v>0</v>
      </c>
      <c r="Y386" s="8" t="n">
        <f aca="false">Y383-Y385</f>
        <v>0</v>
      </c>
      <c r="Z386" s="8" t="n">
        <f aca="false">Z383-Z385</f>
        <v>0</v>
      </c>
      <c r="AA386" s="8" t="n">
        <f aca="false">AA383-AA385</f>
        <v>0</v>
      </c>
      <c r="AB386" s="8" t="n">
        <f aca="false">AB383-AB385</f>
        <v>0</v>
      </c>
      <c r="AC386" s="8" t="n">
        <f aca="false">AC383-AC385</f>
        <v>0</v>
      </c>
      <c r="AD386" s="8" t="n">
        <f aca="false">AD383-AD385</f>
        <v>0</v>
      </c>
      <c r="AE386" s="8" t="n">
        <f aca="false">AE383-AE385</f>
        <v>0</v>
      </c>
      <c r="AF386" s="8" t="n">
        <f aca="false">AF383-AF385</f>
        <v>0</v>
      </c>
      <c r="AG386" s="8" t="n">
        <f aca="false">AG383-AG385</f>
        <v>0</v>
      </c>
      <c r="AH386" s="8" t="n">
        <f aca="false">AH383-AH385</f>
        <v>0</v>
      </c>
      <c r="AI386" s="8" t="n">
        <f aca="false">AI383-AI385</f>
        <v>0</v>
      </c>
      <c r="AJ386" s="8" t="n">
        <f aca="false">AJ383-AJ385</f>
        <v>0</v>
      </c>
      <c r="AK386" s="8" t="n">
        <f aca="false">AK383-AK385</f>
        <v>0</v>
      </c>
      <c r="AL386" s="8" t="n">
        <f aca="false">AL383-AL385</f>
        <v>0</v>
      </c>
      <c r="AM386" s="8" t="n">
        <f aca="false">AM383-AM385</f>
        <v>0</v>
      </c>
      <c r="AN386" s="8" t="n">
        <f aca="false">AN383-AN385</f>
        <v>0</v>
      </c>
      <c r="AO386" s="8" t="n">
        <f aca="false">AO383-AO385</f>
        <v>0</v>
      </c>
      <c r="AP386" s="8" t="n">
        <f aca="false">AP383-AP385</f>
        <v>0</v>
      </c>
      <c r="AQ386" s="8" t="n">
        <f aca="false">AQ383-AQ385</f>
        <v>0</v>
      </c>
      <c r="AR386" s="8" t="n">
        <f aca="false">AR383-AR385</f>
        <v>0</v>
      </c>
      <c r="AS386" s="8" t="n">
        <f aca="false">AS383-AS385</f>
        <v>0</v>
      </c>
    </row>
    <row r="387" customFormat="false" ht="15" hidden="false" customHeight="false" outlineLevel="0" collapsed="false">
      <c r="A387" s="6" t="s">
        <v>467</v>
      </c>
      <c r="B387" s="6" t="s">
        <v>468</v>
      </c>
      <c r="G387" s="8" t="n">
        <f aca="false">G386*(1-TaxRate)+G384</f>
        <v>0</v>
      </c>
      <c r="H387" s="8" t="n">
        <f aca="false">H386*(1-TaxRate)+H384</f>
        <v>0</v>
      </c>
      <c r="I387" s="8" t="n">
        <f aca="false">I386*(1-TaxRate)+I384</f>
        <v>0</v>
      </c>
      <c r="J387" s="8" t="n">
        <f aca="false">J386*(1-TaxRate)+J384</f>
        <v>0</v>
      </c>
      <c r="K387" s="8" t="n">
        <f aca="false">K386*(1-TaxRate)+K384</f>
        <v>0</v>
      </c>
      <c r="L387" s="8" t="n">
        <f aca="false">L386*(1-TaxRate)+L384</f>
        <v>0</v>
      </c>
      <c r="M387" s="8" t="n">
        <f aca="false">M386*(1-TaxRate)+M384</f>
        <v>0</v>
      </c>
      <c r="N387" s="8" t="n">
        <f aca="false">N386*(1-TaxRate)+N384</f>
        <v>0</v>
      </c>
      <c r="O387" s="8" t="n">
        <f aca="false">O386*(1-TaxRate)+O384</f>
        <v>0</v>
      </c>
      <c r="P387" s="8" t="n">
        <f aca="false">P386*(1-TaxRate)+P384</f>
        <v>0</v>
      </c>
      <c r="Q387" s="8" t="n">
        <f aca="false">Q386*(1-TaxRate)+Q384</f>
        <v>0</v>
      </c>
      <c r="R387" s="8" t="n">
        <f aca="false">R386*(1-TaxRate)+R384</f>
        <v>0</v>
      </c>
      <c r="S387" s="8" t="n">
        <f aca="false">S386*(1-TaxRate)+S384</f>
        <v>0</v>
      </c>
      <c r="T387" s="8" t="n">
        <f aca="false">T386*(1-TaxRate)+T384</f>
        <v>0</v>
      </c>
      <c r="U387" s="8" t="n">
        <f aca="false">U386*(1-TaxRate)+U384</f>
        <v>0</v>
      </c>
      <c r="V387" s="8" t="n">
        <f aca="false">V386*(1-TaxRate)+V384</f>
        <v>0</v>
      </c>
      <c r="W387" s="8" t="n">
        <f aca="false">W386*(1-TaxRate)+W384</f>
        <v>0</v>
      </c>
      <c r="X387" s="8" t="n">
        <f aca="false">X386*(1-TaxRate)+X384</f>
        <v>0</v>
      </c>
      <c r="Y387" s="8" t="n">
        <f aca="false">Y386*(1-TaxRate)+Y384</f>
        <v>0</v>
      </c>
      <c r="Z387" s="8" t="n">
        <f aca="false">Z386*(1-TaxRate)+Z384</f>
        <v>0</v>
      </c>
      <c r="AA387" s="8" t="n">
        <f aca="false">AA386*(1-TaxRate)+AA384</f>
        <v>0</v>
      </c>
      <c r="AB387" s="8" t="n">
        <f aca="false">AB386*(1-TaxRate)+AB384</f>
        <v>0</v>
      </c>
      <c r="AC387" s="8" t="n">
        <f aca="false">AC386*(1-TaxRate)+AC384</f>
        <v>0</v>
      </c>
      <c r="AD387" s="8" t="n">
        <f aca="false">AD386*(1-TaxRate)+AD384</f>
        <v>0</v>
      </c>
      <c r="AE387" s="8" t="n">
        <f aca="false">AE386*(1-TaxRate)+AE384</f>
        <v>0</v>
      </c>
      <c r="AF387" s="8" t="n">
        <f aca="false">AF386*(1-TaxRate)+AF384</f>
        <v>0</v>
      </c>
      <c r="AG387" s="8" t="n">
        <f aca="false">AG386*(1-TaxRate)+AG384</f>
        <v>0</v>
      </c>
      <c r="AH387" s="8" t="n">
        <f aca="false">AH386*(1-TaxRate)+AH384</f>
        <v>0</v>
      </c>
      <c r="AI387" s="8" t="n">
        <f aca="false">AI386*(1-TaxRate)+AI384</f>
        <v>0</v>
      </c>
      <c r="AJ387" s="8" t="n">
        <f aca="false">AJ386*(1-TaxRate)+AJ384</f>
        <v>0</v>
      </c>
      <c r="AK387" s="8" t="n">
        <f aca="false">AK386*(1-TaxRate)+AK384</f>
        <v>0</v>
      </c>
      <c r="AL387" s="8" t="n">
        <f aca="false">AL386*(1-TaxRate)+AL384</f>
        <v>0</v>
      </c>
      <c r="AM387" s="8" t="n">
        <f aca="false">AM386*(1-TaxRate)+AM384</f>
        <v>0</v>
      </c>
      <c r="AN387" s="8" t="n">
        <f aca="false">AN386*(1-TaxRate)+AN384</f>
        <v>0</v>
      </c>
      <c r="AO387" s="8" t="n">
        <f aca="false">AO386*(1-TaxRate)+AO384</f>
        <v>0</v>
      </c>
      <c r="AP387" s="8" t="n">
        <f aca="false">AP386*(1-TaxRate)+AP384</f>
        <v>0</v>
      </c>
      <c r="AQ387" s="8" t="n">
        <f aca="false">AQ386*(1-TaxRate)+AQ384</f>
        <v>0</v>
      </c>
      <c r="AR387" s="8" t="n">
        <f aca="false">AR386*(1-TaxRate)+AR384</f>
        <v>0</v>
      </c>
      <c r="AS387" s="8" t="n">
        <f aca="false">AS386*(1-TaxRate)+AS384</f>
        <v>0</v>
      </c>
    </row>
    <row r="388" customFormat="false" ht="15" hidden="false" customHeight="false" outlineLevel="0" collapsed="false">
      <c r="A388" s="6" t="s">
        <v>469</v>
      </c>
      <c r="B388" s="6" t="s">
        <v>470</v>
      </c>
      <c r="G388" s="8" t="n">
        <f aca="false">G385*(1-TaxRate)</f>
        <v>0</v>
      </c>
      <c r="H388" s="8" t="n">
        <f aca="false">H385*(1-TaxRate)</f>
        <v>0</v>
      </c>
      <c r="I388" s="8" t="n">
        <f aca="false">I385*(1-TaxRate)</f>
        <v>0</v>
      </c>
      <c r="J388" s="8" t="n">
        <f aca="false">J385*(1-TaxRate)</f>
        <v>0</v>
      </c>
      <c r="K388" s="8" t="n">
        <f aca="false">K385*(1-TaxRate)</f>
        <v>0</v>
      </c>
      <c r="L388" s="8" t="n">
        <f aca="false">L385*(1-TaxRate)</f>
        <v>0</v>
      </c>
      <c r="M388" s="8" t="n">
        <f aca="false">M385*(1-TaxRate)</f>
        <v>0</v>
      </c>
      <c r="N388" s="8" t="n">
        <f aca="false">N385*(1-TaxRate)</f>
        <v>0</v>
      </c>
      <c r="O388" s="8" t="n">
        <f aca="false">O385*(1-TaxRate)</f>
        <v>0</v>
      </c>
      <c r="P388" s="8" t="n">
        <f aca="false">P385*(1-TaxRate)</f>
        <v>0</v>
      </c>
      <c r="Q388" s="8" t="n">
        <f aca="false">Q385*(1-TaxRate)</f>
        <v>0</v>
      </c>
      <c r="R388" s="8" t="n">
        <f aca="false">R385*(1-TaxRate)</f>
        <v>0</v>
      </c>
      <c r="S388" s="8" t="n">
        <f aca="false">S385*(1-TaxRate)</f>
        <v>0</v>
      </c>
      <c r="T388" s="8" t="n">
        <f aca="false">T385*(1-TaxRate)</f>
        <v>0</v>
      </c>
      <c r="U388" s="8" t="n">
        <f aca="false">U385*(1-TaxRate)</f>
        <v>0</v>
      </c>
      <c r="V388" s="8" t="n">
        <f aca="false">V385*(1-TaxRate)</f>
        <v>0</v>
      </c>
      <c r="W388" s="8" t="n">
        <f aca="false">W385*(1-TaxRate)</f>
        <v>0</v>
      </c>
      <c r="X388" s="8" t="n">
        <f aca="false">X385*(1-TaxRate)</f>
        <v>0</v>
      </c>
      <c r="Y388" s="8" t="n">
        <f aca="false">Y385*(1-TaxRate)</f>
        <v>0</v>
      </c>
      <c r="Z388" s="8" t="n">
        <f aca="false">Z385*(1-TaxRate)</f>
        <v>0</v>
      </c>
      <c r="AA388" s="8" t="n">
        <f aca="false">AA385*(1-TaxRate)</f>
        <v>0</v>
      </c>
      <c r="AB388" s="8" t="n">
        <f aca="false">AB385*(1-TaxRate)</f>
        <v>0</v>
      </c>
      <c r="AC388" s="8" t="n">
        <f aca="false">AC385*(1-TaxRate)</f>
        <v>0</v>
      </c>
      <c r="AD388" s="8" t="n">
        <f aca="false">AD385*(1-TaxRate)</f>
        <v>0</v>
      </c>
      <c r="AE388" s="8" t="n">
        <f aca="false">AE385*(1-TaxRate)</f>
        <v>0</v>
      </c>
      <c r="AF388" s="8" t="n">
        <f aca="false">AF385*(1-TaxRate)</f>
        <v>0</v>
      </c>
      <c r="AG388" s="8" t="n">
        <f aca="false">AG385*(1-TaxRate)</f>
        <v>0</v>
      </c>
      <c r="AH388" s="8" t="n">
        <f aca="false">AH385*(1-TaxRate)</f>
        <v>0</v>
      </c>
      <c r="AI388" s="8" t="n">
        <f aca="false">AI385*(1-TaxRate)</f>
        <v>0</v>
      </c>
      <c r="AJ388" s="8" t="n">
        <f aca="false">AJ385*(1-TaxRate)</f>
        <v>0</v>
      </c>
      <c r="AK388" s="8" t="n">
        <f aca="false">AK385*(1-TaxRate)</f>
        <v>0</v>
      </c>
      <c r="AL388" s="8" t="n">
        <f aca="false">AL385*(1-TaxRate)</f>
        <v>0</v>
      </c>
      <c r="AM388" s="8" t="n">
        <f aca="false">AM385*(1-TaxRate)</f>
        <v>0</v>
      </c>
      <c r="AN388" s="8" t="n">
        <f aca="false">AN385*(1-TaxRate)</f>
        <v>0</v>
      </c>
      <c r="AO388" s="8" t="n">
        <f aca="false">AO385*(1-TaxRate)</f>
        <v>0</v>
      </c>
      <c r="AP388" s="8" t="n">
        <f aca="false">AP385*(1-TaxRate)</f>
        <v>0</v>
      </c>
      <c r="AQ388" s="8" t="n">
        <f aca="false">AQ385*(1-TaxRate)</f>
        <v>0</v>
      </c>
      <c r="AR388" s="8" t="n">
        <f aca="false">AR385*(1-TaxRate)</f>
        <v>0</v>
      </c>
      <c r="AS388" s="8" t="n">
        <f aca="false">AS385*(1-TaxRate)</f>
        <v>0</v>
      </c>
    </row>
    <row r="389" customFormat="false" ht="15" hidden="false" customHeight="false" outlineLevel="0" collapsed="false">
      <c r="A389" s="6" t="s">
        <v>471</v>
      </c>
      <c r="B389" s="6" t="s">
        <v>472</v>
      </c>
      <c r="G389" s="42" t="n">
        <f aca="false">(1+VST_Assets!$AE$13)^-(G$3+0.5-ValDate)</f>
        <v>0.943913469359513</v>
      </c>
      <c r="H389" s="42" t="n">
        <f aca="false">(1+VST_Assets!$AE$13)^-(H$3+0.5-ValDate)</f>
        <v>0.87399395311066</v>
      </c>
      <c r="I389" s="42" t="n">
        <f aca="false">(1+VST_Assets!$AE$13)^-(I$3+0.5-ValDate)</f>
        <v>0.809253660287648</v>
      </c>
      <c r="J389" s="42" t="n">
        <f aca="false">(1+VST_Assets!$AE$13)^-(J$3+0.5-ValDate)</f>
        <v>0.749308944710785</v>
      </c>
      <c r="K389" s="42" t="n">
        <f aca="false">(1+VST_Assets!$AE$13)^-(K$3+0.5-ValDate)</f>
        <v>0.693804578435912</v>
      </c>
      <c r="L389" s="42" t="n">
        <f aca="false">(1+VST_Assets!$AE$13)^-(L$3+0.5-ValDate)</f>
        <v>0.642411646699918</v>
      </c>
      <c r="M389" s="42" t="n">
        <f aca="false">(1+VST_Assets!$AE$13)^-(M$3+0.5-ValDate)</f>
        <v>0.594825598796221</v>
      </c>
      <c r="N389" s="42" t="n">
        <f aca="false">(1+VST_Assets!$AE$13)^-(N$3+0.5-ValDate)</f>
        <v>0.550764443329834</v>
      </c>
      <c r="O389" s="42" t="n">
        <f aca="false">(1+VST_Assets!$AE$13)^-(O$3+0.5-ValDate)</f>
        <v>0.509967077157254</v>
      </c>
      <c r="P389" s="42" t="n">
        <f aca="false">(1+VST_Assets!$AE$13)^-(P$3+0.5-ValDate)</f>
        <v>0.472191738108568</v>
      </c>
      <c r="Q389" s="42" t="n">
        <f aca="false">(1+VST_Assets!$AE$13)^-(Q$3+0.5-ValDate)</f>
        <v>0.437214572322748</v>
      </c>
      <c r="R389" s="42" t="n">
        <f aca="false">(1+VST_Assets!$AE$13)^-(R$3+0.5-ValDate)</f>
        <v>0.404828307706248</v>
      </c>
      <c r="S389" s="42" t="n">
        <f aca="false">(1+VST_Assets!$AE$13)^-(S$3+0.5-ValDate)</f>
        <v>0.374841025653934</v>
      </c>
      <c r="T389" s="42" t="n">
        <f aca="false">(1+VST_Assets!$AE$13)^-(T$3+0.5-ValDate)</f>
        <v>0.347075023753642</v>
      </c>
      <c r="U389" s="42" t="n">
        <f aca="false">(1+VST_Assets!$AE$13)^-(U$3+0.5-ValDate)</f>
        <v>0.321365762734854</v>
      </c>
      <c r="V389" s="42" t="n">
        <f aca="false">(1+VST_Assets!$AE$13)^-(V$3+0.5-ValDate)</f>
        <v>0.297560891421161</v>
      </c>
      <c r="W389" s="42" t="n">
        <f aca="false">(1+VST_Assets!$AE$13)^-(W$3+0.5-ValDate)</f>
        <v>0.275519343908482</v>
      </c>
      <c r="X389" s="42" t="n">
        <f aca="false">(1+VST_Assets!$AE$13)^-(X$3+0.5-ValDate)</f>
        <v>0.255110503618965</v>
      </c>
      <c r="Y389" s="42" t="n">
        <f aca="false">(1+VST_Assets!$AE$13)^-(Y$3+0.5-ValDate)</f>
        <v>0.23621342927682</v>
      </c>
      <c r="Z389" s="42" t="n">
        <f aca="false">(1+VST_Assets!$AE$13)^-(Z$3+0.5-ValDate)</f>
        <v>0.218716138219277</v>
      </c>
      <c r="AA389" s="42" t="n">
        <f aca="false">(1+VST_Assets!$AE$13)^-(AA$3+0.5-ValDate)</f>
        <v>0.202514942795627</v>
      </c>
      <c r="AB389" s="42" t="n">
        <f aca="false">(1+VST_Assets!$AE$13)^-(AB$3+0.5-ValDate)</f>
        <v>0.187513835921877</v>
      </c>
      <c r="AC389" s="42" t="n">
        <f aca="false">(1+VST_Assets!$AE$13)^-(AC$3+0.5-ValDate)</f>
        <v>0.173623922149886</v>
      </c>
      <c r="AD389" s="42" t="n">
        <f aca="false">(1+VST_Assets!$AE$13)^-(AD$3+0.5-ValDate)</f>
        <v>0.160762890879524</v>
      </c>
      <c r="AE389" s="42" t="n">
        <f aca="false">(1+VST_Assets!$AE$13)^-(AE$3+0.5-ValDate)</f>
        <v>0.148854528592152</v>
      </c>
      <c r="AF389" s="42" t="n">
        <f aca="false">(1+VST_Assets!$AE$13)^-(AF$3+0.5-ValDate)</f>
        <v>0.137828267214956</v>
      </c>
      <c r="AG389" s="42" t="n">
        <f aca="false">(1+VST_Assets!$AE$13)^-(AG$3+0.5-ValDate)</f>
        <v>0.127618765939774</v>
      </c>
      <c r="AH389" s="42" t="n">
        <f aca="false">(1+VST_Assets!$AE$13)^-(AH$3+0.5-ValDate)</f>
        <v>0.118165524018309</v>
      </c>
      <c r="AI389" s="42" t="n">
        <f aca="false">(1+VST_Assets!$AE$13)^-(AI$3+0.5-ValDate)</f>
        <v>0.109412522239175</v>
      </c>
      <c r="AJ389" s="42" t="n">
        <f aca="false">(1+VST_Assets!$AE$13)^-(AJ$3+0.5-ValDate)</f>
        <v>0.101307890962199</v>
      </c>
      <c r="AK389" s="42" t="n">
        <f aca="false">(1+VST_Assets!$AE$13)^-(AK$3+0.5-ValDate)</f>
        <v>0.0938036027427768</v>
      </c>
      <c r="AL389" s="42" t="n">
        <f aca="false">(1+VST_Assets!$AE$13)^-(AL$3+0.5-ValDate)</f>
        <v>0.0868551877247934</v>
      </c>
      <c r="AM389" s="42" t="n">
        <f aca="false">(1+VST_Assets!$AE$13)^-(AM$3+0.5-ValDate)</f>
        <v>0.0804214701155494</v>
      </c>
      <c r="AN389" s="42" t="n">
        <f aca="false">(1+VST_Assets!$AE$13)^-(AN$3+0.5-ValDate)</f>
        <v>0.0744643241810643</v>
      </c>
      <c r="AO389" s="42" t="n">
        <f aca="false">(1+VST_Assets!$AE$13)^-(AO$3+0.5-ValDate)</f>
        <v>0.0689484483158002</v>
      </c>
      <c r="AP389" s="42" t="n">
        <f aca="false">(1+VST_Assets!$AE$13)^-(AP$3+0.5-ValDate)</f>
        <v>0.0638411558479632</v>
      </c>
      <c r="AQ389" s="42" t="n">
        <f aca="false">(1+VST_Assets!$AE$13)^-(AQ$3+0.5-ValDate)</f>
        <v>0.0591121813407066</v>
      </c>
      <c r="AR389" s="42" t="n">
        <f aca="false">(1+VST_Assets!$AE$13)^-(AR$3+0.5-ValDate)</f>
        <v>0.054733501241395</v>
      </c>
      <c r="AS389" s="42" t="n">
        <f aca="false">(1+VST_Assets!$AE$13)^-(AS$3+0.5-ValDate)</f>
        <v>0.0506791678161065</v>
      </c>
    </row>
    <row r="390" customFormat="false" ht="15" hidden="false" customHeight="false" outlineLevel="0" collapsed="false">
      <c r="A390" s="6" t="s">
        <v>473</v>
      </c>
      <c r="B390" s="6" t="s">
        <v>474</v>
      </c>
      <c r="G390" s="42" t="n">
        <f aca="false">(1+VST_Assets!$AF$13)^-(G$3+0.5-ValDate)</f>
        <v>0.943913469359513</v>
      </c>
      <c r="H390" s="42" t="n">
        <f aca="false">(1+VST_Assets!$AF$13)^-(H$3+0.5-ValDate)</f>
        <v>0.87399395311066</v>
      </c>
      <c r="I390" s="42" t="n">
        <f aca="false">(1+VST_Assets!$AF$13)^-(I$3+0.5-ValDate)</f>
        <v>0.809253660287648</v>
      </c>
      <c r="J390" s="42" t="n">
        <f aca="false">(1+VST_Assets!$AF$13)^-(J$3+0.5-ValDate)</f>
        <v>0.749308944710785</v>
      </c>
      <c r="K390" s="42" t="n">
        <f aca="false">(1+VST_Assets!$AF$13)^-(K$3+0.5-ValDate)</f>
        <v>0.693804578435912</v>
      </c>
      <c r="L390" s="42" t="n">
        <f aca="false">(1+VST_Assets!$AF$13)^-(L$3+0.5-ValDate)</f>
        <v>0.642411646699918</v>
      </c>
      <c r="M390" s="42" t="n">
        <f aca="false">(1+VST_Assets!$AF$13)^-(M$3+0.5-ValDate)</f>
        <v>0.594825598796221</v>
      </c>
      <c r="N390" s="42" t="n">
        <f aca="false">(1+VST_Assets!$AF$13)^-(N$3+0.5-ValDate)</f>
        <v>0.550764443329834</v>
      </c>
      <c r="O390" s="42" t="n">
        <f aca="false">(1+VST_Assets!$AF$13)^-(O$3+0.5-ValDate)</f>
        <v>0.509967077157254</v>
      </c>
      <c r="P390" s="42" t="n">
        <f aca="false">(1+VST_Assets!$AF$13)^-(P$3+0.5-ValDate)</f>
        <v>0.472191738108568</v>
      </c>
      <c r="Q390" s="42" t="n">
        <f aca="false">(1+VST_Assets!$AF$13)^-(Q$3+0.5-ValDate)</f>
        <v>0.437214572322748</v>
      </c>
      <c r="R390" s="42" t="n">
        <f aca="false">(1+VST_Assets!$AF$13)^-(R$3+0.5-ValDate)</f>
        <v>0.404828307706248</v>
      </c>
      <c r="S390" s="42" t="n">
        <f aca="false">(1+VST_Assets!$AF$13)^-(S$3+0.5-ValDate)</f>
        <v>0.374841025653934</v>
      </c>
      <c r="T390" s="42" t="n">
        <f aca="false">(1+VST_Assets!$AF$13)^-(T$3+0.5-ValDate)</f>
        <v>0.347075023753642</v>
      </c>
      <c r="U390" s="42" t="n">
        <f aca="false">(1+VST_Assets!$AF$13)^-(U$3+0.5-ValDate)</f>
        <v>0.321365762734854</v>
      </c>
      <c r="V390" s="42" t="n">
        <f aca="false">(1+VST_Assets!$AF$13)^-(V$3+0.5-ValDate)</f>
        <v>0.297560891421161</v>
      </c>
      <c r="W390" s="42" t="n">
        <f aca="false">(1+VST_Assets!$AF$13)^-(W$3+0.5-ValDate)</f>
        <v>0.275519343908482</v>
      </c>
      <c r="X390" s="42" t="n">
        <f aca="false">(1+VST_Assets!$AF$13)^-(X$3+0.5-ValDate)</f>
        <v>0.255110503618965</v>
      </c>
      <c r="Y390" s="42" t="n">
        <f aca="false">(1+VST_Assets!$AF$13)^-(Y$3+0.5-ValDate)</f>
        <v>0.23621342927682</v>
      </c>
      <c r="Z390" s="42" t="n">
        <f aca="false">(1+VST_Assets!$AF$13)^-(Z$3+0.5-ValDate)</f>
        <v>0.218716138219277</v>
      </c>
      <c r="AA390" s="42" t="n">
        <f aca="false">(1+VST_Assets!$AF$13)^-(AA$3+0.5-ValDate)</f>
        <v>0.202514942795627</v>
      </c>
      <c r="AB390" s="42" t="n">
        <f aca="false">(1+VST_Assets!$AF$13)^-(AB$3+0.5-ValDate)</f>
        <v>0.187513835921877</v>
      </c>
      <c r="AC390" s="42" t="n">
        <f aca="false">(1+VST_Assets!$AF$13)^-(AC$3+0.5-ValDate)</f>
        <v>0.173623922149886</v>
      </c>
      <c r="AD390" s="42" t="n">
        <f aca="false">(1+VST_Assets!$AF$13)^-(AD$3+0.5-ValDate)</f>
        <v>0.160762890879524</v>
      </c>
      <c r="AE390" s="42" t="n">
        <f aca="false">(1+VST_Assets!$AF$13)^-(AE$3+0.5-ValDate)</f>
        <v>0.148854528592152</v>
      </c>
      <c r="AF390" s="42" t="n">
        <f aca="false">(1+VST_Assets!$AF$13)^-(AF$3+0.5-ValDate)</f>
        <v>0.137828267214956</v>
      </c>
      <c r="AG390" s="42" t="n">
        <f aca="false">(1+VST_Assets!$AF$13)^-(AG$3+0.5-ValDate)</f>
        <v>0.127618765939774</v>
      </c>
      <c r="AH390" s="42" t="n">
        <f aca="false">(1+VST_Assets!$AF$13)^-(AH$3+0.5-ValDate)</f>
        <v>0.118165524018309</v>
      </c>
      <c r="AI390" s="42" t="n">
        <f aca="false">(1+VST_Assets!$AF$13)^-(AI$3+0.5-ValDate)</f>
        <v>0.109412522239175</v>
      </c>
      <c r="AJ390" s="42" t="n">
        <f aca="false">(1+VST_Assets!$AF$13)^-(AJ$3+0.5-ValDate)</f>
        <v>0.101307890962199</v>
      </c>
      <c r="AK390" s="42" t="n">
        <f aca="false">(1+VST_Assets!$AF$13)^-(AK$3+0.5-ValDate)</f>
        <v>0.0938036027427768</v>
      </c>
      <c r="AL390" s="42" t="n">
        <f aca="false">(1+VST_Assets!$AF$13)^-(AL$3+0.5-ValDate)</f>
        <v>0.0868551877247934</v>
      </c>
      <c r="AM390" s="42" t="n">
        <f aca="false">(1+VST_Assets!$AF$13)^-(AM$3+0.5-ValDate)</f>
        <v>0.0804214701155494</v>
      </c>
      <c r="AN390" s="42" t="n">
        <f aca="false">(1+VST_Assets!$AF$13)^-(AN$3+0.5-ValDate)</f>
        <v>0.0744643241810643</v>
      </c>
      <c r="AO390" s="42" t="n">
        <f aca="false">(1+VST_Assets!$AF$13)^-(AO$3+0.5-ValDate)</f>
        <v>0.0689484483158002</v>
      </c>
      <c r="AP390" s="42" t="n">
        <f aca="false">(1+VST_Assets!$AF$13)^-(AP$3+0.5-ValDate)</f>
        <v>0.0638411558479632</v>
      </c>
      <c r="AQ390" s="42" t="n">
        <f aca="false">(1+VST_Assets!$AF$13)^-(AQ$3+0.5-ValDate)</f>
        <v>0.0591121813407066</v>
      </c>
      <c r="AR390" s="42" t="n">
        <f aca="false">(1+VST_Assets!$AF$13)^-(AR$3+0.5-ValDate)</f>
        <v>0.054733501241395</v>
      </c>
      <c r="AS390" s="42" t="n">
        <f aca="false">(1+VST_Assets!$AF$13)^-(AS$3+0.5-ValDate)</f>
        <v>0.0506791678161065</v>
      </c>
    </row>
    <row r="391" customFormat="false" ht="15" hidden="false" customHeight="false" outlineLevel="0" collapsed="false">
      <c r="A391" s="6" t="s">
        <v>475</v>
      </c>
      <c r="B391" s="6" t="s">
        <v>476</v>
      </c>
      <c r="C391" s="43" t="n">
        <f aca="false">SUM(G391:AS391)</f>
        <v>0</v>
      </c>
      <c r="D391" s="8" t="n">
        <f aca="false">SUMIF($G$3:$AS$3,"&lt;="&amp;Horizon,G391:AS391)</f>
        <v>0</v>
      </c>
      <c r="E391" s="8" t="n">
        <f aca="false">(C391-D391)*(1+VST_Assets!$AE$13)^(Horizon+1-ValDate)</f>
        <v>0</v>
      </c>
      <c r="G391" s="8" t="n">
        <f aca="false">G387*G389</f>
        <v>0</v>
      </c>
      <c r="H391" s="8" t="n">
        <f aca="false">H387*H389</f>
        <v>0</v>
      </c>
      <c r="I391" s="8" t="n">
        <f aca="false">I387*I389</f>
        <v>0</v>
      </c>
      <c r="J391" s="8" t="n">
        <f aca="false">J387*J389</f>
        <v>0</v>
      </c>
      <c r="K391" s="8" t="n">
        <f aca="false">K387*K389</f>
        <v>0</v>
      </c>
      <c r="L391" s="8" t="n">
        <f aca="false">L387*L389</f>
        <v>0</v>
      </c>
      <c r="M391" s="8" t="n">
        <f aca="false">M387*M389</f>
        <v>0</v>
      </c>
      <c r="N391" s="8" t="n">
        <f aca="false">N387*N389</f>
        <v>0</v>
      </c>
      <c r="O391" s="8" t="n">
        <f aca="false">O387*O389</f>
        <v>0</v>
      </c>
      <c r="P391" s="8" t="n">
        <f aca="false">P387*P389</f>
        <v>0</v>
      </c>
      <c r="Q391" s="8" t="n">
        <f aca="false">Q387*Q389</f>
        <v>0</v>
      </c>
      <c r="R391" s="8" t="n">
        <f aca="false">R387*R389</f>
        <v>0</v>
      </c>
      <c r="S391" s="8" t="n">
        <f aca="false">S387*S389</f>
        <v>0</v>
      </c>
      <c r="T391" s="8" t="n">
        <f aca="false">T387*T389</f>
        <v>0</v>
      </c>
      <c r="U391" s="8" t="n">
        <f aca="false">U387*U389</f>
        <v>0</v>
      </c>
      <c r="V391" s="8" t="n">
        <f aca="false">V387*V389</f>
        <v>0</v>
      </c>
      <c r="W391" s="8" t="n">
        <f aca="false">W387*W389</f>
        <v>0</v>
      </c>
      <c r="X391" s="8" t="n">
        <f aca="false">X387*X389</f>
        <v>0</v>
      </c>
      <c r="Y391" s="8" t="n">
        <f aca="false">Y387*Y389</f>
        <v>0</v>
      </c>
      <c r="Z391" s="8" t="n">
        <f aca="false">Z387*Z389</f>
        <v>0</v>
      </c>
      <c r="AA391" s="8" t="n">
        <f aca="false">AA387*AA389</f>
        <v>0</v>
      </c>
      <c r="AB391" s="8" t="n">
        <f aca="false">AB387*AB389</f>
        <v>0</v>
      </c>
      <c r="AC391" s="8" t="n">
        <f aca="false">AC387*AC389</f>
        <v>0</v>
      </c>
      <c r="AD391" s="8" t="n">
        <f aca="false">AD387*AD389</f>
        <v>0</v>
      </c>
      <c r="AE391" s="8" t="n">
        <f aca="false">AE387*AE389</f>
        <v>0</v>
      </c>
      <c r="AF391" s="8" t="n">
        <f aca="false">AF387*AF389</f>
        <v>0</v>
      </c>
      <c r="AG391" s="8" t="n">
        <f aca="false">AG387*AG389</f>
        <v>0</v>
      </c>
      <c r="AH391" s="8" t="n">
        <f aca="false">AH387*AH389</f>
        <v>0</v>
      </c>
      <c r="AI391" s="8" t="n">
        <f aca="false">AI387*AI389</f>
        <v>0</v>
      </c>
      <c r="AJ391" s="8" t="n">
        <f aca="false">AJ387*AJ389</f>
        <v>0</v>
      </c>
      <c r="AK391" s="8" t="n">
        <f aca="false">AK387*AK389</f>
        <v>0</v>
      </c>
      <c r="AL391" s="8" t="n">
        <f aca="false">AL387*AL389</f>
        <v>0</v>
      </c>
      <c r="AM391" s="8" t="n">
        <f aca="false">AM387*AM389</f>
        <v>0</v>
      </c>
      <c r="AN391" s="8" t="n">
        <f aca="false">AN387*AN389</f>
        <v>0</v>
      </c>
      <c r="AO391" s="8" t="n">
        <f aca="false">AO387*AO389</f>
        <v>0</v>
      </c>
      <c r="AP391" s="8" t="n">
        <f aca="false">AP387*AP389</f>
        <v>0</v>
      </c>
      <c r="AQ391" s="8" t="n">
        <f aca="false">AQ387*AQ389</f>
        <v>0</v>
      </c>
      <c r="AR391" s="8" t="n">
        <f aca="false">AR387*AR389</f>
        <v>0</v>
      </c>
      <c r="AS391" s="8" t="n">
        <f aca="false">AS387*AS389</f>
        <v>0</v>
      </c>
    </row>
    <row r="392" customFormat="false" ht="15" hidden="false" customHeight="false" outlineLevel="0" collapsed="false">
      <c r="A392" s="6" t="s">
        <v>477</v>
      </c>
      <c r="B392" s="6" t="s">
        <v>478</v>
      </c>
      <c r="C392" s="43" t="n">
        <f aca="false">SUM(G392:AS392)</f>
        <v>0</v>
      </c>
      <c r="D392" s="8" t="n">
        <f aca="false">SUMIF($G$3:$AS$3,"&lt;="&amp;Horizon,G392:AS392)</f>
        <v>0</v>
      </c>
      <c r="E392" s="8" t="n">
        <f aca="false">(C392-D392)*(1+VST_Assets!$AF$13)^(Horizon+1-ValDate)</f>
        <v>0</v>
      </c>
      <c r="G392" s="8" t="n">
        <f aca="false">G388*G390</f>
        <v>0</v>
      </c>
      <c r="H392" s="8" t="n">
        <f aca="false">H388*H390</f>
        <v>0</v>
      </c>
      <c r="I392" s="8" t="n">
        <f aca="false">I388*I390</f>
        <v>0</v>
      </c>
      <c r="J392" s="8" t="n">
        <f aca="false">J388*J390</f>
        <v>0</v>
      </c>
      <c r="K392" s="8" t="n">
        <f aca="false">K388*K390</f>
        <v>0</v>
      </c>
      <c r="L392" s="8" t="n">
        <f aca="false">L388*L390</f>
        <v>0</v>
      </c>
      <c r="M392" s="8" t="n">
        <f aca="false">M388*M390</f>
        <v>0</v>
      </c>
      <c r="N392" s="8" t="n">
        <f aca="false">N388*N390</f>
        <v>0</v>
      </c>
      <c r="O392" s="8" t="n">
        <f aca="false">O388*O390</f>
        <v>0</v>
      </c>
      <c r="P392" s="8" t="n">
        <f aca="false">P388*P390</f>
        <v>0</v>
      </c>
      <c r="Q392" s="8" t="n">
        <f aca="false">Q388*Q390</f>
        <v>0</v>
      </c>
      <c r="R392" s="8" t="n">
        <f aca="false">R388*R390</f>
        <v>0</v>
      </c>
      <c r="S392" s="8" t="n">
        <f aca="false">S388*S390</f>
        <v>0</v>
      </c>
      <c r="T392" s="8" t="n">
        <f aca="false">T388*T390</f>
        <v>0</v>
      </c>
      <c r="U392" s="8" t="n">
        <f aca="false">U388*U390</f>
        <v>0</v>
      </c>
      <c r="V392" s="8" t="n">
        <f aca="false">V388*V390</f>
        <v>0</v>
      </c>
      <c r="W392" s="8" t="n">
        <f aca="false">W388*W390</f>
        <v>0</v>
      </c>
      <c r="X392" s="8" t="n">
        <f aca="false">X388*X390</f>
        <v>0</v>
      </c>
      <c r="Y392" s="8" t="n">
        <f aca="false">Y388*Y390</f>
        <v>0</v>
      </c>
      <c r="Z392" s="8" t="n">
        <f aca="false">Z388*Z390</f>
        <v>0</v>
      </c>
      <c r="AA392" s="8" t="n">
        <f aca="false">AA388*AA390</f>
        <v>0</v>
      </c>
      <c r="AB392" s="8" t="n">
        <f aca="false">AB388*AB390</f>
        <v>0</v>
      </c>
      <c r="AC392" s="8" t="n">
        <f aca="false">AC388*AC390</f>
        <v>0</v>
      </c>
      <c r="AD392" s="8" t="n">
        <f aca="false">AD388*AD390</f>
        <v>0</v>
      </c>
      <c r="AE392" s="8" t="n">
        <f aca="false">AE388*AE390</f>
        <v>0</v>
      </c>
      <c r="AF392" s="8" t="n">
        <f aca="false">AF388*AF390</f>
        <v>0</v>
      </c>
      <c r="AG392" s="8" t="n">
        <f aca="false">AG388*AG390</f>
        <v>0</v>
      </c>
      <c r="AH392" s="8" t="n">
        <f aca="false">AH388*AH390</f>
        <v>0</v>
      </c>
      <c r="AI392" s="8" t="n">
        <f aca="false">AI388*AI390</f>
        <v>0</v>
      </c>
      <c r="AJ392" s="8" t="n">
        <f aca="false">AJ388*AJ390</f>
        <v>0</v>
      </c>
      <c r="AK392" s="8" t="n">
        <f aca="false">AK388*AK390</f>
        <v>0</v>
      </c>
      <c r="AL392" s="8" t="n">
        <f aca="false">AL388*AL390</f>
        <v>0</v>
      </c>
      <c r="AM392" s="8" t="n">
        <f aca="false">AM388*AM390</f>
        <v>0</v>
      </c>
      <c r="AN392" s="8" t="n">
        <f aca="false">AN388*AN390</f>
        <v>0</v>
      </c>
      <c r="AO392" s="8" t="n">
        <f aca="false">AO388*AO390</f>
        <v>0</v>
      </c>
      <c r="AP392" s="8" t="n">
        <f aca="false">AP388*AP390</f>
        <v>0</v>
      </c>
      <c r="AQ392" s="8" t="n">
        <f aca="false">AQ388*AQ390</f>
        <v>0</v>
      </c>
      <c r="AR392" s="8" t="n">
        <f aca="false">AR388*AR390</f>
        <v>0</v>
      </c>
      <c r="AS392" s="8" t="n">
        <f aca="false">AS388*AS390</f>
        <v>0</v>
      </c>
    </row>
    <row r="393" customFormat="false" ht="15" hidden="false" customHeight="false" outlineLevel="0" collapsed="false">
      <c r="A393" s="6" t="s">
        <v>479</v>
      </c>
      <c r="B393" s="6" t="s">
        <v>480</v>
      </c>
      <c r="C393" s="43" t="n">
        <f aca="false">IF(VST_Assets!$H$13="$/kW",VST_Assets!$D$13*VST_Assets!$AI$13*(1+0.4*(PJMWLR/PJMWLRBase-1))/1000,0)</f>
        <v>891.8</v>
      </c>
      <c r="E393" s="8" t="n">
        <f aca="false">C393</f>
        <v>891.8</v>
      </c>
      <c r="G393" s="8" t="n">
        <f aca="false">0</f>
        <v>0</v>
      </c>
      <c r="H393" s="8" t="n">
        <f aca="false">0</f>
        <v>0</v>
      </c>
      <c r="I393" s="8" t="n">
        <f aca="false">0</f>
        <v>0</v>
      </c>
      <c r="J393" s="8" t="n">
        <f aca="false">0</f>
        <v>0</v>
      </c>
      <c r="K393" s="8" t="n">
        <f aca="false">0</f>
        <v>0</v>
      </c>
      <c r="L393" s="8" t="n">
        <f aca="false">0</f>
        <v>0</v>
      </c>
      <c r="M393" s="8" t="n">
        <f aca="false">0</f>
        <v>0</v>
      </c>
      <c r="N393" s="8" t="n">
        <f aca="false">0</f>
        <v>0</v>
      </c>
      <c r="O393" s="8" t="n">
        <f aca="false">0</f>
        <v>0</v>
      </c>
      <c r="P393" s="8" t="n">
        <f aca="false">0</f>
        <v>0</v>
      </c>
      <c r="Q393" s="8" t="n">
        <f aca="false">0</f>
        <v>0</v>
      </c>
      <c r="R393" s="8" t="n">
        <f aca="false">0</f>
        <v>0</v>
      </c>
      <c r="S393" s="8" t="n">
        <f aca="false">0</f>
        <v>0</v>
      </c>
      <c r="T393" s="8" t="n">
        <f aca="false">0</f>
        <v>0</v>
      </c>
      <c r="U393" s="8" t="n">
        <f aca="false">0</f>
        <v>0</v>
      </c>
      <c r="V393" s="8" t="n">
        <f aca="false">0</f>
        <v>0</v>
      </c>
      <c r="W393" s="8" t="n">
        <f aca="false">0</f>
        <v>0</v>
      </c>
      <c r="X393" s="8" t="n">
        <f aca="false">0</f>
        <v>0</v>
      </c>
      <c r="Y393" s="8" t="n">
        <f aca="false">0</f>
        <v>0</v>
      </c>
      <c r="Z393" s="8" t="n">
        <f aca="false">0</f>
        <v>0</v>
      </c>
      <c r="AA393" s="8" t="n">
        <f aca="false">0</f>
        <v>0</v>
      </c>
      <c r="AB393" s="8" t="n">
        <f aca="false">0</f>
        <v>0</v>
      </c>
      <c r="AC393" s="8" t="n">
        <f aca="false">0</f>
        <v>0</v>
      </c>
      <c r="AD393" s="8" t="n">
        <f aca="false">0</f>
        <v>0</v>
      </c>
      <c r="AE393" s="8" t="n">
        <f aca="false">0</f>
        <v>0</v>
      </c>
      <c r="AF393" s="8" t="n">
        <f aca="false">0</f>
        <v>0</v>
      </c>
      <c r="AG393" s="8" t="n">
        <f aca="false">0</f>
        <v>0</v>
      </c>
      <c r="AH393" s="8" t="n">
        <f aca="false">0</f>
        <v>0</v>
      </c>
      <c r="AI393" s="8" t="n">
        <f aca="false">0</f>
        <v>0</v>
      </c>
      <c r="AJ393" s="8" t="n">
        <f aca="false">0</f>
        <v>0</v>
      </c>
      <c r="AK393" s="8" t="n">
        <f aca="false">0</f>
        <v>0</v>
      </c>
      <c r="AL393" s="8" t="n">
        <f aca="false">0</f>
        <v>0</v>
      </c>
      <c r="AM393" s="8" t="n">
        <f aca="false">0</f>
        <v>0</v>
      </c>
      <c r="AN393" s="8" t="n">
        <f aca="false">0</f>
        <v>0</v>
      </c>
      <c r="AO393" s="8" t="n">
        <f aca="false">0</f>
        <v>0</v>
      </c>
      <c r="AP393" s="8" t="n">
        <f aca="false">0</f>
        <v>0</v>
      </c>
      <c r="AQ393" s="8" t="n">
        <f aca="false">0</f>
        <v>0</v>
      </c>
      <c r="AR393" s="8" t="n">
        <f aca="false">0</f>
        <v>0</v>
      </c>
      <c r="AS393" s="8" t="n">
        <f aca="false">0</f>
        <v>0</v>
      </c>
    </row>
    <row r="395" customFormat="false" ht="15" hidden="false" customHeight="false" outlineLevel="0" collapsed="false">
      <c r="A395" s="54" t="str">
        <f aca="false">VST_Assets!$A$14</f>
        <v>Cogentrix (pending) - modern CCGT, PJM</v>
      </c>
    </row>
    <row r="396" customFormat="false" ht="15" hidden="false" customHeight="false" outlineLevel="0" collapsed="false">
      <c r="A396" s="6" t="s">
        <v>425</v>
      </c>
      <c r="B396" s="6" t="s">
        <v>426</v>
      </c>
      <c r="G396" s="47" t="n">
        <f aca="false">IF(AND(G$3&gt;=VST_Assets!$E$14,G$3&lt;=VST_Assets!$F$14,VST_Assets!$H$14="Cashflow"),1,0)</f>
        <v>1</v>
      </c>
      <c r="H396" s="47" t="n">
        <f aca="false">IF(AND(H$3&gt;=VST_Assets!$E$14,H$3&lt;=VST_Assets!$F$14,VST_Assets!$H$14="Cashflow"),1,0)</f>
        <v>1</v>
      </c>
      <c r="I396" s="47" t="n">
        <f aca="false">IF(AND(I$3&gt;=VST_Assets!$E$14,I$3&lt;=VST_Assets!$F$14,VST_Assets!$H$14="Cashflow"),1,0)</f>
        <v>1</v>
      </c>
      <c r="J396" s="47" t="n">
        <f aca="false">IF(AND(J$3&gt;=VST_Assets!$E$14,J$3&lt;=VST_Assets!$F$14,VST_Assets!$H$14="Cashflow"),1,0)</f>
        <v>1</v>
      </c>
      <c r="K396" s="47" t="n">
        <f aca="false">IF(AND(K$3&gt;=VST_Assets!$E$14,K$3&lt;=VST_Assets!$F$14,VST_Assets!$H$14="Cashflow"),1,0)</f>
        <v>1</v>
      </c>
      <c r="L396" s="47" t="n">
        <f aca="false">IF(AND(L$3&gt;=VST_Assets!$E$14,L$3&lt;=VST_Assets!$F$14,VST_Assets!$H$14="Cashflow"),1,0)</f>
        <v>1</v>
      </c>
      <c r="M396" s="47" t="n">
        <f aca="false">IF(AND(M$3&gt;=VST_Assets!$E$14,M$3&lt;=VST_Assets!$F$14,VST_Assets!$H$14="Cashflow"),1,0)</f>
        <v>1</v>
      </c>
      <c r="N396" s="47" t="n">
        <f aca="false">IF(AND(N$3&gt;=VST_Assets!$E$14,N$3&lt;=VST_Assets!$F$14,VST_Assets!$H$14="Cashflow"),1,0)</f>
        <v>1</v>
      </c>
      <c r="O396" s="47" t="n">
        <f aca="false">IF(AND(O$3&gt;=VST_Assets!$E$14,O$3&lt;=VST_Assets!$F$14,VST_Assets!$H$14="Cashflow"),1,0)</f>
        <v>1</v>
      </c>
      <c r="P396" s="47" t="n">
        <f aca="false">IF(AND(P$3&gt;=VST_Assets!$E$14,P$3&lt;=VST_Assets!$F$14,VST_Assets!$H$14="Cashflow"),1,0)</f>
        <v>1</v>
      </c>
      <c r="Q396" s="47" t="n">
        <f aca="false">IF(AND(Q$3&gt;=VST_Assets!$E$14,Q$3&lt;=VST_Assets!$F$14,VST_Assets!$H$14="Cashflow"),1,0)</f>
        <v>1</v>
      </c>
      <c r="R396" s="47" t="n">
        <f aca="false">IF(AND(R$3&gt;=VST_Assets!$E$14,R$3&lt;=VST_Assets!$F$14,VST_Assets!$H$14="Cashflow"),1,0)</f>
        <v>1</v>
      </c>
      <c r="S396" s="47" t="n">
        <f aca="false">IF(AND(S$3&gt;=VST_Assets!$E$14,S$3&lt;=VST_Assets!$F$14,VST_Assets!$H$14="Cashflow"),1,0)</f>
        <v>1</v>
      </c>
      <c r="T396" s="47" t="n">
        <f aca="false">IF(AND(T$3&gt;=VST_Assets!$E$14,T$3&lt;=VST_Assets!$F$14,VST_Assets!$H$14="Cashflow"),1,0)</f>
        <v>1</v>
      </c>
      <c r="U396" s="47" t="n">
        <f aca="false">IF(AND(U$3&gt;=VST_Assets!$E$14,U$3&lt;=VST_Assets!$F$14,VST_Assets!$H$14="Cashflow"),1,0)</f>
        <v>1</v>
      </c>
      <c r="V396" s="47" t="n">
        <f aca="false">IF(AND(V$3&gt;=VST_Assets!$E$14,V$3&lt;=VST_Assets!$F$14,VST_Assets!$H$14="Cashflow"),1,0)</f>
        <v>1</v>
      </c>
      <c r="W396" s="47" t="n">
        <f aca="false">IF(AND(W$3&gt;=VST_Assets!$E$14,W$3&lt;=VST_Assets!$F$14,VST_Assets!$H$14="Cashflow"),1,0)</f>
        <v>1</v>
      </c>
      <c r="X396" s="47" t="n">
        <f aca="false">IF(AND(X$3&gt;=VST_Assets!$E$14,X$3&lt;=VST_Assets!$F$14,VST_Assets!$H$14="Cashflow"),1,0)</f>
        <v>1</v>
      </c>
      <c r="Y396" s="47" t="n">
        <f aca="false">IF(AND(Y$3&gt;=VST_Assets!$E$14,Y$3&lt;=VST_Assets!$F$14,VST_Assets!$H$14="Cashflow"),1,0)</f>
        <v>1</v>
      </c>
      <c r="Z396" s="47" t="n">
        <f aca="false">IF(AND(Z$3&gt;=VST_Assets!$E$14,Z$3&lt;=VST_Assets!$F$14,VST_Assets!$H$14="Cashflow"),1,0)</f>
        <v>1</v>
      </c>
      <c r="AA396" s="47" t="n">
        <f aca="false">IF(AND(AA$3&gt;=VST_Assets!$E$14,AA$3&lt;=VST_Assets!$F$14,VST_Assets!$H$14="Cashflow"),1,0)</f>
        <v>1</v>
      </c>
      <c r="AB396" s="47" t="n">
        <f aca="false">IF(AND(AB$3&gt;=VST_Assets!$E$14,AB$3&lt;=VST_Assets!$F$14,VST_Assets!$H$14="Cashflow"),1,0)</f>
        <v>1</v>
      </c>
      <c r="AC396" s="47" t="n">
        <f aca="false">IF(AND(AC$3&gt;=VST_Assets!$E$14,AC$3&lt;=VST_Assets!$F$14,VST_Assets!$H$14="Cashflow"),1,0)</f>
        <v>1</v>
      </c>
      <c r="AD396" s="47" t="n">
        <f aca="false">IF(AND(AD$3&gt;=VST_Assets!$E$14,AD$3&lt;=VST_Assets!$F$14,VST_Assets!$H$14="Cashflow"),1,0)</f>
        <v>1</v>
      </c>
      <c r="AE396" s="47" t="n">
        <f aca="false">IF(AND(AE$3&gt;=VST_Assets!$E$14,AE$3&lt;=VST_Assets!$F$14,VST_Assets!$H$14="Cashflow"),1,0)</f>
        <v>0</v>
      </c>
      <c r="AF396" s="47" t="n">
        <f aca="false">IF(AND(AF$3&gt;=VST_Assets!$E$14,AF$3&lt;=VST_Assets!$F$14,VST_Assets!$H$14="Cashflow"),1,0)</f>
        <v>0</v>
      </c>
      <c r="AG396" s="47" t="n">
        <f aca="false">IF(AND(AG$3&gt;=VST_Assets!$E$14,AG$3&lt;=VST_Assets!$F$14,VST_Assets!$H$14="Cashflow"),1,0)</f>
        <v>0</v>
      </c>
      <c r="AH396" s="47" t="n">
        <f aca="false">IF(AND(AH$3&gt;=VST_Assets!$E$14,AH$3&lt;=VST_Assets!$F$14,VST_Assets!$H$14="Cashflow"),1,0)</f>
        <v>0</v>
      </c>
      <c r="AI396" s="47" t="n">
        <f aca="false">IF(AND(AI$3&gt;=VST_Assets!$E$14,AI$3&lt;=VST_Assets!$F$14,VST_Assets!$H$14="Cashflow"),1,0)</f>
        <v>0</v>
      </c>
      <c r="AJ396" s="47" t="n">
        <f aca="false">IF(AND(AJ$3&gt;=VST_Assets!$E$14,AJ$3&lt;=VST_Assets!$F$14,VST_Assets!$H$14="Cashflow"),1,0)</f>
        <v>0</v>
      </c>
      <c r="AK396" s="47" t="n">
        <f aca="false">IF(AND(AK$3&gt;=VST_Assets!$E$14,AK$3&lt;=VST_Assets!$F$14,VST_Assets!$H$14="Cashflow"),1,0)</f>
        <v>0</v>
      </c>
      <c r="AL396" s="47" t="n">
        <f aca="false">IF(AND(AL$3&gt;=VST_Assets!$E$14,AL$3&lt;=VST_Assets!$F$14,VST_Assets!$H$14="Cashflow"),1,0)</f>
        <v>0</v>
      </c>
      <c r="AM396" s="47" t="n">
        <f aca="false">IF(AND(AM$3&gt;=VST_Assets!$E$14,AM$3&lt;=VST_Assets!$F$14,VST_Assets!$H$14="Cashflow"),1,0)</f>
        <v>0</v>
      </c>
      <c r="AN396" s="47" t="n">
        <f aca="false">IF(AND(AN$3&gt;=VST_Assets!$E$14,AN$3&lt;=VST_Assets!$F$14,VST_Assets!$H$14="Cashflow"),1,0)</f>
        <v>0</v>
      </c>
      <c r="AO396" s="47" t="n">
        <f aca="false">IF(AND(AO$3&gt;=VST_Assets!$E$14,AO$3&lt;=VST_Assets!$F$14,VST_Assets!$H$14="Cashflow"),1,0)</f>
        <v>0</v>
      </c>
      <c r="AP396" s="47" t="n">
        <f aca="false">IF(AND(AP$3&gt;=VST_Assets!$E$14,AP$3&lt;=VST_Assets!$F$14,VST_Assets!$H$14="Cashflow"),1,0)</f>
        <v>0</v>
      </c>
      <c r="AQ396" s="47" t="n">
        <f aca="false">IF(AND(AQ$3&gt;=VST_Assets!$E$14,AQ$3&lt;=VST_Assets!$F$14,VST_Assets!$H$14="Cashflow"),1,0)</f>
        <v>0</v>
      </c>
      <c r="AR396" s="47" t="n">
        <f aca="false">IF(AND(AR$3&gt;=VST_Assets!$E$14,AR$3&lt;=VST_Assets!$F$14,VST_Assets!$H$14="Cashflow"),1,0)</f>
        <v>0</v>
      </c>
      <c r="AS396" s="47" t="n">
        <f aca="false">IF(AND(AS$3&gt;=VST_Assets!$E$14,AS$3&lt;=VST_Assets!$F$14,VST_Assets!$H$14="Cashflow"),1,0)</f>
        <v>0</v>
      </c>
    </row>
    <row r="397" customFormat="false" ht="15" hidden="false" customHeight="false" outlineLevel="0" collapsed="false">
      <c r="A397" s="6" t="s">
        <v>427</v>
      </c>
      <c r="B397" s="6" t="s">
        <v>428</v>
      </c>
      <c r="G397" s="9" t="n">
        <f aca="false">IF(AND(G$3&gt;=VST_Assets!$AA$14,G$3&lt;=VST_Assets!$AB$14),MIN(VST_Assets!$D$14,VST_Assets!$Z$14*MIN(1,(G$3-VST_Assets!$AA$14+1)/MAX(1,VST_Assets!$AC$14))),0)*G396</f>
        <v>0</v>
      </c>
      <c r="H397" s="9" t="n">
        <f aca="false">IF(AND(H$3&gt;=VST_Assets!$AA$14,H$3&lt;=VST_Assets!$AB$14),MIN(VST_Assets!$D$14,VST_Assets!$Z$14*MIN(1,(H$3-VST_Assets!$AA$14+1)/MAX(1,VST_Assets!$AC$14))),0)*H396</f>
        <v>0</v>
      </c>
      <c r="I397" s="9" t="n">
        <f aca="false">IF(AND(I$3&gt;=VST_Assets!$AA$14,I$3&lt;=VST_Assets!$AB$14),MIN(VST_Assets!$D$14,VST_Assets!$Z$14*MIN(1,(I$3-VST_Assets!$AA$14+1)/MAX(1,VST_Assets!$AC$14))),0)*I396</f>
        <v>0</v>
      </c>
      <c r="J397" s="9" t="n">
        <f aca="false">IF(AND(J$3&gt;=VST_Assets!$AA$14,J$3&lt;=VST_Assets!$AB$14),MIN(VST_Assets!$D$14,VST_Assets!$Z$14*MIN(1,(J$3-VST_Assets!$AA$14+1)/MAX(1,VST_Assets!$AC$14))),0)*J396</f>
        <v>0</v>
      </c>
      <c r="K397" s="9" t="n">
        <f aca="false">IF(AND(K$3&gt;=VST_Assets!$AA$14,K$3&lt;=VST_Assets!$AB$14),MIN(VST_Assets!$D$14,VST_Assets!$Z$14*MIN(1,(K$3-VST_Assets!$AA$14+1)/MAX(1,VST_Assets!$AC$14))),0)*K396</f>
        <v>0</v>
      </c>
      <c r="L397" s="9" t="n">
        <f aca="false">IF(AND(L$3&gt;=VST_Assets!$AA$14,L$3&lt;=VST_Assets!$AB$14),MIN(VST_Assets!$D$14,VST_Assets!$Z$14*MIN(1,(L$3-VST_Assets!$AA$14+1)/MAX(1,VST_Assets!$AC$14))),0)*L396</f>
        <v>0</v>
      </c>
      <c r="M397" s="9" t="n">
        <f aca="false">IF(AND(M$3&gt;=VST_Assets!$AA$14,M$3&lt;=VST_Assets!$AB$14),MIN(VST_Assets!$D$14,VST_Assets!$Z$14*MIN(1,(M$3-VST_Assets!$AA$14+1)/MAX(1,VST_Assets!$AC$14))),0)*M396</f>
        <v>0</v>
      </c>
      <c r="N397" s="9" t="n">
        <f aca="false">IF(AND(N$3&gt;=VST_Assets!$AA$14,N$3&lt;=VST_Assets!$AB$14),MIN(VST_Assets!$D$14,VST_Assets!$Z$14*MIN(1,(N$3-VST_Assets!$AA$14+1)/MAX(1,VST_Assets!$AC$14))),0)*N396</f>
        <v>0</v>
      </c>
      <c r="O397" s="9" t="n">
        <f aca="false">IF(AND(O$3&gt;=VST_Assets!$AA$14,O$3&lt;=VST_Assets!$AB$14),MIN(VST_Assets!$D$14,VST_Assets!$Z$14*MIN(1,(O$3-VST_Assets!$AA$14+1)/MAX(1,VST_Assets!$AC$14))),0)*O396</f>
        <v>0</v>
      </c>
      <c r="P397" s="9" t="n">
        <f aca="false">IF(AND(P$3&gt;=VST_Assets!$AA$14,P$3&lt;=VST_Assets!$AB$14),MIN(VST_Assets!$D$14,VST_Assets!$Z$14*MIN(1,(P$3-VST_Assets!$AA$14+1)/MAX(1,VST_Assets!$AC$14))),0)*P396</f>
        <v>0</v>
      </c>
      <c r="Q397" s="9" t="n">
        <f aca="false">IF(AND(Q$3&gt;=VST_Assets!$AA$14,Q$3&lt;=VST_Assets!$AB$14),MIN(VST_Assets!$D$14,VST_Assets!$Z$14*MIN(1,(Q$3-VST_Assets!$AA$14+1)/MAX(1,VST_Assets!$AC$14))),0)*Q396</f>
        <v>0</v>
      </c>
      <c r="R397" s="9" t="n">
        <f aca="false">IF(AND(R$3&gt;=VST_Assets!$AA$14,R$3&lt;=VST_Assets!$AB$14),MIN(VST_Assets!$D$14,VST_Assets!$Z$14*MIN(1,(R$3-VST_Assets!$AA$14+1)/MAX(1,VST_Assets!$AC$14))),0)*R396</f>
        <v>0</v>
      </c>
      <c r="S397" s="9" t="n">
        <f aca="false">IF(AND(S$3&gt;=VST_Assets!$AA$14,S$3&lt;=VST_Assets!$AB$14),MIN(VST_Assets!$D$14,VST_Assets!$Z$14*MIN(1,(S$3-VST_Assets!$AA$14+1)/MAX(1,VST_Assets!$AC$14))),0)*S396</f>
        <v>0</v>
      </c>
      <c r="T397" s="9" t="n">
        <f aca="false">IF(AND(T$3&gt;=VST_Assets!$AA$14,T$3&lt;=VST_Assets!$AB$14),MIN(VST_Assets!$D$14,VST_Assets!$Z$14*MIN(1,(T$3-VST_Assets!$AA$14+1)/MAX(1,VST_Assets!$AC$14))),0)*T396</f>
        <v>0</v>
      </c>
      <c r="U397" s="9" t="n">
        <f aca="false">IF(AND(U$3&gt;=VST_Assets!$AA$14,U$3&lt;=VST_Assets!$AB$14),MIN(VST_Assets!$D$14,VST_Assets!$Z$14*MIN(1,(U$3-VST_Assets!$AA$14+1)/MAX(1,VST_Assets!$AC$14))),0)*U396</f>
        <v>0</v>
      </c>
      <c r="V397" s="9" t="n">
        <f aca="false">IF(AND(V$3&gt;=VST_Assets!$AA$14,V$3&lt;=VST_Assets!$AB$14),MIN(VST_Assets!$D$14,VST_Assets!$Z$14*MIN(1,(V$3-VST_Assets!$AA$14+1)/MAX(1,VST_Assets!$AC$14))),0)*V396</f>
        <v>0</v>
      </c>
      <c r="W397" s="9" t="n">
        <f aca="false">IF(AND(W$3&gt;=VST_Assets!$AA$14,W$3&lt;=VST_Assets!$AB$14),MIN(VST_Assets!$D$14,VST_Assets!$Z$14*MIN(1,(W$3-VST_Assets!$AA$14+1)/MAX(1,VST_Assets!$AC$14))),0)*W396</f>
        <v>0</v>
      </c>
      <c r="X397" s="9" t="n">
        <f aca="false">IF(AND(X$3&gt;=VST_Assets!$AA$14,X$3&lt;=VST_Assets!$AB$14),MIN(VST_Assets!$D$14,VST_Assets!$Z$14*MIN(1,(X$3-VST_Assets!$AA$14+1)/MAX(1,VST_Assets!$AC$14))),0)*X396</f>
        <v>0</v>
      </c>
      <c r="Y397" s="9" t="n">
        <f aca="false">IF(AND(Y$3&gt;=VST_Assets!$AA$14,Y$3&lt;=VST_Assets!$AB$14),MIN(VST_Assets!$D$14,VST_Assets!$Z$14*MIN(1,(Y$3-VST_Assets!$AA$14+1)/MAX(1,VST_Assets!$AC$14))),0)*Y396</f>
        <v>0</v>
      </c>
      <c r="Z397" s="9" t="n">
        <f aca="false">IF(AND(Z$3&gt;=VST_Assets!$AA$14,Z$3&lt;=VST_Assets!$AB$14),MIN(VST_Assets!$D$14,VST_Assets!$Z$14*MIN(1,(Z$3-VST_Assets!$AA$14+1)/MAX(1,VST_Assets!$AC$14))),0)*Z396</f>
        <v>0</v>
      </c>
      <c r="AA397" s="9" t="n">
        <f aca="false">IF(AND(AA$3&gt;=VST_Assets!$AA$14,AA$3&lt;=VST_Assets!$AB$14),MIN(VST_Assets!$D$14,VST_Assets!$Z$14*MIN(1,(AA$3-VST_Assets!$AA$14+1)/MAX(1,VST_Assets!$AC$14))),0)*AA396</f>
        <v>0</v>
      </c>
      <c r="AB397" s="9" t="n">
        <f aca="false">IF(AND(AB$3&gt;=VST_Assets!$AA$14,AB$3&lt;=VST_Assets!$AB$14),MIN(VST_Assets!$D$14,VST_Assets!$Z$14*MIN(1,(AB$3-VST_Assets!$AA$14+1)/MAX(1,VST_Assets!$AC$14))),0)*AB396</f>
        <v>0</v>
      </c>
      <c r="AC397" s="9" t="n">
        <f aca="false">IF(AND(AC$3&gt;=VST_Assets!$AA$14,AC$3&lt;=VST_Assets!$AB$14),MIN(VST_Assets!$D$14,VST_Assets!$Z$14*MIN(1,(AC$3-VST_Assets!$AA$14+1)/MAX(1,VST_Assets!$AC$14))),0)*AC396</f>
        <v>0</v>
      </c>
      <c r="AD397" s="9" t="n">
        <f aca="false">IF(AND(AD$3&gt;=VST_Assets!$AA$14,AD$3&lt;=VST_Assets!$AB$14),MIN(VST_Assets!$D$14,VST_Assets!$Z$14*MIN(1,(AD$3-VST_Assets!$AA$14+1)/MAX(1,VST_Assets!$AC$14))),0)*AD396</f>
        <v>0</v>
      </c>
      <c r="AE397" s="9" t="n">
        <f aca="false">IF(AND(AE$3&gt;=VST_Assets!$AA$14,AE$3&lt;=VST_Assets!$AB$14),MIN(VST_Assets!$D$14,VST_Assets!$Z$14*MIN(1,(AE$3-VST_Assets!$AA$14+1)/MAX(1,VST_Assets!$AC$14))),0)*AE396</f>
        <v>0</v>
      </c>
      <c r="AF397" s="9" t="n">
        <f aca="false">IF(AND(AF$3&gt;=VST_Assets!$AA$14,AF$3&lt;=VST_Assets!$AB$14),MIN(VST_Assets!$D$14,VST_Assets!$Z$14*MIN(1,(AF$3-VST_Assets!$AA$14+1)/MAX(1,VST_Assets!$AC$14))),0)*AF396</f>
        <v>0</v>
      </c>
      <c r="AG397" s="9" t="n">
        <f aca="false">IF(AND(AG$3&gt;=VST_Assets!$AA$14,AG$3&lt;=VST_Assets!$AB$14),MIN(VST_Assets!$D$14,VST_Assets!$Z$14*MIN(1,(AG$3-VST_Assets!$AA$14+1)/MAX(1,VST_Assets!$AC$14))),0)*AG396</f>
        <v>0</v>
      </c>
      <c r="AH397" s="9" t="n">
        <f aca="false">IF(AND(AH$3&gt;=VST_Assets!$AA$14,AH$3&lt;=VST_Assets!$AB$14),MIN(VST_Assets!$D$14,VST_Assets!$Z$14*MIN(1,(AH$3-VST_Assets!$AA$14+1)/MAX(1,VST_Assets!$AC$14))),0)*AH396</f>
        <v>0</v>
      </c>
      <c r="AI397" s="9" t="n">
        <f aca="false">IF(AND(AI$3&gt;=VST_Assets!$AA$14,AI$3&lt;=VST_Assets!$AB$14),MIN(VST_Assets!$D$14,VST_Assets!$Z$14*MIN(1,(AI$3-VST_Assets!$AA$14+1)/MAX(1,VST_Assets!$AC$14))),0)*AI396</f>
        <v>0</v>
      </c>
      <c r="AJ397" s="9" t="n">
        <f aca="false">IF(AND(AJ$3&gt;=VST_Assets!$AA$14,AJ$3&lt;=VST_Assets!$AB$14),MIN(VST_Assets!$D$14,VST_Assets!$Z$14*MIN(1,(AJ$3-VST_Assets!$AA$14+1)/MAX(1,VST_Assets!$AC$14))),0)*AJ396</f>
        <v>0</v>
      </c>
      <c r="AK397" s="9" t="n">
        <f aca="false">IF(AND(AK$3&gt;=VST_Assets!$AA$14,AK$3&lt;=VST_Assets!$AB$14),MIN(VST_Assets!$D$14,VST_Assets!$Z$14*MIN(1,(AK$3-VST_Assets!$AA$14+1)/MAX(1,VST_Assets!$AC$14))),0)*AK396</f>
        <v>0</v>
      </c>
      <c r="AL397" s="9" t="n">
        <f aca="false">IF(AND(AL$3&gt;=VST_Assets!$AA$14,AL$3&lt;=VST_Assets!$AB$14),MIN(VST_Assets!$D$14,VST_Assets!$Z$14*MIN(1,(AL$3-VST_Assets!$AA$14+1)/MAX(1,VST_Assets!$AC$14))),0)*AL396</f>
        <v>0</v>
      </c>
      <c r="AM397" s="9" t="n">
        <f aca="false">IF(AND(AM$3&gt;=VST_Assets!$AA$14,AM$3&lt;=VST_Assets!$AB$14),MIN(VST_Assets!$D$14,VST_Assets!$Z$14*MIN(1,(AM$3-VST_Assets!$AA$14+1)/MAX(1,VST_Assets!$AC$14))),0)*AM396</f>
        <v>0</v>
      </c>
      <c r="AN397" s="9" t="n">
        <f aca="false">IF(AND(AN$3&gt;=VST_Assets!$AA$14,AN$3&lt;=VST_Assets!$AB$14),MIN(VST_Assets!$D$14,VST_Assets!$Z$14*MIN(1,(AN$3-VST_Assets!$AA$14+1)/MAX(1,VST_Assets!$AC$14))),0)*AN396</f>
        <v>0</v>
      </c>
      <c r="AO397" s="9" t="n">
        <f aca="false">IF(AND(AO$3&gt;=VST_Assets!$AA$14,AO$3&lt;=VST_Assets!$AB$14),MIN(VST_Assets!$D$14,VST_Assets!$Z$14*MIN(1,(AO$3-VST_Assets!$AA$14+1)/MAX(1,VST_Assets!$AC$14))),0)*AO396</f>
        <v>0</v>
      </c>
      <c r="AP397" s="9" t="n">
        <f aca="false">IF(AND(AP$3&gt;=VST_Assets!$AA$14,AP$3&lt;=VST_Assets!$AB$14),MIN(VST_Assets!$D$14,VST_Assets!$Z$14*MIN(1,(AP$3-VST_Assets!$AA$14+1)/MAX(1,VST_Assets!$AC$14))),0)*AP396</f>
        <v>0</v>
      </c>
      <c r="AQ397" s="9" t="n">
        <f aca="false">IF(AND(AQ$3&gt;=VST_Assets!$AA$14,AQ$3&lt;=VST_Assets!$AB$14),MIN(VST_Assets!$D$14,VST_Assets!$Z$14*MIN(1,(AQ$3-VST_Assets!$AA$14+1)/MAX(1,VST_Assets!$AC$14))),0)*AQ396</f>
        <v>0</v>
      </c>
      <c r="AR397" s="9" t="n">
        <f aca="false">IF(AND(AR$3&gt;=VST_Assets!$AA$14,AR$3&lt;=VST_Assets!$AB$14),MIN(VST_Assets!$D$14,VST_Assets!$Z$14*MIN(1,(AR$3-VST_Assets!$AA$14+1)/MAX(1,VST_Assets!$AC$14))),0)*AR396</f>
        <v>0</v>
      </c>
      <c r="AS397" s="9" t="n">
        <f aca="false">IF(AND(AS$3&gt;=VST_Assets!$AA$14,AS$3&lt;=VST_Assets!$AB$14),MIN(VST_Assets!$D$14,VST_Assets!$Z$14*MIN(1,(AS$3-VST_Assets!$AA$14+1)/MAX(1,VST_Assets!$AC$14))),0)*AS396</f>
        <v>0</v>
      </c>
    </row>
    <row r="398" customFormat="false" ht="15" hidden="false" customHeight="false" outlineLevel="0" collapsed="false">
      <c r="A398" s="6" t="s">
        <v>429</v>
      </c>
      <c r="B398" s="6" t="s">
        <v>430</v>
      </c>
      <c r="G398" s="9" t="n">
        <f aca="false">(VST_Assets!$D$14-G397)*8760*VST_Assets!$I$14*G396</f>
        <v>16863000</v>
      </c>
      <c r="H398" s="9" t="n">
        <f aca="false">(VST_Assets!$D$14-H397)*8760*VST_Assets!$I$14*H396</f>
        <v>16863000</v>
      </c>
      <c r="I398" s="9" t="n">
        <f aca="false">(VST_Assets!$D$14-I397)*8760*VST_Assets!$I$14*I396</f>
        <v>16863000</v>
      </c>
      <c r="J398" s="9" t="n">
        <f aca="false">(VST_Assets!$D$14-J397)*8760*VST_Assets!$I$14*J396</f>
        <v>16863000</v>
      </c>
      <c r="K398" s="9" t="n">
        <f aca="false">(VST_Assets!$D$14-K397)*8760*VST_Assets!$I$14*K396</f>
        <v>16863000</v>
      </c>
      <c r="L398" s="9" t="n">
        <f aca="false">(VST_Assets!$D$14-L397)*8760*VST_Assets!$I$14*L396</f>
        <v>16863000</v>
      </c>
      <c r="M398" s="9" t="n">
        <f aca="false">(VST_Assets!$D$14-M397)*8760*VST_Assets!$I$14*M396</f>
        <v>16863000</v>
      </c>
      <c r="N398" s="9" t="n">
        <f aca="false">(VST_Assets!$D$14-N397)*8760*VST_Assets!$I$14*N396</f>
        <v>16863000</v>
      </c>
      <c r="O398" s="9" t="n">
        <f aca="false">(VST_Assets!$D$14-O397)*8760*VST_Assets!$I$14*O396</f>
        <v>16863000</v>
      </c>
      <c r="P398" s="9" t="n">
        <f aca="false">(VST_Assets!$D$14-P397)*8760*VST_Assets!$I$14*P396</f>
        <v>16863000</v>
      </c>
      <c r="Q398" s="9" t="n">
        <f aca="false">(VST_Assets!$D$14-Q397)*8760*VST_Assets!$I$14*Q396</f>
        <v>16863000</v>
      </c>
      <c r="R398" s="9" t="n">
        <f aca="false">(VST_Assets!$D$14-R397)*8760*VST_Assets!$I$14*R396</f>
        <v>16863000</v>
      </c>
      <c r="S398" s="9" t="n">
        <f aca="false">(VST_Assets!$D$14-S397)*8760*VST_Assets!$I$14*S396</f>
        <v>16863000</v>
      </c>
      <c r="T398" s="9" t="n">
        <f aca="false">(VST_Assets!$D$14-T397)*8760*VST_Assets!$I$14*T396</f>
        <v>16863000</v>
      </c>
      <c r="U398" s="9" t="n">
        <f aca="false">(VST_Assets!$D$14-U397)*8760*VST_Assets!$I$14*U396</f>
        <v>16863000</v>
      </c>
      <c r="V398" s="9" t="n">
        <f aca="false">(VST_Assets!$D$14-V397)*8760*VST_Assets!$I$14*V396</f>
        <v>16863000</v>
      </c>
      <c r="W398" s="9" t="n">
        <f aca="false">(VST_Assets!$D$14-W397)*8760*VST_Assets!$I$14*W396</f>
        <v>16863000</v>
      </c>
      <c r="X398" s="9" t="n">
        <f aca="false">(VST_Assets!$D$14-X397)*8760*VST_Assets!$I$14*X396</f>
        <v>16863000</v>
      </c>
      <c r="Y398" s="9" t="n">
        <f aca="false">(VST_Assets!$D$14-Y397)*8760*VST_Assets!$I$14*Y396</f>
        <v>16863000</v>
      </c>
      <c r="Z398" s="9" t="n">
        <f aca="false">(VST_Assets!$D$14-Z397)*8760*VST_Assets!$I$14*Z396</f>
        <v>16863000</v>
      </c>
      <c r="AA398" s="9" t="n">
        <f aca="false">(VST_Assets!$D$14-AA397)*8760*VST_Assets!$I$14*AA396</f>
        <v>16863000</v>
      </c>
      <c r="AB398" s="9" t="n">
        <f aca="false">(VST_Assets!$D$14-AB397)*8760*VST_Assets!$I$14*AB396</f>
        <v>16863000</v>
      </c>
      <c r="AC398" s="9" t="n">
        <f aca="false">(VST_Assets!$D$14-AC397)*8760*VST_Assets!$I$14*AC396</f>
        <v>16863000</v>
      </c>
      <c r="AD398" s="9" t="n">
        <f aca="false">(VST_Assets!$D$14-AD397)*8760*VST_Assets!$I$14*AD396</f>
        <v>16863000</v>
      </c>
      <c r="AE398" s="9" t="n">
        <f aca="false">(VST_Assets!$D$14-AE397)*8760*VST_Assets!$I$14*AE396</f>
        <v>0</v>
      </c>
      <c r="AF398" s="9" t="n">
        <f aca="false">(VST_Assets!$D$14-AF397)*8760*VST_Assets!$I$14*AF396</f>
        <v>0</v>
      </c>
      <c r="AG398" s="9" t="n">
        <f aca="false">(VST_Assets!$D$14-AG397)*8760*VST_Assets!$I$14*AG396</f>
        <v>0</v>
      </c>
      <c r="AH398" s="9" t="n">
        <f aca="false">(VST_Assets!$D$14-AH397)*8760*VST_Assets!$I$14*AH396</f>
        <v>0</v>
      </c>
      <c r="AI398" s="9" t="n">
        <f aca="false">(VST_Assets!$D$14-AI397)*8760*VST_Assets!$I$14*AI396</f>
        <v>0</v>
      </c>
      <c r="AJ398" s="9" t="n">
        <f aca="false">(VST_Assets!$D$14-AJ397)*8760*VST_Assets!$I$14*AJ396</f>
        <v>0</v>
      </c>
      <c r="AK398" s="9" t="n">
        <f aca="false">(VST_Assets!$D$14-AK397)*8760*VST_Assets!$I$14*AK396</f>
        <v>0</v>
      </c>
      <c r="AL398" s="9" t="n">
        <f aca="false">(VST_Assets!$D$14-AL397)*8760*VST_Assets!$I$14*AL396</f>
        <v>0</v>
      </c>
      <c r="AM398" s="9" t="n">
        <f aca="false">(VST_Assets!$D$14-AM397)*8760*VST_Assets!$I$14*AM396</f>
        <v>0</v>
      </c>
      <c r="AN398" s="9" t="n">
        <f aca="false">(VST_Assets!$D$14-AN397)*8760*VST_Assets!$I$14*AN396</f>
        <v>0</v>
      </c>
      <c r="AO398" s="9" t="n">
        <f aca="false">(VST_Assets!$D$14-AO397)*8760*VST_Assets!$I$14*AO396</f>
        <v>0</v>
      </c>
      <c r="AP398" s="9" t="n">
        <f aca="false">(VST_Assets!$D$14-AP397)*8760*VST_Assets!$I$14*AP396</f>
        <v>0</v>
      </c>
      <c r="AQ398" s="9" t="n">
        <f aca="false">(VST_Assets!$D$14-AQ397)*8760*VST_Assets!$I$14*AQ396</f>
        <v>0</v>
      </c>
      <c r="AR398" s="9" t="n">
        <f aca="false">(VST_Assets!$D$14-AR397)*8760*VST_Assets!$I$14*AR396</f>
        <v>0</v>
      </c>
      <c r="AS398" s="9" t="n">
        <f aca="false">(VST_Assets!$D$14-AS397)*8760*VST_Assets!$I$14*AS396</f>
        <v>0</v>
      </c>
    </row>
    <row r="399" customFormat="false" ht="15" hidden="false" customHeight="false" outlineLevel="0" collapsed="false">
      <c r="A399" s="6" t="s">
        <v>431</v>
      </c>
      <c r="B399" s="6" t="s">
        <v>432</v>
      </c>
      <c r="G399" s="9" t="n">
        <f aca="false">G397*8760*VST_Assets!$I$14*G396</f>
        <v>0</v>
      </c>
      <c r="H399" s="9" t="n">
        <f aca="false">H397*8760*VST_Assets!$I$14*H396</f>
        <v>0</v>
      </c>
      <c r="I399" s="9" t="n">
        <f aca="false">I397*8760*VST_Assets!$I$14*I396</f>
        <v>0</v>
      </c>
      <c r="J399" s="9" t="n">
        <f aca="false">J397*8760*VST_Assets!$I$14*J396</f>
        <v>0</v>
      </c>
      <c r="K399" s="9" t="n">
        <f aca="false">K397*8760*VST_Assets!$I$14*K396</f>
        <v>0</v>
      </c>
      <c r="L399" s="9" t="n">
        <f aca="false">L397*8760*VST_Assets!$I$14*L396</f>
        <v>0</v>
      </c>
      <c r="M399" s="9" t="n">
        <f aca="false">M397*8760*VST_Assets!$I$14*M396</f>
        <v>0</v>
      </c>
      <c r="N399" s="9" t="n">
        <f aca="false">N397*8760*VST_Assets!$I$14*N396</f>
        <v>0</v>
      </c>
      <c r="O399" s="9" t="n">
        <f aca="false">O397*8760*VST_Assets!$I$14*O396</f>
        <v>0</v>
      </c>
      <c r="P399" s="9" t="n">
        <f aca="false">P397*8760*VST_Assets!$I$14*P396</f>
        <v>0</v>
      </c>
      <c r="Q399" s="9" t="n">
        <f aca="false">Q397*8760*VST_Assets!$I$14*Q396</f>
        <v>0</v>
      </c>
      <c r="R399" s="9" t="n">
        <f aca="false">R397*8760*VST_Assets!$I$14*R396</f>
        <v>0</v>
      </c>
      <c r="S399" s="9" t="n">
        <f aca="false">S397*8760*VST_Assets!$I$14*S396</f>
        <v>0</v>
      </c>
      <c r="T399" s="9" t="n">
        <f aca="false">T397*8760*VST_Assets!$I$14*T396</f>
        <v>0</v>
      </c>
      <c r="U399" s="9" t="n">
        <f aca="false">U397*8760*VST_Assets!$I$14*U396</f>
        <v>0</v>
      </c>
      <c r="V399" s="9" t="n">
        <f aca="false">V397*8760*VST_Assets!$I$14*V396</f>
        <v>0</v>
      </c>
      <c r="W399" s="9" t="n">
        <f aca="false">W397*8760*VST_Assets!$I$14*W396</f>
        <v>0</v>
      </c>
      <c r="X399" s="9" t="n">
        <f aca="false">X397*8760*VST_Assets!$I$14*X396</f>
        <v>0</v>
      </c>
      <c r="Y399" s="9" t="n">
        <f aca="false">Y397*8760*VST_Assets!$I$14*Y396</f>
        <v>0</v>
      </c>
      <c r="Z399" s="9" t="n">
        <f aca="false">Z397*8760*VST_Assets!$I$14*Z396</f>
        <v>0</v>
      </c>
      <c r="AA399" s="9" t="n">
        <f aca="false">AA397*8760*VST_Assets!$I$14*AA396</f>
        <v>0</v>
      </c>
      <c r="AB399" s="9" t="n">
        <f aca="false">AB397*8760*VST_Assets!$I$14*AB396</f>
        <v>0</v>
      </c>
      <c r="AC399" s="9" t="n">
        <f aca="false">AC397*8760*VST_Assets!$I$14*AC396</f>
        <v>0</v>
      </c>
      <c r="AD399" s="9" t="n">
        <f aca="false">AD397*8760*VST_Assets!$I$14*AD396</f>
        <v>0</v>
      </c>
      <c r="AE399" s="9" t="n">
        <f aca="false">AE397*8760*VST_Assets!$I$14*AE396</f>
        <v>0</v>
      </c>
      <c r="AF399" s="9" t="n">
        <f aca="false">AF397*8760*VST_Assets!$I$14*AF396</f>
        <v>0</v>
      </c>
      <c r="AG399" s="9" t="n">
        <f aca="false">AG397*8760*VST_Assets!$I$14*AG396</f>
        <v>0</v>
      </c>
      <c r="AH399" s="9" t="n">
        <f aca="false">AH397*8760*VST_Assets!$I$14*AH396</f>
        <v>0</v>
      </c>
      <c r="AI399" s="9" t="n">
        <f aca="false">AI397*8760*VST_Assets!$I$14*AI396</f>
        <v>0</v>
      </c>
      <c r="AJ399" s="9" t="n">
        <f aca="false">AJ397*8760*VST_Assets!$I$14*AJ396</f>
        <v>0</v>
      </c>
      <c r="AK399" s="9" t="n">
        <f aca="false">AK397*8760*VST_Assets!$I$14*AK396</f>
        <v>0</v>
      </c>
      <c r="AL399" s="9" t="n">
        <f aca="false">AL397*8760*VST_Assets!$I$14*AL396</f>
        <v>0</v>
      </c>
      <c r="AM399" s="9" t="n">
        <f aca="false">AM397*8760*VST_Assets!$I$14*AM396</f>
        <v>0</v>
      </c>
      <c r="AN399" s="9" t="n">
        <f aca="false">AN397*8760*VST_Assets!$I$14*AN396</f>
        <v>0</v>
      </c>
      <c r="AO399" s="9" t="n">
        <f aca="false">AO397*8760*VST_Assets!$I$14*AO396</f>
        <v>0</v>
      </c>
      <c r="AP399" s="9" t="n">
        <f aca="false">AP397*8760*VST_Assets!$I$14*AP396</f>
        <v>0</v>
      </c>
      <c r="AQ399" s="9" t="n">
        <f aca="false">AQ397*8760*VST_Assets!$I$14*AQ396</f>
        <v>0</v>
      </c>
      <c r="AR399" s="9" t="n">
        <f aca="false">AR397*8760*VST_Assets!$I$14*AR396</f>
        <v>0</v>
      </c>
      <c r="AS399" s="9" t="n">
        <f aca="false">AS397*8760*VST_Assets!$I$14*AS396</f>
        <v>0</v>
      </c>
    </row>
    <row r="400" customFormat="false" ht="15" hidden="false" customHeight="false" outlineLevel="0" collapsed="false">
      <c r="A400" s="6" t="s">
        <v>433</v>
      </c>
      <c r="B400" s="6" t="s">
        <v>434</v>
      </c>
      <c r="G400" s="7" t="n">
        <f aca="false">IF(ISNUMBER(VST_Assets!$L$14),VST_Assets!$L$14*G$4,INDEX(Prices!G:G,VST_Assets!$AO$14)+FuelAdder*G$4)</f>
        <v>3.927</v>
      </c>
      <c r="H400" s="7" t="n">
        <f aca="false">IF(ISNUMBER(VST_Assets!$L$14),VST_Assets!$L$14*H$4,INDEX(Prices!H:H,VST_Assets!$AO$14)+FuelAdder*H$4)</f>
        <v>4.00554</v>
      </c>
      <c r="I400" s="7" t="n">
        <f aca="false">IF(ISNUMBER(VST_Assets!$L$14),VST_Assets!$L$14*I$4,INDEX(Prices!I:I,VST_Assets!$AO$14)+FuelAdder*I$4)</f>
        <v>4.1917716</v>
      </c>
      <c r="J400" s="7" t="n">
        <f aca="false">IF(ISNUMBER(VST_Assets!$L$14),VST_Assets!$L$14*J$4,INDEX(Prices!J:J,VST_Assets!$AO$14)+FuelAdder*J$4)</f>
        <v>4.275607032</v>
      </c>
      <c r="K400" s="7" t="n">
        <f aca="false">IF(ISNUMBER(VST_Assets!$L$14),VST_Assets!$L$14*K$4,INDEX(Prices!K:K,VST_Assets!$AO$14)+FuelAdder*K$4)</f>
        <v>4.36111917264</v>
      </c>
      <c r="L400" s="7" t="n">
        <f aca="false">IF(ISNUMBER(VST_Assets!$L$14),VST_Assets!$L$14*L$4,INDEX(Prices!L:L,VST_Assets!$AO$14)+FuelAdder*L$4)</f>
        <v>4.4483415560928</v>
      </c>
      <c r="M400" s="7" t="n">
        <f aca="false">IF(ISNUMBER(VST_Assets!$L$14),VST_Assets!$L$14*M$4,INDEX(Prices!M:M,VST_Assets!$AO$14)+FuelAdder*M$4)</f>
        <v>4.53730838721466</v>
      </c>
      <c r="N400" s="7" t="n">
        <f aca="false">IF(ISNUMBER(VST_Assets!$L$14),VST_Assets!$L$14*N$4,INDEX(Prices!N:N,VST_Assets!$AO$14)+FuelAdder*N$4)</f>
        <v>4.62805455495895</v>
      </c>
      <c r="O400" s="7" t="n">
        <f aca="false">IF(ISNUMBER(VST_Assets!$L$14),VST_Assets!$L$14*O$4,INDEX(Prices!O:O,VST_Assets!$AO$14)+FuelAdder*O$4)</f>
        <v>4.72061564605813</v>
      </c>
      <c r="P400" s="7" t="n">
        <f aca="false">IF(ISNUMBER(VST_Assets!$L$14),VST_Assets!$L$14*P$4,INDEX(Prices!P:P,VST_Assets!$AO$14)+FuelAdder*P$4)</f>
        <v>4.81502795897929</v>
      </c>
      <c r="Q400" s="7" t="n">
        <f aca="false">IF(ISNUMBER(VST_Assets!$L$14),VST_Assets!$L$14*Q$4,INDEX(Prices!Q:Q,VST_Assets!$AO$14)+FuelAdder*Q$4)</f>
        <v>4.91132851815888</v>
      </c>
      <c r="R400" s="7" t="n">
        <f aca="false">IF(ISNUMBER(VST_Assets!$L$14),VST_Assets!$L$14*R$4,INDEX(Prices!R:R,VST_Assets!$AO$14)+FuelAdder*R$4)</f>
        <v>5.00955508852206</v>
      </c>
      <c r="S400" s="7" t="n">
        <f aca="false">IF(ISNUMBER(VST_Assets!$L$14),VST_Assets!$L$14*S$4,INDEX(Prices!S:S,VST_Assets!$AO$14)+FuelAdder*S$4)</f>
        <v>5.1097461902925</v>
      </c>
      <c r="T400" s="7" t="n">
        <f aca="false">IF(ISNUMBER(VST_Assets!$L$14),VST_Assets!$L$14*T$4,INDEX(Prices!T:T,VST_Assets!$AO$14)+FuelAdder*T$4)</f>
        <v>5.21194111409835</v>
      </c>
      <c r="U400" s="7" t="n">
        <f aca="false">IF(ISNUMBER(VST_Assets!$L$14),VST_Assets!$L$14*U$4,INDEX(Prices!U:U,VST_Assets!$AO$14)+FuelAdder*U$4)</f>
        <v>5.31617993638031</v>
      </c>
      <c r="V400" s="7" t="n">
        <f aca="false">IF(ISNUMBER(VST_Assets!$L$14),VST_Assets!$L$14*V$4,INDEX(Prices!V:V,VST_Assets!$AO$14)+FuelAdder*V$4)</f>
        <v>5.42250353510792</v>
      </c>
      <c r="W400" s="7" t="n">
        <f aca="false">IF(ISNUMBER(VST_Assets!$L$14),VST_Assets!$L$14*W$4,INDEX(Prices!W:W,VST_Assets!$AO$14)+FuelAdder*W$4)</f>
        <v>5.53095360581008</v>
      </c>
      <c r="X400" s="7" t="n">
        <f aca="false">IF(ISNUMBER(VST_Assets!$L$14),VST_Assets!$L$14*X$4,INDEX(Prices!X:X,VST_Assets!$AO$14)+FuelAdder*X$4)</f>
        <v>5.64157267792628</v>
      </c>
      <c r="Y400" s="7" t="n">
        <f aca="false">IF(ISNUMBER(VST_Assets!$L$14),VST_Assets!$L$14*Y$4,INDEX(Prices!Y:Y,VST_Assets!$AO$14)+FuelAdder*Y$4)</f>
        <v>5.75440413148481</v>
      </c>
      <c r="Z400" s="7" t="n">
        <f aca="false">IF(ISNUMBER(VST_Assets!$L$14),VST_Assets!$L$14*Z$4,INDEX(Prices!Z:Z,VST_Assets!$AO$14)+FuelAdder*Z$4)</f>
        <v>5.8694922141145</v>
      </c>
      <c r="AA400" s="7" t="n">
        <f aca="false">IF(ISNUMBER(VST_Assets!$L$14),VST_Assets!$L$14*AA$4,INDEX(Prices!AA:AA,VST_Assets!$AO$14)+FuelAdder*AA$4)</f>
        <v>5.98688205839679</v>
      </c>
      <c r="AB400" s="7" t="n">
        <f aca="false">IF(ISNUMBER(VST_Assets!$L$14),VST_Assets!$L$14*AB$4,INDEX(Prices!AB:AB,VST_Assets!$AO$14)+FuelAdder*AB$4)</f>
        <v>6.10661969956473</v>
      </c>
      <c r="AC400" s="7" t="n">
        <f aca="false">IF(ISNUMBER(VST_Assets!$L$14),VST_Assets!$L$14*AC$4,INDEX(Prices!AC:AC,VST_Assets!$AO$14)+FuelAdder*AC$4)</f>
        <v>6.22875209355602</v>
      </c>
      <c r="AD400" s="7" t="n">
        <f aca="false">IF(ISNUMBER(VST_Assets!$L$14),VST_Assets!$L$14*AD$4,INDEX(Prices!AD:AD,VST_Assets!$AO$14)+FuelAdder*AD$4)</f>
        <v>6.35332713542714</v>
      </c>
      <c r="AE400" s="7" t="n">
        <f aca="false">IF(ISNUMBER(VST_Assets!$L$14),VST_Assets!$L$14*AE$4,INDEX(Prices!AE:AE,VST_Assets!$AO$14)+FuelAdder*AE$4)</f>
        <v>6.48039367813569</v>
      </c>
      <c r="AF400" s="7" t="n">
        <f aca="false">IF(ISNUMBER(VST_Assets!$L$14),VST_Assets!$L$14*AF$4,INDEX(Prices!AF:AF,VST_Assets!$AO$14)+FuelAdder*AF$4)</f>
        <v>6.6100015516984</v>
      </c>
      <c r="AG400" s="7" t="n">
        <f aca="false">IF(ISNUMBER(VST_Assets!$L$14),VST_Assets!$L$14*AG$4,INDEX(Prices!AG:AG,VST_Assets!$AO$14)+FuelAdder*AG$4)</f>
        <v>6.74220158273237</v>
      </c>
      <c r="AH400" s="7" t="n">
        <f aca="false">IF(ISNUMBER(VST_Assets!$L$14),VST_Assets!$L$14*AH$4,INDEX(Prices!AH:AH,VST_Assets!$AO$14)+FuelAdder*AH$4)</f>
        <v>6.87704561438702</v>
      </c>
      <c r="AI400" s="7" t="n">
        <f aca="false">IF(ISNUMBER(VST_Assets!$L$14),VST_Assets!$L$14*AI$4,INDEX(Prices!AI:AI,VST_Assets!$AO$14)+FuelAdder*AI$4)</f>
        <v>7.01458652667476</v>
      </c>
      <c r="AJ400" s="7" t="n">
        <f aca="false">IF(ISNUMBER(VST_Assets!$L$14),VST_Assets!$L$14*AJ$4,INDEX(Prices!AJ:AJ,VST_Assets!$AO$14)+FuelAdder*AJ$4)</f>
        <v>7.15487825720825</v>
      </c>
      <c r="AK400" s="7" t="n">
        <f aca="false">IF(ISNUMBER(VST_Assets!$L$14),VST_Assets!$L$14*AK$4,INDEX(Prices!AK:AK,VST_Assets!$AO$14)+FuelAdder*AK$4)</f>
        <v>7.29797582235242</v>
      </c>
      <c r="AL400" s="7" t="n">
        <f aca="false">IF(ISNUMBER(VST_Assets!$L$14),VST_Assets!$L$14*AL$4,INDEX(Prices!AL:AL,VST_Assets!$AO$14)+FuelAdder*AL$4)</f>
        <v>7.44393533879947</v>
      </c>
      <c r="AM400" s="7" t="n">
        <f aca="false">IF(ISNUMBER(VST_Assets!$L$14),VST_Assets!$L$14*AM$4,INDEX(Prices!AM:AM,VST_Assets!$AO$14)+FuelAdder*AM$4)</f>
        <v>7.59281404557545</v>
      </c>
      <c r="AN400" s="7" t="n">
        <f aca="false">IF(ISNUMBER(VST_Assets!$L$14),VST_Assets!$L$14*AN$4,INDEX(Prices!AN:AN,VST_Assets!$AO$14)+FuelAdder*AN$4)</f>
        <v>7.74467032648696</v>
      </c>
      <c r="AO400" s="7" t="n">
        <f aca="false">IF(ISNUMBER(VST_Assets!$L$14),VST_Assets!$L$14*AO$4,INDEX(Prices!AO:AO,VST_Assets!$AO$14)+FuelAdder*AO$4)</f>
        <v>7.8995637330167</v>
      </c>
      <c r="AP400" s="7" t="n">
        <f aca="false">IF(ISNUMBER(VST_Assets!$L$14),VST_Assets!$L$14*AP$4,INDEX(Prices!AP:AP,VST_Assets!$AO$14)+FuelAdder*AP$4)</f>
        <v>8.05755500767704</v>
      </c>
      <c r="AQ400" s="7" t="n">
        <f aca="false">IF(ISNUMBER(VST_Assets!$L$14),VST_Assets!$L$14*AQ$4,INDEX(Prices!AQ:AQ,VST_Assets!$AO$14)+FuelAdder*AQ$4)</f>
        <v>8.21870610783058</v>
      </c>
      <c r="AR400" s="7" t="n">
        <f aca="false">IF(ISNUMBER(VST_Assets!$L$14),VST_Assets!$L$14*AR$4,INDEX(Prices!AR:AR,VST_Assets!$AO$14)+FuelAdder*AR$4)</f>
        <v>8.38308022998719</v>
      </c>
      <c r="AS400" s="7" t="n">
        <f aca="false">IF(ISNUMBER(VST_Assets!$L$14),VST_Assets!$L$14*AS$4,INDEX(Prices!AS:AS,VST_Assets!$AO$14)+FuelAdder*AS$4)</f>
        <v>8.55074183458693</v>
      </c>
    </row>
    <row r="401" customFormat="false" ht="15" hidden="false" customHeight="false" outlineLevel="0" collapsed="false">
      <c r="A401" s="6" t="s">
        <v>435</v>
      </c>
      <c r="B401" s="6" t="s">
        <v>436</v>
      </c>
      <c r="G401" s="7" t="n">
        <f aca="false">INDEX(Prices!G:G,VST_Assets!$AN$14)*VST_Assets!$J$14-VST_Assets!$K$14*G400-VST_Assets!$M$14*G$4</f>
        <v>42.7737</v>
      </c>
      <c r="H401" s="7" t="n">
        <f aca="false">INDEX(Prices!H:H,VST_Assets!$AN$14)*VST_Assets!$J$14-VST_Assets!$K$14*H400-VST_Assets!$M$14*H$4</f>
        <v>43.180374</v>
      </c>
      <c r="I401" s="7" t="n">
        <f aca="false">INDEX(Prices!I:I,VST_Assets!$AN$14)*VST_Assets!$J$14-VST_Assets!$K$14*I400-VST_Assets!$M$14*I$4</f>
        <v>35.657286378</v>
      </c>
      <c r="J401" s="7" t="n">
        <f aca="false">INDEX(Prices!J:J,VST_Assets!$AN$14)*VST_Assets!$J$14-VST_Assets!$K$14*J400-VST_Assets!$M$14*J$4</f>
        <v>33.20306529192</v>
      </c>
      <c r="K401" s="7" t="n">
        <f aca="false">INDEX(Prices!K:K,VST_Assets!$AN$14)*VST_Assets!$J$14-VST_Assets!$K$14*K400-VST_Assets!$M$14*K$4</f>
        <v>33.8671265977584</v>
      </c>
      <c r="L401" s="7" t="n">
        <f aca="false">INDEX(Prices!L:L,VST_Assets!$AN$14)*VST_Assets!$J$14-VST_Assets!$K$14*L400-VST_Assets!$M$14*L$4</f>
        <v>34.5444691297136</v>
      </c>
      <c r="M401" s="7" t="n">
        <f aca="false">INDEX(Prices!M:M,VST_Assets!$AN$14)*VST_Assets!$J$14-VST_Assets!$K$14*M400-VST_Assets!$M$14*M$4</f>
        <v>35.2353585123078</v>
      </c>
      <c r="N401" s="7" t="n">
        <f aca="false">INDEX(Prices!N:N,VST_Assets!$AN$14)*VST_Assets!$J$14-VST_Assets!$K$14*N400-VST_Assets!$M$14*N$4</f>
        <v>35.940065682554</v>
      </c>
      <c r="O401" s="7" t="n">
        <f aca="false">INDEX(Prices!O:O,VST_Assets!$AN$14)*VST_Assets!$J$14-VST_Assets!$K$14*O400-VST_Assets!$M$14*O$4</f>
        <v>36.6588669962051</v>
      </c>
      <c r="P401" s="7" t="n">
        <f aca="false">INDEX(Prices!P:P,VST_Assets!$AN$14)*VST_Assets!$J$14-VST_Assets!$K$14*P400-VST_Assets!$M$14*P$4</f>
        <v>37.3920443361292</v>
      </c>
      <c r="Q401" s="7" t="n">
        <f aca="false">INDEX(Prices!Q:Q,VST_Assets!$AN$14)*VST_Assets!$J$14-VST_Assets!$K$14*Q400-VST_Assets!$M$14*Q$4</f>
        <v>38.1398852228518</v>
      </c>
      <c r="R401" s="7" t="n">
        <f aca="false">INDEX(Prices!R:R,VST_Assets!$AN$14)*VST_Assets!$J$14-VST_Assets!$K$14*R400-VST_Assets!$M$14*R$4</f>
        <v>38.9026829273088</v>
      </c>
      <c r="S401" s="7" t="n">
        <f aca="false">INDEX(Prices!S:S,VST_Assets!$AN$14)*VST_Assets!$J$14-VST_Assets!$K$14*S400-VST_Assets!$M$14*S$4</f>
        <v>39.680736585855</v>
      </c>
      <c r="T401" s="7" t="n">
        <f aca="false">INDEX(Prices!T:T,VST_Assets!$AN$14)*VST_Assets!$J$14-VST_Assets!$K$14*T400-VST_Assets!$M$14*T$4</f>
        <v>40.4743513175721</v>
      </c>
      <c r="U401" s="7" t="n">
        <f aca="false">INDEX(Prices!U:U,VST_Assets!$AN$14)*VST_Assets!$J$14-VST_Assets!$K$14*U400-VST_Assets!$M$14*U$4</f>
        <v>41.2838383439235</v>
      </c>
      <c r="V401" s="7" t="n">
        <f aca="false">INDEX(Prices!V:V,VST_Assets!$AN$14)*VST_Assets!$J$14-VST_Assets!$K$14*V400-VST_Assets!$M$14*V$4</f>
        <v>42.109515110802</v>
      </c>
      <c r="W401" s="7" t="n">
        <f aca="false">INDEX(Prices!W:W,VST_Assets!$AN$14)*VST_Assets!$J$14-VST_Assets!$K$14*W400-VST_Assets!$M$14*W$4</f>
        <v>42.9517054130181</v>
      </c>
      <c r="X401" s="7" t="n">
        <f aca="false">INDEX(Prices!X:X,VST_Assets!$AN$14)*VST_Assets!$J$14-VST_Assets!$K$14*X400-VST_Assets!$M$14*X$4</f>
        <v>43.8107395212784</v>
      </c>
      <c r="Y401" s="7" t="n">
        <f aca="false">INDEX(Prices!Y:Y,VST_Assets!$AN$14)*VST_Assets!$J$14-VST_Assets!$K$14*Y400-VST_Assets!$M$14*Y$4</f>
        <v>44.686954311704</v>
      </c>
      <c r="Z401" s="7" t="n">
        <f aca="false">INDEX(Prices!Z:Z,VST_Assets!$AN$14)*VST_Assets!$J$14-VST_Assets!$K$14*Z400-VST_Assets!$M$14*Z$4</f>
        <v>45.5806933979381</v>
      </c>
      <c r="AA401" s="7" t="n">
        <f aca="false">INDEX(Prices!AA:AA,VST_Assets!$AN$14)*VST_Assets!$J$14-VST_Assets!$K$14*AA400-VST_Assets!$M$14*AA$4</f>
        <v>46.4923072658968</v>
      </c>
      <c r="AB401" s="7" t="n">
        <f aca="false">INDEX(Prices!AB:AB,VST_Assets!$AN$14)*VST_Assets!$J$14-VST_Assets!$K$14*AB400-VST_Assets!$M$14*AB$4</f>
        <v>47.4221534112147</v>
      </c>
      <c r="AC401" s="7" t="n">
        <f aca="false">INDEX(Prices!AC:AC,VST_Assets!$AN$14)*VST_Assets!$J$14-VST_Assets!$K$14*AC400-VST_Assets!$M$14*AC$4</f>
        <v>48.3705964794391</v>
      </c>
      <c r="AD401" s="7" t="n">
        <f aca="false">INDEX(Prices!AD:AD,VST_Assets!$AN$14)*VST_Assets!$J$14-VST_Assets!$K$14*AD400-VST_Assets!$M$14*AD$4</f>
        <v>49.3380084090278</v>
      </c>
      <c r="AE401" s="7" t="n">
        <f aca="false">INDEX(Prices!AE:AE,VST_Assets!$AN$14)*VST_Assets!$J$14-VST_Assets!$K$14*AE400-VST_Assets!$M$14*AE$4</f>
        <v>50.3247685772084</v>
      </c>
      <c r="AF401" s="7" t="n">
        <f aca="false">INDEX(Prices!AF:AF,VST_Assets!$AN$14)*VST_Assets!$J$14-VST_Assets!$K$14*AF400-VST_Assets!$M$14*AF$4</f>
        <v>51.3312639487526</v>
      </c>
      <c r="AG401" s="7" t="n">
        <f aca="false">INDEX(Prices!AG:AG,VST_Assets!$AN$14)*VST_Assets!$J$14-VST_Assets!$K$14*AG400-VST_Assets!$M$14*AG$4</f>
        <v>52.3578892277276</v>
      </c>
      <c r="AH401" s="7" t="n">
        <f aca="false">INDEX(Prices!AH:AH,VST_Assets!$AN$14)*VST_Assets!$J$14-VST_Assets!$K$14*AH400-VST_Assets!$M$14*AH$4</f>
        <v>53.4050470122822</v>
      </c>
      <c r="AI401" s="7" t="n">
        <f aca="false">INDEX(Prices!AI:AI,VST_Assets!$AN$14)*VST_Assets!$J$14-VST_Assets!$K$14*AI400-VST_Assets!$M$14*AI$4</f>
        <v>54.4731479525278</v>
      </c>
      <c r="AJ401" s="7" t="n">
        <f aca="false">INDEX(Prices!AJ:AJ,VST_Assets!$AN$14)*VST_Assets!$J$14-VST_Assets!$K$14*AJ400-VST_Assets!$M$14*AJ$4</f>
        <v>55.5626109115784</v>
      </c>
      <c r="AK401" s="7" t="n">
        <f aca="false">INDEX(Prices!AK:AK,VST_Assets!$AN$14)*VST_Assets!$J$14-VST_Assets!$K$14*AK400-VST_Assets!$M$14*AK$4</f>
        <v>56.6738631298099</v>
      </c>
      <c r="AL401" s="7" t="n">
        <f aca="false">INDEX(Prices!AL:AL,VST_Assets!$AN$14)*VST_Assets!$J$14-VST_Assets!$K$14*AL400-VST_Assets!$M$14*AL$4</f>
        <v>57.8073403924061</v>
      </c>
      <c r="AM401" s="7" t="n">
        <f aca="false">INDEX(Prices!AM:AM,VST_Assets!$AN$14)*VST_Assets!$J$14-VST_Assets!$K$14*AM400-VST_Assets!$M$14*AM$4</f>
        <v>58.9634872002543</v>
      </c>
      <c r="AN401" s="7" t="n">
        <f aca="false">INDEX(Prices!AN:AN,VST_Assets!$AN$14)*VST_Assets!$J$14-VST_Assets!$K$14*AN400-VST_Assets!$M$14*AN$4</f>
        <v>60.1427569442594</v>
      </c>
      <c r="AO401" s="7" t="n">
        <f aca="false">INDEX(Prices!AO:AO,VST_Assets!$AN$14)*VST_Assets!$J$14-VST_Assets!$K$14*AO400-VST_Assets!$M$14*AO$4</f>
        <v>61.3456120831445</v>
      </c>
      <c r="AP401" s="7" t="n">
        <f aca="false">INDEX(Prices!AP:AP,VST_Assets!$AN$14)*VST_Assets!$J$14-VST_Assets!$K$14*AP400-VST_Assets!$M$14*AP$4</f>
        <v>62.5725243248074</v>
      </c>
      <c r="AQ401" s="7" t="n">
        <f aca="false">INDEX(Prices!AQ:AQ,VST_Assets!$AN$14)*VST_Assets!$J$14-VST_Assets!$K$14*AQ400-VST_Assets!$M$14*AQ$4</f>
        <v>63.8239748113036</v>
      </c>
      <c r="AR401" s="7" t="n">
        <f aca="false">INDEX(Prices!AR:AR,VST_Assets!$AN$14)*VST_Assets!$J$14-VST_Assets!$K$14*AR400-VST_Assets!$M$14*AR$4</f>
        <v>65.1004543075296</v>
      </c>
      <c r="AS401" s="7" t="n">
        <f aca="false">INDEX(Prices!AS:AS,VST_Assets!$AN$14)*VST_Assets!$J$14-VST_Assets!$K$14*AS400-VST_Assets!$M$14*AS$4</f>
        <v>66.4024633936802</v>
      </c>
    </row>
    <row r="402" customFormat="false" ht="15" hidden="false" customHeight="false" outlineLevel="0" collapsed="false">
      <c r="A402" s="6" t="s">
        <v>437</v>
      </c>
      <c r="B402" s="6" t="s">
        <v>438</v>
      </c>
      <c r="G402" s="47" t="n">
        <f aca="false">IF(VST_Assets!$X$14=1,IF(G401&gt;0,1,0),1)</f>
        <v>1</v>
      </c>
      <c r="H402" s="47" t="n">
        <f aca="false">IF(VST_Assets!$X$14=1,IF(H401&gt;0,1,0),1)</f>
        <v>1</v>
      </c>
      <c r="I402" s="47" t="n">
        <f aca="false">IF(VST_Assets!$X$14=1,IF(I401&gt;0,1,0),1)</f>
        <v>1</v>
      </c>
      <c r="J402" s="47" t="n">
        <f aca="false">IF(VST_Assets!$X$14=1,IF(J401&gt;0,1,0),1)</f>
        <v>1</v>
      </c>
      <c r="K402" s="47" t="n">
        <f aca="false">IF(VST_Assets!$X$14=1,IF(K401&gt;0,1,0),1)</f>
        <v>1</v>
      </c>
      <c r="L402" s="47" t="n">
        <f aca="false">IF(VST_Assets!$X$14=1,IF(L401&gt;0,1,0),1)</f>
        <v>1</v>
      </c>
      <c r="M402" s="47" t="n">
        <f aca="false">IF(VST_Assets!$X$14=1,IF(M401&gt;0,1,0),1)</f>
        <v>1</v>
      </c>
      <c r="N402" s="47" t="n">
        <f aca="false">IF(VST_Assets!$X$14=1,IF(N401&gt;0,1,0),1)</f>
        <v>1</v>
      </c>
      <c r="O402" s="47" t="n">
        <f aca="false">IF(VST_Assets!$X$14=1,IF(O401&gt;0,1,0),1)</f>
        <v>1</v>
      </c>
      <c r="P402" s="47" t="n">
        <f aca="false">IF(VST_Assets!$X$14=1,IF(P401&gt;0,1,0),1)</f>
        <v>1</v>
      </c>
      <c r="Q402" s="47" t="n">
        <f aca="false">IF(VST_Assets!$X$14=1,IF(Q401&gt;0,1,0),1)</f>
        <v>1</v>
      </c>
      <c r="R402" s="47" t="n">
        <f aca="false">IF(VST_Assets!$X$14=1,IF(R401&gt;0,1,0),1)</f>
        <v>1</v>
      </c>
      <c r="S402" s="47" t="n">
        <f aca="false">IF(VST_Assets!$X$14=1,IF(S401&gt;0,1,0),1)</f>
        <v>1</v>
      </c>
      <c r="T402" s="47" t="n">
        <f aca="false">IF(VST_Assets!$X$14=1,IF(T401&gt;0,1,0),1)</f>
        <v>1</v>
      </c>
      <c r="U402" s="47" t="n">
        <f aca="false">IF(VST_Assets!$X$14=1,IF(U401&gt;0,1,0),1)</f>
        <v>1</v>
      </c>
      <c r="V402" s="47" t="n">
        <f aca="false">IF(VST_Assets!$X$14=1,IF(V401&gt;0,1,0),1)</f>
        <v>1</v>
      </c>
      <c r="W402" s="47" t="n">
        <f aca="false">IF(VST_Assets!$X$14=1,IF(W401&gt;0,1,0),1)</f>
        <v>1</v>
      </c>
      <c r="X402" s="47" t="n">
        <f aca="false">IF(VST_Assets!$X$14=1,IF(X401&gt;0,1,0),1)</f>
        <v>1</v>
      </c>
      <c r="Y402" s="47" t="n">
        <f aca="false">IF(VST_Assets!$X$14=1,IF(Y401&gt;0,1,0),1)</f>
        <v>1</v>
      </c>
      <c r="Z402" s="47" t="n">
        <f aca="false">IF(VST_Assets!$X$14=1,IF(Z401&gt;0,1,0),1)</f>
        <v>1</v>
      </c>
      <c r="AA402" s="47" t="n">
        <f aca="false">IF(VST_Assets!$X$14=1,IF(AA401&gt;0,1,0),1)</f>
        <v>1</v>
      </c>
      <c r="AB402" s="47" t="n">
        <f aca="false">IF(VST_Assets!$X$14=1,IF(AB401&gt;0,1,0),1)</f>
        <v>1</v>
      </c>
      <c r="AC402" s="47" t="n">
        <f aca="false">IF(VST_Assets!$X$14=1,IF(AC401&gt;0,1,0),1)</f>
        <v>1</v>
      </c>
      <c r="AD402" s="47" t="n">
        <f aca="false">IF(VST_Assets!$X$14=1,IF(AD401&gt;0,1,0),1)</f>
        <v>1</v>
      </c>
      <c r="AE402" s="47" t="n">
        <f aca="false">IF(VST_Assets!$X$14=1,IF(AE401&gt;0,1,0),1)</f>
        <v>1</v>
      </c>
      <c r="AF402" s="47" t="n">
        <f aca="false">IF(VST_Assets!$X$14=1,IF(AF401&gt;0,1,0),1)</f>
        <v>1</v>
      </c>
      <c r="AG402" s="47" t="n">
        <f aca="false">IF(VST_Assets!$X$14=1,IF(AG401&gt;0,1,0),1)</f>
        <v>1</v>
      </c>
      <c r="AH402" s="47" t="n">
        <f aca="false">IF(VST_Assets!$X$14=1,IF(AH401&gt;0,1,0),1)</f>
        <v>1</v>
      </c>
      <c r="AI402" s="47" t="n">
        <f aca="false">IF(VST_Assets!$X$14=1,IF(AI401&gt;0,1,0),1)</f>
        <v>1</v>
      </c>
      <c r="AJ402" s="47" t="n">
        <f aca="false">IF(VST_Assets!$X$14=1,IF(AJ401&gt;0,1,0),1)</f>
        <v>1</v>
      </c>
      <c r="AK402" s="47" t="n">
        <f aca="false">IF(VST_Assets!$X$14=1,IF(AK401&gt;0,1,0),1)</f>
        <v>1</v>
      </c>
      <c r="AL402" s="47" t="n">
        <f aca="false">IF(VST_Assets!$X$14=1,IF(AL401&gt;0,1,0),1)</f>
        <v>1</v>
      </c>
      <c r="AM402" s="47" t="n">
        <f aca="false">IF(VST_Assets!$X$14=1,IF(AM401&gt;0,1,0),1)</f>
        <v>1</v>
      </c>
      <c r="AN402" s="47" t="n">
        <f aca="false">IF(VST_Assets!$X$14=1,IF(AN401&gt;0,1,0),1)</f>
        <v>1</v>
      </c>
      <c r="AO402" s="47" t="n">
        <f aca="false">IF(VST_Assets!$X$14=1,IF(AO401&gt;0,1,0),1)</f>
        <v>1</v>
      </c>
      <c r="AP402" s="47" t="n">
        <f aca="false">IF(VST_Assets!$X$14=1,IF(AP401&gt;0,1,0),1)</f>
        <v>1</v>
      </c>
      <c r="AQ402" s="47" t="n">
        <f aca="false">IF(VST_Assets!$X$14=1,IF(AQ401&gt;0,1,0),1)</f>
        <v>1</v>
      </c>
      <c r="AR402" s="47" t="n">
        <f aca="false">IF(VST_Assets!$X$14=1,IF(AR401&gt;0,1,0),1)</f>
        <v>1</v>
      </c>
      <c r="AS402" s="47" t="n">
        <f aca="false">IF(VST_Assets!$X$14=1,IF(AS401&gt;0,1,0),1)</f>
        <v>1</v>
      </c>
    </row>
    <row r="403" customFormat="false" ht="15" hidden="false" customHeight="false" outlineLevel="0" collapsed="false">
      <c r="A403" s="6" t="s">
        <v>439</v>
      </c>
      <c r="B403" s="6" t="s">
        <v>440</v>
      </c>
      <c r="C403" s="9" t="n">
        <f aca="false">SUM(G403:AS403)</f>
        <v>32555.9053775411</v>
      </c>
      <c r="G403" s="8" t="n">
        <f aca="false">G398*INDEX(Prices!G:G,VST_Assets!$AN$14)*VST_Assets!$J$14*G402/1000000*(1+VST_RevAdj)</f>
        <v>1238.41872</v>
      </c>
      <c r="H403" s="8" t="n">
        <f aca="false">H398*INDEX(Prices!H:H,VST_Assets!$AN$14)*VST_Assets!$J$14*H402/1000000*(1+VST_RevAdj)</f>
        <v>1255.61898</v>
      </c>
      <c r="I403" s="8" t="n">
        <f aca="false">I398*INDEX(Prices!I:I,VST_Assets!$AN$14)*VST_Assets!$J$14*I402/1000000*(1+VST_RevAdj)</f>
        <v>1151.65417394273</v>
      </c>
      <c r="J403" s="8" t="n">
        <f aca="false">J398*INDEX(Prices!J:J,VST_Assets!$AN$14)*VST_Assets!$J$14*J402/1000000*(1+VST_RevAdj)</f>
        <v>1121.27595084318</v>
      </c>
      <c r="K403" s="8" t="n">
        <f aca="false">K398*INDEX(Prices!K:K,VST_Assets!$AN$14)*VST_Assets!$J$14*K402/1000000*(1+VST_RevAdj)</f>
        <v>1143.70146986004</v>
      </c>
      <c r="L403" s="8" t="n">
        <f aca="false">L398*INDEX(Prices!L:L,VST_Assets!$AN$14)*VST_Assets!$J$14*L402/1000000*(1+VST_RevAdj)</f>
        <v>1166.57549925724</v>
      </c>
      <c r="M403" s="8" t="n">
        <f aca="false">M398*INDEX(Prices!M:M,VST_Assets!$AN$14)*VST_Assets!$J$14*M402/1000000*(1+VST_RevAdj)</f>
        <v>1189.90700924239</v>
      </c>
      <c r="N403" s="8" t="n">
        <f aca="false">N398*INDEX(Prices!N:N,VST_Assets!$AN$14)*VST_Assets!$J$14*N402/1000000*(1+VST_RevAdj)</f>
        <v>1213.70514942723</v>
      </c>
      <c r="O403" s="8" t="n">
        <f aca="false">O398*INDEX(Prices!O:O,VST_Assets!$AN$14)*VST_Assets!$J$14*O402/1000000*(1+VST_RevAdj)</f>
        <v>1237.97925241578</v>
      </c>
      <c r="P403" s="8" t="n">
        <f aca="false">P398*INDEX(Prices!P:P,VST_Assets!$AN$14)*VST_Assets!$J$14*P402/1000000*(1+VST_RevAdj)</f>
        <v>1262.73883746409</v>
      </c>
      <c r="Q403" s="8" t="n">
        <f aca="false">Q398*INDEX(Prices!Q:Q,VST_Assets!$AN$14)*VST_Assets!$J$14*Q402/1000000*(1+VST_RevAdj)</f>
        <v>1287.99361421338</v>
      </c>
      <c r="R403" s="8" t="n">
        <f aca="false">R398*INDEX(Prices!R:R,VST_Assets!$AN$14)*VST_Assets!$J$14*R402/1000000*(1+VST_RevAdj)</f>
        <v>1313.75348649764</v>
      </c>
      <c r="S403" s="8" t="n">
        <f aca="false">S398*INDEX(Prices!S:S,VST_Assets!$AN$14)*VST_Assets!$J$14*S402/1000000*(1+VST_RevAdj)</f>
        <v>1340.0285562276</v>
      </c>
      <c r="T403" s="8" t="n">
        <f aca="false">T398*INDEX(Prices!T:T,VST_Assets!$AN$14)*VST_Assets!$J$14*T402/1000000*(1+VST_RevAdj)</f>
        <v>1366.82912735215</v>
      </c>
      <c r="U403" s="8" t="n">
        <f aca="false">U398*INDEX(Prices!U:U,VST_Assets!$AN$14)*VST_Assets!$J$14*U402/1000000*(1+VST_RevAdj)</f>
        <v>1394.16570989919</v>
      </c>
      <c r="V403" s="8" t="n">
        <f aca="false">V398*INDEX(Prices!V:V,VST_Assets!$AN$14)*VST_Assets!$J$14*V402/1000000*(1+VST_RevAdj)</f>
        <v>1422.04902409718</v>
      </c>
      <c r="W403" s="8" t="n">
        <f aca="false">W398*INDEX(Prices!W:W,VST_Assets!$AN$14)*VST_Assets!$J$14*W402/1000000*(1+VST_RevAdj)</f>
        <v>1450.49000457912</v>
      </c>
      <c r="X403" s="8" t="n">
        <f aca="false">X398*INDEX(Prices!X:X,VST_Assets!$AN$14)*VST_Assets!$J$14*X402/1000000*(1+VST_RevAdj)</f>
        <v>1479.4998046707</v>
      </c>
      <c r="Y403" s="8" t="n">
        <f aca="false">Y398*INDEX(Prices!Y:Y,VST_Assets!$AN$14)*VST_Assets!$J$14*Y402/1000000*(1+VST_RevAdj)</f>
        <v>1509.08980076412</v>
      </c>
      <c r="Z403" s="8" t="n">
        <f aca="false">Z398*INDEX(Prices!Z:Z,VST_Assets!$AN$14)*VST_Assets!$J$14*Z402/1000000*(1+VST_RevAdj)</f>
        <v>1539.2715967794</v>
      </c>
      <c r="AA403" s="8" t="n">
        <f aca="false">AA398*INDEX(Prices!AA:AA,VST_Assets!$AN$14)*VST_Assets!$J$14*AA402/1000000*(1+VST_RevAdj)</f>
        <v>1570.05702871499</v>
      </c>
      <c r="AB403" s="8" t="n">
        <f aca="false">AB398*INDEX(Prices!AB:AB,VST_Assets!$AN$14)*VST_Assets!$J$14*AB402/1000000*(1+VST_RevAdj)</f>
        <v>1601.45816928929</v>
      </c>
      <c r="AC403" s="8" t="n">
        <f aca="false">AC398*INDEX(Prices!AC:AC,VST_Assets!$AN$14)*VST_Assets!$J$14*AC402/1000000*(1+VST_RevAdj)</f>
        <v>1633.48733267507</v>
      </c>
      <c r="AD403" s="8" t="n">
        <f aca="false">AD398*INDEX(Prices!AD:AD,VST_Assets!$AN$14)*VST_Assets!$J$14*AD402/1000000*(1+VST_RevAdj)</f>
        <v>1666.15707932857</v>
      </c>
      <c r="AE403" s="8" t="n">
        <f aca="false">AE398*INDEX(Prices!AE:AE,VST_Assets!$AN$14)*VST_Assets!$J$14*AE402/1000000*(1+VST_RevAdj)</f>
        <v>0</v>
      </c>
      <c r="AF403" s="8" t="n">
        <f aca="false">AF398*INDEX(Prices!AF:AF,VST_Assets!$AN$14)*VST_Assets!$J$14*AF402/1000000*(1+VST_RevAdj)</f>
        <v>0</v>
      </c>
      <c r="AG403" s="8" t="n">
        <f aca="false">AG398*INDEX(Prices!AG:AG,VST_Assets!$AN$14)*VST_Assets!$J$14*AG402/1000000*(1+VST_RevAdj)</f>
        <v>0</v>
      </c>
      <c r="AH403" s="8" t="n">
        <f aca="false">AH398*INDEX(Prices!AH:AH,VST_Assets!$AN$14)*VST_Assets!$J$14*AH402/1000000*(1+VST_RevAdj)</f>
        <v>0</v>
      </c>
      <c r="AI403" s="8" t="n">
        <f aca="false">AI398*INDEX(Prices!AI:AI,VST_Assets!$AN$14)*VST_Assets!$J$14*AI402/1000000*(1+VST_RevAdj)</f>
        <v>0</v>
      </c>
      <c r="AJ403" s="8" t="n">
        <f aca="false">AJ398*INDEX(Prices!AJ:AJ,VST_Assets!$AN$14)*VST_Assets!$J$14*AJ402/1000000*(1+VST_RevAdj)</f>
        <v>0</v>
      </c>
      <c r="AK403" s="8" t="n">
        <f aca="false">AK398*INDEX(Prices!AK:AK,VST_Assets!$AN$14)*VST_Assets!$J$14*AK402/1000000*(1+VST_RevAdj)</f>
        <v>0</v>
      </c>
      <c r="AL403" s="8" t="n">
        <f aca="false">AL398*INDEX(Prices!AL:AL,VST_Assets!$AN$14)*VST_Assets!$J$14*AL402/1000000*(1+VST_RevAdj)</f>
        <v>0</v>
      </c>
      <c r="AM403" s="8" t="n">
        <f aca="false">AM398*INDEX(Prices!AM:AM,VST_Assets!$AN$14)*VST_Assets!$J$14*AM402/1000000*(1+VST_RevAdj)</f>
        <v>0</v>
      </c>
      <c r="AN403" s="8" t="n">
        <f aca="false">AN398*INDEX(Prices!AN:AN,VST_Assets!$AN$14)*VST_Assets!$J$14*AN402/1000000*(1+VST_RevAdj)</f>
        <v>0</v>
      </c>
      <c r="AO403" s="8" t="n">
        <f aca="false">AO398*INDEX(Prices!AO:AO,VST_Assets!$AN$14)*VST_Assets!$J$14*AO402/1000000*(1+VST_RevAdj)</f>
        <v>0</v>
      </c>
      <c r="AP403" s="8" t="n">
        <f aca="false">AP398*INDEX(Prices!AP:AP,VST_Assets!$AN$14)*VST_Assets!$J$14*AP402/1000000*(1+VST_RevAdj)</f>
        <v>0</v>
      </c>
      <c r="AQ403" s="8" t="n">
        <f aca="false">AQ398*INDEX(Prices!AQ:AQ,VST_Assets!$AN$14)*VST_Assets!$J$14*AQ402/1000000*(1+VST_RevAdj)</f>
        <v>0</v>
      </c>
      <c r="AR403" s="8" t="n">
        <f aca="false">AR398*INDEX(Prices!AR:AR,VST_Assets!$AN$14)*VST_Assets!$J$14*AR402/1000000*(1+VST_RevAdj)</f>
        <v>0</v>
      </c>
      <c r="AS403" s="8" t="n">
        <f aca="false">AS398*INDEX(Prices!AS:AS,VST_Assets!$AN$14)*VST_Assets!$J$14*AS402/1000000*(1+VST_RevAdj)</f>
        <v>0</v>
      </c>
    </row>
    <row r="404" customFormat="false" ht="15" hidden="false" customHeight="false" outlineLevel="0" collapsed="false">
      <c r="A404" s="6" t="s">
        <v>441</v>
      </c>
      <c r="B404" s="6" t="s">
        <v>442</v>
      </c>
      <c r="C404" s="9" t="n">
        <f aca="false">SUM(G404:AS404)</f>
        <v>8063.94296787791</v>
      </c>
      <c r="G404" s="8" t="n">
        <f aca="false">(VST_Assets!$D$14-G397)*INDEX(Prices!G:G,VST_Assets!$AP$14)*365*VST_Assets!$T$14*G396/1000000*(1+VST_RevAdj)</f>
        <v>363.5308677</v>
      </c>
      <c r="H404" s="8" t="n">
        <f aca="false">(VST_Assets!$D$14-H397)*INDEX(Prices!H:H,VST_Assets!$AP$14)*365*VST_Assets!$T$14*H396/1000000*(1+VST_RevAdj)</f>
        <v>360.0891294</v>
      </c>
      <c r="I404" s="8" t="n">
        <f aca="false">(VST_Assets!$D$14-I397)*INDEX(Prices!I:I,VST_Assets!$AP$14)*365*VST_Assets!$T$14*I396/1000000*(1+VST_RevAdj)</f>
        <v>304.4901562703</v>
      </c>
      <c r="J404" s="8" t="n">
        <f aca="false">(VST_Assets!$D$14-J397)*INDEX(Prices!J:J,VST_Assets!$AP$14)*365*VST_Assets!$T$14*J396/1000000*(1+VST_RevAdj)</f>
        <v>272.883150035496</v>
      </c>
      <c r="K404" s="8" t="n">
        <f aca="false">(VST_Assets!$D$14-K397)*INDEX(Prices!K:K,VST_Assets!$AP$14)*365*VST_Assets!$T$14*K396/1000000*(1+VST_RevAdj)</f>
        <v>278.340813036206</v>
      </c>
      <c r="L404" s="8" t="n">
        <f aca="false">(VST_Assets!$D$14-L397)*INDEX(Prices!L:L,VST_Assets!$AP$14)*365*VST_Assets!$T$14*L396/1000000*(1+VST_RevAdj)</f>
        <v>283.90762929693</v>
      </c>
      <c r="M404" s="8" t="n">
        <f aca="false">(VST_Assets!$D$14-M397)*INDEX(Prices!M:M,VST_Assets!$AP$14)*365*VST_Assets!$T$14*M396/1000000*(1+VST_RevAdj)</f>
        <v>289.585781882869</v>
      </c>
      <c r="N404" s="8" t="n">
        <f aca="false">(VST_Assets!$D$14-N397)*INDEX(Prices!N:N,VST_Assets!$AP$14)*365*VST_Assets!$T$14*N396/1000000*(1+VST_RevAdj)</f>
        <v>295.377497520526</v>
      </c>
      <c r="O404" s="8" t="n">
        <f aca="false">(VST_Assets!$D$14-O397)*INDEX(Prices!O:O,VST_Assets!$AP$14)*365*VST_Assets!$T$14*O396/1000000*(1+VST_RevAdj)</f>
        <v>301.285047470937</v>
      </c>
      <c r="P404" s="8" t="n">
        <f aca="false">(VST_Assets!$D$14-P397)*INDEX(Prices!P:P,VST_Assets!$AP$14)*365*VST_Assets!$T$14*P396/1000000*(1+VST_RevAdj)</f>
        <v>307.310748420355</v>
      </c>
      <c r="Q404" s="8" t="n">
        <f aca="false">(VST_Assets!$D$14-Q397)*INDEX(Prices!Q:Q,VST_Assets!$AP$14)*365*VST_Assets!$T$14*Q396/1000000*(1+VST_RevAdj)</f>
        <v>313.456963388762</v>
      </c>
      <c r="R404" s="8" t="n">
        <f aca="false">(VST_Assets!$D$14-R397)*INDEX(Prices!R:R,VST_Assets!$AP$14)*365*VST_Assets!$T$14*R396/1000000*(1+VST_RevAdj)</f>
        <v>319.726102656538</v>
      </c>
      <c r="S404" s="8" t="n">
        <f aca="false">(VST_Assets!$D$14-S397)*INDEX(Prices!S:S,VST_Assets!$AP$14)*365*VST_Assets!$T$14*S396/1000000*(1+VST_RevAdj)</f>
        <v>326.120624709668</v>
      </c>
      <c r="T404" s="8" t="n">
        <f aca="false">(VST_Assets!$D$14-T397)*INDEX(Prices!T:T,VST_Assets!$AP$14)*365*VST_Assets!$T$14*T396/1000000*(1+VST_RevAdj)</f>
        <v>332.643037203862</v>
      </c>
      <c r="U404" s="8" t="n">
        <f aca="false">(VST_Assets!$D$14-U397)*INDEX(Prices!U:U,VST_Assets!$AP$14)*365*VST_Assets!$T$14*U396/1000000*(1+VST_RevAdj)</f>
        <v>339.295897947939</v>
      </c>
      <c r="V404" s="8" t="n">
        <f aca="false">(VST_Assets!$D$14-V397)*INDEX(Prices!V:V,VST_Assets!$AP$14)*365*VST_Assets!$T$14*V396/1000000*(1+VST_RevAdj)</f>
        <v>346.081815906898</v>
      </c>
      <c r="W404" s="8" t="n">
        <f aca="false">(VST_Assets!$D$14-W397)*INDEX(Prices!W:W,VST_Assets!$AP$14)*365*VST_Assets!$T$14*W396/1000000*(1+VST_RevAdj)</f>
        <v>353.003452225036</v>
      </c>
      <c r="X404" s="8" t="n">
        <f aca="false">(VST_Assets!$D$14-X397)*INDEX(Prices!X:X,VST_Assets!$AP$14)*365*VST_Assets!$T$14*X396/1000000*(1+VST_RevAdj)</f>
        <v>360.063521269537</v>
      </c>
      <c r="Y404" s="8" t="n">
        <f aca="false">(VST_Assets!$D$14-Y397)*INDEX(Prices!Y:Y,VST_Assets!$AP$14)*365*VST_Assets!$T$14*Y396/1000000*(1+VST_RevAdj)</f>
        <v>367.264791694927</v>
      </c>
      <c r="Z404" s="8" t="n">
        <f aca="false">(VST_Assets!$D$14-Z397)*INDEX(Prices!Z:Z,VST_Assets!$AP$14)*365*VST_Assets!$T$14*Z396/1000000*(1+VST_RevAdj)</f>
        <v>374.610087528826</v>
      </c>
      <c r="AA404" s="8" t="n">
        <f aca="false">(VST_Assets!$D$14-AA397)*INDEX(Prices!AA:AA,VST_Assets!$AP$14)*365*VST_Assets!$T$14*AA396/1000000*(1+VST_RevAdj)</f>
        <v>382.102289279402</v>
      </c>
      <c r="AB404" s="8" t="n">
        <f aca="false">(VST_Assets!$D$14-AB397)*INDEX(Prices!AB:AB,VST_Assets!$AP$14)*365*VST_Assets!$T$14*AB396/1000000*(1+VST_RevAdj)</f>
        <v>389.74433506499</v>
      </c>
      <c r="AC404" s="8" t="n">
        <f aca="false">(VST_Assets!$D$14-AC397)*INDEX(Prices!AC:AC,VST_Assets!$AP$14)*365*VST_Assets!$T$14*AC396/1000000*(1+VST_RevAdj)</f>
        <v>397.53922176629</v>
      </c>
      <c r="AD404" s="8" t="n">
        <f aca="false">(VST_Assets!$D$14-AD397)*INDEX(Prices!AD:AD,VST_Assets!$AP$14)*365*VST_Assets!$T$14*AD396/1000000*(1+VST_RevAdj)</f>
        <v>405.490006201616</v>
      </c>
      <c r="AE404" s="8" t="n">
        <f aca="false">(VST_Assets!$D$14-AE397)*INDEX(Prices!AE:AE,VST_Assets!$AP$14)*365*VST_Assets!$T$14*AE396/1000000*(1+VST_RevAdj)</f>
        <v>0</v>
      </c>
      <c r="AF404" s="8" t="n">
        <f aca="false">(VST_Assets!$D$14-AF397)*INDEX(Prices!AF:AF,VST_Assets!$AP$14)*365*VST_Assets!$T$14*AF396/1000000*(1+VST_RevAdj)</f>
        <v>0</v>
      </c>
      <c r="AG404" s="8" t="n">
        <f aca="false">(VST_Assets!$D$14-AG397)*INDEX(Prices!AG:AG,VST_Assets!$AP$14)*365*VST_Assets!$T$14*AG396/1000000*(1+VST_RevAdj)</f>
        <v>0</v>
      </c>
      <c r="AH404" s="8" t="n">
        <f aca="false">(VST_Assets!$D$14-AH397)*INDEX(Prices!AH:AH,VST_Assets!$AP$14)*365*VST_Assets!$T$14*AH396/1000000*(1+VST_RevAdj)</f>
        <v>0</v>
      </c>
      <c r="AI404" s="8" t="n">
        <f aca="false">(VST_Assets!$D$14-AI397)*INDEX(Prices!AI:AI,VST_Assets!$AP$14)*365*VST_Assets!$T$14*AI396/1000000*(1+VST_RevAdj)</f>
        <v>0</v>
      </c>
      <c r="AJ404" s="8" t="n">
        <f aca="false">(VST_Assets!$D$14-AJ397)*INDEX(Prices!AJ:AJ,VST_Assets!$AP$14)*365*VST_Assets!$T$14*AJ396/1000000*(1+VST_RevAdj)</f>
        <v>0</v>
      </c>
      <c r="AK404" s="8" t="n">
        <f aca="false">(VST_Assets!$D$14-AK397)*INDEX(Prices!AK:AK,VST_Assets!$AP$14)*365*VST_Assets!$T$14*AK396/1000000*(1+VST_RevAdj)</f>
        <v>0</v>
      </c>
      <c r="AL404" s="8" t="n">
        <f aca="false">(VST_Assets!$D$14-AL397)*INDEX(Prices!AL:AL,VST_Assets!$AP$14)*365*VST_Assets!$T$14*AL396/1000000*(1+VST_RevAdj)</f>
        <v>0</v>
      </c>
      <c r="AM404" s="8" t="n">
        <f aca="false">(VST_Assets!$D$14-AM397)*INDEX(Prices!AM:AM,VST_Assets!$AP$14)*365*VST_Assets!$T$14*AM396/1000000*(1+VST_RevAdj)</f>
        <v>0</v>
      </c>
      <c r="AN404" s="8" t="n">
        <f aca="false">(VST_Assets!$D$14-AN397)*INDEX(Prices!AN:AN,VST_Assets!$AP$14)*365*VST_Assets!$T$14*AN396/1000000*(1+VST_RevAdj)</f>
        <v>0</v>
      </c>
      <c r="AO404" s="8" t="n">
        <f aca="false">(VST_Assets!$D$14-AO397)*INDEX(Prices!AO:AO,VST_Assets!$AP$14)*365*VST_Assets!$T$14*AO396/1000000*(1+VST_RevAdj)</f>
        <v>0</v>
      </c>
      <c r="AP404" s="8" t="n">
        <f aca="false">(VST_Assets!$D$14-AP397)*INDEX(Prices!AP:AP,VST_Assets!$AP$14)*365*VST_Assets!$T$14*AP396/1000000*(1+VST_RevAdj)</f>
        <v>0</v>
      </c>
      <c r="AQ404" s="8" t="n">
        <f aca="false">(VST_Assets!$D$14-AQ397)*INDEX(Prices!AQ:AQ,VST_Assets!$AP$14)*365*VST_Assets!$T$14*AQ396/1000000*(1+VST_RevAdj)</f>
        <v>0</v>
      </c>
      <c r="AR404" s="8" t="n">
        <f aca="false">(VST_Assets!$D$14-AR397)*INDEX(Prices!AR:AR,VST_Assets!$AP$14)*365*VST_Assets!$T$14*AR396/1000000*(1+VST_RevAdj)</f>
        <v>0</v>
      </c>
      <c r="AS404" s="8" t="n">
        <f aca="false">(VST_Assets!$D$14-AS397)*INDEX(Prices!AS:AS,VST_Assets!$AP$14)*365*VST_Assets!$T$14*AS396/1000000*(1+VST_RevAdj)</f>
        <v>0</v>
      </c>
    </row>
    <row r="405" customFormat="false" ht="15" hidden="false" customHeight="false" outlineLevel="0" collapsed="false">
      <c r="A405" s="6" t="s">
        <v>443</v>
      </c>
      <c r="B405" s="6" t="s">
        <v>444</v>
      </c>
      <c r="C405" s="9" t="n">
        <f aca="false">SUM(G405:AS405)</f>
        <v>0</v>
      </c>
      <c r="G405" s="8" t="n">
        <f aca="false">G399*(VST_Assets!$AD$14+VST_PPAAdj)/1000000*(1+VST_RevAdj)</f>
        <v>0</v>
      </c>
      <c r="H405" s="8" t="n">
        <f aca="false">H399*(VST_Assets!$AD$14+VST_PPAAdj)/1000000*(1+VST_RevAdj)</f>
        <v>0</v>
      </c>
      <c r="I405" s="8" t="n">
        <f aca="false">I399*(VST_Assets!$AD$14+VST_PPAAdj)/1000000*(1+VST_RevAdj)</f>
        <v>0</v>
      </c>
      <c r="J405" s="8" t="n">
        <f aca="false">J399*(VST_Assets!$AD$14+VST_PPAAdj)/1000000*(1+VST_RevAdj)</f>
        <v>0</v>
      </c>
      <c r="K405" s="8" t="n">
        <f aca="false">K399*(VST_Assets!$AD$14+VST_PPAAdj)/1000000*(1+VST_RevAdj)</f>
        <v>0</v>
      </c>
      <c r="L405" s="8" t="n">
        <f aca="false">L399*(VST_Assets!$AD$14+VST_PPAAdj)/1000000*(1+VST_RevAdj)</f>
        <v>0</v>
      </c>
      <c r="M405" s="8" t="n">
        <f aca="false">M399*(VST_Assets!$AD$14+VST_PPAAdj)/1000000*(1+VST_RevAdj)</f>
        <v>0</v>
      </c>
      <c r="N405" s="8" t="n">
        <f aca="false">N399*(VST_Assets!$AD$14+VST_PPAAdj)/1000000*(1+VST_RevAdj)</f>
        <v>0</v>
      </c>
      <c r="O405" s="8" t="n">
        <f aca="false">O399*(VST_Assets!$AD$14+VST_PPAAdj)/1000000*(1+VST_RevAdj)</f>
        <v>0</v>
      </c>
      <c r="P405" s="8" t="n">
        <f aca="false">P399*(VST_Assets!$AD$14+VST_PPAAdj)/1000000*(1+VST_RevAdj)</f>
        <v>0</v>
      </c>
      <c r="Q405" s="8" t="n">
        <f aca="false">Q399*(VST_Assets!$AD$14+VST_PPAAdj)/1000000*(1+VST_RevAdj)</f>
        <v>0</v>
      </c>
      <c r="R405" s="8" t="n">
        <f aca="false">R399*(VST_Assets!$AD$14+VST_PPAAdj)/1000000*(1+VST_RevAdj)</f>
        <v>0</v>
      </c>
      <c r="S405" s="8" t="n">
        <f aca="false">S399*(VST_Assets!$AD$14+VST_PPAAdj)/1000000*(1+VST_RevAdj)</f>
        <v>0</v>
      </c>
      <c r="T405" s="8" t="n">
        <f aca="false">T399*(VST_Assets!$AD$14+VST_PPAAdj)/1000000*(1+VST_RevAdj)</f>
        <v>0</v>
      </c>
      <c r="U405" s="8" t="n">
        <f aca="false">U399*(VST_Assets!$AD$14+VST_PPAAdj)/1000000*(1+VST_RevAdj)</f>
        <v>0</v>
      </c>
      <c r="V405" s="8" t="n">
        <f aca="false">V399*(VST_Assets!$AD$14+VST_PPAAdj)/1000000*(1+VST_RevAdj)</f>
        <v>0</v>
      </c>
      <c r="W405" s="8" t="n">
        <f aca="false">W399*(VST_Assets!$AD$14+VST_PPAAdj)/1000000*(1+VST_RevAdj)</f>
        <v>0</v>
      </c>
      <c r="X405" s="8" t="n">
        <f aca="false">X399*(VST_Assets!$AD$14+VST_PPAAdj)/1000000*(1+VST_RevAdj)</f>
        <v>0</v>
      </c>
      <c r="Y405" s="8" t="n">
        <f aca="false">Y399*(VST_Assets!$AD$14+VST_PPAAdj)/1000000*(1+VST_RevAdj)</f>
        <v>0</v>
      </c>
      <c r="Z405" s="8" t="n">
        <f aca="false">Z399*(VST_Assets!$AD$14+VST_PPAAdj)/1000000*(1+VST_RevAdj)</f>
        <v>0</v>
      </c>
      <c r="AA405" s="8" t="n">
        <f aca="false">AA399*(VST_Assets!$AD$14+VST_PPAAdj)/1000000*(1+VST_RevAdj)</f>
        <v>0</v>
      </c>
      <c r="AB405" s="8" t="n">
        <f aca="false">AB399*(VST_Assets!$AD$14+VST_PPAAdj)/1000000*(1+VST_RevAdj)</f>
        <v>0</v>
      </c>
      <c r="AC405" s="8" t="n">
        <f aca="false">AC399*(VST_Assets!$AD$14+VST_PPAAdj)/1000000*(1+VST_RevAdj)</f>
        <v>0</v>
      </c>
      <c r="AD405" s="8" t="n">
        <f aca="false">AD399*(VST_Assets!$AD$14+VST_PPAAdj)/1000000*(1+VST_RevAdj)</f>
        <v>0</v>
      </c>
      <c r="AE405" s="8" t="n">
        <f aca="false">AE399*(VST_Assets!$AD$14+VST_PPAAdj)/1000000*(1+VST_RevAdj)</f>
        <v>0</v>
      </c>
      <c r="AF405" s="8" t="n">
        <f aca="false">AF399*(VST_Assets!$AD$14+VST_PPAAdj)/1000000*(1+VST_RevAdj)</f>
        <v>0</v>
      </c>
      <c r="AG405" s="8" t="n">
        <f aca="false">AG399*(VST_Assets!$AD$14+VST_PPAAdj)/1000000*(1+VST_RevAdj)</f>
        <v>0</v>
      </c>
      <c r="AH405" s="8" t="n">
        <f aca="false">AH399*(VST_Assets!$AD$14+VST_PPAAdj)/1000000*(1+VST_RevAdj)</f>
        <v>0</v>
      </c>
      <c r="AI405" s="8" t="n">
        <f aca="false">AI399*(VST_Assets!$AD$14+VST_PPAAdj)/1000000*(1+VST_RevAdj)</f>
        <v>0</v>
      </c>
      <c r="AJ405" s="8" t="n">
        <f aca="false">AJ399*(VST_Assets!$AD$14+VST_PPAAdj)/1000000*(1+VST_RevAdj)</f>
        <v>0</v>
      </c>
      <c r="AK405" s="8" t="n">
        <f aca="false">AK399*(VST_Assets!$AD$14+VST_PPAAdj)/1000000*(1+VST_RevAdj)</f>
        <v>0</v>
      </c>
      <c r="AL405" s="8" t="n">
        <f aca="false">AL399*(VST_Assets!$AD$14+VST_PPAAdj)/1000000*(1+VST_RevAdj)</f>
        <v>0</v>
      </c>
      <c r="AM405" s="8" t="n">
        <f aca="false">AM399*(VST_Assets!$AD$14+VST_PPAAdj)/1000000*(1+VST_RevAdj)</f>
        <v>0</v>
      </c>
      <c r="AN405" s="8" t="n">
        <f aca="false">AN399*(VST_Assets!$AD$14+VST_PPAAdj)/1000000*(1+VST_RevAdj)</f>
        <v>0</v>
      </c>
      <c r="AO405" s="8" t="n">
        <f aca="false">AO399*(VST_Assets!$AD$14+VST_PPAAdj)/1000000*(1+VST_RevAdj)</f>
        <v>0</v>
      </c>
      <c r="AP405" s="8" t="n">
        <f aca="false">AP399*(VST_Assets!$AD$14+VST_PPAAdj)/1000000*(1+VST_RevAdj)</f>
        <v>0</v>
      </c>
      <c r="AQ405" s="8" t="n">
        <f aca="false">AQ399*(VST_Assets!$AD$14+VST_PPAAdj)/1000000*(1+VST_RevAdj)</f>
        <v>0</v>
      </c>
      <c r="AR405" s="8" t="n">
        <f aca="false">AR399*(VST_Assets!$AD$14+VST_PPAAdj)/1000000*(1+VST_RevAdj)</f>
        <v>0</v>
      </c>
      <c r="AS405" s="8" t="n">
        <f aca="false">AS399*(VST_Assets!$AD$14+VST_PPAAdj)/1000000*(1+VST_RevAdj)</f>
        <v>0</v>
      </c>
    </row>
    <row r="406" customFormat="false" ht="15" hidden="false" customHeight="false" outlineLevel="0" collapsed="false">
      <c r="A406" s="6" t="s">
        <v>445</v>
      </c>
      <c r="B406" s="6" t="s">
        <v>446</v>
      </c>
      <c r="C406" s="9" t="n">
        <f aca="false">SUM(G406:AS406)</f>
        <v>0</v>
      </c>
      <c r="G406" s="8" t="n">
        <f aca="false">IF(G$3&lt;=VST_Assets!$V$14,G398*VST_Assets!$U$14,0)/1000000*(1+VST_RevAdj)</f>
        <v>0</v>
      </c>
      <c r="H406" s="8" t="n">
        <f aca="false">IF(H$3&lt;=VST_Assets!$V$14,H398*VST_Assets!$U$14,0)/1000000*(1+VST_RevAdj)</f>
        <v>0</v>
      </c>
      <c r="I406" s="8" t="n">
        <f aca="false">IF(I$3&lt;=VST_Assets!$V$14,I398*VST_Assets!$U$14,0)/1000000*(1+VST_RevAdj)</f>
        <v>0</v>
      </c>
      <c r="J406" s="8" t="n">
        <f aca="false">IF(J$3&lt;=VST_Assets!$V$14,J398*VST_Assets!$U$14,0)/1000000*(1+VST_RevAdj)</f>
        <v>0</v>
      </c>
      <c r="K406" s="8" t="n">
        <f aca="false">IF(K$3&lt;=VST_Assets!$V$14,K398*VST_Assets!$U$14,0)/1000000*(1+VST_RevAdj)</f>
        <v>0</v>
      </c>
      <c r="L406" s="8" t="n">
        <f aca="false">IF(L$3&lt;=VST_Assets!$V$14,L398*VST_Assets!$U$14,0)/1000000*(1+VST_RevAdj)</f>
        <v>0</v>
      </c>
      <c r="M406" s="8" t="n">
        <f aca="false">IF(M$3&lt;=VST_Assets!$V$14,M398*VST_Assets!$U$14,0)/1000000*(1+VST_RevAdj)</f>
        <v>0</v>
      </c>
      <c r="N406" s="8" t="n">
        <f aca="false">IF(N$3&lt;=VST_Assets!$V$14,N398*VST_Assets!$U$14,0)/1000000*(1+VST_RevAdj)</f>
        <v>0</v>
      </c>
      <c r="O406" s="8" t="n">
        <f aca="false">IF(O$3&lt;=VST_Assets!$V$14,O398*VST_Assets!$U$14,0)/1000000*(1+VST_RevAdj)</f>
        <v>0</v>
      </c>
      <c r="P406" s="8" t="n">
        <f aca="false">IF(P$3&lt;=VST_Assets!$V$14,P398*VST_Assets!$U$14,0)/1000000*(1+VST_RevAdj)</f>
        <v>0</v>
      </c>
      <c r="Q406" s="8" t="n">
        <f aca="false">IF(Q$3&lt;=VST_Assets!$V$14,Q398*VST_Assets!$U$14,0)/1000000*(1+VST_RevAdj)</f>
        <v>0</v>
      </c>
      <c r="R406" s="8" t="n">
        <f aca="false">IF(R$3&lt;=VST_Assets!$V$14,R398*VST_Assets!$U$14,0)/1000000*(1+VST_RevAdj)</f>
        <v>0</v>
      </c>
      <c r="S406" s="8" t="n">
        <f aca="false">IF(S$3&lt;=VST_Assets!$V$14,S398*VST_Assets!$U$14,0)/1000000*(1+VST_RevAdj)</f>
        <v>0</v>
      </c>
      <c r="T406" s="8" t="n">
        <f aca="false">IF(T$3&lt;=VST_Assets!$V$14,T398*VST_Assets!$U$14,0)/1000000*(1+VST_RevAdj)</f>
        <v>0</v>
      </c>
      <c r="U406" s="8" t="n">
        <f aca="false">IF(U$3&lt;=VST_Assets!$V$14,U398*VST_Assets!$U$14,0)/1000000*(1+VST_RevAdj)</f>
        <v>0</v>
      </c>
      <c r="V406" s="8" t="n">
        <f aca="false">IF(V$3&lt;=VST_Assets!$V$14,V398*VST_Assets!$U$14,0)/1000000*(1+VST_RevAdj)</f>
        <v>0</v>
      </c>
      <c r="W406" s="8" t="n">
        <f aca="false">IF(W$3&lt;=VST_Assets!$V$14,W398*VST_Assets!$U$14,0)/1000000*(1+VST_RevAdj)</f>
        <v>0</v>
      </c>
      <c r="X406" s="8" t="n">
        <f aca="false">IF(X$3&lt;=VST_Assets!$V$14,X398*VST_Assets!$U$14,0)/1000000*(1+VST_RevAdj)</f>
        <v>0</v>
      </c>
      <c r="Y406" s="8" t="n">
        <f aca="false">IF(Y$3&lt;=VST_Assets!$V$14,Y398*VST_Assets!$U$14,0)/1000000*(1+VST_RevAdj)</f>
        <v>0</v>
      </c>
      <c r="Z406" s="8" t="n">
        <f aca="false">IF(Z$3&lt;=VST_Assets!$V$14,Z398*VST_Assets!$U$14,0)/1000000*(1+VST_RevAdj)</f>
        <v>0</v>
      </c>
      <c r="AA406" s="8" t="n">
        <f aca="false">IF(AA$3&lt;=VST_Assets!$V$14,AA398*VST_Assets!$U$14,0)/1000000*(1+VST_RevAdj)</f>
        <v>0</v>
      </c>
      <c r="AB406" s="8" t="n">
        <f aca="false">IF(AB$3&lt;=VST_Assets!$V$14,AB398*VST_Assets!$U$14,0)/1000000*(1+VST_RevAdj)</f>
        <v>0</v>
      </c>
      <c r="AC406" s="8" t="n">
        <f aca="false">IF(AC$3&lt;=VST_Assets!$V$14,AC398*VST_Assets!$U$14,0)/1000000*(1+VST_RevAdj)</f>
        <v>0</v>
      </c>
      <c r="AD406" s="8" t="n">
        <f aca="false">IF(AD$3&lt;=VST_Assets!$V$14,AD398*VST_Assets!$U$14,0)/1000000*(1+VST_RevAdj)</f>
        <v>0</v>
      </c>
      <c r="AE406" s="8" t="n">
        <f aca="false">IF(AE$3&lt;=VST_Assets!$V$14,AE398*VST_Assets!$U$14,0)/1000000*(1+VST_RevAdj)</f>
        <v>0</v>
      </c>
      <c r="AF406" s="8" t="n">
        <f aca="false">IF(AF$3&lt;=VST_Assets!$V$14,AF398*VST_Assets!$U$14,0)/1000000*(1+VST_RevAdj)</f>
        <v>0</v>
      </c>
      <c r="AG406" s="8" t="n">
        <f aca="false">IF(AG$3&lt;=VST_Assets!$V$14,AG398*VST_Assets!$U$14,0)/1000000*(1+VST_RevAdj)</f>
        <v>0</v>
      </c>
      <c r="AH406" s="8" t="n">
        <f aca="false">IF(AH$3&lt;=VST_Assets!$V$14,AH398*VST_Assets!$U$14,0)/1000000*(1+VST_RevAdj)</f>
        <v>0</v>
      </c>
      <c r="AI406" s="8" t="n">
        <f aca="false">IF(AI$3&lt;=VST_Assets!$V$14,AI398*VST_Assets!$U$14,0)/1000000*(1+VST_RevAdj)</f>
        <v>0</v>
      </c>
      <c r="AJ406" s="8" t="n">
        <f aca="false">IF(AJ$3&lt;=VST_Assets!$V$14,AJ398*VST_Assets!$U$14,0)/1000000*(1+VST_RevAdj)</f>
        <v>0</v>
      </c>
      <c r="AK406" s="8" t="n">
        <f aca="false">IF(AK$3&lt;=VST_Assets!$V$14,AK398*VST_Assets!$U$14,0)/1000000*(1+VST_RevAdj)</f>
        <v>0</v>
      </c>
      <c r="AL406" s="8" t="n">
        <f aca="false">IF(AL$3&lt;=VST_Assets!$V$14,AL398*VST_Assets!$U$14,0)/1000000*(1+VST_RevAdj)</f>
        <v>0</v>
      </c>
      <c r="AM406" s="8" t="n">
        <f aca="false">IF(AM$3&lt;=VST_Assets!$V$14,AM398*VST_Assets!$U$14,0)/1000000*(1+VST_RevAdj)</f>
        <v>0</v>
      </c>
      <c r="AN406" s="8" t="n">
        <f aca="false">IF(AN$3&lt;=VST_Assets!$V$14,AN398*VST_Assets!$U$14,0)/1000000*(1+VST_RevAdj)</f>
        <v>0</v>
      </c>
      <c r="AO406" s="8" t="n">
        <f aca="false">IF(AO$3&lt;=VST_Assets!$V$14,AO398*VST_Assets!$U$14,0)/1000000*(1+VST_RevAdj)</f>
        <v>0</v>
      </c>
      <c r="AP406" s="8" t="n">
        <f aca="false">IF(AP$3&lt;=VST_Assets!$V$14,AP398*VST_Assets!$U$14,0)/1000000*(1+VST_RevAdj)</f>
        <v>0</v>
      </c>
      <c r="AQ406" s="8" t="n">
        <f aca="false">IF(AQ$3&lt;=VST_Assets!$V$14,AQ398*VST_Assets!$U$14,0)/1000000*(1+VST_RevAdj)</f>
        <v>0</v>
      </c>
      <c r="AR406" s="8" t="n">
        <f aca="false">IF(AR$3&lt;=VST_Assets!$V$14,AR398*VST_Assets!$U$14,0)/1000000*(1+VST_RevAdj)</f>
        <v>0</v>
      </c>
      <c r="AS406" s="8" t="n">
        <f aca="false">IF(AS$3&lt;=VST_Assets!$V$14,AS398*VST_Assets!$U$14,0)/1000000*(1+VST_RevAdj)</f>
        <v>0</v>
      </c>
    </row>
    <row r="407" customFormat="false" ht="15" hidden="false" customHeight="false" outlineLevel="0" collapsed="false">
      <c r="A407" s="6" t="s">
        <v>447</v>
      </c>
      <c r="B407" s="6" t="s">
        <v>448</v>
      </c>
      <c r="C407" s="9" t="n">
        <f aca="false">SUM(G407:AS407)</f>
        <v>40619.848345419</v>
      </c>
      <c r="G407" s="8" t="n">
        <f aca="false">G403+G404+G405+G406</f>
        <v>1601.9495877</v>
      </c>
      <c r="H407" s="8" t="n">
        <f aca="false">H403+H404+H405+H406</f>
        <v>1615.7081094</v>
      </c>
      <c r="I407" s="8" t="n">
        <f aca="false">I403+I404+I405+I406</f>
        <v>1456.14433021303</v>
      </c>
      <c r="J407" s="8" t="n">
        <f aca="false">J403+J404+J405+J406</f>
        <v>1394.15910087867</v>
      </c>
      <c r="K407" s="8" t="n">
        <f aca="false">K403+K404+K405+K406</f>
        <v>1422.04228289625</v>
      </c>
      <c r="L407" s="8" t="n">
        <f aca="false">L403+L404+L405+L406</f>
        <v>1450.48312855417</v>
      </c>
      <c r="M407" s="8" t="n">
        <f aca="false">M403+M404+M405+M406</f>
        <v>1479.49279112526</v>
      </c>
      <c r="N407" s="8" t="n">
        <f aca="false">N403+N404+N405+N406</f>
        <v>1509.08264694776</v>
      </c>
      <c r="O407" s="8" t="n">
        <f aca="false">O403+O404+O405+O406</f>
        <v>1539.26429988672</v>
      </c>
      <c r="P407" s="8" t="n">
        <f aca="false">P403+P404+P405+P406</f>
        <v>1570.04958588445</v>
      </c>
      <c r="Q407" s="8" t="n">
        <f aca="false">Q403+Q404+Q405+Q406</f>
        <v>1601.45057760214</v>
      </c>
      <c r="R407" s="8" t="n">
        <f aca="false">R403+R404+R405+R406</f>
        <v>1633.47958915418</v>
      </c>
      <c r="S407" s="8" t="n">
        <f aca="false">S403+S404+S405+S406</f>
        <v>1666.14918093727</v>
      </c>
      <c r="T407" s="8" t="n">
        <f aca="false">T403+T404+T405+T406</f>
        <v>1699.47216455601</v>
      </c>
      <c r="U407" s="8" t="n">
        <f aca="false">U403+U404+U405+U406</f>
        <v>1733.46160784713</v>
      </c>
      <c r="V407" s="8" t="n">
        <f aca="false">V403+V404+V405+V406</f>
        <v>1768.13084000407</v>
      </c>
      <c r="W407" s="8" t="n">
        <f aca="false">W403+W404+W405+W406</f>
        <v>1803.49345680416</v>
      </c>
      <c r="X407" s="8" t="n">
        <f aca="false">X403+X404+X405+X406</f>
        <v>1839.56332594024</v>
      </c>
      <c r="Y407" s="8" t="n">
        <f aca="false">Y403+Y404+Y405+Y406</f>
        <v>1876.35459245904</v>
      </c>
      <c r="Z407" s="8" t="n">
        <f aca="false">Z403+Z404+Z405+Z406</f>
        <v>1913.88168430822</v>
      </c>
      <c r="AA407" s="8" t="n">
        <f aca="false">AA403+AA404+AA405+AA406</f>
        <v>1952.15931799439</v>
      </c>
      <c r="AB407" s="8" t="n">
        <f aca="false">AB403+AB404+AB405+AB406</f>
        <v>1991.20250435428</v>
      </c>
      <c r="AC407" s="8" t="n">
        <f aca="false">AC403+AC404+AC405+AC406</f>
        <v>2031.02655444136</v>
      </c>
      <c r="AD407" s="8" t="n">
        <f aca="false">AD403+AD404+AD405+AD406</f>
        <v>2071.64708553019</v>
      </c>
      <c r="AE407" s="8" t="n">
        <f aca="false">AE403+AE404+AE405+AE406</f>
        <v>0</v>
      </c>
      <c r="AF407" s="8" t="n">
        <f aca="false">AF403+AF404+AF405+AF406</f>
        <v>0</v>
      </c>
      <c r="AG407" s="8" t="n">
        <f aca="false">AG403+AG404+AG405+AG406</f>
        <v>0</v>
      </c>
      <c r="AH407" s="8" t="n">
        <f aca="false">AH403+AH404+AH405+AH406</f>
        <v>0</v>
      </c>
      <c r="AI407" s="8" t="n">
        <f aca="false">AI403+AI404+AI405+AI406</f>
        <v>0</v>
      </c>
      <c r="AJ407" s="8" t="n">
        <f aca="false">AJ403+AJ404+AJ405+AJ406</f>
        <v>0</v>
      </c>
      <c r="AK407" s="8" t="n">
        <f aca="false">AK403+AK404+AK405+AK406</f>
        <v>0</v>
      </c>
      <c r="AL407" s="8" t="n">
        <f aca="false">AL403+AL404+AL405+AL406</f>
        <v>0</v>
      </c>
      <c r="AM407" s="8" t="n">
        <f aca="false">AM403+AM404+AM405+AM406</f>
        <v>0</v>
      </c>
      <c r="AN407" s="8" t="n">
        <f aca="false">AN403+AN404+AN405+AN406</f>
        <v>0</v>
      </c>
      <c r="AO407" s="8" t="n">
        <f aca="false">AO403+AO404+AO405+AO406</f>
        <v>0</v>
      </c>
      <c r="AP407" s="8" t="n">
        <f aca="false">AP403+AP404+AP405+AP406</f>
        <v>0</v>
      </c>
      <c r="AQ407" s="8" t="n">
        <f aca="false">AQ403+AQ404+AQ405+AQ406</f>
        <v>0</v>
      </c>
      <c r="AR407" s="8" t="n">
        <f aca="false">AR403+AR404+AR405+AR406</f>
        <v>0</v>
      </c>
      <c r="AS407" s="8" t="n">
        <f aca="false">AS403+AS404+AS405+AS406</f>
        <v>0</v>
      </c>
    </row>
    <row r="408" customFormat="false" ht="15" hidden="false" customHeight="false" outlineLevel="0" collapsed="false">
      <c r="A408" s="6" t="s">
        <v>449</v>
      </c>
      <c r="B408" s="6" t="s">
        <v>450</v>
      </c>
      <c r="C408" s="9" t="n">
        <f aca="false">SUM(G408:AS408)</f>
        <v>16069.008882496</v>
      </c>
      <c r="G408" s="8" t="n">
        <f aca="false">((VST_Assets!$K$14*G400+VST_Assets!$M$14*G$4)*G398*G402+VST_Assets!$N$14*(1+VST_Assets!$Q$14)^(G$3-2026)*(G398+G399))/1000000*(1+VST_FuelAdj)</f>
        <v>517.1258169</v>
      </c>
      <c r="H408" s="8" t="n">
        <f aca="false">((VST_Assets!$K$14*H400+VST_Assets!$M$14*H$4)*H398*H402+VST_Assets!$N$14*(1+VST_Assets!$Q$14)^(H$3-2026)*(H398+H399))/1000000*(1+VST_FuelAdj)</f>
        <v>527.468333238</v>
      </c>
      <c r="I408" s="8" t="n">
        <f aca="false">((VST_Assets!$K$14*I400+VST_Assets!$M$14*I$4)*I398*I402+VST_Assets!$N$14*(1+VST_Assets!$Q$14)^(I$3-2026)*(I398+I399))/1000000*(1+VST_FuelAdj)</f>
        <v>550.36535375052</v>
      </c>
      <c r="J408" s="8" t="n">
        <f aca="false">((VST_Assets!$K$14*J400+VST_Assets!$M$14*J$4)*J398*J402+VST_Assets!$N$14*(1+VST_Assets!$Q$14)^(J$3-2026)*(J398+J399))/1000000*(1+VST_FuelAdj)</f>
        <v>561.37266082553</v>
      </c>
      <c r="K408" s="8" t="n">
        <f aca="false">((VST_Assets!$K$14*K400+VST_Assets!$M$14*K$4)*K398*K402+VST_Assets!$N$14*(1+VST_Assets!$Q$14)^(K$3-2026)*(K398+K399))/1000000*(1+VST_FuelAdj)</f>
        <v>572.600114042041</v>
      </c>
      <c r="L408" s="8" t="n">
        <f aca="false">((VST_Assets!$K$14*L400+VST_Assets!$M$14*L$4)*L398*L402+VST_Assets!$N$14*(1+VST_Assets!$Q$14)^(L$3-2026)*(L398+L399))/1000000*(1+VST_FuelAdj)</f>
        <v>584.052116322882</v>
      </c>
      <c r="M408" s="8" t="n">
        <f aca="false">((VST_Assets!$K$14*M400+VST_Assets!$M$14*M$4)*M398*M402+VST_Assets!$N$14*(1+VST_Assets!$Q$14)^(M$3-2026)*(M398+M399))/1000000*(1+VST_FuelAdj)</f>
        <v>595.73315864934</v>
      </c>
      <c r="N408" s="8" t="n">
        <f aca="false">((VST_Assets!$K$14*N400+VST_Assets!$M$14*N$4)*N398*N402+VST_Assets!$N$14*(1+VST_Assets!$Q$14)^(N$3-2026)*(N398+N399))/1000000*(1+VST_FuelAdj)</f>
        <v>607.647821822327</v>
      </c>
      <c r="O408" s="8" t="n">
        <f aca="false">((VST_Assets!$K$14*O400+VST_Assets!$M$14*O$4)*O398*O402+VST_Assets!$N$14*(1+VST_Assets!$Q$14)^(O$3-2026)*(O398+O399))/1000000*(1+VST_FuelAdj)</f>
        <v>619.800778258773</v>
      </c>
      <c r="P408" s="8" t="n">
        <f aca="false">((VST_Assets!$K$14*P400+VST_Assets!$M$14*P$4)*P398*P402+VST_Assets!$N$14*(1+VST_Assets!$Q$14)^(P$3-2026)*(P398+P399))/1000000*(1+VST_FuelAdj)</f>
        <v>632.196793823948</v>
      </c>
      <c r="Q408" s="8" t="n">
        <f aca="false">((VST_Assets!$K$14*Q400+VST_Assets!$M$14*Q$4)*Q398*Q402+VST_Assets!$N$14*(1+VST_Assets!$Q$14)^(Q$3-2026)*(Q398+Q399))/1000000*(1+VST_FuelAdj)</f>
        <v>644.840729700427</v>
      </c>
      <c r="R408" s="8" t="n">
        <f aca="false">((VST_Assets!$K$14*R400+VST_Assets!$M$14*R$4)*R398*R402+VST_Assets!$N$14*(1+VST_Assets!$Q$14)^(R$3-2026)*(R398+R399))/1000000*(1+VST_FuelAdj)</f>
        <v>657.737544294436</v>
      </c>
      <c r="S408" s="8" t="n">
        <f aca="false">((VST_Assets!$K$14*S400+VST_Assets!$M$14*S$4)*S398*S402+VST_Assets!$N$14*(1+VST_Assets!$Q$14)^(S$3-2026)*(S398+S399))/1000000*(1+VST_FuelAdj)</f>
        <v>670.892295180325</v>
      </c>
      <c r="T408" s="8" t="n">
        <f aca="false">((VST_Assets!$K$14*T400+VST_Assets!$M$14*T$4)*T398*T402+VST_Assets!$N$14*(1+VST_Assets!$Q$14)^(T$3-2026)*(T398+T399))/1000000*(1+VST_FuelAdj)</f>
        <v>684.310141083931</v>
      </c>
      <c r="U408" s="8" t="n">
        <f aca="false">((VST_Assets!$K$14*U400+VST_Assets!$M$14*U$4)*U398*U402+VST_Assets!$N$14*(1+VST_Assets!$Q$14)^(U$3-2026)*(U398+U399))/1000000*(1+VST_FuelAdj)</f>
        <v>697.99634390561</v>
      </c>
      <c r="V408" s="8" t="n">
        <f aca="false">((VST_Assets!$K$14*V400+VST_Assets!$M$14*V$4)*V398*V402+VST_Assets!$N$14*(1+VST_Assets!$Q$14)^(V$3-2026)*(V398+V399))/1000000*(1+VST_FuelAdj)</f>
        <v>711.956270783722</v>
      </c>
      <c r="W408" s="8" t="n">
        <f aca="false">((VST_Assets!$K$14*W400+VST_Assets!$M$14*W$4)*W398*W402+VST_Assets!$N$14*(1+VST_Assets!$Q$14)^(W$3-2026)*(W398+W399))/1000000*(1+VST_FuelAdj)</f>
        <v>726.195396199396</v>
      </c>
      <c r="X408" s="8" t="n">
        <f aca="false">((VST_Assets!$K$14*X400+VST_Assets!$M$14*X$4)*X398*X402+VST_Assets!$N$14*(1+VST_Assets!$Q$14)^(X$3-2026)*(X398+X399))/1000000*(1+VST_FuelAdj)</f>
        <v>740.719304123384</v>
      </c>
      <c r="Y408" s="8" t="n">
        <f aca="false">((VST_Assets!$K$14*Y400+VST_Assets!$M$14*Y$4)*Y398*Y402+VST_Assets!$N$14*(1+VST_Assets!$Q$14)^(Y$3-2026)*(Y398+Y399))/1000000*(1+VST_FuelAdj)</f>
        <v>755.533690205852</v>
      </c>
      <c r="Z408" s="8" t="n">
        <f aca="false">((VST_Assets!$K$14*Z400+VST_Assets!$M$14*Z$4)*Z398*Z402+VST_Assets!$N$14*(1+VST_Assets!$Q$14)^(Z$3-2026)*(Z398+Z399))/1000000*(1+VST_FuelAdj)</f>
        <v>770.644364009969</v>
      </c>
      <c r="AA408" s="8" t="n">
        <f aca="false">((VST_Assets!$K$14*AA400+VST_Assets!$M$14*AA$4)*AA398*AA402+VST_Assets!$N$14*(1+VST_Assets!$Q$14)^(AA$3-2026)*(AA398+AA399))/1000000*(1+VST_FuelAdj)</f>
        <v>786.057251290168</v>
      </c>
      <c r="AB408" s="8" t="n">
        <f aca="false">((VST_Assets!$K$14*AB400+VST_Assets!$M$14*AB$4)*AB398*AB402+VST_Assets!$N$14*(1+VST_Assets!$Q$14)^(AB$3-2026)*(AB398+AB399))/1000000*(1+VST_FuelAdj)</f>
        <v>801.778396315972</v>
      </c>
      <c r="AC408" s="8" t="n">
        <f aca="false">((VST_Assets!$K$14*AC400+VST_Assets!$M$14*AC$4)*AC398*AC402+VST_Assets!$N$14*(1+VST_Assets!$Q$14)^(AC$3-2026)*(AC398+AC399))/1000000*(1+VST_FuelAdj)</f>
        <v>817.813964242292</v>
      </c>
      <c r="AD408" s="8" t="n">
        <f aca="false">((VST_Assets!$K$14*AD400+VST_Assets!$M$14*AD$4)*AD398*AD402+VST_Assets!$N$14*(1+VST_Assets!$Q$14)^(AD$3-2026)*(AD398+AD399))/1000000*(1+VST_FuelAdj)</f>
        <v>834.170243527137</v>
      </c>
      <c r="AE408" s="8" t="n">
        <f aca="false">((VST_Assets!$K$14*AE400+VST_Assets!$M$14*AE$4)*AE398*AE402+VST_Assets!$N$14*(1+VST_Assets!$Q$14)^(AE$3-2026)*(AE398+AE399))/1000000*(1+VST_FuelAdj)</f>
        <v>0</v>
      </c>
      <c r="AF408" s="8" t="n">
        <f aca="false">((VST_Assets!$K$14*AF400+VST_Assets!$M$14*AF$4)*AF398*AF402+VST_Assets!$N$14*(1+VST_Assets!$Q$14)^(AF$3-2026)*(AF398+AF399))/1000000*(1+VST_FuelAdj)</f>
        <v>0</v>
      </c>
      <c r="AG408" s="8" t="n">
        <f aca="false">((VST_Assets!$K$14*AG400+VST_Assets!$M$14*AG$4)*AG398*AG402+VST_Assets!$N$14*(1+VST_Assets!$Q$14)^(AG$3-2026)*(AG398+AG399))/1000000*(1+VST_FuelAdj)</f>
        <v>0</v>
      </c>
      <c r="AH408" s="8" t="n">
        <f aca="false">((VST_Assets!$K$14*AH400+VST_Assets!$M$14*AH$4)*AH398*AH402+VST_Assets!$N$14*(1+VST_Assets!$Q$14)^(AH$3-2026)*(AH398+AH399))/1000000*(1+VST_FuelAdj)</f>
        <v>0</v>
      </c>
      <c r="AI408" s="8" t="n">
        <f aca="false">((VST_Assets!$K$14*AI400+VST_Assets!$M$14*AI$4)*AI398*AI402+VST_Assets!$N$14*(1+VST_Assets!$Q$14)^(AI$3-2026)*(AI398+AI399))/1000000*(1+VST_FuelAdj)</f>
        <v>0</v>
      </c>
      <c r="AJ408" s="8" t="n">
        <f aca="false">((VST_Assets!$K$14*AJ400+VST_Assets!$M$14*AJ$4)*AJ398*AJ402+VST_Assets!$N$14*(1+VST_Assets!$Q$14)^(AJ$3-2026)*(AJ398+AJ399))/1000000*(1+VST_FuelAdj)</f>
        <v>0</v>
      </c>
      <c r="AK408" s="8" t="n">
        <f aca="false">((VST_Assets!$K$14*AK400+VST_Assets!$M$14*AK$4)*AK398*AK402+VST_Assets!$N$14*(1+VST_Assets!$Q$14)^(AK$3-2026)*(AK398+AK399))/1000000*(1+VST_FuelAdj)</f>
        <v>0</v>
      </c>
      <c r="AL408" s="8" t="n">
        <f aca="false">((VST_Assets!$K$14*AL400+VST_Assets!$M$14*AL$4)*AL398*AL402+VST_Assets!$N$14*(1+VST_Assets!$Q$14)^(AL$3-2026)*(AL398+AL399))/1000000*(1+VST_FuelAdj)</f>
        <v>0</v>
      </c>
      <c r="AM408" s="8" t="n">
        <f aca="false">((VST_Assets!$K$14*AM400+VST_Assets!$M$14*AM$4)*AM398*AM402+VST_Assets!$N$14*(1+VST_Assets!$Q$14)^(AM$3-2026)*(AM398+AM399))/1000000*(1+VST_FuelAdj)</f>
        <v>0</v>
      </c>
      <c r="AN408" s="8" t="n">
        <f aca="false">((VST_Assets!$K$14*AN400+VST_Assets!$M$14*AN$4)*AN398*AN402+VST_Assets!$N$14*(1+VST_Assets!$Q$14)^(AN$3-2026)*(AN398+AN399))/1000000*(1+VST_FuelAdj)</f>
        <v>0</v>
      </c>
      <c r="AO408" s="8" t="n">
        <f aca="false">((VST_Assets!$K$14*AO400+VST_Assets!$M$14*AO$4)*AO398*AO402+VST_Assets!$N$14*(1+VST_Assets!$Q$14)^(AO$3-2026)*(AO398+AO399))/1000000*(1+VST_FuelAdj)</f>
        <v>0</v>
      </c>
      <c r="AP408" s="8" t="n">
        <f aca="false">((VST_Assets!$K$14*AP400+VST_Assets!$M$14*AP$4)*AP398*AP402+VST_Assets!$N$14*(1+VST_Assets!$Q$14)^(AP$3-2026)*(AP398+AP399))/1000000*(1+VST_FuelAdj)</f>
        <v>0</v>
      </c>
      <c r="AQ408" s="8" t="n">
        <f aca="false">((VST_Assets!$K$14*AQ400+VST_Assets!$M$14*AQ$4)*AQ398*AQ402+VST_Assets!$N$14*(1+VST_Assets!$Q$14)^(AQ$3-2026)*(AQ398+AQ399))/1000000*(1+VST_FuelAdj)</f>
        <v>0</v>
      </c>
      <c r="AR408" s="8" t="n">
        <f aca="false">((VST_Assets!$K$14*AR400+VST_Assets!$M$14*AR$4)*AR398*AR402+VST_Assets!$N$14*(1+VST_Assets!$Q$14)^(AR$3-2026)*(AR398+AR399))/1000000*(1+VST_FuelAdj)</f>
        <v>0</v>
      </c>
      <c r="AS408" s="8" t="n">
        <f aca="false">((VST_Assets!$K$14*AS400+VST_Assets!$M$14*AS$4)*AS398*AS402+VST_Assets!$N$14*(1+VST_Assets!$Q$14)^(AS$3-2026)*(AS398+AS399))/1000000*(1+VST_FuelAdj)</f>
        <v>0</v>
      </c>
    </row>
    <row r="409" customFormat="false" ht="15" hidden="false" customHeight="false" outlineLevel="0" collapsed="false">
      <c r="A409" s="6" t="s">
        <v>451</v>
      </c>
      <c r="B409" s="6" t="s">
        <v>452</v>
      </c>
      <c r="C409" s="9" t="n">
        <f aca="false">SUM(G409:AS409)</f>
        <v>24550.839462923</v>
      </c>
      <c r="G409" s="8" t="n">
        <f aca="false">G407-G408</f>
        <v>1084.8237708</v>
      </c>
      <c r="H409" s="8" t="n">
        <f aca="false">H407-H408</f>
        <v>1088.239776162</v>
      </c>
      <c r="I409" s="8" t="n">
        <f aca="false">I407-I408</f>
        <v>905.778976462514</v>
      </c>
      <c r="J409" s="8" t="n">
        <f aca="false">J407-J408</f>
        <v>832.786440053143</v>
      </c>
      <c r="K409" s="8" t="n">
        <f aca="false">K407-K408</f>
        <v>849.442168854206</v>
      </c>
      <c r="L409" s="8" t="n">
        <f aca="false">L407-L408</f>
        <v>866.43101223129</v>
      </c>
      <c r="M409" s="8" t="n">
        <f aca="false">M407-M408</f>
        <v>883.759632475916</v>
      </c>
      <c r="N409" s="8" t="n">
        <f aca="false">N407-N408</f>
        <v>901.434825125434</v>
      </c>
      <c r="O409" s="8" t="n">
        <f aca="false">O407-O408</f>
        <v>919.463521627942</v>
      </c>
      <c r="P409" s="8" t="n">
        <f aca="false">P407-P408</f>
        <v>937.852792060502</v>
      </c>
      <c r="Q409" s="8" t="n">
        <f aca="false">Q407-Q408</f>
        <v>956.609847901712</v>
      </c>
      <c r="R409" s="8" t="n">
        <f aca="false">R407-R408</f>
        <v>975.742044859746</v>
      </c>
      <c r="S409" s="8" t="n">
        <f aca="false">S407-S408</f>
        <v>995.256885756941</v>
      </c>
      <c r="T409" s="8" t="n">
        <f aca="false">T407-T408</f>
        <v>1015.16202347208</v>
      </c>
      <c r="U409" s="8" t="n">
        <f aca="false">U407-U408</f>
        <v>1035.46526394152</v>
      </c>
      <c r="V409" s="8" t="n">
        <f aca="false">V407-V408</f>
        <v>1056.17456922035</v>
      </c>
      <c r="W409" s="8" t="n">
        <f aca="false">W407-W408</f>
        <v>1077.29806060476</v>
      </c>
      <c r="X409" s="8" t="n">
        <f aca="false">X407-X408</f>
        <v>1098.84402181685</v>
      </c>
      <c r="Y409" s="8" t="n">
        <f aca="false">Y407-Y408</f>
        <v>1120.82090225319</v>
      </c>
      <c r="Z409" s="8" t="n">
        <f aca="false">Z407-Z408</f>
        <v>1143.23732029826</v>
      </c>
      <c r="AA409" s="8" t="n">
        <f aca="false">AA407-AA408</f>
        <v>1166.10206670422</v>
      </c>
      <c r="AB409" s="8" t="n">
        <f aca="false">AB407-AB408</f>
        <v>1189.42410803831</v>
      </c>
      <c r="AC409" s="8" t="n">
        <f aca="false">AC407-AC408</f>
        <v>1213.21259019907</v>
      </c>
      <c r="AD409" s="8" t="n">
        <f aca="false">AD407-AD408</f>
        <v>1237.47684200305</v>
      </c>
      <c r="AE409" s="8" t="n">
        <f aca="false">AE407-AE408</f>
        <v>0</v>
      </c>
      <c r="AF409" s="8" t="n">
        <f aca="false">AF407-AF408</f>
        <v>0</v>
      </c>
      <c r="AG409" s="8" t="n">
        <f aca="false">AG407-AG408</f>
        <v>0</v>
      </c>
      <c r="AH409" s="8" t="n">
        <f aca="false">AH407-AH408</f>
        <v>0</v>
      </c>
      <c r="AI409" s="8" t="n">
        <f aca="false">AI407-AI408</f>
        <v>0</v>
      </c>
      <c r="AJ409" s="8" t="n">
        <f aca="false">AJ407-AJ408</f>
        <v>0</v>
      </c>
      <c r="AK409" s="8" t="n">
        <f aca="false">AK407-AK408</f>
        <v>0</v>
      </c>
      <c r="AL409" s="8" t="n">
        <f aca="false">AL407-AL408</f>
        <v>0</v>
      </c>
      <c r="AM409" s="8" t="n">
        <f aca="false">AM407-AM408</f>
        <v>0</v>
      </c>
      <c r="AN409" s="8" t="n">
        <f aca="false">AN407-AN408</f>
        <v>0</v>
      </c>
      <c r="AO409" s="8" t="n">
        <f aca="false">AO407-AO408</f>
        <v>0</v>
      </c>
      <c r="AP409" s="8" t="n">
        <f aca="false">AP407-AP408</f>
        <v>0</v>
      </c>
      <c r="AQ409" s="8" t="n">
        <f aca="false">AQ407-AQ408</f>
        <v>0</v>
      </c>
      <c r="AR409" s="8" t="n">
        <f aca="false">AR407-AR408</f>
        <v>0</v>
      </c>
      <c r="AS409" s="8" t="n">
        <f aca="false">AS407-AS408</f>
        <v>0</v>
      </c>
    </row>
    <row r="410" customFormat="false" ht="15" hidden="false" customHeight="false" outlineLevel="0" collapsed="false">
      <c r="A410" s="6" t="s">
        <v>453</v>
      </c>
      <c r="B410" s="6" t="s">
        <v>454</v>
      </c>
      <c r="C410" s="9" t="n">
        <f aca="false">SUM(G410:AS410)</f>
        <v>3822.93292590274</v>
      </c>
      <c r="G410" s="8" t="n">
        <f aca="false">(VST_Assets!$R$14*VST_Assets!$D$14*1000*G$4*G396+VST_Assets!$O$14*(1+VST_Assets!$Q$14)^(G$3-2026)*(G398+G399))/1000000*(1+VST_OMAdj)</f>
        <v>125.664</v>
      </c>
      <c r="H410" s="8" t="n">
        <f aca="false">(VST_Assets!$R$14*VST_Assets!$D$14*1000*H$4*H396+VST_Assets!$O$14*(1+VST_Assets!$Q$14)^(H$3-2026)*(H398+H399))/1000000*(1+VST_OMAdj)</f>
        <v>128.17728</v>
      </c>
      <c r="I410" s="8" t="n">
        <f aca="false">(VST_Assets!$R$14*VST_Assets!$D$14*1000*I$4*I396+VST_Assets!$O$14*(1+VST_Assets!$Q$14)^(I$3-2026)*(I398+I399))/1000000*(1+VST_OMAdj)</f>
        <v>130.7408256</v>
      </c>
      <c r="J410" s="8" t="n">
        <f aca="false">(VST_Assets!$R$14*VST_Assets!$D$14*1000*J$4*J396+VST_Assets!$O$14*(1+VST_Assets!$Q$14)^(J$3-2026)*(J398+J399))/1000000*(1+VST_OMAdj)</f>
        <v>133.355642112</v>
      </c>
      <c r="K410" s="8" t="n">
        <f aca="false">(VST_Assets!$R$14*VST_Assets!$D$14*1000*K$4*K396+VST_Assets!$O$14*(1+VST_Assets!$Q$14)^(K$3-2026)*(K398+K399))/1000000*(1+VST_OMAdj)</f>
        <v>136.02275495424</v>
      </c>
      <c r="L410" s="8" t="n">
        <f aca="false">(VST_Assets!$R$14*VST_Assets!$D$14*1000*L$4*L396+VST_Assets!$O$14*(1+VST_Assets!$Q$14)^(L$3-2026)*(L398+L399))/1000000*(1+VST_OMAdj)</f>
        <v>138.743210053325</v>
      </c>
      <c r="M410" s="8" t="n">
        <f aca="false">(VST_Assets!$R$14*VST_Assets!$D$14*1000*M$4*M396+VST_Assets!$O$14*(1+VST_Assets!$Q$14)^(M$3-2026)*(M398+M399))/1000000*(1+VST_OMAdj)</f>
        <v>141.518074254391</v>
      </c>
      <c r="N410" s="8" t="n">
        <f aca="false">(VST_Assets!$R$14*VST_Assets!$D$14*1000*N$4*N396+VST_Assets!$O$14*(1+VST_Assets!$Q$14)^(N$3-2026)*(N398+N399))/1000000*(1+VST_OMAdj)</f>
        <v>144.348435739479</v>
      </c>
      <c r="O410" s="8" t="n">
        <f aca="false">(VST_Assets!$R$14*VST_Assets!$D$14*1000*O$4*O396+VST_Assets!$O$14*(1+VST_Assets!$Q$14)^(O$3-2026)*(O398+O399))/1000000*(1+VST_OMAdj)</f>
        <v>147.235404454269</v>
      </c>
      <c r="P410" s="8" t="n">
        <f aca="false">(VST_Assets!$R$14*VST_Assets!$D$14*1000*P$4*P396+VST_Assets!$O$14*(1+VST_Assets!$Q$14)^(P$3-2026)*(P398+P399))/1000000*(1+VST_OMAdj)</f>
        <v>150.180112543354</v>
      </c>
      <c r="Q410" s="8" t="n">
        <f aca="false">(VST_Assets!$R$14*VST_Assets!$D$14*1000*Q$4*Q396+VST_Assets!$O$14*(1+VST_Assets!$Q$14)^(Q$3-2026)*(Q398+Q399))/1000000*(1+VST_OMAdj)</f>
        <v>153.183714794221</v>
      </c>
      <c r="R410" s="8" t="n">
        <f aca="false">(VST_Assets!$R$14*VST_Assets!$D$14*1000*R$4*R396+VST_Assets!$O$14*(1+VST_Assets!$Q$14)^(R$3-2026)*(R398+R399))/1000000*(1+VST_OMAdj)</f>
        <v>156.247389090106</v>
      </c>
      <c r="S410" s="8" t="n">
        <f aca="false">(VST_Assets!$R$14*VST_Assets!$D$14*1000*S$4*S396+VST_Assets!$O$14*(1+VST_Assets!$Q$14)^(S$3-2026)*(S398+S399))/1000000*(1+VST_OMAdj)</f>
        <v>159.372336871908</v>
      </c>
      <c r="T410" s="8" t="n">
        <f aca="false">(VST_Assets!$R$14*VST_Assets!$D$14*1000*T$4*T396+VST_Assets!$O$14*(1+VST_Assets!$Q$14)^(T$3-2026)*(T398+T399))/1000000*(1+VST_OMAdj)</f>
        <v>162.559783609346</v>
      </c>
      <c r="U410" s="8" t="n">
        <f aca="false">(VST_Assets!$R$14*VST_Assets!$D$14*1000*U$4*U396+VST_Assets!$O$14*(1+VST_Assets!$Q$14)^(U$3-2026)*(U398+U399))/1000000*(1+VST_OMAdj)</f>
        <v>165.810979281533</v>
      </c>
      <c r="V410" s="8" t="n">
        <f aca="false">(VST_Assets!$R$14*VST_Assets!$D$14*1000*V$4*V396+VST_Assets!$O$14*(1+VST_Assets!$Q$14)^(V$3-2026)*(V398+V399))/1000000*(1+VST_OMAdj)</f>
        <v>169.127198867163</v>
      </c>
      <c r="W410" s="8" t="n">
        <f aca="false">(VST_Assets!$R$14*VST_Assets!$D$14*1000*W$4*W396+VST_Assets!$O$14*(1+VST_Assets!$Q$14)^(W$3-2026)*(W398+W399))/1000000*(1+VST_OMAdj)</f>
        <v>172.509742844507</v>
      </c>
      <c r="X410" s="8" t="n">
        <f aca="false">(VST_Assets!$R$14*VST_Assets!$D$14*1000*X$4*X396+VST_Assets!$O$14*(1+VST_Assets!$Q$14)^(X$3-2026)*(X398+X399))/1000000*(1+VST_OMAdj)</f>
        <v>175.959937701397</v>
      </c>
      <c r="Y410" s="8" t="n">
        <f aca="false">(VST_Assets!$R$14*VST_Assets!$D$14*1000*Y$4*Y396+VST_Assets!$O$14*(1+VST_Assets!$Q$14)^(Y$3-2026)*(Y398+Y399))/1000000*(1+VST_OMAdj)</f>
        <v>179.479136455425</v>
      </c>
      <c r="Z410" s="8" t="n">
        <f aca="false">(VST_Assets!$R$14*VST_Assets!$D$14*1000*Z$4*Z396+VST_Assets!$O$14*(1+VST_Assets!$Q$14)^(Z$3-2026)*(Z398+Z399))/1000000*(1+VST_OMAdj)</f>
        <v>183.068719184533</v>
      </c>
      <c r="AA410" s="8" t="n">
        <f aca="false">(VST_Assets!$R$14*VST_Assets!$D$14*1000*AA$4*AA396+VST_Assets!$O$14*(1+VST_Assets!$Q$14)^(AA$3-2026)*(AA398+AA399))/1000000*(1+VST_OMAdj)</f>
        <v>186.730093568224</v>
      </c>
      <c r="AB410" s="8" t="n">
        <f aca="false">(VST_Assets!$R$14*VST_Assets!$D$14*1000*AB$4*AB396+VST_Assets!$O$14*(1+VST_Assets!$Q$14)^(AB$3-2026)*(AB398+AB399))/1000000*(1+VST_OMAdj)</f>
        <v>190.464695439588</v>
      </c>
      <c r="AC410" s="8" t="n">
        <f aca="false">(VST_Assets!$R$14*VST_Assets!$D$14*1000*AC$4*AC396+VST_Assets!$O$14*(1+VST_Assets!$Q$14)^(AC$3-2026)*(AC398+AC399))/1000000*(1+VST_OMAdj)</f>
        <v>194.27398934838</v>
      </c>
      <c r="AD410" s="8" t="n">
        <f aca="false">(VST_Assets!$R$14*VST_Assets!$D$14*1000*AD$4*AD396+VST_Assets!$O$14*(1+VST_Assets!$Q$14)^(AD$3-2026)*(AD398+AD399))/1000000*(1+VST_OMAdj)</f>
        <v>198.159469135348</v>
      </c>
      <c r="AE410" s="8" t="n">
        <f aca="false">(VST_Assets!$R$14*VST_Assets!$D$14*1000*AE$4*AE396+VST_Assets!$O$14*(1+VST_Assets!$Q$14)^(AE$3-2026)*(AE398+AE399))/1000000*(1+VST_OMAdj)</f>
        <v>0</v>
      </c>
      <c r="AF410" s="8" t="n">
        <f aca="false">(VST_Assets!$R$14*VST_Assets!$D$14*1000*AF$4*AF396+VST_Assets!$O$14*(1+VST_Assets!$Q$14)^(AF$3-2026)*(AF398+AF399))/1000000*(1+VST_OMAdj)</f>
        <v>0</v>
      </c>
      <c r="AG410" s="8" t="n">
        <f aca="false">(VST_Assets!$R$14*VST_Assets!$D$14*1000*AG$4*AG396+VST_Assets!$O$14*(1+VST_Assets!$Q$14)^(AG$3-2026)*(AG398+AG399))/1000000*(1+VST_OMAdj)</f>
        <v>0</v>
      </c>
      <c r="AH410" s="8" t="n">
        <f aca="false">(VST_Assets!$R$14*VST_Assets!$D$14*1000*AH$4*AH396+VST_Assets!$O$14*(1+VST_Assets!$Q$14)^(AH$3-2026)*(AH398+AH399))/1000000*(1+VST_OMAdj)</f>
        <v>0</v>
      </c>
      <c r="AI410" s="8" t="n">
        <f aca="false">(VST_Assets!$R$14*VST_Assets!$D$14*1000*AI$4*AI396+VST_Assets!$O$14*(1+VST_Assets!$Q$14)^(AI$3-2026)*(AI398+AI399))/1000000*(1+VST_OMAdj)</f>
        <v>0</v>
      </c>
      <c r="AJ410" s="8" t="n">
        <f aca="false">(VST_Assets!$R$14*VST_Assets!$D$14*1000*AJ$4*AJ396+VST_Assets!$O$14*(1+VST_Assets!$Q$14)^(AJ$3-2026)*(AJ398+AJ399))/1000000*(1+VST_OMAdj)</f>
        <v>0</v>
      </c>
      <c r="AK410" s="8" t="n">
        <f aca="false">(VST_Assets!$R$14*VST_Assets!$D$14*1000*AK$4*AK396+VST_Assets!$O$14*(1+VST_Assets!$Q$14)^(AK$3-2026)*(AK398+AK399))/1000000*(1+VST_OMAdj)</f>
        <v>0</v>
      </c>
      <c r="AL410" s="8" t="n">
        <f aca="false">(VST_Assets!$R$14*VST_Assets!$D$14*1000*AL$4*AL396+VST_Assets!$O$14*(1+VST_Assets!$Q$14)^(AL$3-2026)*(AL398+AL399))/1000000*(1+VST_OMAdj)</f>
        <v>0</v>
      </c>
      <c r="AM410" s="8" t="n">
        <f aca="false">(VST_Assets!$R$14*VST_Assets!$D$14*1000*AM$4*AM396+VST_Assets!$O$14*(1+VST_Assets!$Q$14)^(AM$3-2026)*(AM398+AM399))/1000000*(1+VST_OMAdj)</f>
        <v>0</v>
      </c>
      <c r="AN410" s="8" t="n">
        <f aca="false">(VST_Assets!$R$14*VST_Assets!$D$14*1000*AN$4*AN396+VST_Assets!$O$14*(1+VST_Assets!$Q$14)^(AN$3-2026)*(AN398+AN399))/1000000*(1+VST_OMAdj)</f>
        <v>0</v>
      </c>
      <c r="AO410" s="8" t="n">
        <f aca="false">(VST_Assets!$R$14*VST_Assets!$D$14*1000*AO$4*AO396+VST_Assets!$O$14*(1+VST_Assets!$Q$14)^(AO$3-2026)*(AO398+AO399))/1000000*(1+VST_OMAdj)</f>
        <v>0</v>
      </c>
      <c r="AP410" s="8" t="n">
        <f aca="false">(VST_Assets!$R$14*VST_Assets!$D$14*1000*AP$4*AP396+VST_Assets!$O$14*(1+VST_Assets!$Q$14)^(AP$3-2026)*(AP398+AP399))/1000000*(1+VST_OMAdj)</f>
        <v>0</v>
      </c>
      <c r="AQ410" s="8" t="n">
        <f aca="false">(VST_Assets!$R$14*VST_Assets!$D$14*1000*AQ$4*AQ396+VST_Assets!$O$14*(1+VST_Assets!$Q$14)^(AQ$3-2026)*(AQ398+AQ399))/1000000*(1+VST_OMAdj)</f>
        <v>0</v>
      </c>
      <c r="AR410" s="8" t="n">
        <f aca="false">(VST_Assets!$R$14*VST_Assets!$D$14*1000*AR$4*AR396+VST_Assets!$O$14*(1+VST_Assets!$Q$14)^(AR$3-2026)*(AR398+AR399))/1000000*(1+VST_OMAdj)</f>
        <v>0</v>
      </c>
      <c r="AS410" s="8" t="n">
        <f aca="false">(VST_Assets!$R$14*VST_Assets!$D$14*1000*AS$4*AS396+VST_Assets!$O$14*(1+VST_Assets!$Q$14)^(AS$3-2026)*(AS398+AS399))/1000000*(1+VST_OMAdj)</f>
        <v>0</v>
      </c>
    </row>
    <row r="411" customFormat="false" ht="15" hidden="false" customHeight="false" outlineLevel="0" collapsed="false">
      <c r="A411" s="6" t="s">
        <v>455</v>
      </c>
      <c r="B411" s="6" t="s">
        <v>456</v>
      </c>
      <c r="C411" s="9" t="n">
        <f aca="false">SUM(G411:AS411)</f>
        <v>20727.9065370203</v>
      </c>
      <c r="G411" s="8" t="n">
        <f aca="false">G409-G410</f>
        <v>959.1597708</v>
      </c>
      <c r="H411" s="8" t="n">
        <f aca="false">H409-H410</f>
        <v>960.062496162</v>
      </c>
      <c r="I411" s="8" t="n">
        <f aca="false">I409-I410</f>
        <v>775.038150862514</v>
      </c>
      <c r="J411" s="8" t="n">
        <f aca="false">J409-J410</f>
        <v>699.430797941143</v>
      </c>
      <c r="K411" s="8" t="n">
        <f aca="false">K409-K410</f>
        <v>713.419413899966</v>
      </c>
      <c r="L411" s="8" t="n">
        <f aca="false">L409-L410</f>
        <v>727.687802177965</v>
      </c>
      <c r="M411" s="8" t="n">
        <f aca="false">M409-M410</f>
        <v>742.241558221524</v>
      </c>
      <c r="N411" s="8" t="n">
        <f aca="false">N409-N410</f>
        <v>757.086389385955</v>
      </c>
      <c r="O411" s="8" t="n">
        <f aca="false">O409-O410</f>
        <v>772.228117173674</v>
      </c>
      <c r="P411" s="8" t="n">
        <f aca="false">P409-P410</f>
        <v>787.672679517148</v>
      </c>
      <c r="Q411" s="8" t="n">
        <f aca="false">Q409-Q410</f>
        <v>803.426133107491</v>
      </c>
      <c r="R411" s="8" t="n">
        <f aca="false">R409-R410</f>
        <v>819.494655769641</v>
      </c>
      <c r="S411" s="8" t="n">
        <f aca="false">S409-S410</f>
        <v>835.884548885033</v>
      </c>
      <c r="T411" s="8" t="n">
        <f aca="false">T409-T410</f>
        <v>852.602239862734</v>
      </c>
      <c r="U411" s="8" t="n">
        <f aca="false">U409-U410</f>
        <v>869.654284659989</v>
      </c>
      <c r="V411" s="8" t="n">
        <f aca="false">V409-V410</f>
        <v>887.047370353188</v>
      </c>
      <c r="W411" s="8" t="n">
        <f aca="false">W409-W410</f>
        <v>904.788317760252</v>
      </c>
      <c r="X411" s="8" t="n">
        <f aca="false">X409-X410</f>
        <v>922.884084115457</v>
      </c>
      <c r="Y411" s="8" t="n">
        <f aca="false">Y409-Y410</f>
        <v>941.341765797766</v>
      </c>
      <c r="Z411" s="8" t="n">
        <f aca="false">Z409-Z410</f>
        <v>960.168601113722</v>
      </c>
      <c r="AA411" s="8" t="n">
        <f aca="false">AA409-AA410</f>
        <v>979.371973135996</v>
      </c>
      <c r="AB411" s="8" t="n">
        <f aca="false">AB409-AB410</f>
        <v>998.959412598716</v>
      </c>
      <c r="AC411" s="8" t="n">
        <f aca="false">AC409-AC410</f>
        <v>1018.93860085069</v>
      </c>
      <c r="AD411" s="8" t="n">
        <f aca="false">AD409-AD410</f>
        <v>1039.3173728677</v>
      </c>
      <c r="AE411" s="8" t="n">
        <f aca="false">AE409-AE410</f>
        <v>0</v>
      </c>
      <c r="AF411" s="8" t="n">
        <f aca="false">AF409-AF410</f>
        <v>0</v>
      </c>
      <c r="AG411" s="8" t="n">
        <f aca="false">AG409-AG410</f>
        <v>0</v>
      </c>
      <c r="AH411" s="8" t="n">
        <f aca="false">AH409-AH410</f>
        <v>0</v>
      </c>
      <c r="AI411" s="8" t="n">
        <f aca="false">AI409-AI410</f>
        <v>0</v>
      </c>
      <c r="AJ411" s="8" t="n">
        <f aca="false">AJ409-AJ410</f>
        <v>0</v>
      </c>
      <c r="AK411" s="8" t="n">
        <f aca="false">AK409-AK410</f>
        <v>0</v>
      </c>
      <c r="AL411" s="8" t="n">
        <f aca="false">AL409-AL410</f>
        <v>0</v>
      </c>
      <c r="AM411" s="8" t="n">
        <f aca="false">AM409-AM410</f>
        <v>0</v>
      </c>
      <c r="AN411" s="8" t="n">
        <f aca="false">AN409-AN410</f>
        <v>0</v>
      </c>
      <c r="AO411" s="8" t="n">
        <f aca="false">AO409-AO410</f>
        <v>0</v>
      </c>
      <c r="AP411" s="8" t="n">
        <f aca="false">AP409-AP410</f>
        <v>0</v>
      </c>
      <c r="AQ411" s="8" t="n">
        <f aca="false">AQ409-AQ410</f>
        <v>0</v>
      </c>
      <c r="AR411" s="8" t="n">
        <f aca="false">AR409-AR410</f>
        <v>0</v>
      </c>
      <c r="AS411" s="8" t="n">
        <f aca="false">AS409-AS410</f>
        <v>0</v>
      </c>
    </row>
    <row r="412" customFormat="false" ht="15" hidden="false" customHeight="false" outlineLevel="0" collapsed="false">
      <c r="A412" s="6" t="s">
        <v>457</v>
      </c>
      <c r="B412" s="6" t="s">
        <v>458</v>
      </c>
      <c r="C412" s="9" t="n">
        <f aca="false">SUM(G412:AS412)</f>
        <v>1433.59984721353</v>
      </c>
      <c r="G412" s="8" t="n">
        <f aca="false">((VST_Assets!$S$14*VST_Assets!$D$14*1000*G$4*G396+VST_Assets!$P$14*(1+VST_Assets!$Q$14)^(G$3-2026)*(G398+G399))/1000000+IF(G$3=VST_Assets!$AH$14,VST_Assets!$AG$14,0))*(1+VST_CapexAdj)</f>
        <v>47.124</v>
      </c>
      <c r="H412" s="8" t="n">
        <f aca="false">((VST_Assets!$S$14*VST_Assets!$D$14*1000*H$4*H396+VST_Assets!$P$14*(1+VST_Assets!$Q$14)^(H$3-2026)*(H398+H399))/1000000+IF(H$3=VST_Assets!$AH$14,VST_Assets!$AG$14,0))*(1+VST_CapexAdj)</f>
        <v>48.06648</v>
      </c>
      <c r="I412" s="8" t="n">
        <f aca="false">((VST_Assets!$S$14*VST_Assets!$D$14*1000*I$4*I396+VST_Assets!$P$14*(1+VST_Assets!$Q$14)^(I$3-2026)*(I398+I399))/1000000+IF(I$3=VST_Assets!$AH$14,VST_Assets!$AG$14,0))*(1+VST_CapexAdj)</f>
        <v>49.0278096</v>
      </c>
      <c r="J412" s="8" t="n">
        <f aca="false">((VST_Assets!$S$14*VST_Assets!$D$14*1000*J$4*J396+VST_Assets!$P$14*(1+VST_Assets!$Q$14)^(J$3-2026)*(J398+J399))/1000000+IF(J$3=VST_Assets!$AH$14,VST_Assets!$AG$14,0))*(1+VST_CapexAdj)</f>
        <v>50.008365792</v>
      </c>
      <c r="K412" s="8" t="n">
        <f aca="false">((VST_Assets!$S$14*VST_Assets!$D$14*1000*K$4*K396+VST_Assets!$P$14*(1+VST_Assets!$Q$14)^(K$3-2026)*(K398+K399))/1000000+IF(K$3=VST_Assets!$AH$14,VST_Assets!$AG$14,0))*(1+VST_CapexAdj)</f>
        <v>51.00853310784</v>
      </c>
      <c r="L412" s="8" t="n">
        <f aca="false">((VST_Assets!$S$14*VST_Assets!$D$14*1000*L$4*L396+VST_Assets!$P$14*(1+VST_Assets!$Q$14)^(L$3-2026)*(L398+L399))/1000000+IF(L$3=VST_Assets!$AH$14,VST_Assets!$AG$14,0))*(1+VST_CapexAdj)</f>
        <v>52.0287037699968</v>
      </c>
      <c r="M412" s="8" t="n">
        <f aca="false">((VST_Assets!$S$14*VST_Assets!$D$14*1000*M$4*M396+VST_Assets!$P$14*(1+VST_Assets!$Q$14)^(M$3-2026)*(M398+M399))/1000000+IF(M$3=VST_Assets!$AH$14,VST_Assets!$AG$14,0))*(1+VST_CapexAdj)</f>
        <v>53.0692778453967</v>
      </c>
      <c r="N412" s="8" t="n">
        <f aca="false">((VST_Assets!$S$14*VST_Assets!$D$14*1000*N$4*N396+VST_Assets!$P$14*(1+VST_Assets!$Q$14)^(N$3-2026)*(N398+N399))/1000000+IF(N$3=VST_Assets!$AH$14,VST_Assets!$AG$14,0))*(1+VST_CapexAdj)</f>
        <v>54.1306634023047</v>
      </c>
      <c r="O412" s="8" t="n">
        <f aca="false">((VST_Assets!$S$14*VST_Assets!$D$14*1000*O$4*O396+VST_Assets!$P$14*(1+VST_Assets!$Q$14)^(O$3-2026)*(O398+O399))/1000000+IF(O$3=VST_Assets!$AH$14,VST_Assets!$AG$14,0))*(1+VST_CapexAdj)</f>
        <v>55.2132766703508</v>
      </c>
      <c r="P412" s="8" t="n">
        <f aca="false">((VST_Assets!$S$14*VST_Assets!$D$14*1000*P$4*P396+VST_Assets!$P$14*(1+VST_Assets!$Q$14)^(P$3-2026)*(P398+P399))/1000000+IF(P$3=VST_Assets!$AH$14,VST_Assets!$AG$14,0))*(1+VST_CapexAdj)</f>
        <v>56.3175422037578</v>
      </c>
      <c r="Q412" s="8" t="n">
        <f aca="false">((VST_Assets!$S$14*VST_Assets!$D$14*1000*Q$4*Q396+VST_Assets!$P$14*(1+VST_Assets!$Q$14)^(Q$3-2026)*(Q398+Q399))/1000000+IF(Q$3=VST_Assets!$AH$14,VST_Assets!$AG$14,0))*(1+VST_CapexAdj)</f>
        <v>57.4438930478329</v>
      </c>
      <c r="R412" s="8" t="n">
        <f aca="false">((VST_Assets!$S$14*VST_Assets!$D$14*1000*R$4*R396+VST_Assets!$P$14*(1+VST_Assets!$Q$14)^(R$3-2026)*(R398+R399))/1000000+IF(R$3=VST_Assets!$AH$14,VST_Assets!$AG$14,0))*(1+VST_CapexAdj)</f>
        <v>58.5927709087896</v>
      </c>
      <c r="S412" s="8" t="n">
        <f aca="false">((VST_Assets!$S$14*VST_Assets!$D$14*1000*S$4*S396+VST_Assets!$P$14*(1+VST_Assets!$Q$14)^(S$3-2026)*(S398+S399))/1000000+IF(S$3=VST_Assets!$AH$14,VST_Assets!$AG$14,0))*(1+VST_CapexAdj)</f>
        <v>59.7646263269654</v>
      </c>
      <c r="T412" s="8" t="n">
        <f aca="false">((VST_Assets!$S$14*VST_Assets!$D$14*1000*T$4*T396+VST_Assets!$P$14*(1+VST_Assets!$Q$14)^(T$3-2026)*(T398+T399))/1000000+IF(T$3=VST_Assets!$AH$14,VST_Assets!$AG$14,0))*(1+VST_CapexAdj)</f>
        <v>60.9599188535047</v>
      </c>
      <c r="U412" s="8" t="n">
        <f aca="false">((VST_Assets!$S$14*VST_Assets!$D$14*1000*U$4*U396+VST_Assets!$P$14*(1+VST_Assets!$Q$14)^(U$3-2026)*(U398+U399))/1000000+IF(U$3=VST_Assets!$AH$14,VST_Assets!$AG$14,0))*(1+VST_CapexAdj)</f>
        <v>62.1791172305748</v>
      </c>
      <c r="V412" s="8" t="n">
        <f aca="false">((VST_Assets!$S$14*VST_Assets!$D$14*1000*V$4*V396+VST_Assets!$P$14*(1+VST_Assets!$Q$14)^(V$3-2026)*(V398+V399))/1000000+IF(V$3=VST_Assets!$AH$14,VST_Assets!$AG$14,0))*(1+VST_CapexAdj)</f>
        <v>63.4226995751863</v>
      </c>
      <c r="W412" s="8" t="n">
        <f aca="false">((VST_Assets!$S$14*VST_Assets!$D$14*1000*W$4*W396+VST_Assets!$P$14*(1+VST_Assets!$Q$14)^(W$3-2026)*(W398+W399))/1000000+IF(W$3=VST_Assets!$AH$14,VST_Assets!$AG$14,0))*(1+VST_CapexAdj)</f>
        <v>64.69115356669</v>
      </c>
      <c r="X412" s="8" t="n">
        <f aca="false">((VST_Assets!$S$14*VST_Assets!$D$14*1000*X$4*X396+VST_Assets!$P$14*(1+VST_Assets!$Q$14)^(X$3-2026)*(X398+X399))/1000000+IF(X$3=VST_Assets!$AH$14,VST_Assets!$AG$14,0))*(1+VST_CapexAdj)</f>
        <v>65.9849766380238</v>
      </c>
      <c r="Y412" s="8" t="n">
        <f aca="false">((VST_Assets!$S$14*VST_Assets!$D$14*1000*Y$4*Y396+VST_Assets!$P$14*(1+VST_Assets!$Q$14)^(Y$3-2026)*(Y398+Y399))/1000000+IF(Y$3=VST_Assets!$AH$14,VST_Assets!$AG$14,0))*(1+VST_CapexAdj)</f>
        <v>67.3046761707843</v>
      </c>
      <c r="Z412" s="8" t="n">
        <f aca="false">((VST_Assets!$S$14*VST_Assets!$D$14*1000*Z$4*Z396+VST_Assets!$P$14*(1+VST_Assets!$Q$14)^(Z$3-2026)*(Z398+Z399))/1000000+IF(Z$3=VST_Assets!$AH$14,VST_Assets!$AG$14,0))*(1+VST_CapexAdj)</f>
        <v>68.6507696942</v>
      </c>
      <c r="AA412" s="8" t="n">
        <f aca="false">((VST_Assets!$S$14*VST_Assets!$D$14*1000*AA$4*AA396+VST_Assets!$P$14*(1+VST_Assets!$Q$14)^(AA$3-2026)*(AA398+AA399))/1000000+IF(AA$3=VST_Assets!$AH$14,VST_Assets!$AG$14,0))*(1+VST_CapexAdj)</f>
        <v>70.023785088084</v>
      </c>
      <c r="AB412" s="8" t="n">
        <f aca="false">((VST_Assets!$S$14*VST_Assets!$D$14*1000*AB$4*AB396+VST_Assets!$P$14*(1+VST_Assets!$Q$14)^(AB$3-2026)*(AB398+AB399))/1000000+IF(AB$3=VST_Assets!$AH$14,VST_Assets!$AG$14,0))*(1+VST_CapexAdj)</f>
        <v>71.4242607898457</v>
      </c>
      <c r="AC412" s="8" t="n">
        <f aca="false">((VST_Assets!$S$14*VST_Assets!$D$14*1000*AC$4*AC396+VST_Assets!$P$14*(1+VST_Assets!$Q$14)^(AC$3-2026)*(AC398+AC399))/1000000+IF(AC$3=VST_Assets!$AH$14,VST_Assets!$AG$14,0))*(1+VST_CapexAdj)</f>
        <v>72.8527460056426</v>
      </c>
      <c r="AD412" s="8" t="n">
        <f aca="false">((VST_Assets!$S$14*VST_Assets!$D$14*1000*AD$4*AD396+VST_Assets!$P$14*(1+VST_Assets!$Q$14)^(AD$3-2026)*(AD398+AD399))/1000000+IF(AD$3=VST_Assets!$AH$14,VST_Assets!$AG$14,0))*(1+VST_CapexAdj)</f>
        <v>74.3098009257554</v>
      </c>
      <c r="AE412" s="8" t="n">
        <f aca="false">((VST_Assets!$S$14*VST_Assets!$D$14*1000*AE$4*AE396+VST_Assets!$P$14*(1+VST_Assets!$Q$14)^(AE$3-2026)*(AE398+AE399))/1000000+IF(AE$3=VST_Assets!$AH$14,VST_Assets!$AG$14,0))*(1+VST_CapexAdj)</f>
        <v>0</v>
      </c>
      <c r="AF412" s="8" t="n">
        <f aca="false">((VST_Assets!$S$14*VST_Assets!$D$14*1000*AF$4*AF396+VST_Assets!$P$14*(1+VST_Assets!$Q$14)^(AF$3-2026)*(AF398+AF399))/1000000+IF(AF$3=VST_Assets!$AH$14,VST_Assets!$AG$14,0))*(1+VST_CapexAdj)</f>
        <v>0</v>
      </c>
      <c r="AG412" s="8" t="n">
        <f aca="false">((VST_Assets!$S$14*VST_Assets!$D$14*1000*AG$4*AG396+VST_Assets!$P$14*(1+VST_Assets!$Q$14)^(AG$3-2026)*(AG398+AG399))/1000000+IF(AG$3=VST_Assets!$AH$14,VST_Assets!$AG$14,0))*(1+VST_CapexAdj)</f>
        <v>0</v>
      </c>
      <c r="AH412" s="8" t="n">
        <f aca="false">((VST_Assets!$S$14*VST_Assets!$D$14*1000*AH$4*AH396+VST_Assets!$P$14*(1+VST_Assets!$Q$14)^(AH$3-2026)*(AH398+AH399))/1000000+IF(AH$3=VST_Assets!$AH$14,VST_Assets!$AG$14,0))*(1+VST_CapexAdj)</f>
        <v>0</v>
      </c>
      <c r="AI412" s="8" t="n">
        <f aca="false">((VST_Assets!$S$14*VST_Assets!$D$14*1000*AI$4*AI396+VST_Assets!$P$14*(1+VST_Assets!$Q$14)^(AI$3-2026)*(AI398+AI399))/1000000+IF(AI$3=VST_Assets!$AH$14,VST_Assets!$AG$14,0))*(1+VST_CapexAdj)</f>
        <v>0</v>
      </c>
      <c r="AJ412" s="8" t="n">
        <f aca="false">((VST_Assets!$S$14*VST_Assets!$D$14*1000*AJ$4*AJ396+VST_Assets!$P$14*(1+VST_Assets!$Q$14)^(AJ$3-2026)*(AJ398+AJ399))/1000000+IF(AJ$3=VST_Assets!$AH$14,VST_Assets!$AG$14,0))*(1+VST_CapexAdj)</f>
        <v>0</v>
      </c>
      <c r="AK412" s="8" t="n">
        <f aca="false">((VST_Assets!$S$14*VST_Assets!$D$14*1000*AK$4*AK396+VST_Assets!$P$14*(1+VST_Assets!$Q$14)^(AK$3-2026)*(AK398+AK399))/1000000+IF(AK$3=VST_Assets!$AH$14,VST_Assets!$AG$14,0))*(1+VST_CapexAdj)</f>
        <v>0</v>
      </c>
      <c r="AL412" s="8" t="n">
        <f aca="false">((VST_Assets!$S$14*VST_Assets!$D$14*1000*AL$4*AL396+VST_Assets!$P$14*(1+VST_Assets!$Q$14)^(AL$3-2026)*(AL398+AL399))/1000000+IF(AL$3=VST_Assets!$AH$14,VST_Assets!$AG$14,0))*(1+VST_CapexAdj)</f>
        <v>0</v>
      </c>
      <c r="AM412" s="8" t="n">
        <f aca="false">((VST_Assets!$S$14*VST_Assets!$D$14*1000*AM$4*AM396+VST_Assets!$P$14*(1+VST_Assets!$Q$14)^(AM$3-2026)*(AM398+AM399))/1000000+IF(AM$3=VST_Assets!$AH$14,VST_Assets!$AG$14,0))*(1+VST_CapexAdj)</f>
        <v>0</v>
      </c>
      <c r="AN412" s="8" t="n">
        <f aca="false">((VST_Assets!$S$14*VST_Assets!$D$14*1000*AN$4*AN396+VST_Assets!$P$14*(1+VST_Assets!$Q$14)^(AN$3-2026)*(AN398+AN399))/1000000+IF(AN$3=VST_Assets!$AH$14,VST_Assets!$AG$14,0))*(1+VST_CapexAdj)</f>
        <v>0</v>
      </c>
      <c r="AO412" s="8" t="n">
        <f aca="false">((VST_Assets!$S$14*VST_Assets!$D$14*1000*AO$4*AO396+VST_Assets!$P$14*(1+VST_Assets!$Q$14)^(AO$3-2026)*(AO398+AO399))/1000000+IF(AO$3=VST_Assets!$AH$14,VST_Assets!$AG$14,0))*(1+VST_CapexAdj)</f>
        <v>0</v>
      </c>
      <c r="AP412" s="8" t="n">
        <f aca="false">((VST_Assets!$S$14*VST_Assets!$D$14*1000*AP$4*AP396+VST_Assets!$P$14*(1+VST_Assets!$Q$14)^(AP$3-2026)*(AP398+AP399))/1000000+IF(AP$3=VST_Assets!$AH$14,VST_Assets!$AG$14,0))*(1+VST_CapexAdj)</f>
        <v>0</v>
      </c>
      <c r="AQ412" s="8" t="n">
        <f aca="false">((VST_Assets!$S$14*VST_Assets!$D$14*1000*AQ$4*AQ396+VST_Assets!$P$14*(1+VST_Assets!$Q$14)^(AQ$3-2026)*(AQ398+AQ399))/1000000+IF(AQ$3=VST_Assets!$AH$14,VST_Assets!$AG$14,0))*(1+VST_CapexAdj)</f>
        <v>0</v>
      </c>
      <c r="AR412" s="8" t="n">
        <f aca="false">((VST_Assets!$S$14*VST_Assets!$D$14*1000*AR$4*AR396+VST_Assets!$P$14*(1+VST_Assets!$Q$14)^(AR$3-2026)*(AR398+AR399))/1000000+IF(AR$3=VST_Assets!$AH$14,VST_Assets!$AG$14,0))*(1+VST_CapexAdj)</f>
        <v>0</v>
      </c>
      <c r="AS412" s="8" t="n">
        <f aca="false">((VST_Assets!$S$14*VST_Assets!$D$14*1000*AS$4*AS396+VST_Assets!$P$14*(1+VST_Assets!$Q$14)^(AS$3-2026)*(AS398+AS399))/1000000+IF(AS$3=VST_Assets!$AH$14,VST_Assets!$AG$14,0))*(1+VST_CapexAdj)</f>
        <v>0</v>
      </c>
    </row>
    <row r="413" customFormat="false" ht="15" hidden="false" customHeight="false" outlineLevel="0" collapsed="false">
      <c r="A413" s="6" t="s">
        <v>459</v>
      </c>
      <c r="B413" s="6" t="s">
        <v>460</v>
      </c>
      <c r="C413" s="9" t="n">
        <f aca="false">SUM(G413:AS413)</f>
        <v>19294.3066898067</v>
      </c>
      <c r="G413" s="8" t="n">
        <f aca="false">IF(VST_Assets!$Y$14=1,MAX(0,G411-G412),G411-G412)</f>
        <v>912.0357708</v>
      </c>
      <c r="H413" s="8" t="n">
        <f aca="false">IF(VST_Assets!$Y$14=1,MAX(0,H411-H412),H411-H412)</f>
        <v>911.996016162</v>
      </c>
      <c r="I413" s="8" t="n">
        <f aca="false">IF(VST_Assets!$Y$14=1,MAX(0,I411-I412),I411-I412)</f>
        <v>726.010341262514</v>
      </c>
      <c r="J413" s="8" t="n">
        <f aca="false">IF(VST_Assets!$Y$14=1,MAX(0,J411-J412),J411-J412)</f>
        <v>649.422432149143</v>
      </c>
      <c r="K413" s="8" t="n">
        <f aca="false">IF(VST_Assets!$Y$14=1,MAX(0,K411-K412),K411-K412)</f>
        <v>662.410880792126</v>
      </c>
      <c r="L413" s="8" t="n">
        <f aca="false">IF(VST_Assets!$Y$14=1,MAX(0,L411-L412),L411-L412)</f>
        <v>675.659098407968</v>
      </c>
      <c r="M413" s="8" t="n">
        <f aca="false">IF(VST_Assets!$Y$14=1,MAX(0,M411-M412),M411-M412)</f>
        <v>689.172280376128</v>
      </c>
      <c r="N413" s="8" t="n">
        <f aca="false">IF(VST_Assets!$Y$14=1,MAX(0,N411-N412),N411-N412)</f>
        <v>702.95572598365</v>
      </c>
      <c r="O413" s="8" t="n">
        <f aca="false">IF(VST_Assets!$Y$14=1,MAX(0,O411-O412),O411-O412)</f>
        <v>717.014840503323</v>
      </c>
      <c r="P413" s="8" t="n">
        <f aca="false">IF(VST_Assets!$Y$14=1,MAX(0,P411-P412),P411-P412)</f>
        <v>731.35513731339</v>
      </c>
      <c r="Q413" s="8" t="n">
        <f aca="false">IF(VST_Assets!$Y$14=1,MAX(0,Q411-Q412),Q411-Q412)</f>
        <v>745.982240059658</v>
      </c>
      <c r="R413" s="8" t="n">
        <f aca="false">IF(VST_Assets!$Y$14=1,MAX(0,R411-R412),R411-R412)</f>
        <v>760.901884860851</v>
      </c>
      <c r="S413" s="8" t="n">
        <f aca="false">IF(VST_Assets!$Y$14=1,MAX(0,S411-S412),S411-S412)</f>
        <v>776.119922558068</v>
      </c>
      <c r="T413" s="8" t="n">
        <f aca="false">IF(VST_Assets!$Y$14=1,MAX(0,T411-T412),T411-T412)</f>
        <v>791.642321009229</v>
      </c>
      <c r="U413" s="8" t="n">
        <f aca="false">IF(VST_Assets!$Y$14=1,MAX(0,U411-U412),U411-U412)</f>
        <v>807.475167429414</v>
      </c>
      <c r="V413" s="8" t="n">
        <f aca="false">IF(VST_Assets!$Y$14=1,MAX(0,V411-V412),V411-V412)</f>
        <v>823.624670778002</v>
      </c>
      <c r="W413" s="8" t="n">
        <f aca="false">IF(VST_Assets!$Y$14=1,MAX(0,W411-W412),W411-W412)</f>
        <v>840.097164193562</v>
      </c>
      <c r="X413" s="8" t="n">
        <f aca="false">IF(VST_Assets!$Y$14=1,MAX(0,X411-X412),X411-X412)</f>
        <v>856.899107477434</v>
      </c>
      <c r="Y413" s="8" t="n">
        <f aca="false">IF(VST_Assets!$Y$14=1,MAX(0,Y411-Y412),Y411-Y412)</f>
        <v>874.037089626982</v>
      </c>
      <c r="Z413" s="8" t="n">
        <f aca="false">IF(VST_Assets!$Y$14=1,MAX(0,Z411-Z412),Z411-Z412)</f>
        <v>891.517831419522</v>
      </c>
      <c r="AA413" s="8" t="n">
        <f aca="false">IF(VST_Assets!$Y$14=1,MAX(0,AA411-AA412),AA411-AA412)</f>
        <v>909.348188047912</v>
      </c>
      <c r="AB413" s="8" t="n">
        <f aca="false">IF(VST_Assets!$Y$14=1,MAX(0,AB411-AB412),AB411-AB412)</f>
        <v>927.535151808871</v>
      </c>
      <c r="AC413" s="8" t="n">
        <f aca="false">IF(VST_Assets!$Y$14=1,MAX(0,AC411-AC412),AC411-AC412)</f>
        <v>946.085854845048</v>
      </c>
      <c r="AD413" s="8" t="n">
        <f aca="false">IF(VST_Assets!$Y$14=1,MAX(0,AD411-AD412),AD411-AD412)</f>
        <v>965.007571941949</v>
      </c>
      <c r="AE413" s="8" t="n">
        <f aca="false">IF(VST_Assets!$Y$14=1,MAX(0,AE411-AE412),AE411-AE412)</f>
        <v>0</v>
      </c>
      <c r="AF413" s="8" t="n">
        <f aca="false">IF(VST_Assets!$Y$14=1,MAX(0,AF411-AF412),AF411-AF412)</f>
        <v>0</v>
      </c>
      <c r="AG413" s="8" t="n">
        <f aca="false">IF(VST_Assets!$Y$14=1,MAX(0,AG411-AG412),AG411-AG412)</f>
        <v>0</v>
      </c>
      <c r="AH413" s="8" t="n">
        <f aca="false">IF(VST_Assets!$Y$14=1,MAX(0,AH411-AH412),AH411-AH412)</f>
        <v>0</v>
      </c>
      <c r="AI413" s="8" t="n">
        <f aca="false">IF(VST_Assets!$Y$14=1,MAX(0,AI411-AI412),AI411-AI412)</f>
        <v>0</v>
      </c>
      <c r="AJ413" s="8" t="n">
        <f aca="false">IF(VST_Assets!$Y$14=1,MAX(0,AJ411-AJ412),AJ411-AJ412)</f>
        <v>0</v>
      </c>
      <c r="AK413" s="8" t="n">
        <f aca="false">IF(VST_Assets!$Y$14=1,MAX(0,AK411-AK412),AK411-AK412)</f>
        <v>0</v>
      </c>
      <c r="AL413" s="8" t="n">
        <f aca="false">IF(VST_Assets!$Y$14=1,MAX(0,AL411-AL412),AL411-AL412)</f>
        <v>0</v>
      </c>
      <c r="AM413" s="8" t="n">
        <f aca="false">IF(VST_Assets!$Y$14=1,MAX(0,AM411-AM412),AM411-AM412)</f>
        <v>0</v>
      </c>
      <c r="AN413" s="8" t="n">
        <f aca="false">IF(VST_Assets!$Y$14=1,MAX(0,AN411-AN412),AN411-AN412)</f>
        <v>0</v>
      </c>
      <c r="AO413" s="8" t="n">
        <f aca="false">IF(VST_Assets!$Y$14=1,MAX(0,AO411-AO412),AO411-AO412)</f>
        <v>0</v>
      </c>
      <c r="AP413" s="8" t="n">
        <f aca="false">IF(VST_Assets!$Y$14=1,MAX(0,AP411-AP412),AP411-AP412)</f>
        <v>0</v>
      </c>
      <c r="AQ413" s="8" t="n">
        <f aca="false">IF(VST_Assets!$Y$14=1,MAX(0,AQ411-AQ412),AQ411-AQ412)</f>
        <v>0</v>
      </c>
      <c r="AR413" s="8" t="n">
        <f aca="false">IF(VST_Assets!$Y$14=1,MAX(0,AR411-AR412),AR411-AR412)</f>
        <v>0</v>
      </c>
      <c r="AS413" s="8" t="n">
        <f aca="false">IF(VST_Assets!$Y$14=1,MAX(0,AS411-AS412),AS411-AS412)</f>
        <v>0</v>
      </c>
    </row>
    <row r="414" customFormat="false" ht="15" hidden="false" customHeight="false" outlineLevel="0" collapsed="false">
      <c r="A414" s="6" t="s">
        <v>461</v>
      </c>
      <c r="B414" s="6" t="s">
        <v>462</v>
      </c>
      <c r="C414" s="9" t="n">
        <f aca="false">SUM(G414:AS414)</f>
        <v>0</v>
      </c>
      <c r="G414" s="8" t="n">
        <f aca="false">IF(AND(VST_Assets!$W$14=1,G$3&lt;=PTCLast,G398&gt;0),G398*MAX(0,PTCCredit*(1+Infl)^(G$3-PTCBase)-0.8*MAX(0,(G403+G404+G406)*1000000/MAX(1,G398)-PTCThresh*(1+Infl)^(G$3-PTCBase)))/1000000,0)</f>
        <v>0</v>
      </c>
      <c r="H414" s="8" t="n">
        <f aca="false">IF(AND(VST_Assets!$W$14=1,H$3&lt;=PTCLast,H398&gt;0),H398*MAX(0,PTCCredit*(1+Infl)^(H$3-PTCBase)-0.8*MAX(0,(H403+H404+H406)*1000000/MAX(1,H398)-PTCThresh*(1+Infl)^(H$3-PTCBase)))/1000000,0)</f>
        <v>0</v>
      </c>
      <c r="I414" s="8" t="n">
        <f aca="false">IF(AND(VST_Assets!$W$14=1,I$3&lt;=PTCLast,I398&gt;0),I398*MAX(0,PTCCredit*(1+Infl)^(I$3-PTCBase)-0.8*MAX(0,(I403+I404+I406)*1000000/MAX(1,I398)-PTCThresh*(1+Infl)^(I$3-PTCBase)))/1000000,0)</f>
        <v>0</v>
      </c>
      <c r="J414" s="8" t="n">
        <f aca="false">IF(AND(VST_Assets!$W$14=1,J$3&lt;=PTCLast,J398&gt;0),J398*MAX(0,PTCCredit*(1+Infl)^(J$3-PTCBase)-0.8*MAX(0,(J403+J404+J406)*1000000/MAX(1,J398)-PTCThresh*(1+Infl)^(J$3-PTCBase)))/1000000,0)</f>
        <v>0</v>
      </c>
      <c r="K414" s="8" t="n">
        <f aca="false">IF(AND(VST_Assets!$W$14=1,K$3&lt;=PTCLast,K398&gt;0),K398*MAX(0,PTCCredit*(1+Infl)^(K$3-PTCBase)-0.8*MAX(0,(K403+K404+K406)*1000000/MAX(1,K398)-PTCThresh*(1+Infl)^(K$3-PTCBase)))/1000000,0)</f>
        <v>0</v>
      </c>
      <c r="L414" s="8" t="n">
        <f aca="false">IF(AND(VST_Assets!$W$14=1,L$3&lt;=PTCLast,L398&gt;0),L398*MAX(0,PTCCredit*(1+Infl)^(L$3-PTCBase)-0.8*MAX(0,(L403+L404+L406)*1000000/MAX(1,L398)-PTCThresh*(1+Infl)^(L$3-PTCBase)))/1000000,0)</f>
        <v>0</v>
      </c>
      <c r="M414" s="8" t="n">
        <f aca="false">IF(AND(VST_Assets!$W$14=1,M$3&lt;=PTCLast,M398&gt;0),M398*MAX(0,PTCCredit*(1+Infl)^(M$3-PTCBase)-0.8*MAX(0,(M403+M404+M406)*1000000/MAX(1,M398)-PTCThresh*(1+Infl)^(M$3-PTCBase)))/1000000,0)</f>
        <v>0</v>
      </c>
      <c r="N414" s="8" t="n">
        <f aca="false">IF(AND(VST_Assets!$W$14=1,N$3&lt;=PTCLast,N398&gt;0),N398*MAX(0,PTCCredit*(1+Infl)^(N$3-PTCBase)-0.8*MAX(0,(N403+N404+N406)*1000000/MAX(1,N398)-PTCThresh*(1+Infl)^(N$3-PTCBase)))/1000000,0)</f>
        <v>0</v>
      </c>
      <c r="O414" s="8" t="n">
        <f aca="false">IF(AND(VST_Assets!$W$14=1,O$3&lt;=PTCLast,O398&gt;0),O398*MAX(0,PTCCredit*(1+Infl)^(O$3-PTCBase)-0.8*MAX(0,(O403+O404+O406)*1000000/MAX(1,O398)-PTCThresh*(1+Infl)^(O$3-PTCBase)))/1000000,0)</f>
        <v>0</v>
      </c>
      <c r="P414" s="8" t="n">
        <f aca="false">IF(AND(VST_Assets!$W$14=1,P$3&lt;=PTCLast,P398&gt;0),P398*MAX(0,PTCCredit*(1+Infl)^(P$3-PTCBase)-0.8*MAX(0,(P403+P404+P406)*1000000/MAX(1,P398)-PTCThresh*(1+Infl)^(P$3-PTCBase)))/1000000,0)</f>
        <v>0</v>
      </c>
      <c r="Q414" s="8" t="n">
        <f aca="false">IF(AND(VST_Assets!$W$14=1,Q$3&lt;=PTCLast,Q398&gt;0),Q398*MAX(0,PTCCredit*(1+Infl)^(Q$3-PTCBase)-0.8*MAX(0,(Q403+Q404+Q406)*1000000/MAX(1,Q398)-PTCThresh*(1+Infl)^(Q$3-PTCBase)))/1000000,0)</f>
        <v>0</v>
      </c>
      <c r="R414" s="8" t="n">
        <f aca="false">IF(AND(VST_Assets!$W$14=1,R$3&lt;=PTCLast,R398&gt;0),R398*MAX(0,PTCCredit*(1+Infl)^(R$3-PTCBase)-0.8*MAX(0,(R403+R404+R406)*1000000/MAX(1,R398)-PTCThresh*(1+Infl)^(R$3-PTCBase)))/1000000,0)</f>
        <v>0</v>
      </c>
      <c r="S414" s="8" t="n">
        <f aca="false">IF(AND(VST_Assets!$W$14=1,S$3&lt;=PTCLast,S398&gt;0),S398*MAX(0,PTCCredit*(1+Infl)^(S$3-PTCBase)-0.8*MAX(0,(S403+S404+S406)*1000000/MAX(1,S398)-PTCThresh*(1+Infl)^(S$3-PTCBase)))/1000000,0)</f>
        <v>0</v>
      </c>
      <c r="T414" s="8" t="n">
        <f aca="false">IF(AND(VST_Assets!$W$14=1,T$3&lt;=PTCLast,T398&gt;0),T398*MAX(0,PTCCredit*(1+Infl)^(T$3-PTCBase)-0.8*MAX(0,(T403+T404+T406)*1000000/MAX(1,T398)-PTCThresh*(1+Infl)^(T$3-PTCBase)))/1000000,0)</f>
        <v>0</v>
      </c>
      <c r="U414" s="8" t="n">
        <f aca="false">IF(AND(VST_Assets!$W$14=1,U$3&lt;=PTCLast,U398&gt;0),U398*MAX(0,PTCCredit*(1+Infl)^(U$3-PTCBase)-0.8*MAX(0,(U403+U404+U406)*1000000/MAX(1,U398)-PTCThresh*(1+Infl)^(U$3-PTCBase)))/1000000,0)</f>
        <v>0</v>
      </c>
      <c r="V414" s="8" t="n">
        <f aca="false">IF(AND(VST_Assets!$W$14=1,V$3&lt;=PTCLast,V398&gt;0),V398*MAX(0,PTCCredit*(1+Infl)^(V$3-PTCBase)-0.8*MAX(0,(V403+V404+V406)*1000000/MAX(1,V398)-PTCThresh*(1+Infl)^(V$3-PTCBase)))/1000000,0)</f>
        <v>0</v>
      </c>
      <c r="W414" s="8" t="n">
        <f aca="false">IF(AND(VST_Assets!$W$14=1,W$3&lt;=PTCLast,W398&gt;0),W398*MAX(0,PTCCredit*(1+Infl)^(W$3-PTCBase)-0.8*MAX(0,(W403+W404+W406)*1000000/MAX(1,W398)-PTCThresh*(1+Infl)^(W$3-PTCBase)))/1000000,0)</f>
        <v>0</v>
      </c>
      <c r="X414" s="8" t="n">
        <f aca="false">IF(AND(VST_Assets!$W$14=1,X$3&lt;=PTCLast,X398&gt;0),X398*MAX(0,PTCCredit*(1+Infl)^(X$3-PTCBase)-0.8*MAX(0,(X403+X404+X406)*1000000/MAX(1,X398)-PTCThresh*(1+Infl)^(X$3-PTCBase)))/1000000,0)</f>
        <v>0</v>
      </c>
      <c r="Y414" s="8" t="n">
        <f aca="false">IF(AND(VST_Assets!$W$14=1,Y$3&lt;=PTCLast,Y398&gt;0),Y398*MAX(0,PTCCredit*(1+Infl)^(Y$3-PTCBase)-0.8*MAX(0,(Y403+Y404+Y406)*1000000/MAX(1,Y398)-PTCThresh*(1+Infl)^(Y$3-PTCBase)))/1000000,0)</f>
        <v>0</v>
      </c>
      <c r="Z414" s="8" t="n">
        <f aca="false">IF(AND(VST_Assets!$W$14=1,Z$3&lt;=PTCLast,Z398&gt;0),Z398*MAX(0,PTCCredit*(1+Infl)^(Z$3-PTCBase)-0.8*MAX(0,(Z403+Z404+Z406)*1000000/MAX(1,Z398)-PTCThresh*(1+Infl)^(Z$3-PTCBase)))/1000000,0)</f>
        <v>0</v>
      </c>
      <c r="AA414" s="8" t="n">
        <f aca="false">IF(AND(VST_Assets!$W$14=1,AA$3&lt;=PTCLast,AA398&gt;0),AA398*MAX(0,PTCCredit*(1+Infl)^(AA$3-PTCBase)-0.8*MAX(0,(AA403+AA404+AA406)*1000000/MAX(1,AA398)-PTCThresh*(1+Infl)^(AA$3-PTCBase)))/1000000,0)</f>
        <v>0</v>
      </c>
      <c r="AB414" s="8" t="n">
        <f aca="false">IF(AND(VST_Assets!$W$14=1,AB$3&lt;=PTCLast,AB398&gt;0),AB398*MAX(0,PTCCredit*(1+Infl)^(AB$3-PTCBase)-0.8*MAX(0,(AB403+AB404+AB406)*1000000/MAX(1,AB398)-PTCThresh*(1+Infl)^(AB$3-PTCBase)))/1000000,0)</f>
        <v>0</v>
      </c>
      <c r="AC414" s="8" t="n">
        <f aca="false">IF(AND(VST_Assets!$W$14=1,AC$3&lt;=PTCLast,AC398&gt;0),AC398*MAX(0,PTCCredit*(1+Infl)^(AC$3-PTCBase)-0.8*MAX(0,(AC403+AC404+AC406)*1000000/MAX(1,AC398)-PTCThresh*(1+Infl)^(AC$3-PTCBase)))/1000000,0)</f>
        <v>0</v>
      </c>
      <c r="AD414" s="8" t="n">
        <f aca="false">IF(AND(VST_Assets!$W$14=1,AD$3&lt;=PTCLast,AD398&gt;0),AD398*MAX(0,PTCCredit*(1+Infl)^(AD$3-PTCBase)-0.8*MAX(0,(AD403+AD404+AD406)*1000000/MAX(1,AD398)-PTCThresh*(1+Infl)^(AD$3-PTCBase)))/1000000,0)</f>
        <v>0</v>
      </c>
      <c r="AE414" s="8" t="n">
        <f aca="false">IF(AND(VST_Assets!$W$14=1,AE$3&lt;=PTCLast,AE398&gt;0),AE398*MAX(0,PTCCredit*(1+Infl)^(AE$3-PTCBase)-0.8*MAX(0,(AE403+AE404+AE406)*1000000/MAX(1,AE398)-PTCThresh*(1+Infl)^(AE$3-PTCBase)))/1000000,0)</f>
        <v>0</v>
      </c>
      <c r="AF414" s="8" t="n">
        <f aca="false">IF(AND(VST_Assets!$W$14=1,AF$3&lt;=PTCLast,AF398&gt;0),AF398*MAX(0,PTCCredit*(1+Infl)^(AF$3-PTCBase)-0.8*MAX(0,(AF403+AF404+AF406)*1000000/MAX(1,AF398)-PTCThresh*(1+Infl)^(AF$3-PTCBase)))/1000000,0)</f>
        <v>0</v>
      </c>
      <c r="AG414" s="8" t="n">
        <f aca="false">IF(AND(VST_Assets!$W$14=1,AG$3&lt;=PTCLast,AG398&gt;0),AG398*MAX(0,PTCCredit*(1+Infl)^(AG$3-PTCBase)-0.8*MAX(0,(AG403+AG404+AG406)*1000000/MAX(1,AG398)-PTCThresh*(1+Infl)^(AG$3-PTCBase)))/1000000,0)</f>
        <v>0</v>
      </c>
      <c r="AH414" s="8" t="n">
        <f aca="false">IF(AND(VST_Assets!$W$14=1,AH$3&lt;=PTCLast,AH398&gt;0),AH398*MAX(0,PTCCredit*(1+Infl)^(AH$3-PTCBase)-0.8*MAX(0,(AH403+AH404+AH406)*1000000/MAX(1,AH398)-PTCThresh*(1+Infl)^(AH$3-PTCBase)))/1000000,0)</f>
        <v>0</v>
      </c>
      <c r="AI414" s="8" t="n">
        <f aca="false">IF(AND(VST_Assets!$W$14=1,AI$3&lt;=PTCLast,AI398&gt;0),AI398*MAX(0,PTCCredit*(1+Infl)^(AI$3-PTCBase)-0.8*MAX(0,(AI403+AI404+AI406)*1000000/MAX(1,AI398)-PTCThresh*(1+Infl)^(AI$3-PTCBase)))/1000000,0)</f>
        <v>0</v>
      </c>
      <c r="AJ414" s="8" t="n">
        <f aca="false">IF(AND(VST_Assets!$W$14=1,AJ$3&lt;=PTCLast,AJ398&gt;0),AJ398*MAX(0,PTCCredit*(1+Infl)^(AJ$3-PTCBase)-0.8*MAX(0,(AJ403+AJ404+AJ406)*1000000/MAX(1,AJ398)-PTCThresh*(1+Infl)^(AJ$3-PTCBase)))/1000000,0)</f>
        <v>0</v>
      </c>
      <c r="AK414" s="8" t="n">
        <f aca="false">IF(AND(VST_Assets!$W$14=1,AK$3&lt;=PTCLast,AK398&gt;0),AK398*MAX(0,PTCCredit*(1+Infl)^(AK$3-PTCBase)-0.8*MAX(0,(AK403+AK404+AK406)*1000000/MAX(1,AK398)-PTCThresh*(1+Infl)^(AK$3-PTCBase)))/1000000,0)</f>
        <v>0</v>
      </c>
      <c r="AL414" s="8" t="n">
        <f aca="false">IF(AND(VST_Assets!$W$14=1,AL$3&lt;=PTCLast,AL398&gt;0),AL398*MAX(0,PTCCredit*(1+Infl)^(AL$3-PTCBase)-0.8*MAX(0,(AL403+AL404+AL406)*1000000/MAX(1,AL398)-PTCThresh*(1+Infl)^(AL$3-PTCBase)))/1000000,0)</f>
        <v>0</v>
      </c>
      <c r="AM414" s="8" t="n">
        <f aca="false">IF(AND(VST_Assets!$W$14=1,AM$3&lt;=PTCLast,AM398&gt;0),AM398*MAX(0,PTCCredit*(1+Infl)^(AM$3-PTCBase)-0.8*MAX(0,(AM403+AM404+AM406)*1000000/MAX(1,AM398)-PTCThresh*(1+Infl)^(AM$3-PTCBase)))/1000000,0)</f>
        <v>0</v>
      </c>
      <c r="AN414" s="8" t="n">
        <f aca="false">IF(AND(VST_Assets!$W$14=1,AN$3&lt;=PTCLast,AN398&gt;0),AN398*MAX(0,PTCCredit*(1+Infl)^(AN$3-PTCBase)-0.8*MAX(0,(AN403+AN404+AN406)*1000000/MAX(1,AN398)-PTCThresh*(1+Infl)^(AN$3-PTCBase)))/1000000,0)</f>
        <v>0</v>
      </c>
      <c r="AO414" s="8" t="n">
        <f aca="false">IF(AND(VST_Assets!$W$14=1,AO$3&lt;=PTCLast,AO398&gt;0),AO398*MAX(0,PTCCredit*(1+Infl)^(AO$3-PTCBase)-0.8*MAX(0,(AO403+AO404+AO406)*1000000/MAX(1,AO398)-PTCThresh*(1+Infl)^(AO$3-PTCBase)))/1000000,0)</f>
        <v>0</v>
      </c>
      <c r="AP414" s="8" t="n">
        <f aca="false">IF(AND(VST_Assets!$W$14=1,AP$3&lt;=PTCLast,AP398&gt;0),AP398*MAX(0,PTCCredit*(1+Infl)^(AP$3-PTCBase)-0.8*MAX(0,(AP403+AP404+AP406)*1000000/MAX(1,AP398)-PTCThresh*(1+Infl)^(AP$3-PTCBase)))/1000000,0)</f>
        <v>0</v>
      </c>
      <c r="AQ414" s="8" t="n">
        <f aca="false">IF(AND(VST_Assets!$W$14=1,AQ$3&lt;=PTCLast,AQ398&gt;0),AQ398*MAX(0,PTCCredit*(1+Infl)^(AQ$3-PTCBase)-0.8*MAX(0,(AQ403+AQ404+AQ406)*1000000/MAX(1,AQ398)-PTCThresh*(1+Infl)^(AQ$3-PTCBase)))/1000000,0)</f>
        <v>0</v>
      </c>
      <c r="AR414" s="8" t="n">
        <f aca="false">IF(AND(VST_Assets!$W$14=1,AR$3&lt;=PTCLast,AR398&gt;0),AR398*MAX(0,PTCCredit*(1+Infl)^(AR$3-PTCBase)-0.8*MAX(0,(AR403+AR404+AR406)*1000000/MAX(1,AR398)-PTCThresh*(1+Infl)^(AR$3-PTCBase)))/1000000,0)</f>
        <v>0</v>
      </c>
      <c r="AS414" s="8" t="n">
        <f aca="false">IF(AND(VST_Assets!$W$14=1,AS$3&lt;=PTCLast,AS398&gt;0),AS398*MAX(0,PTCCredit*(1+Infl)^(AS$3-PTCBase)-0.8*MAX(0,(AS403+AS404+AS406)*1000000/MAX(1,AS398)-PTCThresh*(1+Infl)^(AS$3-PTCBase)))/1000000,0)</f>
        <v>0</v>
      </c>
    </row>
    <row r="415" customFormat="false" ht="15" hidden="false" customHeight="false" outlineLevel="0" collapsed="false">
      <c r="A415" s="6" t="s">
        <v>463</v>
      </c>
      <c r="B415" s="6" t="s">
        <v>464</v>
      </c>
      <c r="G415" s="8" t="n">
        <f aca="false">G405-G399*(VST_Assets!$N$14*(1+VST_FuelAdj)+VST_Assets!$O$14*(1+VST_OMAdj)+VST_Assets!$P$14*(1+VST_CapexAdj))*(1+VST_Assets!$Q$14)^(G$3-2026)/1000000</f>
        <v>0</v>
      </c>
      <c r="H415" s="8" t="n">
        <f aca="false">H405-H399*(VST_Assets!$N$14*(1+VST_FuelAdj)+VST_Assets!$O$14*(1+VST_OMAdj)+VST_Assets!$P$14*(1+VST_CapexAdj))*(1+VST_Assets!$Q$14)^(H$3-2026)/1000000</f>
        <v>0</v>
      </c>
      <c r="I415" s="8" t="n">
        <f aca="false">I405-I399*(VST_Assets!$N$14*(1+VST_FuelAdj)+VST_Assets!$O$14*(1+VST_OMAdj)+VST_Assets!$P$14*(1+VST_CapexAdj))*(1+VST_Assets!$Q$14)^(I$3-2026)/1000000</f>
        <v>0</v>
      </c>
      <c r="J415" s="8" t="n">
        <f aca="false">J405-J399*(VST_Assets!$N$14*(1+VST_FuelAdj)+VST_Assets!$O$14*(1+VST_OMAdj)+VST_Assets!$P$14*(1+VST_CapexAdj))*(1+VST_Assets!$Q$14)^(J$3-2026)/1000000</f>
        <v>0</v>
      </c>
      <c r="K415" s="8" t="n">
        <f aca="false">K405-K399*(VST_Assets!$N$14*(1+VST_FuelAdj)+VST_Assets!$O$14*(1+VST_OMAdj)+VST_Assets!$P$14*(1+VST_CapexAdj))*(1+VST_Assets!$Q$14)^(K$3-2026)/1000000</f>
        <v>0</v>
      </c>
      <c r="L415" s="8" t="n">
        <f aca="false">L405-L399*(VST_Assets!$N$14*(1+VST_FuelAdj)+VST_Assets!$O$14*(1+VST_OMAdj)+VST_Assets!$P$14*(1+VST_CapexAdj))*(1+VST_Assets!$Q$14)^(L$3-2026)/1000000</f>
        <v>0</v>
      </c>
      <c r="M415" s="8" t="n">
        <f aca="false">M405-M399*(VST_Assets!$N$14*(1+VST_FuelAdj)+VST_Assets!$O$14*(1+VST_OMAdj)+VST_Assets!$P$14*(1+VST_CapexAdj))*(1+VST_Assets!$Q$14)^(M$3-2026)/1000000</f>
        <v>0</v>
      </c>
      <c r="N415" s="8" t="n">
        <f aca="false">N405-N399*(VST_Assets!$N$14*(1+VST_FuelAdj)+VST_Assets!$O$14*(1+VST_OMAdj)+VST_Assets!$P$14*(1+VST_CapexAdj))*(1+VST_Assets!$Q$14)^(N$3-2026)/1000000</f>
        <v>0</v>
      </c>
      <c r="O415" s="8" t="n">
        <f aca="false">O405-O399*(VST_Assets!$N$14*(1+VST_FuelAdj)+VST_Assets!$O$14*(1+VST_OMAdj)+VST_Assets!$P$14*(1+VST_CapexAdj))*(1+VST_Assets!$Q$14)^(O$3-2026)/1000000</f>
        <v>0</v>
      </c>
      <c r="P415" s="8" t="n">
        <f aca="false">P405-P399*(VST_Assets!$N$14*(1+VST_FuelAdj)+VST_Assets!$O$14*(1+VST_OMAdj)+VST_Assets!$P$14*(1+VST_CapexAdj))*(1+VST_Assets!$Q$14)^(P$3-2026)/1000000</f>
        <v>0</v>
      </c>
      <c r="Q415" s="8" t="n">
        <f aca="false">Q405-Q399*(VST_Assets!$N$14*(1+VST_FuelAdj)+VST_Assets!$O$14*(1+VST_OMAdj)+VST_Assets!$P$14*(1+VST_CapexAdj))*(1+VST_Assets!$Q$14)^(Q$3-2026)/1000000</f>
        <v>0</v>
      </c>
      <c r="R415" s="8" t="n">
        <f aca="false">R405-R399*(VST_Assets!$N$14*(1+VST_FuelAdj)+VST_Assets!$O$14*(1+VST_OMAdj)+VST_Assets!$P$14*(1+VST_CapexAdj))*(1+VST_Assets!$Q$14)^(R$3-2026)/1000000</f>
        <v>0</v>
      </c>
      <c r="S415" s="8" t="n">
        <f aca="false">S405-S399*(VST_Assets!$N$14*(1+VST_FuelAdj)+VST_Assets!$O$14*(1+VST_OMAdj)+VST_Assets!$P$14*(1+VST_CapexAdj))*(1+VST_Assets!$Q$14)^(S$3-2026)/1000000</f>
        <v>0</v>
      </c>
      <c r="T415" s="8" t="n">
        <f aca="false">T405-T399*(VST_Assets!$N$14*(1+VST_FuelAdj)+VST_Assets!$O$14*(1+VST_OMAdj)+VST_Assets!$P$14*(1+VST_CapexAdj))*(1+VST_Assets!$Q$14)^(T$3-2026)/1000000</f>
        <v>0</v>
      </c>
      <c r="U415" s="8" t="n">
        <f aca="false">U405-U399*(VST_Assets!$N$14*(1+VST_FuelAdj)+VST_Assets!$O$14*(1+VST_OMAdj)+VST_Assets!$P$14*(1+VST_CapexAdj))*(1+VST_Assets!$Q$14)^(U$3-2026)/1000000</f>
        <v>0</v>
      </c>
      <c r="V415" s="8" t="n">
        <f aca="false">V405-V399*(VST_Assets!$N$14*(1+VST_FuelAdj)+VST_Assets!$O$14*(1+VST_OMAdj)+VST_Assets!$P$14*(1+VST_CapexAdj))*(1+VST_Assets!$Q$14)^(V$3-2026)/1000000</f>
        <v>0</v>
      </c>
      <c r="W415" s="8" t="n">
        <f aca="false">W405-W399*(VST_Assets!$N$14*(1+VST_FuelAdj)+VST_Assets!$O$14*(1+VST_OMAdj)+VST_Assets!$P$14*(1+VST_CapexAdj))*(1+VST_Assets!$Q$14)^(W$3-2026)/1000000</f>
        <v>0</v>
      </c>
      <c r="X415" s="8" t="n">
        <f aca="false">X405-X399*(VST_Assets!$N$14*(1+VST_FuelAdj)+VST_Assets!$O$14*(1+VST_OMAdj)+VST_Assets!$P$14*(1+VST_CapexAdj))*(1+VST_Assets!$Q$14)^(X$3-2026)/1000000</f>
        <v>0</v>
      </c>
      <c r="Y415" s="8" t="n">
        <f aca="false">Y405-Y399*(VST_Assets!$N$14*(1+VST_FuelAdj)+VST_Assets!$O$14*(1+VST_OMAdj)+VST_Assets!$P$14*(1+VST_CapexAdj))*(1+VST_Assets!$Q$14)^(Y$3-2026)/1000000</f>
        <v>0</v>
      </c>
      <c r="Z415" s="8" t="n">
        <f aca="false">Z405-Z399*(VST_Assets!$N$14*(1+VST_FuelAdj)+VST_Assets!$O$14*(1+VST_OMAdj)+VST_Assets!$P$14*(1+VST_CapexAdj))*(1+VST_Assets!$Q$14)^(Z$3-2026)/1000000</f>
        <v>0</v>
      </c>
      <c r="AA415" s="8" t="n">
        <f aca="false">AA405-AA399*(VST_Assets!$N$14*(1+VST_FuelAdj)+VST_Assets!$O$14*(1+VST_OMAdj)+VST_Assets!$P$14*(1+VST_CapexAdj))*(1+VST_Assets!$Q$14)^(AA$3-2026)/1000000</f>
        <v>0</v>
      </c>
      <c r="AB415" s="8" t="n">
        <f aca="false">AB405-AB399*(VST_Assets!$N$14*(1+VST_FuelAdj)+VST_Assets!$O$14*(1+VST_OMAdj)+VST_Assets!$P$14*(1+VST_CapexAdj))*(1+VST_Assets!$Q$14)^(AB$3-2026)/1000000</f>
        <v>0</v>
      </c>
      <c r="AC415" s="8" t="n">
        <f aca="false">AC405-AC399*(VST_Assets!$N$14*(1+VST_FuelAdj)+VST_Assets!$O$14*(1+VST_OMAdj)+VST_Assets!$P$14*(1+VST_CapexAdj))*(1+VST_Assets!$Q$14)^(AC$3-2026)/1000000</f>
        <v>0</v>
      </c>
      <c r="AD415" s="8" t="n">
        <f aca="false">AD405-AD399*(VST_Assets!$N$14*(1+VST_FuelAdj)+VST_Assets!$O$14*(1+VST_OMAdj)+VST_Assets!$P$14*(1+VST_CapexAdj))*(1+VST_Assets!$Q$14)^(AD$3-2026)/1000000</f>
        <v>0</v>
      </c>
      <c r="AE415" s="8" t="n">
        <f aca="false">AE405-AE399*(VST_Assets!$N$14*(1+VST_FuelAdj)+VST_Assets!$O$14*(1+VST_OMAdj)+VST_Assets!$P$14*(1+VST_CapexAdj))*(1+VST_Assets!$Q$14)^(AE$3-2026)/1000000</f>
        <v>0</v>
      </c>
      <c r="AF415" s="8" t="n">
        <f aca="false">AF405-AF399*(VST_Assets!$N$14*(1+VST_FuelAdj)+VST_Assets!$O$14*(1+VST_OMAdj)+VST_Assets!$P$14*(1+VST_CapexAdj))*(1+VST_Assets!$Q$14)^(AF$3-2026)/1000000</f>
        <v>0</v>
      </c>
      <c r="AG415" s="8" t="n">
        <f aca="false">AG405-AG399*(VST_Assets!$N$14*(1+VST_FuelAdj)+VST_Assets!$O$14*(1+VST_OMAdj)+VST_Assets!$P$14*(1+VST_CapexAdj))*(1+VST_Assets!$Q$14)^(AG$3-2026)/1000000</f>
        <v>0</v>
      </c>
      <c r="AH415" s="8" t="n">
        <f aca="false">AH405-AH399*(VST_Assets!$N$14*(1+VST_FuelAdj)+VST_Assets!$O$14*(1+VST_OMAdj)+VST_Assets!$P$14*(1+VST_CapexAdj))*(1+VST_Assets!$Q$14)^(AH$3-2026)/1000000</f>
        <v>0</v>
      </c>
      <c r="AI415" s="8" t="n">
        <f aca="false">AI405-AI399*(VST_Assets!$N$14*(1+VST_FuelAdj)+VST_Assets!$O$14*(1+VST_OMAdj)+VST_Assets!$P$14*(1+VST_CapexAdj))*(1+VST_Assets!$Q$14)^(AI$3-2026)/1000000</f>
        <v>0</v>
      </c>
      <c r="AJ415" s="8" t="n">
        <f aca="false">AJ405-AJ399*(VST_Assets!$N$14*(1+VST_FuelAdj)+VST_Assets!$O$14*(1+VST_OMAdj)+VST_Assets!$P$14*(1+VST_CapexAdj))*(1+VST_Assets!$Q$14)^(AJ$3-2026)/1000000</f>
        <v>0</v>
      </c>
      <c r="AK415" s="8" t="n">
        <f aca="false">AK405-AK399*(VST_Assets!$N$14*(1+VST_FuelAdj)+VST_Assets!$O$14*(1+VST_OMAdj)+VST_Assets!$P$14*(1+VST_CapexAdj))*(1+VST_Assets!$Q$14)^(AK$3-2026)/1000000</f>
        <v>0</v>
      </c>
      <c r="AL415" s="8" t="n">
        <f aca="false">AL405-AL399*(VST_Assets!$N$14*(1+VST_FuelAdj)+VST_Assets!$O$14*(1+VST_OMAdj)+VST_Assets!$P$14*(1+VST_CapexAdj))*(1+VST_Assets!$Q$14)^(AL$3-2026)/1000000</f>
        <v>0</v>
      </c>
      <c r="AM415" s="8" t="n">
        <f aca="false">AM405-AM399*(VST_Assets!$N$14*(1+VST_FuelAdj)+VST_Assets!$O$14*(1+VST_OMAdj)+VST_Assets!$P$14*(1+VST_CapexAdj))*(1+VST_Assets!$Q$14)^(AM$3-2026)/1000000</f>
        <v>0</v>
      </c>
      <c r="AN415" s="8" t="n">
        <f aca="false">AN405-AN399*(VST_Assets!$N$14*(1+VST_FuelAdj)+VST_Assets!$O$14*(1+VST_OMAdj)+VST_Assets!$P$14*(1+VST_CapexAdj))*(1+VST_Assets!$Q$14)^(AN$3-2026)/1000000</f>
        <v>0</v>
      </c>
      <c r="AO415" s="8" t="n">
        <f aca="false">AO405-AO399*(VST_Assets!$N$14*(1+VST_FuelAdj)+VST_Assets!$O$14*(1+VST_OMAdj)+VST_Assets!$P$14*(1+VST_CapexAdj))*(1+VST_Assets!$Q$14)^(AO$3-2026)/1000000</f>
        <v>0</v>
      </c>
      <c r="AP415" s="8" t="n">
        <f aca="false">AP405-AP399*(VST_Assets!$N$14*(1+VST_FuelAdj)+VST_Assets!$O$14*(1+VST_OMAdj)+VST_Assets!$P$14*(1+VST_CapexAdj))*(1+VST_Assets!$Q$14)^(AP$3-2026)/1000000</f>
        <v>0</v>
      </c>
      <c r="AQ415" s="8" t="n">
        <f aca="false">AQ405-AQ399*(VST_Assets!$N$14*(1+VST_FuelAdj)+VST_Assets!$O$14*(1+VST_OMAdj)+VST_Assets!$P$14*(1+VST_CapexAdj))*(1+VST_Assets!$Q$14)^(AQ$3-2026)/1000000</f>
        <v>0</v>
      </c>
      <c r="AR415" s="8" t="n">
        <f aca="false">AR405-AR399*(VST_Assets!$N$14*(1+VST_FuelAdj)+VST_Assets!$O$14*(1+VST_OMAdj)+VST_Assets!$P$14*(1+VST_CapexAdj))*(1+VST_Assets!$Q$14)^(AR$3-2026)/1000000</f>
        <v>0</v>
      </c>
      <c r="AS415" s="8" t="n">
        <f aca="false">AS405-AS399*(VST_Assets!$N$14*(1+VST_FuelAdj)+VST_Assets!$O$14*(1+VST_OMAdj)+VST_Assets!$P$14*(1+VST_CapexAdj))*(1+VST_Assets!$Q$14)^(AS$3-2026)/1000000</f>
        <v>0</v>
      </c>
    </row>
    <row r="416" customFormat="false" ht="15" hidden="false" customHeight="false" outlineLevel="0" collapsed="false">
      <c r="A416" s="6" t="s">
        <v>465</v>
      </c>
      <c r="B416" s="6" t="s">
        <v>466</v>
      </c>
      <c r="G416" s="8" t="n">
        <f aca="false">G413-G415</f>
        <v>912.0357708</v>
      </c>
      <c r="H416" s="8" t="n">
        <f aca="false">H413-H415</f>
        <v>911.996016162</v>
      </c>
      <c r="I416" s="8" t="n">
        <f aca="false">I413-I415</f>
        <v>726.010341262514</v>
      </c>
      <c r="J416" s="8" t="n">
        <f aca="false">J413-J415</f>
        <v>649.422432149143</v>
      </c>
      <c r="K416" s="8" t="n">
        <f aca="false">K413-K415</f>
        <v>662.410880792126</v>
      </c>
      <c r="L416" s="8" t="n">
        <f aca="false">L413-L415</f>
        <v>675.659098407968</v>
      </c>
      <c r="M416" s="8" t="n">
        <f aca="false">M413-M415</f>
        <v>689.172280376128</v>
      </c>
      <c r="N416" s="8" t="n">
        <f aca="false">N413-N415</f>
        <v>702.95572598365</v>
      </c>
      <c r="O416" s="8" t="n">
        <f aca="false">O413-O415</f>
        <v>717.014840503323</v>
      </c>
      <c r="P416" s="8" t="n">
        <f aca="false">P413-P415</f>
        <v>731.35513731339</v>
      </c>
      <c r="Q416" s="8" t="n">
        <f aca="false">Q413-Q415</f>
        <v>745.982240059658</v>
      </c>
      <c r="R416" s="8" t="n">
        <f aca="false">R413-R415</f>
        <v>760.901884860851</v>
      </c>
      <c r="S416" s="8" t="n">
        <f aca="false">S413-S415</f>
        <v>776.119922558068</v>
      </c>
      <c r="T416" s="8" t="n">
        <f aca="false">T413-T415</f>
        <v>791.642321009229</v>
      </c>
      <c r="U416" s="8" t="n">
        <f aca="false">U413-U415</f>
        <v>807.475167429414</v>
      </c>
      <c r="V416" s="8" t="n">
        <f aca="false">V413-V415</f>
        <v>823.624670778002</v>
      </c>
      <c r="W416" s="8" t="n">
        <f aca="false">W413-W415</f>
        <v>840.097164193562</v>
      </c>
      <c r="X416" s="8" t="n">
        <f aca="false">X413-X415</f>
        <v>856.899107477434</v>
      </c>
      <c r="Y416" s="8" t="n">
        <f aca="false">Y413-Y415</f>
        <v>874.037089626982</v>
      </c>
      <c r="Z416" s="8" t="n">
        <f aca="false">Z413-Z415</f>
        <v>891.517831419522</v>
      </c>
      <c r="AA416" s="8" t="n">
        <f aca="false">AA413-AA415</f>
        <v>909.348188047912</v>
      </c>
      <c r="AB416" s="8" t="n">
        <f aca="false">AB413-AB415</f>
        <v>927.535151808871</v>
      </c>
      <c r="AC416" s="8" t="n">
        <f aca="false">AC413-AC415</f>
        <v>946.085854845048</v>
      </c>
      <c r="AD416" s="8" t="n">
        <f aca="false">AD413-AD415</f>
        <v>965.007571941949</v>
      </c>
      <c r="AE416" s="8" t="n">
        <f aca="false">AE413-AE415</f>
        <v>0</v>
      </c>
      <c r="AF416" s="8" t="n">
        <f aca="false">AF413-AF415</f>
        <v>0</v>
      </c>
      <c r="AG416" s="8" t="n">
        <f aca="false">AG413-AG415</f>
        <v>0</v>
      </c>
      <c r="AH416" s="8" t="n">
        <f aca="false">AH413-AH415</f>
        <v>0</v>
      </c>
      <c r="AI416" s="8" t="n">
        <f aca="false">AI413-AI415</f>
        <v>0</v>
      </c>
      <c r="AJ416" s="8" t="n">
        <f aca="false">AJ413-AJ415</f>
        <v>0</v>
      </c>
      <c r="AK416" s="8" t="n">
        <f aca="false">AK413-AK415</f>
        <v>0</v>
      </c>
      <c r="AL416" s="8" t="n">
        <f aca="false">AL413-AL415</f>
        <v>0</v>
      </c>
      <c r="AM416" s="8" t="n">
        <f aca="false">AM413-AM415</f>
        <v>0</v>
      </c>
      <c r="AN416" s="8" t="n">
        <f aca="false">AN413-AN415</f>
        <v>0</v>
      </c>
      <c r="AO416" s="8" t="n">
        <f aca="false">AO413-AO415</f>
        <v>0</v>
      </c>
      <c r="AP416" s="8" t="n">
        <f aca="false">AP413-AP415</f>
        <v>0</v>
      </c>
      <c r="AQ416" s="8" t="n">
        <f aca="false">AQ413-AQ415</f>
        <v>0</v>
      </c>
      <c r="AR416" s="8" t="n">
        <f aca="false">AR413-AR415</f>
        <v>0</v>
      </c>
      <c r="AS416" s="8" t="n">
        <f aca="false">AS413-AS415</f>
        <v>0</v>
      </c>
    </row>
    <row r="417" customFormat="false" ht="15" hidden="false" customHeight="false" outlineLevel="0" collapsed="false">
      <c r="A417" s="6" t="s">
        <v>467</v>
      </c>
      <c r="B417" s="6" t="s">
        <v>468</v>
      </c>
      <c r="G417" s="8" t="n">
        <f aca="false">G416*(1-TaxRate)+G414</f>
        <v>729.62861664</v>
      </c>
      <c r="H417" s="8" t="n">
        <f aca="false">H416*(1-TaxRate)+H414</f>
        <v>729.5968129296</v>
      </c>
      <c r="I417" s="8" t="n">
        <f aca="false">I416*(1-TaxRate)+I414</f>
        <v>580.808273010011</v>
      </c>
      <c r="J417" s="8" t="n">
        <f aca="false">J416*(1-TaxRate)+J414</f>
        <v>519.537945719314</v>
      </c>
      <c r="K417" s="8" t="n">
        <f aca="false">K416*(1-TaxRate)+K414</f>
        <v>529.928704633701</v>
      </c>
      <c r="L417" s="8" t="n">
        <f aca="false">L416*(1-TaxRate)+L414</f>
        <v>540.527278726375</v>
      </c>
      <c r="M417" s="8" t="n">
        <f aca="false">M416*(1-TaxRate)+M414</f>
        <v>551.337824300902</v>
      </c>
      <c r="N417" s="8" t="n">
        <f aca="false">N416*(1-TaxRate)+N414</f>
        <v>562.36458078692</v>
      </c>
      <c r="O417" s="8" t="n">
        <f aca="false">O416*(1-TaxRate)+O414</f>
        <v>573.611872402658</v>
      </c>
      <c r="P417" s="8" t="n">
        <f aca="false">P416*(1-TaxRate)+P414</f>
        <v>585.084109850712</v>
      </c>
      <c r="Q417" s="8" t="n">
        <f aca="false">Q416*(1-TaxRate)+Q414</f>
        <v>596.785792047726</v>
      </c>
      <c r="R417" s="8" t="n">
        <f aca="false">R416*(1-TaxRate)+R414</f>
        <v>608.721507888681</v>
      </c>
      <c r="S417" s="8" t="n">
        <f aca="false">S416*(1-TaxRate)+S414</f>
        <v>620.895938046454</v>
      </c>
      <c r="T417" s="8" t="n">
        <f aca="false">T416*(1-TaxRate)+T414</f>
        <v>633.313856807383</v>
      </c>
      <c r="U417" s="8" t="n">
        <f aca="false">U416*(1-TaxRate)+U414</f>
        <v>645.980133943531</v>
      </c>
      <c r="V417" s="8" t="n">
        <f aca="false">V416*(1-TaxRate)+V414</f>
        <v>658.899736622402</v>
      </c>
      <c r="W417" s="8" t="n">
        <f aca="false">W416*(1-TaxRate)+W414</f>
        <v>672.07773135485</v>
      </c>
      <c r="X417" s="8" t="n">
        <f aca="false">X416*(1-TaxRate)+X414</f>
        <v>685.519285981947</v>
      </c>
      <c r="Y417" s="8" t="n">
        <f aca="false">Y416*(1-TaxRate)+Y414</f>
        <v>699.229671701586</v>
      </c>
      <c r="Z417" s="8" t="n">
        <f aca="false">Z416*(1-TaxRate)+Z414</f>
        <v>713.214265135618</v>
      </c>
      <c r="AA417" s="8" t="n">
        <f aca="false">AA416*(1-TaxRate)+AA414</f>
        <v>727.47855043833</v>
      </c>
      <c r="AB417" s="8" t="n">
        <f aca="false">AB416*(1-TaxRate)+AB414</f>
        <v>742.028121447097</v>
      </c>
      <c r="AC417" s="8" t="n">
        <f aca="false">AC416*(1-TaxRate)+AC414</f>
        <v>756.868683876038</v>
      </c>
      <c r="AD417" s="8" t="n">
        <f aca="false">AD416*(1-TaxRate)+AD414</f>
        <v>772.006057553559</v>
      </c>
      <c r="AE417" s="8" t="n">
        <f aca="false">AE416*(1-TaxRate)+AE414</f>
        <v>0</v>
      </c>
      <c r="AF417" s="8" t="n">
        <f aca="false">AF416*(1-TaxRate)+AF414</f>
        <v>0</v>
      </c>
      <c r="AG417" s="8" t="n">
        <f aca="false">AG416*(1-TaxRate)+AG414</f>
        <v>0</v>
      </c>
      <c r="AH417" s="8" t="n">
        <f aca="false">AH416*(1-TaxRate)+AH414</f>
        <v>0</v>
      </c>
      <c r="AI417" s="8" t="n">
        <f aca="false">AI416*(1-TaxRate)+AI414</f>
        <v>0</v>
      </c>
      <c r="AJ417" s="8" t="n">
        <f aca="false">AJ416*(1-TaxRate)+AJ414</f>
        <v>0</v>
      </c>
      <c r="AK417" s="8" t="n">
        <f aca="false">AK416*(1-TaxRate)+AK414</f>
        <v>0</v>
      </c>
      <c r="AL417" s="8" t="n">
        <f aca="false">AL416*(1-TaxRate)+AL414</f>
        <v>0</v>
      </c>
      <c r="AM417" s="8" t="n">
        <f aca="false">AM416*(1-TaxRate)+AM414</f>
        <v>0</v>
      </c>
      <c r="AN417" s="8" t="n">
        <f aca="false">AN416*(1-TaxRate)+AN414</f>
        <v>0</v>
      </c>
      <c r="AO417" s="8" t="n">
        <f aca="false">AO416*(1-TaxRate)+AO414</f>
        <v>0</v>
      </c>
      <c r="AP417" s="8" t="n">
        <f aca="false">AP416*(1-TaxRate)+AP414</f>
        <v>0</v>
      </c>
      <c r="AQ417" s="8" t="n">
        <f aca="false">AQ416*(1-TaxRate)+AQ414</f>
        <v>0</v>
      </c>
      <c r="AR417" s="8" t="n">
        <f aca="false">AR416*(1-TaxRate)+AR414</f>
        <v>0</v>
      </c>
      <c r="AS417" s="8" t="n">
        <f aca="false">AS416*(1-TaxRate)+AS414</f>
        <v>0</v>
      </c>
    </row>
    <row r="418" customFormat="false" ht="15" hidden="false" customHeight="false" outlineLevel="0" collapsed="false">
      <c r="A418" s="6" t="s">
        <v>469</v>
      </c>
      <c r="B418" s="6" t="s">
        <v>470</v>
      </c>
      <c r="G418" s="8" t="n">
        <f aca="false">G415*(1-TaxRate)</f>
        <v>0</v>
      </c>
      <c r="H418" s="8" t="n">
        <f aca="false">H415*(1-TaxRate)</f>
        <v>0</v>
      </c>
      <c r="I418" s="8" t="n">
        <f aca="false">I415*(1-TaxRate)</f>
        <v>0</v>
      </c>
      <c r="J418" s="8" t="n">
        <f aca="false">J415*(1-TaxRate)</f>
        <v>0</v>
      </c>
      <c r="K418" s="8" t="n">
        <f aca="false">K415*(1-TaxRate)</f>
        <v>0</v>
      </c>
      <c r="L418" s="8" t="n">
        <f aca="false">L415*(1-TaxRate)</f>
        <v>0</v>
      </c>
      <c r="M418" s="8" t="n">
        <f aca="false">M415*(1-TaxRate)</f>
        <v>0</v>
      </c>
      <c r="N418" s="8" t="n">
        <f aca="false">N415*(1-TaxRate)</f>
        <v>0</v>
      </c>
      <c r="O418" s="8" t="n">
        <f aca="false">O415*(1-TaxRate)</f>
        <v>0</v>
      </c>
      <c r="P418" s="8" t="n">
        <f aca="false">P415*(1-TaxRate)</f>
        <v>0</v>
      </c>
      <c r="Q418" s="8" t="n">
        <f aca="false">Q415*(1-TaxRate)</f>
        <v>0</v>
      </c>
      <c r="R418" s="8" t="n">
        <f aca="false">R415*(1-TaxRate)</f>
        <v>0</v>
      </c>
      <c r="S418" s="8" t="n">
        <f aca="false">S415*(1-TaxRate)</f>
        <v>0</v>
      </c>
      <c r="T418" s="8" t="n">
        <f aca="false">T415*(1-TaxRate)</f>
        <v>0</v>
      </c>
      <c r="U418" s="8" t="n">
        <f aca="false">U415*(1-TaxRate)</f>
        <v>0</v>
      </c>
      <c r="V418" s="8" t="n">
        <f aca="false">V415*(1-TaxRate)</f>
        <v>0</v>
      </c>
      <c r="W418" s="8" t="n">
        <f aca="false">W415*(1-TaxRate)</f>
        <v>0</v>
      </c>
      <c r="X418" s="8" t="n">
        <f aca="false">X415*(1-TaxRate)</f>
        <v>0</v>
      </c>
      <c r="Y418" s="8" t="n">
        <f aca="false">Y415*(1-TaxRate)</f>
        <v>0</v>
      </c>
      <c r="Z418" s="8" t="n">
        <f aca="false">Z415*(1-TaxRate)</f>
        <v>0</v>
      </c>
      <c r="AA418" s="8" t="n">
        <f aca="false">AA415*(1-TaxRate)</f>
        <v>0</v>
      </c>
      <c r="AB418" s="8" t="n">
        <f aca="false">AB415*(1-TaxRate)</f>
        <v>0</v>
      </c>
      <c r="AC418" s="8" t="n">
        <f aca="false">AC415*(1-TaxRate)</f>
        <v>0</v>
      </c>
      <c r="AD418" s="8" t="n">
        <f aca="false">AD415*(1-TaxRate)</f>
        <v>0</v>
      </c>
      <c r="AE418" s="8" t="n">
        <f aca="false">AE415*(1-TaxRate)</f>
        <v>0</v>
      </c>
      <c r="AF418" s="8" t="n">
        <f aca="false">AF415*(1-TaxRate)</f>
        <v>0</v>
      </c>
      <c r="AG418" s="8" t="n">
        <f aca="false">AG415*(1-TaxRate)</f>
        <v>0</v>
      </c>
      <c r="AH418" s="8" t="n">
        <f aca="false">AH415*(1-TaxRate)</f>
        <v>0</v>
      </c>
      <c r="AI418" s="8" t="n">
        <f aca="false">AI415*(1-TaxRate)</f>
        <v>0</v>
      </c>
      <c r="AJ418" s="8" t="n">
        <f aca="false">AJ415*(1-TaxRate)</f>
        <v>0</v>
      </c>
      <c r="AK418" s="8" t="n">
        <f aca="false">AK415*(1-TaxRate)</f>
        <v>0</v>
      </c>
      <c r="AL418" s="8" t="n">
        <f aca="false">AL415*(1-TaxRate)</f>
        <v>0</v>
      </c>
      <c r="AM418" s="8" t="n">
        <f aca="false">AM415*(1-TaxRate)</f>
        <v>0</v>
      </c>
      <c r="AN418" s="8" t="n">
        <f aca="false">AN415*(1-TaxRate)</f>
        <v>0</v>
      </c>
      <c r="AO418" s="8" t="n">
        <f aca="false">AO415*(1-TaxRate)</f>
        <v>0</v>
      </c>
      <c r="AP418" s="8" t="n">
        <f aca="false">AP415*(1-TaxRate)</f>
        <v>0</v>
      </c>
      <c r="AQ418" s="8" t="n">
        <f aca="false">AQ415*(1-TaxRate)</f>
        <v>0</v>
      </c>
      <c r="AR418" s="8" t="n">
        <f aca="false">AR415*(1-TaxRate)</f>
        <v>0</v>
      </c>
      <c r="AS418" s="8" t="n">
        <f aca="false">AS415*(1-TaxRate)</f>
        <v>0</v>
      </c>
    </row>
    <row r="419" customFormat="false" ht="15" hidden="false" customHeight="false" outlineLevel="0" collapsed="false">
      <c r="A419" s="6" t="s">
        <v>471</v>
      </c>
      <c r="B419" s="6" t="s">
        <v>472</v>
      </c>
      <c r="G419" s="42" t="n">
        <f aca="false">(1+VST_Assets!$AE$14)^-(G$3+0.5-ValDate)</f>
        <v>0.934199026996437</v>
      </c>
      <c r="H419" s="42" t="n">
        <f aca="false">(1+VST_Assets!$AE$14)^-(H$3+0.5-ValDate)</f>
        <v>0.853149796343778</v>
      </c>
      <c r="I419" s="42" t="n">
        <f aca="false">(1+VST_Assets!$AE$14)^-(I$3+0.5-ValDate)</f>
        <v>0.779132234103907</v>
      </c>
      <c r="J419" s="42" t="n">
        <f aca="false">(1+VST_Assets!$AE$14)^-(J$3+0.5-ValDate)</f>
        <v>0.711536286852883</v>
      </c>
      <c r="K419" s="42" t="n">
        <f aca="false">(1+VST_Assets!$AE$14)^-(K$3+0.5-ValDate)</f>
        <v>0.649804828176149</v>
      </c>
      <c r="L419" s="42" t="n">
        <f aca="false">(1+VST_Assets!$AE$14)^-(L$3+0.5-ValDate)</f>
        <v>0.593429066827533</v>
      </c>
      <c r="M419" s="42" t="n">
        <f aca="false">(1+VST_Assets!$AE$14)^-(M$3+0.5-ValDate)</f>
        <v>0.541944353267154</v>
      </c>
      <c r="N419" s="42" t="n">
        <f aca="false">(1+VST_Assets!$AE$14)^-(N$3+0.5-ValDate)</f>
        <v>0.494926350015666</v>
      </c>
      <c r="O419" s="42" t="n">
        <f aca="false">(1+VST_Assets!$AE$14)^-(O$3+0.5-ValDate)</f>
        <v>0.451987534260882</v>
      </c>
      <c r="P419" s="42" t="n">
        <f aca="false">(1+VST_Assets!$AE$14)^-(P$3+0.5-ValDate)</f>
        <v>0.412774003891216</v>
      </c>
      <c r="Q419" s="42" t="n">
        <f aca="false">(1+VST_Assets!$AE$14)^-(Q$3+0.5-ValDate)</f>
        <v>0.376962560631248</v>
      </c>
      <c r="R419" s="42" t="n">
        <f aca="false">(1+VST_Assets!$AE$14)^-(R$3+0.5-ValDate)</f>
        <v>0.344258046238582</v>
      </c>
      <c r="S419" s="42" t="n">
        <f aca="false">(1+VST_Assets!$AE$14)^-(S$3+0.5-ValDate)</f>
        <v>0.314390909806925</v>
      </c>
      <c r="T419" s="42" t="n">
        <f aca="false">(1+VST_Assets!$AE$14)^-(T$3+0.5-ValDate)</f>
        <v>0.287114986125045</v>
      </c>
      <c r="U419" s="42" t="n">
        <f aca="false">(1+VST_Assets!$AE$14)^-(U$3+0.5-ValDate)</f>
        <v>0.262205466780863</v>
      </c>
      <c r="V419" s="42" t="n">
        <f aca="false">(1+VST_Assets!$AE$14)^-(V$3+0.5-ValDate)</f>
        <v>0.23945704728846</v>
      </c>
      <c r="W419" s="42" t="n">
        <f aca="false">(1+VST_Assets!$AE$14)^-(W$3+0.5-ValDate)</f>
        <v>0.21868223496663</v>
      </c>
      <c r="X419" s="42" t="n">
        <f aca="false">(1+VST_Assets!$AE$14)^-(X$3+0.5-ValDate)</f>
        <v>0.199709803622493</v>
      </c>
      <c r="Y419" s="42" t="n">
        <f aca="false">(1+VST_Assets!$AE$14)^-(Y$3+0.5-ValDate)</f>
        <v>0.182383382303647</v>
      </c>
      <c r="Z419" s="42" t="n">
        <f aca="false">(1+VST_Assets!$AE$14)^-(Z$3+0.5-ValDate)</f>
        <v>0.166560166487348</v>
      </c>
      <c r="AA419" s="42" t="n">
        <f aca="false">(1+VST_Assets!$AE$14)^-(AA$3+0.5-ValDate)</f>
        <v>0.152109741084336</v>
      </c>
      <c r="AB419" s="42" t="n">
        <f aca="false">(1+VST_Assets!$AE$14)^-(AB$3+0.5-ValDate)</f>
        <v>0.138913005556472</v>
      </c>
      <c r="AC419" s="42" t="n">
        <f aca="false">(1+VST_Assets!$AE$14)^-(AC$3+0.5-ValDate)</f>
        <v>0.126861192289015</v>
      </c>
      <c r="AD419" s="42" t="n">
        <f aca="false">(1+VST_Assets!$AE$14)^-(AD$3+0.5-ValDate)</f>
        <v>0.115854970126955</v>
      </c>
      <c r="AE419" s="42" t="n">
        <f aca="false">(1+VST_Assets!$AE$14)^-(AE$3+0.5-ValDate)</f>
        <v>0.105803625686716</v>
      </c>
      <c r="AF419" s="42" t="n">
        <f aca="false">(1+VST_Assets!$AE$14)^-(AF$3+0.5-ValDate)</f>
        <v>0.0966243156956315</v>
      </c>
      <c r="AG419" s="42" t="n">
        <f aca="false">(1+VST_Assets!$AE$14)^-(AG$3+0.5-ValDate)</f>
        <v>0.0882413841969238</v>
      </c>
      <c r="AH419" s="42" t="n">
        <f aca="false">(1+VST_Assets!$AE$14)^-(AH$3+0.5-ValDate)</f>
        <v>0.0805857389926244</v>
      </c>
      <c r="AI419" s="42" t="n">
        <f aca="false">(1+VST_Assets!$AE$14)^-(AI$3+0.5-ValDate)</f>
        <v>0.0735942821850451</v>
      </c>
      <c r="AJ419" s="42" t="n">
        <f aca="false">(1+VST_Assets!$AE$14)^-(AJ$3+0.5-ValDate)</f>
        <v>0.0672093901233289</v>
      </c>
      <c r="AK419" s="42" t="n">
        <f aca="false">(1+VST_Assets!$AE$14)^-(AK$3+0.5-ValDate)</f>
        <v>0.0613784384687935</v>
      </c>
      <c r="AL419" s="42" t="n">
        <f aca="false">(1+VST_Assets!$AE$14)^-(AL$3+0.5-ValDate)</f>
        <v>0.0560533684646516</v>
      </c>
      <c r="AM419" s="42" t="n">
        <f aca="false">(1+VST_Assets!$AE$14)^-(AM$3+0.5-ValDate)</f>
        <v>0.0511902908352983</v>
      </c>
      <c r="AN419" s="42" t="n">
        <f aca="false">(1+VST_Assets!$AE$14)^-(AN$3+0.5-ValDate)</f>
        <v>0.0467491240505007</v>
      </c>
      <c r="AO419" s="42" t="n">
        <f aca="false">(1+VST_Assets!$AE$14)^-(AO$3+0.5-ValDate)</f>
        <v>0.04269326397306</v>
      </c>
      <c r="AP419" s="42" t="n">
        <f aca="false">(1+VST_Assets!$AE$14)^-(AP$3+0.5-ValDate)</f>
        <v>0.0389892821671781</v>
      </c>
      <c r="AQ419" s="42" t="n">
        <f aca="false">(1+VST_Assets!$AE$14)^-(AQ$3+0.5-ValDate)</f>
        <v>0.0356066503809846</v>
      </c>
      <c r="AR419" s="42" t="n">
        <f aca="false">(1+VST_Assets!$AE$14)^-(AR$3+0.5-ValDate)</f>
        <v>0.032517488932406</v>
      </c>
      <c r="AS419" s="42" t="n">
        <f aca="false">(1+VST_Assets!$AE$14)^-(AS$3+0.5-ValDate)</f>
        <v>0.0296963369245717</v>
      </c>
    </row>
    <row r="420" customFormat="false" ht="15" hidden="false" customHeight="false" outlineLevel="0" collapsed="false">
      <c r="A420" s="6" t="s">
        <v>473</v>
      </c>
      <c r="B420" s="6" t="s">
        <v>474</v>
      </c>
      <c r="G420" s="42" t="n">
        <f aca="false">(1+VST_Assets!$AF$14)^-(G$3+0.5-ValDate)</f>
        <v>0.934199026996437</v>
      </c>
      <c r="H420" s="42" t="n">
        <f aca="false">(1+VST_Assets!$AF$14)^-(H$3+0.5-ValDate)</f>
        <v>0.853149796343778</v>
      </c>
      <c r="I420" s="42" t="n">
        <f aca="false">(1+VST_Assets!$AF$14)^-(I$3+0.5-ValDate)</f>
        <v>0.779132234103907</v>
      </c>
      <c r="J420" s="42" t="n">
        <f aca="false">(1+VST_Assets!$AF$14)^-(J$3+0.5-ValDate)</f>
        <v>0.711536286852883</v>
      </c>
      <c r="K420" s="42" t="n">
        <f aca="false">(1+VST_Assets!$AF$14)^-(K$3+0.5-ValDate)</f>
        <v>0.649804828176149</v>
      </c>
      <c r="L420" s="42" t="n">
        <f aca="false">(1+VST_Assets!$AF$14)^-(L$3+0.5-ValDate)</f>
        <v>0.593429066827533</v>
      </c>
      <c r="M420" s="42" t="n">
        <f aca="false">(1+VST_Assets!$AF$14)^-(M$3+0.5-ValDate)</f>
        <v>0.541944353267154</v>
      </c>
      <c r="N420" s="42" t="n">
        <f aca="false">(1+VST_Assets!$AF$14)^-(N$3+0.5-ValDate)</f>
        <v>0.494926350015666</v>
      </c>
      <c r="O420" s="42" t="n">
        <f aca="false">(1+VST_Assets!$AF$14)^-(O$3+0.5-ValDate)</f>
        <v>0.451987534260882</v>
      </c>
      <c r="P420" s="42" t="n">
        <f aca="false">(1+VST_Assets!$AF$14)^-(P$3+0.5-ValDate)</f>
        <v>0.412774003891216</v>
      </c>
      <c r="Q420" s="42" t="n">
        <f aca="false">(1+VST_Assets!$AF$14)^-(Q$3+0.5-ValDate)</f>
        <v>0.376962560631248</v>
      </c>
      <c r="R420" s="42" t="n">
        <f aca="false">(1+VST_Assets!$AF$14)^-(R$3+0.5-ValDate)</f>
        <v>0.344258046238582</v>
      </c>
      <c r="S420" s="42" t="n">
        <f aca="false">(1+VST_Assets!$AF$14)^-(S$3+0.5-ValDate)</f>
        <v>0.314390909806925</v>
      </c>
      <c r="T420" s="42" t="n">
        <f aca="false">(1+VST_Assets!$AF$14)^-(T$3+0.5-ValDate)</f>
        <v>0.287114986125045</v>
      </c>
      <c r="U420" s="42" t="n">
        <f aca="false">(1+VST_Assets!$AF$14)^-(U$3+0.5-ValDate)</f>
        <v>0.262205466780863</v>
      </c>
      <c r="V420" s="42" t="n">
        <f aca="false">(1+VST_Assets!$AF$14)^-(V$3+0.5-ValDate)</f>
        <v>0.23945704728846</v>
      </c>
      <c r="W420" s="42" t="n">
        <f aca="false">(1+VST_Assets!$AF$14)^-(W$3+0.5-ValDate)</f>
        <v>0.21868223496663</v>
      </c>
      <c r="X420" s="42" t="n">
        <f aca="false">(1+VST_Assets!$AF$14)^-(X$3+0.5-ValDate)</f>
        <v>0.199709803622493</v>
      </c>
      <c r="Y420" s="42" t="n">
        <f aca="false">(1+VST_Assets!$AF$14)^-(Y$3+0.5-ValDate)</f>
        <v>0.182383382303647</v>
      </c>
      <c r="Z420" s="42" t="n">
        <f aca="false">(1+VST_Assets!$AF$14)^-(Z$3+0.5-ValDate)</f>
        <v>0.166560166487348</v>
      </c>
      <c r="AA420" s="42" t="n">
        <f aca="false">(1+VST_Assets!$AF$14)^-(AA$3+0.5-ValDate)</f>
        <v>0.152109741084336</v>
      </c>
      <c r="AB420" s="42" t="n">
        <f aca="false">(1+VST_Assets!$AF$14)^-(AB$3+0.5-ValDate)</f>
        <v>0.138913005556472</v>
      </c>
      <c r="AC420" s="42" t="n">
        <f aca="false">(1+VST_Assets!$AF$14)^-(AC$3+0.5-ValDate)</f>
        <v>0.126861192289015</v>
      </c>
      <c r="AD420" s="42" t="n">
        <f aca="false">(1+VST_Assets!$AF$14)^-(AD$3+0.5-ValDate)</f>
        <v>0.115854970126955</v>
      </c>
      <c r="AE420" s="42" t="n">
        <f aca="false">(1+VST_Assets!$AF$14)^-(AE$3+0.5-ValDate)</f>
        <v>0.105803625686716</v>
      </c>
      <c r="AF420" s="42" t="n">
        <f aca="false">(1+VST_Assets!$AF$14)^-(AF$3+0.5-ValDate)</f>
        <v>0.0966243156956315</v>
      </c>
      <c r="AG420" s="42" t="n">
        <f aca="false">(1+VST_Assets!$AF$14)^-(AG$3+0.5-ValDate)</f>
        <v>0.0882413841969238</v>
      </c>
      <c r="AH420" s="42" t="n">
        <f aca="false">(1+VST_Assets!$AF$14)^-(AH$3+0.5-ValDate)</f>
        <v>0.0805857389926244</v>
      </c>
      <c r="AI420" s="42" t="n">
        <f aca="false">(1+VST_Assets!$AF$14)^-(AI$3+0.5-ValDate)</f>
        <v>0.0735942821850451</v>
      </c>
      <c r="AJ420" s="42" t="n">
        <f aca="false">(1+VST_Assets!$AF$14)^-(AJ$3+0.5-ValDate)</f>
        <v>0.0672093901233289</v>
      </c>
      <c r="AK420" s="42" t="n">
        <f aca="false">(1+VST_Assets!$AF$14)^-(AK$3+0.5-ValDate)</f>
        <v>0.0613784384687935</v>
      </c>
      <c r="AL420" s="42" t="n">
        <f aca="false">(1+VST_Assets!$AF$14)^-(AL$3+0.5-ValDate)</f>
        <v>0.0560533684646516</v>
      </c>
      <c r="AM420" s="42" t="n">
        <f aca="false">(1+VST_Assets!$AF$14)^-(AM$3+0.5-ValDate)</f>
        <v>0.0511902908352983</v>
      </c>
      <c r="AN420" s="42" t="n">
        <f aca="false">(1+VST_Assets!$AF$14)^-(AN$3+0.5-ValDate)</f>
        <v>0.0467491240505007</v>
      </c>
      <c r="AO420" s="42" t="n">
        <f aca="false">(1+VST_Assets!$AF$14)^-(AO$3+0.5-ValDate)</f>
        <v>0.04269326397306</v>
      </c>
      <c r="AP420" s="42" t="n">
        <f aca="false">(1+VST_Assets!$AF$14)^-(AP$3+0.5-ValDate)</f>
        <v>0.0389892821671781</v>
      </c>
      <c r="AQ420" s="42" t="n">
        <f aca="false">(1+VST_Assets!$AF$14)^-(AQ$3+0.5-ValDate)</f>
        <v>0.0356066503809846</v>
      </c>
      <c r="AR420" s="42" t="n">
        <f aca="false">(1+VST_Assets!$AF$14)^-(AR$3+0.5-ValDate)</f>
        <v>0.032517488932406</v>
      </c>
      <c r="AS420" s="42" t="n">
        <f aca="false">(1+VST_Assets!$AF$14)^-(AS$3+0.5-ValDate)</f>
        <v>0.0296963369245717</v>
      </c>
    </row>
    <row r="421" customFormat="false" ht="15" hidden="false" customHeight="false" outlineLevel="0" collapsed="false">
      <c r="A421" s="6" t="s">
        <v>475</v>
      </c>
      <c r="B421" s="6" t="s">
        <v>476</v>
      </c>
      <c r="C421" s="43" t="n">
        <f aca="false">SUM(G421:AS421)</f>
        <v>5937.38958796258</v>
      </c>
      <c r="D421" s="8" t="n">
        <f aca="false">SUMIF($G$3:$AS$3,"&lt;="&amp;Horizon,G421:AS421)</f>
        <v>2126.27026421042</v>
      </c>
      <c r="E421" s="8" t="n">
        <f aca="false">(C421-D421)*(1+VST_Assets!$AE$14)^(Horizon+1-ValDate)</f>
        <v>5604.83139920678</v>
      </c>
      <c r="G421" s="8" t="n">
        <f aca="false">G417*G419</f>
        <v>681.618343733844</v>
      </c>
      <c r="H421" s="8" t="n">
        <f aca="false">H417*H419</f>
        <v>622.455372363958</v>
      </c>
      <c r="I421" s="8" t="n">
        <f aca="false">I417*I419</f>
        <v>452.526447336322</v>
      </c>
      <c r="J421" s="8" t="n">
        <f aca="false">J417*J419</f>
        <v>369.670100776296</v>
      </c>
      <c r="K421" s="8" t="n">
        <f aca="false">K417*K419</f>
        <v>344.350230860111</v>
      </c>
      <c r="L421" s="8" t="n">
        <f aca="false">L417*L419</f>
        <v>320.764598609419</v>
      </c>
      <c r="M421" s="8" t="n">
        <f aca="false">M417*M419</f>
        <v>298.794420622472</v>
      </c>
      <c r="N421" s="8" t="n">
        <f aca="false">N417*N419</f>
        <v>278.32904934696</v>
      </c>
      <c r="O421" s="8" t="n">
        <f aca="false">O417*O419</f>
        <v>259.265415830045</v>
      </c>
      <c r="P421" s="8" t="n">
        <f aca="false">P417*P419</f>
        <v>241.507510636207</v>
      </c>
      <c r="Q421" s="8" t="n">
        <f aca="false">Q417*Q419</f>
        <v>224.965900318658</v>
      </c>
      <c r="R421" s="8" t="n">
        <f aca="false">R417*R419</f>
        <v>209.557277009161</v>
      </c>
      <c r="S421" s="8" t="n">
        <f aca="false">S417*S419</f>
        <v>195.204038857849</v>
      </c>
      <c r="T421" s="8" t="n">
        <f aca="false">T417*T419</f>
        <v>181.833899210051</v>
      </c>
      <c r="U421" s="8" t="n">
        <f aca="false">U417*U419</f>
        <v>169.379522551828</v>
      </c>
      <c r="V421" s="8" t="n">
        <f aca="false">V417*V419</f>
        <v>157.778185390744</v>
      </c>
      <c r="W421" s="8" t="n">
        <f aca="false">W417*W419</f>
        <v>146.971460363981</v>
      </c>
      <c r="X421" s="8" t="n">
        <f aca="false">X417*X419</f>
        <v>136.904921982886</v>
      </c>
      <c r="Y421" s="8" t="n">
        <f aca="false">Y417*Y419</f>
        <v>127.527872532004</v>
      </c>
      <c r="Z421" s="8" t="n">
        <f aca="false">Z417*Z419</f>
        <v>118.79308674214</v>
      </c>
      <c r="AA421" s="8" t="n">
        <f aca="false">AA417*AA419</f>
        <v>110.656573951583</v>
      </c>
      <c r="AB421" s="8" t="n">
        <f aca="false">AB417*AB419</f>
        <v>103.077356557639</v>
      </c>
      <c r="AC421" s="8" t="n">
        <f aca="false">AC417*AC419</f>
        <v>96.017263642732</v>
      </c>
      <c r="AD421" s="8" t="n">
        <f aca="false">AD417*AD419</f>
        <v>89.4407387356956</v>
      </c>
      <c r="AE421" s="8" t="n">
        <f aca="false">AE417*AE419</f>
        <v>0</v>
      </c>
      <c r="AF421" s="8" t="n">
        <f aca="false">AF417*AF419</f>
        <v>0</v>
      </c>
      <c r="AG421" s="8" t="n">
        <f aca="false">AG417*AG419</f>
        <v>0</v>
      </c>
      <c r="AH421" s="8" t="n">
        <f aca="false">AH417*AH419</f>
        <v>0</v>
      </c>
      <c r="AI421" s="8" t="n">
        <f aca="false">AI417*AI419</f>
        <v>0</v>
      </c>
      <c r="AJ421" s="8" t="n">
        <f aca="false">AJ417*AJ419</f>
        <v>0</v>
      </c>
      <c r="AK421" s="8" t="n">
        <f aca="false">AK417*AK419</f>
        <v>0</v>
      </c>
      <c r="AL421" s="8" t="n">
        <f aca="false">AL417*AL419</f>
        <v>0</v>
      </c>
      <c r="AM421" s="8" t="n">
        <f aca="false">AM417*AM419</f>
        <v>0</v>
      </c>
      <c r="AN421" s="8" t="n">
        <f aca="false">AN417*AN419</f>
        <v>0</v>
      </c>
      <c r="AO421" s="8" t="n">
        <f aca="false">AO417*AO419</f>
        <v>0</v>
      </c>
      <c r="AP421" s="8" t="n">
        <f aca="false">AP417*AP419</f>
        <v>0</v>
      </c>
      <c r="AQ421" s="8" t="n">
        <f aca="false">AQ417*AQ419</f>
        <v>0</v>
      </c>
      <c r="AR421" s="8" t="n">
        <f aca="false">AR417*AR419</f>
        <v>0</v>
      </c>
      <c r="AS421" s="8" t="n">
        <f aca="false">AS417*AS419</f>
        <v>0</v>
      </c>
    </row>
    <row r="422" customFormat="false" ht="15" hidden="false" customHeight="false" outlineLevel="0" collapsed="false">
      <c r="A422" s="6" t="s">
        <v>477</v>
      </c>
      <c r="B422" s="6" t="s">
        <v>478</v>
      </c>
      <c r="C422" s="43" t="n">
        <f aca="false">SUM(G422:AS422)</f>
        <v>0</v>
      </c>
      <c r="D422" s="8" t="n">
        <f aca="false">SUMIF($G$3:$AS$3,"&lt;="&amp;Horizon,G422:AS422)</f>
        <v>0</v>
      </c>
      <c r="E422" s="8" t="n">
        <f aca="false">(C422-D422)*(1+VST_Assets!$AF$14)^(Horizon+1-ValDate)</f>
        <v>0</v>
      </c>
      <c r="G422" s="8" t="n">
        <f aca="false">G418*G420</f>
        <v>0</v>
      </c>
      <c r="H422" s="8" t="n">
        <f aca="false">H418*H420</f>
        <v>0</v>
      </c>
      <c r="I422" s="8" t="n">
        <f aca="false">I418*I420</f>
        <v>0</v>
      </c>
      <c r="J422" s="8" t="n">
        <f aca="false">J418*J420</f>
        <v>0</v>
      </c>
      <c r="K422" s="8" t="n">
        <f aca="false">K418*K420</f>
        <v>0</v>
      </c>
      <c r="L422" s="8" t="n">
        <f aca="false">L418*L420</f>
        <v>0</v>
      </c>
      <c r="M422" s="8" t="n">
        <f aca="false">M418*M420</f>
        <v>0</v>
      </c>
      <c r="N422" s="8" t="n">
        <f aca="false">N418*N420</f>
        <v>0</v>
      </c>
      <c r="O422" s="8" t="n">
        <f aca="false">O418*O420</f>
        <v>0</v>
      </c>
      <c r="P422" s="8" t="n">
        <f aca="false">P418*P420</f>
        <v>0</v>
      </c>
      <c r="Q422" s="8" t="n">
        <f aca="false">Q418*Q420</f>
        <v>0</v>
      </c>
      <c r="R422" s="8" t="n">
        <f aca="false">R418*R420</f>
        <v>0</v>
      </c>
      <c r="S422" s="8" t="n">
        <f aca="false">S418*S420</f>
        <v>0</v>
      </c>
      <c r="T422" s="8" t="n">
        <f aca="false">T418*T420</f>
        <v>0</v>
      </c>
      <c r="U422" s="8" t="n">
        <f aca="false">U418*U420</f>
        <v>0</v>
      </c>
      <c r="V422" s="8" t="n">
        <f aca="false">V418*V420</f>
        <v>0</v>
      </c>
      <c r="W422" s="8" t="n">
        <f aca="false">W418*W420</f>
        <v>0</v>
      </c>
      <c r="X422" s="8" t="n">
        <f aca="false">X418*X420</f>
        <v>0</v>
      </c>
      <c r="Y422" s="8" t="n">
        <f aca="false">Y418*Y420</f>
        <v>0</v>
      </c>
      <c r="Z422" s="8" t="n">
        <f aca="false">Z418*Z420</f>
        <v>0</v>
      </c>
      <c r="AA422" s="8" t="n">
        <f aca="false">AA418*AA420</f>
        <v>0</v>
      </c>
      <c r="AB422" s="8" t="n">
        <f aca="false">AB418*AB420</f>
        <v>0</v>
      </c>
      <c r="AC422" s="8" t="n">
        <f aca="false">AC418*AC420</f>
        <v>0</v>
      </c>
      <c r="AD422" s="8" t="n">
        <f aca="false">AD418*AD420</f>
        <v>0</v>
      </c>
      <c r="AE422" s="8" t="n">
        <f aca="false">AE418*AE420</f>
        <v>0</v>
      </c>
      <c r="AF422" s="8" t="n">
        <f aca="false">AF418*AF420</f>
        <v>0</v>
      </c>
      <c r="AG422" s="8" t="n">
        <f aca="false">AG418*AG420</f>
        <v>0</v>
      </c>
      <c r="AH422" s="8" t="n">
        <f aca="false">AH418*AH420</f>
        <v>0</v>
      </c>
      <c r="AI422" s="8" t="n">
        <f aca="false">AI418*AI420</f>
        <v>0</v>
      </c>
      <c r="AJ422" s="8" t="n">
        <f aca="false">AJ418*AJ420</f>
        <v>0</v>
      </c>
      <c r="AK422" s="8" t="n">
        <f aca="false">AK418*AK420</f>
        <v>0</v>
      </c>
      <c r="AL422" s="8" t="n">
        <f aca="false">AL418*AL420</f>
        <v>0</v>
      </c>
      <c r="AM422" s="8" t="n">
        <f aca="false">AM418*AM420</f>
        <v>0</v>
      </c>
      <c r="AN422" s="8" t="n">
        <f aca="false">AN418*AN420</f>
        <v>0</v>
      </c>
      <c r="AO422" s="8" t="n">
        <f aca="false">AO418*AO420</f>
        <v>0</v>
      </c>
      <c r="AP422" s="8" t="n">
        <f aca="false">AP418*AP420</f>
        <v>0</v>
      </c>
      <c r="AQ422" s="8" t="n">
        <f aca="false">AQ418*AQ420</f>
        <v>0</v>
      </c>
      <c r="AR422" s="8" t="n">
        <f aca="false">AR418*AR420</f>
        <v>0</v>
      </c>
      <c r="AS422" s="8" t="n">
        <f aca="false">AS418*AS420</f>
        <v>0</v>
      </c>
    </row>
    <row r="423" customFormat="false" ht="15" hidden="false" customHeight="false" outlineLevel="0" collapsed="false">
      <c r="A423" s="6" t="s">
        <v>479</v>
      </c>
      <c r="B423" s="6" t="s">
        <v>480</v>
      </c>
      <c r="C423" s="43" t="n">
        <f aca="false">IF(VST_Assets!$H$14="$/kW",VST_Assets!$D$14*VST_Assets!$AI$14*(1+0.4*(PJMWLR/PJMWLRBase-1))/1000,0)</f>
        <v>0</v>
      </c>
      <c r="E423" s="8" t="n">
        <f aca="false">C423</f>
        <v>0</v>
      </c>
      <c r="G423" s="8" t="n">
        <f aca="false">0</f>
        <v>0</v>
      </c>
      <c r="H423" s="8" t="n">
        <f aca="false">0</f>
        <v>0</v>
      </c>
      <c r="I423" s="8" t="n">
        <f aca="false">0</f>
        <v>0</v>
      </c>
      <c r="J423" s="8" t="n">
        <f aca="false">0</f>
        <v>0</v>
      </c>
      <c r="K423" s="8" t="n">
        <f aca="false">0</f>
        <v>0</v>
      </c>
      <c r="L423" s="8" t="n">
        <f aca="false">0</f>
        <v>0</v>
      </c>
      <c r="M423" s="8" t="n">
        <f aca="false">0</f>
        <v>0</v>
      </c>
      <c r="N423" s="8" t="n">
        <f aca="false">0</f>
        <v>0</v>
      </c>
      <c r="O423" s="8" t="n">
        <f aca="false">0</f>
        <v>0</v>
      </c>
      <c r="P423" s="8" t="n">
        <f aca="false">0</f>
        <v>0</v>
      </c>
      <c r="Q423" s="8" t="n">
        <f aca="false">0</f>
        <v>0</v>
      </c>
      <c r="R423" s="8" t="n">
        <f aca="false">0</f>
        <v>0</v>
      </c>
      <c r="S423" s="8" t="n">
        <f aca="false">0</f>
        <v>0</v>
      </c>
      <c r="T423" s="8" t="n">
        <f aca="false">0</f>
        <v>0</v>
      </c>
      <c r="U423" s="8" t="n">
        <f aca="false">0</f>
        <v>0</v>
      </c>
      <c r="V423" s="8" t="n">
        <f aca="false">0</f>
        <v>0</v>
      </c>
      <c r="W423" s="8" t="n">
        <f aca="false">0</f>
        <v>0</v>
      </c>
      <c r="X423" s="8" t="n">
        <f aca="false">0</f>
        <v>0</v>
      </c>
      <c r="Y423" s="8" t="n">
        <f aca="false">0</f>
        <v>0</v>
      </c>
      <c r="Z423" s="8" t="n">
        <f aca="false">0</f>
        <v>0</v>
      </c>
      <c r="AA423" s="8" t="n">
        <f aca="false">0</f>
        <v>0</v>
      </c>
      <c r="AB423" s="8" t="n">
        <f aca="false">0</f>
        <v>0</v>
      </c>
      <c r="AC423" s="8" t="n">
        <f aca="false">0</f>
        <v>0</v>
      </c>
      <c r="AD423" s="8" t="n">
        <f aca="false">0</f>
        <v>0</v>
      </c>
      <c r="AE423" s="8" t="n">
        <f aca="false">0</f>
        <v>0</v>
      </c>
      <c r="AF423" s="8" t="n">
        <f aca="false">0</f>
        <v>0</v>
      </c>
      <c r="AG423" s="8" t="n">
        <f aca="false">0</f>
        <v>0</v>
      </c>
      <c r="AH423" s="8" t="n">
        <f aca="false">0</f>
        <v>0</v>
      </c>
      <c r="AI423" s="8" t="n">
        <f aca="false">0</f>
        <v>0</v>
      </c>
      <c r="AJ423" s="8" t="n">
        <f aca="false">0</f>
        <v>0</v>
      </c>
      <c r="AK423" s="8" t="n">
        <f aca="false">0</f>
        <v>0</v>
      </c>
      <c r="AL423" s="8" t="n">
        <f aca="false">0</f>
        <v>0</v>
      </c>
      <c r="AM423" s="8" t="n">
        <f aca="false">0</f>
        <v>0</v>
      </c>
      <c r="AN423" s="8" t="n">
        <f aca="false">0</f>
        <v>0</v>
      </c>
      <c r="AO423" s="8" t="n">
        <f aca="false">0</f>
        <v>0</v>
      </c>
      <c r="AP423" s="8" t="n">
        <f aca="false">0</f>
        <v>0</v>
      </c>
      <c r="AQ423" s="8" t="n">
        <f aca="false">0</f>
        <v>0</v>
      </c>
      <c r="AR423" s="8" t="n">
        <f aca="false">0</f>
        <v>0</v>
      </c>
      <c r="AS423" s="8" t="n">
        <f aca="false">0</f>
        <v>0</v>
      </c>
    </row>
    <row r="425" customFormat="false" ht="15" hidden="false" customHeight="false" outlineLevel="0" collapsed="false">
      <c r="A425" s="54" t="str">
        <f aca="false">VST_Assets!$A$15</f>
        <v>Cogentrix (pending) - modern CCGT, NE</v>
      </c>
    </row>
    <row r="426" customFormat="false" ht="15" hidden="false" customHeight="false" outlineLevel="0" collapsed="false">
      <c r="A426" s="6" t="s">
        <v>425</v>
      </c>
      <c r="B426" s="6" t="s">
        <v>426</v>
      </c>
      <c r="G426" s="47" t="n">
        <f aca="false">IF(AND(G$3&gt;=VST_Assets!$E$15,G$3&lt;=VST_Assets!$F$15,VST_Assets!$H$15="Cashflow"),1,0)</f>
        <v>1</v>
      </c>
      <c r="H426" s="47" t="n">
        <f aca="false">IF(AND(H$3&gt;=VST_Assets!$E$15,H$3&lt;=VST_Assets!$F$15,VST_Assets!$H$15="Cashflow"),1,0)</f>
        <v>1</v>
      </c>
      <c r="I426" s="47" t="n">
        <f aca="false">IF(AND(I$3&gt;=VST_Assets!$E$15,I$3&lt;=VST_Assets!$F$15,VST_Assets!$H$15="Cashflow"),1,0)</f>
        <v>1</v>
      </c>
      <c r="J426" s="47" t="n">
        <f aca="false">IF(AND(J$3&gt;=VST_Assets!$E$15,J$3&lt;=VST_Assets!$F$15,VST_Assets!$H$15="Cashflow"),1,0)</f>
        <v>1</v>
      </c>
      <c r="K426" s="47" t="n">
        <f aca="false">IF(AND(K$3&gt;=VST_Assets!$E$15,K$3&lt;=VST_Assets!$F$15,VST_Assets!$H$15="Cashflow"),1,0)</f>
        <v>1</v>
      </c>
      <c r="L426" s="47" t="n">
        <f aca="false">IF(AND(L$3&gt;=VST_Assets!$E$15,L$3&lt;=VST_Assets!$F$15,VST_Assets!$H$15="Cashflow"),1,0)</f>
        <v>1</v>
      </c>
      <c r="M426" s="47" t="n">
        <f aca="false">IF(AND(M$3&gt;=VST_Assets!$E$15,M$3&lt;=VST_Assets!$F$15,VST_Assets!$H$15="Cashflow"),1,0)</f>
        <v>1</v>
      </c>
      <c r="N426" s="47" t="n">
        <f aca="false">IF(AND(N$3&gt;=VST_Assets!$E$15,N$3&lt;=VST_Assets!$F$15,VST_Assets!$H$15="Cashflow"),1,0)</f>
        <v>1</v>
      </c>
      <c r="O426" s="47" t="n">
        <f aca="false">IF(AND(O$3&gt;=VST_Assets!$E$15,O$3&lt;=VST_Assets!$F$15,VST_Assets!$H$15="Cashflow"),1,0)</f>
        <v>1</v>
      </c>
      <c r="P426" s="47" t="n">
        <f aca="false">IF(AND(P$3&gt;=VST_Assets!$E$15,P$3&lt;=VST_Assets!$F$15,VST_Assets!$H$15="Cashflow"),1,0)</f>
        <v>1</v>
      </c>
      <c r="Q426" s="47" t="n">
        <f aca="false">IF(AND(Q$3&gt;=VST_Assets!$E$15,Q$3&lt;=VST_Assets!$F$15,VST_Assets!$H$15="Cashflow"),1,0)</f>
        <v>1</v>
      </c>
      <c r="R426" s="47" t="n">
        <f aca="false">IF(AND(R$3&gt;=VST_Assets!$E$15,R$3&lt;=VST_Assets!$F$15,VST_Assets!$H$15="Cashflow"),1,0)</f>
        <v>1</v>
      </c>
      <c r="S426" s="47" t="n">
        <f aca="false">IF(AND(S$3&gt;=VST_Assets!$E$15,S$3&lt;=VST_Assets!$F$15,VST_Assets!$H$15="Cashflow"),1,0)</f>
        <v>1</v>
      </c>
      <c r="T426" s="47" t="n">
        <f aca="false">IF(AND(T$3&gt;=VST_Assets!$E$15,T$3&lt;=VST_Assets!$F$15,VST_Assets!$H$15="Cashflow"),1,0)</f>
        <v>1</v>
      </c>
      <c r="U426" s="47" t="n">
        <f aca="false">IF(AND(U$3&gt;=VST_Assets!$E$15,U$3&lt;=VST_Assets!$F$15,VST_Assets!$H$15="Cashflow"),1,0)</f>
        <v>1</v>
      </c>
      <c r="V426" s="47" t="n">
        <f aca="false">IF(AND(V$3&gt;=VST_Assets!$E$15,V$3&lt;=VST_Assets!$F$15,VST_Assets!$H$15="Cashflow"),1,0)</f>
        <v>1</v>
      </c>
      <c r="W426" s="47" t="n">
        <f aca="false">IF(AND(W$3&gt;=VST_Assets!$E$15,W$3&lt;=VST_Assets!$F$15,VST_Assets!$H$15="Cashflow"),1,0)</f>
        <v>1</v>
      </c>
      <c r="X426" s="47" t="n">
        <f aca="false">IF(AND(X$3&gt;=VST_Assets!$E$15,X$3&lt;=VST_Assets!$F$15,VST_Assets!$H$15="Cashflow"),1,0)</f>
        <v>1</v>
      </c>
      <c r="Y426" s="47" t="n">
        <f aca="false">IF(AND(Y$3&gt;=VST_Assets!$E$15,Y$3&lt;=VST_Assets!$F$15,VST_Assets!$H$15="Cashflow"),1,0)</f>
        <v>1</v>
      </c>
      <c r="Z426" s="47" t="n">
        <f aca="false">IF(AND(Z$3&gt;=VST_Assets!$E$15,Z$3&lt;=VST_Assets!$F$15,VST_Assets!$H$15="Cashflow"),1,0)</f>
        <v>1</v>
      </c>
      <c r="AA426" s="47" t="n">
        <f aca="false">IF(AND(AA$3&gt;=VST_Assets!$E$15,AA$3&lt;=VST_Assets!$F$15,VST_Assets!$H$15="Cashflow"),1,0)</f>
        <v>1</v>
      </c>
      <c r="AB426" s="47" t="n">
        <f aca="false">IF(AND(AB$3&gt;=VST_Assets!$E$15,AB$3&lt;=VST_Assets!$F$15,VST_Assets!$H$15="Cashflow"),1,0)</f>
        <v>1</v>
      </c>
      <c r="AC426" s="47" t="n">
        <f aca="false">IF(AND(AC$3&gt;=VST_Assets!$E$15,AC$3&lt;=VST_Assets!$F$15,VST_Assets!$H$15="Cashflow"),1,0)</f>
        <v>1</v>
      </c>
      <c r="AD426" s="47" t="n">
        <f aca="false">IF(AND(AD$3&gt;=VST_Assets!$E$15,AD$3&lt;=VST_Assets!$F$15,VST_Assets!$H$15="Cashflow"),1,0)</f>
        <v>1</v>
      </c>
      <c r="AE426" s="47" t="n">
        <f aca="false">IF(AND(AE$3&gt;=VST_Assets!$E$15,AE$3&lt;=VST_Assets!$F$15,VST_Assets!$H$15="Cashflow"),1,0)</f>
        <v>0</v>
      </c>
      <c r="AF426" s="47" t="n">
        <f aca="false">IF(AND(AF$3&gt;=VST_Assets!$E$15,AF$3&lt;=VST_Assets!$F$15,VST_Assets!$H$15="Cashflow"),1,0)</f>
        <v>0</v>
      </c>
      <c r="AG426" s="47" t="n">
        <f aca="false">IF(AND(AG$3&gt;=VST_Assets!$E$15,AG$3&lt;=VST_Assets!$F$15,VST_Assets!$H$15="Cashflow"),1,0)</f>
        <v>0</v>
      </c>
      <c r="AH426" s="47" t="n">
        <f aca="false">IF(AND(AH$3&gt;=VST_Assets!$E$15,AH$3&lt;=VST_Assets!$F$15,VST_Assets!$H$15="Cashflow"),1,0)</f>
        <v>0</v>
      </c>
      <c r="AI426" s="47" t="n">
        <f aca="false">IF(AND(AI$3&gt;=VST_Assets!$E$15,AI$3&lt;=VST_Assets!$F$15,VST_Assets!$H$15="Cashflow"),1,0)</f>
        <v>0</v>
      </c>
      <c r="AJ426" s="47" t="n">
        <f aca="false">IF(AND(AJ$3&gt;=VST_Assets!$E$15,AJ$3&lt;=VST_Assets!$F$15,VST_Assets!$H$15="Cashflow"),1,0)</f>
        <v>0</v>
      </c>
      <c r="AK426" s="47" t="n">
        <f aca="false">IF(AND(AK$3&gt;=VST_Assets!$E$15,AK$3&lt;=VST_Assets!$F$15,VST_Assets!$H$15="Cashflow"),1,0)</f>
        <v>0</v>
      </c>
      <c r="AL426" s="47" t="n">
        <f aca="false">IF(AND(AL$3&gt;=VST_Assets!$E$15,AL$3&lt;=VST_Assets!$F$15,VST_Assets!$H$15="Cashflow"),1,0)</f>
        <v>0</v>
      </c>
      <c r="AM426" s="47" t="n">
        <f aca="false">IF(AND(AM$3&gt;=VST_Assets!$E$15,AM$3&lt;=VST_Assets!$F$15,VST_Assets!$H$15="Cashflow"),1,0)</f>
        <v>0</v>
      </c>
      <c r="AN426" s="47" t="n">
        <f aca="false">IF(AND(AN$3&gt;=VST_Assets!$E$15,AN$3&lt;=VST_Assets!$F$15,VST_Assets!$H$15="Cashflow"),1,0)</f>
        <v>0</v>
      </c>
      <c r="AO426" s="47" t="n">
        <f aca="false">IF(AND(AO$3&gt;=VST_Assets!$E$15,AO$3&lt;=VST_Assets!$F$15,VST_Assets!$H$15="Cashflow"),1,0)</f>
        <v>0</v>
      </c>
      <c r="AP426" s="47" t="n">
        <f aca="false">IF(AND(AP$3&gt;=VST_Assets!$E$15,AP$3&lt;=VST_Assets!$F$15,VST_Assets!$H$15="Cashflow"),1,0)</f>
        <v>0</v>
      </c>
      <c r="AQ426" s="47" t="n">
        <f aca="false">IF(AND(AQ$3&gt;=VST_Assets!$E$15,AQ$3&lt;=VST_Assets!$F$15,VST_Assets!$H$15="Cashflow"),1,0)</f>
        <v>0</v>
      </c>
      <c r="AR426" s="47" t="n">
        <f aca="false">IF(AND(AR$3&gt;=VST_Assets!$E$15,AR$3&lt;=VST_Assets!$F$15,VST_Assets!$H$15="Cashflow"),1,0)</f>
        <v>0</v>
      </c>
      <c r="AS426" s="47" t="n">
        <f aca="false">IF(AND(AS$3&gt;=VST_Assets!$E$15,AS$3&lt;=VST_Assets!$F$15,VST_Assets!$H$15="Cashflow"),1,0)</f>
        <v>0</v>
      </c>
    </row>
    <row r="427" customFormat="false" ht="15" hidden="false" customHeight="false" outlineLevel="0" collapsed="false">
      <c r="A427" s="6" t="s">
        <v>427</v>
      </c>
      <c r="B427" s="6" t="s">
        <v>428</v>
      </c>
      <c r="G427" s="9" t="n">
        <f aca="false">IF(AND(G$3&gt;=VST_Assets!$AA$15,G$3&lt;=VST_Assets!$AB$15),MIN(VST_Assets!$D$15,VST_Assets!$Z$15*MIN(1,(G$3-VST_Assets!$AA$15+1)/MAX(1,VST_Assets!$AC$15))),0)*G426</f>
        <v>0</v>
      </c>
      <c r="H427" s="9" t="n">
        <f aca="false">IF(AND(H$3&gt;=VST_Assets!$AA$15,H$3&lt;=VST_Assets!$AB$15),MIN(VST_Assets!$D$15,VST_Assets!$Z$15*MIN(1,(H$3-VST_Assets!$AA$15+1)/MAX(1,VST_Assets!$AC$15))),0)*H426</f>
        <v>0</v>
      </c>
      <c r="I427" s="9" t="n">
        <f aca="false">IF(AND(I$3&gt;=VST_Assets!$AA$15,I$3&lt;=VST_Assets!$AB$15),MIN(VST_Assets!$D$15,VST_Assets!$Z$15*MIN(1,(I$3-VST_Assets!$AA$15+1)/MAX(1,VST_Assets!$AC$15))),0)*I426</f>
        <v>0</v>
      </c>
      <c r="J427" s="9" t="n">
        <f aca="false">IF(AND(J$3&gt;=VST_Assets!$AA$15,J$3&lt;=VST_Assets!$AB$15),MIN(VST_Assets!$D$15,VST_Assets!$Z$15*MIN(1,(J$3-VST_Assets!$AA$15+1)/MAX(1,VST_Assets!$AC$15))),0)*J426</f>
        <v>0</v>
      </c>
      <c r="K427" s="9" t="n">
        <f aca="false">IF(AND(K$3&gt;=VST_Assets!$AA$15,K$3&lt;=VST_Assets!$AB$15),MIN(VST_Assets!$D$15,VST_Assets!$Z$15*MIN(1,(K$3-VST_Assets!$AA$15+1)/MAX(1,VST_Assets!$AC$15))),0)*K426</f>
        <v>0</v>
      </c>
      <c r="L427" s="9" t="n">
        <f aca="false">IF(AND(L$3&gt;=VST_Assets!$AA$15,L$3&lt;=VST_Assets!$AB$15),MIN(VST_Assets!$D$15,VST_Assets!$Z$15*MIN(1,(L$3-VST_Assets!$AA$15+1)/MAX(1,VST_Assets!$AC$15))),0)*L426</f>
        <v>0</v>
      </c>
      <c r="M427" s="9" t="n">
        <f aca="false">IF(AND(M$3&gt;=VST_Assets!$AA$15,M$3&lt;=VST_Assets!$AB$15),MIN(VST_Assets!$D$15,VST_Assets!$Z$15*MIN(1,(M$3-VST_Assets!$AA$15+1)/MAX(1,VST_Assets!$AC$15))),0)*M426</f>
        <v>0</v>
      </c>
      <c r="N427" s="9" t="n">
        <f aca="false">IF(AND(N$3&gt;=VST_Assets!$AA$15,N$3&lt;=VST_Assets!$AB$15),MIN(VST_Assets!$D$15,VST_Assets!$Z$15*MIN(1,(N$3-VST_Assets!$AA$15+1)/MAX(1,VST_Assets!$AC$15))),0)*N426</f>
        <v>0</v>
      </c>
      <c r="O427" s="9" t="n">
        <f aca="false">IF(AND(O$3&gt;=VST_Assets!$AA$15,O$3&lt;=VST_Assets!$AB$15),MIN(VST_Assets!$D$15,VST_Assets!$Z$15*MIN(1,(O$3-VST_Assets!$AA$15+1)/MAX(1,VST_Assets!$AC$15))),0)*O426</f>
        <v>0</v>
      </c>
      <c r="P427" s="9" t="n">
        <f aca="false">IF(AND(P$3&gt;=VST_Assets!$AA$15,P$3&lt;=VST_Assets!$AB$15),MIN(VST_Assets!$D$15,VST_Assets!$Z$15*MIN(1,(P$3-VST_Assets!$AA$15+1)/MAX(1,VST_Assets!$AC$15))),0)*P426</f>
        <v>0</v>
      </c>
      <c r="Q427" s="9" t="n">
        <f aca="false">IF(AND(Q$3&gt;=VST_Assets!$AA$15,Q$3&lt;=VST_Assets!$AB$15),MIN(VST_Assets!$D$15,VST_Assets!$Z$15*MIN(1,(Q$3-VST_Assets!$AA$15+1)/MAX(1,VST_Assets!$AC$15))),0)*Q426</f>
        <v>0</v>
      </c>
      <c r="R427" s="9" t="n">
        <f aca="false">IF(AND(R$3&gt;=VST_Assets!$AA$15,R$3&lt;=VST_Assets!$AB$15),MIN(VST_Assets!$D$15,VST_Assets!$Z$15*MIN(1,(R$3-VST_Assets!$AA$15+1)/MAX(1,VST_Assets!$AC$15))),0)*R426</f>
        <v>0</v>
      </c>
      <c r="S427" s="9" t="n">
        <f aca="false">IF(AND(S$3&gt;=VST_Assets!$AA$15,S$3&lt;=VST_Assets!$AB$15),MIN(VST_Assets!$D$15,VST_Assets!$Z$15*MIN(1,(S$3-VST_Assets!$AA$15+1)/MAX(1,VST_Assets!$AC$15))),0)*S426</f>
        <v>0</v>
      </c>
      <c r="T427" s="9" t="n">
        <f aca="false">IF(AND(T$3&gt;=VST_Assets!$AA$15,T$3&lt;=VST_Assets!$AB$15),MIN(VST_Assets!$D$15,VST_Assets!$Z$15*MIN(1,(T$3-VST_Assets!$AA$15+1)/MAX(1,VST_Assets!$AC$15))),0)*T426</f>
        <v>0</v>
      </c>
      <c r="U427" s="9" t="n">
        <f aca="false">IF(AND(U$3&gt;=VST_Assets!$AA$15,U$3&lt;=VST_Assets!$AB$15),MIN(VST_Assets!$D$15,VST_Assets!$Z$15*MIN(1,(U$3-VST_Assets!$AA$15+1)/MAX(1,VST_Assets!$AC$15))),0)*U426</f>
        <v>0</v>
      </c>
      <c r="V427" s="9" t="n">
        <f aca="false">IF(AND(V$3&gt;=VST_Assets!$AA$15,V$3&lt;=VST_Assets!$AB$15),MIN(VST_Assets!$D$15,VST_Assets!$Z$15*MIN(1,(V$3-VST_Assets!$AA$15+1)/MAX(1,VST_Assets!$AC$15))),0)*V426</f>
        <v>0</v>
      </c>
      <c r="W427" s="9" t="n">
        <f aca="false">IF(AND(W$3&gt;=VST_Assets!$AA$15,W$3&lt;=VST_Assets!$AB$15),MIN(VST_Assets!$D$15,VST_Assets!$Z$15*MIN(1,(W$3-VST_Assets!$AA$15+1)/MAX(1,VST_Assets!$AC$15))),0)*W426</f>
        <v>0</v>
      </c>
      <c r="X427" s="9" t="n">
        <f aca="false">IF(AND(X$3&gt;=VST_Assets!$AA$15,X$3&lt;=VST_Assets!$AB$15),MIN(VST_Assets!$D$15,VST_Assets!$Z$15*MIN(1,(X$3-VST_Assets!$AA$15+1)/MAX(1,VST_Assets!$AC$15))),0)*X426</f>
        <v>0</v>
      </c>
      <c r="Y427" s="9" t="n">
        <f aca="false">IF(AND(Y$3&gt;=VST_Assets!$AA$15,Y$3&lt;=VST_Assets!$AB$15),MIN(VST_Assets!$D$15,VST_Assets!$Z$15*MIN(1,(Y$3-VST_Assets!$AA$15+1)/MAX(1,VST_Assets!$AC$15))),0)*Y426</f>
        <v>0</v>
      </c>
      <c r="Z427" s="9" t="n">
        <f aca="false">IF(AND(Z$3&gt;=VST_Assets!$AA$15,Z$3&lt;=VST_Assets!$AB$15),MIN(VST_Assets!$D$15,VST_Assets!$Z$15*MIN(1,(Z$3-VST_Assets!$AA$15+1)/MAX(1,VST_Assets!$AC$15))),0)*Z426</f>
        <v>0</v>
      </c>
      <c r="AA427" s="9" t="n">
        <f aca="false">IF(AND(AA$3&gt;=VST_Assets!$AA$15,AA$3&lt;=VST_Assets!$AB$15),MIN(VST_Assets!$D$15,VST_Assets!$Z$15*MIN(1,(AA$3-VST_Assets!$AA$15+1)/MAX(1,VST_Assets!$AC$15))),0)*AA426</f>
        <v>0</v>
      </c>
      <c r="AB427" s="9" t="n">
        <f aca="false">IF(AND(AB$3&gt;=VST_Assets!$AA$15,AB$3&lt;=VST_Assets!$AB$15),MIN(VST_Assets!$D$15,VST_Assets!$Z$15*MIN(1,(AB$3-VST_Assets!$AA$15+1)/MAX(1,VST_Assets!$AC$15))),0)*AB426</f>
        <v>0</v>
      </c>
      <c r="AC427" s="9" t="n">
        <f aca="false">IF(AND(AC$3&gt;=VST_Assets!$AA$15,AC$3&lt;=VST_Assets!$AB$15),MIN(VST_Assets!$D$15,VST_Assets!$Z$15*MIN(1,(AC$3-VST_Assets!$AA$15+1)/MAX(1,VST_Assets!$AC$15))),0)*AC426</f>
        <v>0</v>
      </c>
      <c r="AD427" s="9" t="n">
        <f aca="false">IF(AND(AD$3&gt;=VST_Assets!$AA$15,AD$3&lt;=VST_Assets!$AB$15),MIN(VST_Assets!$D$15,VST_Assets!$Z$15*MIN(1,(AD$3-VST_Assets!$AA$15+1)/MAX(1,VST_Assets!$AC$15))),0)*AD426</f>
        <v>0</v>
      </c>
      <c r="AE427" s="9" t="n">
        <f aca="false">IF(AND(AE$3&gt;=VST_Assets!$AA$15,AE$3&lt;=VST_Assets!$AB$15),MIN(VST_Assets!$D$15,VST_Assets!$Z$15*MIN(1,(AE$3-VST_Assets!$AA$15+1)/MAX(1,VST_Assets!$AC$15))),0)*AE426</f>
        <v>0</v>
      </c>
      <c r="AF427" s="9" t="n">
        <f aca="false">IF(AND(AF$3&gt;=VST_Assets!$AA$15,AF$3&lt;=VST_Assets!$AB$15),MIN(VST_Assets!$D$15,VST_Assets!$Z$15*MIN(1,(AF$3-VST_Assets!$AA$15+1)/MAX(1,VST_Assets!$AC$15))),0)*AF426</f>
        <v>0</v>
      </c>
      <c r="AG427" s="9" t="n">
        <f aca="false">IF(AND(AG$3&gt;=VST_Assets!$AA$15,AG$3&lt;=VST_Assets!$AB$15),MIN(VST_Assets!$D$15,VST_Assets!$Z$15*MIN(1,(AG$3-VST_Assets!$AA$15+1)/MAX(1,VST_Assets!$AC$15))),0)*AG426</f>
        <v>0</v>
      </c>
      <c r="AH427" s="9" t="n">
        <f aca="false">IF(AND(AH$3&gt;=VST_Assets!$AA$15,AH$3&lt;=VST_Assets!$AB$15),MIN(VST_Assets!$D$15,VST_Assets!$Z$15*MIN(1,(AH$3-VST_Assets!$AA$15+1)/MAX(1,VST_Assets!$AC$15))),0)*AH426</f>
        <v>0</v>
      </c>
      <c r="AI427" s="9" t="n">
        <f aca="false">IF(AND(AI$3&gt;=VST_Assets!$AA$15,AI$3&lt;=VST_Assets!$AB$15),MIN(VST_Assets!$D$15,VST_Assets!$Z$15*MIN(1,(AI$3-VST_Assets!$AA$15+1)/MAX(1,VST_Assets!$AC$15))),0)*AI426</f>
        <v>0</v>
      </c>
      <c r="AJ427" s="9" t="n">
        <f aca="false">IF(AND(AJ$3&gt;=VST_Assets!$AA$15,AJ$3&lt;=VST_Assets!$AB$15),MIN(VST_Assets!$D$15,VST_Assets!$Z$15*MIN(1,(AJ$3-VST_Assets!$AA$15+1)/MAX(1,VST_Assets!$AC$15))),0)*AJ426</f>
        <v>0</v>
      </c>
      <c r="AK427" s="9" t="n">
        <f aca="false">IF(AND(AK$3&gt;=VST_Assets!$AA$15,AK$3&lt;=VST_Assets!$AB$15),MIN(VST_Assets!$D$15,VST_Assets!$Z$15*MIN(1,(AK$3-VST_Assets!$AA$15+1)/MAX(1,VST_Assets!$AC$15))),0)*AK426</f>
        <v>0</v>
      </c>
      <c r="AL427" s="9" t="n">
        <f aca="false">IF(AND(AL$3&gt;=VST_Assets!$AA$15,AL$3&lt;=VST_Assets!$AB$15),MIN(VST_Assets!$D$15,VST_Assets!$Z$15*MIN(1,(AL$3-VST_Assets!$AA$15+1)/MAX(1,VST_Assets!$AC$15))),0)*AL426</f>
        <v>0</v>
      </c>
      <c r="AM427" s="9" t="n">
        <f aca="false">IF(AND(AM$3&gt;=VST_Assets!$AA$15,AM$3&lt;=VST_Assets!$AB$15),MIN(VST_Assets!$D$15,VST_Assets!$Z$15*MIN(1,(AM$3-VST_Assets!$AA$15+1)/MAX(1,VST_Assets!$AC$15))),0)*AM426</f>
        <v>0</v>
      </c>
      <c r="AN427" s="9" t="n">
        <f aca="false">IF(AND(AN$3&gt;=VST_Assets!$AA$15,AN$3&lt;=VST_Assets!$AB$15),MIN(VST_Assets!$D$15,VST_Assets!$Z$15*MIN(1,(AN$3-VST_Assets!$AA$15+1)/MAX(1,VST_Assets!$AC$15))),0)*AN426</f>
        <v>0</v>
      </c>
      <c r="AO427" s="9" t="n">
        <f aca="false">IF(AND(AO$3&gt;=VST_Assets!$AA$15,AO$3&lt;=VST_Assets!$AB$15),MIN(VST_Assets!$D$15,VST_Assets!$Z$15*MIN(1,(AO$3-VST_Assets!$AA$15+1)/MAX(1,VST_Assets!$AC$15))),0)*AO426</f>
        <v>0</v>
      </c>
      <c r="AP427" s="9" t="n">
        <f aca="false">IF(AND(AP$3&gt;=VST_Assets!$AA$15,AP$3&lt;=VST_Assets!$AB$15),MIN(VST_Assets!$D$15,VST_Assets!$Z$15*MIN(1,(AP$3-VST_Assets!$AA$15+1)/MAX(1,VST_Assets!$AC$15))),0)*AP426</f>
        <v>0</v>
      </c>
      <c r="AQ427" s="9" t="n">
        <f aca="false">IF(AND(AQ$3&gt;=VST_Assets!$AA$15,AQ$3&lt;=VST_Assets!$AB$15),MIN(VST_Assets!$D$15,VST_Assets!$Z$15*MIN(1,(AQ$3-VST_Assets!$AA$15+1)/MAX(1,VST_Assets!$AC$15))),0)*AQ426</f>
        <v>0</v>
      </c>
      <c r="AR427" s="9" t="n">
        <f aca="false">IF(AND(AR$3&gt;=VST_Assets!$AA$15,AR$3&lt;=VST_Assets!$AB$15),MIN(VST_Assets!$D$15,VST_Assets!$Z$15*MIN(1,(AR$3-VST_Assets!$AA$15+1)/MAX(1,VST_Assets!$AC$15))),0)*AR426</f>
        <v>0</v>
      </c>
      <c r="AS427" s="9" t="n">
        <f aca="false">IF(AND(AS$3&gt;=VST_Assets!$AA$15,AS$3&lt;=VST_Assets!$AB$15),MIN(VST_Assets!$D$15,VST_Assets!$Z$15*MIN(1,(AS$3-VST_Assets!$AA$15+1)/MAX(1,VST_Assets!$AC$15))),0)*AS426</f>
        <v>0</v>
      </c>
    </row>
    <row r="428" customFormat="false" ht="15" hidden="false" customHeight="false" outlineLevel="0" collapsed="false">
      <c r="A428" s="6" t="s">
        <v>429</v>
      </c>
      <c r="B428" s="6" t="s">
        <v>430</v>
      </c>
      <c r="G428" s="9" t="n">
        <f aca="false">(VST_Assets!$D$15-G427)*8760*VST_Assets!$I$15*G426</f>
        <v>6504300</v>
      </c>
      <c r="H428" s="9" t="n">
        <f aca="false">(VST_Assets!$D$15-H427)*8760*VST_Assets!$I$15*H426</f>
        <v>6504300</v>
      </c>
      <c r="I428" s="9" t="n">
        <f aca="false">(VST_Assets!$D$15-I427)*8760*VST_Assets!$I$15*I426</f>
        <v>6504300</v>
      </c>
      <c r="J428" s="9" t="n">
        <f aca="false">(VST_Assets!$D$15-J427)*8760*VST_Assets!$I$15*J426</f>
        <v>6504300</v>
      </c>
      <c r="K428" s="9" t="n">
        <f aca="false">(VST_Assets!$D$15-K427)*8760*VST_Assets!$I$15*K426</f>
        <v>6504300</v>
      </c>
      <c r="L428" s="9" t="n">
        <f aca="false">(VST_Assets!$D$15-L427)*8760*VST_Assets!$I$15*L426</f>
        <v>6504300</v>
      </c>
      <c r="M428" s="9" t="n">
        <f aca="false">(VST_Assets!$D$15-M427)*8760*VST_Assets!$I$15*M426</f>
        <v>6504300</v>
      </c>
      <c r="N428" s="9" t="n">
        <f aca="false">(VST_Assets!$D$15-N427)*8760*VST_Assets!$I$15*N426</f>
        <v>6504300</v>
      </c>
      <c r="O428" s="9" t="n">
        <f aca="false">(VST_Assets!$D$15-O427)*8760*VST_Assets!$I$15*O426</f>
        <v>6504300</v>
      </c>
      <c r="P428" s="9" t="n">
        <f aca="false">(VST_Assets!$D$15-P427)*8760*VST_Assets!$I$15*P426</f>
        <v>6504300</v>
      </c>
      <c r="Q428" s="9" t="n">
        <f aca="false">(VST_Assets!$D$15-Q427)*8760*VST_Assets!$I$15*Q426</f>
        <v>6504300</v>
      </c>
      <c r="R428" s="9" t="n">
        <f aca="false">(VST_Assets!$D$15-R427)*8760*VST_Assets!$I$15*R426</f>
        <v>6504300</v>
      </c>
      <c r="S428" s="9" t="n">
        <f aca="false">(VST_Assets!$D$15-S427)*8760*VST_Assets!$I$15*S426</f>
        <v>6504300</v>
      </c>
      <c r="T428" s="9" t="n">
        <f aca="false">(VST_Assets!$D$15-T427)*8760*VST_Assets!$I$15*T426</f>
        <v>6504300</v>
      </c>
      <c r="U428" s="9" t="n">
        <f aca="false">(VST_Assets!$D$15-U427)*8760*VST_Assets!$I$15*U426</f>
        <v>6504300</v>
      </c>
      <c r="V428" s="9" t="n">
        <f aca="false">(VST_Assets!$D$15-V427)*8760*VST_Assets!$I$15*V426</f>
        <v>6504300</v>
      </c>
      <c r="W428" s="9" t="n">
        <f aca="false">(VST_Assets!$D$15-W427)*8760*VST_Assets!$I$15*W426</f>
        <v>6504300</v>
      </c>
      <c r="X428" s="9" t="n">
        <f aca="false">(VST_Assets!$D$15-X427)*8760*VST_Assets!$I$15*X426</f>
        <v>6504300</v>
      </c>
      <c r="Y428" s="9" t="n">
        <f aca="false">(VST_Assets!$D$15-Y427)*8760*VST_Assets!$I$15*Y426</f>
        <v>6504300</v>
      </c>
      <c r="Z428" s="9" t="n">
        <f aca="false">(VST_Assets!$D$15-Z427)*8760*VST_Assets!$I$15*Z426</f>
        <v>6504300</v>
      </c>
      <c r="AA428" s="9" t="n">
        <f aca="false">(VST_Assets!$D$15-AA427)*8760*VST_Assets!$I$15*AA426</f>
        <v>6504300</v>
      </c>
      <c r="AB428" s="9" t="n">
        <f aca="false">(VST_Assets!$D$15-AB427)*8760*VST_Assets!$I$15*AB426</f>
        <v>6504300</v>
      </c>
      <c r="AC428" s="9" t="n">
        <f aca="false">(VST_Assets!$D$15-AC427)*8760*VST_Assets!$I$15*AC426</f>
        <v>6504300</v>
      </c>
      <c r="AD428" s="9" t="n">
        <f aca="false">(VST_Assets!$D$15-AD427)*8760*VST_Assets!$I$15*AD426</f>
        <v>6504300</v>
      </c>
      <c r="AE428" s="9" t="n">
        <f aca="false">(VST_Assets!$D$15-AE427)*8760*VST_Assets!$I$15*AE426</f>
        <v>0</v>
      </c>
      <c r="AF428" s="9" t="n">
        <f aca="false">(VST_Assets!$D$15-AF427)*8760*VST_Assets!$I$15*AF426</f>
        <v>0</v>
      </c>
      <c r="AG428" s="9" t="n">
        <f aca="false">(VST_Assets!$D$15-AG427)*8760*VST_Assets!$I$15*AG426</f>
        <v>0</v>
      </c>
      <c r="AH428" s="9" t="n">
        <f aca="false">(VST_Assets!$D$15-AH427)*8760*VST_Assets!$I$15*AH426</f>
        <v>0</v>
      </c>
      <c r="AI428" s="9" t="n">
        <f aca="false">(VST_Assets!$D$15-AI427)*8760*VST_Assets!$I$15*AI426</f>
        <v>0</v>
      </c>
      <c r="AJ428" s="9" t="n">
        <f aca="false">(VST_Assets!$D$15-AJ427)*8760*VST_Assets!$I$15*AJ426</f>
        <v>0</v>
      </c>
      <c r="AK428" s="9" t="n">
        <f aca="false">(VST_Assets!$D$15-AK427)*8760*VST_Assets!$I$15*AK426</f>
        <v>0</v>
      </c>
      <c r="AL428" s="9" t="n">
        <f aca="false">(VST_Assets!$D$15-AL427)*8760*VST_Assets!$I$15*AL426</f>
        <v>0</v>
      </c>
      <c r="AM428" s="9" t="n">
        <f aca="false">(VST_Assets!$D$15-AM427)*8760*VST_Assets!$I$15*AM426</f>
        <v>0</v>
      </c>
      <c r="AN428" s="9" t="n">
        <f aca="false">(VST_Assets!$D$15-AN427)*8760*VST_Assets!$I$15*AN426</f>
        <v>0</v>
      </c>
      <c r="AO428" s="9" t="n">
        <f aca="false">(VST_Assets!$D$15-AO427)*8760*VST_Assets!$I$15*AO426</f>
        <v>0</v>
      </c>
      <c r="AP428" s="9" t="n">
        <f aca="false">(VST_Assets!$D$15-AP427)*8760*VST_Assets!$I$15*AP426</f>
        <v>0</v>
      </c>
      <c r="AQ428" s="9" t="n">
        <f aca="false">(VST_Assets!$D$15-AQ427)*8760*VST_Assets!$I$15*AQ426</f>
        <v>0</v>
      </c>
      <c r="AR428" s="9" t="n">
        <f aca="false">(VST_Assets!$D$15-AR427)*8760*VST_Assets!$I$15*AR426</f>
        <v>0</v>
      </c>
      <c r="AS428" s="9" t="n">
        <f aca="false">(VST_Assets!$D$15-AS427)*8760*VST_Assets!$I$15*AS426</f>
        <v>0</v>
      </c>
    </row>
    <row r="429" customFormat="false" ht="15" hidden="false" customHeight="false" outlineLevel="0" collapsed="false">
      <c r="A429" s="6" t="s">
        <v>431</v>
      </c>
      <c r="B429" s="6" t="s">
        <v>432</v>
      </c>
      <c r="G429" s="9" t="n">
        <f aca="false">G427*8760*VST_Assets!$I$15*G426</f>
        <v>0</v>
      </c>
      <c r="H429" s="9" t="n">
        <f aca="false">H427*8760*VST_Assets!$I$15*H426</f>
        <v>0</v>
      </c>
      <c r="I429" s="9" t="n">
        <f aca="false">I427*8760*VST_Assets!$I$15*I426</f>
        <v>0</v>
      </c>
      <c r="J429" s="9" t="n">
        <f aca="false">J427*8760*VST_Assets!$I$15*J426</f>
        <v>0</v>
      </c>
      <c r="K429" s="9" t="n">
        <f aca="false">K427*8760*VST_Assets!$I$15*K426</f>
        <v>0</v>
      </c>
      <c r="L429" s="9" t="n">
        <f aca="false">L427*8760*VST_Assets!$I$15*L426</f>
        <v>0</v>
      </c>
      <c r="M429" s="9" t="n">
        <f aca="false">M427*8760*VST_Assets!$I$15*M426</f>
        <v>0</v>
      </c>
      <c r="N429" s="9" t="n">
        <f aca="false">N427*8760*VST_Assets!$I$15*N426</f>
        <v>0</v>
      </c>
      <c r="O429" s="9" t="n">
        <f aca="false">O427*8760*VST_Assets!$I$15*O426</f>
        <v>0</v>
      </c>
      <c r="P429" s="9" t="n">
        <f aca="false">P427*8760*VST_Assets!$I$15*P426</f>
        <v>0</v>
      </c>
      <c r="Q429" s="9" t="n">
        <f aca="false">Q427*8760*VST_Assets!$I$15*Q426</f>
        <v>0</v>
      </c>
      <c r="R429" s="9" t="n">
        <f aca="false">R427*8760*VST_Assets!$I$15*R426</f>
        <v>0</v>
      </c>
      <c r="S429" s="9" t="n">
        <f aca="false">S427*8760*VST_Assets!$I$15*S426</f>
        <v>0</v>
      </c>
      <c r="T429" s="9" t="n">
        <f aca="false">T427*8760*VST_Assets!$I$15*T426</f>
        <v>0</v>
      </c>
      <c r="U429" s="9" t="n">
        <f aca="false">U427*8760*VST_Assets!$I$15*U426</f>
        <v>0</v>
      </c>
      <c r="V429" s="9" t="n">
        <f aca="false">V427*8760*VST_Assets!$I$15*V426</f>
        <v>0</v>
      </c>
      <c r="W429" s="9" t="n">
        <f aca="false">W427*8760*VST_Assets!$I$15*W426</f>
        <v>0</v>
      </c>
      <c r="X429" s="9" t="n">
        <f aca="false">X427*8760*VST_Assets!$I$15*X426</f>
        <v>0</v>
      </c>
      <c r="Y429" s="9" t="n">
        <f aca="false">Y427*8760*VST_Assets!$I$15*Y426</f>
        <v>0</v>
      </c>
      <c r="Z429" s="9" t="n">
        <f aca="false">Z427*8760*VST_Assets!$I$15*Z426</f>
        <v>0</v>
      </c>
      <c r="AA429" s="9" t="n">
        <f aca="false">AA427*8760*VST_Assets!$I$15*AA426</f>
        <v>0</v>
      </c>
      <c r="AB429" s="9" t="n">
        <f aca="false">AB427*8760*VST_Assets!$I$15*AB426</f>
        <v>0</v>
      </c>
      <c r="AC429" s="9" t="n">
        <f aca="false">AC427*8760*VST_Assets!$I$15*AC426</f>
        <v>0</v>
      </c>
      <c r="AD429" s="9" t="n">
        <f aca="false">AD427*8760*VST_Assets!$I$15*AD426</f>
        <v>0</v>
      </c>
      <c r="AE429" s="9" t="n">
        <f aca="false">AE427*8760*VST_Assets!$I$15*AE426</f>
        <v>0</v>
      </c>
      <c r="AF429" s="9" t="n">
        <f aca="false">AF427*8760*VST_Assets!$I$15*AF426</f>
        <v>0</v>
      </c>
      <c r="AG429" s="9" t="n">
        <f aca="false">AG427*8760*VST_Assets!$I$15*AG426</f>
        <v>0</v>
      </c>
      <c r="AH429" s="9" t="n">
        <f aca="false">AH427*8760*VST_Assets!$I$15*AH426</f>
        <v>0</v>
      </c>
      <c r="AI429" s="9" t="n">
        <f aca="false">AI427*8760*VST_Assets!$I$15*AI426</f>
        <v>0</v>
      </c>
      <c r="AJ429" s="9" t="n">
        <f aca="false">AJ427*8760*VST_Assets!$I$15*AJ426</f>
        <v>0</v>
      </c>
      <c r="AK429" s="9" t="n">
        <f aca="false">AK427*8760*VST_Assets!$I$15*AK426</f>
        <v>0</v>
      </c>
      <c r="AL429" s="9" t="n">
        <f aca="false">AL427*8760*VST_Assets!$I$15*AL426</f>
        <v>0</v>
      </c>
      <c r="AM429" s="9" t="n">
        <f aca="false">AM427*8760*VST_Assets!$I$15*AM426</f>
        <v>0</v>
      </c>
      <c r="AN429" s="9" t="n">
        <f aca="false">AN427*8760*VST_Assets!$I$15*AN426</f>
        <v>0</v>
      </c>
      <c r="AO429" s="9" t="n">
        <f aca="false">AO427*8760*VST_Assets!$I$15*AO426</f>
        <v>0</v>
      </c>
      <c r="AP429" s="9" t="n">
        <f aca="false">AP427*8760*VST_Assets!$I$15*AP426</f>
        <v>0</v>
      </c>
      <c r="AQ429" s="9" t="n">
        <f aca="false">AQ427*8760*VST_Assets!$I$15*AQ426</f>
        <v>0</v>
      </c>
      <c r="AR429" s="9" t="n">
        <f aca="false">AR427*8760*VST_Assets!$I$15*AR426</f>
        <v>0</v>
      </c>
      <c r="AS429" s="9" t="n">
        <f aca="false">AS427*8760*VST_Assets!$I$15*AS426</f>
        <v>0</v>
      </c>
    </row>
    <row r="430" customFormat="false" ht="15" hidden="false" customHeight="false" outlineLevel="0" collapsed="false">
      <c r="A430" s="6" t="s">
        <v>433</v>
      </c>
      <c r="B430" s="6" t="s">
        <v>434</v>
      </c>
      <c r="G430" s="7" t="n">
        <f aca="false">IF(ISNUMBER(VST_Assets!$L$15),VST_Assets!$L$15*G$4,INDEX(Prices!G:G,VST_Assets!$AO$15)+FuelAdder*G$4)</f>
        <v>5.712</v>
      </c>
      <c r="H430" s="7" t="n">
        <f aca="false">IF(ISNUMBER(VST_Assets!$L$15),VST_Assets!$L$15*H$4,INDEX(Prices!H:H,VST_Assets!$AO$15)+FuelAdder*H$4)</f>
        <v>5.82624</v>
      </c>
      <c r="I430" s="7" t="n">
        <f aca="false">IF(ISNUMBER(VST_Assets!$L$15),VST_Assets!$L$15*I$4,INDEX(Prices!I:I,VST_Assets!$AO$15)+FuelAdder*I$4)</f>
        <v>6.0488856</v>
      </c>
      <c r="J430" s="7" t="n">
        <f aca="false">IF(ISNUMBER(VST_Assets!$L$15),VST_Assets!$L$15*J$4,INDEX(Prices!J:J,VST_Assets!$AO$15)+FuelAdder*J$4)</f>
        <v>6.169863312</v>
      </c>
      <c r="K430" s="7" t="n">
        <f aca="false">IF(ISNUMBER(VST_Assets!$L$15),VST_Assets!$L$15*K$4,INDEX(Prices!K:K,VST_Assets!$AO$15)+FuelAdder*K$4)</f>
        <v>6.29326057824</v>
      </c>
      <c r="L430" s="7" t="n">
        <f aca="false">IF(ISNUMBER(VST_Assets!$L$15),VST_Assets!$L$15*L$4,INDEX(Prices!L:L,VST_Assets!$AO$15)+FuelAdder*L$4)</f>
        <v>6.4191257898048</v>
      </c>
      <c r="M430" s="7" t="n">
        <f aca="false">IF(ISNUMBER(VST_Assets!$L$15),VST_Assets!$L$15*M$4,INDEX(Prices!M:M,VST_Assets!$AO$15)+FuelAdder*M$4)</f>
        <v>6.5475083056009</v>
      </c>
      <c r="N430" s="7" t="n">
        <f aca="false">IF(ISNUMBER(VST_Assets!$L$15),VST_Assets!$L$15*N$4,INDEX(Prices!N:N,VST_Assets!$AO$15)+FuelAdder*N$4)</f>
        <v>6.67845847171292</v>
      </c>
      <c r="O430" s="7" t="n">
        <f aca="false">IF(ISNUMBER(VST_Assets!$L$15),VST_Assets!$L$15*O$4,INDEX(Prices!O:O,VST_Assets!$AO$15)+FuelAdder*O$4)</f>
        <v>6.81202764114717</v>
      </c>
      <c r="P430" s="7" t="n">
        <f aca="false">IF(ISNUMBER(VST_Assets!$L$15),VST_Assets!$L$15*P$4,INDEX(Prices!P:P,VST_Assets!$AO$15)+FuelAdder*P$4)</f>
        <v>6.94826819397012</v>
      </c>
      <c r="Q430" s="7" t="n">
        <f aca="false">IF(ISNUMBER(VST_Assets!$L$15),VST_Assets!$L$15*Q$4,INDEX(Prices!Q:Q,VST_Assets!$AO$15)+FuelAdder*Q$4)</f>
        <v>7.08723355784952</v>
      </c>
      <c r="R430" s="7" t="n">
        <f aca="false">IF(ISNUMBER(VST_Assets!$L$15),VST_Assets!$L$15*R$4,INDEX(Prices!R:R,VST_Assets!$AO$15)+FuelAdder*R$4)</f>
        <v>7.22897822900651</v>
      </c>
      <c r="S430" s="7" t="n">
        <f aca="false">IF(ISNUMBER(VST_Assets!$L$15),VST_Assets!$L$15*S$4,INDEX(Prices!S:S,VST_Assets!$AO$15)+FuelAdder*S$4)</f>
        <v>7.37355779358664</v>
      </c>
      <c r="T430" s="7" t="n">
        <f aca="false">IF(ISNUMBER(VST_Assets!$L$15),VST_Assets!$L$15*T$4,INDEX(Prices!T:T,VST_Assets!$AO$15)+FuelAdder*T$4)</f>
        <v>7.52102894945837</v>
      </c>
      <c r="U430" s="7" t="n">
        <f aca="false">IF(ISNUMBER(VST_Assets!$L$15),VST_Assets!$L$15*U$4,INDEX(Prices!U:U,VST_Assets!$AO$15)+FuelAdder*U$4)</f>
        <v>7.67144952844754</v>
      </c>
      <c r="V430" s="7" t="n">
        <f aca="false">IF(ISNUMBER(VST_Assets!$L$15),VST_Assets!$L$15*V$4,INDEX(Prices!V:V,VST_Assets!$AO$15)+FuelAdder*V$4)</f>
        <v>7.82487851901649</v>
      </c>
      <c r="W430" s="7" t="n">
        <f aca="false">IF(ISNUMBER(VST_Assets!$L$15),VST_Assets!$L$15*W$4,INDEX(Prices!W:W,VST_Assets!$AO$15)+FuelAdder*W$4)</f>
        <v>7.98137608939682</v>
      </c>
      <c r="X430" s="7" t="n">
        <f aca="false">IF(ISNUMBER(VST_Assets!$L$15),VST_Assets!$L$15*X$4,INDEX(Prices!X:X,VST_Assets!$AO$15)+FuelAdder*X$4)</f>
        <v>8.14100361118476</v>
      </c>
      <c r="Y430" s="7" t="n">
        <f aca="false">IF(ISNUMBER(VST_Assets!$L$15),VST_Assets!$L$15*Y$4,INDEX(Prices!Y:Y,VST_Assets!$AO$15)+FuelAdder*Y$4)</f>
        <v>8.30382368340845</v>
      </c>
      <c r="Z430" s="7" t="n">
        <f aca="false">IF(ISNUMBER(VST_Assets!$L$15),VST_Assets!$L$15*Z$4,INDEX(Prices!Z:Z,VST_Assets!$AO$15)+FuelAdder*Z$4)</f>
        <v>8.46990015707662</v>
      </c>
      <c r="AA430" s="7" t="n">
        <f aca="false">IF(ISNUMBER(VST_Assets!$L$15),VST_Assets!$L$15*AA$4,INDEX(Prices!AA:AA,VST_Assets!$AO$15)+FuelAdder*AA$4)</f>
        <v>8.63929816021816</v>
      </c>
      <c r="AB430" s="7" t="n">
        <f aca="false">IF(ISNUMBER(VST_Assets!$L$15),VST_Assets!$L$15*AB$4,INDEX(Prices!AB:AB,VST_Assets!$AO$15)+FuelAdder*AB$4)</f>
        <v>8.81208412342252</v>
      </c>
      <c r="AC430" s="7" t="n">
        <f aca="false">IF(ISNUMBER(VST_Assets!$L$15),VST_Assets!$L$15*AC$4,INDEX(Prices!AC:AC,VST_Assets!$AO$15)+FuelAdder*AC$4)</f>
        <v>8.98832580589097</v>
      </c>
      <c r="AD430" s="7" t="n">
        <f aca="false">IF(ISNUMBER(VST_Assets!$L$15),VST_Assets!$L$15*AD$4,INDEX(Prices!AD:AD,VST_Assets!$AO$15)+FuelAdder*AD$4)</f>
        <v>9.16809232200879</v>
      </c>
      <c r="AE430" s="7" t="n">
        <f aca="false">IF(ISNUMBER(VST_Assets!$L$15),VST_Assets!$L$15*AE$4,INDEX(Prices!AE:AE,VST_Assets!$AO$15)+FuelAdder*AE$4)</f>
        <v>9.35145416844897</v>
      </c>
      <c r="AF430" s="7" t="n">
        <f aca="false">IF(ISNUMBER(VST_Assets!$L$15),VST_Assets!$L$15*AF$4,INDEX(Prices!AF:AF,VST_Assets!$AO$15)+FuelAdder*AF$4)</f>
        <v>9.53848325181794</v>
      </c>
      <c r="AG430" s="7" t="n">
        <f aca="false">IF(ISNUMBER(VST_Assets!$L$15),VST_Assets!$L$15*AG$4,INDEX(Prices!AG:AG,VST_Assets!$AO$15)+FuelAdder*AG$4)</f>
        <v>9.7292529168543</v>
      </c>
      <c r="AH430" s="7" t="n">
        <f aca="false">IF(ISNUMBER(VST_Assets!$L$15),VST_Assets!$L$15*AH$4,INDEX(Prices!AH:AH,VST_Assets!$AO$15)+FuelAdder*AH$4)</f>
        <v>9.92383797519139</v>
      </c>
      <c r="AI430" s="7" t="n">
        <f aca="false">IF(ISNUMBER(VST_Assets!$L$15),VST_Assets!$L$15*AI$4,INDEX(Prices!AI:AI,VST_Assets!$AO$15)+FuelAdder*AI$4)</f>
        <v>10.1223147346952</v>
      </c>
      <c r="AJ430" s="7" t="n">
        <f aca="false">IF(ISNUMBER(VST_Assets!$L$15),VST_Assets!$L$15*AJ$4,INDEX(Prices!AJ:AJ,VST_Assets!$AO$15)+FuelAdder*AJ$4)</f>
        <v>10.3247610293891</v>
      </c>
      <c r="AK430" s="7" t="n">
        <f aca="false">IF(ISNUMBER(VST_Assets!$L$15),VST_Assets!$L$15*AK$4,INDEX(Prices!AK:AK,VST_Assets!$AO$15)+FuelAdder*AK$4)</f>
        <v>10.5312562499769</v>
      </c>
      <c r="AL430" s="7" t="n">
        <f aca="false">IF(ISNUMBER(VST_Assets!$L$15),VST_Assets!$L$15*AL$4,INDEX(Prices!AL:AL,VST_Assets!$AO$15)+FuelAdder*AL$4)</f>
        <v>10.7418813749764</v>
      </c>
      <c r="AM430" s="7" t="n">
        <f aca="false">IF(ISNUMBER(VST_Assets!$L$15),VST_Assets!$L$15*AM$4,INDEX(Prices!AM:AM,VST_Assets!$AO$15)+FuelAdder*AM$4)</f>
        <v>10.956719002476</v>
      </c>
      <c r="AN430" s="7" t="n">
        <f aca="false">IF(ISNUMBER(VST_Assets!$L$15),VST_Assets!$L$15*AN$4,INDEX(Prices!AN:AN,VST_Assets!$AO$15)+FuelAdder*AN$4)</f>
        <v>11.1758533825255</v>
      </c>
      <c r="AO430" s="7" t="n">
        <f aca="false">IF(ISNUMBER(VST_Assets!$L$15),VST_Assets!$L$15*AO$4,INDEX(Prices!AO:AO,VST_Assets!$AO$15)+FuelAdder*AO$4)</f>
        <v>11.399370450176</v>
      </c>
      <c r="AP430" s="7" t="n">
        <f aca="false">IF(ISNUMBER(VST_Assets!$L$15),VST_Assets!$L$15*AP$4,INDEX(Prices!AP:AP,VST_Assets!$AO$15)+FuelAdder*AP$4)</f>
        <v>11.6273578591795</v>
      </c>
      <c r="AQ430" s="7" t="n">
        <f aca="false">IF(ISNUMBER(VST_Assets!$L$15),VST_Assets!$L$15*AQ$4,INDEX(Prices!AQ:AQ,VST_Assets!$AO$15)+FuelAdder*AQ$4)</f>
        <v>11.8599050163631</v>
      </c>
      <c r="AR430" s="7" t="n">
        <f aca="false">IF(ISNUMBER(VST_Assets!$L$15),VST_Assets!$L$15*AR$4,INDEX(Prices!AR:AR,VST_Assets!$AO$15)+FuelAdder*AR$4)</f>
        <v>12.0971031166904</v>
      </c>
      <c r="AS430" s="7" t="n">
        <f aca="false">IF(ISNUMBER(VST_Assets!$L$15),VST_Assets!$L$15*AS$4,INDEX(Prices!AS:AS,VST_Assets!$AO$15)+FuelAdder*AS$4)</f>
        <v>12.3390451790242</v>
      </c>
    </row>
    <row r="431" customFormat="false" ht="15" hidden="false" customHeight="false" outlineLevel="0" collapsed="false">
      <c r="A431" s="6" t="s">
        <v>435</v>
      </c>
      <c r="B431" s="6" t="s">
        <v>436</v>
      </c>
      <c r="G431" s="7" t="n">
        <f aca="false">INDEX(Prices!G:G,VST_Assets!$AN$15)*VST_Assets!$J$15-VST_Assets!$K$15*G430-VST_Assets!$M$15*G$4</f>
        <v>38.6652</v>
      </c>
      <c r="H431" s="7" t="n">
        <f aca="false">INDEX(Prices!H:H,VST_Assets!$AN$15)*VST_Assets!$J$15-VST_Assets!$K$15*H430-VST_Assets!$M$15*H$4</f>
        <v>38.939544</v>
      </c>
      <c r="I431" s="7" t="n">
        <f aca="false">INDEX(Prices!I:I,VST_Assets!$AN$15)*VST_Assets!$J$15-VST_Assets!$K$15*I430-VST_Assets!$M$15*I$4</f>
        <v>30.4761411306</v>
      </c>
      <c r="J431" s="7" t="n">
        <f aca="false">INDEX(Prices!J:J,VST_Assets!$AN$15)*VST_Assets!$J$15-VST_Assets!$K$15*J430-VST_Assets!$M$15*J$4</f>
        <v>27.564297319224</v>
      </c>
      <c r="K431" s="7" t="n">
        <f aca="false">INDEX(Prices!K:K,VST_Assets!$AN$15)*VST_Assets!$J$15-VST_Assets!$K$15*K430-VST_Assets!$M$15*K$4</f>
        <v>28.1155832656085</v>
      </c>
      <c r="L431" s="7" t="n">
        <f aca="false">INDEX(Prices!L:L,VST_Assets!$AN$15)*VST_Assets!$J$15-VST_Assets!$K$15*L430-VST_Assets!$M$15*L$4</f>
        <v>28.6778949309207</v>
      </c>
      <c r="M431" s="7" t="n">
        <f aca="false">INDEX(Prices!M:M,VST_Assets!$AN$15)*VST_Assets!$J$15-VST_Assets!$K$15*M430-VST_Assets!$M$15*M$4</f>
        <v>29.2514528295391</v>
      </c>
      <c r="N431" s="7" t="n">
        <f aca="false">INDEX(Prices!N:N,VST_Assets!$AN$15)*VST_Assets!$J$15-VST_Assets!$K$15*N430-VST_Assets!$M$15*N$4</f>
        <v>29.8364818861299</v>
      </c>
      <c r="O431" s="7" t="n">
        <f aca="false">INDEX(Prices!O:O,VST_Assets!$AN$15)*VST_Assets!$J$15-VST_Assets!$K$15*O430-VST_Assets!$M$15*O$4</f>
        <v>30.4332115238525</v>
      </c>
      <c r="P431" s="7" t="n">
        <f aca="false">INDEX(Prices!P:P,VST_Assets!$AN$15)*VST_Assets!$J$15-VST_Assets!$K$15*P430-VST_Assets!$M$15*P$4</f>
        <v>31.0418757543295</v>
      </c>
      <c r="Q431" s="7" t="n">
        <f aca="false">INDEX(Prices!Q:Q,VST_Assets!$AN$15)*VST_Assets!$J$15-VST_Assets!$K$15*Q430-VST_Assets!$M$15*Q$4</f>
        <v>31.6627132694161</v>
      </c>
      <c r="R431" s="7" t="n">
        <f aca="false">INDEX(Prices!R:R,VST_Assets!$AN$15)*VST_Assets!$J$15-VST_Assets!$K$15*R430-VST_Assets!$M$15*R$4</f>
        <v>32.2959675348044</v>
      </c>
      <c r="S431" s="7" t="n">
        <f aca="false">INDEX(Prices!S:S,VST_Assets!$AN$15)*VST_Assets!$J$15-VST_Assets!$K$15*S430-VST_Assets!$M$15*S$4</f>
        <v>32.9418868855005</v>
      </c>
      <c r="T431" s="7" t="n">
        <f aca="false">INDEX(Prices!T:T,VST_Assets!$AN$15)*VST_Assets!$J$15-VST_Assets!$K$15*T430-VST_Assets!$M$15*T$4</f>
        <v>33.6007246232105</v>
      </c>
      <c r="U431" s="7" t="n">
        <f aca="false">INDEX(Prices!U:U,VST_Assets!$AN$15)*VST_Assets!$J$15-VST_Assets!$K$15*U430-VST_Assets!$M$15*U$4</f>
        <v>34.2727391156747</v>
      </c>
      <c r="V431" s="7" t="n">
        <f aca="false">INDEX(Prices!V:V,VST_Assets!$AN$15)*VST_Assets!$J$15-VST_Assets!$K$15*V430-VST_Assets!$M$15*V$4</f>
        <v>34.9581938979882</v>
      </c>
      <c r="W431" s="7" t="n">
        <f aca="false">INDEX(Prices!W:W,VST_Assets!$AN$15)*VST_Assets!$J$15-VST_Assets!$K$15*W430-VST_Assets!$M$15*W$4</f>
        <v>35.657357775948</v>
      </c>
      <c r="X431" s="7" t="n">
        <f aca="false">INDEX(Prices!X:X,VST_Assets!$AN$15)*VST_Assets!$J$15-VST_Assets!$K$15*X430-VST_Assets!$M$15*X$4</f>
        <v>36.370504931467</v>
      </c>
      <c r="Y431" s="7" t="n">
        <f aca="false">INDEX(Prices!Y:Y,VST_Assets!$AN$15)*VST_Assets!$J$15-VST_Assets!$K$15*Y430-VST_Assets!$M$15*Y$4</f>
        <v>37.0979150300963</v>
      </c>
      <c r="Z431" s="7" t="n">
        <f aca="false">INDEX(Prices!Z:Z,VST_Assets!$AN$15)*VST_Assets!$J$15-VST_Assets!$K$15*Z430-VST_Assets!$M$15*Z$4</f>
        <v>37.8398733306982</v>
      </c>
      <c r="AA431" s="7" t="n">
        <f aca="false">INDEX(Prices!AA:AA,VST_Assets!$AN$15)*VST_Assets!$J$15-VST_Assets!$K$15*AA430-VST_Assets!$M$15*AA$4</f>
        <v>38.5966707973122</v>
      </c>
      <c r="AB431" s="7" t="n">
        <f aca="false">INDEX(Prices!AB:AB,VST_Assets!$AN$15)*VST_Assets!$J$15-VST_Assets!$K$15*AB430-VST_Assets!$M$15*AB$4</f>
        <v>39.3686042132584</v>
      </c>
      <c r="AC431" s="7" t="n">
        <f aca="false">INDEX(Prices!AC:AC,VST_Assets!$AN$15)*VST_Assets!$J$15-VST_Assets!$K$15*AC430-VST_Assets!$M$15*AC$4</f>
        <v>40.1559762975236</v>
      </c>
      <c r="AD431" s="7" t="n">
        <f aca="false">INDEX(Prices!AD:AD,VST_Assets!$AN$15)*VST_Assets!$J$15-VST_Assets!$K$15*AD430-VST_Assets!$M$15*AD$4</f>
        <v>40.9590958234741</v>
      </c>
      <c r="AE431" s="7" t="n">
        <f aca="false">INDEX(Prices!AE:AE,VST_Assets!$AN$15)*VST_Assets!$J$15-VST_Assets!$K$15*AE430-VST_Assets!$M$15*AE$4</f>
        <v>41.7782777399435</v>
      </c>
      <c r="AF431" s="7" t="n">
        <f aca="false">INDEX(Prices!AF:AF,VST_Assets!$AN$15)*VST_Assets!$J$15-VST_Assets!$K$15*AF430-VST_Assets!$M$15*AF$4</f>
        <v>42.6138432947424</v>
      </c>
      <c r="AG431" s="7" t="n">
        <f aca="false">INDEX(Prices!AG:AG,VST_Assets!$AN$15)*VST_Assets!$J$15-VST_Assets!$K$15*AG430-VST_Assets!$M$15*AG$4</f>
        <v>43.4661201606373</v>
      </c>
      <c r="AH431" s="7" t="n">
        <f aca="false">INDEX(Prices!AH:AH,VST_Assets!$AN$15)*VST_Assets!$J$15-VST_Assets!$K$15*AH430-VST_Assets!$M$15*AH$4</f>
        <v>44.33544256385</v>
      </c>
      <c r="AI431" s="7" t="n">
        <f aca="false">INDEX(Prices!AI:AI,VST_Assets!$AN$15)*VST_Assets!$J$15-VST_Assets!$K$15*AI430-VST_Assets!$M$15*AI$4</f>
        <v>45.222151415127</v>
      </c>
      <c r="AJ431" s="7" t="n">
        <f aca="false">INDEX(Prices!AJ:AJ,VST_Assets!$AN$15)*VST_Assets!$J$15-VST_Assets!$K$15*AJ430-VST_Assets!$M$15*AJ$4</f>
        <v>46.1265944434296</v>
      </c>
      <c r="AK431" s="7" t="n">
        <f aca="false">INDEX(Prices!AK:AK,VST_Assets!$AN$15)*VST_Assets!$J$15-VST_Assets!$K$15*AK430-VST_Assets!$M$15*AK$4</f>
        <v>47.0491263322982</v>
      </c>
      <c r="AL431" s="7" t="n">
        <f aca="false">INDEX(Prices!AL:AL,VST_Assets!$AN$15)*VST_Assets!$J$15-VST_Assets!$K$15*AL430-VST_Assets!$M$15*AL$4</f>
        <v>47.9901088589441</v>
      </c>
      <c r="AM431" s="7" t="n">
        <f aca="false">INDEX(Prices!AM:AM,VST_Assets!$AN$15)*VST_Assets!$J$15-VST_Assets!$K$15*AM430-VST_Assets!$M$15*AM$4</f>
        <v>48.949911036123</v>
      </c>
      <c r="AN431" s="7" t="n">
        <f aca="false">INDEX(Prices!AN:AN,VST_Assets!$AN$15)*VST_Assets!$J$15-VST_Assets!$K$15*AN430-VST_Assets!$M$15*AN$4</f>
        <v>49.9289092568455</v>
      </c>
      <c r="AO431" s="7" t="n">
        <f aca="false">INDEX(Prices!AO:AO,VST_Assets!$AN$15)*VST_Assets!$J$15-VST_Assets!$K$15*AO430-VST_Assets!$M$15*AO$4</f>
        <v>50.9274874419824</v>
      </c>
      <c r="AP431" s="7" t="n">
        <f aca="false">INDEX(Prices!AP:AP,VST_Assets!$AN$15)*VST_Assets!$J$15-VST_Assets!$K$15*AP430-VST_Assets!$M$15*AP$4</f>
        <v>51.946037190822</v>
      </c>
      <c r="AQ431" s="7" t="n">
        <f aca="false">INDEX(Prices!AQ:AQ,VST_Assets!$AN$15)*VST_Assets!$J$15-VST_Assets!$K$15*AQ430-VST_Assets!$M$15*AQ$4</f>
        <v>52.9849579346385</v>
      </c>
      <c r="AR431" s="7" t="n">
        <f aca="false">INDEX(Prices!AR:AR,VST_Assets!$AN$15)*VST_Assets!$J$15-VST_Assets!$K$15*AR430-VST_Assets!$M$15*AR$4</f>
        <v>54.0446570933312</v>
      </c>
      <c r="AS431" s="7" t="n">
        <f aca="false">INDEX(Prices!AS:AS,VST_Assets!$AN$15)*VST_Assets!$J$15-VST_Assets!$K$15*AS430-VST_Assets!$M$15*AS$4</f>
        <v>55.1255502351978</v>
      </c>
    </row>
    <row r="432" customFormat="false" ht="15" hidden="false" customHeight="false" outlineLevel="0" collapsed="false">
      <c r="A432" s="6" t="s">
        <v>437</v>
      </c>
      <c r="B432" s="6" t="s">
        <v>438</v>
      </c>
      <c r="G432" s="47" t="n">
        <f aca="false">IF(VST_Assets!$X$15=1,IF(G431&gt;0,1,0),1)</f>
        <v>1</v>
      </c>
      <c r="H432" s="47" t="n">
        <f aca="false">IF(VST_Assets!$X$15=1,IF(H431&gt;0,1,0),1)</f>
        <v>1</v>
      </c>
      <c r="I432" s="47" t="n">
        <f aca="false">IF(VST_Assets!$X$15=1,IF(I431&gt;0,1,0),1)</f>
        <v>1</v>
      </c>
      <c r="J432" s="47" t="n">
        <f aca="false">IF(VST_Assets!$X$15=1,IF(J431&gt;0,1,0),1)</f>
        <v>1</v>
      </c>
      <c r="K432" s="47" t="n">
        <f aca="false">IF(VST_Assets!$X$15=1,IF(K431&gt;0,1,0),1)</f>
        <v>1</v>
      </c>
      <c r="L432" s="47" t="n">
        <f aca="false">IF(VST_Assets!$X$15=1,IF(L431&gt;0,1,0),1)</f>
        <v>1</v>
      </c>
      <c r="M432" s="47" t="n">
        <f aca="false">IF(VST_Assets!$X$15=1,IF(M431&gt;0,1,0),1)</f>
        <v>1</v>
      </c>
      <c r="N432" s="47" t="n">
        <f aca="false">IF(VST_Assets!$X$15=1,IF(N431&gt;0,1,0),1)</f>
        <v>1</v>
      </c>
      <c r="O432" s="47" t="n">
        <f aca="false">IF(VST_Assets!$X$15=1,IF(O431&gt;0,1,0),1)</f>
        <v>1</v>
      </c>
      <c r="P432" s="47" t="n">
        <f aca="false">IF(VST_Assets!$X$15=1,IF(P431&gt;0,1,0),1)</f>
        <v>1</v>
      </c>
      <c r="Q432" s="47" t="n">
        <f aca="false">IF(VST_Assets!$X$15=1,IF(Q431&gt;0,1,0),1)</f>
        <v>1</v>
      </c>
      <c r="R432" s="47" t="n">
        <f aca="false">IF(VST_Assets!$X$15=1,IF(R431&gt;0,1,0),1)</f>
        <v>1</v>
      </c>
      <c r="S432" s="47" t="n">
        <f aca="false">IF(VST_Assets!$X$15=1,IF(S431&gt;0,1,0),1)</f>
        <v>1</v>
      </c>
      <c r="T432" s="47" t="n">
        <f aca="false">IF(VST_Assets!$X$15=1,IF(T431&gt;0,1,0),1)</f>
        <v>1</v>
      </c>
      <c r="U432" s="47" t="n">
        <f aca="false">IF(VST_Assets!$X$15=1,IF(U431&gt;0,1,0),1)</f>
        <v>1</v>
      </c>
      <c r="V432" s="47" t="n">
        <f aca="false">IF(VST_Assets!$X$15=1,IF(V431&gt;0,1,0),1)</f>
        <v>1</v>
      </c>
      <c r="W432" s="47" t="n">
        <f aca="false">IF(VST_Assets!$X$15=1,IF(W431&gt;0,1,0),1)</f>
        <v>1</v>
      </c>
      <c r="X432" s="47" t="n">
        <f aca="false">IF(VST_Assets!$X$15=1,IF(X431&gt;0,1,0),1)</f>
        <v>1</v>
      </c>
      <c r="Y432" s="47" t="n">
        <f aca="false">IF(VST_Assets!$X$15=1,IF(Y431&gt;0,1,0),1)</f>
        <v>1</v>
      </c>
      <c r="Z432" s="47" t="n">
        <f aca="false">IF(VST_Assets!$X$15=1,IF(Z431&gt;0,1,0),1)</f>
        <v>1</v>
      </c>
      <c r="AA432" s="47" t="n">
        <f aca="false">IF(VST_Assets!$X$15=1,IF(AA431&gt;0,1,0),1)</f>
        <v>1</v>
      </c>
      <c r="AB432" s="47" t="n">
        <f aca="false">IF(VST_Assets!$X$15=1,IF(AB431&gt;0,1,0),1)</f>
        <v>1</v>
      </c>
      <c r="AC432" s="47" t="n">
        <f aca="false">IF(VST_Assets!$X$15=1,IF(AC431&gt;0,1,0),1)</f>
        <v>1</v>
      </c>
      <c r="AD432" s="47" t="n">
        <f aca="false">IF(VST_Assets!$X$15=1,IF(AD431&gt;0,1,0),1)</f>
        <v>1</v>
      </c>
      <c r="AE432" s="47" t="n">
        <f aca="false">IF(VST_Assets!$X$15=1,IF(AE431&gt;0,1,0),1)</f>
        <v>1</v>
      </c>
      <c r="AF432" s="47" t="n">
        <f aca="false">IF(VST_Assets!$X$15=1,IF(AF431&gt;0,1,0),1)</f>
        <v>1</v>
      </c>
      <c r="AG432" s="47" t="n">
        <f aca="false">IF(VST_Assets!$X$15=1,IF(AG431&gt;0,1,0),1)</f>
        <v>1</v>
      </c>
      <c r="AH432" s="47" t="n">
        <f aca="false">IF(VST_Assets!$X$15=1,IF(AH431&gt;0,1,0),1)</f>
        <v>1</v>
      </c>
      <c r="AI432" s="47" t="n">
        <f aca="false">IF(VST_Assets!$X$15=1,IF(AI431&gt;0,1,0),1)</f>
        <v>1</v>
      </c>
      <c r="AJ432" s="47" t="n">
        <f aca="false">IF(VST_Assets!$X$15=1,IF(AJ431&gt;0,1,0),1)</f>
        <v>1</v>
      </c>
      <c r="AK432" s="47" t="n">
        <f aca="false">IF(VST_Assets!$X$15=1,IF(AK431&gt;0,1,0),1)</f>
        <v>1</v>
      </c>
      <c r="AL432" s="47" t="n">
        <f aca="false">IF(VST_Assets!$X$15=1,IF(AL431&gt;0,1,0),1)</f>
        <v>1</v>
      </c>
      <c r="AM432" s="47" t="n">
        <f aca="false">IF(VST_Assets!$X$15=1,IF(AM431&gt;0,1,0),1)</f>
        <v>1</v>
      </c>
      <c r="AN432" s="47" t="n">
        <f aca="false">IF(VST_Assets!$X$15=1,IF(AN431&gt;0,1,0),1)</f>
        <v>1</v>
      </c>
      <c r="AO432" s="47" t="n">
        <f aca="false">IF(VST_Assets!$X$15=1,IF(AO431&gt;0,1,0),1)</f>
        <v>1</v>
      </c>
      <c r="AP432" s="47" t="n">
        <f aca="false">IF(VST_Assets!$X$15=1,IF(AP431&gt;0,1,0),1)</f>
        <v>1</v>
      </c>
      <c r="AQ432" s="47" t="n">
        <f aca="false">IF(VST_Assets!$X$15=1,IF(AQ431&gt;0,1,0),1)</f>
        <v>1</v>
      </c>
      <c r="AR432" s="47" t="n">
        <f aca="false">IF(VST_Assets!$X$15=1,IF(AR431&gt;0,1,0),1)</f>
        <v>1</v>
      </c>
      <c r="AS432" s="47" t="n">
        <f aca="false">IF(VST_Assets!$X$15=1,IF(AS431&gt;0,1,0),1)</f>
        <v>1</v>
      </c>
    </row>
    <row r="433" customFormat="false" ht="15" hidden="false" customHeight="false" outlineLevel="0" collapsed="false">
      <c r="A433" s="6" t="s">
        <v>439</v>
      </c>
      <c r="B433" s="6" t="s">
        <v>440</v>
      </c>
      <c r="C433" s="9" t="n">
        <f aca="false">SUM(G433:AS433)</f>
        <v>13960.7382471926</v>
      </c>
      <c r="G433" s="8" t="n">
        <f aca="false">G428*INDEX(Prices!G:G,VST_Assets!$AN$15)*VST_Assets!$J$15*G432/1000000*(1+VST_RevAdj)</f>
        <v>531.0630864</v>
      </c>
      <c r="H433" s="8" t="n">
        <f aca="false">H428*INDEX(Prices!H:H,VST_Assets!$AN$15)*VST_Assets!$J$15*H432/1000000*(1+VST_RevAdj)</f>
        <v>538.4389626</v>
      </c>
      <c r="I433" s="8" t="n">
        <f aca="false">I428*INDEX(Prices!I:I,VST_Assets!$AN$15)*VST_Assets!$J$15*I432/1000000*(1+VST_RevAdj)</f>
        <v>493.856407531914</v>
      </c>
      <c r="J433" s="8" t="n">
        <f aca="false">J428*INDEX(Prices!J:J,VST_Assets!$AN$15)*VST_Assets!$J$15*J432/1000000*(1+VST_RevAdj)</f>
        <v>480.829510685104</v>
      </c>
      <c r="K433" s="8" t="n">
        <f aca="false">K428*INDEX(Prices!K:K,VST_Assets!$AN$15)*VST_Assets!$J$15*K432/1000000*(1+VST_RevAdj)</f>
        <v>490.446100898806</v>
      </c>
      <c r="L433" s="8" t="n">
        <f aca="false">L428*INDEX(Prices!L:L,VST_Assets!$AN$15)*VST_Assets!$J$15*L432/1000000*(1+VST_RevAdj)</f>
        <v>500.255022916782</v>
      </c>
      <c r="M433" s="8" t="n">
        <f aca="false">M428*INDEX(Prices!M:M,VST_Assets!$AN$15)*VST_Assets!$J$15*M432/1000000*(1+VST_RevAdj)</f>
        <v>510.260123375118</v>
      </c>
      <c r="N433" s="8" t="n">
        <f aca="false">N428*INDEX(Prices!N:N,VST_Assets!$AN$15)*VST_Assets!$J$15*N432/1000000*(1+VST_RevAdj)</f>
        <v>520.46532584262</v>
      </c>
      <c r="O433" s="8" t="n">
        <f aca="false">O428*INDEX(Prices!O:O,VST_Assets!$AN$15)*VST_Assets!$J$15*O432/1000000*(1+VST_RevAdj)</f>
        <v>530.874632359473</v>
      </c>
      <c r="P433" s="8" t="n">
        <f aca="false">P428*INDEX(Prices!P:P,VST_Assets!$AN$15)*VST_Assets!$J$15*P432/1000000*(1+VST_RevAdj)</f>
        <v>541.492125006662</v>
      </c>
      <c r="Q433" s="8" t="n">
        <f aca="false">Q428*INDEX(Prices!Q:Q,VST_Assets!$AN$15)*VST_Assets!$J$15*Q432/1000000*(1+VST_RevAdj)</f>
        <v>552.321967506795</v>
      </c>
      <c r="R433" s="8" t="n">
        <f aca="false">R428*INDEX(Prices!R:R,VST_Assets!$AN$15)*VST_Assets!$J$15*R432/1000000*(1+VST_RevAdj)</f>
        <v>563.368406856931</v>
      </c>
      <c r="S433" s="8" t="n">
        <f aca="false">S428*INDEX(Prices!S:S,VST_Assets!$AN$15)*VST_Assets!$J$15*S432/1000000*(1+VST_RevAdj)</f>
        <v>574.63577499407</v>
      </c>
      <c r="T433" s="8" t="n">
        <f aca="false">T428*INDEX(Prices!T:T,VST_Assets!$AN$15)*VST_Assets!$J$15*T432/1000000*(1+VST_RevAdj)</f>
        <v>586.128490493951</v>
      </c>
      <c r="U433" s="8" t="n">
        <f aca="false">U428*INDEX(Prices!U:U,VST_Assets!$AN$15)*VST_Assets!$J$15*U432/1000000*(1+VST_RevAdj)</f>
        <v>597.85106030383</v>
      </c>
      <c r="V433" s="8" t="n">
        <f aca="false">V428*INDEX(Prices!V:V,VST_Assets!$AN$15)*VST_Assets!$J$15*V432/1000000*(1+VST_RevAdj)</f>
        <v>609.808081509907</v>
      </c>
      <c r="W433" s="8" t="n">
        <f aca="false">W428*INDEX(Prices!W:W,VST_Assets!$AN$15)*VST_Assets!$J$15*W432/1000000*(1+VST_RevAdj)</f>
        <v>622.004243140105</v>
      </c>
      <c r="X433" s="8" t="n">
        <f aca="false">X428*INDEX(Prices!X:X,VST_Assets!$AN$15)*VST_Assets!$J$15*X432/1000000*(1+VST_RevAdj)</f>
        <v>634.444328002907</v>
      </c>
      <c r="Y433" s="8" t="n">
        <f aca="false">Y428*INDEX(Prices!Y:Y,VST_Assets!$AN$15)*VST_Assets!$J$15*Y432/1000000*(1+VST_RevAdj)</f>
        <v>647.133214562965</v>
      </c>
      <c r="Z433" s="8" t="n">
        <f aca="false">Z428*INDEX(Prices!Z:Z,VST_Assets!$AN$15)*VST_Assets!$J$15*Z432/1000000*(1+VST_RevAdj)</f>
        <v>660.075878854225</v>
      </c>
      <c r="AA433" s="8" t="n">
        <f aca="false">AA428*INDEX(Prices!AA:AA,VST_Assets!$AN$15)*VST_Assets!$J$15*AA432/1000000*(1+VST_RevAdj)</f>
        <v>673.277396431309</v>
      </c>
      <c r="AB433" s="8" t="n">
        <f aca="false">AB428*INDEX(Prices!AB:AB,VST_Assets!$AN$15)*VST_Assets!$J$15*AB432/1000000*(1+VST_RevAdj)</f>
        <v>686.742944359935</v>
      </c>
      <c r="AC433" s="8" t="n">
        <f aca="false">AC428*INDEX(Prices!AC:AC,VST_Assets!$AN$15)*VST_Assets!$J$15*AC432/1000000*(1+VST_RevAdj)</f>
        <v>700.477803247134</v>
      </c>
      <c r="AD433" s="8" t="n">
        <f aca="false">AD428*INDEX(Prices!AD:AD,VST_Assets!$AN$15)*VST_Assets!$J$15*AD432/1000000*(1+VST_RevAdj)</f>
        <v>714.487359312077</v>
      </c>
      <c r="AE433" s="8" t="n">
        <f aca="false">AE428*INDEX(Prices!AE:AE,VST_Assets!$AN$15)*VST_Assets!$J$15*AE432/1000000*(1+VST_RevAdj)</f>
        <v>0</v>
      </c>
      <c r="AF433" s="8" t="n">
        <f aca="false">AF428*INDEX(Prices!AF:AF,VST_Assets!$AN$15)*VST_Assets!$J$15*AF432/1000000*(1+VST_RevAdj)</f>
        <v>0</v>
      </c>
      <c r="AG433" s="8" t="n">
        <f aca="false">AG428*INDEX(Prices!AG:AG,VST_Assets!$AN$15)*VST_Assets!$J$15*AG432/1000000*(1+VST_RevAdj)</f>
        <v>0</v>
      </c>
      <c r="AH433" s="8" t="n">
        <f aca="false">AH428*INDEX(Prices!AH:AH,VST_Assets!$AN$15)*VST_Assets!$J$15*AH432/1000000*(1+VST_RevAdj)</f>
        <v>0</v>
      </c>
      <c r="AI433" s="8" t="n">
        <f aca="false">AI428*INDEX(Prices!AI:AI,VST_Assets!$AN$15)*VST_Assets!$J$15*AI432/1000000*(1+VST_RevAdj)</f>
        <v>0</v>
      </c>
      <c r="AJ433" s="8" t="n">
        <f aca="false">AJ428*INDEX(Prices!AJ:AJ,VST_Assets!$AN$15)*VST_Assets!$J$15*AJ432/1000000*(1+VST_RevAdj)</f>
        <v>0</v>
      </c>
      <c r="AK433" s="8" t="n">
        <f aca="false">AK428*INDEX(Prices!AK:AK,VST_Assets!$AN$15)*VST_Assets!$J$15*AK432/1000000*(1+VST_RevAdj)</f>
        <v>0</v>
      </c>
      <c r="AL433" s="8" t="n">
        <f aca="false">AL428*INDEX(Prices!AL:AL,VST_Assets!$AN$15)*VST_Assets!$J$15*AL432/1000000*(1+VST_RevAdj)</f>
        <v>0</v>
      </c>
      <c r="AM433" s="8" t="n">
        <f aca="false">AM428*INDEX(Prices!AM:AM,VST_Assets!$AN$15)*VST_Assets!$J$15*AM432/1000000*(1+VST_RevAdj)</f>
        <v>0</v>
      </c>
      <c r="AN433" s="8" t="n">
        <f aca="false">AN428*INDEX(Prices!AN:AN,VST_Assets!$AN$15)*VST_Assets!$J$15*AN432/1000000*(1+VST_RevAdj)</f>
        <v>0</v>
      </c>
      <c r="AO433" s="8" t="n">
        <f aca="false">AO428*INDEX(Prices!AO:AO,VST_Assets!$AN$15)*VST_Assets!$J$15*AO432/1000000*(1+VST_RevAdj)</f>
        <v>0</v>
      </c>
      <c r="AP433" s="8" t="n">
        <f aca="false">AP428*INDEX(Prices!AP:AP,VST_Assets!$AN$15)*VST_Assets!$J$15*AP432/1000000*(1+VST_RevAdj)</f>
        <v>0</v>
      </c>
      <c r="AQ433" s="8" t="n">
        <f aca="false">AQ428*INDEX(Prices!AQ:AQ,VST_Assets!$AN$15)*VST_Assets!$J$15*AQ432/1000000*(1+VST_RevAdj)</f>
        <v>0</v>
      </c>
      <c r="AR433" s="8" t="n">
        <f aca="false">AR428*INDEX(Prices!AR:AR,VST_Assets!$AN$15)*VST_Assets!$J$15*AR432/1000000*(1+VST_RevAdj)</f>
        <v>0</v>
      </c>
      <c r="AS433" s="8" t="n">
        <f aca="false">AS428*INDEX(Prices!AS:AS,VST_Assets!$AN$15)*VST_Assets!$J$15*AS432/1000000*(1+VST_RevAdj)</f>
        <v>0</v>
      </c>
    </row>
    <row r="434" customFormat="false" ht="15" hidden="false" customHeight="false" outlineLevel="0" collapsed="false">
      <c r="A434" s="6" t="s">
        <v>441</v>
      </c>
      <c r="B434" s="6" t="s">
        <v>442</v>
      </c>
      <c r="C434" s="9" t="n">
        <f aca="false">SUM(G434:AS434)</f>
        <v>1603.43022911379</v>
      </c>
      <c r="G434" s="8" t="n">
        <f aca="false">(VST_Assets!$D$15-G427)*INDEX(Prices!G:G,VST_Assets!$AP$15)*365*VST_Assets!$T$15*G426/1000000*(1+VST_RevAdj)</f>
        <v>52.706511</v>
      </c>
      <c r="H434" s="8" t="n">
        <f aca="false">(VST_Assets!$D$15-H427)*INDEX(Prices!H:H,VST_Assets!$AP$15)*365*VST_Assets!$T$15*H426/1000000*(1+VST_RevAdj)</f>
        <v>53.76064122</v>
      </c>
      <c r="I434" s="8" t="n">
        <f aca="false">(VST_Assets!$D$15-I427)*INDEX(Prices!I:I,VST_Assets!$AP$15)*365*VST_Assets!$T$15*I426/1000000*(1+VST_RevAdj)</f>
        <v>54.8358540444</v>
      </c>
      <c r="J434" s="8" t="n">
        <f aca="false">(VST_Assets!$D$15-J427)*INDEX(Prices!J:J,VST_Assets!$AP$15)*365*VST_Assets!$T$15*J426/1000000*(1+VST_RevAdj)</f>
        <v>55.932571125288</v>
      </c>
      <c r="K434" s="8" t="n">
        <f aca="false">(VST_Assets!$D$15-K427)*INDEX(Prices!K:K,VST_Assets!$AP$15)*365*VST_Assets!$T$15*K426/1000000*(1+VST_RevAdj)</f>
        <v>57.0512225477938</v>
      </c>
      <c r="L434" s="8" t="n">
        <f aca="false">(VST_Assets!$D$15-L427)*INDEX(Prices!L:L,VST_Assets!$AP$15)*365*VST_Assets!$T$15*L426/1000000*(1+VST_RevAdj)</f>
        <v>58.1922469987496</v>
      </c>
      <c r="M434" s="8" t="n">
        <f aca="false">(VST_Assets!$D$15-M427)*INDEX(Prices!M:M,VST_Assets!$AP$15)*365*VST_Assets!$T$15*M426/1000000*(1+VST_RevAdj)</f>
        <v>59.3560919387246</v>
      </c>
      <c r="N434" s="8" t="n">
        <f aca="false">(VST_Assets!$D$15-N427)*INDEX(Prices!N:N,VST_Assets!$AP$15)*365*VST_Assets!$T$15*N426/1000000*(1+VST_RevAdj)</f>
        <v>60.5432137774991</v>
      </c>
      <c r="O434" s="8" t="n">
        <f aca="false">(VST_Assets!$D$15-O427)*INDEX(Prices!O:O,VST_Assets!$AP$15)*365*VST_Assets!$T$15*O426/1000000*(1+VST_RevAdj)</f>
        <v>61.7540780530491</v>
      </c>
      <c r="P434" s="8" t="n">
        <f aca="false">(VST_Assets!$D$15-P427)*INDEX(Prices!P:P,VST_Assets!$AP$15)*365*VST_Assets!$T$15*P426/1000000*(1+VST_RevAdj)</f>
        <v>62.9891596141101</v>
      </c>
      <c r="Q434" s="8" t="n">
        <f aca="false">(VST_Assets!$D$15-Q427)*INDEX(Prices!Q:Q,VST_Assets!$AP$15)*365*VST_Assets!$T$15*Q426/1000000*(1+VST_RevAdj)</f>
        <v>64.2489428063923</v>
      </c>
      <c r="R434" s="8" t="n">
        <f aca="false">(VST_Assets!$D$15-R427)*INDEX(Prices!R:R,VST_Assets!$AP$15)*365*VST_Assets!$T$15*R426/1000000*(1+VST_RevAdj)</f>
        <v>65.5339216625201</v>
      </c>
      <c r="S434" s="8" t="n">
        <f aca="false">(VST_Assets!$D$15-S427)*INDEX(Prices!S:S,VST_Assets!$AP$15)*365*VST_Assets!$T$15*S426/1000000*(1+VST_RevAdj)</f>
        <v>66.8446000957706</v>
      </c>
      <c r="T434" s="8" t="n">
        <f aca="false">(VST_Assets!$D$15-T427)*INDEX(Prices!T:T,VST_Assets!$AP$15)*365*VST_Assets!$T$15*T426/1000000*(1+VST_RevAdj)</f>
        <v>68.181492097686</v>
      </c>
      <c r="U434" s="8" t="n">
        <f aca="false">(VST_Assets!$D$15-U427)*INDEX(Prices!U:U,VST_Assets!$AP$15)*365*VST_Assets!$T$15*U426/1000000*(1+VST_RevAdj)</f>
        <v>69.5451219396397</v>
      </c>
      <c r="V434" s="8" t="n">
        <f aca="false">(VST_Assets!$D$15-V427)*INDEX(Prices!V:V,VST_Assets!$AP$15)*365*VST_Assets!$T$15*V426/1000000*(1+VST_RevAdj)</f>
        <v>70.9360243784325</v>
      </c>
      <c r="W434" s="8" t="n">
        <f aca="false">(VST_Assets!$D$15-W427)*INDEX(Prices!W:W,VST_Assets!$AP$15)*365*VST_Assets!$T$15*W426/1000000*(1+VST_RevAdj)</f>
        <v>72.3547448660011</v>
      </c>
      <c r="X434" s="8" t="n">
        <f aca="false">(VST_Assets!$D$15-X427)*INDEX(Prices!X:X,VST_Assets!$AP$15)*365*VST_Assets!$T$15*X426/1000000*(1+VST_RevAdj)</f>
        <v>73.8018397633211</v>
      </c>
      <c r="Y434" s="8" t="n">
        <f aca="false">(VST_Assets!$D$15-Y427)*INDEX(Prices!Y:Y,VST_Assets!$AP$15)*365*VST_Assets!$T$15*Y426/1000000*(1+VST_RevAdj)</f>
        <v>75.2778765585876</v>
      </c>
      <c r="Z434" s="8" t="n">
        <f aca="false">(VST_Assets!$D$15-Z427)*INDEX(Prices!Z:Z,VST_Assets!$AP$15)*365*VST_Assets!$T$15*Z426/1000000*(1+VST_RevAdj)</f>
        <v>76.7834340897593</v>
      </c>
      <c r="AA434" s="8" t="n">
        <f aca="false">(VST_Assets!$D$15-AA427)*INDEX(Prices!AA:AA,VST_Assets!$AP$15)*365*VST_Assets!$T$15*AA426/1000000*(1+VST_RevAdj)</f>
        <v>78.3191027715545</v>
      </c>
      <c r="AB434" s="8" t="n">
        <f aca="false">(VST_Assets!$D$15-AB427)*INDEX(Prices!AB:AB,VST_Assets!$AP$15)*365*VST_Assets!$T$15*AB426/1000000*(1+VST_RevAdj)</f>
        <v>79.8854848269856</v>
      </c>
      <c r="AC434" s="8" t="n">
        <f aca="false">(VST_Assets!$D$15-AC427)*INDEX(Prices!AC:AC,VST_Assets!$AP$15)*365*VST_Assets!$T$15*AC426/1000000*(1+VST_RevAdj)</f>
        <v>81.4831945235253</v>
      </c>
      <c r="AD434" s="8" t="n">
        <f aca="false">(VST_Assets!$D$15-AD427)*INDEX(Prices!AD:AD,VST_Assets!$AP$15)*365*VST_Assets!$T$15*AD426/1000000*(1+VST_RevAdj)</f>
        <v>83.1128584139959</v>
      </c>
      <c r="AE434" s="8" t="n">
        <f aca="false">(VST_Assets!$D$15-AE427)*INDEX(Prices!AE:AE,VST_Assets!$AP$15)*365*VST_Assets!$T$15*AE426/1000000*(1+VST_RevAdj)</f>
        <v>0</v>
      </c>
      <c r="AF434" s="8" t="n">
        <f aca="false">(VST_Assets!$D$15-AF427)*INDEX(Prices!AF:AF,VST_Assets!$AP$15)*365*VST_Assets!$T$15*AF426/1000000*(1+VST_RevAdj)</f>
        <v>0</v>
      </c>
      <c r="AG434" s="8" t="n">
        <f aca="false">(VST_Assets!$D$15-AG427)*INDEX(Prices!AG:AG,VST_Assets!$AP$15)*365*VST_Assets!$T$15*AG426/1000000*(1+VST_RevAdj)</f>
        <v>0</v>
      </c>
      <c r="AH434" s="8" t="n">
        <f aca="false">(VST_Assets!$D$15-AH427)*INDEX(Prices!AH:AH,VST_Assets!$AP$15)*365*VST_Assets!$T$15*AH426/1000000*(1+VST_RevAdj)</f>
        <v>0</v>
      </c>
      <c r="AI434" s="8" t="n">
        <f aca="false">(VST_Assets!$D$15-AI427)*INDEX(Prices!AI:AI,VST_Assets!$AP$15)*365*VST_Assets!$T$15*AI426/1000000*(1+VST_RevAdj)</f>
        <v>0</v>
      </c>
      <c r="AJ434" s="8" t="n">
        <f aca="false">(VST_Assets!$D$15-AJ427)*INDEX(Prices!AJ:AJ,VST_Assets!$AP$15)*365*VST_Assets!$T$15*AJ426/1000000*(1+VST_RevAdj)</f>
        <v>0</v>
      </c>
      <c r="AK434" s="8" t="n">
        <f aca="false">(VST_Assets!$D$15-AK427)*INDEX(Prices!AK:AK,VST_Assets!$AP$15)*365*VST_Assets!$T$15*AK426/1000000*(1+VST_RevAdj)</f>
        <v>0</v>
      </c>
      <c r="AL434" s="8" t="n">
        <f aca="false">(VST_Assets!$D$15-AL427)*INDEX(Prices!AL:AL,VST_Assets!$AP$15)*365*VST_Assets!$T$15*AL426/1000000*(1+VST_RevAdj)</f>
        <v>0</v>
      </c>
      <c r="AM434" s="8" t="n">
        <f aca="false">(VST_Assets!$D$15-AM427)*INDEX(Prices!AM:AM,VST_Assets!$AP$15)*365*VST_Assets!$T$15*AM426/1000000*(1+VST_RevAdj)</f>
        <v>0</v>
      </c>
      <c r="AN434" s="8" t="n">
        <f aca="false">(VST_Assets!$D$15-AN427)*INDEX(Prices!AN:AN,VST_Assets!$AP$15)*365*VST_Assets!$T$15*AN426/1000000*(1+VST_RevAdj)</f>
        <v>0</v>
      </c>
      <c r="AO434" s="8" t="n">
        <f aca="false">(VST_Assets!$D$15-AO427)*INDEX(Prices!AO:AO,VST_Assets!$AP$15)*365*VST_Assets!$T$15*AO426/1000000*(1+VST_RevAdj)</f>
        <v>0</v>
      </c>
      <c r="AP434" s="8" t="n">
        <f aca="false">(VST_Assets!$D$15-AP427)*INDEX(Prices!AP:AP,VST_Assets!$AP$15)*365*VST_Assets!$T$15*AP426/1000000*(1+VST_RevAdj)</f>
        <v>0</v>
      </c>
      <c r="AQ434" s="8" t="n">
        <f aca="false">(VST_Assets!$D$15-AQ427)*INDEX(Prices!AQ:AQ,VST_Assets!$AP$15)*365*VST_Assets!$T$15*AQ426/1000000*(1+VST_RevAdj)</f>
        <v>0</v>
      </c>
      <c r="AR434" s="8" t="n">
        <f aca="false">(VST_Assets!$D$15-AR427)*INDEX(Prices!AR:AR,VST_Assets!$AP$15)*365*VST_Assets!$T$15*AR426/1000000*(1+VST_RevAdj)</f>
        <v>0</v>
      </c>
      <c r="AS434" s="8" t="n">
        <f aca="false">(VST_Assets!$D$15-AS427)*INDEX(Prices!AS:AS,VST_Assets!$AP$15)*365*VST_Assets!$T$15*AS426/1000000*(1+VST_RevAdj)</f>
        <v>0</v>
      </c>
    </row>
    <row r="435" customFormat="false" ht="15" hidden="false" customHeight="false" outlineLevel="0" collapsed="false">
      <c r="A435" s="6" t="s">
        <v>443</v>
      </c>
      <c r="B435" s="6" t="s">
        <v>444</v>
      </c>
      <c r="C435" s="9" t="n">
        <f aca="false">SUM(G435:AS435)</f>
        <v>0</v>
      </c>
      <c r="G435" s="8" t="n">
        <f aca="false">G429*(VST_Assets!$AD$15+VST_PPAAdj)/1000000*(1+VST_RevAdj)</f>
        <v>0</v>
      </c>
      <c r="H435" s="8" t="n">
        <f aca="false">H429*(VST_Assets!$AD$15+VST_PPAAdj)/1000000*(1+VST_RevAdj)</f>
        <v>0</v>
      </c>
      <c r="I435" s="8" t="n">
        <f aca="false">I429*(VST_Assets!$AD$15+VST_PPAAdj)/1000000*(1+VST_RevAdj)</f>
        <v>0</v>
      </c>
      <c r="J435" s="8" t="n">
        <f aca="false">J429*(VST_Assets!$AD$15+VST_PPAAdj)/1000000*(1+VST_RevAdj)</f>
        <v>0</v>
      </c>
      <c r="K435" s="8" t="n">
        <f aca="false">K429*(VST_Assets!$AD$15+VST_PPAAdj)/1000000*(1+VST_RevAdj)</f>
        <v>0</v>
      </c>
      <c r="L435" s="8" t="n">
        <f aca="false">L429*(VST_Assets!$AD$15+VST_PPAAdj)/1000000*(1+VST_RevAdj)</f>
        <v>0</v>
      </c>
      <c r="M435" s="8" t="n">
        <f aca="false">M429*(VST_Assets!$AD$15+VST_PPAAdj)/1000000*(1+VST_RevAdj)</f>
        <v>0</v>
      </c>
      <c r="N435" s="8" t="n">
        <f aca="false">N429*(VST_Assets!$AD$15+VST_PPAAdj)/1000000*(1+VST_RevAdj)</f>
        <v>0</v>
      </c>
      <c r="O435" s="8" t="n">
        <f aca="false">O429*(VST_Assets!$AD$15+VST_PPAAdj)/1000000*(1+VST_RevAdj)</f>
        <v>0</v>
      </c>
      <c r="P435" s="8" t="n">
        <f aca="false">P429*(VST_Assets!$AD$15+VST_PPAAdj)/1000000*(1+VST_RevAdj)</f>
        <v>0</v>
      </c>
      <c r="Q435" s="8" t="n">
        <f aca="false">Q429*(VST_Assets!$AD$15+VST_PPAAdj)/1000000*(1+VST_RevAdj)</f>
        <v>0</v>
      </c>
      <c r="R435" s="8" t="n">
        <f aca="false">R429*(VST_Assets!$AD$15+VST_PPAAdj)/1000000*(1+VST_RevAdj)</f>
        <v>0</v>
      </c>
      <c r="S435" s="8" t="n">
        <f aca="false">S429*(VST_Assets!$AD$15+VST_PPAAdj)/1000000*(1+VST_RevAdj)</f>
        <v>0</v>
      </c>
      <c r="T435" s="8" t="n">
        <f aca="false">T429*(VST_Assets!$AD$15+VST_PPAAdj)/1000000*(1+VST_RevAdj)</f>
        <v>0</v>
      </c>
      <c r="U435" s="8" t="n">
        <f aca="false">U429*(VST_Assets!$AD$15+VST_PPAAdj)/1000000*(1+VST_RevAdj)</f>
        <v>0</v>
      </c>
      <c r="V435" s="8" t="n">
        <f aca="false">V429*(VST_Assets!$AD$15+VST_PPAAdj)/1000000*(1+VST_RevAdj)</f>
        <v>0</v>
      </c>
      <c r="W435" s="8" t="n">
        <f aca="false">W429*(VST_Assets!$AD$15+VST_PPAAdj)/1000000*(1+VST_RevAdj)</f>
        <v>0</v>
      </c>
      <c r="X435" s="8" t="n">
        <f aca="false">X429*(VST_Assets!$AD$15+VST_PPAAdj)/1000000*(1+VST_RevAdj)</f>
        <v>0</v>
      </c>
      <c r="Y435" s="8" t="n">
        <f aca="false">Y429*(VST_Assets!$AD$15+VST_PPAAdj)/1000000*(1+VST_RevAdj)</f>
        <v>0</v>
      </c>
      <c r="Z435" s="8" t="n">
        <f aca="false">Z429*(VST_Assets!$AD$15+VST_PPAAdj)/1000000*(1+VST_RevAdj)</f>
        <v>0</v>
      </c>
      <c r="AA435" s="8" t="n">
        <f aca="false">AA429*(VST_Assets!$AD$15+VST_PPAAdj)/1000000*(1+VST_RevAdj)</f>
        <v>0</v>
      </c>
      <c r="AB435" s="8" t="n">
        <f aca="false">AB429*(VST_Assets!$AD$15+VST_PPAAdj)/1000000*(1+VST_RevAdj)</f>
        <v>0</v>
      </c>
      <c r="AC435" s="8" t="n">
        <f aca="false">AC429*(VST_Assets!$AD$15+VST_PPAAdj)/1000000*(1+VST_RevAdj)</f>
        <v>0</v>
      </c>
      <c r="AD435" s="8" t="n">
        <f aca="false">AD429*(VST_Assets!$AD$15+VST_PPAAdj)/1000000*(1+VST_RevAdj)</f>
        <v>0</v>
      </c>
      <c r="AE435" s="8" t="n">
        <f aca="false">AE429*(VST_Assets!$AD$15+VST_PPAAdj)/1000000*(1+VST_RevAdj)</f>
        <v>0</v>
      </c>
      <c r="AF435" s="8" t="n">
        <f aca="false">AF429*(VST_Assets!$AD$15+VST_PPAAdj)/1000000*(1+VST_RevAdj)</f>
        <v>0</v>
      </c>
      <c r="AG435" s="8" t="n">
        <f aca="false">AG429*(VST_Assets!$AD$15+VST_PPAAdj)/1000000*(1+VST_RevAdj)</f>
        <v>0</v>
      </c>
      <c r="AH435" s="8" t="n">
        <f aca="false">AH429*(VST_Assets!$AD$15+VST_PPAAdj)/1000000*(1+VST_RevAdj)</f>
        <v>0</v>
      </c>
      <c r="AI435" s="8" t="n">
        <f aca="false">AI429*(VST_Assets!$AD$15+VST_PPAAdj)/1000000*(1+VST_RevAdj)</f>
        <v>0</v>
      </c>
      <c r="AJ435" s="8" t="n">
        <f aca="false">AJ429*(VST_Assets!$AD$15+VST_PPAAdj)/1000000*(1+VST_RevAdj)</f>
        <v>0</v>
      </c>
      <c r="AK435" s="8" t="n">
        <f aca="false">AK429*(VST_Assets!$AD$15+VST_PPAAdj)/1000000*(1+VST_RevAdj)</f>
        <v>0</v>
      </c>
      <c r="AL435" s="8" t="n">
        <f aca="false">AL429*(VST_Assets!$AD$15+VST_PPAAdj)/1000000*(1+VST_RevAdj)</f>
        <v>0</v>
      </c>
      <c r="AM435" s="8" t="n">
        <f aca="false">AM429*(VST_Assets!$AD$15+VST_PPAAdj)/1000000*(1+VST_RevAdj)</f>
        <v>0</v>
      </c>
      <c r="AN435" s="8" t="n">
        <f aca="false">AN429*(VST_Assets!$AD$15+VST_PPAAdj)/1000000*(1+VST_RevAdj)</f>
        <v>0</v>
      </c>
      <c r="AO435" s="8" t="n">
        <f aca="false">AO429*(VST_Assets!$AD$15+VST_PPAAdj)/1000000*(1+VST_RevAdj)</f>
        <v>0</v>
      </c>
      <c r="AP435" s="8" t="n">
        <f aca="false">AP429*(VST_Assets!$AD$15+VST_PPAAdj)/1000000*(1+VST_RevAdj)</f>
        <v>0</v>
      </c>
      <c r="AQ435" s="8" t="n">
        <f aca="false">AQ429*(VST_Assets!$AD$15+VST_PPAAdj)/1000000*(1+VST_RevAdj)</f>
        <v>0</v>
      </c>
      <c r="AR435" s="8" t="n">
        <f aca="false">AR429*(VST_Assets!$AD$15+VST_PPAAdj)/1000000*(1+VST_RevAdj)</f>
        <v>0</v>
      </c>
      <c r="AS435" s="8" t="n">
        <f aca="false">AS429*(VST_Assets!$AD$15+VST_PPAAdj)/1000000*(1+VST_RevAdj)</f>
        <v>0</v>
      </c>
    </row>
    <row r="436" customFormat="false" ht="15" hidden="false" customHeight="false" outlineLevel="0" collapsed="false">
      <c r="A436" s="6" t="s">
        <v>445</v>
      </c>
      <c r="B436" s="6" t="s">
        <v>446</v>
      </c>
      <c r="C436" s="9" t="n">
        <f aca="false">SUM(G436:AS436)</f>
        <v>0</v>
      </c>
      <c r="G436" s="8" t="n">
        <f aca="false">IF(G$3&lt;=VST_Assets!$V$15,G428*VST_Assets!$U$15,0)/1000000*(1+VST_RevAdj)</f>
        <v>0</v>
      </c>
      <c r="H436" s="8" t="n">
        <f aca="false">IF(H$3&lt;=VST_Assets!$V$15,H428*VST_Assets!$U$15,0)/1000000*(1+VST_RevAdj)</f>
        <v>0</v>
      </c>
      <c r="I436" s="8" t="n">
        <f aca="false">IF(I$3&lt;=VST_Assets!$V$15,I428*VST_Assets!$U$15,0)/1000000*(1+VST_RevAdj)</f>
        <v>0</v>
      </c>
      <c r="J436" s="8" t="n">
        <f aca="false">IF(J$3&lt;=VST_Assets!$V$15,J428*VST_Assets!$U$15,0)/1000000*(1+VST_RevAdj)</f>
        <v>0</v>
      </c>
      <c r="K436" s="8" t="n">
        <f aca="false">IF(K$3&lt;=VST_Assets!$V$15,K428*VST_Assets!$U$15,0)/1000000*(1+VST_RevAdj)</f>
        <v>0</v>
      </c>
      <c r="L436" s="8" t="n">
        <f aca="false">IF(L$3&lt;=VST_Assets!$V$15,L428*VST_Assets!$U$15,0)/1000000*(1+VST_RevAdj)</f>
        <v>0</v>
      </c>
      <c r="M436" s="8" t="n">
        <f aca="false">IF(M$3&lt;=VST_Assets!$V$15,M428*VST_Assets!$U$15,0)/1000000*(1+VST_RevAdj)</f>
        <v>0</v>
      </c>
      <c r="N436" s="8" t="n">
        <f aca="false">IF(N$3&lt;=VST_Assets!$V$15,N428*VST_Assets!$U$15,0)/1000000*(1+VST_RevAdj)</f>
        <v>0</v>
      </c>
      <c r="O436" s="8" t="n">
        <f aca="false">IF(O$3&lt;=VST_Assets!$V$15,O428*VST_Assets!$U$15,0)/1000000*(1+VST_RevAdj)</f>
        <v>0</v>
      </c>
      <c r="P436" s="8" t="n">
        <f aca="false">IF(P$3&lt;=VST_Assets!$V$15,P428*VST_Assets!$U$15,0)/1000000*(1+VST_RevAdj)</f>
        <v>0</v>
      </c>
      <c r="Q436" s="8" t="n">
        <f aca="false">IF(Q$3&lt;=VST_Assets!$V$15,Q428*VST_Assets!$U$15,0)/1000000*(1+VST_RevAdj)</f>
        <v>0</v>
      </c>
      <c r="R436" s="8" t="n">
        <f aca="false">IF(R$3&lt;=VST_Assets!$V$15,R428*VST_Assets!$U$15,0)/1000000*(1+VST_RevAdj)</f>
        <v>0</v>
      </c>
      <c r="S436" s="8" t="n">
        <f aca="false">IF(S$3&lt;=VST_Assets!$V$15,S428*VST_Assets!$U$15,0)/1000000*(1+VST_RevAdj)</f>
        <v>0</v>
      </c>
      <c r="T436" s="8" t="n">
        <f aca="false">IF(T$3&lt;=VST_Assets!$V$15,T428*VST_Assets!$U$15,0)/1000000*(1+VST_RevAdj)</f>
        <v>0</v>
      </c>
      <c r="U436" s="8" t="n">
        <f aca="false">IF(U$3&lt;=VST_Assets!$V$15,U428*VST_Assets!$U$15,0)/1000000*(1+VST_RevAdj)</f>
        <v>0</v>
      </c>
      <c r="V436" s="8" t="n">
        <f aca="false">IF(V$3&lt;=VST_Assets!$V$15,V428*VST_Assets!$U$15,0)/1000000*(1+VST_RevAdj)</f>
        <v>0</v>
      </c>
      <c r="W436" s="8" t="n">
        <f aca="false">IF(W$3&lt;=VST_Assets!$V$15,W428*VST_Assets!$U$15,0)/1000000*(1+VST_RevAdj)</f>
        <v>0</v>
      </c>
      <c r="X436" s="8" t="n">
        <f aca="false">IF(X$3&lt;=VST_Assets!$V$15,X428*VST_Assets!$U$15,0)/1000000*(1+VST_RevAdj)</f>
        <v>0</v>
      </c>
      <c r="Y436" s="8" t="n">
        <f aca="false">IF(Y$3&lt;=VST_Assets!$V$15,Y428*VST_Assets!$U$15,0)/1000000*(1+VST_RevAdj)</f>
        <v>0</v>
      </c>
      <c r="Z436" s="8" t="n">
        <f aca="false">IF(Z$3&lt;=VST_Assets!$V$15,Z428*VST_Assets!$U$15,0)/1000000*(1+VST_RevAdj)</f>
        <v>0</v>
      </c>
      <c r="AA436" s="8" t="n">
        <f aca="false">IF(AA$3&lt;=VST_Assets!$V$15,AA428*VST_Assets!$U$15,0)/1000000*(1+VST_RevAdj)</f>
        <v>0</v>
      </c>
      <c r="AB436" s="8" t="n">
        <f aca="false">IF(AB$3&lt;=VST_Assets!$V$15,AB428*VST_Assets!$U$15,0)/1000000*(1+VST_RevAdj)</f>
        <v>0</v>
      </c>
      <c r="AC436" s="8" t="n">
        <f aca="false">IF(AC$3&lt;=VST_Assets!$V$15,AC428*VST_Assets!$U$15,0)/1000000*(1+VST_RevAdj)</f>
        <v>0</v>
      </c>
      <c r="AD436" s="8" t="n">
        <f aca="false">IF(AD$3&lt;=VST_Assets!$V$15,AD428*VST_Assets!$U$15,0)/1000000*(1+VST_RevAdj)</f>
        <v>0</v>
      </c>
      <c r="AE436" s="8" t="n">
        <f aca="false">IF(AE$3&lt;=VST_Assets!$V$15,AE428*VST_Assets!$U$15,0)/1000000*(1+VST_RevAdj)</f>
        <v>0</v>
      </c>
      <c r="AF436" s="8" t="n">
        <f aca="false">IF(AF$3&lt;=VST_Assets!$V$15,AF428*VST_Assets!$U$15,0)/1000000*(1+VST_RevAdj)</f>
        <v>0</v>
      </c>
      <c r="AG436" s="8" t="n">
        <f aca="false">IF(AG$3&lt;=VST_Assets!$V$15,AG428*VST_Assets!$U$15,0)/1000000*(1+VST_RevAdj)</f>
        <v>0</v>
      </c>
      <c r="AH436" s="8" t="n">
        <f aca="false">IF(AH$3&lt;=VST_Assets!$V$15,AH428*VST_Assets!$U$15,0)/1000000*(1+VST_RevAdj)</f>
        <v>0</v>
      </c>
      <c r="AI436" s="8" t="n">
        <f aca="false">IF(AI$3&lt;=VST_Assets!$V$15,AI428*VST_Assets!$U$15,0)/1000000*(1+VST_RevAdj)</f>
        <v>0</v>
      </c>
      <c r="AJ436" s="8" t="n">
        <f aca="false">IF(AJ$3&lt;=VST_Assets!$V$15,AJ428*VST_Assets!$U$15,0)/1000000*(1+VST_RevAdj)</f>
        <v>0</v>
      </c>
      <c r="AK436" s="8" t="n">
        <f aca="false">IF(AK$3&lt;=VST_Assets!$V$15,AK428*VST_Assets!$U$15,0)/1000000*(1+VST_RevAdj)</f>
        <v>0</v>
      </c>
      <c r="AL436" s="8" t="n">
        <f aca="false">IF(AL$3&lt;=VST_Assets!$V$15,AL428*VST_Assets!$U$15,0)/1000000*(1+VST_RevAdj)</f>
        <v>0</v>
      </c>
      <c r="AM436" s="8" t="n">
        <f aca="false">IF(AM$3&lt;=VST_Assets!$V$15,AM428*VST_Assets!$U$15,0)/1000000*(1+VST_RevAdj)</f>
        <v>0</v>
      </c>
      <c r="AN436" s="8" t="n">
        <f aca="false">IF(AN$3&lt;=VST_Assets!$V$15,AN428*VST_Assets!$U$15,0)/1000000*(1+VST_RevAdj)</f>
        <v>0</v>
      </c>
      <c r="AO436" s="8" t="n">
        <f aca="false">IF(AO$3&lt;=VST_Assets!$V$15,AO428*VST_Assets!$U$15,0)/1000000*(1+VST_RevAdj)</f>
        <v>0</v>
      </c>
      <c r="AP436" s="8" t="n">
        <f aca="false">IF(AP$3&lt;=VST_Assets!$V$15,AP428*VST_Assets!$U$15,0)/1000000*(1+VST_RevAdj)</f>
        <v>0</v>
      </c>
      <c r="AQ436" s="8" t="n">
        <f aca="false">IF(AQ$3&lt;=VST_Assets!$V$15,AQ428*VST_Assets!$U$15,0)/1000000*(1+VST_RevAdj)</f>
        <v>0</v>
      </c>
      <c r="AR436" s="8" t="n">
        <f aca="false">IF(AR$3&lt;=VST_Assets!$V$15,AR428*VST_Assets!$U$15,0)/1000000*(1+VST_RevAdj)</f>
        <v>0</v>
      </c>
      <c r="AS436" s="8" t="n">
        <f aca="false">IF(AS$3&lt;=VST_Assets!$V$15,AS428*VST_Assets!$U$15,0)/1000000*(1+VST_RevAdj)</f>
        <v>0</v>
      </c>
    </row>
    <row r="437" customFormat="false" ht="15" hidden="false" customHeight="false" outlineLevel="0" collapsed="false">
      <c r="A437" s="6" t="s">
        <v>447</v>
      </c>
      <c r="B437" s="6" t="s">
        <v>448</v>
      </c>
      <c r="C437" s="9" t="n">
        <f aca="false">SUM(G437:AS437)</f>
        <v>15564.1684763064</v>
      </c>
      <c r="G437" s="8" t="n">
        <f aca="false">G433+G434+G435+G436</f>
        <v>583.7695974</v>
      </c>
      <c r="H437" s="8" t="n">
        <f aca="false">H433+H434+H435+H436</f>
        <v>592.19960382</v>
      </c>
      <c r="I437" s="8" t="n">
        <f aca="false">I433+I434+I435+I436</f>
        <v>548.692261576314</v>
      </c>
      <c r="J437" s="8" t="n">
        <f aca="false">J433+J434+J435+J436</f>
        <v>536.762081810392</v>
      </c>
      <c r="K437" s="8" t="n">
        <f aca="false">K433+K434+K435+K436</f>
        <v>547.4973234466</v>
      </c>
      <c r="L437" s="8" t="n">
        <f aca="false">L433+L434+L435+L436</f>
        <v>558.447269915532</v>
      </c>
      <c r="M437" s="8" t="n">
        <f aca="false">M433+M434+M435+M436</f>
        <v>569.616215313842</v>
      </c>
      <c r="N437" s="8" t="n">
        <f aca="false">N433+N434+N435+N436</f>
        <v>581.008539620119</v>
      </c>
      <c r="O437" s="8" t="n">
        <f aca="false">O433+O434+O435+O436</f>
        <v>592.628710412522</v>
      </c>
      <c r="P437" s="8" t="n">
        <f aca="false">P433+P434+P435+P436</f>
        <v>604.481284620772</v>
      </c>
      <c r="Q437" s="8" t="n">
        <f aca="false">Q433+Q434+Q435+Q436</f>
        <v>616.570910313187</v>
      </c>
      <c r="R437" s="8" t="n">
        <f aca="false">R433+R434+R435+R436</f>
        <v>628.902328519451</v>
      </c>
      <c r="S437" s="8" t="n">
        <f aca="false">S433+S434+S435+S436</f>
        <v>641.48037508984</v>
      </c>
      <c r="T437" s="8" t="n">
        <f aca="false">T433+T434+T435+T436</f>
        <v>654.309982591637</v>
      </c>
      <c r="U437" s="8" t="n">
        <f aca="false">U433+U434+U435+U436</f>
        <v>667.39618224347</v>
      </c>
      <c r="V437" s="8" t="n">
        <f aca="false">V433+V434+V435+V436</f>
        <v>680.744105888339</v>
      </c>
      <c r="W437" s="8" t="n">
        <f aca="false">W433+W434+W435+W436</f>
        <v>694.358988006106</v>
      </c>
      <c r="X437" s="8" t="n">
        <f aca="false">X433+X434+X435+X436</f>
        <v>708.246167766228</v>
      </c>
      <c r="Y437" s="8" t="n">
        <f aca="false">Y433+Y434+Y435+Y436</f>
        <v>722.411091121553</v>
      </c>
      <c r="Z437" s="8" t="n">
        <f aca="false">Z433+Z434+Z435+Z436</f>
        <v>736.859312943984</v>
      </c>
      <c r="AA437" s="8" t="n">
        <f aca="false">AA433+AA434+AA435+AA436</f>
        <v>751.596499202863</v>
      </c>
      <c r="AB437" s="8" t="n">
        <f aca="false">AB433+AB434+AB435+AB436</f>
        <v>766.628429186921</v>
      </c>
      <c r="AC437" s="8" t="n">
        <f aca="false">AC433+AC434+AC435+AC436</f>
        <v>781.960997770659</v>
      </c>
      <c r="AD437" s="8" t="n">
        <f aca="false">AD433+AD434+AD435+AD436</f>
        <v>797.600217726073</v>
      </c>
      <c r="AE437" s="8" t="n">
        <f aca="false">AE433+AE434+AE435+AE436</f>
        <v>0</v>
      </c>
      <c r="AF437" s="8" t="n">
        <f aca="false">AF433+AF434+AF435+AF436</f>
        <v>0</v>
      </c>
      <c r="AG437" s="8" t="n">
        <f aca="false">AG433+AG434+AG435+AG436</f>
        <v>0</v>
      </c>
      <c r="AH437" s="8" t="n">
        <f aca="false">AH433+AH434+AH435+AH436</f>
        <v>0</v>
      </c>
      <c r="AI437" s="8" t="n">
        <f aca="false">AI433+AI434+AI435+AI436</f>
        <v>0</v>
      </c>
      <c r="AJ437" s="8" t="n">
        <f aca="false">AJ433+AJ434+AJ435+AJ436</f>
        <v>0</v>
      </c>
      <c r="AK437" s="8" t="n">
        <f aca="false">AK433+AK434+AK435+AK436</f>
        <v>0</v>
      </c>
      <c r="AL437" s="8" t="n">
        <f aca="false">AL433+AL434+AL435+AL436</f>
        <v>0</v>
      </c>
      <c r="AM437" s="8" t="n">
        <f aca="false">AM433+AM434+AM435+AM436</f>
        <v>0</v>
      </c>
      <c r="AN437" s="8" t="n">
        <f aca="false">AN433+AN434+AN435+AN436</f>
        <v>0</v>
      </c>
      <c r="AO437" s="8" t="n">
        <f aca="false">AO433+AO434+AO435+AO436</f>
        <v>0</v>
      </c>
      <c r="AP437" s="8" t="n">
        <f aca="false">AP433+AP434+AP435+AP436</f>
        <v>0</v>
      </c>
      <c r="AQ437" s="8" t="n">
        <f aca="false">AQ433+AQ434+AQ435+AQ436</f>
        <v>0</v>
      </c>
      <c r="AR437" s="8" t="n">
        <f aca="false">AR433+AR434+AR435+AR436</f>
        <v>0</v>
      </c>
      <c r="AS437" s="8" t="n">
        <f aca="false">AS433+AS434+AS435+AS436</f>
        <v>0</v>
      </c>
    </row>
    <row r="438" customFormat="false" ht="15" hidden="false" customHeight="false" outlineLevel="0" collapsed="false">
      <c r="A438" s="6" t="s">
        <v>449</v>
      </c>
      <c r="B438" s="6" t="s">
        <v>450</v>
      </c>
      <c r="C438" s="9" t="n">
        <f aca="false">SUM(G438:AS438)</f>
        <v>8635.14810351336</v>
      </c>
      <c r="G438" s="8" t="n">
        <f aca="false">((VST_Assets!$K$15*G430+VST_Assets!$M$15*G$4)*G428*G432+VST_Assets!$N$15*(1+VST_Assets!$Q$15)^(G$3-2026)*(G428+G429))/1000000*(1+VST_FuelAdj)</f>
        <v>279.57302604</v>
      </c>
      <c r="H438" s="8" t="n">
        <f aca="false">((VST_Assets!$K$15*H430+VST_Assets!$M$15*H$4)*H428*H432+VST_Assets!$N$15*(1+VST_Assets!$Q$15)^(H$3-2026)*(H428+H429))/1000000*(1+VST_FuelAdj)</f>
        <v>285.1644865608</v>
      </c>
      <c r="I438" s="8" t="n">
        <f aca="false">((VST_Assets!$K$15*I430+VST_Assets!$M$15*I$4)*I428*I432+VST_Assets!$N$15*(1+VST_Assets!$Q$15)^(I$3-2026)*(I428+I429))/1000000*(1+VST_FuelAdj)</f>
        <v>295.630442776152</v>
      </c>
      <c r="J438" s="8" t="n">
        <f aca="false">((VST_Assets!$K$15*J430+VST_Assets!$M$15*J$4)*J428*J432+VST_Assets!$N$15*(1+VST_Assets!$Q$15)^(J$3-2026)*(J428+J429))/1000000*(1+VST_FuelAdj)</f>
        <v>301.543051631675</v>
      </c>
      <c r="K438" s="8" t="n">
        <f aca="false">((VST_Assets!$K$15*K430+VST_Assets!$M$15*K$4)*K428*K432+VST_Assets!$N$15*(1+VST_Assets!$Q$15)^(K$3-2026)*(K428+K429))/1000000*(1+VST_FuelAdj)</f>
        <v>307.573912664309</v>
      </c>
      <c r="L438" s="8" t="n">
        <f aca="false">((VST_Assets!$K$15*L430+VST_Assets!$M$15*L$4)*L428*L432+VST_Assets!$N$15*(1+VST_Assets!$Q$15)^(L$3-2026)*(L428+L429))/1000000*(1+VST_FuelAdj)</f>
        <v>313.725390917595</v>
      </c>
      <c r="M438" s="8" t="n">
        <f aca="false">((VST_Assets!$K$15*M430+VST_Assets!$M$15*M$4)*M428*M432+VST_Assets!$N$15*(1+VST_Assets!$Q$15)^(M$3-2026)*(M428+M429))/1000000*(1+VST_FuelAdj)</f>
        <v>319.999898735947</v>
      </c>
      <c r="N438" s="8" t="n">
        <f aca="false">((VST_Assets!$K$15*N430+VST_Assets!$M$15*N$4)*N428*N432+VST_Assets!$N$15*(1+VST_Assets!$Q$15)^(N$3-2026)*(N428+N429))/1000000*(1+VST_FuelAdj)</f>
        <v>326.399896710666</v>
      </c>
      <c r="O438" s="8" t="n">
        <f aca="false">((VST_Assets!$K$15*O430+VST_Assets!$M$15*O$4)*O428*O432+VST_Assets!$N$15*(1+VST_Assets!$Q$15)^(O$3-2026)*(O428+O429))/1000000*(1+VST_FuelAdj)</f>
        <v>332.927894644879</v>
      </c>
      <c r="P438" s="8" t="n">
        <f aca="false">((VST_Assets!$K$15*P430+VST_Assets!$M$15*P$4)*P428*P432+VST_Assets!$N$15*(1+VST_Assets!$Q$15)^(P$3-2026)*(P428+P429))/1000000*(1+VST_FuelAdj)</f>
        <v>339.586452537777</v>
      </c>
      <c r="Q438" s="8" t="n">
        <f aca="false">((VST_Assets!$K$15*Q430+VST_Assets!$M$15*Q$4)*Q428*Q432+VST_Assets!$N$15*(1+VST_Assets!$Q$15)^(Q$3-2026)*(Q428+Q429))/1000000*(1+VST_FuelAdj)</f>
        <v>346.378181588532</v>
      </c>
      <c r="R438" s="8" t="n">
        <f aca="false">((VST_Assets!$K$15*R430+VST_Assets!$M$15*R$4)*R428*R432+VST_Assets!$N$15*(1+VST_Assets!$Q$15)^(R$3-2026)*(R428+R429))/1000000*(1+VST_FuelAdj)</f>
        <v>353.305745220303</v>
      </c>
      <c r="S438" s="8" t="n">
        <f aca="false">((VST_Assets!$K$15*S430+VST_Assets!$M$15*S$4)*S428*S432+VST_Assets!$N$15*(1+VST_Assets!$Q$15)^(S$3-2026)*(S428+S429))/1000000*(1+VST_FuelAdj)</f>
        <v>360.371860124709</v>
      </c>
      <c r="T438" s="8" t="n">
        <f aca="false">((VST_Assets!$K$15*T430+VST_Assets!$M$15*T$4)*T428*T432+VST_Assets!$N$15*(1+VST_Assets!$Q$15)^(T$3-2026)*(T428+T429))/1000000*(1+VST_FuelAdj)</f>
        <v>367.579297327203</v>
      </c>
      <c r="U438" s="8" t="n">
        <f aca="false">((VST_Assets!$K$15*U430+VST_Assets!$M$15*U$4)*U428*U432+VST_Assets!$N$15*(1+VST_Assets!$Q$15)^(U$3-2026)*(U428+U429))/1000000*(1+VST_FuelAdj)</f>
        <v>374.930883273747</v>
      </c>
      <c r="V438" s="8" t="n">
        <f aca="false">((VST_Assets!$K$15*V430+VST_Assets!$M$15*V$4)*V428*V432+VST_Assets!$N$15*(1+VST_Assets!$Q$15)^(V$3-2026)*(V428+V429))/1000000*(1+VST_FuelAdj)</f>
        <v>382.429500939222</v>
      </c>
      <c r="W438" s="8" t="n">
        <f aca="false">((VST_Assets!$K$15*W430+VST_Assets!$M$15*W$4)*W428*W432+VST_Assets!$N$15*(1+VST_Assets!$Q$15)^(W$3-2026)*(W428+W429))/1000000*(1+VST_FuelAdj)</f>
        <v>390.078090958006</v>
      </c>
      <c r="X438" s="8" t="n">
        <f aca="false">((VST_Assets!$K$15*X430+VST_Assets!$M$15*X$4)*X428*X432+VST_Assets!$N$15*(1+VST_Assets!$Q$15)^(X$3-2026)*(X428+X429))/1000000*(1+VST_FuelAdj)</f>
        <v>397.879652777167</v>
      </c>
      <c r="Y438" s="8" t="n">
        <f aca="false">((VST_Assets!$K$15*Y430+VST_Assets!$M$15*Y$4)*Y428*Y432+VST_Assets!$N$15*(1+VST_Assets!$Q$15)^(Y$3-2026)*(Y428+Y429))/1000000*(1+VST_FuelAdj)</f>
        <v>405.83724583271</v>
      </c>
      <c r="Z438" s="8" t="n">
        <f aca="false">((VST_Assets!$K$15*Z430+VST_Assets!$M$15*Z$4)*Z428*Z432+VST_Assets!$N$15*(1+VST_Assets!$Q$15)^(Z$3-2026)*(Z428+Z429))/1000000*(1+VST_FuelAdj)</f>
        <v>413.953990749364</v>
      </c>
      <c r="AA438" s="8" t="n">
        <f aca="false">((VST_Assets!$K$15*AA430+VST_Assets!$M$15*AA$4)*AA428*AA432+VST_Assets!$N$15*(1+VST_Assets!$Q$15)^(AA$3-2026)*(AA428+AA429))/1000000*(1+VST_FuelAdj)</f>
        <v>422.233070564351</v>
      </c>
      <c r="AB438" s="8" t="n">
        <f aca="false">((VST_Assets!$K$15*AB430+VST_Assets!$M$15*AB$4)*AB428*AB432+VST_Assets!$N$15*(1+VST_Assets!$Q$15)^(AB$3-2026)*(AB428+AB429))/1000000*(1+VST_FuelAdj)</f>
        <v>430.677731975638</v>
      </c>
      <c r="AC438" s="8" t="n">
        <f aca="false">((VST_Assets!$K$15*AC430+VST_Assets!$M$15*AC$4)*AC428*AC432+VST_Assets!$N$15*(1+VST_Assets!$Q$15)^(AC$3-2026)*(AC428+AC429))/1000000*(1+VST_FuelAdj)</f>
        <v>439.291286615151</v>
      </c>
      <c r="AD438" s="8" t="n">
        <f aca="false">((VST_Assets!$K$15*AD430+VST_Assets!$M$15*AD$4)*AD428*AD432+VST_Assets!$N$15*(1+VST_Assets!$Q$15)^(AD$3-2026)*(AD428+AD429))/1000000*(1+VST_FuelAdj)</f>
        <v>448.077112347454</v>
      </c>
      <c r="AE438" s="8" t="n">
        <f aca="false">((VST_Assets!$K$15*AE430+VST_Assets!$M$15*AE$4)*AE428*AE432+VST_Assets!$N$15*(1+VST_Assets!$Q$15)^(AE$3-2026)*(AE428+AE429))/1000000*(1+VST_FuelAdj)</f>
        <v>0</v>
      </c>
      <c r="AF438" s="8" t="n">
        <f aca="false">((VST_Assets!$K$15*AF430+VST_Assets!$M$15*AF$4)*AF428*AF432+VST_Assets!$N$15*(1+VST_Assets!$Q$15)^(AF$3-2026)*(AF428+AF429))/1000000*(1+VST_FuelAdj)</f>
        <v>0</v>
      </c>
      <c r="AG438" s="8" t="n">
        <f aca="false">((VST_Assets!$K$15*AG430+VST_Assets!$M$15*AG$4)*AG428*AG432+VST_Assets!$N$15*(1+VST_Assets!$Q$15)^(AG$3-2026)*(AG428+AG429))/1000000*(1+VST_FuelAdj)</f>
        <v>0</v>
      </c>
      <c r="AH438" s="8" t="n">
        <f aca="false">((VST_Assets!$K$15*AH430+VST_Assets!$M$15*AH$4)*AH428*AH432+VST_Assets!$N$15*(1+VST_Assets!$Q$15)^(AH$3-2026)*(AH428+AH429))/1000000*(1+VST_FuelAdj)</f>
        <v>0</v>
      </c>
      <c r="AI438" s="8" t="n">
        <f aca="false">((VST_Assets!$K$15*AI430+VST_Assets!$M$15*AI$4)*AI428*AI432+VST_Assets!$N$15*(1+VST_Assets!$Q$15)^(AI$3-2026)*(AI428+AI429))/1000000*(1+VST_FuelAdj)</f>
        <v>0</v>
      </c>
      <c r="AJ438" s="8" t="n">
        <f aca="false">((VST_Assets!$K$15*AJ430+VST_Assets!$M$15*AJ$4)*AJ428*AJ432+VST_Assets!$N$15*(1+VST_Assets!$Q$15)^(AJ$3-2026)*(AJ428+AJ429))/1000000*(1+VST_FuelAdj)</f>
        <v>0</v>
      </c>
      <c r="AK438" s="8" t="n">
        <f aca="false">((VST_Assets!$K$15*AK430+VST_Assets!$M$15*AK$4)*AK428*AK432+VST_Assets!$N$15*(1+VST_Assets!$Q$15)^(AK$3-2026)*(AK428+AK429))/1000000*(1+VST_FuelAdj)</f>
        <v>0</v>
      </c>
      <c r="AL438" s="8" t="n">
        <f aca="false">((VST_Assets!$K$15*AL430+VST_Assets!$M$15*AL$4)*AL428*AL432+VST_Assets!$N$15*(1+VST_Assets!$Q$15)^(AL$3-2026)*(AL428+AL429))/1000000*(1+VST_FuelAdj)</f>
        <v>0</v>
      </c>
      <c r="AM438" s="8" t="n">
        <f aca="false">((VST_Assets!$K$15*AM430+VST_Assets!$M$15*AM$4)*AM428*AM432+VST_Assets!$N$15*(1+VST_Assets!$Q$15)^(AM$3-2026)*(AM428+AM429))/1000000*(1+VST_FuelAdj)</f>
        <v>0</v>
      </c>
      <c r="AN438" s="8" t="n">
        <f aca="false">((VST_Assets!$K$15*AN430+VST_Assets!$M$15*AN$4)*AN428*AN432+VST_Assets!$N$15*(1+VST_Assets!$Q$15)^(AN$3-2026)*(AN428+AN429))/1000000*(1+VST_FuelAdj)</f>
        <v>0</v>
      </c>
      <c r="AO438" s="8" t="n">
        <f aca="false">((VST_Assets!$K$15*AO430+VST_Assets!$M$15*AO$4)*AO428*AO432+VST_Assets!$N$15*(1+VST_Assets!$Q$15)^(AO$3-2026)*(AO428+AO429))/1000000*(1+VST_FuelAdj)</f>
        <v>0</v>
      </c>
      <c r="AP438" s="8" t="n">
        <f aca="false">((VST_Assets!$K$15*AP430+VST_Assets!$M$15*AP$4)*AP428*AP432+VST_Assets!$N$15*(1+VST_Assets!$Q$15)^(AP$3-2026)*(AP428+AP429))/1000000*(1+VST_FuelAdj)</f>
        <v>0</v>
      </c>
      <c r="AQ438" s="8" t="n">
        <f aca="false">((VST_Assets!$K$15*AQ430+VST_Assets!$M$15*AQ$4)*AQ428*AQ432+VST_Assets!$N$15*(1+VST_Assets!$Q$15)^(AQ$3-2026)*(AQ428+AQ429))/1000000*(1+VST_FuelAdj)</f>
        <v>0</v>
      </c>
      <c r="AR438" s="8" t="n">
        <f aca="false">((VST_Assets!$K$15*AR430+VST_Assets!$M$15*AR$4)*AR428*AR432+VST_Assets!$N$15*(1+VST_Assets!$Q$15)^(AR$3-2026)*(AR428+AR429))/1000000*(1+VST_FuelAdj)</f>
        <v>0</v>
      </c>
      <c r="AS438" s="8" t="n">
        <f aca="false">((VST_Assets!$K$15*AS430+VST_Assets!$M$15*AS$4)*AS428*AS432+VST_Assets!$N$15*(1+VST_Assets!$Q$15)^(AS$3-2026)*(AS428+AS429))/1000000*(1+VST_FuelAdj)</f>
        <v>0</v>
      </c>
    </row>
    <row r="439" customFormat="false" ht="15" hidden="false" customHeight="false" outlineLevel="0" collapsed="false">
      <c r="A439" s="6" t="s">
        <v>451</v>
      </c>
      <c r="B439" s="6" t="s">
        <v>452</v>
      </c>
      <c r="C439" s="9" t="n">
        <f aca="false">SUM(G439:AS439)</f>
        <v>6929.02037279305</v>
      </c>
      <c r="G439" s="8" t="n">
        <f aca="false">G437-G438</f>
        <v>304.19657136</v>
      </c>
      <c r="H439" s="8" t="n">
        <f aca="false">H437-H438</f>
        <v>307.0351172592</v>
      </c>
      <c r="I439" s="8" t="n">
        <f aca="false">I437-I438</f>
        <v>253.061818800162</v>
      </c>
      <c r="J439" s="8" t="n">
        <f aca="false">J437-J438</f>
        <v>235.219030178717</v>
      </c>
      <c r="K439" s="8" t="n">
        <f aca="false">K437-K438</f>
        <v>239.923410782291</v>
      </c>
      <c r="L439" s="8" t="n">
        <f aca="false">L437-L438</f>
        <v>244.721878997937</v>
      </c>
      <c r="M439" s="8" t="n">
        <f aca="false">M437-M438</f>
        <v>249.616316577896</v>
      </c>
      <c r="N439" s="8" t="n">
        <f aca="false">N437-N438</f>
        <v>254.608642909453</v>
      </c>
      <c r="O439" s="8" t="n">
        <f aca="false">O437-O438</f>
        <v>259.700815767643</v>
      </c>
      <c r="P439" s="8" t="n">
        <f aca="false">P437-P438</f>
        <v>264.894832082996</v>
      </c>
      <c r="Q439" s="8" t="n">
        <f aca="false">Q437-Q438</f>
        <v>270.192728724655</v>
      </c>
      <c r="R439" s="8" t="n">
        <f aca="false">R437-R438</f>
        <v>275.596583299149</v>
      </c>
      <c r="S439" s="8" t="n">
        <f aca="false">S437-S438</f>
        <v>281.108514965132</v>
      </c>
      <c r="T439" s="8" t="n">
        <f aca="false">T437-T438</f>
        <v>286.730685264434</v>
      </c>
      <c r="U439" s="8" t="n">
        <f aca="false">U437-U438</f>
        <v>292.465298969723</v>
      </c>
      <c r="V439" s="8" t="n">
        <f aca="false">V437-V438</f>
        <v>298.314604949117</v>
      </c>
      <c r="W439" s="8" t="n">
        <f aca="false">W437-W438</f>
        <v>304.2808970481</v>
      </c>
      <c r="X439" s="8" t="n">
        <f aca="false">X437-X438</f>
        <v>310.366514989062</v>
      </c>
      <c r="Y439" s="8" t="n">
        <f aca="false">Y437-Y438</f>
        <v>316.573845288843</v>
      </c>
      <c r="Z439" s="8" t="n">
        <f aca="false">Z437-Z438</f>
        <v>322.90532219462</v>
      </c>
      <c r="AA439" s="8" t="n">
        <f aca="false">AA437-AA438</f>
        <v>329.363428638512</v>
      </c>
      <c r="AB439" s="8" t="n">
        <f aca="false">AB437-AB438</f>
        <v>335.950697211282</v>
      </c>
      <c r="AC439" s="8" t="n">
        <f aca="false">AC437-AC438</f>
        <v>342.669711155508</v>
      </c>
      <c r="AD439" s="8" t="n">
        <f aca="false">AD437-AD438</f>
        <v>349.523105378618</v>
      </c>
      <c r="AE439" s="8" t="n">
        <f aca="false">AE437-AE438</f>
        <v>0</v>
      </c>
      <c r="AF439" s="8" t="n">
        <f aca="false">AF437-AF438</f>
        <v>0</v>
      </c>
      <c r="AG439" s="8" t="n">
        <f aca="false">AG437-AG438</f>
        <v>0</v>
      </c>
      <c r="AH439" s="8" t="n">
        <f aca="false">AH437-AH438</f>
        <v>0</v>
      </c>
      <c r="AI439" s="8" t="n">
        <f aca="false">AI437-AI438</f>
        <v>0</v>
      </c>
      <c r="AJ439" s="8" t="n">
        <f aca="false">AJ437-AJ438</f>
        <v>0</v>
      </c>
      <c r="AK439" s="8" t="n">
        <f aca="false">AK437-AK438</f>
        <v>0</v>
      </c>
      <c r="AL439" s="8" t="n">
        <f aca="false">AL437-AL438</f>
        <v>0</v>
      </c>
      <c r="AM439" s="8" t="n">
        <f aca="false">AM437-AM438</f>
        <v>0</v>
      </c>
      <c r="AN439" s="8" t="n">
        <f aca="false">AN437-AN438</f>
        <v>0</v>
      </c>
      <c r="AO439" s="8" t="n">
        <f aca="false">AO437-AO438</f>
        <v>0</v>
      </c>
      <c r="AP439" s="8" t="n">
        <f aca="false">AP437-AP438</f>
        <v>0</v>
      </c>
      <c r="AQ439" s="8" t="n">
        <f aca="false">AQ437-AQ438</f>
        <v>0</v>
      </c>
      <c r="AR439" s="8" t="n">
        <f aca="false">AR437-AR438</f>
        <v>0</v>
      </c>
      <c r="AS439" s="8" t="n">
        <f aca="false">AS437-AS438</f>
        <v>0</v>
      </c>
    </row>
    <row r="440" customFormat="false" ht="15" hidden="false" customHeight="false" outlineLevel="0" collapsed="false">
      <c r="A440" s="6" t="s">
        <v>453</v>
      </c>
      <c r="B440" s="6" t="s">
        <v>454</v>
      </c>
      <c r="C440" s="9" t="n">
        <f aca="false">SUM(G440:AS440)</f>
        <v>1638.39982538689</v>
      </c>
      <c r="G440" s="8" t="n">
        <f aca="false">(VST_Assets!$R$15*VST_Assets!$D$15*1000*G$4*G426+VST_Assets!$O$15*(1+VST_Assets!$Q$15)^(G$3-2026)*(G428+G429))/1000000*(1+VST_OMAdj)</f>
        <v>53.856</v>
      </c>
      <c r="H440" s="8" t="n">
        <f aca="false">(VST_Assets!$R$15*VST_Assets!$D$15*1000*H$4*H426+VST_Assets!$O$15*(1+VST_Assets!$Q$15)^(H$3-2026)*(H428+H429))/1000000*(1+VST_OMAdj)</f>
        <v>54.93312</v>
      </c>
      <c r="I440" s="8" t="n">
        <f aca="false">(VST_Assets!$R$15*VST_Assets!$D$15*1000*I$4*I426+VST_Assets!$O$15*(1+VST_Assets!$Q$15)^(I$3-2026)*(I428+I429))/1000000*(1+VST_OMAdj)</f>
        <v>56.0317824</v>
      </c>
      <c r="J440" s="8" t="n">
        <f aca="false">(VST_Assets!$R$15*VST_Assets!$D$15*1000*J$4*J426+VST_Assets!$O$15*(1+VST_Assets!$Q$15)^(J$3-2026)*(J428+J429))/1000000*(1+VST_OMAdj)</f>
        <v>57.152418048</v>
      </c>
      <c r="K440" s="8" t="n">
        <f aca="false">(VST_Assets!$R$15*VST_Assets!$D$15*1000*K$4*K426+VST_Assets!$O$15*(1+VST_Assets!$Q$15)^(K$3-2026)*(K428+K429))/1000000*(1+VST_OMAdj)</f>
        <v>58.29546640896</v>
      </c>
      <c r="L440" s="8" t="n">
        <f aca="false">(VST_Assets!$R$15*VST_Assets!$D$15*1000*L$4*L426+VST_Assets!$O$15*(1+VST_Assets!$Q$15)^(L$3-2026)*(L428+L429))/1000000*(1+VST_OMAdj)</f>
        <v>59.4613757371392</v>
      </c>
      <c r="M440" s="8" t="n">
        <f aca="false">(VST_Assets!$R$15*VST_Assets!$D$15*1000*M$4*M426+VST_Assets!$O$15*(1+VST_Assets!$Q$15)^(M$3-2026)*(M428+M429))/1000000*(1+VST_OMAdj)</f>
        <v>60.650603251882</v>
      </c>
      <c r="N440" s="8" t="n">
        <f aca="false">(VST_Assets!$R$15*VST_Assets!$D$15*1000*N$4*N426+VST_Assets!$O$15*(1+VST_Assets!$Q$15)^(N$3-2026)*(N428+N429))/1000000*(1+VST_OMAdj)</f>
        <v>61.8636153169196</v>
      </c>
      <c r="O440" s="8" t="n">
        <f aca="false">(VST_Assets!$R$15*VST_Assets!$D$15*1000*O$4*O426+VST_Assets!$O$15*(1+VST_Assets!$Q$15)^(O$3-2026)*(O428+O429))/1000000*(1+VST_OMAdj)</f>
        <v>63.100887623258</v>
      </c>
      <c r="P440" s="8" t="n">
        <f aca="false">(VST_Assets!$R$15*VST_Assets!$D$15*1000*P$4*P426+VST_Assets!$O$15*(1+VST_Assets!$Q$15)^(P$3-2026)*(P428+P429))/1000000*(1+VST_OMAdj)</f>
        <v>64.3629053757232</v>
      </c>
      <c r="Q440" s="8" t="n">
        <f aca="false">(VST_Assets!$R$15*VST_Assets!$D$15*1000*Q$4*Q426+VST_Assets!$O$15*(1+VST_Assets!$Q$15)^(Q$3-2026)*(Q428+Q429))/1000000*(1+VST_OMAdj)</f>
        <v>65.6501634832377</v>
      </c>
      <c r="R440" s="8" t="n">
        <f aca="false">(VST_Assets!$R$15*VST_Assets!$D$15*1000*R$4*R426+VST_Assets!$O$15*(1+VST_Assets!$Q$15)^(R$3-2026)*(R428+R429))/1000000*(1+VST_OMAdj)</f>
        <v>66.9631667529024</v>
      </c>
      <c r="S440" s="8" t="n">
        <f aca="false">(VST_Assets!$R$15*VST_Assets!$D$15*1000*S$4*S426+VST_Assets!$O$15*(1+VST_Assets!$Q$15)^(S$3-2026)*(S428+S429))/1000000*(1+VST_OMAdj)</f>
        <v>68.3024300879605</v>
      </c>
      <c r="T440" s="8" t="n">
        <f aca="false">(VST_Assets!$R$15*VST_Assets!$D$15*1000*T$4*T426+VST_Assets!$O$15*(1+VST_Assets!$Q$15)^(T$3-2026)*(T428+T429))/1000000*(1+VST_OMAdj)</f>
        <v>69.6684786897197</v>
      </c>
      <c r="U440" s="8" t="n">
        <f aca="false">(VST_Assets!$R$15*VST_Assets!$D$15*1000*U$4*U426+VST_Assets!$O$15*(1+VST_Assets!$Q$15)^(U$3-2026)*(U428+U429))/1000000*(1+VST_OMAdj)</f>
        <v>71.0618482635141</v>
      </c>
      <c r="V440" s="8" t="n">
        <f aca="false">(VST_Assets!$R$15*VST_Assets!$D$15*1000*V$4*V426+VST_Assets!$O$15*(1+VST_Assets!$Q$15)^(V$3-2026)*(V428+V429))/1000000*(1+VST_OMAdj)</f>
        <v>72.4830852287843</v>
      </c>
      <c r="W440" s="8" t="n">
        <f aca="false">(VST_Assets!$R$15*VST_Assets!$D$15*1000*W$4*W426+VST_Assets!$O$15*(1+VST_Assets!$Q$15)^(W$3-2026)*(W428+W429))/1000000*(1+VST_OMAdj)</f>
        <v>73.93274693336</v>
      </c>
      <c r="X440" s="8" t="n">
        <f aca="false">(VST_Assets!$R$15*VST_Assets!$D$15*1000*X$4*X426+VST_Assets!$O$15*(1+VST_Assets!$Q$15)^(X$3-2026)*(X428+X429))/1000000*(1+VST_OMAdj)</f>
        <v>75.4114018720272</v>
      </c>
      <c r="Y440" s="8" t="n">
        <f aca="false">(VST_Assets!$R$15*VST_Assets!$D$15*1000*Y$4*Y426+VST_Assets!$O$15*(1+VST_Assets!$Q$15)^(Y$3-2026)*(Y428+Y429))/1000000*(1+VST_OMAdj)</f>
        <v>76.9196299094678</v>
      </c>
      <c r="Z440" s="8" t="n">
        <f aca="false">(VST_Assets!$R$15*VST_Assets!$D$15*1000*Z$4*Z426+VST_Assets!$O$15*(1+VST_Assets!$Q$15)^(Z$3-2026)*(Z428+Z429))/1000000*(1+VST_OMAdj)</f>
        <v>78.4580225076571</v>
      </c>
      <c r="AA440" s="8" t="n">
        <f aca="false">(VST_Assets!$R$15*VST_Assets!$D$15*1000*AA$4*AA426+VST_Assets!$O$15*(1+VST_Assets!$Q$15)^(AA$3-2026)*(AA428+AA429))/1000000*(1+VST_OMAdj)</f>
        <v>80.0271829578103</v>
      </c>
      <c r="AB440" s="8" t="n">
        <f aca="false">(VST_Assets!$R$15*VST_Assets!$D$15*1000*AB$4*AB426+VST_Assets!$O$15*(1+VST_Assets!$Q$15)^(AB$3-2026)*(AB428+AB429))/1000000*(1+VST_OMAdj)</f>
        <v>81.6277266169665</v>
      </c>
      <c r="AC440" s="8" t="n">
        <f aca="false">(VST_Assets!$R$15*VST_Assets!$D$15*1000*AC$4*AC426+VST_Assets!$O$15*(1+VST_Assets!$Q$15)^(AC$3-2026)*(AC428+AC429))/1000000*(1+VST_OMAdj)</f>
        <v>83.2602811493058</v>
      </c>
      <c r="AD440" s="8" t="n">
        <f aca="false">(VST_Assets!$R$15*VST_Assets!$D$15*1000*AD$4*AD426+VST_Assets!$O$15*(1+VST_Assets!$Q$15)^(AD$3-2026)*(AD428+AD429))/1000000*(1+VST_OMAdj)</f>
        <v>84.925486772292</v>
      </c>
      <c r="AE440" s="8" t="n">
        <f aca="false">(VST_Assets!$R$15*VST_Assets!$D$15*1000*AE$4*AE426+VST_Assets!$O$15*(1+VST_Assets!$Q$15)^(AE$3-2026)*(AE428+AE429))/1000000*(1+VST_OMAdj)</f>
        <v>0</v>
      </c>
      <c r="AF440" s="8" t="n">
        <f aca="false">(VST_Assets!$R$15*VST_Assets!$D$15*1000*AF$4*AF426+VST_Assets!$O$15*(1+VST_Assets!$Q$15)^(AF$3-2026)*(AF428+AF429))/1000000*(1+VST_OMAdj)</f>
        <v>0</v>
      </c>
      <c r="AG440" s="8" t="n">
        <f aca="false">(VST_Assets!$R$15*VST_Assets!$D$15*1000*AG$4*AG426+VST_Assets!$O$15*(1+VST_Assets!$Q$15)^(AG$3-2026)*(AG428+AG429))/1000000*(1+VST_OMAdj)</f>
        <v>0</v>
      </c>
      <c r="AH440" s="8" t="n">
        <f aca="false">(VST_Assets!$R$15*VST_Assets!$D$15*1000*AH$4*AH426+VST_Assets!$O$15*(1+VST_Assets!$Q$15)^(AH$3-2026)*(AH428+AH429))/1000000*(1+VST_OMAdj)</f>
        <v>0</v>
      </c>
      <c r="AI440" s="8" t="n">
        <f aca="false">(VST_Assets!$R$15*VST_Assets!$D$15*1000*AI$4*AI426+VST_Assets!$O$15*(1+VST_Assets!$Q$15)^(AI$3-2026)*(AI428+AI429))/1000000*(1+VST_OMAdj)</f>
        <v>0</v>
      </c>
      <c r="AJ440" s="8" t="n">
        <f aca="false">(VST_Assets!$R$15*VST_Assets!$D$15*1000*AJ$4*AJ426+VST_Assets!$O$15*(1+VST_Assets!$Q$15)^(AJ$3-2026)*(AJ428+AJ429))/1000000*(1+VST_OMAdj)</f>
        <v>0</v>
      </c>
      <c r="AK440" s="8" t="n">
        <f aca="false">(VST_Assets!$R$15*VST_Assets!$D$15*1000*AK$4*AK426+VST_Assets!$O$15*(1+VST_Assets!$Q$15)^(AK$3-2026)*(AK428+AK429))/1000000*(1+VST_OMAdj)</f>
        <v>0</v>
      </c>
      <c r="AL440" s="8" t="n">
        <f aca="false">(VST_Assets!$R$15*VST_Assets!$D$15*1000*AL$4*AL426+VST_Assets!$O$15*(1+VST_Assets!$Q$15)^(AL$3-2026)*(AL428+AL429))/1000000*(1+VST_OMAdj)</f>
        <v>0</v>
      </c>
      <c r="AM440" s="8" t="n">
        <f aca="false">(VST_Assets!$R$15*VST_Assets!$D$15*1000*AM$4*AM426+VST_Assets!$O$15*(1+VST_Assets!$Q$15)^(AM$3-2026)*(AM428+AM429))/1000000*(1+VST_OMAdj)</f>
        <v>0</v>
      </c>
      <c r="AN440" s="8" t="n">
        <f aca="false">(VST_Assets!$R$15*VST_Assets!$D$15*1000*AN$4*AN426+VST_Assets!$O$15*(1+VST_Assets!$Q$15)^(AN$3-2026)*(AN428+AN429))/1000000*(1+VST_OMAdj)</f>
        <v>0</v>
      </c>
      <c r="AO440" s="8" t="n">
        <f aca="false">(VST_Assets!$R$15*VST_Assets!$D$15*1000*AO$4*AO426+VST_Assets!$O$15*(1+VST_Assets!$Q$15)^(AO$3-2026)*(AO428+AO429))/1000000*(1+VST_OMAdj)</f>
        <v>0</v>
      </c>
      <c r="AP440" s="8" t="n">
        <f aca="false">(VST_Assets!$R$15*VST_Assets!$D$15*1000*AP$4*AP426+VST_Assets!$O$15*(1+VST_Assets!$Q$15)^(AP$3-2026)*(AP428+AP429))/1000000*(1+VST_OMAdj)</f>
        <v>0</v>
      </c>
      <c r="AQ440" s="8" t="n">
        <f aca="false">(VST_Assets!$R$15*VST_Assets!$D$15*1000*AQ$4*AQ426+VST_Assets!$O$15*(1+VST_Assets!$Q$15)^(AQ$3-2026)*(AQ428+AQ429))/1000000*(1+VST_OMAdj)</f>
        <v>0</v>
      </c>
      <c r="AR440" s="8" t="n">
        <f aca="false">(VST_Assets!$R$15*VST_Assets!$D$15*1000*AR$4*AR426+VST_Assets!$O$15*(1+VST_Assets!$Q$15)^(AR$3-2026)*(AR428+AR429))/1000000*(1+VST_OMAdj)</f>
        <v>0</v>
      </c>
      <c r="AS440" s="8" t="n">
        <f aca="false">(VST_Assets!$R$15*VST_Assets!$D$15*1000*AS$4*AS426+VST_Assets!$O$15*(1+VST_Assets!$Q$15)^(AS$3-2026)*(AS428+AS429))/1000000*(1+VST_OMAdj)</f>
        <v>0</v>
      </c>
    </row>
    <row r="441" customFormat="false" ht="15" hidden="false" customHeight="false" outlineLevel="0" collapsed="false">
      <c r="A441" s="6" t="s">
        <v>455</v>
      </c>
      <c r="B441" s="6" t="s">
        <v>456</v>
      </c>
      <c r="C441" s="9" t="n">
        <f aca="false">SUM(G441:AS441)</f>
        <v>5290.62054740616</v>
      </c>
      <c r="G441" s="8" t="n">
        <f aca="false">G439-G440</f>
        <v>250.34057136</v>
      </c>
      <c r="H441" s="8" t="n">
        <f aca="false">H439-H440</f>
        <v>252.1019972592</v>
      </c>
      <c r="I441" s="8" t="n">
        <f aca="false">I439-I440</f>
        <v>197.030036400162</v>
      </c>
      <c r="J441" s="8" t="n">
        <f aca="false">J439-J440</f>
        <v>178.066612130717</v>
      </c>
      <c r="K441" s="8" t="n">
        <f aca="false">K439-K440</f>
        <v>181.627944373331</v>
      </c>
      <c r="L441" s="8" t="n">
        <f aca="false">L439-L440</f>
        <v>185.260503260798</v>
      </c>
      <c r="M441" s="8" t="n">
        <f aca="false">M439-M440</f>
        <v>188.965713326014</v>
      </c>
      <c r="N441" s="8" t="n">
        <f aca="false">N439-N440</f>
        <v>192.745027592534</v>
      </c>
      <c r="O441" s="8" t="n">
        <f aca="false">O439-O440</f>
        <v>196.599928144385</v>
      </c>
      <c r="P441" s="8" t="n">
        <f aca="false">P439-P440</f>
        <v>200.531926707272</v>
      </c>
      <c r="Q441" s="8" t="n">
        <f aca="false">Q439-Q440</f>
        <v>204.542565241418</v>
      </c>
      <c r="R441" s="8" t="n">
        <f aca="false">R439-R440</f>
        <v>208.633416546246</v>
      </c>
      <c r="S441" s="8" t="n">
        <f aca="false">S439-S440</f>
        <v>212.806084877171</v>
      </c>
      <c r="T441" s="8" t="n">
        <f aca="false">T439-T440</f>
        <v>217.062206574714</v>
      </c>
      <c r="U441" s="8" t="n">
        <f aca="false">U439-U440</f>
        <v>221.403450706209</v>
      </c>
      <c r="V441" s="8" t="n">
        <f aca="false">V439-V440</f>
        <v>225.831519720333</v>
      </c>
      <c r="W441" s="8" t="n">
        <f aca="false">W439-W440</f>
        <v>230.34815011474</v>
      </c>
      <c r="X441" s="8" t="n">
        <f aca="false">X439-X440</f>
        <v>234.955113117034</v>
      </c>
      <c r="Y441" s="8" t="n">
        <f aca="false">Y439-Y440</f>
        <v>239.654215379375</v>
      </c>
      <c r="Z441" s="8" t="n">
        <f aca="false">Z439-Z440</f>
        <v>244.447299686963</v>
      </c>
      <c r="AA441" s="8" t="n">
        <f aca="false">AA439-AA440</f>
        <v>249.336245680702</v>
      </c>
      <c r="AB441" s="8" t="n">
        <f aca="false">AB439-AB440</f>
        <v>254.322970594316</v>
      </c>
      <c r="AC441" s="8" t="n">
        <f aca="false">AC439-AC440</f>
        <v>259.409430006202</v>
      </c>
      <c r="AD441" s="8" t="n">
        <f aca="false">AD439-AD440</f>
        <v>264.597618606326</v>
      </c>
      <c r="AE441" s="8" t="n">
        <f aca="false">AE439-AE440</f>
        <v>0</v>
      </c>
      <c r="AF441" s="8" t="n">
        <f aca="false">AF439-AF440</f>
        <v>0</v>
      </c>
      <c r="AG441" s="8" t="n">
        <f aca="false">AG439-AG440</f>
        <v>0</v>
      </c>
      <c r="AH441" s="8" t="n">
        <f aca="false">AH439-AH440</f>
        <v>0</v>
      </c>
      <c r="AI441" s="8" t="n">
        <f aca="false">AI439-AI440</f>
        <v>0</v>
      </c>
      <c r="AJ441" s="8" t="n">
        <f aca="false">AJ439-AJ440</f>
        <v>0</v>
      </c>
      <c r="AK441" s="8" t="n">
        <f aca="false">AK439-AK440</f>
        <v>0</v>
      </c>
      <c r="AL441" s="8" t="n">
        <f aca="false">AL439-AL440</f>
        <v>0</v>
      </c>
      <c r="AM441" s="8" t="n">
        <f aca="false">AM439-AM440</f>
        <v>0</v>
      </c>
      <c r="AN441" s="8" t="n">
        <f aca="false">AN439-AN440</f>
        <v>0</v>
      </c>
      <c r="AO441" s="8" t="n">
        <f aca="false">AO439-AO440</f>
        <v>0</v>
      </c>
      <c r="AP441" s="8" t="n">
        <f aca="false">AP439-AP440</f>
        <v>0</v>
      </c>
      <c r="AQ441" s="8" t="n">
        <f aca="false">AQ439-AQ440</f>
        <v>0</v>
      </c>
      <c r="AR441" s="8" t="n">
        <f aca="false">AR439-AR440</f>
        <v>0</v>
      </c>
      <c r="AS441" s="8" t="n">
        <f aca="false">AS439-AS440</f>
        <v>0</v>
      </c>
    </row>
    <row r="442" customFormat="false" ht="15" hidden="false" customHeight="false" outlineLevel="0" collapsed="false">
      <c r="A442" s="6" t="s">
        <v>457</v>
      </c>
      <c r="B442" s="6" t="s">
        <v>458</v>
      </c>
      <c r="C442" s="9" t="n">
        <f aca="false">SUM(G442:AS442)</f>
        <v>614.399934520083</v>
      </c>
      <c r="G442" s="8" t="n">
        <f aca="false">((VST_Assets!$S$15*VST_Assets!$D$15*1000*G$4*G426+VST_Assets!$P$15*(1+VST_Assets!$Q$15)^(G$3-2026)*(G428+G429))/1000000+IF(G$3=VST_Assets!$AH$15,VST_Assets!$AG$15,0))*(1+VST_CapexAdj)</f>
        <v>20.196</v>
      </c>
      <c r="H442" s="8" t="n">
        <f aca="false">((VST_Assets!$S$15*VST_Assets!$D$15*1000*H$4*H426+VST_Assets!$P$15*(1+VST_Assets!$Q$15)^(H$3-2026)*(H428+H429))/1000000+IF(H$3=VST_Assets!$AH$15,VST_Assets!$AG$15,0))*(1+VST_CapexAdj)</f>
        <v>20.59992</v>
      </c>
      <c r="I442" s="8" t="n">
        <f aca="false">((VST_Assets!$S$15*VST_Assets!$D$15*1000*I$4*I426+VST_Assets!$P$15*(1+VST_Assets!$Q$15)^(I$3-2026)*(I428+I429))/1000000+IF(I$3=VST_Assets!$AH$15,VST_Assets!$AG$15,0))*(1+VST_CapexAdj)</f>
        <v>21.0119184</v>
      </c>
      <c r="J442" s="8" t="n">
        <f aca="false">((VST_Assets!$S$15*VST_Assets!$D$15*1000*J$4*J426+VST_Assets!$P$15*(1+VST_Assets!$Q$15)^(J$3-2026)*(J428+J429))/1000000+IF(J$3=VST_Assets!$AH$15,VST_Assets!$AG$15,0))*(1+VST_CapexAdj)</f>
        <v>21.432156768</v>
      </c>
      <c r="K442" s="8" t="n">
        <f aca="false">((VST_Assets!$S$15*VST_Assets!$D$15*1000*K$4*K426+VST_Assets!$P$15*(1+VST_Assets!$Q$15)^(K$3-2026)*(K428+K429))/1000000+IF(K$3=VST_Assets!$AH$15,VST_Assets!$AG$15,0))*(1+VST_CapexAdj)</f>
        <v>21.86079990336</v>
      </c>
      <c r="L442" s="8" t="n">
        <f aca="false">((VST_Assets!$S$15*VST_Assets!$D$15*1000*L$4*L426+VST_Assets!$P$15*(1+VST_Assets!$Q$15)^(L$3-2026)*(L428+L429))/1000000+IF(L$3=VST_Assets!$AH$15,VST_Assets!$AG$15,0))*(1+VST_CapexAdj)</f>
        <v>22.2980159014272</v>
      </c>
      <c r="M442" s="8" t="n">
        <f aca="false">((VST_Assets!$S$15*VST_Assets!$D$15*1000*M$4*M426+VST_Assets!$P$15*(1+VST_Assets!$Q$15)^(M$3-2026)*(M428+M429))/1000000+IF(M$3=VST_Assets!$AH$15,VST_Assets!$AG$15,0))*(1+VST_CapexAdj)</f>
        <v>22.7439762194557</v>
      </c>
      <c r="N442" s="8" t="n">
        <f aca="false">((VST_Assets!$S$15*VST_Assets!$D$15*1000*N$4*N426+VST_Assets!$P$15*(1+VST_Assets!$Q$15)^(N$3-2026)*(N428+N429))/1000000+IF(N$3=VST_Assets!$AH$15,VST_Assets!$AG$15,0))*(1+VST_CapexAdj)</f>
        <v>23.1988557438449</v>
      </c>
      <c r="O442" s="8" t="n">
        <f aca="false">((VST_Assets!$S$15*VST_Assets!$D$15*1000*O$4*O426+VST_Assets!$P$15*(1+VST_Assets!$Q$15)^(O$3-2026)*(O428+O429))/1000000+IF(O$3=VST_Assets!$AH$15,VST_Assets!$AG$15,0))*(1+VST_CapexAdj)</f>
        <v>23.6628328587218</v>
      </c>
      <c r="P442" s="8" t="n">
        <f aca="false">((VST_Assets!$S$15*VST_Assets!$D$15*1000*P$4*P426+VST_Assets!$P$15*(1+VST_Assets!$Q$15)^(P$3-2026)*(P428+P429))/1000000+IF(P$3=VST_Assets!$AH$15,VST_Assets!$AG$15,0))*(1+VST_CapexAdj)</f>
        <v>24.1360895158962</v>
      </c>
      <c r="Q442" s="8" t="n">
        <f aca="false">((VST_Assets!$S$15*VST_Assets!$D$15*1000*Q$4*Q426+VST_Assets!$P$15*(1+VST_Assets!$Q$15)^(Q$3-2026)*(Q428+Q429))/1000000+IF(Q$3=VST_Assets!$AH$15,VST_Assets!$AG$15,0))*(1+VST_CapexAdj)</f>
        <v>24.6188113062141</v>
      </c>
      <c r="R442" s="8" t="n">
        <f aca="false">((VST_Assets!$S$15*VST_Assets!$D$15*1000*R$4*R426+VST_Assets!$P$15*(1+VST_Assets!$Q$15)^(R$3-2026)*(R428+R429))/1000000+IF(R$3=VST_Assets!$AH$15,VST_Assets!$AG$15,0))*(1+VST_CapexAdj)</f>
        <v>25.1111875323384</v>
      </c>
      <c r="S442" s="8" t="n">
        <f aca="false">((VST_Assets!$S$15*VST_Assets!$D$15*1000*S$4*S426+VST_Assets!$P$15*(1+VST_Assets!$Q$15)^(S$3-2026)*(S428+S429))/1000000+IF(S$3=VST_Assets!$AH$15,VST_Assets!$AG$15,0))*(1+VST_CapexAdj)</f>
        <v>25.6134112829852</v>
      </c>
      <c r="T442" s="8" t="n">
        <f aca="false">((VST_Assets!$S$15*VST_Assets!$D$15*1000*T$4*T426+VST_Assets!$P$15*(1+VST_Assets!$Q$15)^(T$3-2026)*(T428+T429))/1000000+IF(T$3=VST_Assets!$AH$15,VST_Assets!$AG$15,0))*(1+VST_CapexAdj)</f>
        <v>26.1256795086449</v>
      </c>
      <c r="U442" s="8" t="n">
        <f aca="false">((VST_Assets!$S$15*VST_Assets!$D$15*1000*U$4*U426+VST_Assets!$P$15*(1+VST_Assets!$Q$15)^(U$3-2026)*(U428+U429))/1000000+IF(U$3=VST_Assets!$AH$15,VST_Assets!$AG$15,0))*(1+VST_CapexAdj)</f>
        <v>26.6481930988178</v>
      </c>
      <c r="V442" s="8" t="n">
        <f aca="false">((VST_Assets!$S$15*VST_Assets!$D$15*1000*V$4*V426+VST_Assets!$P$15*(1+VST_Assets!$Q$15)^(V$3-2026)*(V428+V429))/1000000+IF(V$3=VST_Assets!$AH$15,VST_Assets!$AG$15,0))*(1+VST_CapexAdj)</f>
        <v>27.1811569607941</v>
      </c>
      <c r="W442" s="8" t="n">
        <f aca="false">((VST_Assets!$S$15*VST_Assets!$D$15*1000*W$4*W426+VST_Assets!$P$15*(1+VST_Assets!$Q$15)^(W$3-2026)*(W428+W429))/1000000+IF(W$3=VST_Assets!$AH$15,VST_Assets!$AG$15,0))*(1+VST_CapexAdj)</f>
        <v>27.72478010001</v>
      </c>
      <c r="X442" s="8" t="n">
        <f aca="false">((VST_Assets!$S$15*VST_Assets!$D$15*1000*X$4*X426+VST_Assets!$P$15*(1+VST_Assets!$Q$15)^(X$3-2026)*(X428+X429))/1000000+IF(X$3=VST_Assets!$AH$15,VST_Assets!$AG$15,0))*(1+VST_CapexAdj)</f>
        <v>28.2792757020102</v>
      </c>
      <c r="Y442" s="8" t="n">
        <f aca="false">((VST_Assets!$S$15*VST_Assets!$D$15*1000*Y$4*Y426+VST_Assets!$P$15*(1+VST_Assets!$Q$15)^(Y$3-2026)*(Y428+Y429))/1000000+IF(Y$3=VST_Assets!$AH$15,VST_Assets!$AG$15,0))*(1+VST_CapexAdj)</f>
        <v>28.8448612160504</v>
      </c>
      <c r="Z442" s="8" t="n">
        <f aca="false">((VST_Assets!$S$15*VST_Assets!$D$15*1000*Z$4*Z426+VST_Assets!$P$15*(1+VST_Assets!$Q$15)^(Z$3-2026)*(Z428+Z429))/1000000+IF(Z$3=VST_Assets!$AH$15,VST_Assets!$AG$15,0))*(1+VST_CapexAdj)</f>
        <v>29.4217584403714</v>
      </c>
      <c r="AA442" s="8" t="n">
        <f aca="false">((VST_Assets!$S$15*VST_Assets!$D$15*1000*AA$4*AA426+VST_Assets!$P$15*(1+VST_Assets!$Q$15)^(AA$3-2026)*(AA428+AA429))/1000000+IF(AA$3=VST_Assets!$AH$15,VST_Assets!$AG$15,0))*(1+VST_CapexAdj)</f>
        <v>30.0101936091789</v>
      </c>
      <c r="AB442" s="8" t="n">
        <f aca="false">((VST_Assets!$S$15*VST_Assets!$D$15*1000*AB$4*AB426+VST_Assets!$P$15*(1+VST_Assets!$Q$15)^(AB$3-2026)*(AB428+AB429))/1000000+IF(AB$3=VST_Assets!$AH$15,VST_Assets!$AG$15,0))*(1+VST_CapexAdj)</f>
        <v>30.6103974813624</v>
      </c>
      <c r="AC442" s="8" t="n">
        <f aca="false">((VST_Assets!$S$15*VST_Assets!$D$15*1000*AC$4*AC426+VST_Assets!$P$15*(1+VST_Assets!$Q$15)^(AC$3-2026)*(AC428+AC429))/1000000+IF(AC$3=VST_Assets!$AH$15,VST_Assets!$AG$15,0))*(1+VST_CapexAdj)</f>
        <v>31.2226054309897</v>
      </c>
      <c r="AD442" s="8" t="n">
        <f aca="false">((VST_Assets!$S$15*VST_Assets!$D$15*1000*AD$4*AD426+VST_Assets!$P$15*(1+VST_Assets!$Q$15)^(AD$3-2026)*(AD428+AD429))/1000000+IF(AD$3=VST_Assets!$AH$15,VST_Assets!$AG$15,0))*(1+VST_CapexAdj)</f>
        <v>31.8470575396095</v>
      </c>
      <c r="AE442" s="8" t="n">
        <f aca="false">((VST_Assets!$S$15*VST_Assets!$D$15*1000*AE$4*AE426+VST_Assets!$P$15*(1+VST_Assets!$Q$15)^(AE$3-2026)*(AE428+AE429))/1000000+IF(AE$3=VST_Assets!$AH$15,VST_Assets!$AG$15,0))*(1+VST_CapexAdj)</f>
        <v>0</v>
      </c>
      <c r="AF442" s="8" t="n">
        <f aca="false">((VST_Assets!$S$15*VST_Assets!$D$15*1000*AF$4*AF426+VST_Assets!$P$15*(1+VST_Assets!$Q$15)^(AF$3-2026)*(AF428+AF429))/1000000+IF(AF$3=VST_Assets!$AH$15,VST_Assets!$AG$15,0))*(1+VST_CapexAdj)</f>
        <v>0</v>
      </c>
      <c r="AG442" s="8" t="n">
        <f aca="false">((VST_Assets!$S$15*VST_Assets!$D$15*1000*AG$4*AG426+VST_Assets!$P$15*(1+VST_Assets!$Q$15)^(AG$3-2026)*(AG428+AG429))/1000000+IF(AG$3=VST_Assets!$AH$15,VST_Assets!$AG$15,0))*(1+VST_CapexAdj)</f>
        <v>0</v>
      </c>
      <c r="AH442" s="8" t="n">
        <f aca="false">((VST_Assets!$S$15*VST_Assets!$D$15*1000*AH$4*AH426+VST_Assets!$P$15*(1+VST_Assets!$Q$15)^(AH$3-2026)*(AH428+AH429))/1000000+IF(AH$3=VST_Assets!$AH$15,VST_Assets!$AG$15,0))*(1+VST_CapexAdj)</f>
        <v>0</v>
      </c>
      <c r="AI442" s="8" t="n">
        <f aca="false">((VST_Assets!$S$15*VST_Assets!$D$15*1000*AI$4*AI426+VST_Assets!$P$15*(1+VST_Assets!$Q$15)^(AI$3-2026)*(AI428+AI429))/1000000+IF(AI$3=VST_Assets!$AH$15,VST_Assets!$AG$15,0))*(1+VST_CapexAdj)</f>
        <v>0</v>
      </c>
      <c r="AJ442" s="8" t="n">
        <f aca="false">((VST_Assets!$S$15*VST_Assets!$D$15*1000*AJ$4*AJ426+VST_Assets!$P$15*(1+VST_Assets!$Q$15)^(AJ$3-2026)*(AJ428+AJ429))/1000000+IF(AJ$3=VST_Assets!$AH$15,VST_Assets!$AG$15,0))*(1+VST_CapexAdj)</f>
        <v>0</v>
      </c>
      <c r="AK442" s="8" t="n">
        <f aca="false">((VST_Assets!$S$15*VST_Assets!$D$15*1000*AK$4*AK426+VST_Assets!$P$15*(1+VST_Assets!$Q$15)^(AK$3-2026)*(AK428+AK429))/1000000+IF(AK$3=VST_Assets!$AH$15,VST_Assets!$AG$15,0))*(1+VST_CapexAdj)</f>
        <v>0</v>
      </c>
      <c r="AL442" s="8" t="n">
        <f aca="false">((VST_Assets!$S$15*VST_Assets!$D$15*1000*AL$4*AL426+VST_Assets!$P$15*(1+VST_Assets!$Q$15)^(AL$3-2026)*(AL428+AL429))/1000000+IF(AL$3=VST_Assets!$AH$15,VST_Assets!$AG$15,0))*(1+VST_CapexAdj)</f>
        <v>0</v>
      </c>
      <c r="AM442" s="8" t="n">
        <f aca="false">((VST_Assets!$S$15*VST_Assets!$D$15*1000*AM$4*AM426+VST_Assets!$P$15*(1+VST_Assets!$Q$15)^(AM$3-2026)*(AM428+AM429))/1000000+IF(AM$3=VST_Assets!$AH$15,VST_Assets!$AG$15,0))*(1+VST_CapexAdj)</f>
        <v>0</v>
      </c>
      <c r="AN442" s="8" t="n">
        <f aca="false">((VST_Assets!$S$15*VST_Assets!$D$15*1000*AN$4*AN426+VST_Assets!$P$15*(1+VST_Assets!$Q$15)^(AN$3-2026)*(AN428+AN429))/1000000+IF(AN$3=VST_Assets!$AH$15,VST_Assets!$AG$15,0))*(1+VST_CapexAdj)</f>
        <v>0</v>
      </c>
      <c r="AO442" s="8" t="n">
        <f aca="false">((VST_Assets!$S$15*VST_Assets!$D$15*1000*AO$4*AO426+VST_Assets!$P$15*(1+VST_Assets!$Q$15)^(AO$3-2026)*(AO428+AO429))/1000000+IF(AO$3=VST_Assets!$AH$15,VST_Assets!$AG$15,0))*(1+VST_CapexAdj)</f>
        <v>0</v>
      </c>
      <c r="AP442" s="8" t="n">
        <f aca="false">((VST_Assets!$S$15*VST_Assets!$D$15*1000*AP$4*AP426+VST_Assets!$P$15*(1+VST_Assets!$Q$15)^(AP$3-2026)*(AP428+AP429))/1000000+IF(AP$3=VST_Assets!$AH$15,VST_Assets!$AG$15,0))*(1+VST_CapexAdj)</f>
        <v>0</v>
      </c>
      <c r="AQ442" s="8" t="n">
        <f aca="false">((VST_Assets!$S$15*VST_Assets!$D$15*1000*AQ$4*AQ426+VST_Assets!$P$15*(1+VST_Assets!$Q$15)^(AQ$3-2026)*(AQ428+AQ429))/1000000+IF(AQ$3=VST_Assets!$AH$15,VST_Assets!$AG$15,0))*(1+VST_CapexAdj)</f>
        <v>0</v>
      </c>
      <c r="AR442" s="8" t="n">
        <f aca="false">((VST_Assets!$S$15*VST_Assets!$D$15*1000*AR$4*AR426+VST_Assets!$P$15*(1+VST_Assets!$Q$15)^(AR$3-2026)*(AR428+AR429))/1000000+IF(AR$3=VST_Assets!$AH$15,VST_Assets!$AG$15,0))*(1+VST_CapexAdj)</f>
        <v>0</v>
      </c>
      <c r="AS442" s="8" t="n">
        <f aca="false">((VST_Assets!$S$15*VST_Assets!$D$15*1000*AS$4*AS426+VST_Assets!$P$15*(1+VST_Assets!$Q$15)^(AS$3-2026)*(AS428+AS429))/1000000+IF(AS$3=VST_Assets!$AH$15,VST_Assets!$AG$15,0))*(1+VST_CapexAdj)</f>
        <v>0</v>
      </c>
    </row>
    <row r="443" customFormat="false" ht="15" hidden="false" customHeight="false" outlineLevel="0" collapsed="false">
      <c r="A443" s="6" t="s">
        <v>459</v>
      </c>
      <c r="B443" s="6" t="s">
        <v>460</v>
      </c>
      <c r="C443" s="9" t="n">
        <f aca="false">SUM(G443:AS443)</f>
        <v>4676.22061288608</v>
      </c>
      <c r="G443" s="8" t="n">
        <f aca="false">IF(VST_Assets!$Y$15=1,MAX(0,G441-G442),G441-G442)</f>
        <v>230.14457136</v>
      </c>
      <c r="H443" s="8" t="n">
        <f aca="false">IF(VST_Assets!$Y$15=1,MAX(0,H441-H442),H441-H442)</f>
        <v>231.5020772592</v>
      </c>
      <c r="I443" s="8" t="n">
        <f aca="false">IF(VST_Assets!$Y$15=1,MAX(0,I441-I442),I441-I442)</f>
        <v>176.018118000162</v>
      </c>
      <c r="J443" s="8" t="n">
        <f aca="false">IF(VST_Assets!$Y$15=1,MAX(0,J441-J442),J441-J442)</f>
        <v>156.634455362717</v>
      </c>
      <c r="K443" s="8" t="n">
        <f aca="false">IF(VST_Assets!$Y$15=1,MAX(0,K441-K442),K441-K442)</f>
        <v>159.767144469971</v>
      </c>
      <c r="L443" s="8" t="n">
        <f aca="false">IF(VST_Assets!$Y$15=1,MAX(0,L441-L442),L441-L442)</f>
        <v>162.962487359371</v>
      </c>
      <c r="M443" s="8" t="n">
        <f aca="false">IF(VST_Assets!$Y$15=1,MAX(0,M441-M442),M441-M442)</f>
        <v>166.221737106558</v>
      </c>
      <c r="N443" s="8" t="n">
        <f aca="false">IF(VST_Assets!$Y$15=1,MAX(0,N441-N442),N441-N442)</f>
        <v>169.546171848689</v>
      </c>
      <c r="O443" s="8" t="n">
        <f aca="false">IF(VST_Assets!$Y$15=1,MAX(0,O441-O442),O441-O442)</f>
        <v>172.937095285663</v>
      </c>
      <c r="P443" s="8" t="n">
        <f aca="false">IF(VST_Assets!$Y$15=1,MAX(0,P441-P442),P441-P442)</f>
        <v>176.395837191376</v>
      </c>
      <c r="Q443" s="8" t="n">
        <f aca="false">IF(VST_Assets!$Y$15=1,MAX(0,Q441-Q442),Q441-Q442)</f>
        <v>179.923753935204</v>
      </c>
      <c r="R443" s="8" t="n">
        <f aca="false">IF(VST_Assets!$Y$15=1,MAX(0,R441-R442),R441-R442)</f>
        <v>183.522229013908</v>
      </c>
      <c r="S443" s="8" t="n">
        <f aca="false">IF(VST_Assets!$Y$15=1,MAX(0,S441-S442),S441-S442)</f>
        <v>187.192673594186</v>
      </c>
      <c r="T443" s="8" t="n">
        <f aca="false">IF(VST_Assets!$Y$15=1,MAX(0,T441-T442),T441-T442)</f>
        <v>190.93652706607</v>
      </c>
      <c r="U443" s="8" t="n">
        <f aca="false">IF(VST_Assets!$Y$15=1,MAX(0,U441-U442),U441-U442)</f>
        <v>194.755257607391</v>
      </c>
      <c r="V443" s="8" t="n">
        <f aca="false">IF(VST_Assets!$Y$15=1,MAX(0,V441-V442),V441-V442)</f>
        <v>198.650362759539</v>
      </c>
      <c r="W443" s="8" t="n">
        <f aca="false">IF(VST_Assets!$Y$15=1,MAX(0,W441-W442),W441-W442)</f>
        <v>202.62337001473</v>
      </c>
      <c r="X443" s="8" t="n">
        <f aca="false">IF(VST_Assets!$Y$15=1,MAX(0,X441-X442),X441-X442)</f>
        <v>206.675837415024</v>
      </c>
      <c r="Y443" s="8" t="n">
        <f aca="false">IF(VST_Assets!$Y$15=1,MAX(0,Y441-Y442),Y441-Y442)</f>
        <v>210.809354163325</v>
      </c>
      <c r="Z443" s="8" t="n">
        <f aca="false">IF(VST_Assets!$Y$15=1,MAX(0,Z441-Z442),Z441-Z442)</f>
        <v>215.025541246591</v>
      </c>
      <c r="AA443" s="8" t="n">
        <f aca="false">IF(VST_Assets!$Y$15=1,MAX(0,AA441-AA442),AA441-AA442)</f>
        <v>219.326052071523</v>
      </c>
      <c r="AB443" s="8" t="n">
        <f aca="false">IF(VST_Assets!$Y$15=1,MAX(0,AB441-AB442),AB441-AB442)</f>
        <v>223.712573112953</v>
      </c>
      <c r="AC443" s="8" t="n">
        <f aca="false">IF(VST_Assets!$Y$15=1,MAX(0,AC441-AC442),AC441-AC442)</f>
        <v>228.186824575212</v>
      </c>
      <c r="AD443" s="8" t="n">
        <f aca="false">IF(VST_Assets!$Y$15=1,MAX(0,AD441-AD442),AD441-AD442)</f>
        <v>232.750561066717</v>
      </c>
      <c r="AE443" s="8" t="n">
        <f aca="false">IF(VST_Assets!$Y$15=1,MAX(0,AE441-AE442),AE441-AE442)</f>
        <v>0</v>
      </c>
      <c r="AF443" s="8" t="n">
        <f aca="false">IF(VST_Assets!$Y$15=1,MAX(0,AF441-AF442),AF441-AF442)</f>
        <v>0</v>
      </c>
      <c r="AG443" s="8" t="n">
        <f aca="false">IF(VST_Assets!$Y$15=1,MAX(0,AG441-AG442),AG441-AG442)</f>
        <v>0</v>
      </c>
      <c r="AH443" s="8" t="n">
        <f aca="false">IF(VST_Assets!$Y$15=1,MAX(0,AH441-AH442),AH441-AH442)</f>
        <v>0</v>
      </c>
      <c r="AI443" s="8" t="n">
        <f aca="false">IF(VST_Assets!$Y$15=1,MAX(0,AI441-AI442),AI441-AI442)</f>
        <v>0</v>
      </c>
      <c r="AJ443" s="8" t="n">
        <f aca="false">IF(VST_Assets!$Y$15=1,MAX(0,AJ441-AJ442),AJ441-AJ442)</f>
        <v>0</v>
      </c>
      <c r="AK443" s="8" t="n">
        <f aca="false">IF(VST_Assets!$Y$15=1,MAX(0,AK441-AK442),AK441-AK442)</f>
        <v>0</v>
      </c>
      <c r="AL443" s="8" t="n">
        <f aca="false">IF(VST_Assets!$Y$15=1,MAX(0,AL441-AL442),AL441-AL442)</f>
        <v>0</v>
      </c>
      <c r="AM443" s="8" t="n">
        <f aca="false">IF(VST_Assets!$Y$15=1,MAX(0,AM441-AM442),AM441-AM442)</f>
        <v>0</v>
      </c>
      <c r="AN443" s="8" t="n">
        <f aca="false">IF(VST_Assets!$Y$15=1,MAX(0,AN441-AN442),AN441-AN442)</f>
        <v>0</v>
      </c>
      <c r="AO443" s="8" t="n">
        <f aca="false">IF(VST_Assets!$Y$15=1,MAX(0,AO441-AO442),AO441-AO442)</f>
        <v>0</v>
      </c>
      <c r="AP443" s="8" t="n">
        <f aca="false">IF(VST_Assets!$Y$15=1,MAX(0,AP441-AP442),AP441-AP442)</f>
        <v>0</v>
      </c>
      <c r="AQ443" s="8" t="n">
        <f aca="false">IF(VST_Assets!$Y$15=1,MAX(0,AQ441-AQ442),AQ441-AQ442)</f>
        <v>0</v>
      </c>
      <c r="AR443" s="8" t="n">
        <f aca="false">IF(VST_Assets!$Y$15=1,MAX(0,AR441-AR442),AR441-AR442)</f>
        <v>0</v>
      </c>
      <c r="AS443" s="8" t="n">
        <f aca="false">IF(VST_Assets!$Y$15=1,MAX(0,AS441-AS442),AS441-AS442)</f>
        <v>0</v>
      </c>
    </row>
    <row r="444" customFormat="false" ht="15" hidden="false" customHeight="false" outlineLevel="0" collapsed="false">
      <c r="A444" s="6" t="s">
        <v>461</v>
      </c>
      <c r="B444" s="6" t="s">
        <v>462</v>
      </c>
      <c r="C444" s="9" t="n">
        <f aca="false">SUM(G444:AS444)</f>
        <v>0</v>
      </c>
      <c r="G444" s="8" t="n">
        <f aca="false">IF(AND(VST_Assets!$W$15=1,G$3&lt;=PTCLast,G428&gt;0),G428*MAX(0,PTCCredit*(1+Infl)^(G$3-PTCBase)-0.8*MAX(0,(G433+G434+G436)*1000000/MAX(1,G428)-PTCThresh*(1+Infl)^(G$3-PTCBase)))/1000000,0)</f>
        <v>0</v>
      </c>
      <c r="H444" s="8" t="n">
        <f aca="false">IF(AND(VST_Assets!$W$15=1,H$3&lt;=PTCLast,H428&gt;0),H428*MAX(0,PTCCredit*(1+Infl)^(H$3-PTCBase)-0.8*MAX(0,(H433+H434+H436)*1000000/MAX(1,H428)-PTCThresh*(1+Infl)^(H$3-PTCBase)))/1000000,0)</f>
        <v>0</v>
      </c>
      <c r="I444" s="8" t="n">
        <f aca="false">IF(AND(VST_Assets!$W$15=1,I$3&lt;=PTCLast,I428&gt;0),I428*MAX(0,PTCCredit*(1+Infl)^(I$3-PTCBase)-0.8*MAX(0,(I433+I434+I436)*1000000/MAX(1,I428)-PTCThresh*(1+Infl)^(I$3-PTCBase)))/1000000,0)</f>
        <v>0</v>
      </c>
      <c r="J444" s="8" t="n">
        <f aca="false">IF(AND(VST_Assets!$W$15=1,J$3&lt;=PTCLast,J428&gt;0),J428*MAX(0,PTCCredit*(1+Infl)^(J$3-PTCBase)-0.8*MAX(0,(J433+J434+J436)*1000000/MAX(1,J428)-PTCThresh*(1+Infl)^(J$3-PTCBase)))/1000000,0)</f>
        <v>0</v>
      </c>
      <c r="K444" s="8" t="n">
        <f aca="false">IF(AND(VST_Assets!$W$15=1,K$3&lt;=PTCLast,K428&gt;0),K428*MAX(0,PTCCredit*(1+Infl)^(K$3-PTCBase)-0.8*MAX(0,(K433+K434+K436)*1000000/MAX(1,K428)-PTCThresh*(1+Infl)^(K$3-PTCBase)))/1000000,0)</f>
        <v>0</v>
      </c>
      <c r="L444" s="8" t="n">
        <f aca="false">IF(AND(VST_Assets!$W$15=1,L$3&lt;=PTCLast,L428&gt;0),L428*MAX(0,PTCCredit*(1+Infl)^(L$3-PTCBase)-0.8*MAX(0,(L433+L434+L436)*1000000/MAX(1,L428)-PTCThresh*(1+Infl)^(L$3-PTCBase)))/1000000,0)</f>
        <v>0</v>
      </c>
      <c r="M444" s="8" t="n">
        <f aca="false">IF(AND(VST_Assets!$W$15=1,M$3&lt;=PTCLast,M428&gt;0),M428*MAX(0,PTCCredit*(1+Infl)^(M$3-PTCBase)-0.8*MAX(0,(M433+M434+M436)*1000000/MAX(1,M428)-PTCThresh*(1+Infl)^(M$3-PTCBase)))/1000000,0)</f>
        <v>0</v>
      </c>
      <c r="N444" s="8" t="n">
        <f aca="false">IF(AND(VST_Assets!$W$15=1,N$3&lt;=PTCLast,N428&gt;0),N428*MAX(0,PTCCredit*(1+Infl)^(N$3-PTCBase)-0.8*MAX(0,(N433+N434+N436)*1000000/MAX(1,N428)-PTCThresh*(1+Infl)^(N$3-PTCBase)))/1000000,0)</f>
        <v>0</v>
      </c>
      <c r="O444" s="8" t="n">
        <f aca="false">IF(AND(VST_Assets!$W$15=1,O$3&lt;=PTCLast,O428&gt;0),O428*MAX(0,PTCCredit*(1+Infl)^(O$3-PTCBase)-0.8*MAX(0,(O433+O434+O436)*1000000/MAX(1,O428)-PTCThresh*(1+Infl)^(O$3-PTCBase)))/1000000,0)</f>
        <v>0</v>
      </c>
      <c r="P444" s="8" t="n">
        <f aca="false">IF(AND(VST_Assets!$W$15=1,P$3&lt;=PTCLast,P428&gt;0),P428*MAX(0,PTCCredit*(1+Infl)^(P$3-PTCBase)-0.8*MAX(0,(P433+P434+P436)*1000000/MAX(1,P428)-PTCThresh*(1+Infl)^(P$3-PTCBase)))/1000000,0)</f>
        <v>0</v>
      </c>
      <c r="Q444" s="8" t="n">
        <f aca="false">IF(AND(VST_Assets!$W$15=1,Q$3&lt;=PTCLast,Q428&gt;0),Q428*MAX(0,PTCCredit*(1+Infl)^(Q$3-PTCBase)-0.8*MAX(0,(Q433+Q434+Q436)*1000000/MAX(1,Q428)-PTCThresh*(1+Infl)^(Q$3-PTCBase)))/1000000,0)</f>
        <v>0</v>
      </c>
      <c r="R444" s="8" t="n">
        <f aca="false">IF(AND(VST_Assets!$W$15=1,R$3&lt;=PTCLast,R428&gt;0),R428*MAX(0,PTCCredit*(1+Infl)^(R$3-PTCBase)-0.8*MAX(0,(R433+R434+R436)*1000000/MAX(1,R428)-PTCThresh*(1+Infl)^(R$3-PTCBase)))/1000000,0)</f>
        <v>0</v>
      </c>
      <c r="S444" s="8" t="n">
        <f aca="false">IF(AND(VST_Assets!$W$15=1,S$3&lt;=PTCLast,S428&gt;0),S428*MAX(0,PTCCredit*(1+Infl)^(S$3-PTCBase)-0.8*MAX(0,(S433+S434+S436)*1000000/MAX(1,S428)-PTCThresh*(1+Infl)^(S$3-PTCBase)))/1000000,0)</f>
        <v>0</v>
      </c>
      <c r="T444" s="8" t="n">
        <f aca="false">IF(AND(VST_Assets!$W$15=1,T$3&lt;=PTCLast,T428&gt;0),T428*MAX(0,PTCCredit*(1+Infl)^(T$3-PTCBase)-0.8*MAX(0,(T433+T434+T436)*1000000/MAX(1,T428)-PTCThresh*(1+Infl)^(T$3-PTCBase)))/1000000,0)</f>
        <v>0</v>
      </c>
      <c r="U444" s="8" t="n">
        <f aca="false">IF(AND(VST_Assets!$W$15=1,U$3&lt;=PTCLast,U428&gt;0),U428*MAX(0,PTCCredit*(1+Infl)^(U$3-PTCBase)-0.8*MAX(0,(U433+U434+U436)*1000000/MAX(1,U428)-PTCThresh*(1+Infl)^(U$3-PTCBase)))/1000000,0)</f>
        <v>0</v>
      </c>
      <c r="V444" s="8" t="n">
        <f aca="false">IF(AND(VST_Assets!$W$15=1,V$3&lt;=PTCLast,V428&gt;0),V428*MAX(0,PTCCredit*(1+Infl)^(V$3-PTCBase)-0.8*MAX(0,(V433+V434+V436)*1000000/MAX(1,V428)-PTCThresh*(1+Infl)^(V$3-PTCBase)))/1000000,0)</f>
        <v>0</v>
      </c>
      <c r="W444" s="8" t="n">
        <f aca="false">IF(AND(VST_Assets!$W$15=1,W$3&lt;=PTCLast,W428&gt;0),W428*MAX(0,PTCCredit*(1+Infl)^(W$3-PTCBase)-0.8*MAX(0,(W433+W434+W436)*1000000/MAX(1,W428)-PTCThresh*(1+Infl)^(W$3-PTCBase)))/1000000,0)</f>
        <v>0</v>
      </c>
      <c r="X444" s="8" t="n">
        <f aca="false">IF(AND(VST_Assets!$W$15=1,X$3&lt;=PTCLast,X428&gt;0),X428*MAX(0,PTCCredit*(1+Infl)^(X$3-PTCBase)-0.8*MAX(0,(X433+X434+X436)*1000000/MAX(1,X428)-PTCThresh*(1+Infl)^(X$3-PTCBase)))/1000000,0)</f>
        <v>0</v>
      </c>
      <c r="Y444" s="8" t="n">
        <f aca="false">IF(AND(VST_Assets!$W$15=1,Y$3&lt;=PTCLast,Y428&gt;0),Y428*MAX(0,PTCCredit*(1+Infl)^(Y$3-PTCBase)-0.8*MAX(0,(Y433+Y434+Y436)*1000000/MAX(1,Y428)-PTCThresh*(1+Infl)^(Y$3-PTCBase)))/1000000,0)</f>
        <v>0</v>
      </c>
      <c r="Z444" s="8" t="n">
        <f aca="false">IF(AND(VST_Assets!$W$15=1,Z$3&lt;=PTCLast,Z428&gt;0),Z428*MAX(0,PTCCredit*(1+Infl)^(Z$3-PTCBase)-0.8*MAX(0,(Z433+Z434+Z436)*1000000/MAX(1,Z428)-PTCThresh*(1+Infl)^(Z$3-PTCBase)))/1000000,0)</f>
        <v>0</v>
      </c>
      <c r="AA444" s="8" t="n">
        <f aca="false">IF(AND(VST_Assets!$W$15=1,AA$3&lt;=PTCLast,AA428&gt;0),AA428*MAX(0,PTCCredit*(1+Infl)^(AA$3-PTCBase)-0.8*MAX(0,(AA433+AA434+AA436)*1000000/MAX(1,AA428)-PTCThresh*(1+Infl)^(AA$3-PTCBase)))/1000000,0)</f>
        <v>0</v>
      </c>
      <c r="AB444" s="8" t="n">
        <f aca="false">IF(AND(VST_Assets!$W$15=1,AB$3&lt;=PTCLast,AB428&gt;0),AB428*MAX(0,PTCCredit*(1+Infl)^(AB$3-PTCBase)-0.8*MAX(0,(AB433+AB434+AB436)*1000000/MAX(1,AB428)-PTCThresh*(1+Infl)^(AB$3-PTCBase)))/1000000,0)</f>
        <v>0</v>
      </c>
      <c r="AC444" s="8" t="n">
        <f aca="false">IF(AND(VST_Assets!$W$15=1,AC$3&lt;=PTCLast,AC428&gt;0),AC428*MAX(0,PTCCredit*(1+Infl)^(AC$3-PTCBase)-0.8*MAX(0,(AC433+AC434+AC436)*1000000/MAX(1,AC428)-PTCThresh*(1+Infl)^(AC$3-PTCBase)))/1000000,0)</f>
        <v>0</v>
      </c>
      <c r="AD444" s="8" t="n">
        <f aca="false">IF(AND(VST_Assets!$W$15=1,AD$3&lt;=PTCLast,AD428&gt;0),AD428*MAX(0,PTCCredit*(1+Infl)^(AD$3-PTCBase)-0.8*MAX(0,(AD433+AD434+AD436)*1000000/MAX(1,AD428)-PTCThresh*(1+Infl)^(AD$3-PTCBase)))/1000000,0)</f>
        <v>0</v>
      </c>
      <c r="AE444" s="8" t="n">
        <f aca="false">IF(AND(VST_Assets!$W$15=1,AE$3&lt;=PTCLast,AE428&gt;0),AE428*MAX(0,PTCCredit*(1+Infl)^(AE$3-PTCBase)-0.8*MAX(0,(AE433+AE434+AE436)*1000000/MAX(1,AE428)-PTCThresh*(1+Infl)^(AE$3-PTCBase)))/1000000,0)</f>
        <v>0</v>
      </c>
      <c r="AF444" s="8" t="n">
        <f aca="false">IF(AND(VST_Assets!$W$15=1,AF$3&lt;=PTCLast,AF428&gt;0),AF428*MAX(0,PTCCredit*(1+Infl)^(AF$3-PTCBase)-0.8*MAX(0,(AF433+AF434+AF436)*1000000/MAX(1,AF428)-PTCThresh*(1+Infl)^(AF$3-PTCBase)))/1000000,0)</f>
        <v>0</v>
      </c>
      <c r="AG444" s="8" t="n">
        <f aca="false">IF(AND(VST_Assets!$W$15=1,AG$3&lt;=PTCLast,AG428&gt;0),AG428*MAX(0,PTCCredit*(1+Infl)^(AG$3-PTCBase)-0.8*MAX(0,(AG433+AG434+AG436)*1000000/MAX(1,AG428)-PTCThresh*(1+Infl)^(AG$3-PTCBase)))/1000000,0)</f>
        <v>0</v>
      </c>
      <c r="AH444" s="8" t="n">
        <f aca="false">IF(AND(VST_Assets!$W$15=1,AH$3&lt;=PTCLast,AH428&gt;0),AH428*MAX(0,PTCCredit*(1+Infl)^(AH$3-PTCBase)-0.8*MAX(0,(AH433+AH434+AH436)*1000000/MAX(1,AH428)-PTCThresh*(1+Infl)^(AH$3-PTCBase)))/1000000,0)</f>
        <v>0</v>
      </c>
      <c r="AI444" s="8" t="n">
        <f aca="false">IF(AND(VST_Assets!$W$15=1,AI$3&lt;=PTCLast,AI428&gt;0),AI428*MAX(0,PTCCredit*(1+Infl)^(AI$3-PTCBase)-0.8*MAX(0,(AI433+AI434+AI436)*1000000/MAX(1,AI428)-PTCThresh*(1+Infl)^(AI$3-PTCBase)))/1000000,0)</f>
        <v>0</v>
      </c>
      <c r="AJ444" s="8" t="n">
        <f aca="false">IF(AND(VST_Assets!$W$15=1,AJ$3&lt;=PTCLast,AJ428&gt;0),AJ428*MAX(0,PTCCredit*(1+Infl)^(AJ$3-PTCBase)-0.8*MAX(0,(AJ433+AJ434+AJ436)*1000000/MAX(1,AJ428)-PTCThresh*(1+Infl)^(AJ$3-PTCBase)))/1000000,0)</f>
        <v>0</v>
      </c>
      <c r="AK444" s="8" t="n">
        <f aca="false">IF(AND(VST_Assets!$W$15=1,AK$3&lt;=PTCLast,AK428&gt;0),AK428*MAX(0,PTCCredit*(1+Infl)^(AK$3-PTCBase)-0.8*MAX(0,(AK433+AK434+AK436)*1000000/MAX(1,AK428)-PTCThresh*(1+Infl)^(AK$3-PTCBase)))/1000000,0)</f>
        <v>0</v>
      </c>
      <c r="AL444" s="8" t="n">
        <f aca="false">IF(AND(VST_Assets!$W$15=1,AL$3&lt;=PTCLast,AL428&gt;0),AL428*MAX(0,PTCCredit*(1+Infl)^(AL$3-PTCBase)-0.8*MAX(0,(AL433+AL434+AL436)*1000000/MAX(1,AL428)-PTCThresh*(1+Infl)^(AL$3-PTCBase)))/1000000,0)</f>
        <v>0</v>
      </c>
      <c r="AM444" s="8" t="n">
        <f aca="false">IF(AND(VST_Assets!$W$15=1,AM$3&lt;=PTCLast,AM428&gt;0),AM428*MAX(0,PTCCredit*(1+Infl)^(AM$3-PTCBase)-0.8*MAX(0,(AM433+AM434+AM436)*1000000/MAX(1,AM428)-PTCThresh*(1+Infl)^(AM$3-PTCBase)))/1000000,0)</f>
        <v>0</v>
      </c>
      <c r="AN444" s="8" t="n">
        <f aca="false">IF(AND(VST_Assets!$W$15=1,AN$3&lt;=PTCLast,AN428&gt;0),AN428*MAX(0,PTCCredit*(1+Infl)^(AN$3-PTCBase)-0.8*MAX(0,(AN433+AN434+AN436)*1000000/MAX(1,AN428)-PTCThresh*(1+Infl)^(AN$3-PTCBase)))/1000000,0)</f>
        <v>0</v>
      </c>
      <c r="AO444" s="8" t="n">
        <f aca="false">IF(AND(VST_Assets!$W$15=1,AO$3&lt;=PTCLast,AO428&gt;0),AO428*MAX(0,PTCCredit*(1+Infl)^(AO$3-PTCBase)-0.8*MAX(0,(AO433+AO434+AO436)*1000000/MAX(1,AO428)-PTCThresh*(1+Infl)^(AO$3-PTCBase)))/1000000,0)</f>
        <v>0</v>
      </c>
      <c r="AP444" s="8" t="n">
        <f aca="false">IF(AND(VST_Assets!$W$15=1,AP$3&lt;=PTCLast,AP428&gt;0),AP428*MAX(0,PTCCredit*(1+Infl)^(AP$3-PTCBase)-0.8*MAX(0,(AP433+AP434+AP436)*1000000/MAX(1,AP428)-PTCThresh*(1+Infl)^(AP$3-PTCBase)))/1000000,0)</f>
        <v>0</v>
      </c>
      <c r="AQ444" s="8" t="n">
        <f aca="false">IF(AND(VST_Assets!$W$15=1,AQ$3&lt;=PTCLast,AQ428&gt;0),AQ428*MAX(0,PTCCredit*(1+Infl)^(AQ$3-PTCBase)-0.8*MAX(0,(AQ433+AQ434+AQ436)*1000000/MAX(1,AQ428)-PTCThresh*(1+Infl)^(AQ$3-PTCBase)))/1000000,0)</f>
        <v>0</v>
      </c>
      <c r="AR444" s="8" t="n">
        <f aca="false">IF(AND(VST_Assets!$W$15=1,AR$3&lt;=PTCLast,AR428&gt;0),AR428*MAX(0,PTCCredit*(1+Infl)^(AR$3-PTCBase)-0.8*MAX(0,(AR433+AR434+AR436)*1000000/MAX(1,AR428)-PTCThresh*(1+Infl)^(AR$3-PTCBase)))/1000000,0)</f>
        <v>0</v>
      </c>
      <c r="AS444" s="8" t="n">
        <f aca="false">IF(AND(VST_Assets!$W$15=1,AS$3&lt;=PTCLast,AS428&gt;0),AS428*MAX(0,PTCCredit*(1+Infl)^(AS$3-PTCBase)-0.8*MAX(0,(AS433+AS434+AS436)*1000000/MAX(1,AS428)-PTCThresh*(1+Infl)^(AS$3-PTCBase)))/1000000,0)</f>
        <v>0</v>
      </c>
    </row>
    <row r="445" customFormat="false" ht="15" hidden="false" customHeight="false" outlineLevel="0" collapsed="false">
      <c r="A445" s="6" t="s">
        <v>463</v>
      </c>
      <c r="B445" s="6" t="s">
        <v>464</v>
      </c>
      <c r="G445" s="8" t="n">
        <f aca="false">G435-G429*(VST_Assets!$N$15*(1+VST_FuelAdj)+VST_Assets!$O$15*(1+VST_OMAdj)+VST_Assets!$P$15*(1+VST_CapexAdj))*(1+VST_Assets!$Q$15)^(G$3-2026)/1000000</f>
        <v>0</v>
      </c>
      <c r="H445" s="8" t="n">
        <f aca="false">H435-H429*(VST_Assets!$N$15*(1+VST_FuelAdj)+VST_Assets!$O$15*(1+VST_OMAdj)+VST_Assets!$P$15*(1+VST_CapexAdj))*(1+VST_Assets!$Q$15)^(H$3-2026)/1000000</f>
        <v>0</v>
      </c>
      <c r="I445" s="8" t="n">
        <f aca="false">I435-I429*(VST_Assets!$N$15*(1+VST_FuelAdj)+VST_Assets!$O$15*(1+VST_OMAdj)+VST_Assets!$P$15*(1+VST_CapexAdj))*(1+VST_Assets!$Q$15)^(I$3-2026)/1000000</f>
        <v>0</v>
      </c>
      <c r="J445" s="8" t="n">
        <f aca="false">J435-J429*(VST_Assets!$N$15*(1+VST_FuelAdj)+VST_Assets!$O$15*(1+VST_OMAdj)+VST_Assets!$P$15*(1+VST_CapexAdj))*(1+VST_Assets!$Q$15)^(J$3-2026)/1000000</f>
        <v>0</v>
      </c>
      <c r="K445" s="8" t="n">
        <f aca="false">K435-K429*(VST_Assets!$N$15*(1+VST_FuelAdj)+VST_Assets!$O$15*(1+VST_OMAdj)+VST_Assets!$P$15*(1+VST_CapexAdj))*(1+VST_Assets!$Q$15)^(K$3-2026)/1000000</f>
        <v>0</v>
      </c>
      <c r="L445" s="8" t="n">
        <f aca="false">L435-L429*(VST_Assets!$N$15*(1+VST_FuelAdj)+VST_Assets!$O$15*(1+VST_OMAdj)+VST_Assets!$P$15*(1+VST_CapexAdj))*(1+VST_Assets!$Q$15)^(L$3-2026)/1000000</f>
        <v>0</v>
      </c>
      <c r="M445" s="8" t="n">
        <f aca="false">M435-M429*(VST_Assets!$N$15*(1+VST_FuelAdj)+VST_Assets!$O$15*(1+VST_OMAdj)+VST_Assets!$P$15*(1+VST_CapexAdj))*(1+VST_Assets!$Q$15)^(M$3-2026)/1000000</f>
        <v>0</v>
      </c>
      <c r="N445" s="8" t="n">
        <f aca="false">N435-N429*(VST_Assets!$N$15*(1+VST_FuelAdj)+VST_Assets!$O$15*(1+VST_OMAdj)+VST_Assets!$P$15*(1+VST_CapexAdj))*(1+VST_Assets!$Q$15)^(N$3-2026)/1000000</f>
        <v>0</v>
      </c>
      <c r="O445" s="8" t="n">
        <f aca="false">O435-O429*(VST_Assets!$N$15*(1+VST_FuelAdj)+VST_Assets!$O$15*(1+VST_OMAdj)+VST_Assets!$P$15*(1+VST_CapexAdj))*(1+VST_Assets!$Q$15)^(O$3-2026)/1000000</f>
        <v>0</v>
      </c>
      <c r="P445" s="8" t="n">
        <f aca="false">P435-P429*(VST_Assets!$N$15*(1+VST_FuelAdj)+VST_Assets!$O$15*(1+VST_OMAdj)+VST_Assets!$P$15*(1+VST_CapexAdj))*(1+VST_Assets!$Q$15)^(P$3-2026)/1000000</f>
        <v>0</v>
      </c>
      <c r="Q445" s="8" t="n">
        <f aca="false">Q435-Q429*(VST_Assets!$N$15*(1+VST_FuelAdj)+VST_Assets!$O$15*(1+VST_OMAdj)+VST_Assets!$P$15*(1+VST_CapexAdj))*(1+VST_Assets!$Q$15)^(Q$3-2026)/1000000</f>
        <v>0</v>
      </c>
      <c r="R445" s="8" t="n">
        <f aca="false">R435-R429*(VST_Assets!$N$15*(1+VST_FuelAdj)+VST_Assets!$O$15*(1+VST_OMAdj)+VST_Assets!$P$15*(1+VST_CapexAdj))*(1+VST_Assets!$Q$15)^(R$3-2026)/1000000</f>
        <v>0</v>
      </c>
      <c r="S445" s="8" t="n">
        <f aca="false">S435-S429*(VST_Assets!$N$15*(1+VST_FuelAdj)+VST_Assets!$O$15*(1+VST_OMAdj)+VST_Assets!$P$15*(1+VST_CapexAdj))*(1+VST_Assets!$Q$15)^(S$3-2026)/1000000</f>
        <v>0</v>
      </c>
      <c r="T445" s="8" t="n">
        <f aca="false">T435-T429*(VST_Assets!$N$15*(1+VST_FuelAdj)+VST_Assets!$O$15*(1+VST_OMAdj)+VST_Assets!$P$15*(1+VST_CapexAdj))*(1+VST_Assets!$Q$15)^(T$3-2026)/1000000</f>
        <v>0</v>
      </c>
      <c r="U445" s="8" t="n">
        <f aca="false">U435-U429*(VST_Assets!$N$15*(1+VST_FuelAdj)+VST_Assets!$O$15*(1+VST_OMAdj)+VST_Assets!$P$15*(1+VST_CapexAdj))*(1+VST_Assets!$Q$15)^(U$3-2026)/1000000</f>
        <v>0</v>
      </c>
      <c r="V445" s="8" t="n">
        <f aca="false">V435-V429*(VST_Assets!$N$15*(1+VST_FuelAdj)+VST_Assets!$O$15*(1+VST_OMAdj)+VST_Assets!$P$15*(1+VST_CapexAdj))*(1+VST_Assets!$Q$15)^(V$3-2026)/1000000</f>
        <v>0</v>
      </c>
      <c r="W445" s="8" t="n">
        <f aca="false">W435-W429*(VST_Assets!$N$15*(1+VST_FuelAdj)+VST_Assets!$O$15*(1+VST_OMAdj)+VST_Assets!$P$15*(1+VST_CapexAdj))*(1+VST_Assets!$Q$15)^(W$3-2026)/1000000</f>
        <v>0</v>
      </c>
      <c r="X445" s="8" t="n">
        <f aca="false">X435-X429*(VST_Assets!$N$15*(1+VST_FuelAdj)+VST_Assets!$O$15*(1+VST_OMAdj)+VST_Assets!$P$15*(1+VST_CapexAdj))*(1+VST_Assets!$Q$15)^(X$3-2026)/1000000</f>
        <v>0</v>
      </c>
      <c r="Y445" s="8" t="n">
        <f aca="false">Y435-Y429*(VST_Assets!$N$15*(1+VST_FuelAdj)+VST_Assets!$O$15*(1+VST_OMAdj)+VST_Assets!$P$15*(1+VST_CapexAdj))*(1+VST_Assets!$Q$15)^(Y$3-2026)/1000000</f>
        <v>0</v>
      </c>
      <c r="Z445" s="8" t="n">
        <f aca="false">Z435-Z429*(VST_Assets!$N$15*(1+VST_FuelAdj)+VST_Assets!$O$15*(1+VST_OMAdj)+VST_Assets!$P$15*(1+VST_CapexAdj))*(1+VST_Assets!$Q$15)^(Z$3-2026)/1000000</f>
        <v>0</v>
      </c>
      <c r="AA445" s="8" t="n">
        <f aca="false">AA435-AA429*(VST_Assets!$N$15*(1+VST_FuelAdj)+VST_Assets!$O$15*(1+VST_OMAdj)+VST_Assets!$P$15*(1+VST_CapexAdj))*(1+VST_Assets!$Q$15)^(AA$3-2026)/1000000</f>
        <v>0</v>
      </c>
      <c r="AB445" s="8" t="n">
        <f aca="false">AB435-AB429*(VST_Assets!$N$15*(1+VST_FuelAdj)+VST_Assets!$O$15*(1+VST_OMAdj)+VST_Assets!$P$15*(1+VST_CapexAdj))*(1+VST_Assets!$Q$15)^(AB$3-2026)/1000000</f>
        <v>0</v>
      </c>
      <c r="AC445" s="8" t="n">
        <f aca="false">AC435-AC429*(VST_Assets!$N$15*(1+VST_FuelAdj)+VST_Assets!$O$15*(1+VST_OMAdj)+VST_Assets!$P$15*(1+VST_CapexAdj))*(1+VST_Assets!$Q$15)^(AC$3-2026)/1000000</f>
        <v>0</v>
      </c>
      <c r="AD445" s="8" t="n">
        <f aca="false">AD435-AD429*(VST_Assets!$N$15*(1+VST_FuelAdj)+VST_Assets!$O$15*(1+VST_OMAdj)+VST_Assets!$P$15*(1+VST_CapexAdj))*(1+VST_Assets!$Q$15)^(AD$3-2026)/1000000</f>
        <v>0</v>
      </c>
      <c r="AE445" s="8" t="n">
        <f aca="false">AE435-AE429*(VST_Assets!$N$15*(1+VST_FuelAdj)+VST_Assets!$O$15*(1+VST_OMAdj)+VST_Assets!$P$15*(1+VST_CapexAdj))*(1+VST_Assets!$Q$15)^(AE$3-2026)/1000000</f>
        <v>0</v>
      </c>
      <c r="AF445" s="8" t="n">
        <f aca="false">AF435-AF429*(VST_Assets!$N$15*(1+VST_FuelAdj)+VST_Assets!$O$15*(1+VST_OMAdj)+VST_Assets!$P$15*(1+VST_CapexAdj))*(1+VST_Assets!$Q$15)^(AF$3-2026)/1000000</f>
        <v>0</v>
      </c>
      <c r="AG445" s="8" t="n">
        <f aca="false">AG435-AG429*(VST_Assets!$N$15*(1+VST_FuelAdj)+VST_Assets!$O$15*(1+VST_OMAdj)+VST_Assets!$P$15*(1+VST_CapexAdj))*(1+VST_Assets!$Q$15)^(AG$3-2026)/1000000</f>
        <v>0</v>
      </c>
      <c r="AH445" s="8" t="n">
        <f aca="false">AH435-AH429*(VST_Assets!$N$15*(1+VST_FuelAdj)+VST_Assets!$O$15*(1+VST_OMAdj)+VST_Assets!$P$15*(1+VST_CapexAdj))*(1+VST_Assets!$Q$15)^(AH$3-2026)/1000000</f>
        <v>0</v>
      </c>
      <c r="AI445" s="8" t="n">
        <f aca="false">AI435-AI429*(VST_Assets!$N$15*(1+VST_FuelAdj)+VST_Assets!$O$15*(1+VST_OMAdj)+VST_Assets!$P$15*(1+VST_CapexAdj))*(1+VST_Assets!$Q$15)^(AI$3-2026)/1000000</f>
        <v>0</v>
      </c>
      <c r="AJ445" s="8" t="n">
        <f aca="false">AJ435-AJ429*(VST_Assets!$N$15*(1+VST_FuelAdj)+VST_Assets!$O$15*(1+VST_OMAdj)+VST_Assets!$P$15*(1+VST_CapexAdj))*(1+VST_Assets!$Q$15)^(AJ$3-2026)/1000000</f>
        <v>0</v>
      </c>
      <c r="AK445" s="8" t="n">
        <f aca="false">AK435-AK429*(VST_Assets!$N$15*(1+VST_FuelAdj)+VST_Assets!$O$15*(1+VST_OMAdj)+VST_Assets!$P$15*(1+VST_CapexAdj))*(1+VST_Assets!$Q$15)^(AK$3-2026)/1000000</f>
        <v>0</v>
      </c>
      <c r="AL445" s="8" t="n">
        <f aca="false">AL435-AL429*(VST_Assets!$N$15*(1+VST_FuelAdj)+VST_Assets!$O$15*(1+VST_OMAdj)+VST_Assets!$P$15*(1+VST_CapexAdj))*(1+VST_Assets!$Q$15)^(AL$3-2026)/1000000</f>
        <v>0</v>
      </c>
      <c r="AM445" s="8" t="n">
        <f aca="false">AM435-AM429*(VST_Assets!$N$15*(1+VST_FuelAdj)+VST_Assets!$O$15*(1+VST_OMAdj)+VST_Assets!$P$15*(1+VST_CapexAdj))*(1+VST_Assets!$Q$15)^(AM$3-2026)/1000000</f>
        <v>0</v>
      </c>
      <c r="AN445" s="8" t="n">
        <f aca="false">AN435-AN429*(VST_Assets!$N$15*(1+VST_FuelAdj)+VST_Assets!$O$15*(1+VST_OMAdj)+VST_Assets!$P$15*(1+VST_CapexAdj))*(1+VST_Assets!$Q$15)^(AN$3-2026)/1000000</f>
        <v>0</v>
      </c>
      <c r="AO445" s="8" t="n">
        <f aca="false">AO435-AO429*(VST_Assets!$N$15*(1+VST_FuelAdj)+VST_Assets!$O$15*(1+VST_OMAdj)+VST_Assets!$P$15*(1+VST_CapexAdj))*(1+VST_Assets!$Q$15)^(AO$3-2026)/1000000</f>
        <v>0</v>
      </c>
      <c r="AP445" s="8" t="n">
        <f aca="false">AP435-AP429*(VST_Assets!$N$15*(1+VST_FuelAdj)+VST_Assets!$O$15*(1+VST_OMAdj)+VST_Assets!$P$15*(1+VST_CapexAdj))*(1+VST_Assets!$Q$15)^(AP$3-2026)/1000000</f>
        <v>0</v>
      </c>
      <c r="AQ445" s="8" t="n">
        <f aca="false">AQ435-AQ429*(VST_Assets!$N$15*(1+VST_FuelAdj)+VST_Assets!$O$15*(1+VST_OMAdj)+VST_Assets!$P$15*(1+VST_CapexAdj))*(1+VST_Assets!$Q$15)^(AQ$3-2026)/1000000</f>
        <v>0</v>
      </c>
      <c r="AR445" s="8" t="n">
        <f aca="false">AR435-AR429*(VST_Assets!$N$15*(1+VST_FuelAdj)+VST_Assets!$O$15*(1+VST_OMAdj)+VST_Assets!$P$15*(1+VST_CapexAdj))*(1+VST_Assets!$Q$15)^(AR$3-2026)/1000000</f>
        <v>0</v>
      </c>
      <c r="AS445" s="8" t="n">
        <f aca="false">AS435-AS429*(VST_Assets!$N$15*(1+VST_FuelAdj)+VST_Assets!$O$15*(1+VST_OMAdj)+VST_Assets!$P$15*(1+VST_CapexAdj))*(1+VST_Assets!$Q$15)^(AS$3-2026)/1000000</f>
        <v>0</v>
      </c>
    </row>
    <row r="446" customFormat="false" ht="15" hidden="false" customHeight="false" outlineLevel="0" collapsed="false">
      <c r="A446" s="6" t="s">
        <v>465</v>
      </c>
      <c r="B446" s="6" t="s">
        <v>466</v>
      </c>
      <c r="G446" s="8" t="n">
        <f aca="false">G443-G445</f>
        <v>230.14457136</v>
      </c>
      <c r="H446" s="8" t="n">
        <f aca="false">H443-H445</f>
        <v>231.5020772592</v>
      </c>
      <c r="I446" s="8" t="n">
        <f aca="false">I443-I445</f>
        <v>176.018118000162</v>
      </c>
      <c r="J446" s="8" t="n">
        <f aca="false">J443-J445</f>
        <v>156.634455362717</v>
      </c>
      <c r="K446" s="8" t="n">
        <f aca="false">K443-K445</f>
        <v>159.767144469971</v>
      </c>
      <c r="L446" s="8" t="n">
        <f aca="false">L443-L445</f>
        <v>162.962487359371</v>
      </c>
      <c r="M446" s="8" t="n">
        <f aca="false">M443-M445</f>
        <v>166.221737106558</v>
      </c>
      <c r="N446" s="8" t="n">
        <f aca="false">N443-N445</f>
        <v>169.546171848689</v>
      </c>
      <c r="O446" s="8" t="n">
        <f aca="false">O443-O445</f>
        <v>172.937095285663</v>
      </c>
      <c r="P446" s="8" t="n">
        <f aca="false">P443-P445</f>
        <v>176.395837191376</v>
      </c>
      <c r="Q446" s="8" t="n">
        <f aca="false">Q443-Q445</f>
        <v>179.923753935204</v>
      </c>
      <c r="R446" s="8" t="n">
        <f aca="false">R443-R445</f>
        <v>183.522229013908</v>
      </c>
      <c r="S446" s="8" t="n">
        <f aca="false">S443-S445</f>
        <v>187.192673594186</v>
      </c>
      <c r="T446" s="8" t="n">
        <f aca="false">T443-T445</f>
        <v>190.93652706607</v>
      </c>
      <c r="U446" s="8" t="n">
        <f aca="false">U443-U445</f>
        <v>194.755257607391</v>
      </c>
      <c r="V446" s="8" t="n">
        <f aca="false">V443-V445</f>
        <v>198.650362759539</v>
      </c>
      <c r="W446" s="8" t="n">
        <f aca="false">W443-W445</f>
        <v>202.62337001473</v>
      </c>
      <c r="X446" s="8" t="n">
        <f aca="false">X443-X445</f>
        <v>206.675837415024</v>
      </c>
      <c r="Y446" s="8" t="n">
        <f aca="false">Y443-Y445</f>
        <v>210.809354163325</v>
      </c>
      <c r="Z446" s="8" t="n">
        <f aca="false">Z443-Z445</f>
        <v>215.025541246591</v>
      </c>
      <c r="AA446" s="8" t="n">
        <f aca="false">AA443-AA445</f>
        <v>219.326052071523</v>
      </c>
      <c r="AB446" s="8" t="n">
        <f aca="false">AB443-AB445</f>
        <v>223.712573112953</v>
      </c>
      <c r="AC446" s="8" t="n">
        <f aca="false">AC443-AC445</f>
        <v>228.186824575212</v>
      </c>
      <c r="AD446" s="8" t="n">
        <f aca="false">AD443-AD445</f>
        <v>232.750561066717</v>
      </c>
      <c r="AE446" s="8" t="n">
        <f aca="false">AE443-AE445</f>
        <v>0</v>
      </c>
      <c r="AF446" s="8" t="n">
        <f aca="false">AF443-AF445</f>
        <v>0</v>
      </c>
      <c r="AG446" s="8" t="n">
        <f aca="false">AG443-AG445</f>
        <v>0</v>
      </c>
      <c r="AH446" s="8" t="n">
        <f aca="false">AH443-AH445</f>
        <v>0</v>
      </c>
      <c r="AI446" s="8" t="n">
        <f aca="false">AI443-AI445</f>
        <v>0</v>
      </c>
      <c r="AJ446" s="8" t="n">
        <f aca="false">AJ443-AJ445</f>
        <v>0</v>
      </c>
      <c r="AK446" s="8" t="n">
        <f aca="false">AK443-AK445</f>
        <v>0</v>
      </c>
      <c r="AL446" s="8" t="n">
        <f aca="false">AL443-AL445</f>
        <v>0</v>
      </c>
      <c r="AM446" s="8" t="n">
        <f aca="false">AM443-AM445</f>
        <v>0</v>
      </c>
      <c r="AN446" s="8" t="n">
        <f aca="false">AN443-AN445</f>
        <v>0</v>
      </c>
      <c r="AO446" s="8" t="n">
        <f aca="false">AO443-AO445</f>
        <v>0</v>
      </c>
      <c r="AP446" s="8" t="n">
        <f aca="false">AP443-AP445</f>
        <v>0</v>
      </c>
      <c r="AQ446" s="8" t="n">
        <f aca="false">AQ443-AQ445</f>
        <v>0</v>
      </c>
      <c r="AR446" s="8" t="n">
        <f aca="false">AR443-AR445</f>
        <v>0</v>
      </c>
      <c r="AS446" s="8" t="n">
        <f aca="false">AS443-AS445</f>
        <v>0</v>
      </c>
    </row>
    <row r="447" customFormat="false" ht="15" hidden="false" customHeight="false" outlineLevel="0" collapsed="false">
      <c r="A447" s="6" t="s">
        <v>467</v>
      </c>
      <c r="B447" s="6" t="s">
        <v>468</v>
      </c>
      <c r="G447" s="8" t="n">
        <f aca="false">G446*(1-TaxRate)+G444</f>
        <v>184.115657088</v>
      </c>
      <c r="H447" s="8" t="n">
        <f aca="false">H446*(1-TaxRate)+H444</f>
        <v>185.20166180736</v>
      </c>
      <c r="I447" s="8" t="n">
        <f aca="false">I446*(1-TaxRate)+I444</f>
        <v>140.814494400129</v>
      </c>
      <c r="J447" s="8" t="n">
        <f aca="false">J446*(1-TaxRate)+J444</f>
        <v>125.307564290173</v>
      </c>
      <c r="K447" s="8" t="n">
        <f aca="false">K446*(1-TaxRate)+K444</f>
        <v>127.813715575977</v>
      </c>
      <c r="L447" s="8" t="n">
        <f aca="false">L446*(1-TaxRate)+L444</f>
        <v>130.369989887496</v>
      </c>
      <c r="M447" s="8" t="n">
        <f aca="false">M446*(1-TaxRate)+M444</f>
        <v>132.977389685246</v>
      </c>
      <c r="N447" s="8" t="n">
        <f aca="false">N446*(1-TaxRate)+N444</f>
        <v>135.636937478951</v>
      </c>
      <c r="O447" s="8" t="n">
        <f aca="false">O446*(1-TaxRate)+O444</f>
        <v>138.34967622853</v>
      </c>
      <c r="P447" s="8" t="n">
        <f aca="false">P446*(1-TaxRate)+P444</f>
        <v>141.116669753101</v>
      </c>
      <c r="Q447" s="8" t="n">
        <f aca="false">Q446*(1-TaxRate)+Q444</f>
        <v>143.939003148163</v>
      </c>
      <c r="R447" s="8" t="n">
        <f aca="false">R446*(1-TaxRate)+R444</f>
        <v>146.817783211126</v>
      </c>
      <c r="S447" s="8" t="n">
        <f aca="false">S446*(1-TaxRate)+S444</f>
        <v>149.754138875349</v>
      </c>
      <c r="T447" s="8" t="n">
        <f aca="false">T446*(1-TaxRate)+T444</f>
        <v>152.749221652856</v>
      </c>
      <c r="U447" s="8" t="n">
        <f aca="false">U446*(1-TaxRate)+U444</f>
        <v>155.804206085913</v>
      </c>
      <c r="V447" s="8" t="n">
        <f aca="false">V446*(1-TaxRate)+V444</f>
        <v>158.920290207631</v>
      </c>
      <c r="W447" s="8" t="n">
        <f aca="false">W446*(1-TaxRate)+W444</f>
        <v>162.098696011784</v>
      </c>
      <c r="X447" s="8" t="n">
        <f aca="false">X446*(1-TaxRate)+X444</f>
        <v>165.340669932019</v>
      </c>
      <c r="Y447" s="8" t="n">
        <f aca="false">Y446*(1-TaxRate)+Y444</f>
        <v>168.64748333066</v>
      </c>
      <c r="Z447" s="8" t="n">
        <f aca="false">Z446*(1-TaxRate)+Z444</f>
        <v>172.020432997273</v>
      </c>
      <c r="AA447" s="8" t="n">
        <f aca="false">AA446*(1-TaxRate)+AA444</f>
        <v>175.460841657218</v>
      </c>
      <c r="AB447" s="8" t="n">
        <f aca="false">AB446*(1-TaxRate)+AB444</f>
        <v>178.970058490363</v>
      </c>
      <c r="AC447" s="8" t="n">
        <f aca="false">AC446*(1-TaxRate)+AC444</f>
        <v>182.54945966017</v>
      </c>
      <c r="AD447" s="8" t="n">
        <f aca="false">AD446*(1-TaxRate)+AD444</f>
        <v>186.200448853374</v>
      </c>
      <c r="AE447" s="8" t="n">
        <f aca="false">AE446*(1-TaxRate)+AE444</f>
        <v>0</v>
      </c>
      <c r="AF447" s="8" t="n">
        <f aca="false">AF446*(1-TaxRate)+AF444</f>
        <v>0</v>
      </c>
      <c r="AG447" s="8" t="n">
        <f aca="false">AG446*(1-TaxRate)+AG444</f>
        <v>0</v>
      </c>
      <c r="AH447" s="8" t="n">
        <f aca="false">AH446*(1-TaxRate)+AH444</f>
        <v>0</v>
      </c>
      <c r="AI447" s="8" t="n">
        <f aca="false">AI446*(1-TaxRate)+AI444</f>
        <v>0</v>
      </c>
      <c r="AJ447" s="8" t="n">
        <f aca="false">AJ446*(1-TaxRate)+AJ444</f>
        <v>0</v>
      </c>
      <c r="AK447" s="8" t="n">
        <f aca="false">AK446*(1-TaxRate)+AK444</f>
        <v>0</v>
      </c>
      <c r="AL447" s="8" t="n">
        <f aca="false">AL446*(1-TaxRate)+AL444</f>
        <v>0</v>
      </c>
      <c r="AM447" s="8" t="n">
        <f aca="false">AM446*(1-TaxRate)+AM444</f>
        <v>0</v>
      </c>
      <c r="AN447" s="8" t="n">
        <f aca="false">AN446*(1-TaxRate)+AN444</f>
        <v>0</v>
      </c>
      <c r="AO447" s="8" t="n">
        <f aca="false">AO446*(1-TaxRate)+AO444</f>
        <v>0</v>
      </c>
      <c r="AP447" s="8" t="n">
        <f aca="false">AP446*(1-TaxRate)+AP444</f>
        <v>0</v>
      </c>
      <c r="AQ447" s="8" t="n">
        <f aca="false">AQ446*(1-TaxRate)+AQ444</f>
        <v>0</v>
      </c>
      <c r="AR447" s="8" t="n">
        <f aca="false">AR446*(1-TaxRate)+AR444</f>
        <v>0</v>
      </c>
      <c r="AS447" s="8" t="n">
        <f aca="false">AS446*(1-TaxRate)+AS444</f>
        <v>0</v>
      </c>
    </row>
    <row r="448" customFormat="false" ht="15" hidden="false" customHeight="false" outlineLevel="0" collapsed="false">
      <c r="A448" s="6" t="s">
        <v>469</v>
      </c>
      <c r="B448" s="6" t="s">
        <v>470</v>
      </c>
      <c r="G448" s="8" t="n">
        <f aca="false">G445*(1-TaxRate)</f>
        <v>0</v>
      </c>
      <c r="H448" s="8" t="n">
        <f aca="false">H445*(1-TaxRate)</f>
        <v>0</v>
      </c>
      <c r="I448" s="8" t="n">
        <f aca="false">I445*(1-TaxRate)</f>
        <v>0</v>
      </c>
      <c r="J448" s="8" t="n">
        <f aca="false">J445*(1-TaxRate)</f>
        <v>0</v>
      </c>
      <c r="K448" s="8" t="n">
        <f aca="false">K445*(1-TaxRate)</f>
        <v>0</v>
      </c>
      <c r="L448" s="8" t="n">
        <f aca="false">L445*(1-TaxRate)</f>
        <v>0</v>
      </c>
      <c r="M448" s="8" t="n">
        <f aca="false">M445*(1-TaxRate)</f>
        <v>0</v>
      </c>
      <c r="N448" s="8" t="n">
        <f aca="false">N445*(1-TaxRate)</f>
        <v>0</v>
      </c>
      <c r="O448" s="8" t="n">
        <f aca="false">O445*(1-TaxRate)</f>
        <v>0</v>
      </c>
      <c r="P448" s="8" t="n">
        <f aca="false">P445*(1-TaxRate)</f>
        <v>0</v>
      </c>
      <c r="Q448" s="8" t="n">
        <f aca="false">Q445*(1-TaxRate)</f>
        <v>0</v>
      </c>
      <c r="R448" s="8" t="n">
        <f aca="false">R445*(1-TaxRate)</f>
        <v>0</v>
      </c>
      <c r="S448" s="8" t="n">
        <f aca="false">S445*(1-TaxRate)</f>
        <v>0</v>
      </c>
      <c r="T448" s="8" t="n">
        <f aca="false">T445*(1-TaxRate)</f>
        <v>0</v>
      </c>
      <c r="U448" s="8" t="n">
        <f aca="false">U445*(1-TaxRate)</f>
        <v>0</v>
      </c>
      <c r="V448" s="8" t="n">
        <f aca="false">V445*(1-TaxRate)</f>
        <v>0</v>
      </c>
      <c r="W448" s="8" t="n">
        <f aca="false">W445*(1-TaxRate)</f>
        <v>0</v>
      </c>
      <c r="X448" s="8" t="n">
        <f aca="false">X445*(1-TaxRate)</f>
        <v>0</v>
      </c>
      <c r="Y448" s="8" t="n">
        <f aca="false">Y445*(1-TaxRate)</f>
        <v>0</v>
      </c>
      <c r="Z448" s="8" t="n">
        <f aca="false">Z445*(1-TaxRate)</f>
        <v>0</v>
      </c>
      <c r="AA448" s="8" t="n">
        <f aca="false">AA445*(1-TaxRate)</f>
        <v>0</v>
      </c>
      <c r="AB448" s="8" t="n">
        <f aca="false">AB445*(1-TaxRate)</f>
        <v>0</v>
      </c>
      <c r="AC448" s="8" t="n">
        <f aca="false">AC445*(1-TaxRate)</f>
        <v>0</v>
      </c>
      <c r="AD448" s="8" t="n">
        <f aca="false">AD445*(1-TaxRate)</f>
        <v>0</v>
      </c>
      <c r="AE448" s="8" t="n">
        <f aca="false">AE445*(1-TaxRate)</f>
        <v>0</v>
      </c>
      <c r="AF448" s="8" t="n">
        <f aca="false">AF445*(1-TaxRate)</f>
        <v>0</v>
      </c>
      <c r="AG448" s="8" t="n">
        <f aca="false">AG445*(1-TaxRate)</f>
        <v>0</v>
      </c>
      <c r="AH448" s="8" t="n">
        <f aca="false">AH445*(1-TaxRate)</f>
        <v>0</v>
      </c>
      <c r="AI448" s="8" t="n">
        <f aca="false">AI445*(1-TaxRate)</f>
        <v>0</v>
      </c>
      <c r="AJ448" s="8" t="n">
        <f aca="false">AJ445*(1-TaxRate)</f>
        <v>0</v>
      </c>
      <c r="AK448" s="8" t="n">
        <f aca="false">AK445*(1-TaxRate)</f>
        <v>0</v>
      </c>
      <c r="AL448" s="8" t="n">
        <f aca="false">AL445*(1-TaxRate)</f>
        <v>0</v>
      </c>
      <c r="AM448" s="8" t="n">
        <f aca="false">AM445*(1-TaxRate)</f>
        <v>0</v>
      </c>
      <c r="AN448" s="8" t="n">
        <f aca="false">AN445*(1-TaxRate)</f>
        <v>0</v>
      </c>
      <c r="AO448" s="8" t="n">
        <f aca="false">AO445*(1-TaxRate)</f>
        <v>0</v>
      </c>
      <c r="AP448" s="8" t="n">
        <f aca="false">AP445*(1-TaxRate)</f>
        <v>0</v>
      </c>
      <c r="AQ448" s="8" t="n">
        <f aca="false">AQ445*(1-TaxRate)</f>
        <v>0</v>
      </c>
      <c r="AR448" s="8" t="n">
        <f aca="false">AR445*(1-TaxRate)</f>
        <v>0</v>
      </c>
      <c r="AS448" s="8" t="n">
        <f aca="false">AS445*(1-TaxRate)</f>
        <v>0</v>
      </c>
    </row>
    <row r="449" customFormat="false" ht="15" hidden="false" customHeight="false" outlineLevel="0" collapsed="false">
      <c r="A449" s="6" t="s">
        <v>471</v>
      </c>
      <c r="B449" s="6" t="s">
        <v>472</v>
      </c>
      <c r="G449" s="42" t="n">
        <f aca="false">(1+VST_Assets!$AE$15)^-(G$3+0.5-ValDate)</f>
        <v>0.934199026996437</v>
      </c>
      <c r="H449" s="42" t="n">
        <f aca="false">(1+VST_Assets!$AE$15)^-(H$3+0.5-ValDate)</f>
        <v>0.853149796343778</v>
      </c>
      <c r="I449" s="42" t="n">
        <f aca="false">(1+VST_Assets!$AE$15)^-(I$3+0.5-ValDate)</f>
        <v>0.779132234103907</v>
      </c>
      <c r="J449" s="42" t="n">
        <f aca="false">(1+VST_Assets!$AE$15)^-(J$3+0.5-ValDate)</f>
        <v>0.711536286852883</v>
      </c>
      <c r="K449" s="42" t="n">
        <f aca="false">(1+VST_Assets!$AE$15)^-(K$3+0.5-ValDate)</f>
        <v>0.649804828176149</v>
      </c>
      <c r="L449" s="42" t="n">
        <f aca="false">(1+VST_Assets!$AE$15)^-(L$3+0.5-ValDate)</f>
        <v>0.593429066827533</v>
      </c>
      <c r="M449" s="42" t="n">
        <f aca="false">(1+VST_Assets!$AE$15)^-(M$3+0.5-ValDate)</f>
        <v>0.541944353267154</v>
      </c>
      <c r="N449" s="42" t="n">
        <f aca="false">(1+VST_Assets!$AE$15)^-(N$3+0.5-ValDate)</f>
        <v>0.494926350015666</v>
      </c>
      <c r="O449" s="42" t="n">
        <f aca="false">(1+VST_Assets!$AE$15)^-(O$3+0.5-ValDate)</f>
        <v>0.451987534260882</v>
      </c>
      <c r="P449" s="42" t="n">
        <f aca="false">(1+VST_Assets!$AE$15)^-(P$3+0.5-ValDate)</f>
        <v>0.412774003891216</v>
      </c>
      <c r="Q449" s="42" t="n">
        <f aca="false">(1+VST_Assets!$AE$15)^-(Q$3+0.5-ValDate)</f>
        <v>0.376962560631248</v>
      </c>
      <c r="R449" s="42" t="n">
        <f aca="false">(1+VST_Assets!$AE$15)^-(R$3+0.5-ValDate)</f>
        <v>0.344258046238582</v>
      </c>
      <c r="S449" s="42" t="n">
        <f aca="false">(1+VST_Assets!$AE$15)^-(S$3+0.5-ValDate)</f>
        <v>0.314390909806925</v>
      </c>
      <c r="T449" s="42" t="n">
        <f aca="false">(1+VST_Assets!$AE$15)^-(T$3+0.5-ValDate)</f>
        <v>0.287114986125045</v>
      </c>
      <c r="U449" s="42" t="n">
        <f aca="false">(1+VST_Assets!$AE$15)^-(U$3+0.5-ValDate)</f>
        <v>0.262205466780863</v>
      </c>
      <c r="V449" s="42" t="n">
        <f aca="false">(1+VST_Assets!$AE$15)^-(V$3+0.5-ValDate)</f>
        <v>0.23945704728846</v>
      </c>
      <c r="W449" s="42" t="n">
        <f aca="false">(1+VST_Assets!$AE$15)^-(W$3+0.5-ValDate)</f>
        <v>0.21868223496663</v>
      </c>
      <c r="X449" s="42" t="n">
        <f aca="false">(1+VST_Assets!$AE$15)^-(X$3+0.5-ValDate)</f>
        <v>0.199709803622493</v>
      </c>
      <c r="Y449" s="42" t="n">
        <f aca="false">(1+VST_Assets!$AE$15)^-(Y$3+0.5-ValDate)</f>
        <v>0.182383382303647</v>
      </c>
      <c r="Z449" s="42" t="n">
        <f aca="false">(1+VST_Assets!$AE$15)^-(Z$3+0.5-ValDate)</f>
        <v>0.166560166487348</v>
      </c>
      <c r="AA449" s="42" t="n">
        <f aca="false">(1+VST_Assets!$AE$15)^-(AA$3+0.5-ValDate)</f>
        <v>0.152109741084336</v>
      </c>
      <c r="AB449" s="42" t="n">
        <f aca="false">(1+VST_Assets!$AE$15)^-(AB$3+0.5-ValDate)</f>
        <v>0.138913005556472</v>
      </c>
      <c r="AC449" s="42" t="n">
        <f aca="false">(1+VST_Assets!$AE$15)^-(AC$3+0.5-ValDate)</f>
        <v>0.126861192289015</v>
      </c>
      <c r="AD449" s="42" t="n">
        <f aca="false">(1+VST_Assets!$AE$15)^-(AD$3+0.5-ValDate)</f>
        <v>0.115854970126955</v>
      </c>
      <c r="AE449" s="42" t="n">
        <f aca="false">(1+VST_Assets!$AE$15)^-(AE$3+0.5-ValDate)</f>
        <v>0.105803625686716</v>
      </c>
      <c r="AF449" s="42" t="n">
        <f aca="false">(1+VST_Assets!$AE$15)^-(AF$3+0.5-ValDate)</f>
        <v>0.0966243156956315</v>
      </c>
      <c r="AG449" s="42" t="n">
        <f aca="false">(1+VST_Assets!$AE$15)^-(AG$3+0.5-ValDate)</f>
        <v>0.0882413841969238</v>
      </c>
      <c r="AH449" s="42" t="n">
        <f aca="false">(1+VST_Assets!$AE$15)^-(AH$3+0.5-ValDate)</f>
        <v>0.0805857389926244</v>
      </c>
      <c r="AI449" s="42" t="n">
        <f aca="false">(1+VST_Assets!$AE$15)^-(AI$3+0.5-ValDate)</f>
        <v>0.0735942821850451</v>
      </c>
      <c r="AJ449" s="42" t="n">
        <f aca="false">(1+VST_Assets!$AE$15)^-(AJ$3+0.5-ValDate)</f>
        <v>0.0672093901233289</v>
      </c>
      <c r="AK449" s="42" t="n">
        <f aca="false">(1+VST_Assets!$AE$15)^-(AK$3+0.5-ValDate)</f>
        <v>0.0613784384687935</v>
      </c>
      <c r="AL449" s="42" t="n">
        <f aca="false">(1+VST_Assets!$AE$15)^-(AL$3+0.5-ValDate)</f>
        <v>0.0560533684646516</v>
      </c>
      <c r="AM449" s="42" t="n">
        <f aca="false">(1+VST_Assets!$AE$15)^-(AM$3+0.5-ValDate)</f>
        <v>0.0511902908352983</v>
      </c>
      <c r="AN449" s="42" t="n">
        <f aca="false">(1+VST_Assets!$AE$15)^-(AN$3+0.5-ValDate)</f>
        <v>0.0467491240505007</v>
      </c>
      <c r="AO449" s="42" t="n">
        <f aca="false">(1+VST_Assets!$AE$15)^-(AO$3+0.5-ValDate)</f>
        <v>0.04269326397306</v>
      </c>
      <c r="AP449" s="42" t="n">
        <f aca="false">(1+VST_Assets!$AE$15)^-(AP$3+0.5-ValDate)</f>
        <v>0.0389892821671781</v>
      </c>
      <c r="AQ449" s="42" t="n">
        <f aca="false">(1+VST_Assets!$AE$15)^-(AQ$3+0.5-ValDate)</f>
        <v>0.0356066503809846</v>
      </c>
      <c r="AR449" s="42" t="n">
        <f aca="false">(1+VST_Assets!$AE$15)^-(AR$3+0.5-ValDate)</f>
        <v>0.032517488932406</v>
      </c>
      <c r="AS449" s="42" t="n">
        <f aca="false">(1+VST_Assets!$AE$15)^-(AS$3+0.5-ValDate)</f>
        <v>0.0296963369245717</v>
      </c>
    </row>
    <row r="450" customFormat="false" ht="15" hidden="false" customHeight="false" outlineLevel="0" collapsed="false">
      <c r="A450" s="6" t="s">
        <v>473</v>
      </c>
      <c r="B450" s="6" t="s">
        <v>474</v>
      </c>
      <c r="G450" s="42" t="n">
        <f aca="false">(1+VST_Assets!$AF$15)^-(G$3+0.5-ValDate)</f>
        <v>0.934199026996437</v>
      </c>
      <c r="H450" s="42" t="n">
        <f aca="false">(1+VST_Assets!$AF$15)^-(H$3+0.5-ValDate)</f>
        <v>0.853149796343778</v>
      </c>
      <c r="I450" s="42" t="n">
        <f aca="false">(1+VST_Assets!$AF$15)^-(I$3+0.5-ValDate)</f>
        <v>0.779132234103907</v>
      </c>
      <c r="J450" s="42" t="n">
        <f aca="false">(1+VST_Assets!$AF$15)^-(J$3+0.5-ValDate)</f>
        <v>0.711536286852883</v>
      </c>
      <c r="K450" s="42" t="n">
        <f aca="false">(1+VST_Assets!$AF$15)^-(K$3+0.5-ValDate)</f>
        <v>0.649804828176149</v>
      </c>
      <c r="L450" s="42" t="n">
        <f aca="false">(1+VST_Assets!$AF$15)^-(L$3+0.5-ValDate)</f>
        <v>0.593429066827533</v>
      </c>
      <c r="M450" s="42" t="n">
        <f aca="false">(1+VST_Assets!$AF$15)^-(M$3+0.5-ValDate)</f>
        <v>0.541944353267154</v>
      </c>
      <c r="N450" s="42" t="n">
        <f aca="false">(1+VST_Assets!$AF$15)^-(N$3+0.5-ValDate)</f>
        <v>0.494926350015666</v>
      </c>
      <c r="O450" s="42" t="n">
        <f aca="false">(1+VST_Assets!$AF$15)^-(O$3+0.5-ValDate)</f>
        <v>0.451987534260882</v>
      </c>
      <c r="P450" s="42" t="n">
        <f aca="false">(1+VST_Assets!$AF$15)^-(P$3+0.5-ValDate)</f>
        <v>0.412774003891216</v>
      </c>
      <c r="Q450" s="42" t="n">
        <f aca="false">(1+VST_Assets!$AF$15)^-(Q$3+0.5-ValDate)</f>
        <v>0.376962560631248</v>
      </c>
      <c r="R450" s="42" t="n">
        <f aca="false">(1+VST_Assets!$AF$15)^-(R$3+0.5-ValDate)</f>
        <v>0.344258046238582</v>
      </c>
      <c r="S450" s="42" t="n">
        <f aca="false">(1+VST_Assets!$AF$15)^-(S$3+0.5-ValDate)</f>
        <v>0.314390909806925</v>
      </c>
      <c r="T450" s="42" t="n">
        <f aca="false">(1+VST_Assets!$AF$15)^-(T$3+0.5-ValDate)</f>
        <v>0.287114986125045</v>
      </c>
      <c r="U450" s="42" t="n">
        <f aca="false">(1+VST_Assets!$AF$15)^-(U$3+0.5-ValDate)</f>
        <v>0.262205466780863</v>
      </c>
      <c r="V450" s="42" t="n">
        <f aca="false">(1+VST_Assets!$AF$15)^-(V$3+0.5-ValDate)</f>
        <v>0.23945704728846</v>
      </c>
      <c r="W450" s="42" t="n">
        <f aca="false">(1+VST_Assets!$AF$15)^-(W$3+0.5-ValDate)</f>
        <v>0.21868223496663</v>
      </c>
      <c r="X450" s="42" t="n">
        <f aca="false">(1+VST_Assets!$AF$15)^-(X$3+0.5-ValDate)</f>
        <v>0.199709803622493</v>
      </c>
      <c r="Y450" s="42" t="n">
        <f aca="false">(1+VST_Assets!$AF$15)^-(Y$3+0.5-ValDate)</f>
        <v>0.182383382303647</v>
      </c>
      <c r="Z450" s="42" t="n">
        <f aca="false">(1+VST_Assets!$AF$15)^-(Z$3+0.5-ValDate)</f>
        <v>0.166560166487348</v>
      </c>
      <c r="AA450" s="42" t="n">
        <f aca="false">(1+VST_Assets!$AF$15)^-(AA$3+0.5-ValDate)</f>
        <v>0.152109741084336</v>
      </c>
      <c r="AB450" s="42" t="n">
        <f aca="false">(1+VST_Assets!$AF$15)^-(AB$3+0.5-ValDate)</f>
        <v>0.138913005556472</v>
      </c>
      <c r="AC450" s="42" t="n">
        <f aca="false">(1+VST_Assets!$AF$15)^-(AC$3+0.5-ValDate)</f>
        <v>0.126861192289015</v>
      </c>
      <c r="AD450" s="42" t="n">
        <f aca="false">(1+VST_Assets!$AF$15)^-(AD$3+0.5-ValDate)</f>
        <v>0.115854970126955</v>
      </c>
      <c r="AE450" s="42" t="n">
        <f aca="false">(1+VST_Assets!$AF$15)^-(AE$3+0.5-ValDate)</f>
        <v>0.105803625686716</v>
      </c>
      <c r="AF450" s="42" t="n">
        <f aca="false">(1+VST_Assets!$AF$15)^-(AF$3+0.5-ValDate)</f>
        <v>0.0966243156956315</v>
      </c>
      <c r="AG450" s="42" t="n">
        <f aca="false">(1+VST_Assets!$AF$15)^-(AG$3+0.5-ValDate)</f>
        <v>0.0882413841969238</v>
      </c>
      <c r="AH450" s="42" t="n">
        <f aca="false">(1+VST_Assets!$AF$15)^-(AH$3+0.5-ValDate)</f>
        <v>0.0805857389926244</v>
      </c>
      <c r="AI450" s="42" t="n">
        <f aca="false">(1+VST_Assets!$AF$15)^-(AI$3+0.5-ValDate)</f>
        <v>0.0735942821850451</v>
      </c>
      <c r="AJ450" s="42" t="n">
        <f aca="false">(1+VST_Assets!$AF$15)^-(AJ$3+0.5-ValDate)</f>
        <v>0.0672093901233289</v>
      </c>
      <c r="AK450" s="42" t="n">
        <f aca="false">(1+VST_Assets!$AF$15)^-(AK$3+0.5-ValDate)</f>
        <v>0.0613784384687935</v>
      </c>
      <c r="AL450" s="42" t="n">
        <f aca="false">(1+VST_Assets!$AF$15)^-(AL$3+0.5-ValDate)</f>
        <v>0.0560533684646516</v>
      </c>
      <c r="AM450" s="42" t="n">
        <f aca="false">(1+VST_Assets!$AF$15)^-(AM$3+0.5-ValDate)</f>
        <v>0.0511902908352983</v>
      </c>
      <c r="AN450" s="42" t="n">
        <f aca="false">(1+VST_Assets!$AF$15)^-(AN$3+0.5-ValDate)</f>
        <v>0.0467491240505007</v>
      </c>
      <c r="AO450" s="42" t="n">
        <f aca="false">(1+VST_Assets!$AF$15)^-(AO$3+0.5-ValDate)</f>
        <v>0.04269326397306</v>
      </c>
      <c r="AP450" s="42" t="n">
        <f aca="false">(1+VST_Assets!$AF$15)^-(AP$3+0.5-ValDate)</f>
        <v>0.0389892821671781</v>
      </c>
      <c r="AQ450" s="42" t="n">
        <f aca="false">(1+VST_Assets!$AF$15)^-(AQ$3+0.5-ValDate)</f>
        <v>0.0356066503809846</v>
      </c>
      <c r="AR450" s="42" t="n">
        <f aca="false">(1+VST_Assets!$AF$15)^-(AR$3+0.5-ValDate)</f>
        <v>0.032517488932406</v>
      </c>
      <c r="AS450" s="42" t="n">
        <f aca="false">(1+VST_Assets!$AF$15)^-(AS$3+0.5-ValDate)</f>
        <v>0.0296963369245717</v>
      </c>
    </row>
    <row r="451" customFormat="false" ht="15" hidden="false" customHeight="false" outlineLevel="0" collapsed="false">
      <c r="A451" s="6" t="s">
        <v>475</v>
      </c>
      <c r="B451" s="6" t="s">
        <v>476</v>
      </c>
      <c r="C451" s="43" t="n">
        <f aca="false">SUM(G451:AS451)</f>
        <v>1448.08480773872</v>
      </c>
      <c r="D451" s="8" t="n">
        <f aca="false">SUMIF($G$3:$AS$3,"&lt;="&amp;Horizon,G451:AS451)</f>
        <v>528.879418385692</v>
      </c>
      <c r="E451" s="8" t="n">
        <f aca="false">(C451-D451)*(1+VST_Assets!$AE$15)^(Horizon+1-ValDate)</f>
        <v>1351.83152006211</v>
      </c>
      <c r="G451" s="8" t="n">
        <f aca="false">G447*G449</f>
        <v>172.000667706419</v>
      </c>
      <c r="H451" s="8" t="n">
        <f aca="false">H447*H449</f>
        <v>158.004760053478</v>
      </c>
      <c r="I451" s="8" t="n">
        <f aca="false">I447*I449</f>
        <v>109.713111616185</v>
      </c>
      <c r="J451" s="8" t="n">
        <f aca="false">J447*J449</f>
        <v>89.1608790096089</v>
      </c>
      <c r="K451" s="8" t="n">
        <f aca="false">K447*K449</f>
        <v>83.0539694884028</v>
      </c>
      <c r="L451" s="8" t="n">
        <f aca="false">L447*L449</f>
        <v>77.365341441252</v>
      </c>
      <c r="M451" s="8" t="n">
        <f aca="false">M447*M449</f>
        <v>72.0663454521251</v>
      </c>
      <c r="N451" s="8" t="n">
        <f aca="false">N447*N449</f>
        <v>67.1302943937603</v>
      </c>
      <c r="O451" s="8" t="n">
        <f aca="false">O447*O449</f>
        <v>62.5323290243247</v>
      </c>
      <c r="P451" s="8" t="n">
        <f aca="false">P447*P449</f>
        <v>58.2492927897819</v>
      </c>
      <c r="Q451" s="8" t="n">
        <f aca="false">Q447*Q449</f>
        <v>54.2596152014407</v>
      </c>
      <c r="R451" s="8" t="n">
        <f aca="false">R447*R449</f>
        <v>50.543203201342</v>
      </c>
      <c r="S451" s="8" t="n">
        <f aca="false">S447*S449</f>
        <v>47.0813399683734</v>
      </c>
      <c r="T451" s="8" t="n">
        <f aca="false">T447*T449</f>
        <v>43.8565906554711</v>
      </c>
      <c r="U451" s="8" t="n">
        <f aca="false">U447*U449</f>
        <v>40.8527145831786</v>
      </c>
      <c r="V451" s="8" t="n">
        <f aca="false">V447*V449</f>
        <v>38.0545834473444</v>
      </c>
      <c r="W451" s="8" t="n">
        <f aca="false">W447*W449</f>
        <v>35.4481051290332</v>
      </c>
      <c r="X451" s="8" t="n">
        <f aca="false">X447*X449</f>
        <v>33.020152722935</v>
      </c>
      <c r="Y451" s="8" t="n">
        <f aca="false">Y447*Y449</f>
        <v>30.7584984268436</v>
      </c>
      <c r="Z451" s="8" t="n">
        <f aca="false">Z447*Z449</f>
        <v>28.6517519592516</v>
      </c>
      <c r="AA451" s="8" t="n">
        <f aca="false">AA447*AA449</f>
        <v>26.6893031949192</v>
      </c>
      <c r="AB451" s="8" t="n">
        <f aca="false">AB447*AB449</f>
        <v>24.8612687295138</v>
      </c>
      <c r="AC451" s="8" t="n">
        <f aca="false">AC447*AC449</f>
        <v>23.1584421042047</v>
      </c>
      <c r="AD451" s="8" t="n">
        <f aca="false">AD447*AD449</f>
        <v>21.5722474395331</v>
      </c>
      <c r="AE451" s="8" t="n">
        <f aca="false">AE447*AE449</f>
        <v>0</v>
      </c>
      <c r="AF451" s="8" t="n">
        <f aca="false">AF447*AF449</f>
        <v>0</v>
      </c>
      <c r="AG451" s="8" t="n">
        <f aca="false">AG447*AG449</f>
        <v>0</v>
      </c>
      <c r="AH451" s="8" t="n">
        <f aca="false">AH447*AH449</f>
        <v>0</v>
      </c>
      <c r="AI451" s="8" t="n">
        <f aca="false">AI447*AI449</f>
        <v>0</v>
      </c>
      <c r="AJ451" s="8" t="n">
        <f aca="false">AJ447*AJ449</f>
        <v>0</v>
      </c>
      <c r="AK451" s="8" t="n">
        <f aca="false">AK447*AK449</f>
        <v>0</v>
      </c>
      <c r="AL451" s="8" t="n">
        <f aca="false">AL447*AL449</f>
        <v>0</v>
      </c>
      <c r="AM451" s="8" t="n">
        <f aca="false">AM447*AM449</f>
        <v>0</v>
      </c>
      <c r="AN451" s="8" t="n">
        <f aca="false">AN447*AN449</f>
        <v>0</v>
      </c>
      <c r="AO451" s="8" t="n">
        <f aca="false">AO447*AO449</f>
        <v>0</v>
      </c>
      <c r="AP451" s="8" t="n">
        <f aca="false">AP447*AP449</f>
        <v>0</v>
      </c>
      <c r="AQ451" s="8" t="n">
        <f aca="false">AQ447*AQ449</f>
        <v>0</v>
      </c>
      <c r="AR451" s="8" t="n">
        <f aca="false">AR447*AR449</f>
        <v>0</v>
      </c>
      <c r="AS451" s="8" t="n">
        <f aca="false">AS447*AS449</f>
        <v>0</v>
      </c>
    </row>
    <row r="452" customFormat="false" ht="15" hidden="false" customHeight="false" outlineLevel="0" collapsed="false">
      <c r="A452" s="6" t="s">
        <v>477</v>
      </c>
      <c r="B452" s="6" t="s">
        <v>478</v>
      </c>
      <c r="C452" s="43" t="n">
        <f aca="false">SUM(G452:AS452)</f>
        <v>0</v>
      </c>
      <c r="D452" s="8" t="n">
        <f aca="false">SUMIF($G$3:$AS$3,"&lt;="&amp;Horizon,G452:AS452)</f>
        <v>0</v>
      </c>
      <c r="E452" s="8" t="n">
        <f aca="false">(C452-D452)*(1+VST_Assets!$AF$15)^(Horizon+1-ValDate)</f>
        <v>0</v>
      </c>
      <c r="G452" s="8" t="n">
        <f aca="false">G448*G450</f>
        <v>0</v>
      </c>
      <c r="H452" s="8" t="n">
        <f aca="false">H448*H450</f>
        <v>0</v>
      </c>
      <c r="I452" s="8" t="n">
        <f aca="false">I448*I450</f>
        <v>0</v>
      </c>
      <c r="J452" s="8" t="n">
        <f aca="false">J448*J450</f>
        <v>0</v>
      </c>
      <c r="K452" s="8" t="n">
        <f aca="false">K448*K450</f>
        <v>0</v>
      </c>
      <c r="L452" s="8" t="n">
        <f aca="false">L448*L450</f>
        <v>0</v>
      </c>
      <c r="M452" s="8" t="n">
        <f aca="false">M448*M450</f>
        <v>0</v>
      </c>
      <c r="N452" s="8" t="n">
        <f aca="false">N448*N450</f>
        <v>0</v>
      </c>
      <c r="O452" s="8" t="n">
        <f aca="false">O448*O450</f>
        <v>0</v>
      </c>
      <c r="P452" s="8" t="n">
        <f aca="false">P448*P450</f>
        <v>0</v>
      </c>
      <c r="Q452" s="8" t="n">
        <f aca="false">Q448*Q450</f>
        <v>0</v>
      </c>
      <c r="R452" s="8" t="n">
        <f aca="false">R448*R450</f>
        <v>0</v>
      </c>
      <c r="S452" s="8" t="n">
        <f aca="false">S448*S450</f>
        <v>0</v>
      </c>
      <c r="T452" s="8" t="n">
        <f aca="false">T448*T450</f>
        <v>0</v>
      </c>
      <c r="U452" s="8" t="n">
        <f aca="false">U448*U450</f>
        <v>0</v>
      </c>
      <c r="V452" s="8" t="n">
        <f aca="false">V448*V450</f>
        <v>0</v>
      </c>
      <c r="W452" s="8" t="n">
        <f aca="false">W448*W450</f>
        <v>0</v>
      </c>
      <c r="X452" s="8" t="n">
        <f aca="false">X448*X450</f>
        <v>0</v>
      </c>
      <c r="Y452" s="8" t="n">
        <f aca="false">Y448*Y450</f>
        <v>0</v>
      </c>
      <c r="Z452" s="8" t="n">
        <f aca="false">Z448*Z450</f>
        <v>0</v>
      </c>
      <c r="AA452" s="8" t="n">
        <f aca="false">AA448*AA450</f>
        <v>0</v>
      </c>
      <c r="AB452" s="8" t="n">
        <f aca="false">AB448*AB450</f>
        <v>0</v>
      </c>
      <c r="AC452" s="8" t="n">
        <f aca="false">AC448*AC450</f>
        <v>0</v>
      </c>
      <c r="AD452" s="8" t="n">
        <f aca="false">AD448*AD450</f>
        <v>0</v>
      </c>
      <c r="AE452" s="8" t="n">
        <f aca="false">AE448*AE450</f>
        <v>0</v>
      </c>
      <c r="AF452" s="8" t="n">
        <f aca="false">AF448*AF450</f>
        <v>0</v>
      </c>
      <c r="AG452" s="8" t="n">
        <f aca="false">AG448*AG450</f>
        <v>0</v>
      </c>
      <c r="AH452" s="8" t="n">
        <f aca="false">AH448*AH450</f>
        <v>0</v>
      </c>
      <c r="AI452" s="8" t="n">
        <f aca="false">AI448*AI450</f>
        <v>0</v>
      </c>
      <c r="AJ452" s="8" t="n">
        <f aca="false">AJ448*AJ450</f>
        <v>0</v>
      </c>
      <c r="AK452" s="8" t="n">
        <f aca="false">AK448*AK450</f>
        <v>0</v>
      </c>
      <c r="AL452" s="8" t="n">
        <f aca="false">AL448*AL450</f>
        <v>0</v>
      </c>
      <c r="AM452" s="8" t="n">
        <f aca="false">AM448*AM450</f>
        <v>0</v>
      </c>
      <c r="AN452" s="8" t="n">
        <f aca="false">AN448*AN450</f>
        <v>0</v>
      </c>
      <c r="AO452" s="8" t="n">
        <f aca="false">AO448*AO450</f>
        <v>0</v>
      </c>
      <c r="AP452" s="8" t="n">
        <f aca="false">AP448*AP450</f>
        <v>0</v>
      </c>
      <c r="AQ452" s="8" t="n">
        <f aca="false">AQ448*AQ450</f>
        <v>0</v>
      </c>
      <c r="AR452" s="8" t="n">
        <f aca="false">AR448*AR450</f>
        <v>0</v>
      </c>
      <c r="AS452" s="8" t="n">
        <f aca="false">AS448*AS450</f>
        <v>0</v>
      </c>
    </row>
    <row r="453" customFormat="false" ht="15" hidden="false" customHeight="false" outlineLevel="0" collapsed="false">
      <c r="A453" s="6" t="s">
        <v>479</v>
      </c>
      <c r="B453" s="6" t="s">
        <v>480</v>
      </c>
      <c r="C453" s="43" t="n">
        <f aca="false">IF(VST_Assets!$H$15="$/kW",VST_Assets!$D$15*VST_Assets!$AI$15*(1+0.4*(PJMWLR/PJMWLRBase-1))/1000,0)</f>
        <v>0</v>
      </c>
      <c r="E453" s="8" t="n">
        <f aca="false">C453</f>
        <v>0</v>
      </c>
      <c r="G453" s="8" t="n">
        <f aca="false">0</f>
        <v>0</v>
      </c>
      <c r="H453" s="8" t="n">
        <f aca="false">0</f>
        <v>0</v>
      </c>
      <c r="I453" s="8" t="n">
        <f aca="false">0</f>
        <v>0</v>
      </c>
      <c r="J453" s="8" t="n">
        <f aca="false">0</f>
        <v>0</v>
      </c>
      <c r="K453" s="8" t="n">
        <f aca="false">0</f>
        <v>0</v>
      </c>
      <c r="L453" s="8" t="n">
        <f aca="false">0</f>
        <v>0</v>
      </c>
      <c r="M453" s="8" t="n">
        <f aca="false">0</f>
        <v>0</v>
      </c>
      <c r="N453" s="8" t="n">
        <f aca="false">0</f>
        <v>0</v>
      </c>
      <c r="O453" s="8" t="n">
        <f aca="false">0</f>
        <v>0</v>
      </c>
      <c r="P453" s="8" t="n">
        <f aca="false">0</f>
        <v>0</v>
      </c>
      <c r="Q453" s="8" t="n">
        <f aca="false">0</f>
        <v>0</v>
      </c>
      <c r="R453" s="8" t="n">
        <f aca="false">0</f>
        <v>0</v>
      </c>
      <c r="S453" s="8" t="n">
        <f aca="false">0</f>
        <v>0</v>
      </c>
      <c r="T453" s="8" t="n">
        <f aca="false">0</f>
        <v>0</v>
      </c>
      <c r="U453" s="8" t="n">
        <f aca="false">0</f>
        <v>0</v>
      </c>
      <c r="V453" s="8" t="n">
        <f aca="false">0</f>
        <v>0</v>
      </c>
      <c r="W453" s="8" t="n">
        <f aca="false">0</f>
        <v>0</v>
      </c>
      <c r="X453" s="8" t="n">
        <f aca="false">0</f>
        <v>0</v>
      </c>
      <c r="Y453" s="8" t="n">
        <f aca="false">0</f>
        <v>0</v>
      </c>
      <c r="Z453" s="8" t="n">
        <f aca="false">0</f>
        <v>0</v>
      </c>
      <c r="AA453" s="8" t="n">
        <f aca="false">0</f>
        <v>0</v>
      </c>
      <c r="AB453" s="8" t="n">
        <f aca="false">0</f>
        <v>0</v>
      </c>
      <c r="AC453" s="8" t="n">
        <f aca="false">0</f>
        <v>0</v>
      </c>
      <c r="AD453" s="8" t="n">
        <f aca="false">0</f>
        <v>0</v>
      </c>
      <c r="AE453" s="8" t="n">
        <f aca="false">0</f>
        <v>0</v>
      </c>
      <c r="AF453" s="8" t="n">
        <f aca="false">0</f>
        <v>0</v>
      </c>
      <c r="AG453" s="8" t="n">
        <f aca="false">0</f>
        <v>0</v>
      </c>
      <c r="AH453" s="8" t="n">
        <f aca="false">0</f>
        <v>0</v>
      </c>
      <c r="AI453" s="8" t="n">
        <f aca="false">0</f>
        <v>0</v>
      </c>
      <c r="AJ453" s="8" t="n">
        <f aca="false">0</f>
        <v>0</v>
      </c>
      <c r="AK453" s="8" t="n">
        <f aca="false">0</f>
        <v>0</v>
      </c>
      <c r="AL453" s="8" t="n">
        <f aca="false">0</f>
        <v>0</v>
      </c>
      <c r="AM453" s="8" t="n">
        <f aca="false">0</f>
        <v>0</v>
      </c>
      <c r="AN453" s="8" t="n">
        <f aca="false">0</f>
        <v>0</v>
      </c>
      <c r="AO453" s="8" t="n">
        <f aca="false">0</f>
        <v>0</v>
      </c>
      <c r="AP453" s="8" t="n">
        <f aca="false">0</f>
        <v>0</v>
      </c>
      <c r="AQ453" s="8" t="n">
        <f aca="false">0</f>
        <v>0</v>
      </c>
      <c r="AR453" s="8" t="n">
        <f aca="false">0</f>
        <v>0</v>
      </c>
      <c r="AS453" s="8" t="n">
        <f aca="false">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2026-09-29T09:36:51Z</dcterms:created>
  <dc:creator>openpyxl</dc:creator>
  <dc:description/>
  <dc:language>en-US</dc:language>
  <cp:lastModifiedBy/>
  <dcterms:modified xsi:type="dcterms:W3CDTF">2026-09-29T09:37:43Z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
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ensitivity" sheetId="3" state="visible" r:id="rId3"/>
    <sheet name="Deals" sheetId="4" state="visible" r:id="rId4"/>
    <sheet name="Inputs" sheetId="5" state="visible" r:id="rId5"/>
    <sheet name="Bear" sheetId="6" state="visible" r:id="rId6"/>
    <sheet name="Base" sheetId="7" state="visible" r:id="rId7"/>
    <sheet name="Bull" sheetId="8" state="visible" r:id="rId8"/>
    <sheet name="Taiwan" sheetId="9" state="visible" r:id="rId9"/>
    <sheet name="TaiwanMax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-"/>
    <numFmt numFmtId="165" formatCode="$#,##0.00;($#,##0.00);-"/>
    <numFmt numFmtId="166" formatCode="$#,##0.0;($#,##0.0);-"/>
    <numFmt numFmtId="167" formatCode="#,##0.000"/>
    <numFmt numFmtId="168" formatCode="0.0x"/>
    <numFmt numFmtId="169" formatCode="0.000"/>
    <numFmt numFmtId="170" formatCode="$#,##0.00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8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9" fontId="2" fillId="0" borderId="0" pivotButton="0" quotePrefix="0" xfId="0"/>
    <xf numFmtId="165" fontId="2" fillId="4" borderId="0" pivotButton="0" quotePrefix="0" xfId="0"/>
    <xf numFmtId="1" fontId="4" fillId="3" borderId="0" pivotButton="0" quotePrefix="0" xfId="0"/>
    <xf numFmtId="0" fontId="3" fillId="2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2" fontId="4" fillId="3" borderId="0" pivotButton="0" quotePrefix="0" xfId="0"/>
    <xf numFmtId="168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2" fontId="2" fillId="0" borderId="0" pivotButton="0" quotePrefix="0" xfId="0"/>
    <xf numFmtId="0" fontId="1" fillId="0" borderId="1" pivotButton="0" quotePrefix="0" xfId="0"/>
    <xf numFmtId="166" fontId="1" fillId="0" borderId="1" pivotButton="0" quotePrefix="0" xfId="0"/>
    <xf numFmtId="0" fontId="0" fillId="0" borderId="1" pivotButton="0" quotePrefix="0" xfId="0"/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70" fontId="4" fillId="0" borderId="0" pivotButton="0" quotePrefix="0" xfId="0"/>
    <xf numFmtId="170" fontId="5" fillId="0" borderId="0" pivotButton="0" quotePrefix="0" xfId="0"/>
    <xf numFmtId="170" fontId="2" fillId="0" borderId="0" pivotButton="0" quotePrefix="0" xfId="0"/>
    <xf numFmtId="0" fontId="6" fillId="0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5" fontId="2" fillId="4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Intel (INTC) Valuation Model: scenario DCF built from the Sep 2026 product analysis</t>
        </is>
      </c>
    </row>
    <row r="2">
      <c r="A2" s="2" t="inlineStr">
        <is>
          <t>Companion to research/intel-competitive-analysis-2026-09.md. Values in US$ billions unless stated; per-share values in US$.</t>
        </is>
      </c>
    </row>
    <row r="3">
      <c r="A3" s="2" t="inlineStr"/>
    </row>
    <row r="4">
      <c r="A4" s="1" t="inlineStr">
        <is>
          <t>HOW TO USE</t>
        </is>
      </c>
    </row>
    <row r="5">
      <c r="A5" s="2" t="inlineStr">
        <is>
          <t>1. Edit blue cells only (inputs). Yellow-filled cells are key judgment calls or placeholders you should verify.</t>
        </is>
      </c>
    </row>
    <row r="6">
      <c r="A6" s="2" t="inlineStr">
        <is>
          <t>2. Black cells are formulas; green cells link to another sheet. Every sheet recalculates when inputs change.</t>
        </is>
      </c>
    </row>
    <row r="7">
      <c r="A7" s="2" t="inlineStr">
        <is>
          <t>3. Scenario drivers live on 'Inputs' (one row per scenario per driver). Bear/Base/Bull sheets are identical in structure.</t>
        </is>
      </c>
    </row>
    <row r="8">
      <c r="A8" s="2" t="inlineStr">
        <is>
          <t>4. 'Summary' shows each scenario, the probability-weighted value, and a reverse DCF (what today's price requires).</t>
        </is>
      </c>
    </row>
    <row r="9">
      <c r="A9" s="2" t="inlineStr">
        <is>
          <t>5. 'Sensitivity' has live WACC x terminal-growth grids, plus a tornado table computed by flexing single inputs.</t>
        </is>
      </c>
    </row>
    <row r="10">
      <c r="A10" s="2" t="inlineStr"/>
    </row>
    <row r="11">
      <c r="A11" s="1" t="inlineStr">
        <is>
          <t>METHOD</t>
        </is>
      </c>
    </row>
    <row r="12">
      <c r="A12" s="2" t="inlineStr">
        <is>
          <t>- Base year 2026E = Q1 + Q2 actuals + Q3 guidance midpoint + Q4 assumption, split by segment using the Q2 2026 mix.</t>
        </is>
      </c>
    </row>
    <row r="13">
      <c r="A13" s="2" t="inlineStr">
        <is>
          <t>- 2027-2033 explicit forecast by segment: DCAI (server), CCPG (client), external foundry + packaging, other.</t>
        </is>
      </c>
    </row>
    <row r="14">
      <c r="A14" s="2" t="inlineStr">
        <is>
          <t>- China layer: the China DOMESTIC share of DCAI+CCPG revenue (China-billed share x domestic fraction) erodes at a scenario-specific annual rate</t>
        </is>
      </c>
    </row>
    <row r="15">
      <c r="A15" s="2" t="inlineStr">
        <is>
          <t xml:space="preserve">  (xinchuang substitution, Hygon/Loongson/Kunpeng, retaliatory tariffs on US-fabbed chips); the loss is subtracted from revenue at full gross margin.</t>
        </is>
      </c>
    </row>
    <row r="16">
      <c r="A16" s="2" t="inlineStr">
        <is>
          <t>- China TAILWINDS (switchable on Inputs): (1) China AI-server demand boost to China domestic revenue; (2) US onshoring / Section 232</t>
        </is>
      </c>
    </row>
    <row r="17">
      <c r="A17" s="2" t="inlineStr">
        <is>
          <t xml:space="preserve">  tariff-driven extra foundry revenue; (3) capex offset from the 48D 35% fab credit and partner funding (default 10% of gross capex).</t>
        </is>
      </c>
    </row>
    <row r="18">
      <c r="A18" s="2" t="inlineStr">
        <is>
          <t>- Not modeled as a line item: a Taiwan disruption. It would hit Intel too (TSMC makes Lunar/Arrow Lake tiles, part of Panther/Nova Lake).</t>
        </is>
      </c>
    </row>
    <row r="19">
      <c r="A19" s="2" t="inlineStr">
        <is>
          <t xml:space="preserve">  Geopolitical second-source demand for US fabs is already inside the external-foundry drivers (Base/Bull), so it isn't added twice.</t>
        </is>
      </c>
    </row>
    <row r="20">
      <c r="A20" s="2" t="inlineStr">
        <is>
          <t>- TAIWAN scenario (4th): Taiwan fabs cut off from Western customers from 2027 (invasion, blockade, or reunification followed by US export controls</t>
        </is>
      </c>
    </row>
    <row r="21">
      <c r="A21" s="2" t="inlineStr">
        <is>
          <t xml:space="preserve">  treating Taiwan as China). Intel becomes the main non-Asian leading-edge source; AMD/Qualcomm/Apple/NVIDIA lose TSMC supply. Modeled: server/client</t>
        </is>
      </c>
    </row>
    <row r="22">
      <c r="A22" s="2" t="inlineStr">
        <is>
          <t xml:space="preserve">  share capture after a 2027 disruption year, external foundry revenue up to $70bn (capacity-limited), GM to 62%, China revenue to zero, capex ~$40-50bn.</t>
        </is>
      </c>
    </row>
    <row r="23">
      <c r="A23" s="2" t="inlineStr">
        <is>
          <t xml:space="preserve">  Not modeled: global recession depth, US price controls/Defense Production Act allocation, higher cost of capital, loss of Intel's own TSMC-made tiles</t>
        </is>
      </c>
    </row>
    <row r="24">
      <c r="A24" s="2" t="inlineStr">
        <is>
          <t xml:space="preserve">  beyond 2027, damage to Asian packaging/test sites (Malaysia) and suppliers. The Summary sheet solves for the probability that justifies the price.</t>
        </is>
      </c>
    </row>
    <row r="25">
      <c r="A25" s="2" t="inlineStr">
        <is>
          <t>- TAIWANMAX scenario (5th): Taiwan fabs destroyed or seized, the US transfers TSMC Arizona to Intel, and TSMC engineers join Intel. On top of Taiwan:</t>
        </is>
      </c>
    </row>
    <row r="26">
      <c r="A26" s="2" t="inlineStr">
        <is>
          <t xml:space="preserve">  Arizona wafer revenue ramps with its fabs ($8bn 2027 -&gt; $60bn 2033 at crisis pricing; Fab 1 N4 10-30k wafers/mo today, N3 H2-27, N2/A16 next),</t>
        </is>
      </c>
    </row>
    <row r="27">
      <c r="A27" s="2" t="inlineStr">
        <is>
          <t xml:space="preserve">  talent lifts gross margin to 65%, a smaller 2027 client hit (TSMC-made tiles move to Arizona), capex $55-75bn/yr to finish the Arizona fabs.</t>
        </is>
      </c>
    </row>
    <row r="28">
      <c r="A28" s="2" t="inlineStr">
        <is>
          <t xml:space="preserve">  Payment for the assets is an input (default $0 = government transfer). Caveat: until 2028-29 ALL Arizona chips are packaged in Taiwan, so 2027 output is packaging-bound.</t>
        </is>
      </c>
    </row>
    <row r="29">
      <c r="A29" s="2" t="inlineStr">
        <is>
          <t>- Margins on a non-GAAP basis, then stock-based comp deducted as a real cost. Unlevered FCF = NOPAT + D&amp;A - capex - change in NWC.</t>
        </is>
      </c>
    </row>
    <row r="30">
      <c r="A30" s="2" t="inlineStr">
        <is>
          <t>- Discounted from 30 Sep 2026; Gordon-growth terminal value on normalized 2034 FCF (terminal capex = D&amp;A x ratio).</t>
        </is>
      </c>
    </row>
    <row r="31">
      <c r="A31" s="2" t="inlineStr"/>
    </row>
    <row r="32">
      <c r="A32" s="1" t="inlineStr">
        <is>
          <t>HOW SCENARIOS MAP TO THE PRODUCT FINDINGS</t>
        </is>
      </c>
    </row>
    <row r="33">
      <c r="A33" s="2" t="inlineStr">
        <is>
          <t>Bear: AMD Venice + Arm keep taking server share and the shortage-driven ASP spike reverses; client share erosion continues; no 14A anchor</t>
        </is>
      </c>
    </row>
    <row r="34">
      <c r="A34" s="2" t="inlineStr">
        <is>
          <t xml:space="preserve">      customer, external foundry stays mostly Altera + small packaging deals; 18A cost parity slips; gross margin stays near 2026 levels.</t>
        </is>
      </c>
    </row>
    <row r="35">
      <c r="A35" s="2" t="inlineStr">
        <is>
          <t>Base: Diamond Rapids lands mid-2027 roughly competitive; server share stabilizes; Panther/Nova Lake hold client roughly flat; EMIB-T packaging</t>
        </is>
      </c>
    </row>
    <row r="36">
      <c r="A36" s="2" t="inlineStr">
        <is>
          <t xml:space="preserve">      and an Apple 18A-P ramp build external revenue to ~$15bn by 2033; 18A reaches industry-standard yield in 2027; GM recovers to ~50%.</t>
        </is>
      </c>
    </row>
    <row r="37">
      <c r="A37" s="2" t="inlineStr">
        <is>
          <t>Bull: Intel wins a 14A anchor customer, packaging becomes a multi-billion business, Diamond Rapids wins sockets, AI-driven CPU demand stays</t>
        </is>
      </c>
    </row>
    <row r="38">
      <c r="A38" s="2" t="inlineStr">
        <is>
          <t xml:space="preserve">      strong; GM rises to ~57% (still below TSMC's 67.7% and Intel's own 2010s levels ~60%).</t>
        </is>
      </c>
    </row>
    <row r="39">
      <c r="A39" s="2" t="inlineStr"/>
    </row>
    <row r="40">
      <c r="A40" s="1" t="inlineStr">
        <is>
          <t>IMPORTANT CAVEATS</t>
        </is>
      </c>
    </row>
    <row r="41">
      <c r="A41" s="2" t="inlineStr">
        <is>
          <t>- Scenario drivers are MY judgment calls derived from the product evidence, not forecasts I believe will happen. They are labeled hypotheticals.</t>
        </is>
      </c>
    </row>
    <row r="42">
      <c r="A42" s="2" t="inlineStr">
        <is>
          <t>- Some inputs are placeholders I could not source in this environment (D&amp;A, SBC, non-controlling interests, Q1-26 external foundry revenue).</t>
        </is>
      </c>
    </row>
    <row r="43">
      <c r="A43" s="2" t="inlineStr">
        <is>
          <t xml:space="preserve">  They are filled yellow. Replace them from the Q2 2026 10-Q before relying on the output.</t>
        </is>
      </c>
    </row>
    <row r="44">
      <c r="A44" s="2" t="inlineStr">
        <is>
          <t>- Share count is derived (Q2 non-GAAP net income / non-GAAP EPS + August 2026 offering shares); verify against the 10-Q cover page.</t>
        </is>
      </c>
    </row>
    <row r="45">
      <c r="A45" s="2" t="inlineStr">
        <is>
          <t>- Scenario assumptions were fixed BEFORE computing values and were not tuned toward the market price.</t>
        </is>
      </c>
    </row>
    <row r="46">
      <c r="A46" s="2" t="inlineStr">
        <is>
          <t>-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70" customWidth="1" min="8" max="8"/>
  </cols>
  <sheetData>
    <row r="1">
      <c r="A1" s="1" t="inlineStr">
        <is>
          <t>Summary: scenario values vs market price (US$ bn unless stated)</t>
        </is>
      </c>
    </row>
    <row r="3">
      <c r="A3" s="3" t="inlineStr">
        <is>
          <t>Metric</t>
        </is>
      </c>
      <c r="B3" s="3" t="inlineStr">
        <is>
          <t>Bear</t>
        </is>
      </c>
      <c r="C3" s="3" t="inlineStr">
        <is>
          <t>Base</t>
        </is>
      </c>
      <c r="D3" s="3" t="inlineStr">
        <is>
          <t>Bull</t>
        </is>
      </c>
      <c r="E3" s="3" t="inlineStr">
        <is>
          <t>Taiwan</t>
        </is>
      </c>
      <c r="F3" s="3" t="inlineStr">
        <is>
          <t>TaiwanMax</t>
        </is>
      </c>
      <c r="G3" s="3" t="inlineStr">
        <is>
          <t>Prob-weighted</t>
        </is>
      </c>
    </row>
    <row r="4">
      <c r="A4" s="2" t="inlineStr">
        <is>
          <t>Scenario weight</t>
        </is>
      </c>
      <c r="B4" s="35">
        <f>Inputs!$B$82</f>
        <v/>
      </c>
      <c r="C4" s="35">
        <f>Inputs!$B$83</f>
        <v/>
      </c>
      <c r="D4" s="35">
        <f>Inputs!$B$84</f>
        <v/>
      </c>
      <c r="E4" s="35">
        <f>Inputs!$B$85</f>
        <v/>
      </c>
      <c r="F4" s="35">
        <f>Inputs!$B$86</f>
        <v/>
      </c>
      <c r="H4" s="2" t="inlineStr">
        <is>
          <t>Weights are my judgment (Inputs sheet); they must sum to 100%</t>
        </is>
      </c>
    </row>
    <row r="5">
      <c r="A5" s="1" t="inlineStr">
        <is>
          <t>Value per share ($)</t>
        </is>
      </c>
      <c r="B5" s="36">
        <f>Bear!B45</f>
        <v/>
      </c>
      <c r="C5" s="36">
        <f>Base!B45</f>
        <v/>
      </c>
      <c r="D5" s="36">
        <f>Bull!B45</f>
        <v/>
      </c>
      <c r="E5" s="36">
        <f>Taiwan!B45</f>
        <v/>
      </c>
      <c r="F5" s="36">
        <f>TaiwanMax!B45</f>
        <v/>
      </c>
      <c r="G5" s="37">
        <f>SUMPRODUCT(B4:F4,B5:F5)</f>
        <v/>
      </c>
      <c r="H5" s="2" t="inlineStr">
        <is>
          <t>Check weights sum:</t>
        </is>
      </c>
    </row>
    <row r="6">
      <c r="A6" s="2" t="inlineStr">
        <is>
          <t>Upside / (downside) vs current price</t>
        </is>
      </c>
      <c r="B6" s="35">
        <f>Bear!B47</f>
        <v/>
      </c>
      <c r="C6" s="35">
        <f>Base!B47</f>
        <v/>
      </c>
      <c r="D6" s="35">
        <f>Bull!B47</f>
        <v/>
      </c>
      <c r="E6" s="35">
        <f>Taiwan!B47</f>
        <v/>
      </c>
      <c r="F6" s="35">
        <f>TaiwanMax!B47</f>
        <v/>
      </c>
      <c r="G6" s="38">
        <f>IF(Inputs!$B$4=0,0,G5/Inputs!$B$4-1)</f>
        <v/>
      </c>
      <c r="H6" s="2">
        <f>IF(ABS(Inputs!$B$87-1)&lt;0.0001,"OK","WEIGHTS DO NOT SUM TO 100%")</f>
        <v/>
      </c>
    </row>
    <row r="7">
      <c r="A7" s="2" t="inlineStr">
        <is>
          <t>Enterprise value</t>
        </is>
      </c>
      <c r="B7" s="39">
        <f>Bear!B38</f>
        <v/>
      </c>
      <c r="C7" s="39">
        <f>Base!B38</f>
        <v/>
      </c>
      <c r="D7" s="39">
        <f>Bull!B38</f>
        <v/>
      </c>
      <c r="E7" s="39">
        <f>Taiwan!B38</f>
        <v/>
      </c>
      <c r="F7" s="39">
        <f>TaiwanMax!B38</f>
        <v/>
      </c>
    </row>
    <row r="8">
      <c r="A8" s="2" t="inlineStr">
        <is>
          <t>Terminal value % of EV</t>
        </is>
      </c>
      <c r="B8" s="35">
        <f>Bear!B48</f>
        <v/>
      </c>
      <c r="C8" s="35">
        <f>Base!B48</f>
        <v/>
      </c>
      <c r="D8" s="35">
        <f>Bull!B48</f>
        <v/>
      </c>
      <c r="E8" s="35">
        <f>Taiwan!B48</f>
        <v/>
      </c>
      <c r="F8" s="35">
        <f>TaiwanMax!B48</f>
        <v/>
      </c>
    </row>
    <row r="9">
      <c r="A9" s="2" t="inlineStr">
        <is>
          <t>2030 revenue</t>
        </is>
      </c>
      <c r="B9" s="39">
        <f>Bear!F15</f>
        <v/>
      </c>
      <c r="C9" s="39">
        <f>Base!F15</f>
        <v/>
      </c>
      <c r="D9" s="39">
        <f>Bull!F15</f>
        <v/>
      </c>
      <c r="E9" s="39">
        <f>Taiwan!F15</f>
        <v/>
      </c>
      <c r="F9" s="39">
        <f>TaiwanMax!F15</f>
        <v/>
      </c>
    </row>
    <row r="10">
      <c r="A10" s="2" t="inlineStr">
        <is>
          <t>2033 revenue</t>
        </is>
      </c>
      <c r="B10" s="39">
        <f>Bear!I15</f>
        <v/>
      </c>
      <c r="C10" s="39">
        <f>Base!I15</f>
        <v/>
      </c>
      <c r="D10" s="39">
        <f>Bull!I15</f>
        <v/>
      </c>
      <c r="E10" s="39">
        <f>Taiwan!I15</f>
        <v/>
      </c>
      <c r="F10" s="39">
        <f>TaiwanMax!I15</f>
        <v/>
      </c>
    </row>
    <row r="11">
      <c r="A11" s="2" t="inlineStr">
        <is>
          <t>2030 non-GAAP gross margin</t>
        </is>
      </c>
      <c r="B11" s="35">
        <f>Bear!F17</f>
        <v/>
      </c>
      <c r="C11" s="35">
        <f>Base!F17</f>
        <v/>
      </c>
      <c r="D11" s="35">
        <f>Bull!F17</f>
        <v/>
      </c>
      <c r="E11" s="35">
        <f>Taiwan!F17</f>
        <v/>
      </c>
      <c r="F11" s="35">
        <f>TaiwanMax!F17</f>
        <v/>
      </c>
    </row>
    <row r="12">
      <c r="A12" s="2" t="inlineStr">
        <is>
          <t>2030 non-GAAP operating margin</t>
        </is>
      </c>
      <c r="B12" s="35">
        <f>Bear!F21</f>
        <v/>
      </c>
      <c r="C12" s="35">
        <f>Base!F21</f>
        <v/>
      </c>
      <c r="D12" s="35">
        <f>Bull!F21</f>
        <v/>
      </c>
      <c r="E12" s="35">
        <f>Taiwan!F21</f>
        <v/>
      </c>
      <c r="F12" s="35">
        <f>TaiwanMax!F21</f>
        <v/>
      </c>
    </row>
    <row r="13">
      <c r="A13" s="2" t="inlineStr">
        <is>
          <t>2033 external foundry + packaging revenue</t>
        </is>
      </c>
      <c r="B13" s="39">
        <f>Bear!I9</f>
        <v/>
      </c>
      <c r="C13" s="39">
        <f>Base!I9</f>
        <v/>
      </c>
      <c r="D13" s="39">
        <f>Bull!I9</f>
        <v/>
      </c>
      <c r="E13" s="39">
        <f>Taiwan!I9</f>
        <v/>
      </c>
      <c r="F13" s="39">
        <f>TaiwanMax!I9</f>
        <v/>
      </c>
    </row>
    <row r="14">
      <c r="A14" s="2" t="inlineStr">
        <is>
          <t>2033 China domestic revenue change vs 2026 (net of tailwind)</t>
        </is>
      </c>
      <c r="B14" s="39">
        <f>Bear!I14</f>
        <v/>
      </c>
      <c r="C14" s="39">
        <f>Base!I14</f>
        <v/>
      </c>
      <c r="D14" s="39">
        <f>Bull!I14</f>
        <v/>
      </c>
      <c r="E14" s="39">
        <f>Taiwan!I14</f>
        <v/>
      </c>
      <c r="F14" s="39">
        <f>TaiwanMax!I14</f>
        <v/>
      </c>
    </row>
    <row r="15">
      <c r="A15" s="2" t="inlineStr">
        <is>
          <t>2033 US onshoring / tariff-driven foundry revenue</t>
        </is>
      </c>
      <c r="B15" s="39">
        <f>Bear!I10</f>
        <v/>
      </c>
      <c r="C15" s="39">
        <f>Base!I10</f>
        <v/>
      </c>
      <c r="D15" s="39">
        <f>Bull!I10</f>
        <v/>
      </c>
      <c r="E15" s="39">
        <f>Taiwan!I10</f>
        <v/>
      </c>
      <c r="F15" s="39">
        <f>TaiwanMax!I10</f>
        <v/>
      </c>
    </row>
    <row r="16">
      <c r="A16" s="2" t="inlineStr">
        <is>
          <t>2030 unlevered FCF</t>
        </is>
      </c>
      <c r="B16" s="39">
        <f>Bear!F29</f>
        <v/>
      </c>
      <c r="C16" s="39">
        <f>Base!F29</f>
        <v/>
      </c>
      <c r="D16" s="39">
        <f>Bull!F29</f>
        <v/>
      </c>
      <c r="E16" s="39">
        <f>Taiwan!F29</f>
        <v/>
      </c>
      <c r="F16" s="39">
        <f>TaiwanMax!F29</f>
        <v/>
      </c>
    </row>
    <row r="17">
      <c r="A17" s="2" t="inlineStr">
        <is>
          <t>Cumulative FCF 2027-2033</t>
        </is>
      </c>
      <c r="B17" s="39">
        <f>SUM(Bear!C29:I29)</f>
        <v/>
      </c>
      <c r="C17" s="39">
        <f>SUM(Base!C29:I29)</f>
        <v/>
      </c>
      <c r="D17" s="39">
        <f>SUM(Bull!C29:I29)</f>
        <v/>
      </c>
      <c r="E17" s="39">
        <f>SUM(Taiwan!C29:I29)</f>
        <v/>
      </c>
      <c r="F17" s="39">
        <f>SUM(TaiwanMax!C29:I29)</f>
        <v/>
      </c>
    </row>
    <row r="19">
      <c r="A19" s="1" t="inlineStr">
        <is>
          <t>MARKET SNAPSHOT</t>
        </is>
      </c>
    </row>
    <row r="20">
      <c r="A20" s="2" t="inlineStr">
        <is>
          <t>Share price ($)</t>
        </is>
      </c>
      <c r="B20" s="36">
        <f>Inputs!$B$4</f>
        <v/>
      </c>
    </row>
    <row r="21">
      <c r="A21" s="2" t="inlineStr">
        <is>
          <t>Diluted shares (bn)</t>
        </is>
      </c>
      <c r="B21" s="40">
        <f>Inputs!$B$9</f>
        <v/>
      </c>
    </row>
    <row r="22">
      <c r="A22" s="2" t="inlineStr">
        <is>
          <t>Market cap</t>
        </is>
      </c>
      <c r="B22" s="39">
        <f>Inputs!$B$17</f>
        <v/>
      </c>
    </row>
    <row r="23">
      <c r="A23" s="2" t="inlineStr">
        <is>
          <t>Enterprise value at market</t>
        </is>
      </c>
      <c r="B23" s="39">
        <f>Inputs!$B$18</f>
        <v/>
      </c>
    </row>
    <row r="24">
      <c r="A24" s="2" t="inlineStr">
        <is>
          <t>WACC</t>
        </is>
      </c>
      <c r="B24" s="35">
        <f>Inputs!$B$62</f>
        <v/>
      </c>
    </row>
    <row r="25">
      <c r="A25" s="2" t="inlineStr">
        <is>
          <t>Terminal growth</t>
        </is>
      </c>
      <c r="B25" s="35">
        <f>Inputs!$B$63</f>
        <v/>
      </c>
    </row>
    <row r="27">
      <c r="A27" s="1" t="inlineStr">
        <is>
          <t>REVERSE DCF: WHAT DOES TODAY'S PRICE REQUIRE? (holding Base explicit-period cash flows)</t>
        </is>
      </c>
    </row>
    <row r="28">
      <c r="A28" s="2" t="inlineStr">
        <is>
          <t>EV at market</t>
        </is>
      </c>
      <c r="B28" s="41">
        <f>Inputs!$B$18</f>
        <v/>
      </c>
    </row>
    <row r="29">
      <c r="A29" s="2" t="inlineStr">
        <is>
          <t>PV of Base explicit FCF 2027-2033</t>
        </is>
      </c>
      <c r="B29" s="39">
        <f>Base!B35</f>
        <v/>
      </c>
    </row>
    <row r="30">
      <c r="A30" s="2" t="inlineStr">
        <is>
          <t>PV of terminal value required</t>
        </is>
      </c>
      <c r="B30" s="41">
        <f>B28-B29</f>
        <v/>
      </c>
    </row>
    <row r="31">
      <c r="A31" s="2" t="inlineStr">
        <is>
          <t>Required normalized 2034 FCF</t>
        </is>
      </c>
      <c r="B31" s="41">
        <f>B30/Base!I31*(Inputs!$B$62-Inputs!$B$63)</f>
        <v/>
      </c>
      <c r="H31" s="2" t="inlineStr">
        <is>
          <t>FCF in 2034 that the Base explicit years plus the market price imply</t>
        </is>
      </c>
    </row>
    <row r="32">
      <c r="A32" s="2" t="inlineStr">
        <is>
          <t>Base-case normalized 2034 FCF</t>
        </is>
      </c>
      <c r="B32" s="39">
        <f>Base!J29</f>
        <v/>
      </c>
    </row>
    <row r="33">
      <c r="A33" s="2" t="inlineStr">
        <is>
          <t>Required / Base terminal FCF</t>
        </is>
      </c>
      <c r="B33" s="11">
        <f>IF(B32=0,0,B31/B32)</f>
        <v/>
      </c>
    </row>
    <row r="34">
      <c r="A34" s="2" t="inlineStr">
        <is>
          <t>Base 2034 revenue</t>
        </is>
      </c>
      <c r="B34" s="39">
        <f>Base!J15</f>
        <v/>
      </c>
    </row>
    <row r="35">
      <c r="A35" s="2" t="inlineStr">
        <is>
          <t>Required 2034 FCF margin on Base revenue</t>
        </is>
      </c>
      <c r="B35" s="42">
        <f>IF(B34=0,0,B31/B34)</f>
        <v/>
      </c>
    </row>
    <row r="36">
      <c r="A36" s="2" t="inlineStr">
        <is>
          <t>Base 2034 FCF margin</t>
        </is>
      </c>
      <c r="B36" s="35">
        <f>Base!J30</f>
        <v/>
      </c>
    </row>
    <row r="37">
      <c r="A37" s="2" t="inlineStr">
        <is>
          <t>Reference: TSMC Q2-26 operating margin (not FCF margin)</t>
        </is>
      </c>
      <c r="B37" s="43" t="n">
        <v>0.603</v>
      </c>
      <c r="H37" s="2" t="inlineStr">
        <is>
          <t>Source: TSMC Q2 2026 results (60.3% op margin). Context only</t>
        </is>
      </c>
    </row>
    <row r="38">
      <c r="A38" s="2" t="inlineStr">
        <is>
          <t>Market-implied perpetual FCF from today (EV x (WACC - g))</t>
        </is>
      </c>
      <c r="B38" s="41">
        <f>Inputs!$B$18*(Inputs!$B$62-Inputs!$B$63)</f>
        <v/>
      </c>
    </row>
    <row r="39">
      <c r="A39" s="2" t="inlineStr">
        <is>
          <t>Base 2027 FCF, for comparison</t>
        </is>
      </c>
      <c r="B39" s="39">
        <f>Base!C29</f>
        <v/>
      </c>
    </row>
    <row r="40">
      <c r="A40" s="2" t="inlineStr">
        <is>
          <t>Required 2034 revenue if FCF margin = 20%</t>
        </is>
      </c>
      <c r="B40" s="41">
        <f>B31/0.20</f>
        <v/>
      </c>
    </row>
    <row r="41">
      <c r="A41" s="2" t="inlineStr">
        <is>
          <t>Required 2034 revenue if FCF margin = 25%</t>
        </is>
      </c>
      <c r="B41" s="41">
        <f>B31/0.25</f>
        <v/>
      </c>
    </row>
    <row r="42">
      <c r="A42" s="2" t="inlineStr">
        <is>
          <t>Required 2034 revenue if FCF margin = 30%</t>
        </is>
      </c>
      <c r="B42" s="41">
        <f>B31/0.30</f>
        <v/>
      </c>
    </row>
    <row r="43">
      <c r="A43" s="2" t="inlineStr">
        <is>
          <t>Bull-case 2034 revenue, for comparison</t>
        </is>
      </c>
      <c r="B43" s="41">
        <f>Bull!J15</f>
        <v/>
      </c>
    </row>
    <row r="44">
      <c r="A44" s="2" t="inlineStr">
        <is>
          <t>Bull-case 2034 FCF margin, for comparison</t>
        </is>
      </c>
      <c r="B44" s="42">
        <f>Bull!J30</f>
        <v/>
      </c>
    </row>
    <row r="46">
      <c r="A46" s="1" t="inlineStr">
        <is>
          <t>TAIWAN TEST: WHAT PROBABILITY OF THE TAIWAN SCENARIO WOULD JUSTIFY TODAY'S PRICE?</t>
        </is>
      </c>
    </row>
    <row r="47">
      <c r="A47" s="2" t="inlineStr">
        <is>
          <t>Taiwan-scenario value per share ($)</t>
        </is>
      </c>
      <c r="B47" s="44">
        <f>E5</f>
        <v/>
      </c>
    </row>
    <row r="48">
      <c r="A48" s="2" t="inlineStr">
        <is>
          <t>Non-Taiwan value per share, re-weighted (Bear/Base/Bull weights normalized)</t>
        </is>
      </c>
      <c r="B48" s="44">
        <f>IF((Inputs!$B$82+Inputs!$B$83+Inputs!$B$84)=0,0,(B5*Inputs!$B$82+C5*Inputs!$B$83+D5*Inputs!$B$84)/(Inputs!$B$82+Inputs!$B$83+Inputs!$B$84))</f>
        <v/>
      </c>
    </row>
    <row r="49">
      <c r="A49" s="2" t="inlineStr">
        <is>
          <t>Current share price ($)</t>
        </is>
      </c>
      <c r="B49" s="44">
        <f>Inputs!$B$4</f>
        <v/>
      </c>
    </row>
    <row r="50">
      <c r="A50" s="2" t="inlineStr">
        <is>
          <t>Break-even probability of Taiwan scenario to justify price</t>
        </is>
      </c>
      <c r="B50" s="42">
        <f>IF(B47&lt;=B49,"Not reachable: Taiwan value &lt; price",(B49-B48)/(B47-B48))</f>
        <v/>
      </c>
      <c r="H50" s="2" t="inlineStr">
        <is>
          <t>Read as: 'the market price is fair IF you believe this is the probability of a Taiwan cut-off (with Taiwan-scenario payoffs as modeled)'.</t>
        </is>
      </c>
    </row>
    <row r="51">
      <c r="A51" s="2" t="inlineStr">
        <is>
          <t>TaiwanMax-scenario value per share ($)</t>
        </is>
      </c>
      <c r="B51" s="44">
        <f>F5</f>
        <v/>
      </c>
    </row>
    <row r="52">
      <c r="A52" s="2" t="inlineStr">
        <is>
          <t>Break-even probability of TaiwanMax scenario to justify price</t>
        </is>
      </c>
      <c r="B52" s="42">
        <f>IF(B51&lt;=B49,"Not reachable: TaiwanMax value &lt; price",(B49-B48)/(B51-B48))</f>
        <v/>
      </c>
    </row>
    <row r="54">
      <c r="A54" s="1" t="inlineStr">
        <is>
          <t>HOW TO READ THIS</t>
        </is>
      </c>
    </row>
    <row r="55">
      <c r="A55" s="2" t="inlineStr">
        <is>
          <t>- 'If the scenario is true, the math says X.' None of the scenarios is a forecast I endorse. The weights express my judgment of plausibility from the product evidence.</t>
        </is>
      </c>
    </row>
    <row r="56">
      <c r="A56" s="2" t="inlineStr">
        <is>
          <t>- The reverse DCF shows how much more (or less) terminal cash flow than my Base case the current price needs. A ratio well above 1.0x means the price embeds</t>
        </is>
      </c>
    </row>
    <row r="57">
      <c r="A57" s="2" t="inlineStr">
        <is>
          <t xml:space="preserve">  assumptions closer to the Bull case: a 14A anchor customer, packaging at scale, sustained CPU pricing and gross margins in the mid-50s.</t>
        </is>
      </c>
    </row>
    <row r="58">
      <c r="A58" s="2" t="inlineStr">
        <is>
          <t>- Terminal value is a large share of EV in every scenario. Small changes in WACC or terminal growth move the answer a lot: see the Sensitivity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Sensitivity: value per share ($)</t>
        </is>
      </c>
    </row>
    <row r="3">
      <c r="A3" s="1" t="inlineStr">
        <is>
          <t>Bear scenario: value/share vs WACC and terminal growth (live formulas)</t>
        </is>
      </c>
    </row>
    <row r="4">
      <c r="A4" s="2" t="inlineStr">
        <is>
          <t>WACC (down) / terminal g (across)</t>
        </is>
      </c>
      <c r="B4" s="43" t="n">
        <v>0.02</v>
      </c>
      <c r="C4" s="43" t="n">
        <v>0.025</v>
      </c>
      <c r="D4" s="43" t="n">
        <v>0.03</v>
      </c>
      <c r="E4" s="43" t="n">
        <v>0.035</v>
      </c>
      <c r="F4" s="43" t="n">
        <v>0.04</v>
      </c>
    </row>
    <row r="5">
      <c r="A5" s="43" t="n">
        <v>0.08500000000000001</v>
      </c>
      <c r="B5" s="44">
        <f>MAX(0,IF($A5&lt;=B$4,0,(SUMPRODUCT(Bear!$C$29:$I$29,1/(1+$A5)^Bear!$C$4:$I$4)+(Bear!$I$25*(1+B$4)+Bear!$I$26*(1+B$4)*(1-Inputs!$B$64)-Inputs!$B$65*Bear!$I$15*B$4)/($A5-B$4)/(1+$A5)^Bear!$I$4+Inputs!$B$16+Inputs!$B$14-Inputs!$B$15)/Inputs!$B$9))</f>
        <v/>
      </c>
      <c r="C5" s="44">
        <f>MAX(0,IF($A5&lt;=C$4,0,(SUMPRODUCT(Bear!$C$29:$I$29,1/(1+$A5)^Bear!$C$4:$I$4)+(Bear!$I$25*(1+C$4)+Bear!$I$26*(1+C$4)*(1-Inputs!$B$64)-Inputs!$B$65*Bear!$I$15*C$4)/($A5-C$4)/(1+$A5)^Bear!$I$4+Inputs!$B$16+Inputs!$B$14-Inputs!$B$15)/Inputs!$B$9))</f>
        <v/>
      </c>
      <c r="D5" s="44">
        <f>MAX(0,IF($A5&lt;=D$4,0,(SUMPRODUCT(Bear!$C$29:$I$29,1/(1+$A5)^Bear!$C$4:$I$4)+(Bear!$I$25*(1+D$4)+Bear!$I$26*(1+D$4)*(1-Inputs!$B$64)-Inputs!$B$65*Bear!$I$15*D$4)/($A5-D$4)/(1+$A5)^Bear!$I$4+Inputs!$B$16+Inputs!$B$14-Inputs!$B$15)/Inputs!$B$9))</f>
        <v/>
      </c>
      <c r="E5" s="44">
        <f>MAX(0,IF($A5&lt;=E$4,0,(SUMPRODUCT(Bear!$C$29:$I$29,1/(1+$A5)^Bear!$C$4:$I$4)+(Bear!$I$25*(1+E$4)+Bear!$I$26*(1+E$4)*(1-Inputs!$B$64)-Inputs!$B$65*Bear!$I$15*E$4)/($A5-E$4)/(1+$A5)^Bear!$I$4+Inputs!$B$16+Inputs!$B$14-Inputs!$B$15)/Inputs!$B$9))</f>
        <v/>
      </c>
      <c r="F5" s="44">
        <f>MAX(0,IF($A5&lt;=F$4,0,(SUMPRODUCT(Bear!$C$29:$I$29,1/(1+$A5)^Bear!$C$4:$I$4)+(Bear!$I$25*(1+F$4)+Bear!$I$26*(1+F$4)*(1-Inputs!$B$64)-Inputs!$B$65*Bear!$I$15*F$4)/($A5-F$4)/(1+$A5)^Bear!$I$4+Inputs!$B$16+Inputs!$B$14-Inputs!$B$15)/Inputs!$B$9))</f>
        <v/>
      </c>
    </row>
    <row r="6">
      <c r="A6" s="43" t="n">
        <v>0.095</v>
      </c>
      <c r="B6" s="44">
        <f>MAX(0,IF($A6&lt;=B$4,0,(SUMPRODUCT(Bear!$C$29:$I$29,1/(1+$A6)^Bear!$C$4:$I$4)+(Bear!$I$25*(1+B$4)+Bear!$I$26*(1+B$4)*(1-Inputs!$B$64)-Inputs!$B$65*Bear!$I$15*B$4)/($A6-B$4)/(1+$A6)^Bear!$I$4+Inputs!$B$16+Inputs!$B$14-Inputs!$B$15)/Inputs!$B$9))</f>
        <v/>
      </c>
      <c r="C6" s="44">
        <f>MAX(0,IF($A6&lt;=C$4,0,(SUMPRODUCT(Bear!$C$29:$I$29,1/(1+$A6)^Bear!$C$4:$I$4)+(Bear!$I$25*(1+C$4)+Bear!$I$26*(1+C$4)*(1-Inputs!$B$64)-Inputs!$B$65*Bear!$I$15*C$4)/($A6-C$4)/(1+$A6)^Bear!$I$4+Inputs!$B$16+Inputs!$B$14-Inputs!$B$15)/Inputs!$B$9))</f>
        <v/>
      </c>
      <c r="D6" s="44">
        <f>MAX(0,IF($A6&lt;=D$4,0,(SUMPRODUCT(Bear!$C$29:$I$29,1/(1+$A6)^Bear!$C$4:$I$4)+(Bear!$I$25*(1+D$4)+Bear!$I$26*(1+D$4)*(1-Inputs!$B$64)-Inputs!$B$65*Bear!$I$15*D$4)/($A6-D$4)/(1+$A6)^Bear!$I$4+Inputs!$B$16+Inputs!$B$14-Inputs!$B$15)/Inputs!$B$9))</f>
        <v/>
      </c>
      <c r="E6" s="44">
        <f>MAX(0,IF($A6&lt;=E$4,0,(SUMPRODUCT(Bear!$C$29:$I$29,1/(1+$A6)^Bear!$C$4:$I$4)+(Bear!$I$25*(1+E$4)+Bear!$I$26*(1+E$4)*(1-Inputs!$B$64)-Inputs!$B$65*Bear!$I$15*E$4)/($A6-E$4)/(1+$A6)^Bear!$I$4+Inputs!$B$16+Inputs!$B$14-Inputs!$B$15)/Inputs!$B$9))</f>
        <v/>
      </c>
      <c r="F6" s="44">
        <f>MAX(0,IF($A6&lt;=F$4,0,(SUMPRODUCT(Bear!$C$29:$I$29,1/(1+$A6)^Bear!$C$4:$I$4)+(Bear!$I$25*(1+F$4)+Bear!$I$26*(1+F$4)*(1-Inputs!$B$64)-Inputs!$B$65*Bear!$I$15*F$4)/($A6-F$4)/(1+$A6)^Bear!$I$4+Inputs!$B$16+Inputs!$B$14-Inputs!$B$15)/Inputs!$B$9))</f>
        <v/>
      </c>
    </row>
    <row r="7">
      <c r="A7" s="43" t="n">
        <v>0.105</v>
      </c>
      <c r="B7" s="44">
        <f>MAX(0,IF($A7&lt;=B$4,0,(SUMPRODUCT(Bear!$C$29:$I$29,1/(1+$A7)^Bear!$C$4:$I$4)+(Bear!$I$25*(1+B$4)+Bear!$I$26*(1+B$4)*(1-Inputs!$B$64)-Inputs!$B$65*Bear!$I$15*B$4)/($A7-B$4)/(1+$A7)^Bear!$I$4+Inputs!$B$16+Inputs!$B$14-Inputs!$B$15)/Inputs!$B$9))</f>
        <v/>
      </c>
      <c r="C7" s="44">
        <f>MAX(0,IF($A7&lt;=C$4,0,(SUMPRODUCT(Bear!$C$29:$I$29,1/(1+$A7)^Bear!$C$4:$I$4)+(Bear!$I$25*(1+C$4)+Bear!$I$26*(1+C$4)*(1-Inputs!$B$64)-Inputs!$B$65*Bear!$I$15*C$4)/($A7-C$4)/(1+$A7)^Bear!$I$4+Inputs!$B$16+Inputs!$B$14-Inputs!$B$15)/Inputs!$B$9))</f>
        <v/>
      </c>
      <c r="D7" s="44">
        <f>MAX(0,IF($A7&lt;=D$4,0,(SUMPRODUCT(Bear!$C$29:$I$29,1/(1+$A7)^Bear!$C$4:$I$4)+(Bear!$I$25*(1+D$4)+Bear!$I$26*(1+D$4)*(1-Inputs!$B$64)-Inputs!$B$65*Bear!$I$15*D$4)/($A7-D$4)/(1+$A7)^Bear!$I$4+Inputs!$B$16+Inputs!$B$14-Inputs!$B$15)/Inputs!$B$9))</f>
        <v/>
      </c>
      <c r="E7" s="44">
        <f>MAX(0,IF($A7&lt;=E$4,0,(SUMPRODUCT(Bear!$C$29:$I$29,1/(1+$A7)^Bear!$C$4:$I$4)+(Bear!$I$25*(1+E$4)+Bear!$I$26*(1+E$4)*(1-Inputs!$B$64)-Inputs!$B$65*Bear!$I$15*E$4)/($A7-E$4)/(1+$A7)^Bear!$I$4+Inputs!$B$16+Inputs!$B$14-Inputs!$B$15)/Inputs!$B$9))</f>
        <v/>
      </c>
      <c r="F7" s="44">
        <f>MAX(0,IF($A7&lt;=F$4,0,(SUMPRODUCT(Bear!$C$29:$I$29,1/(1+$A7)^Bear!$C$4:$I$4)+(Bear!$I$25*(1+F$4)+Bear!$I$26*(1+F$4)*(1-Inputs!$B$64)-Inputs!$B$65*Bear!$I$15*F$4)/($A7-F$4)/(1+$A7)^Bear!$I$4+Inputs!$B$16+Inputs!$B$14-Inputs!$B$15)/Inputs!$B$9))</f>
        <v/>
      </c>
    </row>
    <row r="8">
      <c r="A8" s="43" t="n">
        <v>0.115</v>
      </c>
      <c r="B8" s="44">
        <f>MAX(0,IF($A8&lt;=B$4,0,(SUMPRODUCT(Bear!$C$29:$I$29,1/(1+$A8)^Bear!$C$4:$I$4)+(Bear!$I$25*(1+B$4)+Bear!$I$26*(1+B$4)*(1-Inputs!$B$64)-Inputs!$B$65*Bear!$I$15*B$4)/($A8-B$4)/(1+$A8)^Bear!$I$4+Inputs!$B$16+Inputs!$B$14-Inputs!$B$15)/Inputs!$B$9))</f>
        <v/>
      </c>
      <c r="C8" s="44">
        <f>MAX(0,IF($A8&lt;=C$4,0,(SUMPRODUCT(Bear!$C$29:$I$29,1/(1+$A8)^Bear!$C$4:$I$4)+(Bear!$I$25*(1+C$4)+Bear!$I$26*(1+C$4)*(1-Inputs!$B$64)-Inputs!$B$65*Bear!$I$15*C$4)/($A8-C$4)/(1+$A8)^Bear!$I$4+Inputs!$B$16+Inputs!$B$14-Inputs!$B$15)/Inputs!$B$9))</f>
        <v/>
      </c>
      <c r="D8" s="44">
        <f>MAX(0,IF($A8&lt;=D$4,0,(SUMPRODUCT(Bear!$C$29:$I$29,1/(1+$A8)^Bear!$C$4:$I$4)+(Bear!$I$25*(1+D$4)+Bear!$I$26*(1+D$4)*(1-Inputs!$B$64)-Inputs!$B$65*Bear!$I$15*D$4)/($A8-D$4)/(1+$A8)^Bear!$I$4+Inputs!$B$16+Inputs!$B$14-Inputs!$B$15)/Inputs!$B$9))</f>
        <v/>
      </c>
      <c r="E8" s="44">
        <f>MAX(0,IF($A8&lt;=E$4,0,(SUMPRODUCT(Bear!$C$29:$I$29,1/(1+$A8)^Bear!$C$4:$I$4)+(Bear!$I$25*(1+E$4)+Bear!$I$26*(1+E$4)*(1-Inputs!$B$64)-Inputs!$B$65*Bear!$I$15*E$4)/($A8-E$4)/(1+$A8)^Bear!$I$4+Inputs!$B$16+Inputs!$B$14-Inputs!$B$15)/Inputs!$B$9))</f>
        <v/>
      </c>
      <c r="F8" s="44">
        <f>MAX(0,IF($A8&lt;=F$4,0,(SUMPRODUCT(Bear!$C$29:$I$29,1/(1+$A8)^Bear!$C$4:$I$4)+(Bear!$I$25*(1+F$4)+Bear!$I$26*(1+F$4)*(1-Inputs!$B$64)-Inputs!$B$65*Bear!$I$15*F$4)/($A8-F$4)/(1+$A8)^Bear!$I$4+Inputs!$B$16+Inputs!$B$14-Inputs!$B$15)/Inputs!$B$9))</f>
        <v/>
      </c>
    </row>
    <row r="9">
      <c r="A9" s="43" t="n">
        <v>0.125</v>
      </c>
      <c r="B9" s="44">
        <f>MAX(0,IF($A9&lt;=B$4,0,(SUMPRODUCT(Bear!$C$29:$I$29,1/(1+$A9)^Bear!$C$4:$I$4)+(Bear!$I$25*(1+B$4)+Bear!$I$26*(1+B$4)*(1-Inputs!$B$64)-Inputs!$B$65*Bear!$I$15*B$4)/($A9-B$4)/(1+$A9)^Bear!$I$4+Inputs!$B$16+Inputs!$B$14-Inputs!$B$15)/Inputs!$B$9))</f>
        <v/>
      </c>
      <c r="C9" s="44">
        <f>MAX(0,IF($A9&lt;=C$4,0,(SUMPRODUCT(Bear!$C$29:$I$29,1/(1+$A9)^Bear!$C$4:$I$4)+(Bear!$I$25*(1+C$4)+Bear!$I$26*(1+C$4)*(1-Inputs!$B$64)-Inputs!$B$65*Bear!$I$15*C$4)/($A9-C$4)/(1+$A9)^Bear!$I$4+Inputs!$B$16+Inputs!$B$14-Inputs!$B$15)/Inputs!$B$9))</f>
        <v/>
      </c>
      <c r="D9" s="44">
        <f>MAX(0,IF($A9&lt;=D$4,0,(SUMPRODUCT(Bear!$C$29:$I$29,1/(1+$A9)^Bear!$C$4:$I$4)+(Bear!$I$25*(1+D$4)+Bear!$I$26*(1+D$4)*(1-Inputs!$B$64)-Inputs!$B$65*Bear!$I$15*D$4)/($A9-D$4)/(1+$A9)^Bear!$I$4+Inputs!$B$16+Inputs!$B$14-Inputs!$B$15)/Inputs!$B$9))</f>
        <v/>
      </c>
      <c r="E9" s="44">
        <f>MAX(0,IF($A9&lt;=E$4,0,(SUMPRODUCT(Bear!$C$29:$I$29,1/(1+$A9)^Bear!$C$4:$I$4)+(Bear!$I$25*(1+E$4)+Bear!$I$26*(1+E$4)*(1-Inputs!$B$64)-Inputs!$B$65*Bear!$I$15*E$4)/($A9-E$4)/(1+$A9)^Bear!$I$4+Inputs!$B$16+Inputs!$B$14-Inputs!$B$15)/Inputs!$B$9))</f>
        <v/>
      </c>
      <c r="F9" s="44">
        <f>MAX(0,IF($A9&lt;=F$4,0,(SUMPRODUCT(Bear!$C$29:$I$29,1/(1+$A9)^Bear!$C$4:$I$4)+(Bear!$I$25*(1+F$4)+Bear!$I$26*(1+F$4)*(1-Inputs!$B$64)-Inputs!$B$65*Bear!$I$15*F$4)/($A9-F$4)/(1+$A9)^Bear!$I$4+Inputs!$B$16+Inputs!$B$14-Inputs!$B$15)/Inputs!$B$9))</f>
        <v/>
      </c>
    </row>
    <row r="11">
      <c r="A11" s="1" t="inlineStr">
        <is>
          <t>Base scenario: value/share vs WACC and terminal growth (live formulas)</t>
        </is>
      </c>
    </row>
    <row r="12">
      <c r="A12" s="2" t="inlineStr">
        <is>
          <t>WACC (down) / terminal g (across)</t>
        </is>
      </c>
      <c r="B12" s="43" t="n">
        <v>0.02</v>
      </c>
      <c r="C12" s="43" t="n">
        <v>0.025</v>
      </c>
      <c r="D12" s="43" t="n">
        <v>0.03</v>
      </c>
      <c r="E12" s="43" t="n">
        <v>0.035</v>
      </c>
      <c r="F12" s="43" t="n">
        <v>0.04</v>
      </c>
    </row>
    <row r="13">
      <c r="A13" s="43" t="n">
        <v>0.08500000000000001</v>
      </c>
      <c r="B13" s="44">
        <f>MAX(0,IF($A13&lt;=B$12,0,(SUMPRODUCT(Base!$C$29:$I$29,1/(1+$A13)^Base!$C$4:$I$4)+(Base!$I$25*(1+B$12)+Base!$I$26*(1+B$12)*(1-Inputs!$B$64)-Inputs!$B$65*Base!$I$15*B$12)/($A13-B$12)/(1+$A13)^Base!$I$4+Inputs!$B$16+Inputs!$B$14-Inputs!$B$15)/Inputs!$B$9))</f>
        <v/>
      </c>
      <c r="C13" s="44">
        <f>MAX(0,IF($A13&lt;=C$12,0,(SUMPRODUCT(Base!$C$29:$I$29,1/(1+$A13)^Base!$C$4:$I$4)+(Base!$I$25*(1+C$12)+Base!$I$26*(1+C$12)*(1-Inputs!$B$64)-Inputs!$B$65*Base!$I$15*C$12)/($A13-C$12)/(1+$A13)^Base!$I$4+Inputs!$B$16+Inputs!$B$14-Inputs!$B$15)/Inputs!$B$9))</f>
        <v/>
      </c>
      <c r="D13" s="44">
        <f>MAX(0,IF($A13&lt;=D$12,0,(SUMPRODUCT(Base!$C$29:$I$29,1/(1+$A13)^Base!$C$4:$I$4)+(Base!$I$25*(1+D$12)+Base!$I$26*(1+D$12)*(1-Inputs!$B$64)-Inputs!$B$65*Base!$I$15*D$12)/($A13-D$12)/(1+$A13)^Base!$I$4+Inputs!$B$16+Inputs!$B$14-Inputs!$B$15)/Inputs!$B$9))</f>
        <v/>
      </c>
      <c r="E13" s="44">
        <f>MAX(0,IF($A13&lt;=E$12,0,(SUMPRODUCT(Base!$C$29:$I$29,1/(1+$A13)^Base!$C$4:$I$4)+(Base!$I$25*(1+E$12)+Base!$I$26*(1+E$12)*(1-Inputs!$B$64)-Inputs!$B$65*Base!$I$15*E$12)/($A13-E$12)/(1+$A13)^Base!$I$4+Inputs!$B$16+Inputs!$B$14-Inputs!$B$15)/Inputs!$B$9))</f>
        <v/>
      </c>
      <c r="F13" s="44">
        <f>MAX(0,IF($A13&lt;=F$12,0,(SUMPRODUCT(Base!$C$29:$I$29,1/(1+$A13)^Base!$C$4:$I$4)+(Base!$I$25*(1+F$12)+Base!$I$26*(1+F$12)*(1-Inputs!$B$64)-Inputs!$B$65*Base!$I$15*F$12)/($A13-F$12)/(1+$A13)^Base!$I$4+Inputs!$B$16+Inputs!$B$14-Inputs!$B$15)/Inputs!$B$9))</f>
        <v/>
      </c>
    </row>
    <row r="14">
      <c r="A14" s="43" t="n">
        <v>0.095</v>
      </c>
      <c r="B14" s="44">
        <f>MAX(0,IF($A14&lt;=B$12,0,(SUMPRODUCT(Base!$C$29:$I$29,1/(1+$A14)^Base!$C$4:$I$4)+(Base!$I$25*(1+B$12)+Base!$I$26*(1+B$12)*(1-Inputs!$B$64)-Inputs!$B$65*Base!$I$15*B$12)/($A14-B$12)/(1+$A14)^Base!$I$4+Inputs!$B$16+Inputs!$B$14-Inputs!$B$15)/Inputs!$B$9))</f>
        <v/>
      </c>
      <c r="C14" s="44">
        <f>MAX(0,IF($A14&lt;=C$12,0,(SUMPRODUCT(Base!$C$29:$I$29,1/(1+$A14)^Base!$C$4:$I$4)+(Base!$I$25*(1+C$12)+Base!$I$26*(1+C$12)*(1-Inputs!$B$64)-Inputs!$B$65*Base!$I$15*C$12)/($A14-C$12)/(1+$A14)^Base!$I$4+Inputs!$B$16+Inputs!$B$14-Inputs!$B$15)/Inputs!$B$9))</f>
        <v/>
      </c>
      <c r="D14" s="44">
        <f>MAX(0,IF($A14&lt;=D$12,0,(SUMPRODUCT(Base!$C$29:$I$29,1/(1+$A14)^Base!$C$4:$I$4)+(Base!$I$25*(1+D$12)+Base!$I$26*(1+D$12)*(1-Inputs!$B$64)-Inputs!$B$65*Base!$I$15*D$12)/($A14-D$12)/(1+$A14)^Base!$I$4+Inputs!$B$16+Inputs!$B$14-Inputs!$B$15)/Inputs!$B$9))</f>
        <v/>
      </c>
      <c r="E14" s="44">
        <f>MAX(0,IF($A14&lt;=E$12,0,(SUMPRODUCT(Base!$C$29:$I$29,1/(1+$A14)^Base!$C$4:$I$4)+(Base!$I$25*(1+E$12)+Base!$I$26*(1+E$12)*(1-Inputs!$B$64)-Inputs!$B$65*Base!$I$15*E$12)/($A14-E$12)/(1+$A14)^Base!$I$4+Inputs!$B$16+Inputs!$B$14-Inputs!$B$15)/Inputs!$B$9))</f>
        <v/>
      </c>
      <c r="F14" s="44">
        <f>MAX(0,IF($A14&lt;=F$12,0,(SUMPRODUCT(Base!$C$29:$I$29,1/(1+$A14)^Base!$C$4:$I$4)+(Base!$I$25*(1+F$12)+Base!$I$26*(1+F$12)*(1-Inputs!$B$64)-Inputs!$B$65*Base!$I$15*F$12)/($A14-F$12)/(1+$A14)^Base!$I$4+Inputs!$B$16+Inputs!$B$14-Inputs!$B$15)/Inputs!$B$9))</f>
        <v/>
      </c>
    </row>
    <row r="15">
      <c r="A15" s="43" t="n">
        <v>0.105</v>
      </c>
      <c r="B15" s="44">
        <f>MAX(0,IF($A15&lt;=B$12,0,(SUMPRODUCT(Base!$C$29:$I$29,1/(1+$A15)^Base!$C$4:$I$4)+(Base!$I$25*(1+B$12)+Base!$I$26*(1+B$12)*(1-Inputs!$B$64)-Inputs!$B$65*Base!$I$15*B$12)/($A15-B$12)/(1+$A15)^Base!$I$4+Inputs!$B$16+Inputs!$B$14-Inputs!$B$15)/Inputs!$B$9))</f>
        <v/>
      </c>
      <c r="C15" s="44">
        <f>MAX(0,IF($A15&lt;=C$12,0,(SUMPRODUCT(Base!$C$29:$I$29,1/(1+$A15)^Base!$C$4:$I$4)+(Base!$I$25*(1+C$12)+Base!$I$26*(1+C$12)*(1-Inputs!$B$64)-Inputs!$B$65*Base!$I$15*C$12)/($A15-C$12)/(1+$A15)^Base!$I$4+Inputs!$B$16+Inputs!$B$14-Inputs!$B$15)/Inputs!$B$9))</f>
        <v/>
      </c>
      <c r="D15" s="44">
        <f>MAX(0,IF($A15&lt;=D$12,0,(SUMPRODUCT(Base!$C$29:$I$29,1/(1+$A15)^Base!$C$4:$I$4)+(Base!$I$25*(1+D$12)+Base!$I$26*(1+D$12)*(1-Inputs!$B$64)-Inputs!$B$65*Base!$I$15*D$12)/($A15-D$12)/(1+$A15)^Base!$I$4+Inputs!$B$16+Inputs!$B$14-Inputs!$B$15)/Inputs!$B$9))</f>
        <v/>
      </c>
      <c r="E15" s="44">
        <f>MAX(0,IF($A15&lt;=E$12,0,(SUMPRODUCT(Base!$C$29:$I$29,1/(1+$A15)^Base!$C$4:$I$4)+(Base!$I$25*(1+E$12)+Base!$I$26*(1+E$12)*(1-Inputs!$B$64)-Inputs!$B$65*Base!$I$15*E$12)/($A15-E$12)/(1+$A15)^Base!$I$4+Inputs!$B$16+Inputs!$B$14-Inputs!$B$15)/Inputs!$B$9))</f>
        <v/>
      </c>
      <c r="F15" s="44">
        <f>MAX(0,IF($A15&lt;=F$12,0,(SUMPRODUCT(Base!$C$29:$I$29,1/(1+$A15)^Base!$C$4:$I$4)+(Base!$I$25*(1+F$12)+Base!$I$26*(1+F$12)*(1-Inputs!$B$64)-Inputs!$B$65*Base!$I$15*F$12)/($A15-F$12)/(1+$A15)^Base!$I$4+Inputs!$B$16+Inputs!$B$14-Inputs!$B$15)/Inputs!$B$9))</f>
        <v/>
      </c>
    </row>
    <row r="16">
      <c r="A16" s="43" t="n">
        <v>0.115</v>
      </c>
      <c r="B16" s="44">
        <f>MAX(0,IF($A16&lt;=B$12,0,(SUMPRODUCT(Base!$C$29:$I$29,1/(1+$A16)^Base!$C$4:$I$4)+(Base!$I$25*(1+B$12)+Base!$I$26*(1+B$12)*(1-Inputs!$B$64)-Inputs!$B$65*Base!$I$15*B$12)/($A16-B$12)/(1+$A16)^Base!$I$4+Inputs!$B$16+Inputs!$B$14-Inputs!$B$15)/Inputs!$B$9))</f>
        <v/>
      </c>
      <c r="C16" s="44">
        <f>MAX(0,IF($A16&lt;=C$12,0,(SUMPRODUCT(Base!$C$29:$I$29,1/(1+$A16)^Base!$C$4:$I$4)+(Base!$I$25*(1+C$12)+Base!$I$26*(1+C$12)*(1-Inputs!$B$64)-Inputs!$B$65*Base!$I$15*C$12)/($A16-C$12)/(1+$A16)^Base!$I$4+Inputs!$B$16+Inputs!$B$14-Inputs!$B$15)/Inputs!$B$9))</f>
        <v/>
      </c>
      <c r="D16" s="44">
        <f>MAX(0,IF($A16&lt;=D$12,0,(SUMPRODUCT(Base!$C$29:$I$29,1/(1+$A16)^Base!$C$4:$I$4)+(Base!$I$25*(1+D$12)+Base!$I$26*(1+D$12)*(1-Inputs!$B$64)-Inputs!$B$65*Base!$I$15*D$12)/($A16-D$12)/(1+$A16)^Base!$I$4+Inputs!$B$16+Inputs!$B$14-Inputs!$B$15)/Inputs!$B$9))</f>
        <v/>
      </c>
      <c r="E16" s="44">
        <f>MAX(0,IF($A16&lt;=E$12,0,(SUMPRODUCT(Base!$C$29:$I$29,1/(1+$A16)^Base!$C$4:$I$4)+(Base!$I$25*(1+E$12)+Base!$I$26*(1+E$12)*(1-Inputs!$B$64)-Inputs!$B$65*Base!$I$15*E$12)/($A16-E$12)/(1+$A16)^Base!$I$4+Inputs!$B$16+Inputs!$B$14-Inputs!$B$15)/Inputs!$B$9))</f>
        <v/>
      </c>
      <c r="F16" s="44">
        <f>MAX(0,IF($A16&lt;=F$12,0,(SUMPRODUCT(Base!$C$29:$I$29,1/(1+$A16)^Base!$C$4:$I$4)+(Base!$I$25*(1+F$12)+Base!$I$26*(1+F$12)*(1-Inputs!$B$64)-Inputs!$B$65*Base!$I$15*F$12)/($A16-F$12)/(1+$A16)^Base!$I$4+Inputs!$B$16+Inputs!$B$14-Inputs!$B$15)/Inputs!$B$9))</f>
        <v/>
      </c>
    </row>
    <row r="17">
      <c r="A17" s="43" t="n">
        <v>0.125</v>
      </c>
      <c r="B17" s="44">
        <f>MAX(0,IF($A17&lt;=B$12,0,(SUMPRODUCT(Base!$C$29:$I$29,1/(1+$A17)^Base!$C$4:$I$4)+(Base!$I$25*(1+B$12)+Base!$I$26*(1+B$12)*(1-Inputs!$B$64)-Inputs!$B$65*Base!$I$15*B$12)/($A17-B$12)/(1+$A17)^Base!$I$4+Inputs!$B$16+Inputs!$B$14-Inputs!$B$15)/Inputs!$B$9))</f>
        <v/>
      </c>
      <c r="C17" s="44">
        <f>MAX(0,IF($A17&lt;=C$12,0,(SUMPRODUCT(Base!$C$29:$I$29,1/(1+$A17)^Base!$C$4:$I$4)+(Base!$I$25*(1+C$12)+Base!$I$26*(1+C$12)*(1-Inputs!$B$64)-Inputs!$B$65*Base!$I$15*C$12)/($A17-C$12)/(1+$A17)^Base!$I$4+Inputs!$B$16+Inputs!$B$14-Inputs!$B$15)/Inputs!$B$9))</f>
        <v/>
      </c>
      <c r="D17" s="44">
        <f>MAX(0,IF($A17&lt;=D$12,0,(SUMPRODUCT(Base!$C$29:$I$29,1/(1+$A17)^Base!$C$4:$I$4)+(Base!$I$25*(1+D$12)+Base!$I$26*(1+D$12)*(1-Inputs!$B$64)-Inputs!$B$65*Base!$I$15*D$12)/($A17-D$12)/(1+$A17)^Base!$I$4+Inputs!$B$16+Inputs!$B$14-Inputs!$B$15)/Inputs!$B$9))</f>
        <v/>
      </c>
      <c r="E17" s="44">
        <f>MAX(0,IF($A17&lt;=E$12,0,(SUMPRODUCT(Base!$C$29:$I$29,1/(1+$A17)^Base!$C$4:$I$4)+(Base!$I$25*(1+E$12)+Base!$I$26*(1+E$12)*(1-Inputs!$B$64)-Inputs!$B$65*Base!$I$15*E$12)/($A17-E$12)/(1+$A17)^Base!$I$4+Inputs!$B$16+Inputs!$B$14-Inputs!$B$15)/Inputs!$B$9))</f>
        <v/>
      </c>
      <c r="F17" s="44">
        <f>MAX(0,IF($A17&lt;=F$12,0,(SUMPRODUCT(Base!$C$29:$I$29,1/(1+$A17)^Base!$C$4:$I$4)+(Base!$I$25*(1+F$12)+Base!$I$26*(1+F$12)*(1-Inputs!$B$64)-Inputs!$B$65*Base!$I$15*F$12)/($A17-F$12)/(1+$A17)^Base!$I$4+Inputs!$B$16+Inputs!$B$14-Inputs!$B$15)/Inputs!$B$9))</f>
        <v/>
      </c>
    </row>
    <row r="19">
      <c r="A19" s="1" t="inlineStr">
        <is>
          <t>Bull scenario: value/share vs WACC and terminal growth (live formulas)</t>
        </is>
      </c>
    </row>
    <row r="20">
      <c r="A20" s="2" t="inlineStr">
        <is>
          <t>WACC (down) / terminal g (across)</t>
        </is>
      </c>
      <c r="B20" s="43" t="n">
        <v>0.02</v>
      </c>
      <c r="C20" s="43" t="n">
        <v>0.025</v>
      </c>
      <c r="D20" s="43" t="n">
        <v>0.03</v>
      </c>
      <c r="E20" s="43" t="n">
        <v>0.035</v>
      </c>
      <c r="F20" s="43" t="n">
        <v>0.04</v>
      </c>
    </row>
    <row r="21">
      <c r="A21" s="43" t="n">
        <v>0.08500000000000001</v>
      </c>
      <c r="B21" s="44">
        <f>MAX(0,IF($A21&lt;=B$20,0,(SUMPRODUCT(Bull!$C$29:$I$29,1/(1+$A21)^Bull!$C$4:$I$4)+(Bull!$I$25*(1+B$20)+Bull!$I$26*(1+B$20)*(1-Inputs!$B$64)-Inputs!$B$65*Bull!$I$15*B$20)/($A21-B$20)/(1+$A21)^Bull!$I$4+Inputs!$B$16+Inputs!$B$14-Inputs!$B$15)/Inputs!$B$9))</f>
        <v/>
      </c>
      <c r="C21" s="44">
        <f>MAX(0,IF($A21&lt;=C$20,0,(SUMPRODUCT(Bull!$C$29:$I$29,1/(1+$A21)^Bull!$C$4:$I$4)+(Bull!$I$25*(1+C$20)+Bull!$I$26*(1+C$20)*(1-Inputs!$B$64)-Inputs!$B$65*Bull!$I$15*C$20)/($A21-C$20)/(1+$A21)^Bull!$I$4+Inputs!$B$16+Inputs!$B$14-Inputs!$B$15)/Inputs!$B$9))</f>
        <v/>
      </c>
      <c r="D21" s="44">
        <f>MAX(0,IF($A21&lt;=D$20,0,(SUMPRODUCT(Bull!$C$29:$I$29,1/(1+$A21)^Bull!$C$4:$I$4)+(Bull!$I$25*(1+D$20)+Bull!$I$26*(1+D$20)*(1-Inputs!$B$64)-Inputs!$B$65*Bull!$I$15*D$20)/($A21-D$20)/(1+$A21)^Bull!$I$4+Inputs!$B$16+Inputs!$B$14-Inputs!$B$15)/Inputs!$B$9))</f>
        <v/>
      </c>
      <c r="E21" s="44">
        <f>MAX(0,IF($A21&lt;=E$20,0,(SUMPRODUCT(Bull!$C$29:$I$29,1/(1+$A21)^Bull!$C$4:$I$4)+(Bull!$I$25*(1+E$20)+Bull!$I$26*(1+E$20)*(1-Inputs!$B$64)-Inputs!$B$65*Bull!$I$15*E$20)/($A21-E$20)/(1+$A21)^Bull!$I$4+Inputs!$B$16+Inputs!$B$14-Inputs!$B$15)/Inputs!$B$9))</f>
        <v/>
      </c>
      <c r="F21" s="44">
        <f>MAX(0,IF($A21&lt;=F$20,0,(SUMPRODUCT(Bull!$C$29:$I$29,1/(1+$A21)^Bull!$C$4:$I$4)+(Bull!$I$25*(1+F$20)+Bull!$I$26*(1+F$20)*(1-Inputs!$B$64)-Inputs!$B$65*Bull!$I$15*F$20)/($A21-F$20)/(1+$A21)^Bull!$I$4+Inputs!$B$16+Inputs!$B$14-Inputs!$B$15)/Inputs!$B$9))</f>
        <v/>
      </c>
    </row>
    <row r="22">
      <c r="A22" s="43" t="n">
        <v>0.095</v>
      </c>
      <c r="B22" s="44">
        <f>MAX(0,IF($A22&lt;=B$20,0,(SUMPRODUCT(Bull!$C$29:$I$29,1/(1+$A22)^Bull!$C$4:$I$4)+(Bull!$I$25*(1+B$20)+Bull!$I$26*(1+B$20)*(1-Inputs!$B$64)-Inputs!$B$65*Bull!$I$15*B$20)/($A22-B$20)/(1+$A22)^Bull!$I$4+Inputs!$B$16+Inputs!$B$14-Inputs!$B$15)/Inputs!$B$9))</f>
        <v/>
      </c>
      <c r="C22" s="44">
        <f>MAX(0,IF($A22&lt;=C$20,0,(SUMPRODUCT(Bull!$C$29:$I$29,1/(1+$A22)^Bull!$C$4:$I$4)+(Bull!$I$25*(1+C$20)+Bull!$I$26*(1+C$20)*(1-Inputs!$B$64)-Inputs!$B$65*Bull!$I$15*C$20)/($A22-C$20)/(1+$A22)^Bull!$I$4+Inputs!$B$16+Inputs!$B$14-Inputs!$B$15)/Inputs!$B$9))</f>
        <v/>
      </c>
      <c r="D22" s="44">
        <f>MAX(0,IF($A22&lt;=D$20,0,(SUMPRODUCT(Bull!$C$29:$I$29,1/(1+$A22)^Bull!$C$4:$I$4)+(Bull!$I$25*(1+D$20)+Bull!$I$26*(1+D$20)*(1-Inputs!$B$64)-Inputs!$B$65*Bull!$I$15*D$20)/($A22-D$20)/(1+$A22)^Bull!$I$4+Inputs!$B$16+Inputs!$B$14-Inputs!$B$15)/Inputs!$B$9))</f>
        <v/>
      </c>
      <c r="E22" s="44">
        <f>MAX(0,IF($A22&lt;=E$20,0,(SUMPRODUCT(Bull!$C$29:$I$29,1/(1+$A22)^Bull!$C$4:$I$4)+(Bull!$I$25*(1+E$20)+Bull!$I$26*(1+E$20)*(1-Inputs!$B$64)-Inputs!$B$65*Bull!$I$15*E$20)/($A22-E$20)/(1+$A22)^Bull!$I$4+Inputs!$B$16+Inputs!$B$14-Inputs!$B$15)/Inputs!$B$9))</f>
        <v/>
      </c>
      <c r="F22" s="44">
        <f>MAX(0,IF($A22&lt;=F$20,0,(SUMPRODUCT(Bull!$C$29:$I$29,1/(1+$A22)^Bull!$C$4:$I$4)+(Bull!$I$25*(1+F$20)+Bull!$I$26*(1+F$20)*(1-Inputs!$B$64)-Inputs!$B$65*Bull!$I$15*F$20)/($A22-F$20)/(1+$A22)^Bull!$I$4+Inputs!$B$16+Inputs!$B$14-Inputs!$B$15)/Inputs!$B$9))</f>
        <v/>
      </c>
    </row>
    <row r="23">
      <c r="A23" s="43" t="n">
        <v>0.105</v>
      </c>
      <c r="B23" s="44">
        <f>MAX(0,IF($A23&lt;=B$20,0,(SUMPRODUCT(Bull!$C$29:$I$29,1/(1+$A23)^Bull!$C$4:$I$4)+(Bull!$I$25*(1+B$20)+Bull!$I$26*(1+B$20)*(1-Inputs!$B$64)-Inputs!$B$65*Bull!$I$15*B$20)/($A23-B$20)/(1+$A23)^Bull!$I$4+Inputs!$B$16+Inputs!$B$14-Inputs!$B$15)/Inputs!$B$9))</f>
        <v/>
      </c>
      <c r="C23" s="44">
        <f>MAX(0,IF($A23&lt;=C$20,0,(SUMPRODUCT(Bull!$C$29:$I$29,1/(1+$A23)^Bull!$C$4:$I$4)+(Bull!$I$25*(1+C$20)+Bull!$I$26*(1+C$20)*(1-Inputs!$B$64)-Inputs!$B$65*Bull!$I$15*C$20)/($A23-C$20)/(1+$A23)^Bull!$I$4+Inputs!$B$16+Inputs!$B$14-Inputs!$B$15)/Inputs!$B$9))</f>
        <v/>
      </c>
      <c r="D23" s="44">
        <f>MAX(0,IF($A23&lt;=D$20,0,(SUMPRODUCT(Bull!$C$29:$I$29,1/(1+$A23)^Bull!$C$4:$I$4)+(Bull!$I$25*(1+D$20)+Bull!$I$26*(1+D$20)*(1-Inputs!$B$64)-Inputs!$B$65*Bull!$I$15*D$20)/($A23-D$20)/(1+$A23)^Bull!$I$4+Inputs!$B$16+Inputs!$B$14-Inputs!$B$15)/Inputs!$B$9))</f>
        <v/>
      </c>
      <c r="E23" s="44">
        <f>MAX(0,IF($A23&lt;=E$20,0,(SUMPRODUCT(Bull!$C$29:$I$29,1/(1+$A23)^Bull!$C$4:$I$4)+(Bull!$I$25*(1+E$20)+Bull!$I$26*(1+E$20)*(1-Inputs!$B$64)-Inputs!$B$65*Bull!$I$15*E$20)/($A23-E$20)/(1+$A23)^Bull!$I$4+Inputs!$B$16+Inputs!$B$14-Inputs!$B$15)/Inputs!$B$9))</f>
        <v/>
      </c>
      <c r="F23" s="44">
        <f>MAX(0,IF($A23&lt;=F$20,0,(SUMPRODUCT(Bull!$C$29:$I$29,1/(1+$A23)^Bull!$C$4:$I$4)+(Bull!$I$25*(1+F$20)+Bull!$I$26*(1+F$20)*(1-Inputs!$B$64)-Inputs!$B$65*Bull!$I$15*F$20)/($A23-F$20)/(1+$A23)^Bull!$I$4+Inputs!$B$16+Inputs!$B$14-Inputs!$B$15)/Inputs!$B$9))</f>
        <v/>
      </c>
    </row>
    <row r="24">
      <c r="A24" s="43" t="n">
        <v>0.115</v>
      </c>
      <c r="B24" s="44">
        <f>MAX(0,IF($A24&lt;=B$20,0,(SUMPRODUCT(Bull!$C$29:$I$29,1/(1+$A24)^Bull!$C$4:$I$4)+(Bull!$I$25*(1+B$20)+Bull!$I$26*(1+B$20)*(1-Inputs!$B$64)-Inputs!$B$65*Bull!$I$15*B$20)/($A24-B$20)/(1+$A24)^Bull!$I$4+Inputs!$B$16+Inputs!$B$14-Inputs!$B$15)/Inputs!$B$9))</f>
        <v/>
      </c>
      <c r="C24" s="44">
        <f>MAX(0,IF($A24&lt;=C$20,0,(SUMPRODUCT(Bull!$C$29:$I$29,1/(1+$A24)^Bull!$C$4:$I$4)+(Bull!$I$25*(1+C$20)+Bull!$I$26*(1+C$20)*(1-Inputs!$B$64)-Inputs!$B$65*Bull!$I$15*C$20)/($A24-C$20)/(1+$A24)^Bull!$I$4+Inputs!$B$16+Inputs!$B$14-Inputs!$B$15)/Inputs!$B$9))</f>
        <v/>
      </c>
      <c r="D24" s="44">
        <f>MAX(0,IF($A24&lt;=D$20,0,(SUMPRODUCT(Bull!$C$29:$I$29,1/(1+$A24)^Bull!$C$4:$I$4)+(Bull!$I$25*(1+D$20)+Bull!$I$26*(1+D$20)*(1-Inputs!$B$64)-Inputs!$B$65*Bull!$I$15*D$20)/($A24-D$20)/(1+$A24)^Bull!$I$4+Inputs!$B$16+Inputs!$B$14-Inputs!$B$15)/Inputs!$B$9))</f>
        <v/>
      </c>
      <c r="E24" s="44">
        <f>MAX(0,IF($A24&lt;=E$20,0,(SUMPRODUCT(Bull!$C$29:$I$29,1/(1+$A24)^Bull!$C$4:$I$4)+(Bull!$I$25*(1+E$20)+Bull!$I$26*(1+E$20)*(1-Inputs!$B$64)-Inputs!$B$65*Bull!$I$15*E$20)/($A24-E$20)/(1+$A24)^Bull!$I$4+Inputs!$B$16+Inputs!$B$14-Inputs!$B$15)/Inputs!$B$9))</f>
        <v/>
      </c>
      <c r="F24" s="44">
        <f>MAX(0,IF($A24&lt;=F$20,0,(SUMPRODUCT(Bull!$C$29:$I$29,1/(1+$A24)^Bull!$C$4:$I$4)+(Bull!$I$25*(1+F$20)+Bull!$I$26*(1+F$20)*(1-Inputs!$B$64)-Inputs!$B$65*Bull!$I$15*F$20)/($A24-F$20)/(1+$A24)^Bull!$I$4+Inputs!$B$16+Inputs!$B$14-Inputs!$B$15)/Inputs!$B$9))</f>
        <v/>
      </c>
    </row>
    <row r="25">
      <c r="A25" s="43" t="n">
        <v>0.125</v>
      </c>
      <c r="B25" s="44">
        <f>MAX(0,IF($A25&lt;=B$20,0,(SUMPRODUCT(Bull!$C$29:$I$29,1/(1+$A25)^Bull!$C$4:$I$4)+(Bull!$I$25*(1+B$20)+Bull!$I$26*(1+B$20)*(1-Inputs!$B$64)-Inputs!$B$65*Bull!$I$15*B$20)/($A25-B$20)/(1+$A25)^Bull!$I$4+Inputs!$B$16+Inputs!$B$14-Inputs!$B$15)/Inputs!$B$9))</f>
        <v/>
      </c>
      <c r="C25" s="44">
        <f>MAX(0,IF($A25&lt;=C$20,0,(SUMPRODUCT(Bull!$C$29:$I$29,1/(1+$A25)^Bull!$C$4:$I$4)+(Bull!$I$25*(1+C$20)+Bull!$I$26*(1+C$20)*(1-Inputs!$B$64)-Inputs!$B$65*Bull!$I$15*C$20)/($A25-C$20)/(1+$A25)^Bull!$I$4+Inputs!$B$16+Inputs!$B$14-Inputs!$B$15)/Inputs!$B$9))</f>
        <v/>
      </c>
      <c r="D25" s="44">
        <f>MAX(0,IF($A25&lt;=D$20,0,(SUMPRODUCT(Bull!$C$29:$I$29,1/(1+$A25)^Bull!$C$4:$I$4)+(Bull!$I$25*(1+D$20)+Bull!$I$26*(1+D$20)*(1-Inputs!$B$64)-Inputs!$B$65*Bull!$I$15*D$20)/($A25-D$20)/(1+$A25)^Bull!$I$4+Inputs!$B$16+Inputs!$B$14-Inputs!$B$15)/Inputs!$B$9))</f>
        <v/>
      </c>
      <c r="E25" s="44">
        <f>MAX(0,IF($A25&lt;=E$20,0,(SUMPRODUCT(Bull!$C$29:$I$29,1/(1+$A25)^Bull!$C$4:$I$4)+(Bull!$I$25*(1+E$20)+Bull!$I$26*(1+E$20)*(1-Inputs!$B$64)-Inputs!$B$65*Bull!$I$15*E$20)/($A25-E$20)/(1+$A25)^Bull!$I$4+Inputs!$B$16+Inputs!$B$14-Inputs!$B$15)/Inputs!$B$9))</f>
        <v/>
      </c>
      <c r="F25" s="44">
        <f>MAX(0,IF($A25&lt;=F$20,0,(SUMPRODUCT(Bull!$C$29:$I$29,1/(1+$A25)^Bull!$C$4:$I$4)+(Bull!$I$25*(1+F$20)+Bull!$I$26*(1+F$20)*(1-Inputs!$B$64)-Inputs!$B$65*Bull!$I$15*F$20)/($A25-F$20)/(1+$A25)^Bull!$I$4+Inputs!$B$16+Inputs!$B$14-Inputs!$B$15)/Inputs!$B$9))</f>
        <v/>
      </c>
    </row>
    <row r="27">
      <c r="A27" s="1" t="inlineStr">
        <is>
          <t>Taiwan scenario: value/share vs WACC and terminal growth (live formulas)</t>
        </is>
      </c>
    </row>
    <row r="28">
      <c r="A28" s="2" t="inlineStr">
        <is>
          <t>WACC (down) / terminal g (across)</t>
        </is>
      </c>
      <c r="B28" s="43" t="n">
        <v>0.02</v>
      </c>
      <c r="C28" s="43" t="n">
        <v>0.025</v>
      </c>
      <c r="D28" s="43" t="n">
        <v>0.03</v>
      </c>
      <c r="E28" s="43" t="n">
        <v>0.035</v>
      </c>
      <c r="F28" s="43" t="n">
        <v>0.04</v>
      </c>
    </row>
    <row r="29">
      <c r="A29" s="43" t="n">
        <v>0.08500000000000001</v>
      </c>
      <c r="B29" s="44">
        <f>MAX(0,IF($A29&lt;=B$28,0,(SUMPRODUCT(Taiwan!$C$29:$I$29,1/(1+$A29)^Taiwan!$C$4:$I$4)+(Taiwan!$I$25*(1+B$28)+Taiwan!$I$26*(1+B$28)*(1-Inputs!$B$64)-Inputs!$B$65*Taiwan!$I$15*B$28)/($A29-B$28)/(1+$A29)^Taiwan!$I$4+Inputs!$B$16+Inputs!$B$14-Inputs!$B$15)/Inputs!$B$9))</f>
        <v/>
      </c>
      <c r="C29" s="44">
        <f>MAX(0,IF($A29&lt;=C$28,0,(SUMPRODUCT(Taiwan!$C$29:$I$29,1/(1+$A29)^Taiwan!$C$4:$I$4)+(Taiwan!$I$25*(1+C$28)+Taiwan!$I$26*(1+C$28)*(1-Inputs!$B$64)-Inputs!$B$65*Taiwan!$I$15*C$28)/($A29-C$28)/(1+$A29)^Taiwan!$I$4+Inputs!$B$16+Inputs!$B$14-Inputs!$B$15)/Inputs!$B$9))</f>
        <v/>
      </c>
      <c r="D29" s="44">
        <f>MAX(0,IF($A29&lt;=D$28,0,(SUMPRODUCT(Taiwan!$C$29:$I$29,1/(1+$A29)^Taiwan!$C$4:$I$4)+(Taiwan!$I$25*(1+D$28)+Taiwan!$I$26*(1+D$28)*(1-Inputs!$B$64)-Inputs!$B$65*Taiwan!$I$15*D$28)/($A29-D$28)/(1+$A29)^Taiwan!$I$4+Inputs!$B$16+Inputs!$B$14-Inputs!$B$15)/Inputs!$B$9))</f>
        <v/>
      </c>
      <c r="E29" s="44">
        <f>MAX(0,IF($A29&lt;=E$28,0,(SUMPRODUCT(Taiwan!$C$29:$I$29,1/(1+$A29)^Taiwan!$C$4:$I$4)+(Taiwan!$I$25*(1+E$28)+Taiwan!$I$26*(1+E$28)*(1-Inputs!$B$64)-Inputs!$B$65*Taiwan!$I$15*E$28)/($A29-E$28)/(1+$A29)^Taiwan!$I$4+Inputs!$B$16+Inputs!$B$14-Inputs!$B$15)/Inputs!$B$9))</f>
        <v/>
      </c>
      <c r="F29" s="44">
        <f>MAX(0,IF($A29&lt;=F$28,0,(SUMPRODUCT(Taiwan!$C$29:$I$29,1/(1+$A29)^Taiwan!$C$4:$I$4)+(Taiwan!$I$25*(1+F$28)+Taiwan!$I$26*(1+F$28)*(1-Inputs!$B$64)-Inputs!$B$65*Taiwan!$I$15*F$28)/($A29-F$28)/(1+$A29)^Taiwan!$I$4+Inputs!$B$16+Inputs!$B$14-Inputs!$B$15)/Inputs!$B$9))</f>
        <v/>
      </c>
    </row>
    <row r="30">
      <c r="A30" s="43" t="n">
        <v>0.095</v>
      </c>
      <c r="B30" s="44">
        <f>MAX(0,IF($A30&lt;=B$28,0,(SUMPRODUCT(Taiwan!$C$29:$I$29,1/(1+$A30)^Taiwan!$C$4:$I$4)+(Taiwan!$I$25*(1+B$28)+Taiwan!$I$26*(1+B$28)*(1-Inputs!$B$64)-Inputs!$B$65*Taiwan!$I$15*B$28)/($A30-B$28)/(1+$A30)^Taiwan!$I$4+Inputs!$B$16+Inputs!$B$14-Inputs!$B$15)/Inputs!$B$9))</f>
        <v/>
      </c>
      <c r="C30" s="44">
        <f>MAX(0,IF($A30&lt;=C$28,0,(SUMPRODUCT(Taiwan!$C$29:$I$29,1/(1+$A30)^Taiwan!$C$4:$I$4)+(Taiwan!$I$25*(1+C$28)+Taiwan!$I$26*(1+C$28)*(1-Inputs!$B$64)-Inputs!$B$65*Taiwan!$I$15*C$28)/($A30-C$28)/(1+$A30)^Taiwan!$I$4+Inputs!$B$16+Inputs!$B$14-Inputs!$B$15)/Inputs!$B$9))</f>
        <v/>
      </c>
      <c r="D30" s="44">
        <f>MAX(0,IF($A30&lt;=D$28,0,(SUMPRODUCT(Taiwan!$C$29:$I$29,1/(1+$A30)^Taiwan!$C$4:$I$4)+(Taiwan!$I$25*(1+D$28)+Taiwan!$I$26*(1+D$28)*(1-Inputs!$B$64)-Inputs!$B$65*Taiwan!$I$15*D$28)/($A30-D$28)/(1+$A30)^Taiwan!$I$4+Inputs!$B$16+Inputs!$B$14-Inputs!$B$15)/Inputs!$B$9))</f>
        <v/>
      </c>
      <c r="E30" s="44">
        <f>MAX(0,IF($A30&lt;=E$28,0,(SUMPRODUCT(Taiwan!$C$29:$I$29,1/(1+$A30)^Taiwan!$C$4:$I$4)+(Taiwan!$I$25*(1+E$28)+Taiwan!$I$26*(1+E$28)*(1-Inputs!$B$64)-Inputs!$B$65*Taiwan!$I$15*E$28)/($A30-E$28)/(1+$A30)^Taiwan!$I$4+Inputs!$B$16+Inputs!$B$14-Inputs!$B$15)/Inputs!$B$9))</f>
        <v/>
      </c>
      <c r="F30" s="44">
        <f>MAX(0,IF($A30&lt;=F$28,0,(SUMPRODUCT(Taiwan!$C$29:$I$29,1/(1+$A30)^Taiwan!$C$4:$I$4)+(Taiwan!$I$25*(1+F$28)+Taiwan!$I$26*(1+F$28)*(1-Inputs!$B$64)-Inputs!$B$65*Taiwan!$I$15*F$28)/($A30-F$28)/(1+$A30)^Taiwan!$I$4+Inputs!$B$16+Inputs!$B$14-Inputs!$B$15)/Inputs!$B$9))</f>
        <v/>
      </c>
    </row>
    <row r="31">
      <c r="A31" s="43" t="n">
        <v>0.105</v>
      </c>
      <c r="B31" s="44">
        <f>MAX(0,IF($A31&lt;=B$28,0,(SUMPRODUCT(Taiwan!$C$29:$I$29,1/(1+$A31)^Taiwan!$C$4:$I$4)+(Taiwan!$I$25*(1+B$28)+Taiwan!$I$26*(1+B$28)*(1-Inputs!$B$64)-Inputs!$B$65*Taiwan!$I$15*B$28)/($A31-B$28)/(1+$A31)^Taiwan!$I$4+Inputs!$B$16+Inputs!$B$14-Inputs!$B$15)/Inputs!$B$9))</f>
        <v/>
      </c>
      <c r="C31" s="44">
        <f>MAX(0,IF($A31&lt;=C$28,0,(SUMPRODUCT(Taiwan!$C$29:$I$29,1/(1+$A31)^Taiwan!$C$4:$I$4)+(Taiwan!$I$25*(1+C$28)+Taiwan!$I$26*(1+C$28)*(1-Inputs!$B$64)-Inputs!$B$65*Taiwan!$I$15*C$28)/($A31-C$28)/(1+$A31)^Taiwan!$I$4+Inputs!$B$16+Inputs!$B$14-Inputs!$B$15)/Inputs!$B$9))</f>
        <v/>
      </c>
      <c r="D31" s="44">
        <f>MAX(0,IF($A31&lt;=D$28,0,(SUMPRODUCT(Taiwan!$C$29:$I$29,1/(1+$A31)^Taiwan!$C$4:$I$4)+(Taiwan!$I$25*(1+D$28)+Taiwan!$I$26*(1+D$28)*(1-Inputs!$B$64)-Inputs!$B$65*Taiwan!$I$15*D$28)/($A31-D$28)/(1+$A31)^Taiwan!$I$4+Inputs!$B$16+Inputs!$B$14-Inputs!$B$15)/Inputs!$B$9))</f>
        <v/>
      </c>
      <c r="E31" s="44">
        <f>MAX(0,IF($A31&lt;=E$28,0,(SUMPRODUCT(Taiwan!$C$29:$I$29,1/(1+$A31)^Taiwan!$C$4:$I$4)+(Taiwan!$I$25*(1+E$28)+Taiwan!$I$26*(1+E$28)*(1-Inputs!$B$64)-Inputs!$B$65*Taiwan!$I$15*E$28)/($A31-E$28)/(1+$A31)^Taiwan!$I$4+Inputs!$B$16+Inputs!$B$14-Inputs!$B$15)/Inputs!$B$9))</f>
        <v/>
      </c>
      <c r="F31" s="44">
        <f>MAX(0,IF($A31&lt;=F$28,0,(SUMPRODUCT(Taiwan!$C$29:$I$29,1/(1+$A31)^Taiwan!$C$4:$I$4)+(Taiwan!$I$25*(1+F$28)+Taiwan!$I$26*(1+F$28)*(1-Inputs!$B$64)-Inputs!$B$65*Taiwan!$I$15*F$28)/($A31-F$28)/(1+$A31)^Taiwan!$I$4+Inputs!$B$16+Inputs!$B$14-Inputs!$B$15)/Inputs!$B$9))</f>
        <v/>
      </c>
    </row>
    <row r="32">
      <c r="A32" s="43" t="n">
        <v>0.115</v>
      </c>
      <c r="B32" s="44">
        <f>MAX(0,IF($A32&lt;=B$28,0,(SUMPRODUCT(Taiwan!$C$29:$I$29,1/(1+$A32)^Taiwan!$C$4:$I$4)+(Taiwan!$I$25*(1+B$28)+Taiwan!$I$26*(1+B$28)*(1-Inputs!$B$64)-Inputs!$B$65*Taiwan!$I$15*B$28)/($A32-B$28)/(1+$A32)^Taiwan!$I$4+Inputs!$B$16+Inputs!$B$14-Inputs!$B$15)/Inputs!$B$9))</f>
        <v/>
      </c>
      <c r="C32" s="44">
        <f>MAX(0,IF($A32&lt;=C$28,0,(SUMPRODUCT(Taiwan!$C$29:$I$29,1/(1+$A32)^Taiwan!$C$4:$I$4)+(Taiwan!$I$25*(1+C$28)+Taiwan!$I$26*(1+C$28)*(1-Inputs!$B$64)-Inputs!$B$65*Taiwan!$I$15*C$28)/($A32-C$28)/(1+$A32)^Taiwan!$I$4+Inputs!$B$16+Inputs!$B$14-Inputs!$B$15)/Inputs!$B$9))</f>
        <v/>
      </c>
      <c r="D32" s="44">
        <f>MAX(0,IF($A32&lt;=D$28,0,(SUMPRODUCT(Taiwan!$C$29:$I$29,1/(1+$A32)^Taiwan!$C$4:$I$4)+(Taiwan!$I$25*(1+D$28)+Taiwan!$I$26*(1+D$28)*(1-Inputs!$B$64)-Inputs!$B$65*Taiwan!$I$15*D$28)/($A32-D$28)/(1+$A32)^Taiwan!$I$4+Inputs!$B$16+Inputs!$B$14-Inputs!$B$15)/Inputs!$B$9))</f>
        <v/>
      </c>
      <c r="E32" s="44">
        <f>MAX(0,IF($A32&lt;=E$28,0,(SUMPRODUCT(Taiwan!$C$29:$I$29,1/(1+$A32)^Taiwan!$C$4:$I$4)+(Taiwan!$I$25*(1+E$28)+Taiwan!$I$26*(1+E$28)*(1-Inputs!$B$64)-Inputs!$B$65*Taiwan!$I$15*E$28)/($A32-E$28)/(1+$A32)^Taiwan!$I$4+Inputs!$B$16+Inputs!$B$14-Inputs!$B$15)/Inputs!$B$9))</f>
        <v/>
      </c>
      <c r="F32" s="44">
        <f>MAX(0,IF($A32&lt;=F$28,0,(SUMPRODUCT(Taiwan!$C$29:$I$29,1/(1+$A32)^Taiwan!$C$4:$I$4)+(Taiwan!$I$25*(1+F$28)+Taiwan!$I$26*(1+F$28)*(1-Inputs!$B$64)-Inputs!$B$65*Taiwan!$I$15*F$28)/($A32-F$28)/(1+$A32)^Taiwan!$I$4+Inputs!$B$16+Inputs!$B$14-Inputs!$B$15)/Inputs!$B$9))</f>
        <v/>
      </c>
    </row>
    <row r="33">
      <c r="A33" s="43" t="n">
        <v>0.125</v>
      </c>
      <c r="B33" s="44">
        <f>MAX(0,IF($A33&lt;=B$28,0,(SUMPRODUCT(Taiwan!$C$29:$I$29,1/(1+$A33)^Taiwan!$C$4:$I$4)+(Taiwan!$I$25*(1+B$28)+Taiwan!$I$26*(1+B$28)*(1-Inputs!$B$64)-Inputs!$B$65*Taiwan!$I$15*B$28)/($A33-B$28)/(1+$A33)^Taiwan!$I$4+Inputs!$B$16+Inputs!$B$14-Inputs!$B$15)/Inputs!$B$9))</f>
        <v/>
      </c>
      <c r="C33" s="44">
        <f>MAX(0,IF($A33&lt;=C$28,0,(SUMPRODUCT(Taiwan!$C$29:$I$29,1/(1+$A33)^Taiwan!$C$4:$I$4)+(Taiwan!$I$25*(1+C$28)+Taiwan!$I$26*(1+C$28)*(1-Inputs!$B$64)-Inputs!$B$65*Taiwan!$I$15*C$28)/($A33-C$28)/(1+$A33)^Taiwan!$I$4+Inputs!$B$16+Inputs!$B$14-Inputs!$B$15)/Inputs!$B$9))</f>
        <v/>
      </c>
      <c r="D33" s="44">
        <f>MAX(0,IF($A33&lt;=D$28,0,(SUMPRODUCT(Taiwan!$C$29:$I$29,1/(1+$A33)^Taiwan!$C$4:$I$4)+(Taiwan!$I$25*(1+D$28)+Taiwan!$I$26*(1+D$28)*(1-Inputs!$B$64)-Inputs!$B$65*Taiwan!$I$15*D$28)/($A33-D$28)/(1+$A33)^Taiwan!$I$4+Inputs!$B$16+Inputs!$B$14-Inputs!$B$15)/Inputs!$B$9))</f>
        <v/>
      </c>
      <c r="E33" s="44">
        <f>MAX(0,IF($A33&lt;=E$28,0,(SUMPRODUCT(Taiwan!$C$29:$I$29,1/(1+$A33)^Taiwan!$C$4:$I$4)+(Taiwan!$I$25*(1+E$28)+Taiwan!$I$26*(1+E$28)*(1-Inputs!$B$64)-Inputs!$B$65*Taiwan!$I$15*E$28)/($A33-E$28)/(1+$A33)^Taiwan!$I$4+Inputs!$B$16+Inputs!$B$14-Inputs!$B$15)/Inputs!$B$9))</f>
        <v/>
      </c>
      <c r="F33" s="44">
        <f>MAX(0,IF($A33&lt;=F$28,0,(SUMPRODUCT(Taiwan!$C$29:$I$29,1/(1+$A33)^Taiwan!$C$4:$I$4)+(Taiwan!$I$25*(1+F$28)+Taiwan!$I$26*(1+F$28)*(1-Inputs!$B$64)-Inputs!$B$65*Taiwan!$I$15*F$28)/($A33-F$28)/(1+$A33)^Taiwan!$I$4+Inputs!$B$16+Inputs!$B$14-Inputs!$B$15)/Inputs!$B$9))</f>
        <v/>
      </c>
    </row>
    <row r="35">
      <c r="A35" s="1" t="inlineStr">
        <is>
          <t>TaiwanMax scenario: value/share vs WACC and terminal growth (live formulas)</t>
        </is>
      </c>
    </row>
    <row r="36">
      <c r="A36" s="2" t="inlineStr">
        <is>
          <t>WACC (down) / terminal g (across)</t>
        </is>
      </c>
      <c r="B36" s="43" t="n">
        <v>0.02</v>
      </c>
      <c r="C36" s="43" t="n">
        <v>0.025</v>
      </c>
      <c r="D36" s="43" t="n">
        <v>0.03</v>
      </c>
      <c r="E36" s="43" t="n">
        <v>0.035</v>
      </c>
      <c r="F36" s="43" t="n">
        <v>0.04</v>
      </c>
    </row>
    <row r="37">
      <c r="A37" s="43" t="n">
        <v>0.08500000000000001</v>
      </c>
      <c r="B37" s="44">
        <f>MAX(0,IF($A37&lt;=B$36,0,(SUMPRODUCT(TaiwanMax!$C$29:$I$29,1/(1+$A37)^TaiwanMax!$C$4:$I$4)+(TaiwanMax!$I$25*(1+B$36)+TaiwanMax!$I$26*(1+B$36)*(1-Inputs!$B$64)-Inputs!$B$65*TaiwanMax!$I$15*B$36)/($A37-B$36)/(1+$A37)^TaiwanMax!$I$4+Inputs!$B$16+Inputs!$B$14-Inputs!$B$15-Inputs!$B$76)/Inputs!$B$9))</f>
        <v/>
      </c>
      <c r="C37" s="44">
        <f>MAX(0,IF($A37&lt;=C$36,0,(SUMPRODUCT(TaiwanMax!$C$29:$I$29,1/(1+$A37)^TaiwanMax!$C$4:$I$4)+(TaiwanMax!$I$25*(1+C$36)+TaiwanMax!$I$26*(1+C$36)*(1-Inputs!$B$64)-Inputs!$B$65*TaiwanMax!$I$15*C$36)/($A37-C$36)/(1+$A37)^TaiwanMax!$I$4+Inputs!$B$16+Inputs!$B$14-Inputs!$B$15-Inputs!$B$76)/Inputs!$B$9))</f>
        <v/>
      </c>
      <c r="D37" s="44">
        <f>MAX(0,IF($A37&lt;=D$36,0,(SUMPRODUCT(TaiwanMax!$C$29:$I$29,1/(1+$A37)^TaiwanMax!$C$4:$I$4)+(TaiwanMax!$I$25*(1+D$36)+TaiwanMax!$I$26*(1+D$36)*(1-Inputs!$B$64)-Inputs!$B$65*TaiwanMax!$I$15*D$36)/($A37-D$36)/(1+$A37)^TaiwanMax!$I$4+Inputs!$B$16+Inputs!$B$14-Inputs!$B$15-Inputs!$B$76)/Inputs!$B$9))</f>
        <v/>
      </c>
      <c r="E37" s="44">
        <f>MAX(0,IF($A37&lt;=E$36,0,(SUMPRODUCT(TaiwanMax!$C$29:$I$29,1/(1+$A37)^TaiwanMax!$C$4:$I$4)+(TaiwanMax!$I$25*(1+E$36)+TaiwanMax!$I$26*(1+E$36)*(1-Inputs!$B$64)-Inputs!$B$65*TaiwanMax!$I$15*E$36)/($A37-E$36)/(1+$A37)^TaiwanMax!$I$4+Inputs!$B$16+Inputs!$B$14-Inputs!$B$15-Inputs!$B$76)/Inputs!$B$9))</f>
        <v/>
      </c>
      <c r="F37" s="44">
        <f>MAX(0,IF($A37&lt;=F$36,0,(SUMPRODUCT(TaiwanMax!$C$29:$I$29,1/(1+$A37)^TaiwanMax!$C$4:$I$4)+(TaiwanMax!$I$25*(1+F$36)+TaiwanMax!$I$26*(1+F$36)*(1-Inputs!$B$64)-Inputs!$B$65*TaiwanMax!$I$15*F$36)/($A37-F$36)/(1+$A37)^TaiwanMax!$I$4+Inputs!$B$16+Inputs!$B$14-Inputs!$B$15-Inputs!$B$76)/Inputs!$B$9))</f>
        <v/>
      </c>
    </row>
    <row r="38">
      <c r="A38" s="43" t="n">
        <v>0.095</v>
      </c>
      <c r="B38" s="44">
        <f>MAX(0,IF($A38&lt;=B$36,0,(SUMPRODUCT(TaiwanMax!$C$29:$I$29,1/(1+$A38)^TaiwanMax!$C$4:$I$4)+(TaiwanMax!$I$25*(1+B$36)+TaiwanMax!$I$26*(1+B$36)*(1-Inputs!$B$64)-Inputs!$B$65*TaiwanMax!$I$15*B$36)/($A38-B$36)/(1+$A38)^TaiwanMax!$I$4+Inputs!$B$16+Inputs!$B$14-Inputs!$B$15-Inputs!$B$76)/Inputs!$B$9))</f>
        <v/>
      </c>
      <c r="C38" s="44">
        <f>MAX(0,IF($A38&lt;=C$36,0,(SUMPRODUCT(TaiwanMax!$C$29:$I$29,1/(1+$A38)^TaiwanMax!$C$4:$I$4)+(TaiwanMax!$I$25*(1+C$36)+TaiwanMax!$I$26*(1+C$36)*(1-Inputs!$B$64)-Inputs!$B$65*TaiwanMax!$I$15*C$36)/($A38-C$36)/(1+$A38)^TaiwanMax!$I$4+Inputs!$B$16+Inputs!$B$14-Inputs!$B$15-Inputs!$B$76)/Inputs!$B$9))</f>
        <v/>
      </c>
      <c r="D38" s="44">
        <f>MAX(0,IF($A38&lt;=D$36,0,(SUMPRODUCT(TaiwanMax!$C$29:$I$29,1/(1+$A38)^TaiwanMax!$C$4:$I$4)+(TaiwanMax!$I$25*(1+D$36)+TaiwanMax!$I$26*(1+D$36)*(1-Inputs!$B$64)-Inputs!$B$65*TaiwanMax!$I$15*D$36)/($A38-D$36)/(1+$A38)^TaiwanMax!$I$4+Inputs!$B$16+Inputs!$B$14-Inputs!$B$15-Inputs!$B$76)/Inputs!$B$9))</f>
        <v/>
      </c>
      <c r="E38" s="44">
        <f>MAX(0,IF($A38&lt;=E$36,0,(SUMPRODUCT(TaiwanMax!$C$29:$I$29,1/(1+$A38)^TaiwanMax!$C$4:$I$4)+(TaiwanMax!$I$25*(1+E$36)+TaiwanMax!$I$26*(1+E$36)*(1-Inputs!$B$64)-Inputs!$B$65*TaiwanMax!$I$15*E$36)/($A38-E$36)/(1+$A38)^TaiwanMax!$I$4+Inputs!$B$16+Inputs!$B$14-Inputs!$B$15-Inputs!$B$76)/Inputs!$B$9))</f>
        <v/>
      </c>
      <c r="F38" s="44">
        <f>MAX(0,IF($A38&lt;=F$36,0,(SUMPRODUCT(TaiwanMax!$C$29:$I$29,1/(1+$A38)^TaiwanMax!$C$4:$I$4)+(TaiwanMax!$I$25*(1+F$36)+TaiwanMax!$I$26*(1+F$36)*(1-Inputs!$B$64)-Inputs!$B$65*TaiwanMax!$I$15*F$36)/($A38-F$36)/(1+$A38)^TaiwanMax!$I$4+Inputs!$B$16+Inputs!$B$14-Inputs!$B$15-Inputs!$B$76)/Inputs!$B$9))</f>
        <v/>
      </c>
    </row>
    <row r="39">
      <c r="A39" s="43" t="n">
        <v>0.105</v>
      </c>
      <c r="B39" s="44">
        <f>MAX(0,IF($A39&lt;=B$36,0,(SUMPRODUCT(TaiwanMax!$C$29:$I$29,1/(1+$A39)^TaiwanMax!$C$4:$I$4)+(TaiwanMax!$I$25*(1+B$36)+TaiwanMax!$I$26*(1+B$36)*(1-Inputs!$B$64)-Inputs!$B$65*TaiwanMax!$I$15*B$36)/($A39-B$36)/(1+$A39)^TaiwanMax!$I$4+Inputs!$B$16+Inputs!$B$14-Inputs!$B$15-Inputs!$B$76)/Inputs!$B$9))</f>
        <v/>
      </c>
      <c r="C39" s="44">
        <f>MAX(0,IF($A39&lt;=C$36,0,(SUMPRODUCT(TaiwanMax!$C$29:$I$29,1/(1+$A39)^TaiwanMax!$C$4:$I$4)+(TaiwanMax!$I$25*(1+C$36)+TaiwanMax!$I$26*(1+C$36)*(1-Inputs!$B$64)-Inputs!$B$65*TaiwanMax!$I$15*C$36)/($A39-C$36)/(1+$A39)^TaiwanMax!$I$4+Inputs!$B$16+Inputs!$B$14-Inputs!$B$15-Inputs!$B$76)/Inputs!$B$9))</f>
        <v/>
      </c>
      <c r="D39" s="44">
        <f>MAX(0,IF($A39&lt;=D$36,0,(SUMPRODUCT(TaiwanMax!$C$29:$I$29,1/(1+$A39)^TaiwanMax!$C$4:$I$4)+(TaiwanMax!$I$25*(1+D$36)+TaiwanMax!$I$26*(1+D$36)*(1-Inputs!$B$64)-Inputs!$B$65*TaiwanMax!$I$15*D$36)/($A39-D$36)/(1+$A39)^TaiwanMax!$I$4+Inputs!$B$16+Inputs!$B$14-Inputs!$B$15-Inputs!$B$76)/Inputs!$B$9))</f>
        <v/>
      </c>
      <c r="E39" s="44">
        <f>MAX(0,IF($A39&lt;=E$36,0,(SUMPRODUCT(TaiwanMax!$C$29:$I$29,1/(1+$A39)^TaiwanMax!$C$4:$I$4)+(TaiwanMax!$I$25*(1+E$36)+TaiwanMax!$I$26*(1+E$36)*(1-Inputs!$B$64)-Inputs!$B$65*TaiwanMax!$I$15*E$36)/($A39-E$36)/(1+$A39)^TaiwanMax!$I$4+Inputs!$B$16+Inputs!$B$14-Inputs!$B$15-Inputs!$B$76)/Inputs!$B$9))</f>
        <v/>
      </c>
      <c r="F39" s="44">
        <f>MAX(0,IF($A39&lt;=F$36,0,(SUMPRODUCT(TaiwanMax!$C$29:$I$29,1/(1+$A39)^TaiwanMax!$C$4:$I$4)+(TaiwanMax!$I$25*(1+F$36)+TaiwanMax!$I$26*(1+F$36)*(1-Inputs!$B$64)-Inputs!$B$65*TaiwanMax!$I$15*F$36)/($A39-F$36)/(1+$A39)^TaiwanMax!$I$4+Inputs!$B$16+Inputs!$B$14-Inputs!$B$15-Inputs!$B$76)/Inputs!$B$9))</f>
        <v/>
      </c>
    </row>
    <row r="40">
      <c r="A40" s="43" t="n">
        <v>0.115</v>
      </c>
      <c r="B40" s="44">
        <f>MAX(0,IF($A40&lt;=B$36,0,(SUMPRODUCT(TaiwanMax!$C$29:$I$29,1/(1+$A40)^TaiwanMax!$C$4:$I$4)+(TaiwanMax!$I$25*(1+B$36)+TaiwanMax!$I$26*(1+B$36)*(1-Inputs!$B$64)-Inputs!$B$65*TaiwanMax!$I$15*B$36)/($A40-B$36)/(1+$A40)^TaiwanMax!$I$4+Inputs!$B$16+Inputs!$B$14-Inputs!$B$15-Inputs!$B$76)/Inputs!$B$9))</f>
        <v/>
      </c>
      <c r="C40" s="44">
        <f>MAX(0,IF($A40&lt;=C$36,0,(SUMPRODUCT(TaiwanMax!$C$29:$I$29,1/(1+$A40)^TaiwanMax!$C$4:$I$4)+(TaiwanMax!$I$25*(1+C$36)+TaiwanMax!$I$26*(1+C$36)*(1-Inputs!$B$64)-Inputs!$B$65*TaiwanMax!$I$15*C$36)/($A40-C$36)/(1+$A40)^TaiwanMax!$I$4+Inputs!$B$16+Inputs!$B$14-Inputs!$B$15-Inputs!$B$76)/Inputs!$B$9))</f>
        <v/>
      </c>
      <c r="D40" s="44">
        <f>MAX(0,IF($A40&lt;=D$36,0,(SUMPRODUCT(TaiwanMax!$C$29:$I$29,1/(1+$A40)^TaiwanMax!$C$4:$I$4)+(TaiwanMax!$I$25*(1+D$36)+TaiwanMax!$I$26*(1+D$36)*(1-Inputs!$B$64)-Inputs!$B$65*TaiwanMax!$I$15*D$36)/($A40-D$36)/(1+$A40)^TaiwanMax!$I$4+Inputs!$B$16+Inputs!$B$14-Inputs!$B$15-Inputs!$B$76)/Inputs!$B$9))</f>
        <v/>
      </c>
      <c r="E40" s="44">
        <f>MAX(0,IF($A40&lt;=E$36,0,(SUMPRODUCT(TaiwanMax!$C$29:$I$29,1/(1+$A40)^TaiwanMax!$C$4:$I$4)+(TaiwanMax!$I$25*(1+E$36)+TaiwanMax!$I$26*(1+E$36)*(1-Inputs!$B$64)-Inputs!$B$65*TaiwanMax!$I$15*E$36)/($A40-E$36)/(1+$A40)^TaiwanMax!$I$4+Inputs!$B$16+Inputs!$B$14-Inputs!$B$15-Inputs!$B$76)/Inputs!$B$9))</f>
        <v/>
      </c>
      <c r="F40" s="44">
        <f>MAX(0,IF($A40&lt;=F$36,0,(SUMPRODUCT(TaiwanMax!$C$29:$I$29,1/(1+$A40)^TaiwanMax!$C$4:$I$4)+(TaiwanMax!$I$25*(1+F$36)+TaiwanMax!$I$26*(1+F$36)*(1-Inputs!$B$64)-Inputs!$B$65*TaiwanMax!$I$15*F$36)/($A40-F$36)/(1+$A40)^TaiwanMax!$I$4+Inputs!$B$16+Inputs!$B$14-Inputs!$B$15-Inputs!$B$76)/Inputs!$B$9))</f>
        <v/>
      </c>
    </row>
    <row r="41">
      <c r="A41" s="43" t="n">
        <v>0.125</v>
      </c>
      <c r="B41" s="44">
        <f>MAX(0,IF($A41&lt;=B$36,0,(SUMPRODUCT(TaiwanMax!$C$29:$I$29,1/(1+$A41)^TaiwanMax!$C$4:$I$4)+(TaiwanMax!$I$25*(1+B$36)+TaiwanMax!$I$26*(1+B$36)*(1-Inputs!$B$64)-Inputs!$B$65*TaiwanMax!$I$15*B$36)/($A41-B$36)/(1+$A41)^TaiwanMax!$I$4+Inputs!$B$16+Inputs!$B$14-Inputs!$B$15-Inputs!$B$76)/Inputs!$B$9))</f>
        <v/>
      </c>
      <c r="C41" s="44">
        <f>MAX(0,IF($A41&lt;=C$36,0,(SUMPRODUCT(TaiwanMax!$C$29:$I$29,1/(1+$A41)^TaiwanMax!$C$4:$I$4)+(TaiwanMax!$I$25*(1+C$36)+TaiwanMax!$I$26*(1+C$36)*(1-Inputs!$B$64)-Inputs!$B$65*TaiwanMax!$I$15*C$36)/($A41-C$36)/(1+$A41)^TaiwanMax!$I$4+Inputs!$B$16+Inputs!$B$14-Inputs!$B$15-Inputs!$B$76)/Inputs!$B$9))</f>
        <v/>
      </c>
      <c r="D41" s="44">
        <f>MAX(0,IF($A41&lt;=D$36,0,(SUMPRODUCT(TaiwanMax!$C$29:$I$29,1/(1+$A41)^TaiwanMax!$C$4:$I$4)+(TaiwanMax!$I$25*(1+D$36)+TaiwanMax!$I$26*(1+D$36)*(1-Inputs!$B$64)-Inputs!$B$65*TaiwanMax!$I$15*D$36)/($A41-D$36)/(1+$A41)^TaiwanMax!$I$4+Inputs!$B$16+Inputs!$B$14-Inputs!$B$15-Inputs!$B$76)/Inputs!$B$9))</f>
        <v/>
      </c>
      <c r="E41" s="44">
        <f>MAX(0,IF($A41&lt;=E$36,0,(SUMPRODUCT(TaiwanMax!$C$29:$I$29,1/(1+$A41)^TaiwanMax!$C$4:$I$4)+(TaiwanMax!$I$25*(1+E$36)+TaiwanMax!$I$26*(1+E$36)*(1-Inputs!$B$64)-Inputs!$B$65*TaiwanMax!$I$15*E$36)/($A41-E$36)/(1+$A41)^TaiwanMax!$I$4+Inputs!$B$16+Inputs!$B$14-Inputs!$B$15-Inputs!$B$76)/Inputs!$B$9))</f>
        <v/>
      </c>
      <c r="F41" s="44">
        <f>MAX(0,IF($A41&lt;=F$36,0,(SUMPRODUCT(TaiwanMax!$C$29:$I$29,1/(1+$A41)^TaiwanMax!$C$4:$I$4)+(TaiwanMax!$I$25*(1+F$36)+TaiwanMax!$I$26*(1+F$36)*(1-Inputs!$B$64)-Inputs!$B$65*TaiwanMax!$I$15*F$36)/($A41-F$36)/(1+$A41)^TaiwanMax!$I$4+Inputs!$B$16+Inputs!$B$14-Inputs!$B$15-Inputs!$B$76)/Inputs!$B$9))</f>
        <v/>
      </c>
    </row>
    <row r="43">
      <c r="A43" s="2" t="inlineStr">
        <is>
          <t>Current price ($)</t>
        </is>
      </c>
      <c r="B43" s="36">
        <f>Inputs!$B$4</f>
        <v/>
      </c>
    </row>
    <row r="45">
      <c r="A45" s="1" t="inlineStr">
        <is>
          <t>TORNADO (Base scenario): one input flexed at a time</t>
        </is>
      </c>
    </row>
    <row r="46">
      <c r="A46" s="20" t="inlineStr">
        <is>
          <t>Input flexed (Base scenario, others held)</t>
        </is>
      </c>
      <c r="B46" s="20" t="inlineStr">
        <is>
          <t>Low case $/sh</t>
        </is>
      </c>
      <c r="C46" s="20" t="inlineStr">
        <is>
          <t>High case $/sh</t>
        </is>
      </c>
      <c r="D46" s="20" t="inlineStr">
        <is>
          <t>Base $/sh</t>
        </is>
      </c>
      <c r="E46" s="20" t="inlineStr">
        <is>
          <t>Swing $/sh</t>
        </is>
      </c>
    </row>
    <row r="47">
      <c r="A47" s="2" t="inlineStr">
        <is>
          <t>Ext. foundry revenue x0.5 / x2.0</t>
        </is>
      </c>
      <c r="B47" s="45" t="n">
        <v>22.53</v>
      </c>
      <c r="C47" s="45" t="n">
        <v>38.02</v>
      </c>
      <c r="D47" s="46">
        <f>Base!B45</f>
        <v/>
      </c>
      <c r="E47" s="47">
        <f>C47-B47</f>
        <v/>
      </c>
    </row>
    <row r="48">
      <c r="A48" s="2" t="inlineStr">
        <is>
          <t>China erosion 10 pts/yr faster / 5 pts/yr slower</t>
        </is>
      </c>
      <c r="B48" s="45" t="n">
        <v>25.33</v>
      </c>
      <c r="C48" s="45" t="n">
        <v>29.49</v>
      </c>
      <c r="D48" s="46">
        <f>Base!B45</f>
        <v/>
      </c>
      <c r="E48" s="47">
        <f>C48-B48</f>
        <v/>
      </c>
    </row>
    <row r="49">
      <c r="A49" s="2" t="inlineStr">
        <is>
          <t>DCAI growth -3 / +3 pts per yr</t>
        </is>
      </c>
      <c r="B49" s="45" t="n">
        <v>23.62</v>
      </c>
      <c r="C49" s="45" t="n">
        <v>32.47</v>
      </c>
      <c r="D49" s="46">
        <f>Base!B45</f>
        <v/>
      </c>
      <c r="E49" s="47">
        <f>C49-B49</f>
        <v/>
      </c>
    </row>
    <row r="50">
      <c r="A50" s="2" t="inlineStr">
        <is>
          <t>Gross margin -3 / +3 pts, all years</t>
        </is>
      </c>
      <c r="B50" s="45" t="n">
        <v>23.12</v>
      </c>
      <c r="C50" s="45" t="n">
        <v>32.28</v>
      </c>
      <c r="D50" s="46">
        <f>Base!B45</f>
        <v/>
      </c>
      <c r="E50" s="47">
        <f>C50-B50</f>
        <v/>
      </c>
    </row>
    <row r="51">
      <c r="A51" s="2" t="inlineStr">
        <is>
          <t>Capex x1.15 / x0.85 (2027+)</t>
        </is>
      </c>
      <c r="B51" s="45" t="n">
        <v>25.55</v>
      </c>
      <c r="C51" s="45" t="n">
        <v>29.84</v>
      </c>
      <c r="D51" s="46">
        <f>Base!B45</f>
        <v/>
      </c>
      <c r="E51" s="47">
        <f>C51-B51</f>
        <v/>
      </c>
    </row>
    <row r="52">
      <c r="A52" s="48" t="inlineStr">
        <is>
          <t>Tornado values are static: computed by setting each Inputs 'FLEX LEVER' and recalculating at the default inputs. Re-run them via the flex levers if you change base inputs. WACC and terminal-growth sensitivity: live grids above.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80" customWidth="1" min="10" max="10"/>
  </cols>
  <sheetData>
    <row r="1">
      <c r="A1" s="1" t="inlineStr">
        <is>
          <t>Deal overlay: what are Apple / Tesla-Terafab / OpenAI worth per share? (US$ bn)</t>
        </is>
      </c>
    </row>
    <row r="2">
      <c r="A2" s="2" t="inlineStr">
        <is>
          <t>Each deal valued as incremental free cash flow ON TOP of the Base scenario (generous: Base already has $15bn of external foundry revenue by 2033, some of which is Apple). Blue = editable assumption.</t>
        </is>
      </c>
    </row>
    <row r="4">
      <c r="A4" s="3" t="inlineStr">
        <is>
          <t>Deal / line</t>
        </is>
      </c>
      <c r="B4" s="3" t="inlineStr">
        <is>
          <t>2027</t>
        </is>
      </c>
      <c r="C4" s="3" t="inlineStr">
        <is>
          <t>2028</t>
        </is>
      </c>
      <c r="D4" s="3" t="inlineStr">
        <is>
          <t>2029</t>
        </is>
      </c>
      <c r="E4" s="3" t="inlineStr">
        <is>
          <t>2030</t>
        </is>
      </c>
      <c r="F4" s="3" t="inlineStr">
        <is>
          <t>2031</t>
        </is>
      </c>
      <c r="G4" s="3" t="inlineStr">
        <is>
          <t>2032</t>
        </is>
      </c>
      <c r="H4" s="3" t="inlineStr">
        <is>
          <t>2033</t>
        </is>
      </c>
      <c r="I4" s="3" t="inlineStr">
        <is>
          <t>Terminal</t>
        </is>
      </c>
    </row>
    <row r="5">
      <c r="A5" s="1" t="inlineStr">
        <is>
          <t>Apple (low-end M-series on 18A-P)</t>
        </is>
      </c>
      <c r="J5" s="2" t="inlineStr">
        <is>
          <t>Revenue path follows BofA's ~$10bn/yr by 2030 estimate; WSJ reports a PRELIMINARY deal (May 2026). Probability 70% = signed but not definitive. FCF margin after incremental capex.</t>
        </is>
      </c>
    </row>
    <row r="6">
      <c r="A6" s="2" t="inlineStr">
        <is>
          <t xml:space="preserve">  Incremental revenue</t>
        </is>
      </c>
      <c r="B6" s="49" t="n">
        <v>1</v>
      </c>
      <c r="C6" s="49" t="n">
        <v>4</v>
      </c>
      <c r="D6" s="49" t="n">
        <v>7</v>
      </c>
      <c r="E6" s="49" t="n">
        <v>10</v>
      </c>
      <c r="F6" s="49" t="n">
        <v>10.3</v>
      </c>
      <c r="G6" s="49" t="n">
        <v>10.6</v>
      </c>
      <c r="H6" s="49" t="n">
        <v>10.9</v>
      </c>
    </row>
    <row r="7">
      <c r="A7" s="2" t="inlineStr">
        <is>
          <t xml:space="preserve">  FCF margin (after incremental capex)</t>
        </is>
      </c>
      <c r="B7" s="50" t="n">
        <v>0.15</v>
      </c>
      <c r="C7" s="50" t="n">
        <v>0.15</v>
      </c>
      <c r="D7" s="50" t="n">
        <v>0.15</v>
      </c>
      <c r="E7" s="50" t="n">
        <v>0.25</v>
      </c>
      <c r="F7" s="50" t="n">
        <v>0.25</v>
      </c>
      <c r="G7" s="50" t="n">
        <v>0.25</v>
      </c>
      <c r="H7" s="50" t="n">
        <v>0.25</v>
      </c>
    </row>
    <row r="8">
      <c r="A8" s="2" t="inlineStr">
        <is>
          <t xml:space="preserve">  Incremental FCF</t>
        </is>
      </c>
      <c r="B8" s="41">
        <f>B6*B7</f>
        <v/>
      </c>
      <c r="C8" s="41">
        <f>C6*C7</f>
        <v/>
      </c>
      <c r="D8" s="41">
        <f>D6*D7</f>
        <v/>
      </c>
      <c r="E8" s="41">
        <f>E6*E7</f>
        <v/>
      </c>
      <c r="F8" s="41">
        <f>F6*F7</f>
        <v/>
      </c>
      <c r="G8" s="41">
        <f>G6*G7</f>
        <v/>
      </c>
      <c r="H8" s="41">
        <f>H6*H7</f>
        <v/>
      </c>
      <c r="I8" s="41">
        <f>H8*(1+Inputs!$B$63)</f>
        <v/>
      </c>
    </row>
    <row r="9">
      <c r="A9" s="2" t="inlineStr">
        <is>
          <t xml:space="preserve">  Discount factor</t>
        </is>
      </c>
      <c r="B9" s="17">
        <f>1/(1+Inputs!$B$62)^(Inputs!$B$67+1)</f>
        <v/>
      </c>
      <c r="C9" s="17">
        <f>1/(1+Inputs!$B$62)^(Inputs!$B$67+2)</f>
        <v/>
      </c>
      <c r="D9" s="17">
        <f>1/(1+Inputs!$B$62)^(Inputs!$B$67+3)</f>
        <v/>
      </c>
      <c r="E9" s="17">
        <f>1/(1+Inputs!$B$62)^(Inputs!$B$67+4)</f>
        <v/>
      </c>
      <c r="F9" s="17">
        <f>1/(1+Inputs!$B$62)^(Inputs!$B$67+5)</f>
        <v/>
      </c>
      <c r="G9" s="17">
        <f>1/(1+Inputs!$B$62)^(Inputs!$B$67+6)</f>
        <v/>
      </c>
      <c r="H9" s="17">
        <f>1/(1+Inputs!$B$62)^(Inputs!$B$67+7)</f>
        <v/>
      </c>
    </row>
    <row r="10">
      <c r="A10" s="2" t="inlineStr">
        <is>
          <t xml:space="preserve">  PV of FCF</t>
        </is>
      </c>
      <c r="B10" s="41">
        <f>B8*B9</f>
        <v/>
      </c>
      <c r="C10" s="41">
        <f>C8*C9</f>
        <v/>
      </c>
      <c r="D10" s="41">
        <f>D8*D9</f>
        <v/>
      </c>
      <c r="E10" s="41">
        <f>E8*E9</f>
        <v/>
      </c>
      <c r="F10" s="41">
        <f>F8*F9</f>
        <v/>
      </c>
      <c r="G10" s="41">
        <f>G8*G9</f>
        <v/>
      </c>
      <c r="H10" s="41">
        <f>H8*H9</f>
        <v/>
      </c>
      <c r="I10" s="41">
        <f>IF(Inputs!$B$62&lt;=Inputs!$B$63,0,I8/(Inputs!$B$62-Inputs!$B$63)*H9)</f>
        <v/>
      </c>
    </row>
    <row r="11">
      <c r="A11" s="2" t="inlineStr">
        <is>
          <t xml:space="preserve">  Deal value if it happens ($bn)</t>
        </is>
      </c>
      <c r="B11" s="41">
        <f>SUM(B10:I10)</f>
        <v/>
      </c>
    </row>
    <row r="12">
      <c r="A12" s="2" t="inlineStr">
        <is>
          <t xml:space="preserve">  Per share if it happens ($)</t>
        </is>
      </c>
      <c r="B12" s="44">
        <f>IF(Inputs!$B$9=0,0,B11/Inputs!$B$9)</f>
        <v/>
      </c>
    </row>
    <row r="13">
      <c r="A13" s="2" t="inlineStr">
        <is>
          <t xml:space="preserve">  Probability (judgment)</t>
        </is>
      </c>
      <c r="B13" s="50" t="n">
        <v>0.7</v>
      </c>
    </row>
    <row r="14">
      <c r="A14" s="1" t="inlineStr">
        <is>
          <t xml:space="preserve">  Probability-weighted per share ($)</t>
        </is>
      </c>
      <c r="B14" s="51">
        <f>B12*B13</f>
        <v/>
      </c>
    </row>
    <row r="16">
      <c r="A16" s="1" t="inlineStr">
        <is>
          <t>Tesla / SpaceX / xAI Terafab (14A)</t>
        </is>
      </c>
      <c r="J16" s="2" t="inlineStr">
        <is>
          <t>Intel named foundry partner 7 Apr 2026; 14A reportedly selected. Pilot fab target 100k wafers/mo at $20-25bn. Intel's revenue model (wafer sales vs. process license/operating fees) undisclosed; assumes fees/partial wafer revenue with JV-funded fabs (hence 30% FCF margin).</t>
        </is>
      </c>
    </row>
    <row r="17">
      <c r="A17" s="2" t="inlineStr">
        <is>
          <t xml:space="preserve">  Incremental revenue</t>
        </is>
      </c>
      <c r="B17" s="49" t="n">
        <v>0</v>
      </c>
      <c r="C17" s="49" t="n">
        <v>0.3</v>
      </c>
      <c r="D17" s="49" t="n">
        <v>1</v>
      </c>
      <c r="E17" s="49" t="n">
        <v>3</v>
      </c>
      <c r="F17" s="49" t="n">
        <v>5</v>
      </c>
      <c r="G17" s="49" t="n">
        <v>5.5</v>
      </c>
      <c r="H17" s="49" t="n">
        <v>6</v>
      </c>
    </row>
    <row r="18">
      <c r="A18" s="2" t="inlineStr">
        <is>
          <t xml:space="preserve">  FCF margin (after incremental capex)</t>
        </is>
      </c>
      <c r="B18" s="50" t="n">
        <v>0.3</v>
      </c>
      <c r="C18" s="50" t="n">
        <v>0.3</v>
      </c>
      <c r="D18" s="50" t="n">
        <v>0.3</v>
      </c>
      <c r="E18" s="50" t="n">
        <v>0.3</v>
      </c>
      <c r="F18" s="50" t="n">
        <v>0.3</v>
      </c>
      <c r="G18" s="50" t="n">
        <v>0.3</v>
      </c>
      <c r="H18" s="50" t="n">
        <v>0.3</v>
      </c>
    </row>
    <row r="19">
      <c r="A19" s="2" t="inlineStr">
        <is>
          <t xml:space="preserve">  Incremental FCF</t>
        </is>
      </c>
      <c r="B19" s="41">
        <f>B17*B18</f>
        <v/>
      </c>
      <c r="C19" s="41">
        <f>C17*C18</f>
        <v/>
      </c>
      <c r="D19" s="41">
        <f>D17*D18</f>
        <v/>
      </c>
      <c r="E19" s="41">
        <f>E17*E18</f>
        <v/>
      </c>
      <c r="F19" s="41">
        <f>F17*F18</f>
        <v/>
      </c>
      <c r="G19" s="41">
        <f>G17*G18</f>
        <v/>
      </c>
      <c r="H19" s="41">
        <f>H17*H18</f>
        <v/>
      </c>
      <c r="I19" s="41">
        <f>H19*(1+Inputs!$B$63)</f>
        <v/>
      </c>
    </row>
    <row r="20">
      <c r="A20" s="2" t="inlineStr">
        <is>
          <t xml:space="preserve">  Discount factor</t>
        </is>
      </c>
      <c r="B20" s="17">
        <f>1/(1+Inputs!$B$62)^(Inputs!$B$67+1)</f>
        <v/>
      </c>
      <c r="C20" s="17">
        <f>1/(1+Inputs!$B$62)^(Inputs!$B$67+2)</f>
        <v/>
      </c>
      <c r="D20" s="17">
        <f>1/(1+Inputs!$B$62)^(Inputs!$B$67+3)</f>
        <v/>
      </c>
      <c r="E20" s="17">
        <f>1/(1+Inputs!$B$62)^(Inputs!$B$67+4)</f>
        <v/>
      </c>
      <c r="F20" s="17">
        <f>1/(1+Inputs!$B$62)^(Inputs!$B$67+5)</f>
        <v/>
      </c>
      <c r="G20" s="17">
        <f>1/(1+Inputs!$B$62)^(Inputs!$B$67+6)</f>
        <v/>
      </c>
      <c r="H20" s="17">
        <f>1/(1+Inputs!$B$62)^(Inputs!$B$67+7)</f>
        <v/>
      </c>
    </row>
    <row r="21">
      <c r="A21" s="2" t="inlineStr">
        <is>
          <t xml:space="preserve">  PV of FCF</t>
        </is>
      </c>
      <c r="B21" s="41">
        <f>B19*B20</f>
        <v/>
      </c>
      <c r="C21" s="41">
        <f>C19*C20</f>
        <v/>
      </c>
      <c r="D21" s="41">
        <f>D19*D20</f>
        <v/>
      </c>
      <c r="E21" s="41">
        <f>E19*E20</f>
        <v/>
      </c>
      <c r="F21" s="41">
        <f>F19*F20</f>
        <v/>
      </c>
      <c r="G21" s="41">
        <f>G19*G20</f>
        <v/>
      </c>
      <c r="H21" s="41">
        <f>H19*H20</f>
        <v/>
      </c>
      <c r="I21" s="41">
        <f>IF(Inputs!$B$62&lt;=Inputs!$B$63,0,I19/(Inputs!$B$62-Inputs!$B$63)*H20)</f>
        <v/>
      </c>
    </row>
    <row r="22">
      <c r="A22" s="2" t="inlineStr">
        <is>
          <t xml:space="preserve">  Deal value if it happens ($bn)</t>
        </is>
      </c>
      <c r="B22" s="41">
        <f>SUM(B21:I21)</f>
        <v/>
      </c>
    </row>
    <row r="23">
      <c r="A23" s="2" t="inlineStr">
        <is>
          <t xml:space="preserve">  Per share if it happens ($)</t>
        </is>
      </c>
      <c r="B23" s="44">
        <f>IF(Inputs!$B$9=0,0,B22/Inputs!$B$9)</f>
        <v/>
      </c>
    </row>
    <row r="24">
      <c r="A24" s="2" t="inlineStr">
        <is>
          <t xml:space="preserve">  Probability (judgment)</t>
        </is>
      </c>
      <c r="B24" s="50" t="n">
        <v>0.4</v>
      </c>
    </row>
    <row r="25">
      <c r="A25" s="1" t="inlineStr">
        <is>
          <t xml:space="preserve">  Probability-weighted per share ($)</t>
        </is>
      </c>
      <c r="B25" s="51">
        <f>B23*B24</f>
        <v/>
      </c>
    </row>
    <row r="27">
      <c r="A27" s="1" t="inlineStr">
        <is>
          <t>OpenAI (custom accelerator)</t>
        </is>
      </c>
      <c r="J27" s="2" t="inlineStr">
        <is>
          <t>Only an unconfirmed 'design win' report (Jul 2026). OpenAI's Titan is on TSMC N3 via Broadcom, next gen planned for TSMC A16. Low probability.</t>
        </is>
      </c>
    </row>
    <row r="28">
      <c r="A28" s="2" t="inlineStr">
        <is>
          <t xml:space="preserve">  Incremental revenue</t>
        </is>
      </c>
      <c r="B28" s="49" t="n">
        <v>0</v>
      </c>
      <c r="C28" s="49" t="n">
        <v>0</v>
      </c>
      <c r="D28" s="49" t="n">
        <v>1</v>
      </c>
      <c r="E28" s="49" t="n">
        <v>4</v>
      </c>
      <c r="F28" s="49" t="n">
        <v>8</v>
      </c>
      <c r="G28" s="49" t="n">
        <v>8.5</v>
      </c>
      <c r="H28" s="49" t="n">
        <v>9</v>
      </c>
    </row>
    <row r="29">
      <c r="A29" s="2" t="inlineStr">
        <is>
          <t xml:space="preserve">  FCF margin (after incremental capex)</t>
        </is>
      </c>
      <c r="B29" s="50" t="n">
        <v>0.2</v>
      </c>
      <c r="C29" s="50" t="n">
        <v>0.2</v>
      </c>
      <c r="D29" s="50" t="n">
        <v>0.2</v>
      </c>
      <c r="E29" s="50" t="n">
        <v>0.2</v>
      </c>
      <c r="F29" s="50" t="n">
        <v>0.2</v>
      </c>
      <c r="G29" s="50" t="n">
        <v>0.2</v>
      </c>
      <c r="H29" s="50" t="n">
        <v>0.2</v>
      </c>
    </row>
    <row r="30">
      <c r="A30" s="2" t="inlineStr">
        <is>
          <t xml:space="preserve">  Incremental FCF</t>
        </is>
      </c>
      <c r="B30" s="41">
        <f>B28*B29</f>
        <v/>
      </c>
      <c r="C30" s="41">
        <f>C28*C29</f>
        <v/>
      </c>
      <c r="D30" s="41">
        <f>D28*D29</f>
        <v/>
      </c>
      <c r="E30" s="41">
        <f>E28*E29</f>
        <v/>
      </c>
      <c r="F30" s="41">
        <f>F28*F29</f>
        <v/>
      </c>
      <c r="G30" s="41">
        <f>G28*G29</f>
        <v/>
      </c>
      <c r="H30" s="41">
        <f>H28*H29</f>
        <v/>
      </c>
      <c r="I30" s="41">
        <f>H30*(1+Inputs!$B$63)</f>
        <v/>
      </c>
    </row>
    <row r="31">
      <c r="A31" s="2" t="inlineStr">
        <is>
          <t xml:space="preserve">  Discount factor</t>
        </is>
      </c>
      <c r="B31" s="17">
        <f>1/(1+Inputs!$B$62)^(Inputs!$B$67+1)</f>
        <v/>
      </c>
      <c r="C31" s="17">
        <f>1/(1+Inputs!$B$62)^(Inputs!$B$67+2)</f>
        <v/>
      </c>
      <c r="D31" s="17">
        <f>1/(1+Inputs!$B$62)^(Inputs!$B$67+3)</f>
        <v/>
      </c>
      <c r="E31" s="17">
        <f>1/(1+Inputs!$B$62)^(Inputs!$B$67+4)</f>
        <v/>
      </c>
      <c r="F31" s="17">
        <f>1/(1+Inputs!$B$62)^(Inputs!$B$67+5)</f>
        <v/>
      </c>
      <c r="G31" s="17">
        <f>1/(1+Inputs!$B$62)^(Inputs!$B$67+6)</f>
        <v/>
      </c>
      <c r="H31" s="17">
        <f>1/(1+Inputs!$B$62)^(Inputs!$B$67+7)</f>
        <v/>
      </c>
    </row>
    <row r="32">
      <c r="A32" s="2" t="inlineStr">
        <is>
          <t xml:space="preserve">  PV of FCF</t>
        </is>
      </c>
      <c r="B32" s="41">
        <f>B30*B31</f>
        <v/>
      </c>
      <c r="C32" s="41">
        <f>C30*C31</f>
        <v/>
      </c>
      <c r="D32" s="41">
        <f>D30*D31</f>
        <v/>
      </c>
      <c r="E32" s="41">
        <f>E30*E31</f>
        <v/>
      </c>
      <c r="F32" s="41">
        <f>F30*F31</f>
        <v/>
      </c>
      <c r="G32" s="41">
        <f>G30*G31</f>
        <v/>
      </c>
      <c r="H32" s="41">
        <f>H30*H31</f>
        <v/>
      </c>
      <c r="I32" s="41">
        <f>IF(Inputs!$B$62&lt;=Inputs!$B$63,0,I30/(Inputs!$B$62-Inputs!$B$63)*H31)</f>
        <v/>
      </c>
    </row>
    <row r="33">
      <c r="A33" s="2" t="inlineStr">
        <is>
          <t xml:space="preserve">  Deal value if it happens ($bn)</t>
        </is>
      </c>
      <c r="B33" s="41">
        <f>SUM(B32:I32)</f>
        <v/>
      </c>
    </row>
    <row r="34">
      <c r="A34" s="2" t="inlineStr">
        <is>
          <t xml:space="preserve">  Per share if it happens ($)</t>
        </is>
      </c>
      <c r="B34" s="44">
        <f>IF(Inputs!$B$9=0,0,B33/Inputs!$B$9)</f>
        <v/>
      </c>
    </row>
    <row r="35">
      <c r="A35" s="2" t="inlineStr">
        <is>
          <t xml:space="preserve">  Probability (judgment)</t>
        </is>
      </c>
      <c r="B35" s="50" t="n">
        <v>0.25</v>
      </c>
    </row>
    <row r="36">
      <c r="A36" s="1" t="inlineStr">
        <is>
          <t xml:space="preserve">  Probability-weighted per share ($)</t>
        </is>
      </c>
      <c r="B36" s="51">
        <f>B34*B35</f>
        <v/>
      </c>
    </row>
    <row r="38">
      <c r="A38" s="1" t="inlineStr">
        <is>
          <t>DO THE DEALS EXPLAIN THE PRICE?</t>
        </is>
      </c>
    </row>
    <row r="39">
      <c r="A39" s="2" t="inlineStr">
        <is>
          <t>Base scenario value per share ($)</t>
        </is>
      </c>
      <c r="B39" s="44">
        <f>Base!B45</f>
        <v/>
      </c>
    </row>
    <row r="40">
      <c r="A40" s="2" t="inlineStr">
        <is>
          <t>+ All three deals, probability-weighted ($)</t>
        </is>
      </c>
      <c r="B40" s="44">
        <f>B14+B25+B36</f>
        <v/>
      </c>
    </row>
    <row r="41">
      <c r="A41" s="2" t="inlineStr">
        <is>
          <t>+ All three deals at 100% probability ($)</t>
        </is>
      </c>
      <c r="B41" s="44">
        <f>B12+B23+B34</f>
        <v/>
      </c>
    </row>
    <row r="42">
      <c r="A42" s="1" t="inlineStr">
        <is>
          <t>Total: Base + deals (probability-weighted) ($)</t>
        </is>
      </c>
      <c r="B42" s="44">
        <f>B39+B40</f>
        <v/>
      </c>
    </row>
    <row r="43">
      <c r="A43" s="1" t="inlineStr">
        <is>
          <t>Total: Base + deals (all certain) ($)</t>
        </is>
      </c>
      <c r="B43" s="44">
        <f>B39+B41</f>
        <v/>
      </c>
    </row>
    <row r="44">
      <c r="A44" s="2" t="inlineStr">
        <is>
          <t>Current share price ($)</t>
        </is>
      </c>
      <c r="B44" s="44">
        <f>Inputs!$B$4</f>
        <v/>
      </c>
    </row>
    <row r="45">
      <c r="A45" s="1" t="inlineStr">
        <is>
          <t>Gap still unexplained, all deals certain ($/share)</t>
        </is>
      </c>
      <c r="B45" s="44">
        <f>B44-B43</f>
        <v/>
      </c>
    </row>
    <row r="46">
      <c r="A46" s="2" t="inlineStr">
        <is>
          <t>Gap still unexplained ($bn of equity value)</t>
        </is>
      </c>
      <c r="B46" s="41">
        <f>B45*Inputs!$B$9</f>
        <v/>
      </c>
    </row>
    <row r="47">
      <c r="A47" s="2" t="inlineStr">
        <is>
          <t>Deal-size multiple needed (all certain) to close the gap</t>
        </is>
      </c>
      <c r="B47" s="11">
        <f>IF(B41=0,0,(B44-B39)/B41)</f>
        <v/>
      </c>
    </row>
    <row r="49">
      <c r="A49" s="1" t="inlineStr">
        <is>
          <t>WHAT SIZE OF FOUNDRY BUSINESS DOES THE GAP IMPLY?</t>
        </is>
      </c>
    </row>
    <row r="50">
      <c r="A50" s="2" t="inlineStr">
        <is>
          <t>Year the extra foundry business reaches maturity</t>
        </is>
      </c>
      <c r="B50" s="19" t="n">
        <v>2031</v>
      </c>
    </row>
    <row r="51">
      <c r="A51" s="2" t="inlineStr">
        <is>
          <t>Mature FCF margin of that business (TSMC-like)</t>
        </is>
      </c>
      <c r="B51" s="50" t="n">
        <v>0.35</v>
      </c>
    </row>
    <row r="52">
      <c r="A52" s="2" t="inlineStr">
        <is>
          <t>Required perpetual FCF from that year to fill the gap ($bn/yr)</t>
        </is>
      </c>
      <c r="B52" s="41">
        <f>B46*(Inputs!$B$62-Inputs!$B$63)*(1+Inputs!$B$62)^(B50-2026-Inputs!$B$67)</f>
        <v/>
      </c>
      <c r="J52" s="2" t="inlineStr">
        <is>
          <t>Gap equity value grown at WACC to the maturity year, times (WACC - g)</t>
        </is>
      </c>
    </row>
    <row r="53">
      <c r="A53" s="2" t="inlineStr">
        <is>
          <t>Required extra external foundry revenue ($bn/yr)</t>
        </is>
      </c>
      <c r="B53" s="41">
        <f>IF(B51=0,0,B52/B51)</f>
        <v/>
      </c>
    </row>
    <row r="54">
      <c r="A54" s="2" t="inlineStr">
        <is>
          <t>TSMC 2026 revenue, annualized from Q2 ($bn) for scale</t>
        </is>
      </c>
      <c r="B54" s="41">
        <f>40.2*4</f>
        <v/>
      </c>
      <c r="J54" s="2" t="inlineStr">
        <is>
          <t>TSMC Q2 2026 revenue $40.2bn (TSMC 6-K, 16 Jul 2026)</t>
        </is>
      </c>
    </row>
    <row r="55">
      <c r="A55" s="2" t="inlineStr">
        <is>
          <t>Required extra revenue as % of TSMC's current size</t>
        </is>
      </c>
      <c r="B55" s="42">
        <f>IF(B54=0,0,B53/B54)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>
      <c r="A1" s="1" t="inlineStr">
        <is>
          <t>Inputs (US$ bn unless stated). Blue = input, black = formula, yellow = key judgment / placeholder to verify</t>
        </is>
      </c>
    </row>
    <row r="3">
      <c r="A3" s="3" t="inlineStr">
        <is>
          <t>Item</t>
        </is>
      </c>
      <c r="B3" s="3" t="inlineStr">
        <is>
          <t>Value</t>
        </is>
      </c>
      <c r="J3" s="20" t="inlineStr">
        <is>
          <t>Source / note</t>
        </is>
      </c>
    </row>
    <row r="4">
      <c r="A4" s="2" t="inlineStr">
        <is>
          <t>Share price ($)</t>
        </is>
      </c>
      <c r="B4" s="52" t="n">
        <v>123</v>
      </c>
      <c r="J4" s="2" t="inlineStr">
        <is>
          <t>Close 25 Sep 2026 per TradingKey (tradingkey.com). Update to current price.</t>
        </is>
      </c>
    </row>
    <row r="5">
      <c r="A5" s="2" t="inlineStr">
        <is>
          <t>Q2 2026 non-GAAP net income attributable to Intel</t>
        </is>
      </c>
      <c r="B5" s="53" t="n">
        <v>2.2</v>
      </c>
      <c r="J5" s="2" t="inlineStr">
        <is>
          <t>Intel Q2 2026 earnings release (23 Jul 2026)</t>
        </is>
      </c>
    </row>
    <row r="6">
      <c r="A6" s="2" t="inlineStr">
        <is>
          <t>Q2 2026 non-GAAP EPS ($)</t>
        </is>
      </c>
      <c r="B6" s="52" t="n">
        <v>0.42</v>
      </c>
      <c r="J6" s="2" t="inlineStr">
        <is>
          <t>Intel Q2 2026 earnings release (23 Jul 2026)</t>
        </is>
      </c>
    </row>
    <row r="7">
      <c r="A7" s="2" t="inlineStr">
        <is>
          <t>Implied Q2 diluted shares (bn)</t>
        </is>
      </c>
      <c r="B7" s="54">
        <f>B5/B6</f>
        <v/>
      </c>
      <c r="J7" s="2" t="inlineStr">
        <is>
          <t>Derived = NI / EPS (rounding makes this approximate). VERIFY vs 10-Q.</t>
        </is>
      </c>
    </row>
    <row r="8">
      <c r="A8" s="2" t="inlineStr">
        <is>
          <t>Shares issued in Aug 2026 offering incl. greenshoe (bn)</t>
        </is>
      </c>
      <c r="B8" s="55" t="n">
        <v>0.2421</v>
      </c>
      <c r="J8" s="2" t="inlineStr">
        <is>
          <t>210,526,315 + 31,578,947 shares; Intel newsroom, 10-11 Aug 2026</t>
        </is>
      </c>
    </row>
    <row r="9">
      <c r="A9" s="2" t="inlineStr">
        <is>
          <t>Diluted shares for valuation (bn)</t>
        </is>
      </c>
      <c r="B9" s="56">
        <f>B7+B8</f>
        <v/>
      </c>
      <c r="J9" s="2" t="inlineStr">
        <is>
          <t>Excludes any further escrowed government shares not in diluted count; verify.</t>
        </is>
      </c>
    </row>
    <row r="10">
      <c r="A10" s="2" t="inlineStr">
        <is>
          <t>Cash &amp; equivalents (27 Jun 2026)</t>
        </is>
      </c>
      <c r="B10" s="53" t="n">
        <v>12.874</v>
      </c>
      <c r="J10" s="2" t="inlineStr">
        <is>
          <t>Q2 2026 10-Q, via search extract</t>
        </is>
      </c>
    </row>
    <row r="11">
      <c r="A11" s="2" t="inlineStr">
        <is>
          <t>Short-term investments (27 Jun 2026)</t>
        </is>
      </c>
      <c r="B11" s="53" t="n">
        <v>16.853</v>
      </c>
      <c r="J11" s="2" t="inlineStr">
        <is>
          <t>Q2 2026 10-Q, via search extract</t>
        </is>
      </c>
    </row>
    <row r="12">
      <c r="A12" s="2" t="inlineStr">
        <is>
          <t>Net proceeds of Aug 2026 equity offering</t>
        </is>
      </c>
      <c r="B12" s="53" t="n">
        <v>22.62</v>
      </c>
      <c r="J12" s="2" t="inlineStr">
        <is>
          <t>Intel 8-K / newsroom, Aug 2026</t>
        </is>
      </c>
    </row>
    <row r="13">
      <c r="A13" s="2" t="inlineStr">
        <is>
          <t>Total debt (27 Jun 2026)</t>
        </is>
      </c>
      <c r="B13" s="53" t="n">
        <v>48.549</v>
      </c>
      <c r="J13" s="2" t="inlineStr">
        <is>
          <t>Q2 2026 10-Q, via search extract</t>
        </is>
      </c>
    </row>
    <row r="14">
      <c r="A14" s="2" t="inlineStr">
        <is>
          <t>Altera 49% stake (equity-method)</t>
        </is>
      </c>
      <c r="B14" s="57">
        <f>8.75*0.49</f>
        <v/>
      </c>
      <c r="J14" s="2" t="inlineStr">
        <is>
          <t>Placeholder: 49% x $8.75bn valuation from the 2025 Silver Lake deal. Verify carrying/fair value.</t>
        </is>
      </c>
    </row>
    <row r="15">
      <c r="A15" s="2" t="inlineStr">
        <is>
          <t>Non-controlling interests (Mobileye minority, SCIP fab partners)</t>
        </is>
      </c>
      <c r="B15" s="49" t="n">
        <v>0</v>
      </c>
      <c r="J15" s="2" t="inlineStr">
        <is>
          <t>PLACEHOLDER = 0. Intel's Arizona/Ireland SCIP partners and Mobileye minority holders have material claims. Enter from 10-Q; this overstates value if left at 0.</t>
        </is>
      </c>
    </row>
    <row r="16">
      <c r="A16" s="2" t="inlineStr">
        <is>
          <t>Net cash (debt) incl. offering</t>
        </is>
      </c>
      <c r="B16" s="41">
        <f>B10+B11+B12-B13</f>
        <v/>
      </c>
      <c r="J16" s="2" t="inlineStr">
        <is>
          <t>Formula</t>
        </is>
      </c>
    </row>
    <row r="17">
      <c r="A17" s="2" t="inlineStr">
        <is>
          <t>Market capitalization</t>
        </is>
      </c>
      <c r="B17" s="41">
        <f>B4*B9</f>
        <v/>
      </c>
      <c r="J17" s="2" t="inlineStr">
        <is>
          <t>Formula</t>
        </is>
      </c>
    </row>
    <row r="18">
      <c r="A18" s="2" t="inlineStr">
        <is>
          <t>Enterprise value at market</t>
        </is>
      </c>
      <c r="B18" s="41">
        <f>B17-B16-B14+B15</f>
        <v/>
      </c>
      <c r="J18" s="2" t="inlineStr">
        <is>
          <t>Market cap - net cash - Altera stake + NCI</t>
        </is>
      </c>
    </row>
    <row r="20">
      <c r="A20" s="1" t="inlineStr">
        <is>
          <t>2026E BASE YEAR BUILD</t>
        </is>
      </c>
    </row>
    <row r="21">
      <c r="A21" s="3" t="inlineStr">
        <is>
          <t>Item</t>
        </is>
      </c>
      <c r="B21" s="3" t="inlineStr">
        <is>
          <t>Value</t>
        </is>
      </c>
    </row>
    <row r="22">
      <c r="A22" s="2" t="inlineStr">
        <is>
          <t>Q1 2026 total revenue</t>
        </is>
      </c>
      <c r="B22" s="53" t="n">
        <v>13.6</v>
      </c>
      <c r="J22" s="2" t="inlineStr">
        <is>
          <t>Intel Q1 2026 results (23 Apr 2026)</t>
        </is>
      </c>
    </row>
    <row r="23">
      <c r="A23" s="2" t="inlineStr">
        <is>
          <t>Q2 2026 total revenue</t>
        </is>
      </c>
      <c r="B23" s="53" t="n">
        <v>16.1</v>
      </c>
      <c r="J23" s="2" t="inlineStr">
        <is>
          <t>Intel Q2 2026 results</t>
        </is>
      </c>
    </row>
    <row r="24">
      <c r="A24" s="2" t="inlineStr">
        <is>
          <t>Q3 2026 revenue guidance midpoint</t>
        </is>
      </c>
      <c r="B24" s="53" t="n">
        <v>16.3</v>
      </c>
      <c r="J24" s="2" t="inlineStr">
        <is>
          <t>Guidance $15.8-16.8bn (Q2 call)</t>
        </is>
      </c>
    </row>
    <row r="25">
      <c r="A25" s="2" t="inlineStr">
        <is>
          <t>Q4 2026 revenue assumption</t>
        </is>
      </c>
      <c r="B25" s="57">
        <f>B24</f>
        <v/>
      </c>
      <c r="J25" s="2" t="inlineStr">
        <is>
          <t>ASSUMPTION: flat vs Q3 guide midpoint</t>
        </is>
      </c>
    </row>
    <row r="26">
      <c r="A26" s="2" t="inlineStr">
        <is>
          <t>Q1 2026 DCAI revenue</t>
        </is>
      </c>
      <c r="B26" s="53" t="n">
        <v>5.1</v>
      </c>
      <c r="J26" s="2" t="inlineStr">
        <is>
          <t>Intel Q1 2026 results</t>
        </is>
      </c>
    </row>
    <row r="27">
      <c r="A27" s="2" t="inlineStr">
        <is>
          <t>Q2 2026 DCAI revenue</t>
        </is>
      </c>
      <c r="B27" s="53" t="n">
        <v>6.3</v>
      </c>
      <c r="J27" s="2" t="inlineStr">
        <is>
          <t>Intel Q2 2026 results</t>
        </is>
      </c>
    </row>
    <row r="28">
      <c r="A28" s="2" t="inlineStr">
        <is>
          <t>Q1 2026 CCPG (client) revenue</t>
        </is>
      </c>
      <c r="B28" s="53" t="n">
        <v>7.7</v>
      </c>
      <c r="J28" s="2" t="inlineStr">
        <is>
          <t>Intel Q1 2026 results</t>
        </is>
      </c>
    </row>
    <row r="29">
      <c r="A29" s="2" t="inlineStr">
        <is>
          <t>Q2 2026 CCPG (client) revenue</t>
        </is>
      </c>
      <c r="B29" s="53" t="n">
        <v>8.9</v>
      </c>
      <c r="J29" s="2" t="inlineStr">
        <is>
          <t>Intel Q2 2026 results ($8.88bn)</t>
        </is>
      </c>
    </row>
    <row r="30">
      <c r="A30" s="2" t="inlineStr">
        <is>
          <t>Q1 2026 external foundry revenue</t>
        </is>
      </c>
      <c r="B30" s="49" t="n">
        <v>0.25</v>
      </c>
      <c r="J30" s="2" t="inlineStr">
        <is>
          <t>PLACEHOLDER (not found); Q2 was $0.293bn</t>
        </is>
      </c>
    </row>
    <row r="31">
      <c r="A31" s="2" t="inlineStr">
        <is>
          <t>Q2 2026 external foundry revenue</t>
        </is>
      </c>
      <c r="B31" s="53" t="n">
        <v>0.293</v>
      </c>
      <c r="J31" s="2" t="inlineStr">
        <is>
          <t>Intel Q2 2026 10-Q / DCD</t>
        </is>
      </c>
    </row>
    <row r="32">
      <c r="A32" s="2" t="inlineStr">
        <is>
          <t>2026E non-GAAP gross margin</t>
        </is>
      </c>
      <c r="B32" s="43" t="n">
        <v>0.41</v>
      </c>
      <c r="J32" s="2" t="inlineStr">
        <is>
          <t>Q2 41.8%, Q3 guide 42%; Q1 lower. Assumption.</t>
        </is>
      </c>
    </row>
    <row r="33">
      <c r="A33" s="2" t="inlineStr">
        <is>
          <t>2026E non-GAAP operating expenses</t>
        </is>
      </c>
      <c r="B33" s="49" t="n">
        <v>16.5</v>
      </c>
      <c r="J33" s="2" t="inlineStr">
        <is>
          <t>PLACEHOLDER near FY2025 target of $16.8bn; verify 2026 target</t>
        </is>
      </c>
    </row>
    <row r="34">
      <c r="A34" s="2" t="inlineStr">
        <is>
          <t>2026E stock-based compensation</t>
        </is>
      </c>
      <c r="B34" s="49" t="n">
        <v>2.5</v>
      </c>
      <c r="J34" s="2" t="inlineStr">
        <is>
          <t>PLACEHOLDER; verify from 10-Q cash-flow statement</t>
        </is>
      </c>
    </row>
    <row r="35">
      <c r="A35" s="2" t="inlineStr">
        <is>
          <t>2026E depreciation &amp; amortization</t>
        </is>
      </c>
      <c r="B35" s="49" t="n">
        <v>11</v>
      </c>
      <c r="J35" s="2" t="inlineStr">
        <is>
          <t>PLACEHOLDER; verify from 10-Q cash-flow statement</t>
        </is>
      </c>
    </row>
    <row r="36">
      <c r="A36" s="2" t="inlineStr">
        <is>
          <t>2026E gross capex</t>
        </is>
      </c>
      <c r="B36" s="53" t="n">
        <v>20.5</v>
      </c>
      <c r="J36" s="2" t="inlineStr">
        <is>
          <t>Guided 'more than $20bn' (Q2 call)</t>
        </is>
      </c>
    </row>
    <row r="37">
      <c r="A37" s="2" t="inlineStr">
        <is>
          <t>2026E total revenue</t>
        </is>
      </c>
      <c r="B37" s="41">
        <f>$B$22+$B$23+$B$24+$B$25</f>
        <v/>
      </c>
      <c r="J37" s="2" t="inlineStr">
        <is>
          <t>Formula</t>
        </is>
      </c>
    </row>
    <row r="38">
      <c r="A38" s="2" t="inlineStr">
        <is>
          <t>2026E DCAI revenue</t>
        </is>
      </c>
      <c r="B38" s="41">
        <f>$B$26+$B$27+($B$24+$B$25)*$B$27/$B$23</f>
        <v/>
      </c>
      <c r="J38" s="2" t="inlineStr">
        <is>
          <t>H2 allocated at Q2 mix</t>
        </is>
      </c>
    </row>
    <row r="39">
      <c r="A39" s="2" t="inlineStr">
        <is>
          <t>2026E CCPG revenue</t>
        </is>
      </c>
      <c r="B39" s="41">
        <f>$B$28+$B$29+($B$24+$B$25)*$B$29/$B$23</f>
        <v/>
      </c>
      <c r="J39" s="2" t="inlineStr">
        <is>
          <t>H2 allocated at Q2 mix</t>
        </is>
      </c>
    </row>
    <row r="40">
      <c r="A40" s="2" t="inlineStr">
        <is>
          <t>2026E external foundry revenue</t>
        </is>
      </c>
      <c r="B40" s="41">
        <f>$B$30+$B$31+($B$24+$B$25)*$B$31/$B$23</f>
        <v/>
      </c>
      <c r="J40" s="2" t="inlineStr">
        <is>
          <t>H2 allocated at Q2 mix</t>
        </is>
      </c>
    </row>
    <row r="41">
      <c r="A41" s="2" t="inlineStr">
        <is>
          <t>2026E other revenue (Mobileye etc.)</t>
        </is>
      </c>
      <c r="B41" s="41">
        <f>$B$37-$B$38-$B$39-$B$40</f>
        <v/>
      </c>
      <c r="J41" s="2" t="inlineStr">
        <is>
          <t>Residual</t>
        </is>
      </c>
    </row>
    <row r="43">
      <c r="A43" s="1" t="inlineStr">
        <is>
          <t>CHINA EXPOSURE</t>
        </is>
      </c>
    </row>
    <row r="44">
      <c r="A44" s="3" t="inlineStr">
        <is>
          <t>Item</t>
        </is>
      </c>
      <c r="B44" s="3" t="inlineStr">
        <is>
          <t>Value</t>
        </is>
      </c>
    </row>
    <row r="45">
      <c r="A45" s="2" t="inlineStr">
        <is>
          <t>FY2024 China (incl. HK) billed revenue</t>
        </is>
      </c>
      <c r="B45" s="53" t="n">
        <v>15.53</v>
      </c>
      <c r="J45" s="2" t="inlineStr">
        <is>
          <t>Intel FY2024 10-K geographic note (billing location); 29% of revenue</t>
        </is>
      </c>
    </row>
    <row r="46">
      <c r="A46" s="2" t="inlineStr">
        <is>
          <t>FY2025 total revenue</t>
        </is>
      </c>
      <c r="B46" s="53" t="n">
        <v>52.9</v>
      </c>
      <c r="J46" s="2" t="inlineStr">
        <is>
          <t>Intel Q4/FY2025 results (22 Jan 2026)</t>
        </is>
      </c>
    </row>
    <row r="47">
      <c r="A47" s="2" t="inlineStr">
        <is>
          <t>FY2025 US + Taiwan + Singapore + Other billed revenue</t>
        </is>
      </c>
      <c r="B47" s="57">
        <f>15.76+7.67+9.54+7.20</f>
        <v/>
      </c>
      <c r="J47" s="2" t="inlineStr">
        <is>
          <t>FY2025 10-K geographic note via search extract (US 15.76, Taiwan 7.67, Singapore 9.54, Other 7.20); VERIFY</t>
        </is>
      </c>
    </row>
    <row r="48">
      <c r="A48" s="2" t="inlineStr">
        <is>
          <t>FY2025 China billed revenue (derived residual)</t>
        </is>
      </c>
      <c r="B48" s="57">
        <f>$B$46-$B$47</f>
        <v/>
      </c>
      <c r="J48" s="2" t="inlineStr">
        <is>
          <t>Derived = total - other regions. Not read directly from the 10-K; VERIFY</t>
        </is>
      </c>
    </row>
    <row r="49">
      <c r="A49" s="2" t="inlineStr">
        <is>
          <t>China billed share of revenue (FY2025)</t>
        </is>
      </c>
      <c r="B49" s="42">
        <f>IF($B$46=0,0,$B$48/$B$46)</f>
        <v/>
      </c>
      <c r="J49" s="2" t="inlineStr">
        <is>
          <t>Formula</t>
        </is>
      </c>
    </row>
    <row r="50">
      <c r="A50" s="2" t="inlineStr">
        <is>
          <t>Share of China-billed revenue that is China DOMESTIC end-demand</t>
        </is>
      </c>
      <c r="B50" s="50" t="n">
        <v>0.5</v>
      </c>
      <c r="J50" s="2" t="inlineStr">
        <is>
          <t>JUDGMENT. Billing location includes PCs/servers assembled in China for export (Lenovo, ODMs), which domestic substitution does not hit. No source splits this; test 0.35-0.70</t>
        </is>
      </c>
    </row>
    <row r="51">
      <c r="J51" s="2" t="inlineStr">
        <is>
          <t>China levers: xinchuang bans Intel/AMD in government PCs &amp; servers (Mar 2024); Hygon+Zhaoxin ~15-20% of China server CPUs, Kunpeng 8-12% (2026 est.); Loongson 1M desktop CPUs; China customs treats WAFER-FAB location as origin -&gt; US-fabbed chips (Intel) face retaliatory tariffs, TSMC-made rivals don't; US-China truce expires 10 Nov 2026.</t>
        </is>
      </c>
    </row>
    <row r="53">
      <c r="A53" s="1" t="inlineStr">
        <is>
          <t>VALUATION PARAMETERS</t>
        </is>
      </c>
    </row>
    <row r="54">
      <c r="A54" s="3" t="inlineStr">
        <is>
          <t>Item</t>
        </is>
      </c>
      <c r="B54" s="3" t="inlineStr">
        <is>
          <t>Value</t>
        </is>
      </c>
    </row>
    <row r="55">
      <c r="A55" s="2" t="inlineStr">
        <is>
          <t>Risk-free rate</t>
        </is>
      </c>
      <c r="B55" s="50" t="n">
        <v>0.043</v>
      </c>
      <c r="J55" s="2" t="inlineStr">
        <is>
          <t>ASSUMPTION: ~10y UST; update</t>
        </is>
      </c>
    </row>
    <row r="56">
      <c r="A56" s="2" t="inlineStr">
        <is>
          <t>Equity risk premium</t>
        </is>
      </c>
      <c r="B56" s="50" t="n">
        <v>0.05</v>
      </c>
      <c r="J56" s="2" t="inlineStr">
        <is>
          <t>ASSUMPTION</t>
        </is>
      </c>
    </row>
    <row r="57">
      <c r="A57" s="2" t="inlineStr">
        <is>
          <t>Equity beta</t>
        </is>
      </c>
      <c r="B57" s="27" t="n">
        <v>1.3</v>
      </c>
      <c r="J57" s="2" t="inlineStr">
        <is>
          <t>ASSUMPTION: semis/turnaround risk</t>
        </is>
      </c>
    </row>
    <row r="58">
      <c r="A58" s="2" t="inlineStr">
        <is>
          <t>Cost of equity</t>
        </is>
      </c>
      <c r="B58" s="42">
        <f>$B$55+$B$57*$B$56</f>
        <v/>
      </c>
      <c r="J58" s="2" t="inlineStr">
        <is>
          <t>CAPM</t>
        </is>
      </c>
    </row>
    <row r="59">
      <c r="A59" s="2" t="inlineStr">
        <is>
          <t>Pre-tax cost of debt</t>
        </is>
      </c>
      <c r="B59" s="43" t="n">
        <v>0.055</v>
      </c>
      <c r="J59" s="2" t="inlineStr">
        <is>
          <t>ASSUMPTION</t>
        </is>
      </c>
    </row>
    <row r="60">
      <c r="A60" s="2" t="inlineStr">
        <is>
          <t>Tax rate</t>
        </is>
      </c>
      <c r="B60" s="50" t="n">
        <v>0.15</v>
      </c>
      <c r="J60" s="2" t="inlineStr">
        <is>
          <t>ASSUMPTION: normalized cash tax; Intel has large NOLs near term</t>
        </is>
      </c>
    </row>
    <row r="61">
      <c r="A61" s="2" t="inlineStr">
        <is>
          <t>Debt weight</t>
        </is>
      </c>
      <c r="B61" s="42">
        <f>$B$13/($B$13+$B$17)</f>
        <v/>
      </c>
      <c r="J61" s="2" t="inlineStr">
        <is>
          <t>Market-value weights</t>
        </is>
      </c>
    </row>
    <row r="62">
      <c r="A62" s="2" t="inlineStr">
        <is>
          <t>WACC</t>
        </is>
      </c>
      <c r="B62" s="42">
        <f>(1-$B$61)*$B$58+$B$61*$B$59*(1-$B$60)</f>
        <v/>
      </c>
      <c r="J62" s="2" t="inlineStr">
        <is>
          <t>Formula</t>
        </is>
      </c>
    </row>
    <row r="63">
      <c r="A63" s="2" t="inlineStr">
        <is>
          <t>Terminal FCF growth</t>
        </is>
      </c>
      <c r="B63" s="50" t="n">
        <v>0.03</v>
      </c>
      <c r="J63" s="2" t="inlineStr">
        <is>
          <t>ASSUMPTION</t>
        </is>
      </c>
    </row>
    <row r="64">
      <c r="A64" s="2" t="inlineStr">
        <is>
          <t>Terminal capex / D&amp;A ratio</t>
        </is>
      </c>
      <c r="B64" s="28" t="n">
        <v>1.15</v>
      </c>
      <c r="J64" s="2" t="inlineStr">
        <is>
          <t>ASSUMPTION: maintenance + modest growth capex in steady state</t>
        </is>
      </c>
    </row>
    <row r="65">
      <c r="A65" s="2" t="inlineStr">
        <is>
          <t>Net working capital, % of revenue change</t>
        </is>
      </c>
      <c r="B65" s="43" t="n">
        <v>0.1</v>
      </c>
      <c r="J65" s="2" t="inlineStr">
        <is>
          <t>ASSUMPTION</t>
        </is>
      </c>
    </row>
    <row r="66">
      <c r="A66" s="2" t="inlineStr">
        <is>
          <t>D&amp;A catch-up toward prior-year capex (per year)</t>
        </is>
      </c>
      <c r="B66" s="43" t="n">
        <v>0.15</v>
      </c>
      <c r="J66" s="2" t="inlineStr">
        <is>
          <t>D&amp;A(t) = D&amp;A(t-1) + x * (capex(t-1) - D&amp;A(t-1))</t>
        </is>
      </c>
    </row>
    <row r="67">
      <c r="A67" s="2" t="inlineStr">
        <is>
          <t>Discount period offset (valuation date 30 Sep 2026)</t>
        </is>
      </c>
      <c r="B67" s="29" t="n">
        <v>0.25</v>
      </c>
      <c r="J67" s="2" t="inlineStr">
        <is>
          <t>End-2027 cash flow is 1.25 years out</t>
        </is>
      </c>
    </row>
    <row r="68">
      <c r="A68" s="2" t="inlineStr">
        <is>
          <t>Other revenue growth (all scenarios)</t>
        </is>
      </c>
      <c r="B68" s="43" t="n">
        <v>0.05</v>
      </c>
      <c r="J68" s="2" t="inlineStr">
        <is>
          <t>ASSUMPTION</t>
        </is>
      </c>
    </row>
    <row r="70">
      <c r="A70" s="1" t="inlineStr">
        <is>
          <t>FLEX LEVERS (for sensitivity; leave at defaults 0 / 0 / 1 / 1)</t>
        </is>
      </c>
    </row>
    <row r="71">
      <c r="A71" s="2" t="inlineStr">
        <is>
          <t>Gross margin shift, all years, all scenarios (pts)</t>
        </is>
      </c>
      <c r="B71" s="43" t="n">
        <v>0</v>
      </c>
      <c r="J71" s="2" t="inlineStr">
        <is>
          <t>e.g. -0.03 = 3 pts lower</t>
        </is>
      </c>
    </row>
    <row r="72">
      <c r="A72" s="2" t="inlineStr">
        <is>
          <t>DCAI growth shift per year (pts)</t>
        </is>
      </c>
      <c r="B72" s="43" t="n">
        <v>0</v>
      </c>
      <c r="J72" s="2" t="inlineStr">
        <is>
          <t>e.g. 0.03 = +3 pts/yr</t>
        </is>
      </c>
    </row>
    <row r="73">
      <c r="A73" s="2" t="inlineStr">
        <is>
          <t>External foundry revenue multiplier</t>
        </is>
      </c>
      <c r="B73" s="28" t="n">
        <v>1</v>
      </c>
      <c r="J73" s="2" t="inlineStr">
        <is>
          <t>e.g. 0.5 = half</t>
        </is>
      </c>
    </row>
    <row r="74">
      <c r="A74" s="2" t="inlineStr">
        <is>
          <t>Capex multiplier (2027+)</t>
        </is>
      </c>
      <c r="B74" s="28" t="n">
        <v>1</v>
      </c>
      <c r="J74" s="2" t="inlineStr">
        <is>
          <t>e.g. 1.15 = 15% more</t>
        </is>
      </c>
    </row>
    <row r="75">
      <c r="A75" s="2" t="inlineStr">
        <is>
          <t>China domestic revenue change shift per year (pts)</t>
        </is>
      </c>
      <c r="B75" s="43" t="n">
        <v>0</v>
      </c>
      <c r="J75" s="2" t="inlineStr">
        <is>
          <t>e.g. -0.10 = 10 pts faster erosion every year</t>
        </is>
      </c>
    </row>
    <row r="76">
      <c r="A76" s="2" t="inlineStr">
        <is>
          <t>TaiwanMax only: payment by Intel for TSMC Arizona assets ($bn)</t>
        </is>
      </c>
      <c r="B76" s="53" t="n">
        <v>0</v>
      </c>
      <c r="J76" s="2" t="inlineStr">
        <is>
          <t>ASSUMPTION 0 = US government transfers the fabs to Intel at no cost to shareholders (generous). TSMC has committed ~$265bn to Arizona; try 65-150 if Intel must pay</t>
        </is>
      </c>
    </row>
    <row r="77">
      <c r="A77" s="2" t="inlineStr">
        <is>
          <t>CHINA TAILWIND 3: capex offset from 48D 35% fab tax credit + SCIP partner funding (share of gross capex)</t>
        </is>
      </c>
      <c r="B77" s="43" t="n">
        <v>0.1</v>
      </c>
      <c r="J77" s="2" t="inlineStr">
        <is>
          <t>ASSUMPTION 10% (conservative). 48D gives a 35% refundable credit for fabs started by 31 Dec 2026; partners (Brookfield/Apollo) co-fund Arizona/Ireland. Set 0 to turn off</t>
        </is>
      </c>
    </row>
    <row r="78">
      <c r="A78" s="2" t="inlineStr">
        <is>
          <t>Tailwind switch: include China tailwinds 1 and 2 (1 = on, 0 = off)</t>
        </is>
      </c>
      <c r="B78" s="30" t="n">
        <v>1</v>
      </c>
      <c r="J78" s="2" t="inlineStr">
        <is>
          <t>Set 0 to see the model without the China tailwinds</t>
        </is>
      </c>
    </row>
    <row r="80">
      <c r="A80" s="1" t="inlineStr">
        <is>
          <t>SCENARIO WEIGHTS (judgment; must sum to 100%)</t>
        </is>
      </c>
    </row>
    <row r="81">
      <c r="A81" s="3" t="inlineStr">
        <is>
          <t>Scenario</t>
        </is>
      </c>
      <c r="B81" s="3" t="inlineStr">
        <is>
          <t>Weight</t>
        </is>
      </c>
    </row>
    <row r="82">
      <c r="A82" s="2" t="inlineStr">
        <is>
          <t>Bear</t>
        </is>
      </c>
      <c r="B82" s="50" t="n">
        <v>0.28</v>
      </c>
      <c r="J82" s="2" t="inlineStr">
        <is>
          <t>My judgment; edit</t>
        </is>
      </c>
    </row>
    <row r="83">
      <c r="A83" s="2" t="inlineStr">
        <is>
          <t>Base</t>
        </is>
      </c>
      <c r="B83" s="50" t="n">
        <v>0.43</v>
      </c>
      <c r="J83" s="2" t="inlineStr">
        <is>
          <t>My judgment; edit</t>
        </is>
      </c>
    </row>
    <row r="84">
      <c r="A84" s="2" t="inlineStr">
        <is>
          <t>Bull</t>
        </is>
      </c>
      <c r="B84" s="50" t="n">
        <v>0.24</v>
      </c>
      <c r="J84" s="2" t="inlineStr">
        <is>
          <t>My judgment; edit</t>
        </is>
      </c>
    </row>
    <row r="85">
      <c r="A85" s="2" t="inlineStr">
        <is>
          <t>Taiwan (disruption / cut-off of Taiwan fabs from Western customers, from 2027)</t>
        </is>
      </c>
      <c r="B85" s="50" t="n">
        <v>0.03</v>
      </c>
      <c r="J85" s="2" t="inlineStr">
        <is>
          <t>My judgment; edit. The Summary sheet solves for the probability that would justify the current price</t>
        </is>
      </c>
    </row>
    <row r="86">
      <c r="A86" s="2" t="inlineStr">
        <is>
          <t>TaiwanMax (Taiwan fabs destroyed or seized + TSMC Arizona transferred to Intel + TSMC engineers join Intel)</t>
        </is>
      </c>
      <c r="B86" s="50" t="n">
        <v>0.02</v>
      </c>
      <c r="J86" s="2" t="inlineStr">
        <is>
          <t>My judgment; edit. A subset of a Taiwan conflict, so Taiwan + TaiwanMax together = 5%</t>
        </is>
      </c>
    </row>
    <row r="87">
      <c r="A87" s="2" t="inlineStr">
        <is>
          <t>Check: sum of weights</t>
        </is>
      </c>
      <c r="B87" s="42">
        <f>$B$82+$B$83+$B$84+$B$85+$B$86</f>
        <v/>
      </c>
      <c r="J87" s="2" t="inlineStr">
        <is>
          <t>Must equal 100%</t>
        </is>
      </c>
    </row>
    <row r="89">
      <c r="A89" s="1" t="inlineStr">
        <is>
          <t>SCENARIO DRIVERS (2027-2033). Hypothetical paths tied to product evidence; NOT forecasts I endorse</t>
        </is>
      </c>
    </row>
    <row r="90">
      <c r="A90" s="1" t="inlineStr">
        <is>
          <t>DCAI revenue growth</t>
        </is>
      </c>
      <c r="B90" s="3" t="inlineStr">
        <is>
          <t>Scenario</t>
        </is>
      </c>
      <c r="C90" s="3" t="inlineStr">
        <is>
          <t>2027</t>
        </is>
      </c>
      <c r="D90" s="3" t="inlineStr">
        <is>
          <t>2028</t>
        </is>
      </c>
      <c r="E90" s="3" t="inlineStr">
        <is>
          <t>2029</t>
        </is>
      </c>
      <c r="F90" s="3" t="inlineStr">
        <is>
          <t>2030</t>
        </is>
      </c>
      <c r="G90" s="3" t="inlineStr">
        <is>
          <t>2031</t>
        </is>
      </c>
      <c r="H90" s="3" t="inlineStr">
        <is>
          <t>2032</t>
        </is>
      </c>
      <c r="I90" s="3" t="inlineStr">
        <is>
          <t>2033</t>
        </is>
      </c>
    </row>
    <row r="91">
      <c r="A91" s="2" t="inlineStr">
        <is>
          <t xml:space="preserve">  DCAI revenue growth - Bear</t>
        </is>
      </c>
      <c r="B91" s="2" t="inlineStr">
        <is>
          <t>Bear</t>
        </is>
      </c>
      <c r="C91" s="50" t="n">
        <v>-0.12</v>
      </c>
      <c r="D91" s="50" t="n">
        <v>-0.03</v>
      </c>
      <c r="E91" s="50" t="n">
        <v>0</v>
      </c>
      <c r="F91" s="50" t="n">
        <v>0.02</v>
      </c>
      <c r="G91" s="50" t="n">
        <v>0.02</v>
      </c>
      <c r="H91" s="50" t="n">
        <v>0.02</v>
      </c>
      <c r="I91" s="50" t="n">
        <v>0.02</v>
      </c>
    </row>
    <row r="92">
      <c r="A92" s="2" t="inlineStr">
        <is>
          <t xml:space="preserve">  DCAI revenue growth - Base</t>
        </is>
      </c>
      <c r="B92" s="2" t="inlineStr">
        <is>
          <t>Base</t>
        </is>
      </c>
      <c r="C92" s="50" t="n">
        <v>0.04</v>
      </c>
      <c r="D92" s="50" t="n">
        <v>0.05</v>
      </c>
      <c r="E92" s="50" t="n">
        <v>0.06</v>
      </c>
      <c r="F92" s="50" t="n">
        <v>0.06</v>
      </c>
      <c r="G92" s="50" t="n">
        <v>0.05</v>
      </c>
      <c r="H92" s="50" t="n">
        <v>0.04</v>
      </c>
      <c r="I92" s="50" t="n">
        <v>0.04</v>
      </c>
    </row>
    <row r="93">
      <c r="A93" s="2" t="inlineStr">
        <is>
          <t xml:space="preserve">  DCAI revenue growth - Bull</t>
        </is>
      </c>
      <c r="B93" s="2" t="inlineStr">
        <is>
          <t>Bull</t>
        </is>
      </c>
      <c r="C93" s="50" t="n">
        <v>0.15</v>
      </c>
      <c r="D93" s="50" t="n">
        <v>0.12</v>
      </c>
      <c r="E93" s="50" t="n">
        <v>0.1</v>
      </c>
      <c r="F93" s="50" t="n">
        <v>0.08</v>
      </c>
      <c r="G93" s="50" t="n">
        <v>0.07000000000000001</v>
      </c>
      <c r="H93" s="50" t="n">
        <v>0.06</v>
      </c>
      <c r="I93" s="50" t="n">
        <v>0.05</v>
      </c>
    </row>
    <row r="94">
      <c r="A94" s="2" t="inlineStr">
        <is>
          <t xml:space="preserve">  DCAI revenue growth - Taiwan</t>
        </is>
      </c>
      <c r="B94" s="2" t="inlineStr">
        <is>
          <t>Taiwan</t>
        </is>
      </c>
      <c r="C94" s="50" t="n">
        <v>0.1</v>
      </c>
      <c r="D94" s="50" t="n">
        <v>0.25</v>
      </c>
      <c r="E94" s="50" t="n">
        <v>0.15</v>
      </c>
      <c r="F94" s="50" t="n">
        <v>0.08</v>
      </c>
      <c r="G94" s="50" t="n">
        <v>0.05</v>
      </c>
      <c r="H94" s="50" t="n">
        <v>0.04</v>
      </c>
      <c r="I94" s="50" t="n">
        <v>0.04</v>
      </c>
    </row>
    <row r="95">
      <c r="A95" s="2" t="inlineStr">
        <is>
          <t xml:space="preserve">  DCAI revenue growth - TaiwanMax</t>
        </is>
      </c>
      <c r="B95" s="2" t="inlineStr">
        <is>
          <t>TaiwanMax</t>
        </is>
      </c>
      <c r="C95" s="50" t="n">
        <v>0.1</v>
      </c>
      <c r="D95" s="50" t="n">
        <v>0.25</v>
      </c>
      <c r="E95" s="50" t="n">
        <v>0.15</v>
      </c>
      <c r="F95" s="50" t="n">
        <v>0.08</v>
      </c>
      <c r="G95" s="50" t="n">
        <v>0.05</v>
      </c>
      <c r="H95" s="50" t="n">
        <v>0.04</v>
      </c>
      <c r="I95" s="50" t="n">
        <v>0.04</v>
      </c>
    </row>
    <row r="96">
      <c r="A96" s="2" t="inlineStr">
        <is>
          <t xml:space="preserve">  Rationale: Bear: shortage ASP spike (+48% YoY in Q2-26) reverses as Venice ships Q4-26 and Diamond Rapids slips; Bull: DMR competitive + agentic CPU demand persists</t>
        </is>
      </c>
    </row>
    <row r="98">
      <c r="A98" s="1" t="inlineStr">
        <is>
          <t>CCPG (client) revenue growth</t>
        </is>
      </c>
      <c r="B98" s="3" t="inlineStr">
        <is>
          <t>Scenario</t>
        </is>
      </c>
      <c r="C98" s="3" t="inlineStr">
        <is>
          <t>2027</t>
        </is>
      </c>
      <c r="D98" s="3" t="inlineStr">
        <is>
          <t>2028</t>
        </is>
      </c>
      <c r="E98" s="3" t="inlineStr">
        <is>
          <t>2029</t>
        </is>
      </c>
      <c r="F98" s="3" t="inlineStr">
        <is>
          <t>2030</t>
        </is>
      </c>
      <c r="G98" s="3" t="inlineStr">
        <is>
          <t>2031</t>
        </is>
      </c>
      <c r="H98" s="3" t="inlineStr">
        <is>
          <t>2032</t>
        </is>
      </c>
      <c r="I98" s="3" t="inlineStr">
        <is>
          <t>2033</t>
        </is>
      </c>
    </row>
    <row r="99">
      <c r="A99" s="2" t="inlineStr">
        <is>
          <t xml:space="preserve">  CCPG (client) revenue growth - Bear</t>
        </is>
      </c>
      <c r="B99" s="2" t="inlineStr">
        <is>
          <t>Bear</t>
        </is>
      </c>
      <c r="C99" s="50" t="n">
        <v>-0.08</v>
      </c>
      <c r="D99" s="50" t="n">
        <v>-0.04</v>
      </c>
      <c r="E99" s="50" t="n">
        <v>-0.03</v>
      </c>
      <c r="F99" s="50" t="n">
        <v>-0.02</v>
      </c>
      <c r="G99" s="50" t="n">
        <v>-0.02</v>
      </c>
      <c r="H99" s="50" t="n">
        <v>-0.01</v>
      </c>
      <c r="I99" s="50" t="n">
        <v>-0.01</v>
      </c>
    </row>
    <row r="100">
      <c r="A100" s="2" t="inlineStr">
        <is>
          <t xml:space="preserve">  CCPG (client) revenue growth - Base</t>
        </is>
      </c>
      <c r="B100" s="2" t="inlineStr">
        <is>
          <t>Base</t>
        </is>
      </c>
      <c r="C100" s="50" t="n">
        <v>-0.02</v>
      </c>
      <c r="D100" s="50" t="n">
        <v>0.01</v>
      </c>
      <c r="E100" s="50" t="n">
        <v>0.02</v>
      </c>
      <c r="F100" s="50" t="n">
        <v>0.02</v>
      </c>
      <c r="G100" s="50" t="n">
        <v>0.02</v>
      </c>
      <c r="H100" s="50" t="n">
        <v>0.02</v>
      </c>
      <c r="I100" s="50" t="n">
        <v>0.02</v>
      </c>
    </row>
    <row r="101">
      <c r="A101" s="2" t="inlineStr">
        <is>
          <t xml:space="preserve">  CCPG (client) revenue growth - Bull</t>
        </is>
      </c>
      <c r="B101" s="2" t="inlineStr">
        <is>
          <t>Bull</t>
        </is>
      </c>
      <c r="C101" s="50" t="n">
        <v>0.04</v>
      </c>
      <c r="D101" s="50" t="n">
        <v>0.04</v>
      </c>
      <c r="E101" s="50" t="n">
        <v>0.03</v>
      </c>
      <c r="F101" s="50" t="n">
        <v>0.03</v>
      </c>
      <c r="G101" s="50" t="n">
        <v>0.03</v>
      </c>
      <c r="H101" s="50" t="n">
        <v>0.03</v>
      </c>
      <c r="I101" s="50" t="n">
        <v>0.03</v>
      </c>
    </row>
    <row r="102">
      <c r="A102" s="2" t="inlineStr">
        <is>
          <t xml:space="preserve">  CCPG (client) revenue growth - Taiwan</t>
        </is>
      </c>
      <c r="B102" s="2" t="inlineStr">
        <is>
          <t>Taiwan</t>
        </is>
      </c>
      <c r="C102" s="50" t="n">
        <v>-0.1</v>
      </c>
      <c r="D102" s="50" t="n">
        <v>0.2</v>
      </c>
      <c r="E102" s="50" t="n">
        <v>0.1</v>
      </c>
      <c r="F102" s="50" t="n">
        <v>0.03</v>
      </c>
      <c r="G102" s="50" t="n">
        <v>0.03</v>
      </c>
      <c r="H102" s="50" t="n">
        <v>0.03</v>
      </c>
      <c r="I102" s="50" t="n">
        <v>0.03</v>
      </c>
    </row>
    <row r="103">
      <c r="A103" s="2" t="inlineStr">
        <is>
          <t xml:space="preserve">  CCPG (client) revenue growth - TaiwanMax</t>
        </is>
      </c>
      <c r="B103" s="2" t="inlineStr">
        <is>
          <t>TaiwanMax</t>
        </is>
      </c>
      <c r="C103" s="50" t="n">
        <v>-0.05</v>
      </c>
      <c r="D103" s="50" t="n">
        <v>0.22</v>
      </c>
      <c r="E103" s="50" t="n">
        <v>0.1</v>
      </c>
      <c r="F103" s="50" t="n">
        <v>0.03</v>
      </c>
      <c r="G103" s="50" t="n">
        <v>0.03</v>
      </c>
      <c r="H103" s="50" t="n">
        <v>0.03</v>
      </c>
      <c r="I103" s="50" t="n">
        <v>0.03</v>
      </c>
    </row>
    <row r="104">
      <c r="A104" s="2" t="inlineStr">
        <is>
          <t xml:space="preserve">  Rationale: Mercury: AMD client share 30.3% Q2-26 and rising; Arm WoA ~3%. Bull assumes Nova Lake + NVIDIA x86 RTX SoCs hold share</t>
        </is>
      </c>
    </row>
    <row r="106">
      <c r="A106" s="1" t="inlineStr">
        <is>
          <t>External foundry + packaging revenue ($bn)</t>
        </is>
      </c>
      <c r="B106" s="3" t="inlineStr">
        <is>
          <t>Scenario</t>
        </is>
      </c>
      <c r="C106" s="3" t="inlineStr">
        <is>
          <t>2027</t>
        </is>
      </c>
      <c r="D106" s="3" t="inlineStr">
        <is>
          <t>2028</t>
        </is>
      </c>
      <c r="E106" s="3" t="inlineStr">
        <is>
          <t>2029</t>
        </is>
      </c>
      <c r="F106" s="3" t="inlineStr">
        <is>
          <t>2030</t>
        </is>
      </c>
      <c r="G106" s="3" t="inlineStr">
        <is>
          <t>2031</t>
        </is>
      </c>
      <c r="H106" s="3" t="inlineStr">
        <is>
          <t>2032</t>
        </is>
      </c>
      <c r="I106" s="3" t="inlineStr">
        <is>
          <t>2033</t>
        </is>
      </c>
    </row>
    <row r="107">
      <c r="A107" s="2" t="inlineStr">
        <is>
          <t xml:space="preserve">  External foundry + packaging revenue ($bn) - Bear</t>
        </is>
      </c>
      <c r="B107" s="2" t="inlineStr">
        <is>
          <t>Bear</t>
        </is>
      </c>
      <c r="C107" s="49" t="n">
        <v>1.3</v>
      </c>
      <c r="D107" s="49" t="n">
        <v>1.6</v>
      </c>
      <c r="E107" s="49" t="n">
        <v>2</v>
      </c>
      <c r="F107" s="49" t="n">
        <v>2.5</v>
      </c>
      <c r="G107" s="49" t="n">
        <v>3</v>
      </c>
      <c r="H107" s="49" t="n">
        <v>3.5</v>
      </c>
      <c r="I107" s="49" t="n">
        <v>4</v>
      </c>
    </row>
    <row r="108">
      <c r="A108" s="2" t="inlineStr">
        <is>
          <t xml:space="preserve">  External foundry + packaging revenue ($bn) - Base</t>
        </is>
      </c>
      <c r="B108" s="2" t="inlineStr">
        <is>
          <t>Base</t>
        </is>
      </c>
      <c r="C108" s="49" t="n">
        <v>1.8</v>
      </c>
      <c r="D108" s="49" t="n">
        <v>3.5</v>
      </c>
      <c r="E108" s="49" t="n">
        <v>6</v>
      </c>
      <c r="F108" s="49" t="n">
        <v>8.5</v>
      </c>
      <c r="G108" s="49" t="n">
        <v>11</v>
      </c>
      <c r="H108" s="49" t="n">
        <v>13</v>
      </c>
      <c r="I108" s="49" t="n">
        <v>15</v>
      </c>
    </row>
    <row r="109">
      <c r="A109" s="2" t="inlineStr">
        <is>
          <t xml:space="preserve">  External foundry + packaging revenue ($bn) - Bull</t>
        </is>
      </c>
      <c r="B109" s="2" t="inlineStr">
        <is>
          <t>Bull</t>
        </is>
      </c>
      <c r="C109" s="49" t="n">
        <v>3</v>
      </c>
      <c r="D109" s="49" t="n">
        <v>7</v>
      </c>
      <c r="E109" s="49" t="n">
        <v>12</v>
      </c>
      <c r="F109" s="49" t="n">
        <v>18</v>
      </c>
      <c r="G109" s="49" t="n">
        <v>24</v>
      </c>
      <c r="H109" s="49" t="n">
        <v>29</v>
      </c>
      <c r="I109" s="49" t="n">
        <v>33</v>
      </c>
    </row>
    <row r="110">
      <c r="A110" s="2" t="inlineStr">
        <is>
          <t xml:space="preserve">  External foundry + packaging revenue ($bn) - Taiwan</t>
        </is>
      </c>
      <c r="B110" s="2" t="inlineStr">
        <is>
          <t>Taiwan</t>
        </is>
      </c>
      <c r="C110" s="49" t="n">
        <v>10</v>
      </c>
      <c r="D110" s="49" t="n">
        <v>30</v>
      </c>
      <c r="E110" s="49" t="n">
        <v>45</v>
      </c>
      <c r="F110" s="49" t="n">
        <v>55</v>
      </c>
      <c r="G110" s="49" t="n">
        <v>60</v>
      </c>
      <c r="H110" s="49" t="n">
        <v>65</v>
      </c>
      <c r="I110" s="49" t="n">
        <v>70</v>
      </c>
    </row>
    <row r="111">
      <c r="A111" s="2" t="inlineStr">
        <is>
          <t xml:space="preserve">  External foundry + packaging revenue ($bn) - TaiwanMax</t>
        </is>
      </c>
      <c r="B111" s="2" t="inlineStr">
        <is>
          <t>TaiwanMax</t>
        </is>
      </c>
      <c r="C111" s="49" t="n">
        <v>18</v>
      </c>
      <c r="D111" s="49" t="n">
        <v>50</v>
      </c>
      <c r="E111" s="49" t="n">
        <v>77</v>
      </c>
      <c r="F111" s="49" t="n">
        <v>97</v>
      </c>
      <c r="G111" s="49" t="n">
        <v>110</v>
      </c>
      <c r="H111" s="49" t="n">
        <v>120</v>
      </c>
      <c r="I111" s="49" t="n">
        <v>130</v>
      </c>
    </row>
    <row r="112">
      <c r="A112" s="2" t="inlineStr">
        <is>
          <t xml:space="preserve">  Rationale: Today ~$1.2bn annualized, mostly Altera. Base = EMIB-T packaging + Apple 18A-P ramp. Bull = 14A anchor customer. All ABOVE Intel's historical base rate</t>
        </is>
      </c>
    </row>
    <row r="114">
      <c r="A114" s="1" t="inlineStr">
        <is>
          <t>Non-GAAP gross margin</t>
        </is>
      </c>
      <c r="B114" s="3" t="inlineStr">
        <is>
          <t>Scenario</t>
        </is>
      </c>
      <c r="C114" s="3" t="inlineStr">
        <is>
          <t>2027</t>
        </is>
      </c>
      <c r="D114" s="3" t="inlineStr">
        <is>
          <t>2028</t>
        </is>
      </c>
      <c r="E114" s="3" t="inlineStr">
        <is>
          <t>2029</t>
        </is>
      </c>
      <c r="F114" s="3" t="inlineStr">
        <is>
          <t>2030</t>
        </is>
      </c>
      <c r="G114" s="3" t="inlineStr">
        <is>
          <t>2031</t>
        </is>
      </c>
      <c r="H114" s="3" t="inlineStr">
        <is>
          <t>2032</t>
        </is>
      </c>
      <c r="I114" s="3" t="inlineStr">
        <is>
          <t>2033</t>
        </is>
      </c>
    </row>
    <row r="115">
      <c r="A115" s="2" t="inlineStr">
        <is>
          <t xml:space="preserve">  Non-GAAP gross margin - Bear</t>
        </is>
      </c>
      <c r="B115" s="2" t="inlineStr">
        <is>
          <t>Bear</t>
        </is>
      </c>
      <c r="C115" s="50" t="n">
        <v>0.39</v>
      </c>
      <c r="D115" s="50" t="n">
        <v>0.39</v>
      </c>
      <c r="E115" s="50" t="n">
        <v>0.4</v>
      </c>
      <c r="F115" s="50" t="n">
        <v>0.4</v>
      </c>
      <c r="G115" s="50" t="n">
        <v>0.4</v>
      </c>
      <c r="H115" s="50" t="n">
        <v>0.4</v>
      </c>
      <c r="I115" s="50" t="n">
        <v>0.4</v>
      </c>
    </row>
    <row r="116">
      <c r="A116" s="2" t="inlineStr">
        <is>
          <t xml:space="preserve">  Non-GAAP gross margin - Base</t>
        </is>
      </c>
      <c r="B116" s="2" t="inlineStr">
        <is>
          <t>Base</t>
        </is>
      </c>
      <c r="C116" s="50" t="n">
        <v>0.43</v>
      </c>
      <c r="D116" s="50" t="n">
        <v>0.45</v>
      </c>
      <c r="E116" s="50" t="n">
        <v>0.47</v>
      </c>
      <c r="F116" s="50" t="n">
        <v>0.48</v>
      </c>
      <c r="G116" s="50" t="n">
        <v>0.49</v>
      </c>
      <c r="H116" s="50" t="n">
        <v>0.5</v>
      </c>
      <c r="I116" s="50" t="n">
        <v>0.5</v>
      </c>
    </row>
    <row r="117">
      <c r="A117" s="2" t="inlineStr">
        <is>
          <t xml:space="preserve">  Non-GAAP gross margin - Bull</t>
        </is>
      </c>
      <c r="B117" s="2" t="inlineStr">
        <is>
          <t>Bull</t>
        </is>
      </c>
      <c r="C117" s="50" t="n">
        <v>0.46</v>
      </c>
      <c r="D117" s="50" t="n">
        <v>0.49</v>
      </c>
      <c r="E117" s="50" t="n">
        <v>0.52</v>
      </c>
      <c r="F117" s="50" t="n">
        <v>0.54</v>
      </c>
      <c r="G117" s="50" t="n">
        <v>0.55</v>
      </c>
      <c r="H117" s="50" t="n">
        <v>0.5600000000000001</v>
      </c>
      <c r="I117" s="50" t="n">
        <v>0.57</v>
      </c>
    </row>
    <row r="118">
      <c r="A118" s="2" t="inlineStr">
        <is>
          <t xml:space="preserve">  Non-GAAP gross margin - Taiwan</t>
        </is>
      </c>
      <c r="B118" s="2" t="inlineStr">
        <is>
          <t>Taiwan</t>
        </is>
      </c>
      <c r="C118" s="50" t="n">
        <v>0.45</v>
      </c>
      <c r="D118" s="50" t="n">
        <v>0.55</v>
      </c>
      <c r="E118" s="50" t="n">
        <v>0.6</v>
      </c>
      <c r="F118" s="50" t="n">
        <v>0.62</v>
      </c>
      <c r="G118" s="50" t="n">
        <v>0.62</v>
      </c>
      <c r="H118" s="50" t="n">
        <v>0.62</v>
      </c>
      <c r="I118" s="50" t="n">
        <v>0.62</v>
      </c>
    </row>
    <row r="119">
      <c r="A119" s="2" t="inlineStr">
        <is>
          <t xml:space="preserve">  Non-GAAP gross margin - TaiwanMax</t>
        </is>
      </c>
      <c r="B119" s="2" t="inlineStr">
        <is>
          <t>TaiwanMax</t>
        </is>
      </c>
      <c r="C119" s="50" t="n">
        <v>0.45</v>
      </c>
      <c r="D119" s="50" t="n">
        <v>0.57</v>
      </c>
      <c r="E119" s="50" t="n">
        <v>0.63</v>
      </c>
      <c r="F119" s="50" t="n">
        <v>0.65</v>
      </c>
      <c r="G119" s="50" t="n">
        <v>0.65</v>
      </c>
      <c r="H119" s="50" t="n">
        <v>0.65</v>
      </c>
      <c r="I119" s="50" t="n">
        <v>0.65</v>
      </c>
    </row>
    <row r="120">
      <c r="A120" s="2" t="inlineStr">
        <is>
          <t xml:space="preserve">  Rationale: Q2-26 41.8%. Compare TSMC 67.7% (Q2-26), Intel ~60% in the 2010s. Base requires 18A industry-standard yields in 2027 (CFO's own timeline)</t>
        </is>
      </c>
    </row>
    <row r="122">
      <c r="A122" s="1" t="inlineStr">
        <is>
          <t>Non-GAAP opex growth</t>
        </is>
      </c>
      <c r="B122" s="3" t="inlineStr">
        <is>
          <t>Scenario</t>
        </is>
      </c>
      <c r="C122" s="3" t="inlineStr">
        <is>
          <t>2027</t>
        </is>
      </c>
      <c r="D122" s="3" t="inlineStr">
        <is>
          <t>2028</t>
        </is>
      </c>
      <c r="E122" s="3" t="inlineStr">
        <is>
          <t>2029</t>
        </is>
      </c>
      <c r="F122" s="3" t="inlineStr">
        <is>
          <t>2030</t>
        </is>
      </c>
      <c r="G122" s="3" t="inlineStr">
        <is>
          <t>2031</t>
        </is>
      </c>
      <c r="H122" s="3" t="inlineStr">
        <is>
          <t>2032</t>
        </is>
      </c>
      <c r="I122" s="3" t="inlineStr">
        <is>
          <t>2033</t>
        </is>
      </c>
    </row>
    <row r="123">
      <c r="A123" s="2" t="inlineStr">
        <is>
          <t xml:space="preserve">  Non-GAAP opex growth - Bear</t>
        </is>
      </c>
      <c r="B123" s="2" t="inlineStr">
        <is>
          <t>Bear</t>
        </is>
      </c>
      <c r="C123" s="50" t="n">
        <v>0.01</v>
      </c>
      <c r="D123" s="50" t="n">
        <v>0.01</v>
      </c>
      <c r="E123" s="50" t="n">
        <v>0.01</v>
      </c>
      <c r="F123" s="50" t="n">
        <v>0.01</v>
      </c>
      <c r="G123" s="50" t="n">
        <v>0.01</v>
      </c>
      <c r="H123" s="50" t="n">
        <v>0.01</v>
      </c>
      <c r="I123" s="50" t="n">
        <v>0.01</v>
      </c>
    </row>
    <row r="124">
      <c r="A124" s="2" t="inlineStr">
        <is>
          <t xml:space="preserve">  Non-GAAP opex growth - Base</t>
        </is>
      </c>
      <c r="B124" s="2" t="inlineStr">
        <is>
          <t>Base</t>
        </is>
      </c>
      <c r="C124" s="50" t="n">
        <v>0.03</v>
      </c>
      <c r="D124" s="50" t="n">
        <v>0.03</v>
      </c>
      <c r="E124" s="50" t="n">
        <v>0.03</v>
      </c>
      <c r="F124" s="50" t="n">
        <v>0.03</v>
      </c>
      <c r="G124" s="50" t="n">
        <v>0.03</v>
      </c>
      <c r="H124" s="50" t="n">
        <v>0.03</v>
      </c>
      <c r="I124" s="50" t="n">
        <v>0.03</v>
      </c>
    </row>
    <row r="125">
      <c r="A125" s="2" t="inlineStr">
        <is>
          <t xml:space="preserve">  Non-GAAP opex growth - Bull</t>
        </is>
      </c>
      <c r="B125" s="2" t="inlineStr">
        <is>
          <t>Bull</t>
        </is>
      </c>
      <c r="C125" s="50" t="n">
        <v>0.04</v>
      </c>
      <c r="D125" s="50" t="n">
        <v>0.04</v>
      </c>
      <c r="E125" s="50" t="n">
        <v>0.04</v>
      </c>
      <c r="F125" s="50" t="n">
        <v>0.04</v>
      </c>
      <c r="G125" s="50" t="n">
        <v>0.04</v>
      </c>
      <c r="H125" s="50" t="n">
        <v>0.04</v>
      </c>
      <c r="I125" s="50" t="n">
        <v>0.04</v>
      </c>
    </row>
    <row r="126">
      <c r="A126" s="2" t="inlineStr">
        <is>
          <t xml:space="preserve">  Non-GAAP opex growth - Taiwan</t>
        </is>
      </c>
      <c r="B126" s="2" t="inlineStr">
        <is>
          <t>Taiwan</t>
        </is>
      </c>
      <c r="C126" s="50" t="n">
        <v>0.06</v>
      </c>
      <c r="D126" s="50" t="n">
        <v>0.06</v>
      </c>
      <c r="E126" s="50" t="n">
        <v>0.06</v>
      </c>
      <c r="F126" s="50" t="n">
        <v>0.06</v>
      </c>
      <c r="G126" s="50" t="n">
        <v>0.06</v>
      </c>
      <c r="H126" s="50" t="n">
        <v>0.06</v>
      </c>
      <c r="I126" s="50" t="n">
        <v>0.06</v>
      </c>
    </row>
    <row r="127">
      <c r="A127" s="2" t="inlineStr">
        <is>
          <t xml:space="preserve">  Non-GAAP opex growth - TaiwanMax</t>
        </is>
      </c>
      <c r="B127" s="2" t="inlineStr">
        <is>
          <t>TaiwanMax</t>
        </is>
      </c>
      <c r="C127" s="50" t="n">
        <v>0.08</v>
      </c>
      <c r="D127" s="50" t="n">
        <v>0.08</v>
      </c>
      <c r="E127" s="50" t="n">
        <v>0.08</v>
      </c>
      <c r="F127" s="50" t="n">
        <v>0.08</v>
      </c>
      <c r="G127" s="50" t="n">
        <v>0.08</v>
      </c>
      <c r="H127" s="50" t="n">
        <v>0.08</v>
      </c>
      <c r="I127" s="50" t="n">
        <v>0.08</v>
      </c>
    </row>
    <row r="128">
      <c r="A128" s="2" t="inlineStr">
        <is>
          <t xml:space="preserve">  Rationale: Bull spends more (AI GPU, foundry customer support)</t>
        </is>
      </c>
    </row>
    <row r="130">
      <c r="A130" s="1" t="inlineStr">
        <is>
          <t>China domestic end-demand revenue change per year</t>
        </is>
      </c>
      <c r="B130" s="3" t="inlineStr">
        <is>
          <t>Scenario</t>
        </is>
      </c>
      <c r="C130" s="3" t="inlineStr">
        <is>
          <t>2027</t>
        </is>
      </c>
      <c r="D130" s="3" t="inlineStr">
        <is>
          <t>2028</t>
        </is>
      </c>
      <c r="E130" s="3" t="inlineStr">
        <is>
          <t>2029</t>
        </is>
      </c>
      <c r="F130" s="3" t="inlineStr">
        <is>
          <t>2030</t>
        </is>
      </c>
      <c r="G130" s="3" t="inlineStr">
        <is>
          <t>2031</t>
        </is>
      </c>
      <c r="H130" s="3" t="inlineStr">
        <is>
          <t>2032</t>
        </is>
      </c>
      <c r="I130" s="3" t="inlineStr">
        <is>
          <t>2033</t>
        </is>
      </c>
    </row>
    <row r="131">
      <c r="A131" s="2" t="inlineStr">
        <is>
          <t xml:space="preserve">  China domestic end-demand revenue change per year - Bear</t>
        </is>
      </c>
      <c r="B131" s="2" t="inlineStr">
        <is>
          <t>Bear</t>
        </is>
      </c>
      <c r="C131" s="50" t="n">
        <v>-0.2</v>
      </c>
      <c r="D131" s="50" t="n">
        <v>-0.15</v>
      </c>
      <c r="E131" s="50" t="n">
        <v>-0.15</v>
      </c>
      <c r="F131" s="50" t="n">
        <v>-0.1</v>
      </c>
      <c r="G131" s="50" t="n">
        <v>-0.1</v>
      </c>
      <c r="H131" s="50" t="n">
        <v>-0.1</v>
      </c>
      <c r="I131" s="50" t="n">
        <v>-0.1</v>
      </c>
    </row>
    <row r="132">
      <c r="A132" s="2" t="inlineStr">
        <is>
          <t xml:space="preserve">  China domestic end-demand revenue change per year - Base</t>
        </is>
      </c>
      <c r="B132" s="2" t="inlineStr">
        <is>
          <t>Base</t>
        </is>
      </c>
      <c r="C132" s="50" t="n">
        <v>-0.08</v>
      </c>
      <c r="D132" s="50" t="n">
        <v>-0.08</v>
      </c>
      <c r="E132" s="50" t="n">
        <v>-0.07000000000000001</v>
      </c>
      <c r="F132" s="50" t="n">
        <v>-0.07000000000000001</v>
      </c>
      <c r="G132" s="50" t="n">
        <v>-0.06</v>
      </c>
      <c r="H132" s="50" t="n">
        <v>-0.06</v>
      </c>
      <c r="I132" s="50" t="n">
        <v>-0.05</v>
      </c>
    </row>
    <row r="133">
      <c r="A133" s="2" t="inlineStr">
        <is>
          <t xml:space="preserve">  China domestic end-demand revenue change per year - Bull</t>
        </is>
      </c>
      <c r="B133" s="2" t="inlineStr">
        <is>
          <t>Bull</t>
        </is>
      </c>
      <c r="C133" s="50" t="n">
        <v>-0.03</v>
      </c>
      <c r="D133" s="50" t="n">
        <v>-0.03</v>
      </c>
      <c r="E133" s="50" t="n">
        <v>-0.03</v>
      </c>
      <c r="F133" s="50" t="n">
        <v>-0.03</v>
      </c>
      <c r="G133" s="50" t="n">
        <v>-0.03</v>
      </c>
      <c r="H133" s="50" t="n">
        <v>-0.03</v>
      </c>
      <c r="I133" s="50" t="n">
        <v>-0.03</v>
      </c>
    </row>
    <row r="134">
      <c r="A134" s="2" t="inlineStr">
        <is>
          <t xml:space="preserve">  China domestic end-demand revenue change per year - Taiwan</t>
        </is>
      </c>
      <c r="B134" s="2" t="inlineStr">
        <is>
          <t>Taiwan</t>
        </is>
      </c>
      <c r="C134" s="50" t="n">
        <v>-1</v>
      </c>
      <c r="D134" s="50" t="n">
        <v>0</v>
      </c>
      <c r="E134" s="50" t="n">
        <v>0</v>
      </c>
      <c r="F134" s="50" t="n">
        <v>0</v>
      </c>
      <c r="G134" s="50" t="n">
        <v>0</v>
      </c>
      <c r="H134" s="50" t="n">
        <v>0</v>
      </c>
      <c r="I134" s="50" t="n">
        <v>0</v>
      </c>
    </row>
    <row r="135">
      <c r="A135" s="2" t="inlineStr">
        <is>
          <t xml:space="preserve">  China domestic end-demand revenue change per year - TaiwanMax</t>
        </is>
      </c>
      <c r="B135" s="2" t="inlineStr">
        <is>
          <t>TaiwanMax</t>
        </is>
      </c>
      <c r="C135" s="50" t="n">
        <v>-1</v>
      </c>
      <c r="D135" s="50" t="n">
        <v>0</v>
      </c>
      <c r="E135" s="50" t="n">
        <v>0</v>
      </c>
      <c r="F135" s="50" t="n">
        <v>0</v>
      </c>
      <c r="G135" s="50" t="n">
        <v>0</v>
      </c>
      <c r="H135" s="50" t="n">
        <v>0</v>
      </c>
      <c r="I135" s="50" t="n">
        <v>0</v>
      </c>
    </row>
    <row r="136">
      <c r="A136" s="2" t="inlineStr">
        <is>
          <t xml:space="preserve">  Rationale: Bear: truce lapses Nov-26, xinchuang spreads from government to SOEs/finance/telecom, and origin rule hits 18A (US-fabbed) parts. Base: steady localization. Bull: truce holds, erosion slow</t>
        </is>
      </c>
    </row>
    <row r="138">
      <c r="A138" s="1" t="inlineStr">
        <is>
          <t>CHINA TAILWIND 1: China AI-server demand boost to China domestic revenue (pts/yr, added to erosion)</t>
        </is>
      </c>
      <c r="B138" s="3" t="inlineStr">
        <is>
          <t>Scenario</t>
        </is>
      </c>
      <c r="C138" s="3" t="inlineStr">
        <is>
          <t>2027</t>
        </is>
      </c>
      <c r="D138" s="3" t="inlineStr">
        <is>
          <t>2028</t>
        </is>
      </c>
      <c r="E138" s="3" t="inlineStr">
        <is>
          <t>2029</t>
        </is>
      </c>
      <c r="F138" s="3" t="inlineStr">
        <is>
          <t>2030</t>
        </is>
      </c>
      <c r="G138" s="3" t="inlineStr">
        <is>
          <t>2031</t>
        </is>
      </c>
      <c r="H138" s="3" t="inlineStr">
        <is>
          <t>2032</t>
        </is>
      </c>
      <c r="I138" s="3" t="inlineStr">
        <is>
          <t>2033</t>
        </is>
      </c>
    </row>
    <row r="139">
      <c r="A139" s="2" t="inlineStr">
        <is>
          <t xml:space="preserve">  CHINA TAILWIND 1: China AI-server demand boost to China domestic revenue (pts/yr, added to erosion) - Bear</t>
        </is>
      </c>
      <c r="B139" s="2" t="inlineStr">
        <is>
          <t>Bear</t>
        </is>
      </c>
      <c r="C139" s="50" t="n">
        <v>0</v>
      </c>
      <c r="D139" s="50" t="n">
        <v>0</v>
      </c>
      <c r="E139" s="50" t="n">
        <v>0</v>
      </c>
      <c r="F139" s="50" t="n">
        <v>0</v>
      </c>
      <c r="G139" s="50" t="n">
        <v>0</v>
      </c>
      <c r="H139" s="50" t="n">
        <v>0</v>
      </c>
      <c r="I139" s="50" t="n">
        <v>0</v>
      </c>
    </row>
    <row r="140">
      <c r="A140" s="2" t="inlineStr">
        <is>
          <t xml:space="preserve">  CHINA TAILWIND 1: China AI-server demand boost to China domestic revenue (pts/yr, added to erosion) - Base</t>
        </is>
      </c>
      <c r="B140" s="2" t="inlineStr">
        <is>
          <t>Base</t>
        </is>
      </c>
      <c r="C140" s="50" t="n">
        <v>0.08</v>
      </c>
      <c r="D140" s="50" t="n">
        <v>0.04</v>
      </c>
      <c r="E140" s="50" t="n">
        <v>0</v>
      </c>
      <c r="F140" s="50" t="n">
        <v>0</v>
      </c>
      <c r="G140" s="50" t="n">
        <v>0</v>
      </c>
      <c r="H140" s="50" t="n">
        <v>0</v>
      </c>
      <c r="I140" s="50" t="n">
        <v>0</v>
      </c>
    </row>
    <row r="141">
      <c r="A141" s="2" t="inlineStr">
        <is>
          <t xml:space="preserve">  CHINA TAILWIND 1: China AI-server demand boost to China domestic revenue (pts/yr, added to erosion) - Bull</t>
        </is>
      </c>
      <c r="B141" s="2" t="inlineStr">
        <is>
          <t>Bull</t>
        </is>
      </c>
      <c r="C141" s="50" t="n">
        <v>0.15</v>
      </c>
      <c r="D141" s="50" t="n">
        <v>0.1</v>
      </c>
      <c r="E141" s="50" t="n">
        <v>0.05</v>
      </c>
      <c r="F141" s="50" t="n">
        <v>0.02</v>
      </c>
      <c r="G141" s="50" t="n">
        <v>0</v>
      </c>
      <c r="H141" s="50" t="n">
        <v>0</v>
      </c>
      <c r="I141" s="50" t="n">
        <v>0</v>
      </c>
    </row>
    <row r="142">
      <c r="A142" s="2" t="inlineStr">
        <is>
          <t xml:space="preserve">  CHINA TAILWIND 1: China AI-server demand boost to China domestic revenue (pts/yr, added to erosion) - Taiwan</t>
        </is>
      </c>
      <c r="B142" s="2" t="inlineStr">
        <is>
          <t>Taiwan</t>
        </is>
      </c>
      <c r="C142" s="50" t="n">
        <v>0</v>
      </c>
      <c r="D142" s="50" t="n">
        <v>0</v>
      </c>
      <c r="E142" s="50" t="n">
        <v>0</v>
      </c>
      <c r="F142" s="50" t="n">
        <v>0</v>
      </c>
      <c r="G142" s="50" t="n">
        <v>0</v>
      </c>
      <c r="H142" s="50" t="n">
        <v>0</v>
      </c>
      <c r="I142" s="50" t="n">
        <v>0</v>
      </c>
    </row>
    <row r="143">
      <c r="A143" s="2" t="inlineStr">
        <is>
          <t xml:space="preserve">  CHINA TAILWIND 1: China AI-server demand boost to China domestic revenue (pts/yr, added to erosion) - TaiwanMax</t>
        </is>
      </c>
      <c r="B143" s="2" t="inlineStr">
        <is>
          <t>TaiwanMax</t>
        </is>
      </c>
      <c r="C143" s="50" t="n">
        <v>0</v>
      </c>
      <c r="D143" s="50" t="n">
        <v>0</v>
      </c>
      <c r="E143" s="50" t="n">
        <v>0</v>
      </c>
      <c r="F143" s="50" t="n">
        <v>0</v>
      </c>
      <c r="G143" s="50" t="n">
        <v>0</v>
      </c>
      <c r="H143" s="50" t="n">
        <v>0</v>
      </c>
      <c r="I143" s="50" t="n">
        <v>0</v>
      </c>
    </row>
    <row r="144">
      <c r="A144" s="2" t="inlineStr">
        <is>
          <t xml:space="preserve">  Rationale: China server CPU prices +40% since Jan-26, 6-month lead times, multi-year supply deals with Chinese AI data centers; domestic CPUs can't fill AI-server demand near term. Fades as Hygon/Kunpeng scale</t>
        </is>
      </c>
    </row>
    <row r="146">
      <c r="A146" s="1" t="inlineStr">
        <is>
          <t>CHINA TAILWIND 2: US onshoring / tariff-driven extra foundry revenue ($bn)</t>
        </is>
      </c>
      <c r="B146" s="3" t="inlineStr">
        <is>
          <t>Scenario</t>
        </is>
      </c>
      <c r="C146" s="3" t="inlineStr">
        <is>
          <t>2027</t>
        </is>
      </c>
      <c r="D146" s="3" t="inlineStr">
        <is>
          <t>2028</t>
        </is>
      </c>
      <c r="E146" s="3" t="inlineStr">
        <is>
          <t>2029</t>
        </is>
      </c>
      <c r="F146" s="3" t="inlineStr">
        <is>
          <t>2030</t>
        </is>
      </c>
      <c r="G146" s="3" t="inlineStr">
        <is>
          <t>2031</t>
        </is>
      </c>
      <c r="H146" s="3" t="inlineStr">
        <is>
          <t>2032</t>
        </is>
      </c>
      <c r="I146" s="3" t="inlineStr">
        <is>
          <t>2033</t>
        </is>
      </c>
    </row>
    <row r="147">
      <c r="A147" s="2" t="inlineStr">
        <is>
          <t xml:space="preserve">  CHINA TAILWIND 2: US onshoring / tariff-driven extra foundry revenue ($bn) - Bear</t>
        </is>
      </c>
      <c r="B147" s="2" t="inlineStr">
        <is>
          <t>Bear</t>
        </is>
      </c>
      <c r="C147" s="49" t="n">
        <v>0</v>
      </c>
      <c r="D147" s="49" t="n">
        <v>0</v>
      </c>
      <c r="E147" s="49" t="n">
        <v>0</v>
      </c>
      <c r="F147" s="49" t="n">
        <v>0</v>
      </c>
      <c r="G147" s="49" t="n">
        <v>0</v>
      </c>
      <c r="H147" s="49" t="n">
        <v>0</v>
      </c>
      <c r="I147" s="49" t="n">
        <v>0</v>
      </c>
    </row>
    <row r="148">
      <c r="A148" s="2" t="inlineStr">
        <is>
          <t xml:space="preserve">  CHINA TAILWIND 2: US onshoring / tariff-driven extra foundry revenue ($bn) - Base</t>
        </is>
      </c>
      <c r="B148" s="2" t="inlineStr">
        <is>
          <t>Base</t>
        </is>
      </c>
      <c r="C148" s="49" t="n">
        <v>0</v>
      </c>
      <c r="D148" s="49" t="n">
        <v>0.5</v>
      </c>
      <c r="E148" s="49" t="n">
        <v>1.5</v>
      </c>
      <c r="F148" s="49" t="n">
        <v>3</v>
      </c>
      <c r="G148" s="49" t="n">
        <v>4</v>
      </c>
      <c r="H148" s="49" t="n">
        <v>5</v>
      </c>
      <c r="I148" s="49" t="n">
        <v>5</v>
      </c>
    </row>
    <row r="149">
      <c r="A149" s="2" t="inlineStr">
        <is>
          <t xml:space="preserve">  CHINA TAILWIND 2: US onshoring / tariff-driven extra foundry revenue ($bn) - Bull</t>
        </is>
      </c>
      <c r="B149" s="2" t="inlineStr">
        <is>
          <t>Bull</t>
        </is>
      </c>
      <c r="C149" s="49" t="n">
        <v>0</v>
      </c>
      <c r="D149" s="49" t="n">
        <v>1</v>
      </c>
      <c r="E149" s="49" t="n">
        <v>3</v>
      </c>
      <c r="F149" s="49" t="n">
        <v>6</v>
      </c>
      <c r="G149" s="49" t="n">
        <v>9</v>
      </c>
      <c r="H149" s="49" t="n">
        <v>11</v>
      </c>
      <c r="I149" s="49" t="n">
        <v>12</v>
      </c>
    </row>
    <row r="150">
      <c r="A150" s="2" t="inlineStr">
        <is>
          <t xml:space="preserve">  CHINA TAILWIND 2: US onshoring / tariff-driven extra foundry revenue ($bn) - Taiwan</t>
        </is>
      </c>
      <c r="B150" s="2" t="inlineStr">
        <is>
          <t>Taiwan</t>
        </is>
      </c>
      <c r="C150" s="49" t="n">
        <v>0</v>
      </c>
      <c r="D150" s="49" t="n">
        <v>0</v>
      </c>
      <c r="E150" s="49" t="n">
        <v>0</v>
      </c>
      <c r="F150" s="49" t="n">
        <v>0</v>
      </c>
      <c r="G150" s="49" t="n">
        <v>0</v>
      </c>
      <c r="H150" s="49" t="n">
        <v>0</v>
      </c>
      <c r="I150" s="49" t="n">
        <v>0</v>
      </c>
    </row>
    <row r="151">
      <c r="A151" s="2" t="inlineStr">
        <is>
          <t xml:space="preserve">  CHINA TAILWIND 2: US onshoring / tariff-driven extra foundry revenue ($bn) - TaiwanMax</t>
        </is>
      </c>
      <c r="B151" s="2" t="inlineStr">
        <is>
          <t>TaiwanMax</t>
        </is>
      </c>
      <c r="C151" s="49" t="n">
        <v>0</v>
      </c>
      <c r="D151" s="49" t="n">
        <v>0</v>
      </c>
      <c r="E151" s="49" t="n">
        <v>0</v>
      </c>
      <c r="F151" s="49" t="n">
        <v>0</v>
      </c>
      <c r="G151" s="49" t="n">
        <v>0</v>
      </c>
      <c r="H151" s="49" t="n">
        <v>0</v>
      </c>
      <c r="I151" s="49" t="n">
        <v>0</v>
      </c>
    </row>
    <row r="152">
      <c r="A152" s="2" t="inlineStr">
        <is>
          <t xml:space="preserve">  Rationale: Sec. 232 25% tariff on advanced chips made outside US (Jan-26); Phase 2 'build in America or pay' + 1:1 rule + tariff offsets (Sep-26). Intel competes with TSMC Arizona and Samsung Taylor for this demand. Taiwan scenario already includes it</t>
        </is>
      </c>
    </row>
    <row r="154">
      <c r="A154" s="1" t="inlineStr">
        <is>
          <t>Gross capex ($bn)</t>
        </is>
      </c>
      <c r="B154" s="3" t="inlineStr">
        <is>
          <t>Scenario</t>
        </is>
      </c>
      <c r="C154" s="3" t="inlineStr">
        <is>
          <t>2027</t>
        </is>
      </c>
      <c r="D154" s="3" t="inlineStr">
        <is>
          <t>2028</t>
        </is>
      </c>
      <c r="E154" s="3" t="inlineStr">
        <is>
          <t>2029</t>
        </is>
      </c>
      <c r="F154" s="3" t="inlineStr">
        <is>
          <t>2030</t>
        </is>
      </c>
      <c r="G154" s="3" t="inlineStr">
        <is>
          <t>2031</t>
        </is>
      </c>
      <c r="H154" s="3" t="inlineStr">
        <is>
          <t>2032</t>
        </is>
      </c>
      <c r="I154" s="3" t="inlineStr">
        <is>
          <t>2033</t>
        </is>
      </c>
    </row>
    <row r="155">
      <c r="A155" s="2" t="inlineStr">
        <is>
          <t xml:space="preserve">  Gross capex ($bn) - Bear</t>
        </is>
      </c>
      <c r="B155" s="2" t="inlineStr">
        <is>
          <t>Bear</t>
        </is>
      </c>
      <c r="C155" s="49" t="n">
        <v>20</v>
      </c>
      <c r="D155" s="49" t="n">
        <v>18</v>
      </c>
      <c r="E155" s="49" t="n">
        <v>16</v>
      </c>
      <c r="F155" s="49" t="n">
        <v>15</v>
      </c>
      <c r="G155" s="49" t="n">
        <v>15</v>
      </c>
      <c r="H155" s="49" t="n">
        <v>15</v>
      </c>
      <c r="I155" s="49" t="n">
        <v>15</v>
      </c>
    </row>
    <row r="156">
      <c r="A156" s="2" t="inlineStr">
        <is>
          <t xml:space="preserve">  Gross capex ($bn) - Base</t>
        </is>
      </c>
      <c r="B156" s="2" t="inlineStr">
        <is>
          <t>Base</t>
        </is>
      </c>
      <c r="C156" s="49" t="n">
        <v>26</v>
      </c>
      <c r="D156" s="49" t="n">
        <v>26</v>
      </c>
      <c r="E156" s="49" t="n">
        <v>24</v>
      </c>
      <c r="F156" s="49" t="n">
        <v>22</v>
      </c>
      <c r="G156" s="49" t="n">
        <v>20</v>
      </c>
      <c r="H156" s="49" t="n">
        <v>20</v>
      </c>
      <c r="I156" s="49" t="n">
        <v>20</v>
      </c>
    </row>
    <row r="157">
      <c r="A157" s="2" t="inlineStr">
        <is>
          <t xml:space="preserve">  Gross capex ($bn) - Bull</t>
        </is>
      </c>
      <c r="B157" s="2" t="inlineStr">
        <is>
          <t>Bull</t>
        </is>
      </c>
      <c r="C157" s="49" t="n">
        <v>30</v>
      </c>
      <c r="D157" s="49" t="n">
        <v>32</v>
      </c>
      <c r="E157" s="49" t="n">
        <v>30</v>
      </c>
      <c r="F157" s="49" t="n">
        <v>28</v>
      </c>
      <c r="G157" s="49" t="n">
        <v>26</v>
      </c>
      <c r="H157" s="49" t="n">
        <v>26</v>
      </c>
      <c r="I157" s="49" t="n">
        <v>26</v>
      </c>
    </row>
    <row r="158">
      <c r="A158" s="2" t="inlineStr">
        <is>
          <t xml:space="preserve">  Gross capex ($bn) - Taiwan</t>
        </is>
      </c>
      <c r="B158" s="2" t="inlineStr">
        <is>
          <t>Taiwan</t>
        </is>
      </c>
      <c r="C158" s="49" t="n">
        <v>40</v>
      </c>
      <c r="D158" s="49" t="n">
        <v>50</v>
      </c>
      <c r="E158" s="49" t="n">
        <v>50</v>
      </c>
      <c r="F158" s="49" t="n">
        <v>45</v>
      </c>
      <c r="G158" s="49" t="n">
        <v>40</v>
      </c>
      <c r="H158" s="49" t="n">
        <v>35</v>
      </c>
      <c r="I158" s="49" t="n">
        <v>35</v>
      </c>
    </row>
    <row r="159">
      <c r="A159" s="2" t="inlineStr">
        <is>
          <t xml:space="preserve">  Gross capex ($bn) - TaiwanMax</t>
        </is>
      </c>
      <c r="B159" s="2" t="inlineStr">
        <is>
          <t>TaiwanMax</t>
        </is>
      </c>
      <c r="C159" s="49" t="n">
        <v>60</v>
      </c>
      <c r="D159" s="49" t="n">
        <v>75</v>
      </c>
      <c r="E159" s="49" t="n">
        <v>75</v>
      </c>
      <c r="F159" s="49" t="n">
        <v>70</v>
      </c>
      <c r="G159" s="49" t="n">
        <v>60</v>
      </c>
      <c r="H159" s="49" t="n">
        <v>55</v>
      </c>
      <c r="I159" s="49" t="n">
        <v>55</v>
      </c>
    </row>
    <row r="160">
      <c r="A160" s="2" t="inlineStr">
        <is>
          <t xml:space="preserve">  Rationale: 2027 guided 'significantly above' 2026 (&gt;$20bn). Gross; excludes SCIP partner/government offsets (conservative)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Bear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Inputs!C91+Inputs!$B$72</f>
        <v/>
      </c>
      <c r="D6" s="35">
        <f>Inputs!D91+Inputs!$B$72</f>
        <v/>
      </c>
      <c r="E6" s="35">
        <f>Inputs!E91+Inputs!$B$72</f>
        <v/>
      </c>
      <c r="F6" s="35">
        <f>Inputs!F91+Inputs!$B$72</f>
        <v/>
      </c>
      <c r="G6" s="35">
        <f>Inputs!G91+Inputs!$B$72</f>
        <v/>
      </c>
      <c r="H6" s="35">
        <f>Inputs!H91+Inputs!$B$72</f>
        <v/>
      </c>
      <c r="I6" s="35">
        <f>Inputs!I91+Inputs!$B$72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Inputs!C99</f>
        <v/>
      </c>
      <c r="D8" s="35">
        <f>Inputs!D99</f>
        <v/>
      </c>
      <c r="E8" s="35">
        <f>Inputs!E99</f>
        <v/>
      </c>
      <c r="F8" s="35">
        <f>Inputs!F99</f>
        <v/>
      </c>
      <c r="G8" s="35">
        <f>Inputs!G99</f>
        <v/>
      </c>
      <c r="H8" s="35">
        <f>Inputs!H99</f>
        <v/>
      </c>
      <c r="I8" s="35">
        <f>Inputs!I99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Inputs!C107*Inputs!$B$73</f>
        <v/>
      </c>
      <c r="D9" s="39">
        <f>Inputs!D107*Inputs!$B$73</f>
        <v/>
      </c>
      <c r="E9" s="39">
        <f>Inputs!E107*Inputs!$B$73</f>
        <v/>
      </c>
      <c r="F9" s="39">
        <f>Inputs!F107*Inputs!$B$73</f>
        <v/>
      </c>
      <c r="G9" s="39">
        <f>Inputs!G107*Inputs!$B$73</f>
        <v/>
      </c>
      <c r="H9" s="39">
        <f>Inputs!H107*Inputs!$B$73</f>
        <v/>
      </c>
      <c r="I9" s="39">
        <f>Inputs!I107*Inputs!$B$73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Inputs!$B$78*Inputs!C147</f>
        <v/>
      </c>
      <c r="D10" s="39">
        <f>Inputs!$B$78*Inputs!D147</f>
        <v/>
      </c>
      <c r="E10" s="39">
        <f>Inputs!$B$78*Inputs!E147</f>
        <v/>
      </c>
      <c r="F10" s="39">
        <f>Inputs!$B$78*Inputs!F147</f>
        <v/>
      </c>
      <c r="G10" s="39">
        <f>Inputs!$B$78*Inputs!G147</f>
        <v/>
      </c>
      <c r="H10" s="39">
        <f>Inputs!$B$78*Inputs!H147</f>
        <v/>
      </c>
      <c r="I10" s="39">
        <f>Inputs!$B$78*Inputs!I147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MAX(0,B13*(1+Inputs!C131+Inputs!$B$78*Inputs!C139+Inputs!$B$75))</f>
        <v/>
      </c>
      <c r="D13" s="31">
        <f>MAX(0,C13*(1+Inputs!D131+Inputs!$B$78*Inputs!D139+Inputs!$B$75))</f>
        <v/>
      </c>
      <c r="E13" s="31">
        <f>MAX(0,D13*(1+Inputs!E131+Inputs!$B$78*Inputs!E139+Inputs!$B$75))</f>
        <v/>
      </c>
      <c r="F13" s="31">
        <f>MAX(0,E13*(1+Inputs!F131+Inputs!$B$78*Inputs!F139+Inputs!$B$75))</f>
        <v/>
      </c>
      <c r="G13" s="31">
        <f>MAX(0,F13*(1+Inputs!G131+Inputs!$B$78*Inputs!G139+Inputs!$B$75))</f>
        <v/>
      </c>
      <c r="H13" s="31">
        <f>MAX(0,G13*(1+Inputs!H131+Inputs!$B$78*Inputs!H139+Inputs!$B$75))</f>
        <v/>
      </c>
      <c r="I13" s="31">
        <f>MAX(0,H13*(1+Inputs!I131+Inputs!$B$78*Inputs!I139+Inputs!$B$75))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Inputs!C115+Inputs!$B$71</f>
        <v/>
      </c>
      <c r="D17" s="35">
        <f>Inputs!D115+Inputs!$B$71</f>
        <v/>
      </c>
      <c r="E17" s="35">
        <f>Inputs!E115+Inputs!$B$71</f>
        <v/>
      </c>
      <c r="F17" s="35">
        <f>Inputs!F115+Inputs!$B$71</f>
        <v/>
      </c>
      <c r="G17" s="35">
        <f>Inputs!G115+Inputs!$B$71</f>
        <v/>
      </c>
      <c r="H17" s="35">
        <f>Inputs!H115+Inputs!$B$71</f>
        <v/>
      </c>
      <c r="I17" s="35">
        <f>Inputs!I115+Inputs!$B$71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B19*(1+Inputs!C123)</f>
        <v/>
      </c>
      <c r="D19" s="41">
        <f>C19*(1+Inputs!D123)</f>
        <v/>
      </c>
      <c r="E19" s="41">
        <f>D19*(1+Inputs!E123)</f>
        <v/>
      </c>
      <c r="F19" s="41">
        <f>E19*(1+Inputs!F123)</f>
        <v/>
      </c>
      <c r="G19" s="41">
        <f>F19*(1+Inputs!G123)</f>
        <v/>
      </c>
      <c r="H19" s="41">
        <f>G19*(1+Inputs!H123)</f>
        <v/>
      </c>
      <c r="I19" s="41">
        <f>H19*(1+Inputs!I123)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B22*(1+Inputs!C123)</f>
        <v/>
      </c>
      <c r="D22" s="41">
        <f>C22*(1+Inputs!D123)</f>
        <v/>
      </c>
      <c r="E22" s="41">
        <f>D22*(1+Inputs!E123)</f>
        <v/>
      </c>
      <c r="F22" s="41">
        <f>E22*(1+Inputs!F123)</f>
        <v/>
      </c>
      <c r="G22" s="41">
        <f>F22*(1+Inputs!G123)</f>
        <v/>
      </c>
      <c r="H22" s="41">
        <f>G22*(1+Inputs!H123)</f>
        <v/>
      </c>
      <c r="I22" s="41">
        <f>H22*(1+Inputs!I123)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Inputs!C155*Inputs!$B$74*(1-Inputs!$B$77)</f>
        <v/>
      </c>
      <c r="D27" s="39">
        <f>Inputs!D155*Inputs!$B$74*(1-Inputs!$B$77)</f>
        <v/>
      </c>
      <c r="E27" s="39">
        <f>Inputs!E155*Inputs!$B$74*(1-Inputs!$B$77)</f>
        <v/>
      </c>
      <c r="F27" s="39">
        <f>Inputs!F155*Inputs!$B$74*(1-Inputs!$B$77)</f>
        <v/>
      </c>
      <c r="G27" s="39">
        <f>Inputs!G155*Inputs!$B$74*(1-Inputs!$B$77)</f>
        <v/>
      </c>
      <c r="H27" s="39">
        <f>Inputs!H155*Inputs!$B$74*(1-Inputs!$B$77)</f>
        <v/>
      </c>
      <c r="I27" s="39">
        <f>Inputs!I155*Inputs!$B$74*(1-Inputs!$B$77)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2" t="inlineStr">
        <is>
          <t>- Payment for TSMC Arizona assets (TaiwanMax only)</t>
        </is>
      </c>
      <c r="B42" s="41">
        <f>0</f>
        <v/>
      </c>
    </row>
    <row r="43">
      <c r="A43" s="1" t="inlineStr">
        <is>
          <t>Equity value</t>
        </is>
      </c>
      <c r="B43" s="41">
        <f>B38+B39+B40+B41+B42</f>
        <v/>
      </c>
    </row>
    <row r="44">
      <c r="A44" s="2" t="inlineStr">
        <is>
          <t>Diluted shares (bn)</t>
        </is>
      </c>
      <c r="B44" s="40">
        <f>Inputs!$B$9</f>
        <v/>
      </c>
    </row>
    <row r="45">
      <c r="A45" s="1" t="inlineStr">
        <is>
          <t>Value per share ($)</t>
        </is>
      </c>
      <c r="B45" s="37">
        <f>IF(B44=0,0,MAX(0,B43/B44))</f>
        <v/>
      </c>
    </row>
    <row r="46">
      <c r="A46" s="2" t="inlineStr">
        <is>
          <t>Current share price ($)</t>
        </is>
      </c>
      <c r="B46" s="36">
        <f>Inputs!$B$4</f>
        <v/>
      </c>
    </row>
    <row r="47">
      <c r="A47" s="2" t="inlineStr">
        <is>
          <t>Upside / (downside) vs price</t>
        </is>
      </c>
      <c r="B47" s="42">
        <f>IF(B46=0,0,B45/B46-1)</f>
        <v/>
      </c>
    </row>
    <row r="48">
      <c r="A48" s="2" t="inlineStr">
        <is>
          <t>Terminal value as % of EV</t>
        </is>
      </c>
      <c r="B48" s="42">
        <f>IF(B38=0,0,B37/B38)</f>
        <v/>
      </c>
    </row>
    <row r="49">
      <c r="A49" s="2" t="inlineStr">
        <is>
          <t>Implied P/E on 2027 NOPAT/share at value</t>
        </is>
      </c>
      <c r="B49" s="11">
        <f>IF(C25&lt;=0,0,B45/(C25/B44))</f>
        <v/>
      </c>
    </row>
    <row r="50">
      <c r="A50" s="2" t="inlineStr">
        <is>
          <t>Market P/E on 2027 NOPAT/share</t>
        </is>
      </c>
      <c r="B50" s="11">
        <f>IF(C25&lt;=0,0,B46/(C25/B44))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Base scenario: US$ bn</t>
        </is>
      </c>
    </row>
    <row r="2"/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Inputs!C92+Inputs!$B$72</f>
        <v/>
      </c>
      <c r="D6" s="35">
        <f>Inputs!D92+Inputs!$B$72</f>
        <v/>
      </c>
      <c r="E6" s="35">
        <f>Inputs!E92+Inputs!$B$72</f>
        <v/>
      </c>
      <c r="F6" s="35">
        <f>Inputs!F92+Inputs!$B$72</f>
        <v/>
      </c>
      <c r="G6" s="35">
        <f>Inputs!G92+Inputs!$B$72</f>
        <v/>
      </c>
      <c r="H6" s="35">
        <f>Inputs!H92+Inputs!$B$72</f>
        <v/>
      </c>
      <c r="I6" s="35">
        <f>Inputs!I92+Inputs!$B$72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Inputs!C100</f>
        <v/>
      </c>
      <c r="D8" s="35">
        <f>Inputs!D100</f>
        <v/>
      </c>
      <c r="E8" s="35">
        <f>Inputs!E100</f>
        <v/>
      </c>
      <c r="F8" s="35">
        <f>Inputs!F100</f>
        <v/>
      </c>
      <c r="G8" s="35">
        <f>Inputs!G100</f>
        <v/>
      </c>
      <c r="H8" s="35">
        <f>Inputs!H100</f>
        <v/>
      </c>
      <c r="I8" s="35">
        <f>Inputs!I100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Inputs!C108*Inputs!$B$73</f>
        <v/>
      </c>
      <c r="D9" s="39">
        <f>Inputs!D108*Inputs!$B$73</f>
        <v/>
      </c>
      <c r="E9" s="39">
        <f>Inputs!E108*Inputs!$B$73</f>
        <v/>
      </c>
      <c r="F9" s="39">
        <f>Inputs!F108*Inputs!$B$73</f>
        <v/>
      </c>
      <c r="G9" s="39">
        <f>Inputs!G108*Inputs!$B$73</f>
        <v/>
      </c>
      <c r="H9" s="39">
        <f>Inputs!H108*Inputs!$B$73</f>
        <v/>
      </c>
      <c r="I9" s="39">
        <f>Inputs!I108*Inputs!$B$73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Inputs!$B$78*Inputs!C148</f>
        <v/>
      </c>
      <c r="D10" s="39">
        <f>Inputs!$B$78*Inputs!D148</f>
        <v/>
      </c>
      <c r="E10" s="39">
        <f>Inputs!$B$78*Inputs!E148</f>
        <v/>
      </c>
      <c r="F10" s="39">
        <f>Inputs!$B$78*Inputs!F148</f>
        <v/>
      </c>
      <c r="G10" s="39">
        <f>Inputs!$B$78*Inputs!G148</f>
        <v/>
      </c>
      <c r="H10" s="39">
        <f>Inputs!$B$78*Inputs!H148</f>
        <v/>
      </c>
      <c r="I10" s="39">
        <f>Inputs!$B$78*Inputs!I148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MAX(0,B13*(1+Inputs!C132+Inputs!$B$78*Inputs!C140+Inputs!$B$75))</f>
        <v/>
      </c>
      <c r="D13" s="31">
        <f>MAX(0,C13*(1+Inputs!D132+Inputs!$B$78*Inputs!D140+Inputs!$B$75))</f>
        <v/>
      </c>
      <c r="E13" s="31">
        <f>MAX(0,D13*(1+Inputs!E132+Inputs!$B$78*Inputs!E140+Inputs!$B$75))</f>
        <v/>
      </c>
      <c r="F13" s="31">
        <f>MAX(0,E13*(1+Inputs!F132+Inputs!$B$78*Inputs!F140+Inputs!$B$75))</f>
        <v/>
      </c>
      <c r="G13" s="31">
        <f>MAX(0,F13*(1+Inputs!G132+Inputs!$B$78*Inputs!G140+Inputs!$B$75))</f>
        <v/>
      </c>
      <c r="H13" s="31">
        <f>MAX(0,G13*(1+Inputs!H132+Inputs!$B$78*Inputs!H140+Inputs!$B$75))</f>
        <v/>
      </c>
      <c r="I13" s="31">
        <f>MAX(0,H13*(1+Inputs!I132+Inputs!$B$78*Inputs!I140+Inputs!$B$75))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Inputs!C116+Inputs!$B$71</f>
        <v/>
      </c>
      <c r="D17" s="35">
        <f>Inputs!D116+Inputs!$B$71</f>
        <v/>
      </c>
      <c r="E17" s="35">
        <f>Inputs!E116+Inputs!$B$71</f>
        <v/>
      </c>
      <c r="F17" s="35">
        <f>Inputs!F116+Inputs!$B$71</f>
        <v/>
      </c>
      <c r="G17" s="35">
        <f>Inputs!G116+Inputs!$B$71</f>
        <v/>
      </c>
      <c r="H17" s="35">
        <f>Inputs!H116+Inputs!$B$71</f>
        <v/>
      </c>
      <c r="I17" s="35">
        <f>Inputs!I116+Inputs!$B$71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B19*(1+Inputs!C124)</f>
        <v/>
      </c>
      <c r="D19" s="41">
        <f>C19*(1+Inputs!D124)</f>
        <v/>
      </c>
      <c r="E19" s="41">
        <f>D19*(1+Inputs!E124)</f>
        <v/>
      </c>
      <c r="F19" s="41">
        <f>E19*(1+Inputs!F124)</f>
        <v/>
      </c>
      <c r="G19" s="41">
        <f>F19*(1+Inputs!G124)</f>
        <v/>
      </c>
      <c r="H19" s="41">
        <f>G19*(1+Inputs!H124)</f>
        <v/>
      </c>
      <c r="I19" s="41">
        <f>H19*(1+Inputs!I124)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B22*(1+Inputs!C124)</f>
        <v/>
      </c>
      <c r="D22" s="41">
        <f>C22*(1+Inputs!D124)</f>
        <v/>
      </c>
      <c r="E22" s="41">
        <f>D22*(1+Inputs!E124)</f>
        <v/>
      </c>
      <c r="F22" s="41">
        <f>E22*(1+Inputs!F124)</f>
        <v/>
      </c>
      <c r="G22" s="41">
        <f>F22*(1+Inputs!G124)</f>
        <v/>
      </c>
      <c r="H22" s="41">
        <f>G22*(1+Inputs!H124)</f>
        <v/>
      </c>
      <c r="I22" s="41">
        <f>H22*(1+Inputs!I124)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Inputs!C156*Inputs!$B$74*(1-Inputs!$B$77)</f>
        <v/>
      </c>
      <c r="D27" s="39">
        <f>Inputs!D156*Inputs!$B$74*(1-Inputs!$B$77)</f>
        <v/>
      </c>
      <c r="E27" s="39">
        <f>Inputs!E156*Inputs!$B$74*(1-Inputs!$B$77)</f>
        <v/>
      </c>
      <c r="F27" s="39">
        <f>Inputs!F156*Inputs!$B$74*(1-Inputs!$B$77)</f>
        <v/>
      </c>
      <c r="G27" s="39">
        <f>Inputs!G156*Inputs!$B$74*(1-Inputs!$B$77)</f>
        <v/>
      </c>
      <c r="H27" s="39">
        <f>Inputs!H156*Inputs!$B$74*(1-Inputs!$B$77)</f>
        <v/>
      </c>
      <c r="I27" s="39">
        <f>Inputs!I156*Inputs!$B$74*(1-Inputs!$B$77)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3"/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2" t="inlineStr">
        <is>
          <t>- Payment for TSMC Arizona assets (TaiwanMax only)</t>
        </is>
      </c>
      <c r="B42" s="41">
        <f>0</f>
        <v/>
      </c>
    </row>
    <row r="43">
      <c r="A43" s="1" t="inlineStr">
        <is>
          <t>Equity value</t>
        </is>
      </c>
      <c r="B43" s="41">
        <f>B38+B39+B40+B41+B42</f>
        <v/>
      </c>
    </row>
    <row r="44">
      <c r="A44" s="2" t="inlineStr">
        <is>
          <t>Diluted shares (bn)</t>
        </is>
      </c>
      <c r="B44" s="40">
        <f>Inputs!$B$9</f>
        <v/>
      </c>
    </row>
    <row r="45">
      <c r="A45" s="1" t="inlineStr">
        <is>
          <t>Value per share ($)</t>
        </is>
      </c>
      <c r="B45" s="37">
        <f>IF(B44=0,0,MAX(0,B43/B44))</f>
        <v/>
      </c>
    </row>
    <row r="46">
      <c r="A46" s="2" t="inlineStr">
        <is>
          <t>Current share price ($)</t>
        </is>
      </c>
      <c r="B46" s="36">
        <f>Inputs!$B$4</f>
        <v/>
      </c>
    </row>
    <row r="47">
      <c r="A47" s="2" t="inlineStr">
        <is>
          <t>Upside / (downside) vs price</t>
        </is>
      </c>
      <c r="B47" s="42">
        <f>IF(B46=0,0,B45/B46-1)</f>
        <v/>
      </c>
    </row>
    <row r="48">
      <c r="A48" s="2" t="inlineStr">
        <is>
          <t>Terminal value as % of EV</t>
        </is>
      </c>
      <c r="B48" s="42">
        <f>IF(B38=0,0,B37/B38)</f>
        <v/>
      </c>
    </row>
    <row r="49">
      <c r="A49" s="2" t="inlineStr">
        <is>
          <t>Implied P/E on 2027 NOPAT/share at value</t>
        </is>
      </c>
      <c r="B49" s="11">
        <f>IF(C25&lt;=0,0,B45/(C25/B44))</f>
        <v/>
      </c>
    </row>
    <row r="50">
      <c r="A50" s="2" t="inlineStr">
        <is>
          <t>Market P/E on 2027 NOPAT/share</t>
        </is>
      </c>
      <c r="B50" s="11">
        <f>IF(C25&lt;=0,0,B46/(C25/B44))</f>
        <v/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Bull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Inputs!C93+Inputs!$B$72</f>
        <v/>
      </c>
      <c r="D6" s="35">
        <f>Inputs!D93+Inputs!$B$72</f>
        <v/>
      </c>
      <c r="E6" s="35">
        <f>Inputs!E93+Inputs!$B$72</f>
        <v/>
      </c>
      <c r="F6" s="35">
        <f>Inputs!F93+Inputs!$B$72</f>
        <v/>
      </c>
      <c r="G6" s="35">
        <f>Inputs!G93+Inputs!$B$72</f>
        <v/>
      </c>
      <c r="H6" s="35">
        <f>Inputs!H93+Inputs!$B$72</f>
        <v/>
      </c>
      <c r="I6" s="35">
        <f>Inputs!I93+Inputs!$B$72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Inputs!C101</f>
        <v/>
      </c>
      <c r="D8" s="35">
        <f>Inputs!D101</f>
        <v/>
      </c>
      <c r="E8" s="35">
        <f>Inputs!E101</f>
        <v/>
      </c>
      <c r="F8" s="35">
        <f>Inputs!F101</f>
        <v/>
      </c>
      <c r="G8" s="35">
        <f>Inputs!G101</f>
        <v/>
      </c>
      <c r="H8" s="35">
        <f>Inputs!H101</f>
        <v/>
      </c>
      <c r="I8" s="35">
        <f>Inputs!I101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Inputs!C109*Inputs!$B$73</f>
        <v/>
      </c>
      <c r="D9" s="39">
        <f>Inputs!D109*Inputs!$B$73</f>
        <v/>
      </c>
      <c r="E9" s="39">
        <f>Inputs!E109*Inputs!$B$73</f>
        <v/>
      </c>
      <c r="F9" s="39">
        <f>Inputs!F109*Inputs!$B$73</f>
        <v/>
      </c>
      <c r="G9" s="39">
        <f>Inputs!G109*Inputs!$B$73</f>
        <v/>
      </c>
      <c r="H9" s="39">
        <f>Inputs!H109*Inputs!$B$73</f>
        <v/>
      </c>
      <c r="I9" s="39">
        <f>Inputs!I109*Inputs!$B$73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Inputs!$B$78*Inputs!C149</f>
        <v/>
      </c>
      <c r="D10" s="39">
        <f>Inputs!$B$78*Inputs!D149</f>
        <v/>
      </c>
      <c r="E10" s="39">
        <f>Inputs!$B$78*Inputs!E149</f>
        <v/>
      </c>
      <c r="F10" s="39">
        <f>Inputs!$B$78*Inputs!F149</f>
        <v/>
      </c>
      <c r="G10" s="39">
        <f>Inputs!$B$78*Inputs!G149</f>
        <v/>
      </c>
      <c r="H10" s="39">
        <f>Inputs!$B$78*Inputs!H149</f>
        <v/>
      </c>
      <c r="I10" s="39">
        <f>Inputs!$B$78*Inputs!I149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MAX(0,B13*(1+Inputs!C133+Inputs!$B$78*Inputs!C141+Inputs!$B$75))</f>
        <v/>
      </c>
      <c r="D13" s="31">
        <f>MAX(0,C13*(1+Inputs!D133+Inputs!$B$78*Inputs!D141+Inputs!$B$75))</f>
        <v/>
      </c>
      <c r="E13" s="31">
        <f>MAX(0,D13*(1+Inputs!E133+Inputs!$B$78*Inputs!E141+Inputs!$B$75))</f>
        <v/>
      </c>
      <c r="F13" s="31">
        <f>MAX(0,E13*(1+Inputs!F133+Inputs!$B$78*Inputs!F141+Inputs!$B$75))</f>
        <v/>
      </c>
      <c r="G13" s="31">
        <f>MAX(0,F13*(1+Inputs!G133+Inputs!$B$78*Inputs!G141+Inputs!$B$75))</f>
        <v/>
      </c>
      <c r="H13" s="31">
        <f>MAX(0,G13*(1+Inputs!H133+Inputs!$B$78*Inputs!H141+Inputs!$B$75))</f>
        <v/>
      </c>
      <c r="I13" s="31">
        <f>MAX(0,H13*(1+Inputs!I133+Inputs!$B$78*Inputs!I141+Inputs!$B$75))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Inputs!C117+Inputs!$B$71</f>
        <v/>
      </c>
      <c r="D17" s="35">
        <f>Inputs!D117+Inputs!$B$71</f>
        <v/>
      </c>
      <c r="E17" s="35">
        <f>Inputs!E117+Inputs!$B$71</f>
        <v/>
      </c>
      <c r="F17" s="35">
        <f>Inputs!F117+Inputs!$B$71</f>
        <v/>
      </c>
      <c r="G17" s="35">
        <f>Inputs!G117+Inputs!$B$71</f>
        <v/>
      </c>
      <c r="H17" s="35">
        <f>Inputs!H117+Inputs!$B$71</f>
        <v/>
      </c>
      <c r="I17" s="35">
        <f>Inputs!I117+Inputs!$B$71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B19*(1+Inputs!C125)</f>
        <v/>
      </c>
      <c r="D19" s="41">
        <f>C19*(1+Inputs!D125)</f>
        <v/>
      </c>
      <c r="E19" s="41">
        <f>D19*(1+Inputs!E125)</f>
        <v/>
      </c>
      <c r="F19" s="41">
        <f>E19*(1+Inputs!F125)</f>
        <v/>
      </c>
      <c r="G19" s="41">
        <f>F19*(1+Inputs!G125)</f>
        <v/>
      </c>
      <c r="H19" s="41">
        <f>G19*(1+Inputs!H125)</f>
        <v/>
      </c>
      <c r="I19" s="41">
        <f>H19*(1+Inputs!I125)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B22*(1+Inputs!C125)</f>
        <v/>
      </c>
      <c r="D22" s="41">
        <f>C22*(1+Inputs!D125)</f>
        <v/>
      </c>
      <c r="E22" s="41">
        <f>D22*(1+Inputs!E125)</f>
        <v/>
      </c>
      <c r="F22" s="41">
        <f>E22*(1+Inputs!F125)</f>
        <v/>
      </c>
      <c r="G22" s="41">
        <f>F22*(1+Inputs!G125)</f>
        <v/>
      </c>
      <c r="H22" s="41">
        <f>G22*(1+Inputs!H125)</f>
        <v/>
      </c>
      <c r="I22" s="41">
        <f>H22*(1+Inputs!I125)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Inputs!C157*Inputs!$B$74*(1-Inputs!$B$77)</f>
        <v/>
      </c>
      <c r="D27" s="39">
        <f>Inputs!D157*Inputs!$B$74*(1-Inputs!$B$77)</f>
        <v/>
      </c>
      <c r="E27" s="39">
        <f>Inputs!E157*Inputs!$B$74*(1-Inputs!$B$77)</f>
        <v/>
      </c>
      <c r="F27" s="39">
        <f>Inputs!F157*Inputs!$B$74*(1-Inputs!$B$77)</f>
        <v/>
      </c>
      <c r="G27" s="39">
        <f>Inputs!G157*Inputs!$B$74*(1-Inputs!$B$77)</f>
        <v/>
      </c>
      <c r="H27" s="39">
        <f>Inputs!H157*Inputs!$B$74*(1-Inputs!$B$77)</f>
        <v/>
      </c>
      <c r="I27" s="39">
        <f>Inputs!I157*Inputs!$B$74*(1-Inputs!$B$77)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2" t="inlineStr">
        <is>
          <t>- Payment for TSMC Arizona assets (TaiwanMax only)</t>
        </is>
      </c>
      <c r="B42" s="41">
        <f>0</f>
        <v/>
      </c>
    </row>
    <row r="43">
      <c r="A43" s="1" t="inlineStr">
        <is>
          <t>Equity value</t>
        </is>
      </c>
      <c r="B43" s="41">
        <f>B38+B39+B40+B41+B42</f>
        <v/>
      </c>
    </row>
    <row r="44">
      <c r="A44" s="2" t="inlineStr">
        <is>
          <t>Diluted shares (bn)</t>
        </is>
      </c>
      <c r="B44" s="40">
        <f>Inputs!$B$9</f>
        <v/>
      </c>
    </row>
    <row r="45">
      <c r="A45" s="1" t="inlineStr">
        <is>
          <t>Value per share ($)</t>
        </is>
      </c>
      <c r="B45" s="37">
        <f>IF(B44=0,0,MAX(0,B43/B44))</f>
        <v/>
      </c>
    </row>
    <row r="46">
      <c r="A46" s="2" t="inlineStr">
        <is>
          <t>Current share price ($)</t>
        </is>
      </c>
      <c r="B46" s="36">
        <f>Inputs!$B$4</f>
        <v/>
      </c>
    </row>
    <row r="47">
      <c r="A47" s="2" t="inlineStr">
        <is>
          <t>Upside / (downside) vs price</t>
        </is>
      </c>
      <c r="B47" s="42">
        <f>IF(B46=0,0,B45/B46-1)</f>
        <v/>
      </c>
    </row>
    <row r="48">
      <c r="A48" s="2" t="inlineStr">
        <is>
          <t>Terminal value as % of EV</t>
        </is>
      </c>
      <c r="B48" s="42">
        <f>IF(B38=0,0,B37/B38)</f>
        <v/>
      </c>
    </row>
    <row r="49">
      <c r="A49" s="2" t="inlineStr">
        <is>
          <t>Implied P/E on 2027 NOPAT/share at value</t>
        </is>
      </c>
      <c r="B49" s="11">
        <f>IF(C25&lt;=0,0,B45/(C25/B44))</f>
        <v/>
      </c>
    </row>
    <row r="50">
      <c r="A50" s="2" t="inlineStr">
        <is>
          <t>Market P/E on 2027 NOPAT/share</t>
        </is>
      </c>
      <c r="B50" s="11">
        <f>IF(C25&lt;=0,0,B46/(C25/B44))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Taiwan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Inputs!C94+Inputs!$B$72</f>
        <v/>
      </c>
      <c r="D6" s="35">
        <f>Inputs!D94+Inputs!$B$72</f>
        <v/>
      </c>
      <c r="E6" s="35">
        <f>Inputs!E94+Inputs!$B$72</f>
        <v/>
      </c>
      <c r="F6" s="35">
        <f>Inputs!F94+Inputs!$B$72</f>
        <v/>
      </c>
      <c r="G6" s="35">
        <f>Inputs!G94+Inputs!$B$72</f>
        <v/>
      </c>
      <c r="H6" s="35">
        <f>Inputs!H94+Inputs!$B$72</f>
        <v/>
      </c>
      <c r="I6" s="35">
        <f>Inputs!I94+Inputs!$B$72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Inputs!C102</f>
        <v/>
      </c>
      <c r="D8" s="35">
        <f>Inputs!D102</f>
        <v/>
      </c>
      <c r="E8" s="35">
        <f>Inputs!E102</f>
        <v/>
      </c>
      <c r="F8" s="35">
        <f>Inputs!F102</f>
        <v/>
      </c>
      <c r="G8" s="35">
        <f>Inputs!G102</f>
        <v/>
      </c>
      <c r="H8" s="35">
        <f>Inputs!H102</f>
        <v/>
      </c>
      <c r="I8" s="35">
        <f>Inputs!I102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Inputs!C110*Inputs!$B$73</f>
        <v/>
      </c>
      <c r="D9" s="39">
        <f>Inputs!D110*Inputs!$B$73</f>
        <v/>
      </c>
      <c r="E9" s="39">
        <f>Inputs!E110*Inputs!$B$73</f>
        <v/>
      </c>
      <c r="F9" s="39">
        <f>Inputs!F110*Inputs!$B$73</f>
        <v/>
      </c>
      <c r="G9" s="39">
        <f>Inputs!G110*Inputs!$B$73</f>
        <v/>
      </c>
      <c r="H9" s="39">
        <f>Inputs!H110*Inputs!$B$73</f>
        <v/>
      </c>
      <c r="I9" s="39">
        <f>Inputs!I110*Inputs!$B$73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Inputs!$B$78*Inputs!C150</f>
        <v/>
      </c>
      <c r="D10" s="39">
        <f>Inputs!$B$78*Inputs!D150</f>
        <v/>
      </c>
      <c r="E10" s="39">
        <f>Inputs!$B$78*Inputs!E150</f>
        <v/>
      </c>
      <c r="F10" s="39">
        <f>Inputs!$B$78*Inputs!F150</f>
        <v/>
      </c>
      <c r="G10" s="39">
        <f>Inputs!$B$78*Inputs!G150</f>
        <v/>
      </c>
      <c r="H10" s="39">
        <f>Inputs!$B$78*Inputs!H150</f>
        <v/>
      </c>
      <c r="I10" s="39">
        <f>Inputs!$B$78*Inputs!I150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MAX(0,B13*(1+Inputs!C134+Inputs!$B$78*Inputs!C142+Inputs!$B$75))</f>
        <v/>
      </c>
      <c r="D13" s="31">
        <f>MAX(0,C13*(1+Inputs!D134+Inputs!$B$78*Inputs!D142+Inputs!$B$75))</f>
        <v/>
      </c>
      <c r="E13" s="31">
        <f>MAX(0,D13*(1+Inputs!E134+Inputs!$B$78*Inputs!E142+Inputs!$B$75))</f>
        <v/>
      </c>
      <c r="F13" s="31">
        <f>MAX(0,E13*(1+Inputs!F134+Inputs!$B$78*Inputs!F142+Inputs!$B$75))</f>
        <v/>
      </c>
      <c r="G13" s="31">
        <f>MAX(0,F13*(1+Inputs!G134+Inputs!$B$78*Inputs!G142+Inputs!$B$75))</f>
        <v/>
      </c>
      <c r="H13" s="31">
        <f>MAX(0,G13*(1+Inputs!H134+Inputs!$B$78*Inputs!H142+Inputs!$B$75))</f>
        <v/>
      </c>
      <c r="I13" s="31">
        <f>MAX(0,H13*(1+Inputs!I134+Inputs!$B$78*Inputs!I142+Inputs!$B$75))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Inputs!C118+Inputs!$B$71</f>
        <v/>
      </c>
      <c r="D17" s="35">
        <f>Inputs!D118+Inputs!$B$71</f>
        <v/>
      </c>
      <c r="E17" s="35">
        <f>Inputs!E118+Inputs!$B$71</f>
        <v/>
      </c>
      <c r="F17" s="35">
        <f>Inputs!F118+Inputs!$B$71</f>
        <v/>
      </c>
      <c r="G17" s="35">
        <f>Inputs!G118+Inputs!$B$71</f>
        <v/>
      </c>
      <c r="H17" s="35">
        <f>Inputs!H118+Inputs!$B$71</f>
        <v/>
      </c>
      <c r="I17" s="35">
        <f>Inputs!I118+Inputs!$B$71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B19*(1+Inputs!C126)</f>
        <v/>
      </c>
      <c r="D19" s="41">
        <f>C19*(1+Inputs!D126)</f>
        <v/>
      </c>
      <c r="E19" s="41">
        <f>D19*(1+Inputs!E126)</f>
        <v/>
      </c>
      <c r="F19" s="41">
        <f>E19*(1+Inputs!F126)</f>
        <v/>
      </c>
      <c r="G19" s="41">
        <f>F19*(1+Inputs!G126)</f>
        <v/>
      </c>
      <c r="H19" s="41">
        <f>G19*(1+Inputs!H126)</f>
        <v/>
      </c>
      <c r="I19" s="41">
        <f>H19*(1+Inputs!I126)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B22*(1+Inputs!C126)</f>
        <v/>
      </c>
      <c r="D22" s="41">
        <f>C22*(1+Inputs!D126)</f>
        <v/>
      </c>
      <c r="E22" s="41">
        <f>D22*(1+Inputs!E126)</f>
        <v/>
      </c>
      <c r="F22" s="41">
        <f>E22*(1+Inputs!F126)</f>
        <v/>
      </c>
      <c r="G22" s="41">
        <f>F22*(1+Inputs!G126)</f>
        <v/>
      </c>
      <c r="H22" s="41">
        <f>G22*(1+Inputs!H126)</f>
        <v/>
      </c>
      <c r="I22" s="41">
        <f>H22*(1+Inputs!I126)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Inputs!C158*Inputs!$B$74*(1-Inputs!$B$77)</f>
        <v/>
      </c>
      <c r="D27" s="39">
        <f>Inputs!D158*Inputs!$B$74*(1-Inputs!$B$77)</f>
        <v/>
      </c>
      <c r="E27" s="39">
        <f>Inputs!E158*Inputs!$B$74*(1-Inputs!$B$77)</f>
        <v/>
      </c>
      <c r="F27" s="39">
        <f>Inputs!F158*Inputs!$B$74*(1-Inputs!$B$77)</f>
        <v/>
      </c>
      <c r="G27" s="39">
        <f>Inputs!G158*Inputs!$B$74*(1-Inputs!$B$77)</f>
        <v/>
      </c>
      <c r="H27" s="39">
        <f>Inputs!H158*Inputs!$B$74*(1-Inputs!$B$77)</f>
        <v/>
      </c>
      <c r="I27" s="39">
        <f>Inputs!I158*Inputs!$B$74*(1-Inputs!$B$77)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2" t="inlineStr">
        <is>
          <t>- Payment for TSMC Arizona assets (TaiwanMax only)</t>
        </is>
      </c>
      <c r="B42" s="41">
        <f>0</f>
        <v/>
      </c>
    </row>
    <row r="43">
      <c r="A43" s="1" t="inlineStr">
        <is>
          <t>Equity value</t>
        </is>
      </c>
      <c r="B43" s="41">
        <f>B38+B39+B40+B41+B42</f>
        <v/>
      </c>
    </row>
    <row r="44">
      <c r="A44" s="2" t="inlineStr">
        <is>
          <t>Diluted shares (bn)</t>
        </is>
      </c>
      <c r="B44" s="40">
        <f>Inputs!$B$9</f>
        <v/>
      </c>
    </row>
    <row r="45">
      <c r="A45" s="1" t="inlineStr">
        <is>
          <t>Value per share ($)</t>
        </is>
      </c>
      <c r="B45" s="37">
        <f>IF(B44=0,0,MAX(0,B43/B44))</f>
        <v/>
      </c>
    </row>
    <row r="46">
      <c r="A46" s="2" t="inlineStr">
        <is>
          <t>Current share price ($)</t>
        </is>
      </c>
      <c r="B46" s="36">
        <f>Inputs!$B$4</f>
        <v/>
      </c>
    </row>
    <row r="47">
      <c r="A47" s="2" t="inlineStr">
        <is>
          <t>Upside / (downside) vs price</t>
        </is>
      </c>
      <c r="B47" s="42">
        <f>IF(B46=0,0,B45/B46-1)</f>
        <v/>
      </c>
    </row>
    <row r="48">
      <c r="A48" s="2" t="inlineStr">
        <is>
          <t>Terminal value as % of EV</t>
        </is>
      </c>
      <c r="B48" s="42">
        <f>IF(B38=0,0,B37/B38)</f>
        <v/>
      </c>
    </row>
    <row r="49">
      <c r="A49" s="2" t="inlineStr">
        <is>
          <t>Implied P/E on 2027 NOPAT/share at value</t>
        </is>
      </c>
      <c r="B49" s="11">
        <f>IF(C25&lt;=0,0,B45/(C25/B44))</f>
        <v/>
      </c>
    </row>
    <row r="50">
      <c r="A50" s="2" t="inlineStr">
        <is>
          <t>Market P/E on 2027 NOPAT/share</t>
        </is>
      </c>
      <c r="B50" s="11">
        <f>IF(C25&lt;=0,0,B46/(C25/B44))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TaiwanMax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Inputs!C95+Inputs!$B$72</f>
        <v/>
      </c>
      <c r="D6" s="35">
        <f>Inputs!D95+Inputs!$B$72</f>
        <v/>
      </c>
      <c r="E6" s="35">
        <f>Inputs!E95+Inputs!$B$72</f>
        <v/>
      </c>
      <c r="F6" s="35">
        <f>Inputs!F95+Inputs!$B$72</f>
        <v/>
      </c>
      <c r="G6" s="35">
        <f>Inputs!G95+Inputs!$B$72</f>
        <v/>
      </c>
      <c r="H6" s="35">
        <f>Inputs!H95+Inputs!$B$72</f>
        <v/>
      </c>
      <c r="I6" s="35">
        <f>Inputs!I95+Inputs!$B$72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Inputs!C103</f>
        <v/>
      </c>
      <c r="D8" s="35">
        <f>Inputs!D103</f>
        <v/>
      </c>
      <c r="E8" s="35">
        <f>Inputs!E103</f>
        <v/>
      </c>
      <c r="F8" s="35">
        <f>Inputs!F103</f>
        <v/>
      </c>
      <c r="G8" s="35">
        <f>Inputs!G103</f>
        <v/>
      </c>
      <c r="H8" s="35">
        <f>Inputs!H103</f>
        <v/>
      </c>
      <c r="I8" s="35">
        <f>Inputs!I103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Inputs!C111*Inputs!$B$73</f>
        <v/>
      </c>
      <c r="D9" s="39">
        <f>Inputs!D111*Inputs!$B$73</f>
        <v/>
      </c>
      <c r="E9" s="39">
        <f>Inputs!E111*Inputs!$B$73</f>
        <v/>
      </c>
      <c r="F9" s="39">
        <f>Inputs!F111*Inputs!$B$73</f>
        <v/>
      </c>
      <c r="G9" s="39">
        <f>Inputs!G111*Inputs!$B$73</f>
        <v/>
      </c>
      <c r="H9" s="39">
        <f>Inputs!H111*Inputs!$B$73</f>
        <v/>
      </c>
      <c r="I9" s="39">
        <f>Inputs!I111*Inputs!$B$73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Inputs!$B$78*Inputs!C151</f>
        <v/>
      </c>
      <c r="D10" s="39">
        <f>Inputs!$B$78*Inputs!D151</f>
        <v/>
      </c>
      <c r="E10" s="39">
        <f>Inputs!$B$78*Inputs!E151</f>
        <v/>
      </c>
      <c r="F10" s="39">
        <f>Inputs!$B$78*Inputs!F151</f>
        <v/>
      </c>
      <c r="G10" s="39">
        <f>Inputs!$B$78*Inputs!G151</f>
        <v/>
      </c>
      <c r="H10" s="39">
        <f>Inputs!$B$78*Inputs!H151</f>
        <v/>
      </c>
      <c r="I10" s="39">
        <f>Inputs!$B$78*Inputs!I151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MAX(0,B13*(1+Inputs!C135+Inputs!$B$78*Inputs!C143+Inputs!$B$75))</f>
        <v/>
      </c>
      <c r="D13" s="31">
        <f>MAX(0,C13*(1+Inputs!D135+Inputs!$B$78*Inputs!D143+Inputs!$B$75))</f>
        <v/>
      </c>
      <c r="E13" s="31">
        <f>MAX(0,D13*(1+Inputs!E135+Inputs!$B$78*Inputs!E143+Inputs!$B$75))</f>
        <v/>
      </c>
      <c r="F13" s="31">
        <f>MAX(0,E13*(1+Inputs!F135+Inputs!$B$78*Inputs!F143+Inputs!$B$75))</f>
        <v/>
      </c>
      <c r="G13" s="31">
        <f>MAX(0,F13*(1+Inputs!G135+Inputs!$B$78*Inputs!G143+Inputs!$B$75))</f>
        <v/>
      </c>
      <c r="H13" s="31">
        <f>MAX(0,G13*(1+Inputs!H135+Inputs!$B$78*Inputs!H143+Inputs!$B$75))</f>
        <v/>
      </c>
      <c r="I13" s="31">
        <f>MAX(0,H13*(1+Inputs!I135+Inputs!$B$78*Inputs!I143+Inputs!$B$75))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Inputs!C119+Inputs!$B$71</f>
        <v/>
      </c>
      <c r="D17" s="35">
        <f>Inputs!D119+Inputs!$B$71</f>
        <v/>
      </c>
      <c r="E17" s="35">
        <f>Inputs!E119+Inputs!$B$71</f>
        <v/>
      </c>
      <c r="F17" s="35">
        <f>Inputs!F119+Inputs!$B$71</f>
        <v/>
      </c>
      <c r="G17" s="35">
        <f>Inputs!G119+Inputs!$B$71</f>
        <v/>
      </c>
      <c r="H17" s="35">
        <f>Inputs!H119+Inputs!$B$71</f>
        <v/>
      </c>
      <c r="I17" s="35">
        <f>Inputs!I119+Inputs!$B$71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B19*(1+Inputs!C127)</f>
        <v/>
      </c>
      <c r="D19" s="41">
        <f>C19*(1+Inputs!D127)</f>
        <v/>
      </c>
      <c r="E19" s="41">
        <f>D19*(1+Inputs!E127)</f>
        <v/>
      </c>
      <c r="F19" s="41">
        <f>E19*(1+Inputs!F127)</f>
        <v/>
      </c>
      <c r="G19" s="41">
        <f>F19*(1+Inputs!G127)</f>
        <v/>
      </c>
      <c r="H19" s="41">
        <f>G19*(1+Inputs!H127)</f>
        <v/>
      </c>
      <c r="I19" s="41">
        <f>H19*(1+Inputs!I127)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B22*(1+Inputs!C127)</f>
        <v/>
      </c>
      <c r="D22" s="41">
        <f>C22*(1+Inputs!D127)</f>
        <v/>
      </c>
      <c r="E22" s="41">
        <f>D22*(1+Inputs!E127)</f>
        <v/>
      </c>
      <c r="F22" s="41">
        <f>E22*(1+Inputs!F127)</f>
        <v/>
      </c>
      <c r="G22" s="41">
        <f>F22*(1+Inputs!G127)</f>
        <v/>
      </c>
      <c r="H22" s="41">
        <f>G22*(1+Inputs!H127)</f>
        <v/>
      </c>
      <c r="I22" s="41">
        <f>H22*(1+Inputs!I127)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Inputs!C159*Inputs!$B$74*(1-Inputs!$B$77)</f>
        <v/>
      </c>
      <c r="D27" s="39">
        <f>Inputs!D159*Inputs!$B$74*(1-Inputs!$B$77)</f>
        <v/>
      </c>
      <c r="E27" s="39">
        <f>Inputs!E159*Inputs!$B$74*(1-Inputs!$B$77)</f>
        <v/>
      </c>
      <c r="F27" s="39">
        <f>Inputs!F159*Inputs!$B$74*(1-Inputs!$B$77)</f>
        <v/>
      </c>
      <c r="G27" s="39">
        <f>Inputs!G159*Inputs!$B$74*(1-Inputs!$B$77)</f>
        <v/>
      </c>
      <c r="H27" s="39">
        <f>Inputs!H159*Inputs!$B$74*(1-Inputs!$B$77)</f>
        <v/>
      </c>
      <c r="I27" s="39">
        <f>Inputs!I159*Inputs!$B$74*(1-Inputs!$B$77)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2" t="inlineStr">
        <is>
          <t>- Payment for TSMC Arizona assets (TaiwanMax only)</t>
        </is>
      </c>
      <c r="B42" s="39">
        <f>-Inputs!$B$76</f>
        <v/>
      </c>
    </row>
    <row r="43">
      <c r="A43" s="1" t="inlineStr">
        <is>
          <t>Equity value</t>
        </is>
      </c>
      <c r="B43" s="41">
        <f>B38+B39+B40+B41+B42</f>
        <v/>
      </c>
    </row>
    <row r="44">
      <c r="A44" s="2" t="inlineStr">
        <is>
          <t>Diluted shares (bn)</t>
        </is>
      </c>
      <c r="B44" s="40">
        <f>Inputs!$B$9</f>
        <v/>
      </c>
    </row>
    <row r="45">
      <c r="A45" s="1" t="inlineStr">
        <is>
          <t>Value per share ($)</t>
        </is>
      </c>
      <c r="B45" s="37">
        <f>IF(B44=0,0,MAX(0,B43/B44))</f>
        <v/>
      </c>
    </row>
    <row r="46">
      <c r="A46" s="2" t="inlineStr">
        <is>
          <t>Current share price ($)</t>
        </is>
      </c>
      <c r="B46" s="36">
        <f>Inputs!$B$4</f>
        <v/>
      </c>
    </row>
    <row r="47">
      <c r="A47" s="2" t="inlineStr">
        <is>
          <t>Upside / (downside) vs price</t>
        </is>
      </c>
      <c r="B47" s="42">
        <f>IF(B46=0,0,B45/B46-1)</f>
        <v/>
      </c>
    </row>
    <row r="48">
      <c r="A48" s="2" t="inlineStr">
        <is>
          <t>Terminal value as % of EV</t>
        </is>
      </c>
      <c r="B48" s="42">
        <f>IF(B38=0,0,B37/B38)</f>
        <v/>
      </c>
    </row>
    <row r="49">
      <c r="A49" s="2" t="inlineStr">
        <is>
          <t>Implied P/E on 2027 NOPAT/share at value</t>
        </is>
      </c>
      <c r="B49" s="11">
        <f>IF(C25&lt;=0,0,B45/(C25/B44))</f>
        <v/>
      </c>
    </row>
    <row r="50">
      <c r="A50" s="2" t="inlineStr">
        <is>
          <t>Market P/E on 2027 NOPAT/share</t>
        </is>
      </c>
      <c r="B50" s="11">
        <f>IF(C25&lt;=0,0,B46/(C25/B44))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2026-09-29T10:54:54Z</dcterms:created>
  <dcterms:modified xsi:type="dcterms:W3CDTF">2026-09-29T10:54:55Z</dcterms:modified>
</cp:coreProperties>
</file>
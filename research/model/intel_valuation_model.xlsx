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ensitivity" sheetId="3" state="visible" r:id="rId3"/>
    <sheet name="Inputs" sheetId="4" state="visible" r:id="rId4"/>
    <sheet name="Bear" sheetId="5" state="visible" r:id="rId5"/>
    <sheet name="Base" sheetId="6" state="visible" r:id="rId6"/>
    <sheet name="Bu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;(0.0%);-"/>
    <numFmt numFmtId="165" formatCode="$#,##0.00;($#,##0.00);-"/>
    <numFmt numFmtId="166" formatCode="$#,##0.0;($#,##0.0);-"/>
    <numFmt numFmtId="167" formatCode="#,##0.000"/>
    <numFmt numFmtId="168" formatCode="0.0x"/>
    <numFmt numFmtId="169" formatCode="0.000"/>
    <numFmt numFmtId="170" formatCode="$#,##0.00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color rgb="00008000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5" fillId="0" borderId="0" pivotButton="0" quotePrefix="0" xfId="0"/>
    <xf numFmtId="165" fontId="5" fillId="0" borderId="0" pivotButton="0" quotePrefix="0" xfId="0"/>
    <xf numFmtId="165" fontId="1" fillId="4" borderId="0" pivotButton="0" quotePrefix="0" xfId="0"/>
    <xf numFmtId="164" fontId="1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4" fontId="2" fillId="0" borderId="0" pivotButton="0" quotePrefix="0" xfId="0"/>
    <xf numFmtId="164" fontId="4" fillId="0" borderId="0" pivotButton="0" quotePrefix="0" xfId="0"/>
    <xf numFmtId="165" fontId="2" fillId="0" borderId="0" pivotButton="0" quotePrefix="0" xfId="0"/>
    <xf numFmtId="0" fontId="3" fillId="2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2" fillId="3" borderId="0" pivotButton="0" quotePrefix="0" xfId="0"/>
    <xf numFmtId="167" fontId="4" fillId="0" borderId="0" pivotButton="0" quotePrefix="0" xfId="0"/>
    <xf numFmtId="167" fontId="2" fillId="0" borderId="0" pivotButton="0" quotePrefix="0" xfId="0"/>
    <xf numFmtId="166" fontId="2" fillId="3" borderId="0" pivotButton="0" quotePrefix="0" xfId="0"/>
    <xf numFmtId="166" fontId="4" fillId="3" borderId="0" pivotButton="0" quotePrefix="0" xfId="0"/>
    <xf numFmtId="164" fontId="4" fillId="3" borderId="0" pivotButton="0" quotePrefix="0" xfId="0"/>
    <xf numFmtId="2" fontId="4" fillId="3" borderId="0" pivotButton="0" quotePrefix="0" xfId="0"/>
    <xf numFmtId="168" fontId="4" fillId="0" borderId="0" pivotButton="0" quotePrefix="0" xfId="0"/>
    <xf numFmtId="2" fontId="4" fillId="0" borderId="0" pivotButton="0" quotePrefix="0" xfId="0"/>
    <xf numFmtId="2" fontId="2" fillId="0" borderId="0" pivotButton="0" quotePrefix="0" xfId="0"/>
    <xf numFmtId="0" fontId="1" fillId="0" borderId="1" pivotButton="0" quotePrefix="0" xfId="0"/>
    <xf numFmtId="166" fontId="1" fillId="0" borderId="1" pivotButton="0" quotePrefix="0" xfId="0"/>
    <xf numFmtId="0" fontId="0" fillId="0" borderId="1" pivotButton="0" quotePrefix="0" xfId="0"/>
    <xf numFmtId="169" fontId="2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1" fillId="4" borderId="0" pivotButton="0" quotePrefix="0" xfId="0"/>
    <xf numFmtId="164" fontId="1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6" fontId="2" fillId="0" borderId="0" pivotButton="0" quotePrefix="0" xfId="0"/>
    <xf numFmtId="164" fontId="2" fillId="0" borderId="0" pivotButton="0" quotePrefix="0" xfId="0"/>
    <xf numFmtId="164" fontId="4" fillId="0" borderId="0" pivotButton="0" quotePrefix="0" xfId="0"/>
    <xf numFmtId="165" fontId="2" fillId="0" borderId="0" pivotButton="0" quotePrefix="0" xfId="0"/>
    <xf numFmtId="170" fontId="4" fillId="0" borderId="0" pivotButton="0" quotePrefix="0" xfId="0"/>
    <xf numFmtId="170" fontId="5" fillId="0" borderId="0" pivotButton="0" quotePrefix="0" xfId="0"/>
    <xf numFmtId="170" fontId="2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2" fillId="3" borderId="0" pivotButton="0" quotePrefix="0" xfId="0"/>
    <xf numFmtId="167" fontId="4" fillId="0" borderId="0" pivotButton="0" quotePrefix="0" xfId="0"/>
    <xf numFmtId="167" fontId="2" fillId="0" borderId="0" pivotButton="0" quotePrefix="0" xfId="0"/>
    <xf numFmtId="166" fontId="2" fillId="3" borderId="0" pivotButton="0" quotePrefix="0" xfId="0"/>
    <xf numFmtId="166" fontId="4" fillId="3" borderId="0" pivotButton="0" quotePrefix="0" xfId="0"/>
    <xf numFmtId="164" fontId="4" fillId="3" borderId="0" pivotButton="0" quotePrefix="0" xfId="0"/>
    <xf numFmtId="166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Intel (INTC) Valuation Model: scenario DCF built from the Sep 2026 product analysis</t>
        </is>
      </c>
    </row>
    <row r="2">
      <c r="A2" s="2" t="inlineStr">
        <is>
          <t>Companion to research/intel-competitive-analysis-2026-09.md. Values in US$ billions unless stated; per-share values in US$.</t>
        </is>
      </c>
    </row>
    <row r="3">
      <c r="A3" s="2" t="inlineStr"/>
    </row>
    <row r="4">
      <c r="A4" s="1" t="inlineStr">
        <is>
          <t>HOW TO USE</t>
        </is>
      </c>
    </row>
    <row r="5">
      <c r="A5" s="2" t="inlineStr">
        <is>
          <t>1. Edit blue cells only (inputs). Yellow-filled cells are key judgment calls or placeholders you should verify.</t>
        </is>
      </c>
    </row>
    <row r="6">
      <c r="A6" s="2" t="inlineStr">
        <is>
          <t>2. Black cells are formulas; green cells link to another sheet. Every sheet recalculates when inputs change.</t>
        </is>
      </c>
    </row>
    <row r="7">
      <c r="A7" s="2" t="inlineStr">
        <is>
          <t>3. Scenario drivers live on 'Inputs' (one row per scenario per driver). Bear/Base/Bull sheets are identical in structure.</t>
        </is>
      </c>
    </row>
    <row r="8">
      <c r="A8" s="2" t="inlineStr">
        <is>
          <t>4. 'Summary' shows each scenario, the probability-weighted value, and a reverse DCF (what today's price requires).</t>
        </is>
      </c>
    </row>
    <row r="9">
      <c r="A9" s="2" t="inlineStr">
        <is>
          <t>5. 'Sensitivity' has live WACC x terminal-growth grids, plus a tornado table computed by flexing single inputs.</t>
        </is>
      </c>
    </row>
    <row r="10">
      <c r="A10" s="2" t="inlineStr"/>
    </row>
    <row r="11">
      <c r="A11" s="1" t="inlineStr">
        <is>
          <t>METHOD</t>
        </is>
      </c>
    </row>
    <row r="12">
      <c r="A12" s="2" t="inlineStr">
        <is>
          <t>- Base year 2026E = Q1 + Q2 actuals + Q3 guidance midpoint + Q4 assumption, split by segment using the Q2 2026 mix.</t>
        </is>
      </c>
    </row>
    <row r="13">
      <c r="A13" s="2" t="inlineStr">
        <is>
          <t>- 2027-2033 explicit forecast by segment: DCAI (server), CCPG (client), external foundry + packaging, other.</t>
        </is>
      </c>
    </row>
    <row r="14">
      <c r="A14" s="2" t="inlineStr">
        <is>
          <t>- China layer: the China DOMESTIC share of DCAI+CCPG revenue (China-billed share x domestic fraction) erodes at a scenario-specific annual rate</t>
        </is>
      </c>
    </row>
    <row r="15">
      <c r="A15" s="2" t="inlineStr">
        <is>
          <t xml:space="preserve">  (xinchuang substitution, Hygon/Loongson/Kunpeng, retaliatory tariffs on US-fabbed chips); the loss is subtracted from revenue at full gross margin.</t>
        </is>
      </c>
    </row>
    <row r="16">
      <c r="A16" s="2" t="inlineStr">
        <is>
          <t>- Not modeled as a line item: a Taiwan disruption. It would hit Intel too (TSMC makes Lunar/Arrow Lake tiles, part of Panther/Nova Lake).</t>
        </is>
      </c>
    </row>
    <row r="17">
      <c r="A17" s="2" t="inlineStr">
        <is>
          <t xml:space="preserve">  Geopolitical second-source demand for US fabs is already inside the external-foundry drivers (Base/Bull), so it isn't added twice.</t>
        </is>
      </c>
    </row>
    <row r="18">
      <c r="A18" s="2" t="inlineStr">
        <is>
          <t>- Margins on a non-GAAP basis, then stock-based comp deducted as a real cost. Unlevered FCF = NOPAT + D&amp;A - capex - change in NWC.</t>
        </is>
      </c>
    </row>
    <row r="19">
      <c r="A19" s="2" t="inlineStr">
        <is>
          <t>- Discounted from 30 Sep 2026; Gordon-growth terminal value on normalized 2034 FCF (terminal capex = D&amp;A x ratio).</t>
        </is>
      </c>
    </row>
    <row r="20">
      <c r="A20" s="2" t="inlineStr"/>
    </row>
    <row r="21">
      <c r="A21" s="1" t="inlineStr">
        <is>
          <t>HOW SCENARIOS MAP TO THE PRODUCT FINDINGS</t>
        </is>
      </c>
    </row>
    <row r="22">
      <c r="A22" s="2" t="inlineStr">
        <is>
          <t>Bear: AMD Venice + Arm keep taking server share and the shortage-driven ASP spike reverses; client share erosion continues; no 14A anchor</t>
        </is>
      </c>
    </row>
    <row r="23">
      <c r="A23" s="2" t="inlineStr">
        <is>
          <t xml:space="preserve">      customer, external foundry stays mostly Altera + small packaging deals; 18A cost parity slips; gross margin stays near 2026 levels.</t>
        </is>
      </c>
    </row>
    <row r="24">
      <c r="A24" s="2" t="inlineStr">
        <is>
          <t>Base: Diamond Rapids lands mid-2027 roughly competitive; server share stabilizes; Panther/Nova Lake hold client roughly flat; EMIB-T packaging</t>
        </is>
      </c>
    </row>
    <row r="25">
      <c r="A25" s="2" t="inlineStr">
        <is>
          <t xml:space="preserve">      and an Apple 18A-P ramp build external revenue to ~$15bn by 2033; 18A reaches industry-standard yield in 2027; GM recovers to ~50%.</t>
        </is>
      </c>
    </row>
    <row r="26">
      <c r="A26" s="2" t="inlineStr">
        <is>
          <t>Bull: Intel wins a 14A anchor customer, packaging becomes a multi-billion business, Diamond Rapids wins sockets, AI-driven CPU demand stays</t>
        </is>
      </c>
    </row>
    <row r="27">
      <c r="A27" s="2" t="inlineStr">
        <is>
          <t xml:space="preserve">      strong; GM rises to ~57% (still below TSMC's 67.7% and Intel's own 2010s levels ~60%).</t>
        </is>
      </c>
    </row>
    <row r="28">
      <c r="A28" s="2" t="inlineStr"/>
    </row>
    <row r="29">
      <c r="A29" s="1" t="inlineStr">
        <is>
          <t>IMPORTANT CAVEATS</t>
        </is>
      </c>
    </row>
    <row r="30">
      <c r="A30" s="2" t="inlineStr">
        <is>
          <t>- Scenario drivers are MY judgment calls derived from the product evidence, not forecasts I believe will happen. They are labeled hypotheticals.</t>
        </is>
      </c>
    </row>
    <row r="31">
      <c r="A31" s="2" t="inlineStr">
        <is>
          <t>- Some inputs are placeholders I could not source in this environment (D&amp;A, SBC, non-controlling interests, Q1-26 external foundry revenue).</t>
        </is>
      </c>
    </row>
    <row r="32">
      <c r="A32" s="2" t="inlineStr">
        <is>
          <t xml:space="preserve">  They are filled yellow. Replace them from the Q2 2026 10-Q before relying on the output.</t>
        </is>
      </c>
    </row>
    <row r="33">
      <c r="A33" s="2" t="inlineStr">
        <is>
          <t>- Share count is derived (Q2 non-GAAP net income / non-GAAP EPS + August 2026 offering shares); verify against the 10-Q cover page.</t>
        </is>
      </c>
    </row>
    <row r="34">
      <c r="A34" s="2" t="inlineStr">
        <is>
          <t>- Scenario assumptions were fixed BEFORE computing values and were not tuned toward the market price.</t>
        </is>
      </c>
    </row>
    <row r="35">
      <c r="A35" s="2" t="inlineStr">
        <is>
          <t>-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70" customWidth="1" min="6" max="6"/>
  </cols>
  <sheetData>
    <row r="1">
      <c r="A1" s="1" t="inlineStr">
        <is>
          <t>Summary: scenario values vs market price (US$ bn unless stated)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Prob-weighted</t>
        </is>
      </c>
    </row>
    <row r="4">
      <c r="A4" s="2" t="inlineStr">
        <is>
          <t>Scenario weight</t>
        </is>
      </c>
      <c r="B4" s="32">
        <f>Inputs!$B$79</f>
        <v/>
      </c>
      <c r="C4" s="32">
        <f>Inputs!$B$80</f>
        <v/>
      </c>
      <c r="D4" s="32">
        <f>Inputs!$B$81</f>
        <v/>
      </c>
      <c r="F4" s="2" t="inlineStr">
        <is>
          <t>Weights are my judgment (Inputs sheet); they must sum to 100%</t>
        </is>
      </c>
    </row>
    <row r="5">
      <c r="A5" s="1" t="inlineStr">
        <is>
          <t>Value per share ($)</t>
        </is>
      </c>
      <c r="B5" s="33">
        <f>Bear!B43</f>
        <v/>
      </c>
      <c r="C5" s="33">
        <f>Base!B43</f>
        <v/>
      </c>
      <c r="D5" s="33">
        <f>Bull!B43</f>
        <v/>
      </c>
      <c r="E5" s="34">
        <f>SUMPRODUCT(B4:D4,B5:D5)</f>
        <v/>
      </c>
      <c r="F5" s="2" t="inlineStr">
        <is>
          <t>Check weights sum:</t>
        </is>
      </c>
    </row>
    <row r="6">
      <c r="A6" s="2" t="inlineStr">
        <is>
          <t>Upside / (downside) vs current price</t>
        </is>
      </c>
      <c r="B6" s="32">
        <f>Bear!B45</f>
        <v/>
      </c>
      <c r="C6" s="32">
        <f>Base!B45</f>
        <v/>
      </c>
      <c r="D6" s="32">
        <f>Bull!B45</f>
        <v/>
      </c>
      <c r="E6" s="35">
        <f>IF(Inputs!$B$4=0,0,E5/Inputs!$B$4-1)</f>
        <v/>
      </c>
      <c r="F6" s="2">
        <f>IF(ABS(Inputs!$B$82-1)&lt;0.0001,"OK","WEIGHTS DO NOT SUM TO 100%")</f>
        <v/>
      </c>
    </row>
    <row r="7">
      <c r="A7" s="2" t="inlineStr">
        <is>
          <t>Enterprise value</t>
        </is>
      </c>
      <c r="B7" s="36">
        <f>Bear!B37</f>
        <v/>
      </c>
      <c r="C7" s="36">
        <f>Base!B37</f>
        <v/>
      </c>
      <c r="D7" s="36">
        <f>Bull!B37</f>
        <v/>
      </c>
    </row>
    <row r="8">
      <c r="A8" s="2" t="inlineStr">
        <is>
          <t>Terminal value % of EV</t>
        </is>
      </c>
      <c r="B8" s="32">
        <f>Bear!B46</f>
        <v/>
      </c>
      <c r="C8" s="32">
        <f>Base!B46</f>
        <v/>
      </c>
      <c r="D8" s="32">
        <f>Bull!B46</f>
        <v/>
      </c>
    </row>
    <row r="9">
      <c r="A9" s="2" t="inlineStr">
        <is>
          <t>2030 revenue</t>
        </is>
      </c>
      <c r="B9" s="36">
        <f>Bear!F14</f>
        <v/>
      </c>
      <c r="C9" s="36">
        <f>Base!F14</f>
        <v/>
      </c>
      <c r="D9" s="36">
        <f>Bull!F14</f>
        <v/>
      </c>
    </row>
    <row r="10">
      <c r="A10" s="2" t="inlineStr">
        <is>
          <t>2033 revenue</t>
        </is>
      </c>
      <c r="B10" s="36">
        <f>Bear!I14</f>
        <v/>
      </c>
      <c r="C10" s="36">
        <f>Base!I14</f>
        <v/>
      </c>
      <c r="D10" s="36">
        <f>Bull!I14</f>
        <v/>
      </c>
    </row>
    <row r="11">
      <c r="A11" s="2" t="inlineStr">
        <is>
          <t>2030 non-GAAP gross margin</t>
        </is>
      </c>
      <c r="B11" s="32">
        <f>Bear!F16</f>
        <v/>
      </c>
      <c r="C11" s="32">
        <f>Base!F16</f>
        <v/>
      </c>
      <c r="D11" s="32">
        <f>Bull!F16</f>
        <v/>
      </c>
    </row>
    <row r="12">
      <c r="A12" s="2" t="inlineStr">
        <is>
          <t>2030 non-GAAP operating margin</t>
        </is>
      </c>
      <c r="B12" s="32">
        <f>Bear!F20</f>
        <v/>
      </c>
      <c r="C12" s="32">
        <f>Base!F20</f>
        <v/>
      </c>
      <c r="D12" s="32">
        <f>Bull!F20</f>
        <v/>
      </c>
    </row>
    <row r="13">
      <c r="A13" s="2" t="inlineStr">
        <is>
          <t>2033 external foundry + packaging revenue</t>
        </is>
      </c>
      <c r="B13" s="36">
        <f>Bear!I9</f>
        <v/>
      </c>
      <c r="C13" s="36">
        <f>Base!I9</f>
        <v/>
      </c>
      <c r="D13" s="36">
        <f>Bull!I9</f>
        <v/>
      </c>
    </row>
    <row r="14">
      <c r="A14" s="2" t="inlineStr">
        <is>
          <t>2033 revenue lost to China localization / trade</t>
        </is>
      </c>
      <c r="B14" s="36">
        <f>Bear!I13</f>
        <v/>
      </c>
      <c r="C14" s="36">
        <f>Base!I13</f>
        <v/>
      </c>
      <c r="D14" s="36">
        <f>Bull!I13</f>
        <v/>
      </c>
    </row>
    <row r="15">
      <c r="A15" s="2" t="inlineStr">
        <is>
          <t>2030 unlevered FCF</t>
        </is>
      </c>
      <c r="B15" s="36">
        <f>Bear!F28</f>
        <v/>
      </c>
      <c r="C15" s="36">
        <f>Base!F28</f>
        <v/>
      </c>
      <c r="D15" s="36">
        <f>Bull!F28</f>
        <v/>
      </c>
    </row>
    <row r="16">
      <c r="A16" s="2" t="inlineStr">
        <is>
          <t>Cumulative FCF 2027-2033</t>
        </is>
      </c>
      <c r="B16" s="36">
        <f>SUM(Bear!C28:I28)</f>
        <v/>
      </c>
      <c r="C16" s="36">
        <f>SUM(Base!C28:I28)</f>
        <v/>
      </c>
      <c r="D16" s="36">
        <f>SUM(Bull!C28:I28)</f>
        <v/>
      </c>
    </row>
    <row r="18">
      <c r="A18" s="1" t="inlineStr">
        <is>
          <t>MARKET SNAPSHOT</t>
        </is>
      </c>
    </row>
    <row r="19">
      <c r="A19" s="2" t="inlineStr">
        <is>
          <t>Share price ($)</t>
        </is>
      </c>
      <c r="B19" s="33">
        <f>Inputs!$B$4</f>
        <v/>
      </c>
    </row>
    <row r="20">
      <c r="A20" s="2" t="inlineStr">
        <is>
          <t>Diluted shares (bn)</t>
        </is>
      </c>
      <c r="B20" s="37">
        <f>Inputs!$B$9</f>
        <v/>
      </c>
    </row>
    <row r="21">
      <c r="A21" s="2" t="inlineStr">
        <is>
          <t>Market cap</t>
        </is>
      </c>
      <c r="B21" s="36">
        <f>Inputs!$B$17</f>
        <v/>
      </c>
    </row>
    <row r="22">
      <c r="A22" s="2" t="inlineStr">
        <is>
          <t>Enterprise value at market</t>
        </is>
      </c>
      <c r="B22" s="36">
        <f>Inputs!$B$18</f>
        <v/>
      </c>
    </row>
    <row r="23">
      <c r="A23" s="2" t="inlineStr">
        <is>
          <t>WACC</t>
        </is>
      </c>
      <c r="B23" s="32">
        <f>Inputs!$B$62</f>
        <v/>
      </c>
    </row>
    <row r="24">
      <c r="A24" s="2" t="inlineStr">
        <is>
          <t>Terminal growth</t>
        </is>
      </c>
      <c r="B24" s="32">
        <f>Inputs!$B$63</f>
        <v/>
      </c>
    </row>
    <row r="26">
      <c r="A26" s="1" t="inlineStr">
        <is>
          <t>REVERSE DCF: WHAT DOES TODAY'S PRICE REQUIRE? (holding Base explicit-period cash flows)</t>
        </is>
      </c>
    </row>
    <row r="27">
      <c r="A27" s="2" t="inlineStr">
        <is>
          <t>EV at market</t>
        </is>
      </c>
      <c r="B27" s="38">
        <f>Inputs!$B$18</f>
        <v/>
      </c>
    </row>
    <row r="28">
      <c r="A28" s="2" t="inlineStr">
        <is>
          <t>PV of Base explicit FCF 2027-2033</t>
        </is>
      </c>
      <c r="B28" s="36">
        <f>Base!B34</f>
        <v/>
      </c>
    </row>
    <row r="29">
      <c r="A29" s="2" t="inlineStr">
        <is>
          <t>PV of terminal value required</t>
        </is>
      </c>
      <c r="B29" s="38">
        <f>B27-B28</f>
        <v/>
      </c>
    </row>
    <row r="30">
      <c r="A30" s="2" t="inlineStr">
        <is>
          <t>Required normalized 2034 FCF</t>
        </is>
      </c>
      <c r="B30" s="38">
        <f>B29/Base!I30*(Inputs!$B$62-Inputs!$B$63)</f>
        <v/>
      </c>
      <c r="F30" s="2" t="inlineStr">
        <is>
          <t>FCF in 2034 that the Base explicit years plus the market price imply</t>
        </is>
      </c>
    </row>
    <row r="31">
      <c r="A31" s="2" t="inlineStr">
        <is>
          <t>Base-case normalized 2034 FCF</t>
        </is>
      </c>
      <c r="B31" s="36">
        <f>Base!J28</f>
        <v/>
      </c>
    </row>
    <row r="32">
      <c r="A32" s="2" t="inlineStr">
        <is>
          <t>Required / Base terminal FCF</t>
        </is>
      </c>
      <c r="B32" s="11">
        <f>IF(B31=0,0,B30/B31)</f>
        <v/>
      </c>
    </row>
    <row r="33">
      <c r="A33" s="2" t="inlineStr">
        <is>
          <t>Base 2034 revenue</t>
        </is>
      </c>
      <c r="B33" s="36">
        <f>Base!J14</f>
        <v/>
      </c>
    </row>
    <row r="34">
      <c r="A34" s="2" t="inlineStr">
        <is>
          <t>Required 2034 FCF margin on Base revenue</t>
        </is>
      </c>
      <c r="B34" s="39">
        <f>IF(B33=0,0,B30/B33)</f>
        <v/>
      </c>
    </row>
    <row r="35">
      <c r="A35" s="2" t="inlineStr">
        <is>
          <t>Base 2034 FCF margin</t>
        </is>
      </c>
      <c r="B35" s="32">
        <f>Base!J29</f>
        <v/>
      </c>
    </row>
    <row r="36">
      <c r="A36" s="2" t="inlineStr">
        <is>
          <t>Reference: TSMC Q2-26 operating margin (not FCF margin)</t>
        </is>
      </c>
      <c r="B36" s="40" t="n">
        <v>0.603</v>
      </c>
      <c r="F36" s="2" t="inlineStr">
        <is>
          <t>Source: TSMC Q2 2026 results (60.3% op margin). Context only</t>
        </is>
      </c>
    </row>
    <row r="37">
      <c r="A37" s="2" t="inlineStr">
        <is>
          <t>Market-implied perpetual FCF from today (EV x (WACC - g))</t>
        </is>
      </c>
      <c r="B37" s="38">
        <f>Inputs!$B$18*(Inputs!$B$62-Inputs!$B$63)</f>
        <v/>
      </c>
    </row>
    <row r="38">
      <c r="A38" s="2" t="inlineStr">
        <is>
          <t>Base 2027 FCF, for comparison</t>
        </is>
      </c>
      <c r="B38" s="36">
        <f>Base!C28</f>
        <v/>
      </c>
    </row>
    <row r="39">
      <c r="A39" s="2" t="inlineStr">
        <is>
          <t>Required 2034 revenue if FCF margin = 20%</t>
        </is>
      </c>
      <c r="B39" s="38">
        <f>B30/0.20</f>
        <v/>
      </c>
    </row>
    <row r="40">
      <c r="A40" s="2" t="inlineStr">
        <is>
          <t>Required 2034 revenue if FCF margin = 25%</t>
        </is>
      </c>
      <c r="B40" s="38">
        <f>B30/0.25</f>
        <v/>
      </c>
    </row>
    <row r="41">
      <c r="A41" s="2" t="inlineStr">
        <is>
          <t>Required 2034 revenue if FCF margin = 30%</t>
        </is>
      </c>
      <c r="B41" s="38">
        <f>B30/0.30</f>
        <v/>
      </c>
    </row>
    <row r="42">
      <c r="A42" s="2" t="inlineStr">
        <is>
          <t>Bull-case 2034 revenue, for comparison</t>
        </is>
      </c>
      <c r="B42" s="38">
        <f>Bull!J14</f>
        <v/>
      </c>
    </row>
    <row r="43">
      <c r="A43" s="2" t="inlineStr">
        <is>
          <t>Bull-case 2034 FCF margin, for comparison</t>
        </is>
      </c>
      <c r="B43" s="39">
        <f>Bull!J29</f>
        <v/>
      </c>
    </row>
    <row r="45">
      <c r="A45" s="1" t="inlineStr">
        <is>
          <t>HOW TO READ THIS</t>
        </is>
      </c>
    </row>
    <row r="46">
      <c r="A46" s="2" t="inlineStr">
        <is>
          <t>- 'If the scenario is true, the math says X.' None of the scenarios is a forecast I endorse. The weights express my judgment of plausibility from the product evidence.</t>
        </is>
      </c>
    </row>
    <row r="47">
      <c r="A47" s="2" t="inlineStr">
        <is>
          <t>- The reverse DCF shows how much more (or less) terminal cash flow than my Base case the current price needs. A ratio well above 1.0x means the price embeds</t>
        </is>
      </c>
    </row>
    <row r="48">
      <c r="A48" s="2" t="inlineStr">
        <is>
          <t xml:space="preserve">  assumptions closer to the Bull case: a 14A anchor customer, packaging at scale, sustained CPU pricing and gross margins in the mid-50s.</t>
        </is>
      </c>
    </row>
    <row r="49">
      <c r="A49" s="2" t="inlineStr">
        <is>
          <t>- Terminal value is a large share of EV in every scenario. Small changes in WACC or terminal growth move the answer a lot: see the Sensitivity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Sensitivity: value per share ($)</t>
        </is>
      </c>
    </row>
    <row r="3">
      <c r="A3" s="1" t="inlineStr">
        <is>
          <t>Bear scenario: value/share vs WACC and terminal growth (live formulas)</t>
        </is>
      </c>
    </row>
    <row r="4">
      <c r="A4" s="2" t="inlineStr">
        <is>
          <t>WACC (down) / terminal g (across)</t>
        </is>
      </c>
      <c r="B4" s="40" t="n">
        <v>0.02</v>
      </c>
      <c r="C4" s="40" t="n">
        <v>0.025</v>
      </c>
      <c r="D4" s="40" t="n">
        <v>0.03</v>
      </c>
      <c r="E4" s="40" t="n">
        <v>0.035</v>
      </c>
      <c r="F4" s="40" t="n">
        <v>0.04</v>
      </c>
    </row>
    <row r="5">
      <c r="A5" s="40" t="n">
        <v>0.08500000000000001</v>
      </c>
      <c r="B5" s="41">
        <f>MAX(0,IF($A5&lt;=B$4,0,(SUMPRODUCT(Bear!$C$28:$I$28,1/(1+$A5)^Bear!$C$4:$I$4)+(Bear!$I$24*(1+B$4)+Bear!$I$25*(1+B$4)*(1-Inputs!$B$64)-Inputs!$B$65*Bear!$I$14*B$4)/($A5-B$4)/(1+$A5)^Bear!$I$4+Inputs!$B$16+Inputs!$B$14-Inputs!$B$15)/Inputs!$B$9))</f>
        <v/>
      </c>
      <c r="C5" s="41">
        <f>MAX(0,IF($A5&lt;=C$4,0,(SUMPRODUCT(Bear!$C$28:$I$28,1/(1+$A5)^Bear!$C$4:$I$4)+(Bear!$I$24*(1+C$4)+Bear!$I$25*(1+C$4)*(1-Inputs!$B$64)-Inputs!$B$65*Bear!$I$14*C$4)/($A5-C$4)/(1+$A5)^Bear!$I$4+Inputs!$B$16+Inputs!$B$14-Inputs!$B$15)/Inputs!$B$9))</f>
        <v/>
      </c>
      <c r="D5" s="41">
        <f>MAX(0,IF($A5&lt;=D$4,0,(SUMPRODUCT(Bear!$C$28:$I$28,1/(1+$A5)^Bear!$C$4:$I$4)+(Bear!$I$24*(1+D$4)+Bear!$I$25*(1+D$4)*(1-Inputs!$B$64)-Inputs!$B$65*Bear!$I$14*D$4)/($A5-D$4)/(1+$A5)^Bear!$I$4+Inputs!$B$16+Inputs!$B$14-Inputs!$B$15)/Inputs!$B$9))</f>
        <v/>
      </c>
      <c r="E5" s="41">
        <f>MAX(0,IF($A5&lt;=E$4,0,(SUMPRODUCT(Bear!$C$28:$I$28,1/(1+$A5)^Bear!$C$4:$I$4)+(Bear!$I$24*(1+E$4)+Bear!$I$25*(1+E$4)*(1-Inputs!$B$64)-Inputs!$B$65*Bear!$I$14*E$4)/($A5-E$4)/(1+$A5)^Bear!$I$4+Inputs!$B$16+Inputs!$B$14-Inputs!$B$15)/Inputs!$B$9))</f>
        <v/>
      </c>
      <c r="F5" s="41">
        <f>MAX(0,IF($A5&lt;=F$4,0,(SUMPRODUCT(Bear!$C$28:$I$28,1/(1+$A5)^Bear!$C$4:$I$4)+(Bear!$I$24*(1+F$4)+Bear!$I$25*(1+F$4)*(1-Inputs!$B$64)-Inputs!$B$65*Bear!$I$14*F$4)/($A5-F$4)/(1+$A5)^Bear!$I$4+Inputs!$B$16+Inputs!$B$14-Inputs!$B$15)/Inputs!$B$9))</f>
        <v/>
      </c>
    </row>
    <row r="6">
      <c r="A6" s="40" t="n">
        <v>0.095</v>
      </c>
      <c r="B6" s="41">
        <f>MAX(0,IF($A6&lt;=B$4,0,(SUMPRODUCT(Bear!$C$28:$I$28,1/(1+$A6)^Bear!$C$4:$I$4)+(Bear!$I$24*(1+B$4)+Bear!$I$25*(1+B$4)*(1-Inputs!$B$64)-Inputs!$B$65*Bear!$I$14*B$4)/($A6-B$4)/(1+$A6)^Bear!$I$4+Inputs!$B$16+Inputs!$B$14-Inputs!$B$15)/Inputs!$B$9))</f>
        <v/>
      </c>
      <c r="C6" s="41">
        <f>MAX(0,IF($A6&lt;=C$4,0,(SUMPRODUCT(Bear!$C$28:$I$28,1/(1+$A6)^Bear!$C$4:$I$4)+(Bear!$I$24*(1+C$4)+Bear!$I$25*(1+C$4)*(1-Inputs!$B$64)-Inputs!$B$65*Bear!$I$14*C$4)/($A6-C$4)/(1+$A6)^Bear!$I$4+Inputs!$B$16+Inputs!$B$14-Inputs!$B$15)/Inputs!$B$9))</f>
        <v/>
      </c>
      <c r="D6" s="41">
        <f>MAX(0,IF($A6&lt;=D$4,0,(SUMPRODUCT(Bear!$C$28:$I$28,1/(1+$A6)^Bear!$C$4:$I$4)+(Bear!$I$24*(1+D$4)+Bear!$I$25*(1+D$4)*(1-Inputs!$B$64)-Inputs!$B$65*Bear!$I$14*D$4)/($A6-D$4)/(1+$A6)^Bear!$I$4+Inputs!$B$16+Inputs!$B$14-Inputs!$B$15)/Inputs!$B$9))</f>
        <v/>
      </c>
      <c r="E6" s="41">
        <f>MAX(0,IF($A6&lt;=E$4,0,(SUMPRODUCT(Bear!$C$28:$I$28,1/(1+$A6)^Bear!$C$4:$I$4)+(Bear!$I$24*(1+E$4)+Bear!$I$25*(1+E$4)*(1-Inputs!$B$64)-Inputs!$B$65*Bear!$I$14*E$4)/($A6-E$4)/(1+$A6)^Bear!$I$4+Inputs!$B$16+Inputs!$B$14-Inputs!$B$15)/Inputs!$B$9))</f>
        <v/>
      </c>
      <c r="F6" s="41">
        <f>MAX(0,IF($A6&lt;=F$4,0,(SUMPRODUCT(Bear!$C$28:$I$28,1/(1+$A6)^Bear!$C$4:$I$4)+(Bear!$I$24*(1+F$4)+Bear!$I$25*(1+F$4)*(1-Inputs!$B$64)-Inputs!$B$65*Bear!$I$14*F$4)/($A6-F$4)/(1+$A6)^Bear!$I$4+Inputs!$B$16+Inputs!$B$14-Inputs!$B$15)/Inputs!$B$9))</f>
        <v/>
      </c>
    </row>
    <row r="7">
      <c r="A7" s="40" t="n">
        <v>0.105</v>
      </c>
      <c r="B7" s="41">
        <f>MAX(0,IF($A7&lt;=B$4,0,(SUMPRODUCT(Bear!$C$28:$I$28,1/(1+$A7)^Bear!$C$4:$I$4)+(Bear!$I$24*(1+B$4)+Bear!$I$25*(1+B$4)*(1-Inputs!$B$64)-Inputs!$B$65*Bear!$I$14*B$4)/($A7-B$4)/(1+$A7)^Bear!$I$4+Inputs!$B$16+Inputs!$B$14-Inputs!$B$15)/Inputs!$B$9))</f>
        <v/>
      </c>
      <c r="C7" s="41">
        <f>MAX(0,IF($A7&lt;=C$4,0,(SUMPRODUCT(Bear!$C$28:$I$28,1/(1+$A7)^Bear!$C$4:$I$4)+(Bear!$I$24*(1+C$4)+Bear!$I$25*(1+C$4)*(1-Inputs!$B$64)-Inputs!$B$65*Bear!$I$14*C$4)/($A7-C$4)/(1+$A7)^Bear!$I$4+Inputs!$B$16+Inputs!$B$14-Inputs!$B$15)/Inputs!$B$9))</f>
        <v/>
      </c>
      <c r="D7" s="41">
        <f>MAX(0,IF($A7&lt;=D$4,0,(SUMPRODUCT(Bear!$C$28:$I$28,1/(1+$A7)^Bear!$C$4:$I$4)+(Bear!$I$24*(1+D$4)+Bear!$I$25*(1+D$4)*(1-Inputs!$B$64)-Inputs!$B$65*Bear!$I$14*D$4)/($A7-D$4)/(1+$A7)^Bear!$I$4+Inputs!$B$16+Inputs!$B$14-Inputs!$B$15)/Inputs!$B$9))</f>
        <v/>
      </c>
      <c r="E7" s="41">
        <f>MAX(0,IF($A7&lt;=E$4,0,(SUMPRODUCT(Bear!$C$28:$I$28,1/(1+$A7)^Bear!$C$4:$I$4)+(Bear!$I$24*(1+E$4)+Bear!$I$25*(1+E$4)*(1-Inputs!$B$64)-Inputs!$B$65*Bear!$I$14*E$4)/($A7-E$4)/(1+$A7)^Bear!$I$4+Inputs!$B$16+Inputs!$B$14-Inputs!$B$15)/Inputs!$B$9))</f>
        <v/>
      </c>
      <c r="F7" s="41">
        <f>MAX(0,IF($A7&lt;=F$4,0,(SUMPRODUCT(Bear!$C$28:$I$28,1/(1+$A7)^Bear!$C$4:$I$4)+(Bear!$I$24*(1+F$4)+Bear!$I$25*(1+F$4)*(1-Inputs!$B$64)-Inputs!$B$65*Bear!$I$14*F$4)/($A7-F$4)/(1+$A7)^Bear!$I$4+Inputs!$B$16+Inputs!$B$14-Inputs!$B$15)/Inputs!$B$9))</f>
        <v/>
      </c>
    </row>
    <row r="8">
      <c r="A8" s="40" t="n">
        <v>0.115</v>
      </c>
      <c r="B8" s="41">
        <f>MAX(0,IF($A8&lt;=B$4,0,(SUMPRODUCT(Bear!$C$28:$I$28,1/(1+$A8)^Bear!$C$4:$I$4)+(Bear!$I$24*(1+B$4)+Bear!$I$25*(1+B$4)*(1-Inputs!$B$64)-Inputs!$B$65*Bear!$I$14*B$4)/($A8-B$4)/(1+$A8)^Bear!$I$4+Inputs!$B$16+Inputs!$B$14-Inputs!$B$15)/Inputs!$B$9))</f>
        <v/>
      </c>
      <c r="C8" s="41">
        <f>MAX(0,IF($A8&lt;=C$4,0,(SUMPRODUCT(Bear!$C$28:$I$28,1/(1+$A8)^Bear!$C$4:$I$4)+(Bear!$I$24*(1+C$4)+Bear!$I$25*(1+C$4)*(1-Inputs!$B$64)-Inputs!$B$65*Bear!$I$14*C$4)/($A8-C$4)/(1+$A8)^Bear!$I$4+Inputs!$B$16+Inputs!$B$14-Inputs!$B$15)/Inputs!$B$9))</f>
        <v/>
      </c>
      <c r="D8" s="41">
        <f>MAX(0,IF($A8&lt;=D$4,0,(SUMPRODUCT(Bear!$C$28:$I$28,1/(1+$A8)^Bear!$C$4:$I$4)+(Bear!$I$24*(1+D$4)+Bear!$I$25*(1+D$4)*(1-Inputs!$B$64)-Inputs!$B$65*Bear!$I$14*D$4)/($A8-D$4)/(1+$A8)^Bear!$I$4+Inputs!$B$16+Inputs!$B$14-Inputs!$B$15)/Inputs!$B$9))</f>
        <v/>
      </c>
      <c r="E8" s="41">
        <f>MAX(0,IF($A8&lt;=E$4,0,(SUMPRODUCT(Bear!$C$28:$I$28,1/(1+$A8)^Bear!$C$4:$I$4)+(Bear!$I$24*(1+E$4)+Bear!$I$25*(1+E$4)*(1-Inputs!$B$64)-Inputs!$B$65*Bear!$I$14*E$4)/($A8-E$4)/(1+$A8)^Bear!$I$4+Inputs!$B$16+Inputs!$B$14-Inputs!$B$15)/Inputs!$B$9))</f>
        <v/>
      </c>
      <c r="F8" s="41">
        <f>MAX(0,IF($A8&lt;=F$4,0,(SUMPRODUCT(Bear!$C$28:$I$28,1/(1+$A8)^Bear!$C$4:$I$4)+(Bear!$I$24*(1+F$4)+Bear!$I$25*(1+F$4)*(1-Inputs!$B$64)-Inputs!$B$65*Bear!$I$14*F$4)/($A8-F$4)/(1+$A8)^Bear!$I$4+Inputs!$B$16+Inputs!$B$14-Inputs!$B$15)/Inputs!$B$9))</f>
        <v/>
      </c>
    </row>
    <row r="9">
      <c r="A9" s="40" t="n">
        <v>0.125</v>
      </c>
      <c r="B9" s="41">
        <f>MAX(0,IF($A9&lt;=B$4,0,(SUMPRODUCT(Bear!$C$28:$I$28,1/(1+$A9)^Bear!$C$4:$I$4)+(Bear!$I$24*(1+B$4)+Bear!$I$25*(1+B$4)*(1-Inputs!$B$64)-Inputs!$B$65*Bear!$I$14*B$4)/($A9-B$4)/(1+$A9)^Bear!$I$4+Inputs!$B$16+Inputs!$B$14-Inputs!$B$15)/Inputs!$B$9))</f>
        <v/>
      </c>
      <c r="C9" s="41">
        <f>MAX(0,IF($A9&lt;=C$4,0,(SUMPRODUCT(Bear!$C$28:$I$28,1/(1+$A9)^Bear!$C$4:$I$4)+(Bear!$I$24*(1+C$4)+Bear!$I$25*(1+C$4)*(1-Inputs!$B$64)-Inputs!$B$65*Bear!$I$14*C$4)/($A9-C$4)/(1+$A9)^Bear!$I$4+Inputs!$B$16+Inputs!$B$14-Inputs!$B$15)/Inputs!$B$9))</f>
        <v/>
      </c>
      <c r="D9" s="41">
        <f>MAX(0,IF($A9&lt;=D$4,0,(SUMPRODUCT(Bear!$C$28:$I$28,1/(1+$A9)^Bear!$C$4:$I$4)+(Bear!$I$24*(1+D$4)+Bear!$I$25*(1+D$4)*(1-Inputs!$B$64)-Inputs!$B$65*Bear!$I$14*D$4)/($A9-D$4)/(1+$A9)^Bear!$I$4+Inputs!$B$16+Inputs!$B$14-Inputs!$B$15)/Inputs!$B$9))</f>
        <v/>
      </c>
      <c r="E9" s="41">
        <f>MAX(0,IF($A9&lt;=E$4,0,(SUMPRODUCT(Bear!$C$28:$I$28,1/(1+$A9)^Bear!$C$4:$I$4)+(Bear!$I$24*(1+E$4)+Bear!$I$25*(1+E$4)*(1-Inputs!$B$64)-Inputs!$B$65*Bear!$I$14*E$4)/($A9-E$4)/(1+$A9)^Bear!$I$4+Inputs!$B$16+Inputs!$B$14-Inputs!$B$15)/Inputs!$B$9))</f>
        <v/>
      </c>
      <c r="F9" s="41">
        <f>MAX(0,IF($A9&lt;=F$4,0,(SUMPRODUCT(Bear!$C$28:$I$28,1/(1+$A9)^Bear!$C$4:$I$4)+(Bear!$I$24*(1+F$4)+Bear!$I$25*(1+F$4)*(1-Inputs!$B$64)-Inputs!$B$65*Bear!$I$14*F$4)/($A9-F$4)/(1+$A9)^Bear!$I$4+Inputs!$B$16+Inputs!$B$14-Inputs!$B$15)/Inputs!$B$9))</f>
        <v/>
      </c>
    </row>
    <row r="11">
      <c r="A11" s="1" t="inlineStr">
        <is>
          <t>Base scenario: value/share vs WACC and terminal growth (live formulas)</t>
        </is>
      </c>
    </row>
    <row r="12">
      <c r="A12" s="2" t="inlineStr">
        <is>
          <t>WACC (down) / terminal g (across)</t>
        </is>
      </c>
      <c r="B12" s="40" t="n">
        <v>0.02</v>
      </c>
      <c r="C12" s="40" t="n">
        <v>0.025</v>
      </c>
      <c r="D12" s="40" t="n">
        <v>0.03</v>
      </c>
      <c r="E12" s="40" t="n">
        <v>0.035</v>
      </c>
      <c r="F12" s="40" t="n">
        <v>0.04</v>
      </c>
    </row>
    <row r="13">
      <c r="A13" s="40" t="n">
        <v>0.08500000000000001</v>
      </c>
      <c r="B13" s="41">
        <f>MAX(0,IF($A13&lt;=B$12,0,(SUMPRODUCT(Base!$C$28:$I$28,1/(1+$A13)^Base!$C$4:$I$4)+(Base!$I$24*(1+B$12)+Base!$I$25*(1+B$12)*(1-Inputs!$B$64)-Inputs!$B$65*Base!$I$14*B$12)/($A13-B$12)/(1+$A13)^Base!$I$4+Inputs!$B$16+Inputs!$B$14-Inputs!$B$15)/Inputs!$B$9))</f>
        <v/>
      </c>
      <c r="C13" s="41">
        <f>MAX(0,IF($A13&lt;=C$12,0,(SUMPRODUCT(Base!$C$28:$I$28,1/(1+$A13)^Base!$C$4:$I$4)+(Base!$I$24*(1+C$12)+Base!$I$25*(1+C$12)*(1-Inputs!$B$64)-Inputs!$B$65*Base!$I$14*C$12)/($A13-C$12)/(1+$A13)^Base!$I$4+Inputs!$B$16+Inputs!$B$14-Inputs!$B$15)/Inputs!$B$9))</f>
        <v/>
      </c>
      <c r="D13" s="41">
        <f>MAX(0,IF($A13&lt;=D$12,0,(SUMPRODUCT(Base!$C$28:$I$28,1/(1+$A13)^Base!$C$4:$I$4)+(Base!$I$24*(1+D$12)+Base!$I$25*(1+D$12)*(1-Inputs!$B$64)-Inputs!$B$65*Base!$I$14*D$12)/($A13-D$12)/(1+$A13)^Base!$I$4+Inputs!$B$16+Inputs!$B$14-Inputs!$B$15)/Inputs!$B$9))</f>
        <v/>
      </c>
      <c r="E13" s="41">
        <f>MAX(0,IF($A13&lt;=E$12,0,(SUMPRODUCT(Base!$C$28:$I$28,1/(1+$A13)^Base!$C$4:$I$4)+(Base!$I$24*(1+E$12)+Base!$I$25*(1+E$12)*(1-Inputs!$B$64)-Inputs!$B$65*Base!$I$14*E$12)/($A13-E$12)/(1+$A13)^Base!$I$4+Inputs!$B$16+Inputs!$B$14-Inputs!$B$15)/Inputs!$B$9))</f>
        <v/>
      </c>
      <c r="F13" s="41">
        <f>MAX(0,IF($A13&lt;=F$12,0,(SUMPRODUCT(Base!$C$28:$I$28,1/(1+$A13)^Base!$C$4:$I$4)+(Base!$I$24*(1+F$12)+Base!$I$25*(1+F$12)*(1-Inputs!$B$64)-Inputs!$B$65*Base!$I$14*F$12)/($A13-F$12)/(1+$A13)^Base!$I$4+Inputs!$B$16+Inputs!$B$14-Inputs!$B$15)/Inputs!$B$9))</f>
        <v/>
      </c>
    </row>
    <row r="14">
      <c r="A14" s="40" t="n">
        <v>0.095</v>
      </c>
      <c r="B14" s="41">
        <f>MAX(0,IF($A14&lt;=B$12,0,(SUMPRODUCT(Base!$C$28:$I$28,1/(1+$A14)^Base!$C$4:$I$4)+(Base!$I$24*(1+B$12)+Base!$I$25*(1+B$12)*(1-Inputs!$B$64)-Inputs!$B$65*Base!$I$14*B$12)/($A14-B$12)/(1+$A14)^Base!$I$4+Inputs!$B$16+Inputs!$B$14-Inputs!$B$15)/Inputs!$B$9))</f>
        <v/>
      </c>
      <c r="C14" s="41">
        <f>MAX(0,IF($A14&lt;=C$12,0,(SUMPRODUCT(Base!$C$28:$I$28,1/(1+$A14)^Base!$C$4:$I$4)+(Base!$I$24*(1+C$12)+Base!$I$25*(1+C$12)*(1-Inputs!$B$64)-Inputs!$B$65*Base!$I$14*C$12)/($A14-C$12)/(1+$A14)^Base!$I$4+Inputs!$B$16+Inputs!$B$14-Inputs!$B$15)/Inputs!$B$9))</f>
        <v/>
      </c>
      <c r="D14" s="41">
        <f>MAX(0,IF($A14&lt;=D$12,0,(SUMPRODUCT(Base!$C$28:$I$28,1/(1+$A14)^Base!$C$4:$I$4)+(Base!$I$24*(1+D$12)+Base!$I$25*(1+D$12)*(1-Inputs!$B$64)-Inputs!$B$65*Base!$I$14*D$12)/($A14-D$12)/(1+$A14)^Base!$I$4+Inputs!$B$16+Inputs!$B$14-Inputs!$B$15)/Inputs!$B$9))</f>
        <v/>
      </c>
      <c r="E14" s="41">
        <f>MAX(0,IF($A14&lt;=E$12,0,(SUMPRODUCT(Base!$C$28:$I$28,1/(1+$A14)^Base!$C$4:$I$4)+(Base!$I$24*(1+E$12)+Base!$I$25*(1+E$12)*(1-Inputs!$B$64)-Inputs!$B$65*Base!$I$14*E$12)/($A14-E$12)/(1+$A14)^Base!$I$4+Inputs!$B$16+Inputs!$B$14-Inputs!$B$15)/Inputs!$B$9))</f>
        <v/>
      </c>
      <c r="F14" s="41">
        <f>MAX(0,IF($A14&lt;=F$12,0,(SUMPRODUCT(Base!$C$28:$I$28,1/(1+$A14)^Base!$C$4:$I$4)+(Base!$I$24*(1+F$12)+Base!$I$25*(1+F$12)*(1-Inputs!$B$64)-Inputs!$B$65*Base!$I$14*F$12)/($A14-F$12)/(1+$A14)^Base!$I$4+Inputs!$B$16+Inputs!$B$14-Inputs!$B$15)/Inputs!$B$9))</f>
        <v/>
      </c>
    </row>
    <row r="15">
      <c r="A15" s="40" t="n">
        <v>0.105</v>
      </c>
      <c r="B15" s="41">
        <f>MAX(0,IF($A15&lt;=B$12,0,(SUMPRODUCT(Base!$C$28:$I$28,1/(1+$A15)^Base!$C$4:$I$4)+(Base!$I$24*(1+B$12)+Base!$I$25*(1+B$12)*(1-Inputs!$B$64)-Inputs!$B$65*Base!$I$14*B$12)/($A15-B$12)/(1+$A15)^Base!$I$4+Inputs!$B$16+Inputs!$B$14-Inputs!$B$15)/Inputs!$B$9))</f>
        <v/>
      </c>
      <c r="C15" s="41">
        <f>MAX(0,IF($A15&lt;=C$12,0,(SUMPRODUCT(Base!$C$28:$I$28,1/(1+$A15)^Base!$C$4:$I$4)+(Base!$I$24*(1+C$12)+Base!$I$25*(1+C$12)*(1-Inputs!$B$64)-Inputs!$B$65*Base!$I$14*C$12)/($A15-C$12)/(1+$A15)^Base!$I$4+Inputs!$B$16+Inputs!$B$14-Inputs!$B$15)/Inputs!$B$9))</f>
        <v/>
      </c>
      <c r="D15" s="41">
        <f>MAX(0,IF($A15&lt;=D$12,0,(SUMPRODUCT(Base!$C$28:$I$28,1/(1+$A15)^Base!$C$4:$I$4)+(Base!$I$24*(1+D$12)+Base!$I$25*(1+D$12)*(1-Inputs!$B$64)-Inputs!$B$65*Base!$I$14*D$12)/($A15-D$12)/(1+$A15)^Base!$I$4+Inputs!$B$16+Inputs!$B$14-Inputs!$B$15)/Inputs!$B$9))</f>
        <v/>
      </c>
      <c r="E15" s="41">
        <f>MAX(0,IF($A15&lt;=E$12,0,(SUMPRODUCT(Base!$C$28:$I$28,1/(1+$A15)^Base!$C$4:$I$4)+(Base!$I$24*(1+E$12)+Base!$I$25*(1+E$12)*(1-Inputs!$B$64)-Inputs!$B$65*Base!$I$14*E$12)/($A15-E$12)/(1+$A15)^Base!$I$4+Inputs!$B$16+Inputs!$B$14-Inputs!$B$15)/Inputs!$B$9))</f>
        <v/>
      </c>
      <c r="F15" s="41">
        <f>MAX(0,IF($A15&lt;=F$12,0,(SUMPRODUCT(Base!$C$28:$I$28,1/(1+$A15)^Base!$C$4:$I$4)+(Base!$I$24*(1+F$12)+Base!$I$25*(1+F$12)*(1-Inputs!$B$64)-Inputs!$B$65*Base!$I$14*F$12)/($A15-F$12)/(1+$A15)^Base!$I$4+Inputs!$B$16+Inputs!$B$14-Inputs!$B$15)/Inputs!$B$9))</f>
        <v/>
      </c>
    </row>
    <row r="16">
      <c r="A16" s="40" t="n">
        <v>0.115</v>
      </c>
      <c r="B16" s="41">
        <f>MAX(0,IF($A16&lt;=B$12,0,(SUMPRODUCT(Base!$C$28:$I$28,1/(1+$A16)^Base!$C$4:$I$4)+(Base!$I$24*(1+B$12)+Base!$I$25*(1+B$12)*(1-Inputs!$B$64)-Inputs!$B$65*Base!$I$14*B$12)/($A16-B$12)/(1+$A16)^Base!$I$4+Inputs!$B$16+Inputs!$B$14-Inputs!$B$15)/Inputs!$B$9))</f>
        <v/>
      </c>
      <c r="C16" s="41">
        <f>MAX(0,IF($A16&lt;=C$12,0,(SUMPRODUCT(Base!$C$28:$I$28,1/(1+$A16)^Base!$C$4:$I$4)+(Base!$I$24*(1+C$12)+Base!$I$25*(1+C$12)*(1-Inputs!$B$64)-Inputs!$B$65*Base!$I$14*C$12)/($A16-C$12)/(1+$A16)^Base!$I$4+Inputs!$B$16+Inputs!$B$14-Inputs!$B$15)/Inputs!$B$9))</f>
        <v/>
      </c>
      <c r="D16" s="41">
        <f>MAX(0,IF($A16&lt;=D$12,0,(SUMPRODUCT(Base!$C$28:$I$28,1/(1+$A16)^Base!$C$4:$I$4)+(Base!$I$24*(1+D$12)+Base!$I$25*(1+D$12)*(1-Inputs!$B$64)-Inputs!$B$65*Base!$I$14*D$12)/($A16-D$12)/(1+$A16)^Base!$I$4+Inputs!$B$16+Inputs!$B$14-Inputs!$B$15)/Inputs!$B$9))</f>
        <v/>
      </c>
      <c r="E16" s="41">
        <f>MAX(0,IF($A16&lt;=E$12,0,(SUMPRODUCT(Base!$C$28:$I$28,1/(1+$A16)^Base!$C$4:$I$4)+(Base!$I$24*(1+E$12)+Base!$I$25*(1+E$12)*(1-Inputs!$B$64)-Inputs!$B$65*Base!$I$14*E$12)/($A16-E$12)/(1+$A16)^Base!$I$4+Inputs!$B$16+Inputs!$B$14-Inputs!$B$15)/Inputs!$B$9))</f>
        <v/>
      </c>
      <c r="F16" s="41">
        <f>MAX(0,IF($A16&lt;=F$12,0,(SUMPRODUCT(Base!$C$28:$I$28,1/(1+$A16)^Base!$C$4:$I$4)+(Base!$I$24*(1+F$12)+Base!$I$25*(1+F$12)*(1-Inputs!$B$64)-Inputs!$B$65*Base!$I$14*F$12)/($A16-F$12)/(1+$A16)^Base!$I$4+Inputs!$B$16+Inputs!$B$14-Inputs!$B$15)/Inputs!$B$9))</f>
        <v/>
      </c>
    </row>
    <row r="17">
      <c r="A17" s="40" t="n">
        <v>0.125</v>
      </c>
      <c r="B17" s="41">
        <f>MAX(0,IF($A17&lt;=B$12,0,(SUMPRODUCT(Base!$C$28:$I$28,1/(1+$A17)^Base!$C$4:$I$4)+(Base!$I$24*(1+B$12)+Base!$I$25*(1+B$12)*(1-Inputs!$B$64)-Inputs!$B$65*Base!$I$14*B$12)/($A17-B$12)/(1+$A17)^Base!$I$4+Inputs!$B$16+Inputs!$B$14-Inputs!$B$15)/Inputs!$B$9))</f>
        <v/>
      </c>
      <c r="C17" s="41">
        <f>MAX(0,IF($A17&lt;=C$12,0,(SUMPRODUCT(Base!$C$28:$I$28,1/(1+$A17)^Base!$C$4:$I$4)+(Base!$I$24*(1+C$12)+Base!$I$25*(1+C$12)*(1-Inputs!$B$64)-Inputs!$B$65*Base!$I$14*C$12)/($A17-C$12)/(1+$A17)^Base!$I$4+Inputs!$B$16+Inputs!$B$14-Inputs!$B$15)/Inputs!$B$9))</f>
        <v/>
      </c>
      <c r="D17" s="41">
        <f>MAX(0,IF($A17&lt;=D$12,0,(SUMPRODUCT(Base!$C$28:$I$28,1/(1+$A17)^Base!$C$4:$I$4)+(Base!$I$24*(1+D$12)+Base!$I$25*(1+D$12)*(1-Inputs!$B$64)-Inputs!$B$65*Base!$I$14*D$12)/($A17-D$12)/(1+$A17)^Base!$I$4+Inputs!$B$16+Inputs!$B$14-Inputs!$B$15)/Inputs!$B$9))</f>
        <v/>
      </c>
      <c r="E17" s="41">
        <f>MAX(0,IF($A17&lt;=E$12,0,(SUMPRODUCT(Base!$C$28:$I$28,1/(1+$A17)^Base!$C$4:$I$4)+(Base!$I$24*(1+E$12)+Base!$I$25*(1+E$12)*(1-Inputs!$B$64)-Inputs!$B$65*Base!$I$14*E$12)/($A17-E$12)/(1+$A17)^Base!$I$4+Inputs!$B$16+Inputs!$B$14-Inputs!$B$15)/Inputs!$B$9))</f>
        <v/>
      </c>
      <c r="F17" s="41">
        <f>MAX(0,IF($A17&lt;=F$12,0,(SUMPRODUCT(Base!$C$28:$I$28,1/(1+$A17)^Base!$C$4:$I$4)+(Base!$I$24*(1+F$12)+Base!$I$25*(1+F$12)*(1-Inputs!$B$64)-Inputs!$B$65*Base!$I$14*F$12)/($A17-F$12)/(1+$A17)^Base!$I$4+Inputs!$B$16+Inputs!$B$14-Inputs!$B$15)/Inputs!$B$9))</f>
        <v/>
      </c>
    </row>
    <row r="19">
      <c r="A19" s="1" t="inlineStr">
        <is>
          <t>Bull scenario: value/share vs WACC and terminal growth (live formulas)</t>
        </is>
      </c>
    </row>
    <row r="20">
      <c r="A20" s="2" t="inlineStr">
        <is>
          <t>WACC (down) / terminal g (across)</t>
        </is>
      </c>
      <c r="B20" s="40" t="n">
        <v>0.02</v>
      </c>
      <c r="C20" s="40" t="n">
        <v>0.025</v>
      </c>
      <c r="D20" s="40" t="n">
        <v>0.03</v>
      </c>
      <c r="E20" s="40" t="n">
        <v>0.035</v>
      </c>
      <c r="F20" s="40" t="n">
        <v>0.04</v>
      </c>
    </row>
    <row r="21">
      <c r="A21" s="40" t="n">
        <v>0.08500000000000001</v>
      </c>
      <c r="B21" s="41">
        <f>MAX(0,IF($A21&lt;=B$20,0,(SUMPRODUCT(Bull!$C$28:$I$28,1/(1+$A21)^Bull!$C$4:$I$4)+(Bull!$I$24*(1+B$20)+Bull!$I$25*(1+B$20)*(1-Inputs!$B$64)-Inputs!$B$65*Bull!$I$14*B$20)/($A21-B$20)/(1+$A21)^Bull!$I$4+Inputs!$B$16+Inputs!$B$14-Inputs!$B$15)/Inputs!$B$9))</f>
        <v/>
      </c>
      <c r="C21" s="41">
        <f>MAX(0,IF($A21&lt;=C$20,0,(SUMPRODUCT(Bull!$C$28:$I$28,1/(1+$A21)^Bull!$C$4:$I$4)+(Bull!$I$24*(1+C$20)+Bull!$I$25*(1+C$20)*(1-Inputs!$B$64)-Inputs!$B$65*Bull!$I$14*C$20)/($A21-C$20)/(1+$A21)^Bull!$I$4+Inputs!$B$16+Inputs!$B$14-Inputs!$B$15)/Inputs!$B$9))</f>
        <v/>
      </c>
      <c r="D21" s="41">
        <f>MAX(0,IF($A21&lt;=D$20,0,(SUMPRODUCT(Bull!$C$28:$I$28,1/(1+$A21)^Bull!$C$4:$I$4)+(Bull!$I$24*(1+D$20)+Bull!$I$25*(1+D$20)*(1-Inputs!$B$64)-Inputs!$B$65*Bull!$I$14*D$20)/($A21-D$20)/(1+$A21)^Bull!$I$4+Inputs!$B$16+Inputs!$B$14-Inputs!$B$15)/Inputs!$B$9))</f>
        <v/>
      </c>
      <c r="E21" s="41">
        <f>MAX(0,IF($A21&lt;=E$20,0,(SUMPRODUCT(Bull!$C$28:$I$28,1/(1+$A21)^Bull!$C$4:$I$4)+(Bull!$I$24*(1+E$20)+Bull!$I$25*(1+E$20)*(1-Inputs!$B$64)-Inputs!$B$65*Bull!$I$14*E$20)/($A21-E$20)/(1+$A21)^Bull!$I$4+Inputs!$B$16+Inputs!$B$14-Inputs!$B$15)/Inputs!$B$9))</f>
        <v/>
      </c>
      <c r="F21" s="41">
        <f>MAX(0,IF($A21&lt;=F$20,0,(SUMPRODUCT(Bull!$C$28:$I$28,1/(1+$A21)^Bull!$C$4:$I$4)+(Bull!$I$24*(1+F$20)+Bull!$I$25*(1+F$20)*(1-Inputs!$B$64)-Inputs!$B$65*Bull!$I$14*F$20)/($A21-F$20)/(1+$A21)^Bull!$I$4+Inputs!$B$16+Inputs!$B$14-Inputs!$B$15)/Inputs!$B$9))</f>
        <v/>
      </c>
    </row>
    <row r="22">
      <c r="A22" s="40" t="n">
        <v>0.095</v>
      </c>
      <c r="B22" s="41">
        <f>MAX(0,IF($A22&lt;=B$20,0,(SUMPRODUCT(Bull!$C$28:$I$28,1/(1+$A22)^Bull!$C$4:$I$4)+(Bull!$I$24*(1+B$20)+Bull!$I$25*(1+B$20)*(1-Inputs!$B$64)-Inputs!$B$65*Bull!$I$14*B$20)/($A22-B$20)/(1+$A22)^Bull!$I$4+Inputs!$B$16+Inputs!$B$14-Inputs!$B$15)/Inputs!$B$9))</f>
        <v/>
      </c>
      <c r="C22" s="41">
        <f>MAX(0,IF($A22&lt;=C$20,0,(SUMPRODUCT(Bull!$C$28:$I$28,1/(1+$A22)^Bull!$C$4:$I$4)+(Bull!$I$24*(1+C$20)+Bull!$I$25*(1+C$20)*(1-Inputs!$B$64)-Inputs!$B$65*Bull!$I$14*C$20)/($A22-C$20)/(1+$A22)^Bull!$I$4+Inputs!$B$16+Inputs!$B$14-Inputs!$B$15)/Inputs!$B$9))</f>
        <v/>
      </c>
      <c r="D22" s="41">
        <f>MAX(0,IF($A22&lt;=D$20,0,(SUMPRODUCT(Bull!$C$28:$I$28,1/(1+$A22)^Bull!$C$4:$I$4)+(Bull!$I$24*(1+D$20)+Bull!$I$25*(1+D$20)*(1-Inputs!$B$64)-Inputs!$B$65*Bull!$I$14*D$20)/($A22-D$20)/(1+$A22)^Bull!$I$4+Inputs!$B$16+Inputs!$B$14-Inputs!$B$15)/Inputs!$B$9))</f>
        <v/>
      </c>
      <c r="E22" s="41">
        <f>MAX(0,IF($A22&lt;=E$20,0,(SUMPRODUCT(Bull!$C$28:$I$28,1/(1+$A22)^Bull!$C$4:$I$4)+(Bull!$I$24*(1+E$20)+Bull!$I$25*(1+E$20)*(1-Inputs!$B$64)-Inputs!$B$65*Bull!$I$14*E$20)/($A22-E$20)/(1+$A22)^Bull!$I$4+Inputs!$B$16+Inputs!$B$14-Inputs!$B$15)/Inputs!$B$9))</f>
        <v/>
      </c>
      <c r="F22" s="41">
        <f>MAX(0,IF($A22&lt;=F$20,0,(SUMPRODUCT(Bull!$C$28:$I$28,1/(1+$A22)^Bull!$C$4:$I$4)+(Bull!$I$24*(1+F$20)+Bull!$I$25*(1+F$20)*(1-Inputs!$B$64)-Inputs!$B$65*Bull!$I$14*F$20)/($A22-F$20)/(1+$A22)^Bull!$I$4+Inputs!$B$16+Inputs!$B$14-Inputs!$B$15)/Inputs!$B$9))</f>
        <v/>
      </c>
    </row>
    <row r="23">
      <c r="A23" s="40" t="n">
        <v>0.105</v>
      </c>
      <c r="B23" s="41">
        <f>MAX(0,IF($A23&lt;=B$20,0,(SUMPRODUCT(Bull!$C$28:$I$28,1/(1+$A23)^Bull!$C$4:$I$4)+(Bull!$I$24*(1+B$20)+Bull!$I$25*(1+B$20)*(1-Inputs!$B$64)-Inputs!$B$65*Bull!$I$14*B$20)/($A23-B$20)/(1+$A23)^Bull!$I$4+Inputs!$B$16+Inputs!$B$14-Inputs!$B$15)/Inputs!$B$9))</f>
        <v/>
      </c>
      <c r="C23" s="41">
        <f>MAX(0,IF($A23&lt;=C$20,0,(SUMPRODUCT(Bull!$C$28:$I$28,1/(1+$A23)^Bull!$C$4:$I$4)+(Bull!$I$24*(1+C$20)+Bull!$I$25*(1+C$20)*(1-Inputs!$B$64)-Inputs!$B$65*Bull!$I$14*C$20)/($A23-C$20)/(1+$A23)^Bull!$I$4+Inputs!$B$16+Inputs!$B$14-Inputs!$B$15)/Inputs!$B$9))</f>
        <v/>
      </c>
      <c r="D23" s="41">
        <f>MAX(0,IF($A23&lt;=D$20,0,(SUMPRODUCT(Bull!$C$28:$I$28,1/(1+$A23)^Bull!$C$4:$I$4)+(Bull!$I$24*(1+D$20)+Bull!$I$25*(1+D$20)*(1-Inputs!$B$64)-Inputs!$B$65*Bull!$I$14*D$20)/($A23-D$20)/(1+$A23)^Bull!$I$4+Inputs!$B$16+Inputs!$B$14-Inputs!$B$15)/Inputs!$B$9))</f>
        <v/>
      </c>
      <c r="E23" s="41">
        <f>MAX(0,IF($A23&lt;=E$20,0,(SUMPRODUCT(Bull!$C$28:$I$28,1/(1+$A23)^Bull!$C$4:$I$4)+(Bull!$I$24*(1+E$20)+Bull!$I$25*(1+E$20)*(1-Inputs!$B$64)-Inputs!$B$65*Bull!$I$14*E$20)/($A23-E$20)/(1+$A23)^Bull!$I$4+Inputs!$B$16+Inputs!$B$14-Inputs!$B$15)/Inputs!$B$9))</f>
        <v/>
      </c>
      <c r="F23" s="41">
        <f>MAX(0,IF($A23&lt;=F$20,0,(SUMPRODUCT(Bull!$C$28:$I$28,1/(1+$A23)^Bull!$C$4:$I$4)+(Bull!$I$24*(1+F$20)+Bull!$I$25*(1+F$20)*(1-Inputs!$B$64)-Inputs!$B$65*Bull!$I$14*F$20)/($A23-F$20)/(1+$A23)^Bull!$I$4+Inputs!$B$16+Inputs!$B$14-Inputs!$B$15)/Inputs!$B$9))</f>
        <v/>
      </c>
    </row>
    <row r="24">
      <c r="A24" s="40" t="n">
        <v>0.115</v>
      </c>
      <c r="B24" s="41">
        <f>MAX(0,IF($A24&lt;=B$20,0,(SUMPRODUCT(Bull!$C$28:$I$28,1/(1+$A24)^Bull!$C$4:$I$4)+(Bull!$I$24*(1+B$20)+Bull!$I$25*(1+B$20)*(1-Inputs!$B$64)-Inputs!$B$65*Bull!$I$14*B$20)/($A24-B$20)/(1+$A24)^Bull!$I$4+Inputs!$B$16+Inputs!$B$14-Inputs!$B$15)/Inputs!$B$9))</f>
        <v/>
      </c>
      <c r="C24" s="41">
        <f>MAX(0,IF($A24&lt;=C$20,0,(SUMPRODUCT(Bull!$C$28:$I$28,1/(1+$A24)^Bull!$C$4:$I$4)+(Bull!$I$24*(1+C$20)+Bull!$I$25*(1+C$20)*(1-Inputs!$B$64)-Inputs!$B$65*Bull!$I$14*C$20)/($A24-C$20)/(1+$A24)^Bull!$I$4+Inputs!$B$16+Inputs!$B$14-Inputs!$B$15)/Inputs!$B$9))</f>
        <v/>
      </c>
      <c r="D24" s="41">
        <f>MAX(0,IF($A24&lt;=D$20,0,(SUMPRODUCT(Bull!$C$28:$I$28,1/(1+$A24)^Bull!$C$4:$I$4)+(Bull!$I$24*(1+D$20)+Bull!$I$25*(1+D$20)*(1-Inputs!$B$64)-Inputs!$B$65*Bull!$I$14*D$20)/($A24-D$20)/(1+$A24)^Bull!$I$4+Inputs!$B$16+Inputs!$B$14-Inputs!$B$15)/Inputs!$B$9))</f>
        <v/>
      </c>
      <c r="E24" s="41">
        <f>MAX(0,IF($A24&lt;=E$20,0,(SUMPRODUCT(Bull!$C$28:$I$28,1/(1+$A24)^Bull!$C$4:$I$4)+(Bull!$I$24*(1+E$20)+Bull!$I$25*(1+E$20)*(1-Inputs!$B$64)-Inputs!$B$65*Bull!$I$14*E$20)/($A24-E$20)/(1+$A24)^Bull!$I$4+Inputs!$B$16+Inputs!$B$14-Inputs!$B$15)/Inputs!$B$9))</f>
        <v/>
      </c>
      <c r="F24" s="41">
        <f>MAX(0,IF($A24&lt;=F$20,0,(SUMPRODUCT(Bull!$C$28:$I$28,1/(1+$A24)^Bull!$C$4:$I$4)+(Bull!$I$24*(1+F$20)+Bull!$I$25*(1+F$20)*(1-Inputs!$B$64)-Inputs!$B$65*Bull!$I$14*F$20)/($A24-F$20)/(1+$A24)^Bull!$I$4+Inputs!$B$16+Inputs!$B$14-Inputs!$B$15)/Inputs!$B$9))</f>
        <v/>
      </c>
    </row>
    <row r="25">
      <c r="A25" s="40" t="n">
        <v>0.125</v>
      </c>
      <c r="B25" s="41">
        <f>MAX(0,IF($A25&lt;=B$20,0,(SUMPRODUCT(Bull!$C$28:$I$28,1/(1+$A25)^Bull!$C$4:$I$4)+(Bull!$I$24*(1+B$20)+Bull!$I$25*(1+B$20)*(1-Inputs!$B$64)-Inputs!$B$65*Bull!$I$14*B$20)/($A25-B$20)/(1+$A25)^Bull!$I$4+Inputs!$B$16+Inputs!$B$14-Inputs!$B$15)/Inputs!$B$9))</f>
        <v/>
      </c>
      <c r="C25" s="41">
        <f>MAX(0,IF($A25&lt;=C$20,0,(SUMPRODUCT(Bull!$C$28:$I$28,1/(1+$A25)^Bull!$C$4:$I$4)+(Bull!$I$24*(1+C$20)+Bull!$I$25*(1+C$20)*(1-Inputs!$B$64)-Inputs!$B$65*Bull!$I$14*C$20)/($A25-C$20)/(1+$A25)^Bull!$I$4+Inputs!$B$16+Inputs!$B$14-Inputs!$B$15)/Inputs!$B$9))</f>
        <v/>
      </c>
      <c r="D25" s="41">
        <f>MAX(0,IF($A25&lt;=D$20,0,(SUMPRODUCT(Bull!$C$28:$I$28,1/(1+$A25)^Bull!$C$4:$I$4)+(Bull!$I$24*(1+D$20)+Bull!$I$25*(1+D$20)*(1-Inputs!$B$64)-Inputs!$B$65*Bull!$I$14*D$20)/($A25-D$20)/(1+$A25)^Bull!$I$4+Inputs!$B$16+Inputs!$B$14-Inputs!$B$15)/Inputs!$B$9))</f>
        <v/>
      </c>
      <c r="E25" s="41">
        <f>MAX(0,IF($A25&lt;=E$20,0,(SUMPRODUCT(Bull!$C$28:$I$28,1/(1+$A25)^Bull!$C$4:$I$4)+(Bull!$I$24*(1+E$20)+Bull!$I$25*(1+E$20)*(1-Inputs!$B$64)-Inputs!$B$65*Bull!$I$14*E$20)/($A25-E$20)/(1+$A25)^Bull!$I$4+Inputs!$B$16+Inputs!$B$14-Inputs!$B$15)/Inputs!$B$9))</f>
        <v/>
      </c>
      <c r="F25" s="41">
        <f>MAX(0,IF($A25&lt;=F$20,0,(SUMPRODUCT(Bull!$C$28:$I$28,1/(1+$A25)^Bull!$C$4:$I$4)+(Bull!$I$24*(1+F$20)+Bull!$I$25*(1+F$20)*(1-Inputs!$B$64)-Inputs!$B$65*Bull!$I$14*F$20)/($A25-F$20)/(1+$A25)^Bull!$I$4+Inputs!$B$16+Inputs!$B$14-Inputs!$B$15)/Inputs!$B$9))</f>
        <v/>
      </c>
    </row>
    <row r="27">
      <c r="A27" s="2" t="inlineStr">
        <is>
          <t>Current price ($)</t>
        </is>
      </c>
      <c r="B27" s="33">
        <f>Inputs!$B$4</f>
        <v/>
      </c>
    </row>
    <row r="29">
      <c r="A29" s="1" t="inlineStr">
        <is>
          <t>TORNADO (Base scenario): one input flexed at a time</t>
        </is>
      </c>
    </row>
    <row r="30">
      <c r="A30" s="15" t="inlineStr">
        <is>
          <t>Input flexed (Base scenario, others held)</t>
        </is>
      </c>
      <c r="B30" s="15" t="inlineStr">
        <is>
          <t>Low case $/sh</t>
        </is>
      </c>
      <c r="C30" s="15" t="inlineStr">
        <is>
          <t>High case $/sh</t>
        </is>
      </c>
      <c r="D30" s="15" t="inlineStr">
        <is>
          <t>Base $/sh</t>
        </is>
      </c>
      <c r="E30" s="15" t="inlineStr">
        <is>
          <t>Swing $/sh</t>
        </is>
      </c>
    </row>
    <row r="31">
      <c r="A31" s="2" t="inlineStr">
        <is>
          <t>Ext. foundry revenue x0.5 / x2.0</t>
        </is>
      </c>
      <c r="B31" s="42" t="n">
        <v>16.94</v>
      </c>
      <c r="C31" s="42" t="n">
        <v>32.43</v>
      </c>
      <c r="D31" s="43">
        <f>Base!B43</f>
        <v/>
      </c>
      <c r="E31" s="44">
        <f>C31-B31</f>
        <v/>
      </c>
    </row>
    <row r="32">
      <c r="A32" s="2" t="inlineStr">
        <is>
          <t>China erosion 10 pts/yr faster / 5 pts/yr slower</t>
        </is>
      </c>
      <c r="B32" s="42" t="n">
        <v>19.98</v>
      </c>
      <c r="C32" s="42" t="n">
        <v>23.72</v>
      </c>
      <c r="D32" s="43">
        <f>Base!B43</f>
        <v/>
      </c>
      <c r="E32" s="44">
        <f>C32-B32</f>
        <v/>
      </c>
    </row>
    <row r="33">
      <c r="A33" s="2" t="inlineStr">
        <is>
          <t>DCAI growth -3 / +3 pts per yr</t>
        </is>
      </c>
      <c r="B33" s="42" t="n">
        <v>18.07</v>
      </c>
      <c r="C33" s="42" t="n">
        <v>26.82</v>
      </c>
      <c r="D33" s="43">
        <f>Base!B43</f>
        <v/>
      </c>
      <c r="E33" s="44">
        <f>C33-B33</f>
        <v/>
      </c>
    </row>
    <row r="34">
      <c r="A34" s="2" t="inlineStr">
        <is>
          <t>Gross margin -3 / +3 pts, all years</t>
        </is>
      </c>
      <c r="B34" s="42" t="n">
        <v>17.77</v>
      </c>
      <c r="C34" s="42" t="n">
        <v>26.43</v>
      </c>
      <c r="D34" s="43">
        <f>Base!B43</f>
        <v/>
      </c>
      <c r="E34" s="44">
        <f>C34-B34</f>
        <v/>
      </c>
    </row>
    <row r="35">
      <c r="A35" s="2" t="inlineStr">
        <is>
          <t>Capex x1.15 / x0.85 (2027+)</t>
        </is>
      </c>
      <c r="B35" s="42" t="n">
        <v>19.72</v>
      </c>
      <c r="C35" s="42" t="n">
        <v>24.48</v>
      </c>
      <c r="D35" s="43">
        <f>Base!B43</f>
        <v/>
      </c>
      <c r="E35" s="44">
        <f>C35-B35</f>
        <v/>
      </c>
    </row>
    <row r="36">
      <c r="A36" s="45" t="inlineStr">
        <is>
          <t>Tornado values are static: computed by setting each Inputs 'FLEX LEVER' and recalculating at the default inputs. Re-run them via the flex levers if you change base inputs. WACC and terminal-growth sensitivity: live grids above.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90" customWidth="1" min="10" max="10"/>
  </cols>
  <sheetData>
    <row r="1">
      <c r="A1" s="1" t="inlineStr">
        <is>
          <t>Inputs (US$ bn unless stated). Blue = input, black = formula, yellow = key judgment / placeholder to verify</t>
        </is>
      </c>
    </row>
    <row r="3">
      <c r="A3" s="3" t="inlineStr">
        <is>
          <t>Item</t>
        </is>
      </c>
      <c r="B3" s="3" t="inlineStr">
        <is>
          <t>Value</t>
        </is>
      </c>
      <c r="J3" s="15" t="inlineStr">
        <is>
          <t>Source / note</t>
        </is>
      </c>
    </row>
    <row r="4">
      <c r="A4" s="2" t="inlineStr">
        <is>
          <t>Share price ($)</t>
        </is>
      </c>
      <c r="B4" s="46" t="n">
        <v>123</v>
      </c>
      <c r="J4" s="2" t="inlineStr">
        <is>
          <t>Close 25 Sep 2026 per TradingKey (tradingkey.com). Update to current price.</t>
        </is>
      </c>
    </row>
    <row r="5">
      <c r="A5" s="2" t="inlineStr">
        <is>
          <t>Q2 2026 non-GAAP net income attributable to Intel</t>
        </is>
      </c>
      <c r="B5" s="47" t="n">
        <v>2.2</v>
      </c>
      <c r="J5" s="2" t="inlineStr">
        <is>
          <t>Intel Q2 2026 earnings release (23 Jul 2026)</t>
        </is>
      </c>
    </row>
    <row r="6">
      <c r="A6" s="2" t="inlineStr">
        <is>
          <t>Q2 2026 non-GAAP EPS ($)</t>
        </is>
      </c>
      <c r="B6" s="46" t="n">
        <v>0.42</v>
      </c>
      <c r="J6" s="2" t="inlineStr">
        <is>
          <t>Intel Q2 2026 earnings release (23 Jul 2026)</t>
        </is>
      </c>
    </row>
    <row r="7">
      <c r="A7" s="2" t="inlineStr">
        <is>
          <t>Implied Q2 diluted shares (bn)</t>
        </is>
      </c>
      <c r="B7" s="48">
        <f>B5/B6</f>
        <v/>
      </c>
      <c r="J7" s="2" t="inlineStr">
        <is>
          <t>Derived = NI / EPS (rounding makes this approximate). VERIFY vs 10-Q.</t>
        </is>
      </c>
    </row>
    <row r="8">
      <c r="A8" s="2" t="inlineStr">
        <is>
          <t>Shares issued in Aug 2026 offering incl. greenshoe (bn)</t>
        </is>
      </c>
      <c r="B8" s="49" t="n">
        <v>0.2421</v>
      </c>
      <c r="J8" s="2" t="inlineStr">
        <is>
          <t>210,526,315 + 31,578,947 shares; Intel newsroom, 10-11 Aug 2026</t>
        </is>
      </c>
    </row>
    <row r="9">
      <c r="A9" s="2" t="inlineStr">
        <is>
          <t>Diluted shares for valuation (bn)</t>
        </is>
      </c>
      <c r="B9" s="50">
        <f>B7+B8</f>
        <v/>
      </c>
      <c r="J9" s="2" t="inlineStr">
        <is>
          <t>Excludes any further escrowed government shares not in diluted count; verify.</t>
        </is>
      </c>
    </row>
    <row r="10">
      <c r="A10" s="2" t="inlineStr">
        <is>
          <t>Cash &amp; equivalents (27 Jun 2026)</t>
        </is>
      </c>
      <c r="B10" s="47" t="n">
        <v>12.874</v>
      </c>
      <c r="J10" s="2" t="inlineStr">
        <is>
          <t>Q2 2026 10-Q, via search extract</t>
        </is>
      </c>
    </row>
    <row r="11">
      <c r="A11" s="2" t="inlineStr">
        <is>
          <t>Short-term investments (27 Jun 2026)</t>
        </is>
      </c>
      <c r="B11" s="47" t="n">
        <v>16.853</v>
      </c>
      <c r="J11" s="2" t="inlineStr">
        <is>
          <t>Q2 2026 10-Q, via search extract</t>
        </is>
      </c>
    </row>
    <row r="12">
      <c r="A12" s="2" t="inlineStr">
        <is>
          <t>Net proceeds of Aug 2026 equity offering</t>
        </is>
      </c>
      <c r="B12" s="47" t="n">
        <v>22.62</v>
      </c>
      <c r="J12" s="2" t="inlineStr">
        <is>
          <t>Intel 8-K / newsroom, Aug 2026</t>
        </is>
      </c>
    </row>
    <row r="13">
      <c r="A13" s="2" t="inlineStr">
        <is>
          <t>Total debt (27 Jun 2026)</t>
        </is>
      </c>
      <c r="B13" s="47" t="n">
        <v>48.549</v>
      </c>
      <c r="J13" s="2" t="inlineStr">
        <is>
          <t>Q2 2026 10-Q, via search extract</t>
        </is>
      </c>
    </row>
    <row r="14">
      <c r="A14" s="2" t="inlineStr">
        <is>
          <t>Altera 49% stake (equity-method)</t>
        </is>
      </c>
      <c r="B14" s="51">
        <f>8.75*0.49</f>
        <v/>
      </c>
      <c r="J14" s="2" t="inlineStr">
        <is>
          <t>Placeholder: 49% x $8.75bn valuation from the 2025 Silver Lake deal. Verify carrying/fair value.</t>
        </is>
      </c>
    </row>
    <row r="15">
      <c r="A15" s="2" t="inlineStr">
        <is>
          <t>Non-controlling interests (Mobileye minority, SCIP fab partners)</t>
        </is>
      </c>
      <c r="B15" s="52" t="n">
        <v>0</v>
      </c>
      <c r="J15" s="2" t="inlineStr">
        <is>
          <t>PLACEHOLDER = 0. Intel's Arizona/Ireland SCIP partners and Mobileye minority holders have material claims. Enter from 10-Q; this overstates value if left at 0.</t>
        </is>
      </c>
    </row>
    <row r="16">
      <c r="A16" s="2" t="inlineStr">
        <is>
          <t>Net cash (debt) incl. offering</t>
        </is>
      </c>
      <c r="B16" s="38">
        <f>B10+B11+B12-B13</f>
        <v/>
      </c>
      <c r="J16" s="2" t="inlineStr">
        <is>
          <t>Formula</t>
        </is>
      </c>
    </row>
    <row r="17">
      <c r="A17" s="2" t="inlineStr">
        <is>
          <t>Market capitalization</t>
        </is>
      </c>
      <c r="B17" s="38">
        <f>B4*B9</f>
        <v/>
      </c>
      <c r="J17" s="2" t="inlineStr">
        <is>
          <t>Formula</t>
        </is>
      </c>
    </row>
    <row r="18">
      <c r="A18" s="2" t="inlineStr">
        <is>
          <t>Enterprise value at market</t>
        </is>
      </c>
      <c r="B18" s="38">
        <f>B17-B16-B14+B15</f>
        <v/>
      </c>
      <c r="J18" s="2" t="inlineStr">
        <is>
          <t>Market cap - net cash - Altera stake + NCI</t>
        </is>
      </c>
    </row>
    <row r="20">
      <c r="A20" s="1" t="inlineStr">
        <is>
          <t>2026E BASE YEAR BUILD</t>
        </is>
      </c>
    </row>
    <row r="21">
      <c r="A21" s="3" t="inlineStr">
        <is>
          <t>Item</t>
        </is>
      </c>
      <c r="B21" s="3" t="inlineStr">
        <is>
          <t>Value</t>
        </is>
      </c>
    </row>
    <row r="22">
      <c r="A22" s="2" t="inlineStr">
        <is>
          <t>Q1 2026 total revenue</t>
        </is>
      </c>
      <c r="B22" s="47" t="n">
        <v>13.6</v>
      </c>
      <c r="J22" s="2" t="inlineStr">
        <is>
          <t>Intel Q1 2026 results (23 Apr 2026)</t>
        </is>
      </c>
    </row>
    <row r="23">
      <c r="A23" s="2" t="inlineStr">
        <is>
          <t>Q2 2026 total revenue</t>
        </is>
      </c>
      <c r="B23" s="47" t="n">
        <v>16.1</v>
      </c>
      <c r="J23" s="2" t="inlineStr">
        <is>
          <t>Intel Q2 2026 results</t>
        </is>
      </c>
    </row>
    <row r="24">
      <c r="A24" s="2" t="inlineStr">
        <is>
          <t>Q3 2026 revenue guidance midpoint</t>
        </is>
      </c>
      <c r="B24" s="47" t="n">
        <v>16.3</v>
      </c>
      <c r="J24" s="2" t="inlineStr">
        <is>
          <t>Guidance $15.8-16.8bn (Q2 call)</t>
        </is>
      </c>
    </row>
    <row r="25">
      <c r="A25" s="2" t="inlineStr">
        <is>
          <t>Q4 2026 revenue assumption</t>
        </is>
      </c>
      <c r="B25" s="51">
        <f>B24</f>
        <v/>
      </c>
      <c r="J25" s="2" t="inlineStr">
        <is>
          <t>ASSUMPTION: flat vs Q3 guide midpoint</t>
        </is>
      </c>
    </row>
    <row r="26">
      <c r="A26" s="2" t="inlineStr">
        <is>
          <t>Q1 2026 DCAI revenue</t>
        </is>
      </c>
      <c r="B26" s="47" t="n">
        <v>5.1</v>
      </c>
      <c r="J26" s="2" t="inlineStr">
        <is>
          <t>Intel Q1 2026 results</t>
        </is>
      </c>
    </row>
    <row r="27">
      <c r="A27" s="2" t="inlineStr">
        <is>
          <t>Q2 2026 DCAI revenue</t>
        </is>
      </c>
      <c r="B27" s="47" t="n">
        <v>6.3</v>
      </c>
      <c r="J27" s="2" t="inlineStr">
        <is>
          <t>Intel Q2 2026 results</t>
        </is>
      </c>
    </row>
    <row r="28">
      <c r="A28" s="2" t="inlineStr">
        <is>
          <t>Q1 2026 CCPG (client) revenue</t>
        </is>
      </c>
      <c r="B28" s="47" t="n">
        <v>7.7</v>
      </c>
      <c r="J28" s="2" t="inlineStr">
        <is>
          <t>Intel Q1 2026 results</t>
        </is>
      </c>
    </row>
    <row r="29">
      <c r="A29" s="2" t="inlineStr">
        <is>
          <t>Q2 2026 CCPG (client) revenue</t>
        </is>
      </c>
      <c r="B29" s="47" t="n">
        <v>8.9</v>
      </c>
      <c r="J29" s="2" t="inlineStr">
        <is>
          <t>Intel Q2 2026 results ($8.88bn)</t>
        </is>
      </c>
    </row>
    <row r="30">
      <c r="A30" s="2" t="inlineStr">
        <is>
          <t>Q1 2026 external foundry revenue</t>
        </is>
      </c>
      <c r="B30" s="52" t="n">
        <v>0.25</v>
      </c>
      <c r="J30" s="2" t="inlineStr">
        <is>
          <t>PLACEHOLDER (not found); Q2 was $0.293bn</t>
        </is>
      </c>
    </row>
    <row r="31">
      <c r="A31" s="2" t="inlineStr">
        <is>
          <t>Q2 2026 external foundry revenue</t>
        </is>
      </c>
      <c r="B31" s="47" t="n">
        <v>0.293</v>
      </c>
      <c r="J31" s="2" t="inlineStr">
        <is>
          <t>Intel Q2 2026 10-Q / DCD</t>
        </is>
      </c>
    </row>
    <row r="32">
      <c r="A32" s="2" t="inlineStr">
        <is>
          <t>2026E non-GAAP gross margin</t>
        </is>
      </c>
      <c r="B32" s="40" t="n">
        <v>0.41</v>
      </c>
      <c r="J32" s="2" t="inlineStr">
        <is>
          <t>Q2 41.8%, Q3 guide 42%; Q1 lower. Assumption.</t>
        </is>
      </c>
    </row>
    <row r="33">
      <c r="A33" s="2" t="inlineStr">
        <is>
          <t>2026E non-GAAP operating expenses</t>
        </is>
      </c>
      <c r="B33" s="52" t="n">
        <v>16.5</v>
      </c>
      <c r="J33" s="2" t="inlineStr">
        <is>
          <t>PLACEHOLDER near FY2025 target of $16.8bn; verify 2026 target</t>
        </is>
      </c>
    </row>
    <row r="34">
      <c r="A34" s="2" t="inlineStr">
        <is>
          <t>2026E stock-based compensation</t>
        </is>
      </c>
      <c r="B34" s="52" t="n">
        <v>2.5</v>
      </c>
      <c r="J34" s="2" t="inlineStr">
        <is>
          <t>PLACEHOLDER; verify from 10-Q cash-flow statement</t>
        </is>
      </c>
    </row>
    <row r="35">
      <c r="A35" s="2" t="inlineStr">
        <is>
          <t>2026E depreciation &amp; amortization</t>
        </is>
      </c>
      <c r="B35" s="52" t="n">
        <v>11</v>
      </c>
      <c r="J35" s="2" t="inlineStr">
        <is>
          <t>PLACEHOLDER; verify from 10-Q cash-flow statement</t>
        </is>
      </c>
    </row>
    <row r="36">
      <c r="A36" s="2" t="inlineStr">
        <is>
          <t>2026E gross capex</t>
        </is>
      </c>
      <c r="B36" s="47" t="n">
        <v>20.5</v>
      </c>
      <c r="J36" s="2" t="inlineStr">
        <is>
          <t>Guided 'more than $20bn' (Q2 call)</t>
        </is>
      </c>
    </row>
    <row r="37">
      <c r="A37" s="2" t="inlineStr">
        <is>
          <t>2026E total revenue</t>
        </is>
      </c>
      <c r="B37" s="38">
        <f>$B$22+$B$23+$B$24+$B$25</f>
        <v/>
      </c>
      <c r="J37" s="2" t="inlineStr">
        <is>
          <t>Formula</t>
        </is>
      </c>
    </row>
    <row r="38">
      <c r="A38" s="2" t="inlineStr">
        <is>
          <t>2026E DCAI revenue</t>
        </is>
      </c>
      <c r="B38" s="38">
        <f>$B$26+$B$27+($B$24+$B$25)*$B$27/$B$23</f>
        <v/>
      </c>
      <c r="J38" s="2" t="inlineStr">
        <is>
          <t>H2 allocated at Q2 mix</t>
        </is>
      </c>
    </row>
    <row r="39">
      <c r="A39" s="2" t="inlineStr">
        <is>
          <t>2026E CCPG revenue</t>
        </is>
      </c>
      <c r="B39" s="38">
        <f>$B$28+$B$29+($B$24+$B$25)*$B$29/$B$23</f>
        <v/>
      </c>
      <c r="J39" s="2" t="inlineStr">
        <is>
          <t>H2 allocated at Q2 mix</t>
        </is>
      </c>
    </row>
    <row r="40">
      <c r="A40" s="2" t="inlineStr">
        <is>
          <t>2026E external foundry revenue</t>
        </is>
      </c>
      <c r="B40" s="38">
        <f>$B$30+$B$31+($B$24+$B$25)*$B$31/$B$23</f>
        <v/>
      </c>
      <c r="J40" s="2" t="inlineStr">
        <is>
          <t>H2 allocated at Q2 mix</t>
        </is>
      </c>
    </row>
    <row r="41">
      <c r="A41" s="2" t="inlineStr">
        <is>
          <t>2026E other revenue (Mobileye etc.)</t>
        </is>
      </c>
      <c r="B41" s="38">
        <f>$B$37-$B$38-$B$39-$B$40</f>
        <v/>
      </c>
      <c r="J41" s="2" t="inlineStr">
        <is>
          <t>Residual</t>
        </is>
      </c>
    </row>
    <row r="43">
      <c r="A43" s="1" t="inlineStr">
        <is>
          <t>CHINA EXPOSURE</t>
        </is>
      </c>
    </row>
    <row r="44">
      <c r="A44" s="3" t="inlineStr">
        <is>
          <t>Item</t>
        </is>
      </c>
      <c r="B44" s="3" t="inlineStr">
        <is>
          <t>Value</t>
        </is>
      </c>
    </row>
    <row r="45">
      <c r="A45" s="2" t="inlineStr">
        <is>
          <t>FY2024 China (incl. HK) billed revenue</t>
        </is>
      </c>
      <c r="B45" s="47" t="n">
        <v>15.53</v>
      </c>
      <c r="J45" s="2" t="inlineStr">
        <is>
          <t>Intel FY2024 10-K geographic note (billing location); 29% of revenue</t>
        </is>
      </c>
    </row>
    <row r="46">
      <c r="A46" s="2" t="inlineStr">
        <is>
          <t>FY2025 total revenue</t>
        </is>
      </c>
      <c r="B46" s="47" t="n">
        <v>52.9</v>
      </c>
      <c r="J46" s="2" t="inlineStr">
        <is>
          <t>Intel Q4/FY2025 results (22 Jan 2026)</t>
        </is>
      </c>
    </row>
    <row r="47">
      <c r="A47" s="2" t="inlineStr">
        <is>
          <t>FY2025 US + Taiwan + Singapore + Other billed revenue</t>
        </is>
      </c>
      <c r="B47" s="51">
        <f>15.76+7.67+9.54+7.20</f>
        <v/>
      </c>
      <c r="J47" s="2" t="inlineStr">
        <is>
          <t>FY2025 10-K geographic note via search extract (US 15.76, Taiwan 7.67, Singapore 9.54, Other 7.20); VERIFY</t>
        </is>
      </c>
    </row>
    <row r="48">
      <c r="A48" s="2" t="inlineStr">
        <is>
          <t>FY2025 China billed revenue (derived residual)</t>
        </is>
      </c>
      <c r="B48" s="51">
        <f>$B$46-$B$47</f>
        <v/>
      </c>
      <c r="J48" s="2" t="inlineStr">
        <is>
          <t>Derived = total - other regions. Not read directly from the 10-K; VERIFY</t>
        </is>
      </c>
    </row>
    <row r="49">
      <c r="A49" s="2" t="inlineStr">
        <is>
          <t>China billed share of revenue (FY2025)</t>
        </is>
      </c>
      <c r="B49" s="39">
        <f>IF($B$46=0,0,$B$48/$B$46)</f>
        <v/>
      </c>
      <c r="J49" s="2" t="inlineStr">
        <is>
          <t>Formula</t>
        </is>
      </c>
    </row>
    <row r="50">
      <c r="A50" s="2" t="inlineStr">
        <is>
          <t>Share of China-billed revenue that is China DOMESTIC end-demand</t>
        </is>
      </c>
      <c r="B50" s="53" t="n">
        <v>0.5</v>
      </c>
      <c r="J50" s="2" t="inlineStr">
        <is>
          <t>JUDGMENT. Billing location includes PCs/servers assembled in China for export (Lenovo, ODMs), which domestic substitution does not hit. No source splits this; test 0.35-0.70</t>
        </is>
      </c>
    </row>
    <row r="51">
      <c r="J51" s="2" t="inlineStr">
        <is>
          <t>China levers: xinchuang bans Intel/AMD in government PCs &amp; servers (Mar 2024); Hygon+Zhaoxin ~15-20% of China server CPUs, Kunpeng 8-12% (2026 est.); Loongson 1M desktop CPUs; China customs treats WAFER-FAB location as origin -&gt; US-fabbed chips (Intel) face retaliatory tariffs, TSMC-made rivals don't; US-China truce expires 10 Nov 2026.</t>
        </is>
      </c>
    </row>
    <row r="53">
      <c r="A53" s="1" t="inlineStr">
        <is>
          <t>VALUATION PARAMETERS</t>
        </is>
      </c>
    </row>
    <row r="54">
      <c r="A54" s="3" t="inlineStr">
        <is>
          <t>Item</t>
        </is>
      </c>
      <c r="B54" s="3" t="inlineStr">
        <is>
          <t>Value</t>
        </is>
      </c>
    </row>
    <row r="55">
      <c r="A55" s="2" t="inlineStr">
        <is>
          <t>Risk-free rate</t>
        </is>
      </c>
      <c r="B55" s="53" t="n">
        <v>0.043</v>
      </c>
      <c r="J55" s="2" t="inlineStr">
        <is>
          <t>ASSUMPTION: ~10y UST; update</t>
        </is>
      </c>
    </row>
    <row r="56">
      <c r="A56" s="2" t="inlineStr">
        <is>
          <t>Equity risk premium</t>
        </is>
      </c>
      <c r="B56" s="53" t="n">
        <v>0.05</v>
      </c>
      <c r="J56" s="2" t="inlineStr">
        <is>
          <t>ASSUMPTION</t>
        </is>
      </c>
    </row>
    <row r="57">
      <c r="A57" s="2" t="inlineStr">
        <is>
          <t>Equity beta</t>
        </is>
      </c>
      <c r="B57" s="24" t="n">
        <v>1.3</v>
      </c>
      <c r="J57" s="2" t="inlineStr">
        <is>
          <t>ASSUMPTION: semis/turnaround risk</t>
        </is>
      </c>
    </row>
    <row r="58">
      <c r="A58" s="2" t="inlineStr">
        <is>
          <t>Cost of equity</t>
        </is>
      </c>
      <c r="B58" s="39">
        <f>$B$55+$B$57*$B$56</f>
        <v/>
      </c>
      <c r="J58" s="2" t="inlineStr">
        <is>
          <t>CAPM</t>
        </is>
      </c>
    </row>
    <row r="59">
      <c r="A59" s="2" t="inlineStr">
        <is>
          <t>Pre-tax cost of debt</t>
        </is>
      </c>
      <c r="B59" s="40" t="n">
        <v>0.055</v>
      </c>
      <c r="J59" s="2" t="inlineStr">
        <is>
          <t>ASSUMPTION</t>
        </is>
      </c>
    </row>
    <row r="60">
      <c r="A60" s="2" t="inlineStr">
        <is>
          <t>Tax rate</t>
        </is>
      </c>
      <c r="B60" s="53" t="n">
        <v>0.15</v>
      </c>
      <c r="J60" s="2" t="inlineStr">
        <is>
          <t>ASSUMPTION: normalized cash tax; Intel has large NOLs near term</t>
        </is>
      </c>
    </row>
    <row r="61">
      <c r="A61" s="2" t="inlineStr">
        <is>
          <t>Debt weight</t>
        </is>
      </c>
      <c r="B61" s="39">
        <f>$B$13/($B$13+$B$17)</f>
        <v/>
      </c>
      <c r="J61" s="2" t="inlineStr">
        <is>
          <t>Market-value weights</t>
        </is>
      </c>
    </row>
    <row r="62">
      <c r="A62" s="2" t="inlineStr">
        <is>
          <t>WACC</t>
        </is>
      </c>
      <c r="B62" s="39">
        <f>(1-$B$61)*$B$58+$B$61*$B$59*(1-$B$60)</f>
        <v/>
      </c>
      <c r="J62" s="2" t="inlineStr">
        <is>
          <t>Formula</t>
        </is>
      </c>
    </row>
    <row r="63">
      <c r="A63" s="2" t="inlineStr">
        <is>
          <t>Terminal FCF growth</t>
        </is>
      </c>
      <c r="B63" s="53" t="n">
        <v>0.03</v>
      </c>
      <c r="J63" s="2" t="inlineStr">
        <is>
          <t>ASSUMPTION</t>
        </is>
      </c>
    </row>
    <row r="64">
      <c r="A64" s="2" t="inlineStr">
        <is>
          <t>Terminal capex / D&amp;A ratio</t>
        </is>
      </c>
      <c r="B64" s="25" t="n">
        <v>1.15</v>
      </c>
      <c r="J64" s="2" t="inlineStr">
        <is>
          <t>ASSUMPTION: maintenance + modest growth capex in steady state</t>
        </is>
      </c>
    </row>
    <row r="65">
      <c r="A65" s="2" t="inlineStr">
        <is>
          <t>Net working capital, % of revenue change</t>
        </is>
      </c>
      <c r="B65" s="40" t="n">
        <v>0.1</v>
      </c>
      <c r="J65" s="2" t="inlineStr">
        <is>
          <t>ASSUMPTION</t>
        </is>
      </c>
    </row>
    <row r="66">
      <c r="A66" s="2" t="inlineStr">
        <is>
          <t>D&amp;A catch-up toward prior-year capex (per year)</t>
        </is>
      </c>
      <c r="B66" s="40" t="n">
        <v>0.15</v>
      </c>
      <c r="J66" s="2" t="inlineStr">
        <is>
          <t>D&amp;A(t) = D&amp;A(t-1) + x * (capex(t-1) - D&amp;A(t-1))</t>
        </is>
      </c>
    </row>
    <row r="67">
      <c r="A67" s="2" t="inlineStr">
        <is>
          <t>Discount period offset (valuation date 30 Sep 2026)</t>
        </is>
      </c>
      <c r="B67" s="26" t="n">
        <v>0.25</v>
      </c>
      <c r="J67" s="2" t="inlineStr">
        <is>
          <t>End-2027 cash flow is 1.25 years out</t>
        </is>
      </c>
    </row>
    <row r="68">
      <c r="A68" s="2" t="inlineStr">
        <is>
          <t>Other revenue growth (all scenarios)</t>
        </is>
      </c>
      <c r="B68" s="40" t="n">
        <v>0.05</v>
      </c>
      <c r="J68" s="2" t="inlineStr">
        <is>
          <t>ASSUMPTION</t>
        </is>
      </c>
    </row>
    <row r="70">
      <c r="A70" s="1" t="inlineStr">
        <is>
          <t>FLEX LEVERS (for sensitivity; leave at defaults 0 / 0 / 1 / 1)</t>
        </is>
      </c>
    </row>
    <row r="71">
      <c r="A71" s="2" t="inlineStr">
        <is>
          <t>Gross margin shift, all years, all scenarios (pts)</t>
        </is>
      </c>
      <c r="B71" s="40" t="n">
        <v>0</v>
      </c>
      <c r="J71" s="2" t="inlineStr">
        <is>
          <t>e.g. -0.03 = 3 pts lower</t>
        </is>
      </c>
    </row>
    <row r="72">
      <c r="A72" s="2" t="inlineStr">
        <is>
          <t>DCAI growth shift per year (pts)</t>
        </is>
      </c>
      <c r="B72" s="40" t="n">
        <v>0</v>
      </c>
      <c r="J72" s="2" t="inlineStr">
        <is>
          <t>e.g. 0.03 = +3 pts/yr</t>
        </is>
      </c>
    </row>
    <row r="73">
      <c r="A73" s="2" t="inlineStr">
        <is>
          <t>External foundry revenue multiplier</t>
        </is>
      </c>
      <c r="B73" s="25" t="n">
        <v>1</v>
      </c>
      <c r="J73" s="2" t="inlineStr">
        <is>
          <t>e.g. 0.5 = half</t>
        </is>
      </c>
    </row>
    <row r="74">
      <c r="A74" s="2" t="inlineStr">
        <is>
          <t>Capex multiplier (2027+)</t>
        </is>
      </c>
      <c r="B74" s="25" t="n">
        <v>1</v>
      </c>
      <c r="J74" s="2" t="inlineStr">
        <is>
          <t>e.g. 1.15 = 15% more</t>
        </is>
      </c>
    </row>
    <row r="75">
      <c r="A75" s="2" t="inlineStr">
        <is>
          <t>China domestic revenue change shift per year (pts)</t>
        </is>
      </c>
      <c r="B75" s="40" t="n">
        <v>0</v>
      </c>
      <c r="J75" s="2" t="inlineStr">
        <is>
          <t>e.g. -0.10 = 10 pts faster erosion every year</t>
        </is>
      </c>
    </row>
    <row r="77">
      <c r="A77" s="1" t="inlineStr">
        <is>
          <t>SCENARIO WEIGHTS (judgment; must sum to 100%)</t>
        </is>
      </c>
    </row>
    <row r="78">
      <c r="A78" s="3" t="inlineStr">
        <is>
          <t>Scenario</t>
        </is>
      </c>
      <c r="B78" s="3" t="inlineStr">
        <is>
          <t>Weight</t>
        </is>
      </c>
    </row>
    <row r="79">
      <c r="A79" s="2" t="inlineStr">
        <is>
          <t>Bear</t>
        </is>
      </c>
      <c r="B79" s="53" t="n">
        <v>0.3</v>
      </c>
      <c r="J79" s="2" t="inlineStr">
        <is>
          <t>My judgment; edit</t>
        </is>
      </c>
    </row>
    <row r="80">
      <c r="A80" s="2" t="inlineStr">
        <is>
          <t>Base</t>
        </is>
      </c>
      <c r="B80" s="53" t="n">
        <v>0.45</v>
      </c>
      <c r="J80" s="2" t="inlineStr">
        <is>
          <t>My judgment; edit</t>
        </is>
      </c>
    </row>
    <row r="81">
      <c r="A81" s="2" t="inlineStr">
        <is>
          <t>Bull</t>
        </is>
      </c>
      <c r="B81" s="53" t="n">
        <v>0.25</v>
      </c>
      <c r="J81" s="2" t="inlineStr">
        <is>
          <t>My judgment; edit</t>
        </is>
      </c>
    </row>
    <row r="82">
      <c r="A82" s="2" t="inlineStr">
        <is>
          <t>Check: sum of weights</t>
        </is>
      </c>
      <c r="B82" s="39">
        <f>$B$79+$B$80+$B$81</f>
        <v/>
      </c>
      <c r="J82" s="2" t="inlineStr">
        <is>
          <t>Must equal 100%</t>
        </is>
      </c>
    </row>
    <row r="84">
      <c r="A84" s="1" t="inlineStr">
        <is>
          <t>SCENARIO DRIVERS (2027-2033). Hypothetical paths tied to product evidence; NOT forecasts I endorse</t>
        </is>
      </c>
    </row>
    <row r="85">
      <c r="A85" s="1" t="inlineStr">
        <is>
          <t>DCAI revenue growth</t>
        </is>
      </c>
      <c r="B85" s="3" t="inlineStr">
        <is>
          <t>Scenario</t>
        </is>
      </c>
      <c r="C85" s="3" t="inlineStr">
        <is>
          <t>2027</t>
        </is>
      </c>
      <c r="D85" s="3" t="inlineStr">
        <is>
          <t>2028</t>
        </is>
      </c>
      <c r="E85" s="3" t="inlineStr">
        <is>
          <t>2029</t>
        </is>
      </c>
      <c r="F85" s="3" t="inlineStr">
        <is>
          <t>2030</t>
        </is>
      </c>
      <c r="G85" s="3" t="inlineStr">
        <is>
          <t>2031</t>
        </is>
      </c>
      <c r="H85" s="3" t="inlineStr">
        <is>
          <t>2032</t>
        </is>
      </c>
      <c r="I85" s="3" t="inlineStr">
        <is>
          <t>2033</t>
        </is>
      </c>
    </row>
    <row r="86">
      <c r="A86" s="2" t="inlineStr">
        <is>
          <t xml:space="preserve">  DCAI revenue growth - Bear</t>
        </is>
      </c>
      <c r="B86" s="2" t="inlineStr">
        <is>
          <t>Bear</t>
        </is>
      </c>
      <c r="C86" s="53" t="n">
        <v>-0.12</v>
      </c>
      <c r="D86" s="53" t="n">
        <v>-0.03</v>
      </c>
      <c r="E86" s="53" t="n">
        <v>0</v>
      </c>
      <c r="F86" s="53" t="n">
        <v>0.02</v>
      </c>
      <c r="G86" s="53" t="n">
        <v>0.02</v>
      </c>
      <c r="H86" s="53" t="n">
        <v>0.02</v>
      </c>
      <c r="I86" s="53" t="n">
        <v>0.02</v>
      </c>
    </row>
    <row r="87">
      <c r="A87" s="2" t="inlineStr">
        <is>
          <t xml:space="preserve">  DCAI revenue growth - Base</t>
        </is>
      </c>
      <c r="B87" s="2" t="inlineStr">
        <is>
          <t>Base</t>
        </is>
      </c>
      <c r="C87" s="53" t="n">
        <v>0.04</v>
      </c>
      <c r="D87" s="53" t="n">
        <v>0.05</v>
      </c>
      <c r="E87" s="53" t="n">
        <v>0.06</v>
      </c>
      <c r="F87" s="53" t="n">
        <v>0.06</v>
      </c>
      <c r="G87" s="53" t="n">
        <v>0.05</v>
      </c>
      <c r="H87" s="53" t="n">
        <v>0.04</v>
      </c>
      <c r="I87" s="53" t="n">
        <v>0.04</v>
      </c>
    </row>
    <row r="88">
      <c r="A88" s="2" t="inlineStr">
        <is>
          <t xml:space="preserve">  DCAI revenue growth - Bull</t>
        </is>
      </c>
      <c r="B88" s="2" t="inlineStr">
        <is>
          <t>Bull</t>
        </is>
      </c>
      <c r="C88" s="53" t="n">
        <v>0.15</v>
      </c>
      <c r="D88" s="53" t="n">
        <v>0.12</v>
      </c>
      <c r="E88" s="53" t="n">
        <v>0.1</v>
      </c>
      <c r="F88" s="53" t="n">
        <v>0.08</v>
      </c>
      <c r="G88" s="53" t="n">
        <v>0.07000000000000001</v>
      </c>
      <c r="H88" s="53" t="n">
        <v>0.06</v>
      </c>
      <c r="I88" s="53" t="n">
        <v>0.05</v>
      </c>
    </row>
    <row r="89">
      <c r="A89" s="2" t="inlineStr">
        <is>
          <t xml:space="preserve">  Rationale: Bear: shortage ASP spike (+48% YoY in Q2-26) reverses as Venice ships Q4-26 and Diamond Rapids slips; Bull: DMR competitive + agentic CPU demand persists</t>
        </is>
      </c>
    </row>
    <row r="91">
      <c r="A91" s="1" t="inlineStr">
        <is>
          <t>CCPG (client) revenue growth</t>
        </is>
      </c>
      <c r="B91" s="3" t="inlineStr">
        <is>
          <t>Scenario</t>
        </is>
      </c>
      <c r="C91" s="3" t="inlineStr">
        <is>
          <t>2027</t>
        </is>
      </c>
      <c r="D91" s="3" t="inlineStr">
        <is>
          <t>2028</t>
        </is>
      </c>
      <c r="E91" s="3" t="inlineStr">
        <is>
          <t>2029</t>
        </is>
      </c>
      <c r="F91" s="3" t="inlineStr">
        <is>
          <t>2030</t>
        </is>
      </c>
      <c r="G91" s="3" t="inlineStr">
        <is>
          <t>2031</t>
        </is>
      </c>
      <c r="H91" s="3" t="inlineStr">
        <is>
          <t>2032</t>
        </is>
      </c>
      <c r="I91" s="3" t="inlineStr">
        <is>
          <t>2033</t>
        </is>
      </c>
    </row>
    <row r="92">
      <c r="A92" s="2" t="inlineStr">
        <is>
          <t xml:space="preserve">  CCPG (client) revenue growth - Bear</t>
        </is>
      </c>
      <c r="B92" s="2" t="inlineStr">
        <is>
          <t>Bear</t>
        </is>
      </c>
      <c r="C92" s="53" t="n">
        <v>-0.08</v>
      </c>
      <c r="D92" s="53" t="n">
        <v>-0.04</v>
      </c>
      <c r="E92" s="53" t="n">
        <v>-0.03</v>
      </c>
      <c r="F92" s="53" t="n">
        <v>-0.02</v>
      </c>
      <c r="G92" s="53" t="n">
        <v>-0.02</v>
      </c>
      <c r="H92" s="53" t="n">
        <v>-0.01</v>
      </c>
      <c r="I92" s="53" t="n">
        <v>-0.01</v>
      </c>
    </row>
    <row r="93">
      <c r="A93" s="2" t="inlineStr">
        <is>
          <t xml:space="preserve">  CCPG (client) revenue growth - Base</t>
        </is>
      </c>
      <c r="B93" s="2" t="inlineStr">
        <is>
          <t>Base</t>
        </is>
      </c>
      <c r="C93" s="53" t="n">
        <v>-0.02</v>
      </c>
      <c r="D93" s="53" t="n">
        <v>0.01</v>
      </c>
      <c r="E93" s="53" t="n">
        <v>0.02</v>
      </c>
      <c r="F93" s="53" t="n">
        <v>0.02</v>
      </c>
      <c r="G93" s="53" t="n">
        <v>0.02</v>
      </c>
      <c r="H93" s="53" t="n">
        <v>0.02</v>
      </c>
      <c r="I93" s="53" t="n">
        <v>0.02</v>
      </c>
    </row>
    <row r="94">
      <c r="A94" s="2" t="inlineStr">
        <is>
          <t xml:space="preserve">  CCPG (client) revenue growth - Bull</t>
        </is>
      </c>
      <c r="B94" s="2" t="inlineStr">
        <is>
          <t>Bull</t>
        </is>
      </c>
      <c r="C94" s="53" t="n">
        <v>0.04</v>
      </c>
      <c r="D94" s="53" t="n">
        <v>0.04</v>
      </c>
      <c r="E94" s="53" t="n">
        <v>0.03</v>
      </c>
      <c r="F94" s="53" t="n">
        <v>0.03</v>
      </c>
      <c r="G94" s="53" t="n">
        <v>0.03</v>
      </c>
      <c r="H94" s="53" t="n">
        <v>0.03</v>
      </c>
      <c r="I94" s="53" t="n">
        <v>0.03</v>
      </c>
    </row>
    <row r="95">
      <c r="A95" s="2" t="inlineStr">
        <is>
          <t xml:space="preserve">  Rationale: Mercury: AMD client share 30.3% Q2-26 and rising; Arm WoA ~3%. Bull assumes Nova Lake + NVIDIA x86 RTX SoCs hold share</t>
        </is>
      </c>
    </row>
    <row r="97">
      <c r="A97" s="1" t="inlineStr">
        <is>
          <t>External foundry + packaging revenue ($bn)</t>
        </is>
      </c>
      <c r="B97" s="3" t="inlineStr">
        <is>
          <t>Scenario</t>
        </is>
      </c>
      <c r="C97" s="3" t="inlineStr">
        <is>
          <t>2027</t>
        </is>
      </c>
      <c r="D97" s="3" t="inlineStr">
        <is>
          <t>2028</t>
        </is>
      </c>
      <c r="E97" s="3" t="inlineStr">
        <is>
          <t>2029</t>
        </is>
      </c>
      <c r="F97" s="3" t="inlineStr">
        <is>
          <t>2030</t>
        </is>
      </c>
      <c r="G97" s="3" t="inlineStr">
        <is>
          <t>2031</t>
        </is>
      </c>
      <c r="H97" s="3" t="inlineStr">
        <is>
          <t>2032</t>
        </is>
      </c>
      <c r="I97" s="3" t="inlineStr">
        <is>
          <t>2033</t>
        </is>
      </c>
    </row>
    <row r="98">
      <c r="A98" s="2" t="inlineStr">
        <is>
          <t xml:space="preserve">  External foundry + packaging revenue ($bn) - Bear</t>
        </is>
      </c>
      <c r="B98" s="2" t="inlineStr">
        <is>
          <t>Bear</t>
        </is>
      </c>
      <c r="C98" s="52" t="n">
        <v>1.3</v>
      </c>
      <c r="D98" s="52" t="n">
        <v>1.6</v>
      </c>
      <c r="E98" s="52" t="n">
        <v>2</v>
      </c>
      <c r="F98" s="52" t="n">
        <v>2.5</v>
      </c>
      <c r="G98" s="52" t="n">
        <v>3</v>
      </c>
      <c r="H98" s="52" t="n">
        <v>3.5</v>
      </c>
      <c r="I98" s="52" t="n">
        <v>4</v>
      </c>
    </row>
    <row r="99">
      <c r="A99" s="2" t="inlineStr">
        <is>
          <t xml:space="preserve">  External foundry + packaging revenue ($bn) - Base</t>
        </is>
      </c>
      <c r="B99" s="2" t="inlineStr">
        <is>
          <t>Base</t>
        </is>
      </c>
      <c r="C99" s="52" t="n">
        <v>1.8</v>
      </c>
      <c r="D99" s="52" t="n">
        <v>3.5</v>
      </c>
      <c r="E99" s="52" t="n">
        <v>6</v>
      </c>
      <c r="F99" s="52" t="n">
        <v>8.5</v>
      </c>
      <c r="G99" s="52" t="n">
        <v>11</v>
      </c>
      <c r="H99" s="52" t="n">
        <v>13</v>
      </c>
      <c r="I99" s="52" t="n">
        <v>15</v>
      </c>
    </row>
    <row r="100">
      <c r="A100" s="2" t="inlineStr">
        <is>
          <t xml:space="preserve">  External foundry + packaging revenue ($bn) - Bull</t>
        </is>
      </c>
      <c r="B100" s="2" t="inlineStr">
        <is>
          <t>Bull</t>
        </is>
      </c>
      <c r="C100" s="52" t="n">
        <v>3</v>
      </c>
      <c r="D100" s="52" t="n">
        <v>7</v>
      </c>
      <c r="E100" s="52" t="n">
        <v>12</v>
      </c>
      <c r="F100" s="52" t="n">
        <v>18</v>
      </c>
      <c r="G100" s="52" t="n">
        <v>24</v>
      </c>
      <c r="H100" s="52" t="n">
        <v>29</v>
      </c>
      <c r="I100" s="52" t="n">
        <v>33</v>
      </c>
    </row>
    <row r="101">
      <c r="A101" s="2" t="inlineStr">
        <is>
          <t xml:space="preserve">  Rationale: Today ~$1.2bn annualized, mostly Altera. Base = EMIB-T packaging + Apple 18A-P ramp. Bull = 14A anchor customer. All ABOVE Intel's historical base rate</t>
        </is>
      </c>
    </row>
    <row r="103">
      <c r="A103" s="1" t="inlineStr">
        <is>
          <t>Non-GAAP gross margin</t>
        </is>
      </c>
      <c r="B103" s="3" t="inlineStr">
        <is>
          <t>Scenario</t>
        </is>
      </c>
      <c r="C103" s="3" t="inlineStr">
        <is>
          <t>2027</t>
        </is>
      </c>
      <c r="D103" s="3" t="inlineStr">
        <is>
          <t>2028</t>
        </is>
      </c>
      <c r="E103" s="3" t="inlineStr">
        <is>
          <t>2029</t>
        </is>
      </c>
      <c r="F103" s="3" t="inlineStr">
        <is>
          <t>2030</t>
        </is>
      </c>
      <c r="G103" s="3" t="inlineStr">
        <is>
          <t>2031</t>
        </is>
      </c>
      <c r="H103" s="3" t="inlineStr">
        <is>
          <t>2032</t>
        </is>
      </c>
      <c r="I103" s="3" t="inlineStr">
        <is>
          <t>2033</t>
        </is>
      </c>
    </row>
    <row r="104">
      <c r="A104" s="2" t="inlineStr">
        <is>
          <t xml:space="preserve">  Non-GAAP gross margin - Bear</t>
        </is>
      </c>
      <c r="B104" s="2" t="inlineStr">
        <is>
          <t>Bear</t>
        </is>
      </c>
      <c r="C104" s="53" t="n">
        <v>0.39</v>
      </c>
      <c r="D104" s="53" t="n">
        <v>0.39</v>
      </c>
      <c r="E104" s="53" t="n">
        <v>0.4</v>
      </c>
      <c r="F104" s="53" t="n">
        <v>0.4</v>
      </c>
      <c r="G104" s="53" t="n">
        <v>0.4</v>
      </c>
      <c r="H104" s="53" t="n">
        <v>0.4</v>
      </c>
      <c r="I104" s="53" t="n">
        <v>0.4</v>
      </c>
    </row>
    <row r="105">
      <c r="A105" s="2" t="inlineStr">
        <is>
          <t xml:space="preserve">  Non-GAAP gross margin - Base</t>
        </is>
      </c>
      <c r="B105" s="2" t="inlineStr">
        <is>
          <t>Base</t>
        </is>
      </c>
      <c r="C105" s="53" t="n">
        <v>0.43</v>
      </c>
      <c r="D105" s="53" t="n">
        <v>0.45</v>
      </c>
      <c r="E105" s="53" t="n">
        <v>0.47</v>
      </c>
      <c r="F105" s="53" t="n">
        <v>0.48</v>
      </c>
      <c r="G105" s="53" t="n">
        <v>0.49</v>
      </c>
      <c r="H105" s="53" t="n">
        <v>0.5</v>
      </c>
      <c r="I105" s="53" t="n">
        <v>0.5</v>
      </c>
    </row>
    <row r="106">
      <c r="A106" s="2" t="inlineStr">
        <is>
          <t xml:space="preserve">  Non-GAAP gross margin - Bull</t>
        </is>
      </c>
      <c r="B106" s="2" t="inlineStr">
        <is>
          <t>Bull</t>
        </is>
      </c>
      <c r="C106" s="53" t="n">
        <v>0.46</v>
      </c>
      <c r="D106" s="53" t="n">
        <v>0.49</v>
      </c>
      <c r="E106" s="53" t="n">
        <v>0.52</v>
      </c>
      <c r="F106" s="53" t="n">
        <v>0.54</v>
      </c>
      <c r="G106" s="53" t="n">
        <v>0.55</v>
      </c>
      <c r="H106" s="53" t="n">
        <v>0.5600000000000001</v>
      </c>
      <c r="I106" s="53" t="n">
        <v>0.57</v>
      </c>
    </row>
    <row r="107">
      <c r="A107" s="2" t="inlineStr">
        <is>
          <t xml:space="preserve">  Rationale: Q2-26 41.8%. Compare TSMC 67.7% (Q2-26), Intel ~60% in the 2010s. Base requires 18A industry-standard yields in 2027 (CFO's own timeline)</t>
        </is>
      </c>
    </row>
    <row r="109">
      <c r="A109" s="1" t="inlineStr">
        <is>
          <t>Non-GAAP opex growth</t>
        </is>
      </c>
      <c r="B109" s="3" t="inlineStr">
        <is>
          <t>Scenario</t>
        </is>
      </c>
      <c r="C109" s="3" t="inlineStr">
        <is>
          <t>2027</t>
        </is>
      </c>
      <c r="D109" s="3" t="inlineStr">
        <is>
          <t>2028</t>
        </is>
      </c>
      <c r="E109" s="3" t="inlineStr">
        <is>
          <t>2029</t>
        </is>
      </c>
      <c r="F109" s="3" t="inlineStr">
        <is>
          <t>2030</t>
        </is>
      </c>
      <c r="G109" s="3" t="inlineStr">
        <is>
          <t>2031</t>
        </is>
      </c>
      <c r="H109" s="3" t="inlineStr">
        <is>
          <t>2032</t>
        </is>
      </c>
      <c r="I109" s="3" t="inlineStr">
        <is>
          <t>2033</t>
        </is>
      </c>
    </row>
    <row r="110">
      <c r="A110" s="2" t="inlineStr">
        <is>
          <t xml:space="preserve">  Non-GAAP opex growth - Bear</t>
        </is>
      </c>
      <c r="B110" s="2" t="inlineStr">
        <is>
          <t>Bear</t>
        </is>
      </c>
      <c r="C110" s="53" t="n">
        <v>0.01</v>
      </c>
      <c r="D110" s="53" t="n">
        <v>0.01</v>
      </c>
      <c r="E110" s="53" t="n">
        <v>0.01</v>
      </c>
      <c r="F110" s="53" t="n">
        <v>0.01</v>
      </c>
      <c r="G110" s="53" t="n">
        <v>0.01</v>
      </c>
      <c r="H110" s="53" t="n">
        <v>0.01</v>
      </c>
      <c r="I110" s="53" t="n">
        <v>0.01</v>
      </c>
    </row>
    <row r="111">
      <c r="A111" s="2" t="inlineStr">
        <is>
          <t xml:space="preserve">  Non-GAAP opex growth - Base</t>
        </is>
      </c>
      <c r="B111" s="2" t="inlineStr">
        <is>
          <t>Base</t>
        </is>
      </c>
      <c r="C111" s="53" t="n">
        <v>0.03</v>
      </c>
      <c r="D111" s="53" t="n">
        <v>0.03</v>
      </c>
      <c r="E111" s="53" t="n">
        <v>0.03</v>
      </c>
      <c r="F111" s="53" t="n">
        <v>0.03</v>
      </c>
      <c r="G111" s="53" t="n">
        <v>0.03</v>
      </c>
      <c r="H111" s="53" t="n">
        <v>0.03</v>
      </c>
      <c r="I111" s="53" t="n">
        <v>0.03</v>
      </c>
    </row>
    <row r="112">
      <c r="A112" s="2" t="inlineStr">
        <is>
          <t xml:space="preserve">  Non-GAAP opex growth - Bull</t>
        </is>
      </c>
      <c r="B112" s="2" t="inlineStr">
        <is>
          <t>Bull</t>
        </is>
      </c>
      <c r="C112" s="53" t="n">
        <v>0.04</v>
      </c>
      <c r="D112" s="53" t="n">
        <v>0.04</v>
      </c>
      <c r="E112" s="53" t="n">
        <v>0.04</v>
      </c>
      <c r="F112" s="53" t="n">
        <v>0.04</v>
      </c>
      <c r="G112" s="53" t="n">
        <v>0.04</v>
      </c>
      <c r="H112" s="53" t="n">
        <v>0.04</v>
      </c>
      <c r="I112" s="53" t="n">
        <v>0.04</v>
      </c>
    </row>
    <row r="113">
      <c r="A113" s="2" t="inlineStr">
        <is>
          <t xml:space="preserve">  Rationale: Bull spends more (AI GPU, foundry customer support)</t>
        </is>
      </c>
    </row>
    <row r="115">
      <c r="A115" s="1" t="inlineStr">
        <is>
          <t>China domestic end-demand revenue change per year</t>
        </is>
      </c>
      <c r="B115" s="3" t="inlineStr">
        <is>
          <t>Scenario</t>
        </is>
      </c>
      <c r="C115" s="3" t="inlineStr">
        <is>
          <t>2027</t>
        </is>
      </c>
      <c r="D115" s="3" t="inlineStr">
        <is>
          <t>2028</t>
        </is>
      </c>
      <c r="E115" s="3" t="inlineStr">
        <is>
          <t>2029</t>
        </is>
      </c>
      <c r="F115" s="3" t="inlineStr">
        <is>
          <t>2030</t>
        </is>
      </c>
      <c r="G115" s="3" t="inlineStr">
        <is>
          <t>2031</t>
        </is>
      </c>
      <c r="H115" s="3" t="inlineStr">
        <is>
          <t>2032</t>
        </is>
      </c>
      <c r="I115" s="3" t="inlineStr">
        <is>
          <t>2033</t>
        </is>
      </c>
    </row>
    <row r="116">
      <c r="A116" s="2" t="inlineStr">
        <is>
          <t xml:space="preserve">  China domestic end-demand revenue change per year - Bear</t>
        </is>
      </c>
      <c r="B116" s="2" t="inlineStr">
        <is>
          <t>Bear</t>
        </is>
      </c>
      <c r="C116" s="53" t="n">
        <v>-0.2</v>
      </c>
      <c r="D116" s="53" t="n">
        <v>-0.15</v>
      </c>
      <c r="E116" s="53" t="n">
        <v>-0.15</v>
      </c>
      <c r="F116" s="53" t="n">
        <v>-0.1</v>
      </c>
      <c r="G116" s="53" t="n">
        <v>-0.1</v>
      </c>
      <c r="H116" s="53" t="n">
        <v>-0.1</v>
      </c>
      <c r="I116" s="53" t="n">
        <v>-0.1</v>
      </c>
    </row>
    <row r="117">
      <c r="A117" s="2" t="inlineStr">
        <is>
          <t xml:space="preserve">  China domestic end-demand revenue change per year - Base</t>
        </is>
      </c>
      <c r="B117" s="2" t="inlineStr">
        <is>
          <t>Base</t>
        </is>
      </c>
      <c r="C117" s="53" t="n">
        <v>-0.08</v>
      </c>
      <c r="D117" s="53" t="n">
        <v>-0.08</v>
      </c>
      <c r="E117" s="53" t="n">
        <v>-0.07000000000000001</v>
      </c>
      <c r="F117" s="53" t="n">
        <v>-0.07000000000000001</v>
      </c>
      <c r="G117" s="53" t="n">
        <v>-0.06</v>
      </c>
      <c r="H117" s="53" t="n">
        <v>-0.06</v>
      </c>
      <c r="I117" s="53" t="n">
        <v>-0.05</v>
      </c>
    </row>
    <row r="118">
      <c r="A118" s="2" t="inlineStr">
        <is>
          <t xml:space="preserve">  China domestic end-demand revenue change per year - Bull</t>
        </is>
      </c>
      <c r="B118" s="2" t="inlineStr">
        <is>
          <t>Bull</t>
        </is>
      </c>
      <c r="C118" s="53" t="n">
        <v>-0.03</v>
      </c>
      <c r="D118" s="53" t="n">
        <v>-0.03</v>
      </c>
      <c r="E118" s="53" t="n">
        <v>-0.03</v>
      </c>
      <c r="F118" s="53" t="n">
        <v>-0.03</v>
      </c>
      <c r="G118" s="53" t="n">
        <v>-0.03</v>
      </c>
      <c r="H118" s="53" t="n">
        <v>-0.03</v>
      </c>
      <c r="I118" s="53" t="n">
        <v>-0.03</v>
      </c>
    </row>
    <row r="119">
      <c r="A119" s="2" t="inlineStr">
        <is>
          <t xml:space="preserve">  Rationale: Bear: truce lapses Nov-26, xinchuang spreads from government to SOEs/finance/telecom, and origin rule hits 18A (US-fabbed) parts. Base: steady localization. Bull: truce holds, erosion slow</t>
        </is>
      </c>
    </row>
    <row r="121">
      <c r="A121" s="1" t="inlineStr">
        <is>
          <t>Gross capex ($bn)</t>
        </is>
      </c>
      <c r="B121" s="3" t="inlineStr">
        <is>
          <t>Scenario</t>
        </is>
      </c>
      <c r="C121" s="3" t="inlineStr">
        <is>
          <t>2027</t>
        </is>
      </c>
      <c r="D121" s="3" t="inlineStr">
        <is>
          <t>2028</t>
        </is>
      </c>
      <c r="E121" s="3" t="inlineStr">
        <is>
          <t>2029</t>
        </is>
      </c>
      <c r="F121" s="3" t="inlineStr">
        <is>
          <t>2030</t>
        </is>
      </c>
      <c r="G121" s="3" t="inlineStr">
        <is>
          <t>2031</t>
        </is>
      </c>
      <c r="H121" s="3" t="inlineStr">
        <is>
          <t>2032</t>
        </is>
      </c>
      <c r="I121" s="3" t="inlineStr">
        <is>
          <t>2033</t>
        </is>
      </c>
    </row>
    <row r="122">
      <c r="A122" s="2" t="inlineStr">
        <is>
          <t xml:space="preserve">  Gross capex ($bn) - Bear</t>
        </is>
      </c>
      <c r="B122" s="2" t="inlineStr">
        <is>
          <t>Bear</t>
        </is>
      </c>
      <c r="C122" s="52" t="n">
        <v>20</v>
      </c>
      <c r="D122" s="52" t="n">
        <v>18</v>
      </c>
      <c r="E122" s="52" t="n">
        <v>16</v>
      </c>
      <c r="F122" s="52" t="n">
        <v>15</v>
      </c>
      <c r="G122" s="52" t="n">
        <v>15</v>
      </c>
      <c r="H122" s="52" t="n">
        <v>15</v>
      </c>
      <c r="I122" s="52" t="n">
        <v>15</v>
      </c>
    </row>
    <row r="123">
      <c r="A123" s="2" t="inlineStr">
        <is>
          <t xml:space="preserve">  Gross capex ($bn) - Base</t>
        </is>
      </c>
      <c r="B123" s="2" t="inlineStr">
        <is>
          <t>Base</t>
        </is>
      </c>
      <c r="C123" s="52" t="n">
        <v>26</v>
      </c>
      <c r="D123" s="52" t="n">
        <v>26</v>
      </c>
      <c r="E123" s="52" t="n">
        <v>24</v>
      </c>
      <c r="F123" s="52" t="n">
        <v>22</v>
      </c>
      <c r="G123" s="52" t="n">
        <v>20</v>
      </c>
      <c r="H123" s="52" t="n">
        <v>20</v>
      </c>
      <c r="I123" s="52" t="n">
        <v>20</v>
      </c>
    </row>
    <row r="124">
      <c r="A124" s="2" t="inlineStr">
        <is>
          <t xml:space="preserve">  Gross capex ($bn) - Bull</t>
        </is>
      </c>
      <c r="B124" s="2" t="inlineStr">
        <is>
          <t>Bull</t>
        </is>
      </c>
      <c r="C124" s="52" t="n">
        <v>30</v>
      </c>
      <c r="D124" s="52" t="n">
        <v>32</v>
      </c>
      <c r="E124" s="52" t="n">
        <v>30</v>
      </c>
      <c r="F124" s="52" t="n">
        <v>28</v>
      </c>
      <c r="G124" s="52" t="n">
        <v>26</v>
      </c>
      <c r="H124" s="52" t="n">
        <v>26</v>
      </c>
      <c r="I124" s="52" t="n">
        <v>26</v>
      </c>
    </row>
    <row r="125">
      <c r="A125" s="2" t="inlineStr">
        <is>
          <t xml:space="preserve">  Rationale: 2027 guided 'significantly above' 2026 (&gt;$20bn). Gross; excludes SCIP partner/government offsets (conservative)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Bear scenario: US$ bn</t>
        </is>
      </c>
    </row>
    <row r="3">
      <c r="A3" s="3" t="inlineStr">
        <is>
          <t>Line item</t>
        </is>
      </c>
      <c r="B3" s="3" t="inlineStr">
        <is>
          <t>2026E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  <c r="G3" s="3" t="inlineStr">
        <is>
          <t>2031</t>
        </is>
      </c>
      <c r="H3" s="3" t="inlineStr">
        <is>
          <t>2032</t>
        </is>
      </c>
      <c r="I3" s="3" t="inlineStr">
        <is>
          <t>2033</t>
        </is>
      </c>
      <c r="J3" s="3" t="inlineStr">
        <is>
          <t>Terminal</t>
        </is>
      </c>
    </row>
    <row r="4">
      <c r="A4" s="2" t="inlineStr">
        <is>
          <t>Discount period (yrs from 30 Sep 2026)</t>
        </is>
      </c>
      <c r="C4" s="27">
        <f>Inputs!$B$67+1</f>
        <v/>
      </c>
      <c r="D4" s="27">
        <f>Inputs!$B$67+2</f>
        <v/>
      </c>
      <c r="E4" s="27">
        <f>Inputs!$B$67+3</f>
        <v/>
      </c>
      <c r="F4" s="27">
        <f>Inputs!$B$67+4</f>
        <v/>
      </c>
      <c r="G4" s="27">
        <f>Inputs!$B$67+5</f>
        <v/>
      </c>
      <c r="H4" s="27">
        <f>Inputs!$B$67+6</f>
        <v/>
      </c>
      <c r="I4" s="27">
        <f>Inputs!$B$67+7</f>
        <v/>
      </c>
    </row>
    <row r="5">
      <c r="A5" s="2" t="inlineStr">
        <is>
          <t>DCAI (server/data center) revenue</t>
        </is>
      </c>
      <c r="B5" s="36">
        <f>Inputs!$B$38</f>
        <v/>
      </c>
      <c r="C5" s="38">
        <f>B5*(1+C6)</f>
        <v/>
      </c>
      <c r="D5" s="38">
        <f>C5*(1+D6)</f>
        <v/>
      </c>
      <c r="E5" s="38">
        <f>D5*(1+E6)</f>
        <v/>
      </c>
      <c r="F5" s="38">
        <f>E5*(1+F6)</f>
        <v/>
      </c>
      <c r="G5" s="38">
        <f>F5*(1+G6)</f>
        <v/>
      </c>
      <c r="H5" s="38">
        <f>G5*(1+H6)</f>
        <v/>
      </c>
      <c r="I5" s="38">
        <f>H5*(1+I6)</f>
        <v/>
      </c>
    </row>
    <row r="6">
      <c r="A6" s="2" t="inlineStr">
        <is>
          <t xml:space="preserve">  growth</t>
        </is>
      </c>
      <c r="C6" s="32">
        <f>Inputs!C86+Inputs!$B$72</f>
        <v/>
      </c>
      <c r="D6" s="32">
        <f>Inputs!D86+Inputs!$B$72</f>
        <v/>
      </c>
      <c r="E6" s="32">
        <f>Inputs!E86+Inputs!$B$72</f>
        <v/>
      </c>
      <c r="F6" s="32">
        <f>Inputs!F86+Inputs!$B$72</f>
        <v/>
      </c>
      <c r="G6" s="32">
        <f>Inputs!G86+Inputs!$B$72</f>
        <v/>
      </c>
      <c r="H6" s="32">
        <f>Inputs!H86+Inputs!$B$72</f>
        <v/>
      </c>
      <c r="I6" s="32">
        <f>Inputs!I86+Inputs!$B$72</f>
        <v/>
      </c>
    </row>
    <row r="7">
      <c r="A7" s="2" t="inlineStr">
        <is>
          <t>CCPG (client) revenue</t>
        </is>
      </c>
      <c r="B7" s="36">
        <f>Inputs!$B$39</f>
        <v/>
      </c>
      <c r="C7" s="38">
        <f>B7*(1+C8)</f>
        <v/>
      </c>
      <c r="D7" s="38">
        <f>C7*(1+D8)</f>
        <v/>
      </c>
      <c r="E7" s="38">
        <f>D7*(1+E8)</f>
        <v/>
      </c>
      <c r="F7" s="38">
        <f>E7*(1+F8)</f>
        <v/>
      </c>
      <c r="G7" s="38">
        <f>F7*(1+G8)</f>
        <v/>
      </c>
      <c r="H7" s="38">
        <f>G7*(1+H8)</f>
        <v/>
      </c>
      <c r="I7" s="38">
        <f>H7*(1+I8)</f>
        <v/>
      </c>
    </row>
    <row r="8">
      <c r="A8" s="2" t="inlineStr">
        <is>
          <t xml:space="preserve">  growth</t>
        </is>
      </c>
      <c r="C8" s="32">
        <f>Inputs!C92</f>
        <v/>
      </c>
      <c r="D8" s="32">
        <f>Inputs!D92</f>
        <v/>
      </c>
      <c r="E8" s="32">
        <f>Inputs!E92</f>
        <v/>
      </c>
      <c r="F8" s="32">
        <f>Inputs!F92</f>
        <v/>
      </c>
      <c r="G8" s="32">
        <f>Inputs!G92</f>
        <v/>
      </c>
      <c r="H8" s="32">
        <f>Inputs!H92</f>
        <v/>
      </c>
      <c r="I8" s="32">
        <f>Inputs!I92</f>
        <v/>
      </c>
    </row>
    <row r="9">
      <c r="A9" s="2" t="inlineStr">
        <is>
          <t>External foundry + packaging revenue</t>
        </is>
      </c>
      <c r="B9" s="36">
        <f>Inputs!$B$40</f>
        <v/>
      </c>
      <c r="C9" s="36">
        <f>Inputs!C98*Inputs!$B$73</f>
        <v/>
      </c>
      <c r="D9" s="36">
        <f>Inputs!D98*Inputs!$B$73</f>
        <v/>
      </c>
      <c r="E9" s="36">
        <f>Inputs!E98*Inputs!$B$73</f>
        <v/>
      </c>
      <c r="F9" s="36">
        <f>Inputs!F98*Inputs!$B$73</f>
        <v/>
      </c>
      <c r="G9" s="36">
        <f>Inputs!G98*Inputs!$B$73</f>
        <v/>
      </c>
      <c r="H9" s="36">
        <f>Inputs!H98*Inputs!$B$73</f>
        <v/>
      </c>
      <c r="I9" s="36">
        <f>Inputs!I98*Inputs!$B$73</f>
        <v/>
      </c>
    </row>
    <row r="10">
      <c r="A10" s="2" t="inlineStr">
        <is>
          <t>Other revenue (Mobileye etc.)</t>
        </is>
      </c>
      <c r="B10" s="36">
        <f>Inputs!$B$41</f>
        <v/>
      </c>
      <c r="C10" s="38">
        <f>B10*(1+Inputs!$B$68)</f>
        <v/>
      </c>
      <c r="D10" s="38">
        <f>C10*(1+Inputs!$B$68)</f>
        <v/>
      </c>
      <c r="E10" s="38">
        <f>D10*(1+Inputs!$B$68)</f>
        <v/>
      </c>
      <c r="F10" s="38">
        <f>E10*(1+Inputs!$B$68)</f>
        <v/>
      </c>
      <c r="G10" s="38">
        <f>F10*(1+Inputs!$B$68)</f>
        <v/>
      </c>
      <c r="H10" s="38">
        <f>G10*(1+Inputs!$B$68)</f>
        <v/>
      </c>
      <c r="I10" s="38">
        <f>H10*(1+Inputs!$B$68)</f>
        <v/>
      </c>
    </row>
    <row r="11">
      <c r="A11" s="2" t="inlineStr">
        <is>
          <t>China domestic-demand revenue exposed (pre-erosion)</t>
        </is>
      </c>
      <c r="B11" s="38">
        <f>(B5+B7)*Inputs!$B$49*Inputs!$B$50</f>
        <v/>
      </c>
      <c r="C11" s="38">
        <f>(C5+C7)*Inputs!$B$49*Inputs!$B$50</f>
        <v/>
      </c>
      <c r="D11" s="38">
        <f>(D5+D7)*Inputs!$B$49*Inputs!$B$50</f>
        <v/>
      </c>
      <c r="E11" s="38">
        <f>(E5+E7)*Inputs!$B$49*Inputs!$B$50</f>
        <v/>
      </c>
      <c r="F11" s="38">
        <f>(F5+F7)*Inputs!$B$49*Inputs!$B$50</f>
        <v/>
      </c>
      <c r="G11" s="38">
        <f>(G5+G7)*Inputs!$B$49*Inputs!$B$50</f>
        <v/>
      </c>
      <c r="H11" s="38">
        <f>(H5+H7)*Inputs!$B$49*Inputs!$B$50</f>
        <v/>
      </c>
      <c r="I11" s="38">
        <f>(I5+I7)*Inputs!$B$49*Inputs!$B$50</f>
        <v/>
      </c>
    </row>
    <row r="12">
      <c r="A12" s="2" t="inlineStr">
        <is>
          <t xml:space="preserve">  China erosion index (2026 = 1.00)</t>
        </is>
      </c>
      <c r="B12" s="26" t="n">
        <v>1</v>
      </c>
      <c r="C12" s="27">
        <f>MAX(0,B12*(1+Inputs!C116+Inputs!$B$75))</f>
        <v/>
      </c>
      <c r="D12" s="27">
        <f>MAX(0,C12*(1+Inputs!D116+Inputs!$B$75))</f>
        <v/>
      </c>
      <c r="E12" s="27">
        <f>MAX(0,D12*(1+Inputs!E116+Inputs!$B$75))</f>
        <v/>
      </c>
      <c r="F12" s="27">
        <f>MAX(0,E12*(1+Inputs!F116+Inputs!$B$75))</f>
        <v/>
      </c>
      <c r="G12" s="27">
        <f>MAX(0,F12*(1+Inputs!G116+Inputs!$B$75))</f>
        <v/>
      </c>
      <c r="H12" s="27">
        <f>MAX(0,G12*(1+Inputs!H116+Inputs!$B$75))</f>
        <v/>
      </c>
      <c r="I12" s="27">
        <f>MAX(0,H12*(1+Inputs!I116+Inputs!$B$75))</f>
        <v/>
      </c>
    </row>
    <row r="13">
      <c r="A13" s="2" t="inlineStr">
        <is>
          <t>Less: China localization / trade revenue loss</t>
        </is>
      </c>
      <c r="B13" s="38">
        <f>-B11*(1-B12)</f>
        <v/>
      </c>
      <c r="C13" s="38">
        <f>-C11*(1-C12)</f>
        <v/>
      </c>
      <c r="D13" s="38">
        <f>-D11*(1-D12)</f>
        <v/>
      </c>
      <c r="E13" s="38">
        <f>-E11*(1-E12)</f>
        <v/>
      </c>
      <c r="F13" s="38">
        <f>-F11*(1-F12)</f>
        <v/>
      </c>
      <c r="G13" s="38">
        <f>-G11*(1-G12)</f>
        <v/>
      </c>
      <c r="H13" s="38">
        <f>-H11*(1-H12)</f>
        <v/>
      </c>
      <c r="I13" s="38">
        <f>-I11*(1-I12)</f>
        <v/>
      </c>
    </row>
    <row r="14">
      <c r="A14" s="28" t="inlineStr">
        <is>
          <t>Total revenue</t>
        </is>
      </c>
      <c r="B14" s="54">
        <f>SUM(B5,B7,B9,B10,B13)</f>
        <v/>
      </c>
      <c r="C14" s="54">
        <f>SUM(C5,C7,C9,C10,C13)</f>
        <v/>
      </c>
      <c r="D14" s="54">
        <f>SUM(D5,D7,D9,D10,D13)</f>
        <v/>
      </c>
      <c r="E14" s="54">
        <f>SUM(E5,E7,E9,E10,E13)</f>
        <v/>
      </c>
      <c r="F14" s="54">
        <f>SUM(F5,F7,F9,F10,F13)</f>
        <v/>
      </c>
      <c r="G14" s="54">
        <f>SUM(G5,G7,G9,G10,G13)</f>
        <v/>
      </c>
      <c r="H14" s="54">
        <f>SUM(H5,H7,H9,H10,H13)</f>
        <v/>
      </c>
      <c r="I14" s="54">
        <f>SUM(I5,I7,I9,I10,I13)</f>
        <v/>
      </c>
      <c r="J14" s="54">
        <f>I14*(1+Inputs!$B$63)</f>
        <v/>
      </c>
    </row>
    <row r="15">
      <c r="A15" s="2" t="inlineStr">
        <is>
          <t xml:space="preserve">  growth</t>
        </is>
      </c>
      <c r="C15" s="39">
        <f>IF(B14=0,0,C14/B14-1)</f>
        <v/>
      </c>
      <c r="D15" s="39">
        <f>IF(C14=0,0,D14/C14-1)</f>
        <v/>
      </c>
      <c r="E15" s="39">
        <f>IF(D14=0,0,E14/D14-1)</f>
        <v/>
      </c>
      <c r="F15" s="39">
        <f>IF(E14=0,0,F14/E14-1)</f>
        <v/>
      </c>
      <c r="G15" s="39">
        <f>IF(F14=0,0,G14/F14-1)</f>
        <v/>
      </c>
      <c r="H15" s="39">
        <f>IF(G14=0,0,H14/G14-1)</f>
        <v/>
      </c>
      <c r="I15" s="39">
        <f>IF(H14=0,0,I14/H14-1)</f>
        <v/>
      </c>
    </row>
    <row r="16">
      <c r="A16" s="2" t="inlineStr">
        <is>
          <t>Non-GAAP gross margin</t>
        </is>
      </c>
      <c r="B16" s="32">
        <f>Inputs!$B$32+Inputs!$B$71</f>
        <v/>
      </c>
      <c r="C16" s="32">
        <f>Inputs!C104+Inputs!$B$71</f>
        <v/>
      </c>
      <c r="D16" s="32">
        <f>Inputs!D104+Inputs!$B$71</f>
        <v/>
      </c>
      <c r="E16" s="32">
        <f>Inputs!E104+Inputs!$B$71</f>
        <v/>
      </c>
      <c r="F16" s="32">
        <f>Inputs!F104+Inputs!$B$71</f>
        <v/>
      </c>
      <c r="G16" s="32">
        <f>Inputs!G104+Inputs!$B$71</f>
        <v/>
      </c>
      <c r="H16" s="32">
        <f>Inputs!H104+Inputs!$B$71</f>
        <v/>
      </c>
      <c r="I16" s="32">
        <f>Inputs!I104+Inputs!$B$71</f>
        <v/>
      </c>
    </row>
    <row r="17">
      <c r="A17" s="2" t="inlineStr">
        <is>
          <t>Gross profit</t>
        </is>
      </c>
      <c r="B17" s="38">
        <f>B14*B16</f>
        <v/>
      </c>
      <c r="C17" s="38">
        <f>C14*C16</f>
        <v/>
      </c>
      <c r="D17" s="38">
        <f>D14*D16</f>
        <v/>
      </c>
      <c r="E17" s="38">
        <f>E14*E16</f>
        <v/>
      </c>
      <c r="F17" s="38">
        <f>F14*F16</f>
        <v/>
      </c>
      <c r="G17" s="38">
        <f>G14*G16</f>
        <v/>
      </c>
      <c r="H17" s="38">
        <f>H14*H16</f>
        <v/>
      </c>
      <c r="I17" s="38">
        <f>I14*I16</f>
        <v/>
      </c>
    </row>
    <row r="18">
      <c r="A18" s="2" t="inlineStr">
        <is>
          <t>Non-GAAP opex</t>
        </is>
      </c>
      <c r="B18" s="36">
        <f>Inputs!$B$33</f>
        <v/>
      </c>
      <c r="C18" s="38">
        <f>B18*(1+Inputs!C110)</f>
        <v/>
      </c>
      <c r="D18" s="38">
        <f>C18*(1+Inputs!D110)</f>
        <v/>
      </c>
      <c r="E18" s="38">
        <f>D18*(1+Inputs!E110)</f>
        <v/>
      </c>
      <c r="F18" s="38">
        <f>E18*(1+Inputs!F110)</f>
        <v/>
      </c>
      <c r="G18" s="38">
        <f>F18*(1+Inputs!G110)</f>
        <v/>
      </c>
      <c r="H18" s="38">
        <f>G18*(1+Inputs!H110)</f>
        <v/>
      </c>
      <c r="I18" s="38">
        <f>H18*(1+Inputs!I110)</f>
        <v/>
      </c>
    </row>
    <row r="19">
      <c r="A19" s="28" t="inlineStr">
        <is>
          <t>Non-GAAP operating income</t>
        </is>
      </c>
      <c r="B19" s="54">
        <f>B17-B18</f>
        <v/>
      </c>
      <c r="C19" s="54">
        <f>C17-C18</f>
        <v/>
      </c>
      <c r="D19" s="54">
        <f>D17-D18</f>
        <v/>
      </c>
      <c r="E19" s="54">
        <f>E17-E18</f>
        <v/>
      </c>
      <c r="F19" s="54">
        <f>F17-F18</f>
        <v/>
      </c>
      <c r="G19" s="54">
        <f>G17-G18</f>
        <v/>
      </c>
      <c r="H19" s="54">
        <f>H17-H18</f>
        <v/>
      </c>
      <c r="I19" s="54">
        <f>I17-I18</f>
        <v/>
      </c>
      <c r="J19" s="30" t="n"/>
    </row>
    <row r="20">
      <c r="A20" s="2" t="inlineStr">
        <is>
          <t xml:space="preserve">  operating margin</t>
        </is>
      </c>
      <c r="B20" s="39">
        <f>IF(B14=0,0,B19/B14)</f>
        <v/>
      </c>
      <c r="C20" s="39">
        <f>IF(C14=0,0,C19/C14)</f>
        <v/>
      </c>
      <c r="D20" s="39">
        <f>IF(D14=0,0,D19/D14)</f>
        <v/>
      </c>
      <c r="E20" s="39">
        <f>IF(E14=0,0,E19/E14)</f>
        <v/>
      </c>
      <c r="F20" s="39">
        <f>IF(F14=0,0,F19/F14)</f>
        <v/>
      </c>
      <c r="G20" s="39">
        <f>IF(G14=0,0,G19/G14)</f>
        <v/>
      </c>
      <c r="H20" s="39">
        <f>IF(H14=0,0,H19/H14)</f>
        <v/>
      </c>
      <c r="I20" s="39">
        <f>IF(I14=0,0,I19/I14)</f>
        <v/>
      </c>
    </row>
    <row r="21">
      <c r="A21" s="2" t="inlineStr">
        <is>
          <t>Stock-based compensation</t>
        </is>
      </c>
      <c r="B21" s="36">
        <f>Inputs!$B$34</f>
        <v/>
      </c>
      <c r="C21" s="38">
        <f>B21*(1+Inputs!C110)</f>
        <v/>
      </c>
      <c r="D21" s="38">
        <f>C21*(1+Inputs!D110)</f>
        <v/>
      </c>
      <c r="E21" s="38">
        <f>D21*(1+Inputs!E110)</f>
        <v/>
      </c>
      <c r="F21" s="38">
        <f>E21*(1+Inputs!F110)</f>
        <v/>
      </c>
      <c r="G21" s="38">
        <f>F21*(1+Inputs!G110)</f>
        <v/>
      </c>
      <c r="H21" s="38">
        <f>G21*(1+Inputs!H110)</f>
        <v/>
      </c>
      <c r="I21" s="38">
        <f>H21*(1+Inputs!I110)</f>
        <v/>
      </c>
    </row>
    <row r="22">
      <c r="A22" s="2" t="inlineStr">
        <is>
          <t>EBIT after SBC</t>
        </is>
      </c>
      <c r="C22" s="38">
        <f>C19-C21</f>
        <v/>
      </c>
      <c r="D22" s="38">
        <f>D19-D21</f>
        <v/>
      </c>
      <c r="E22" s="38">
        <f>E19-E21</f>
        <v/>
      </c>
      <c r="F22" s="38">
        <f>F19-F21</f>
        <v/>
      </c>
      <c r="G22" s="38">
        <f>G19-G21</f>
        <v/>
      </c>
      <c r="H22" s="38">
        <f>H19-H21</f>
        <v/>
      </c>
      <c r="I22" s="38">
        <f>I19-I21</f>
        <v/>
      </c>
    </row>
    <row r="23">
      <c r="A23" s="2" t="inlineStr">
        <is>
          <t>Taxes on EBIT</t>
        </is>
      </c>
      <c r="C23" s="38">
        <f>MAX(0,C22)*Inputs!$B$60</f>
        <v/>
      </c>
      <c r="D23" s="38">
        <f>MAX(0,D22)*Inputs!$B$60</f>
        <v/>
      </c>
      <c r="E23" s="38">
        <f>MAX(0,E22)*Inputs!$B$60</f>
        <v/>
      </c>
      <c r="F23" s="38">
        <f>MAX(0,F22)*Inputs!$B$60</f>
        <v/>
      </c>
      <c r="G23" s="38">
        <f>MAX(0,G22)*Inputs!$B$60</f>
        <v/>
      </c>
      <c r="H23" s="38">
        <f>MAX(0,H22)*Inputs!$B$60</f>
        <v/>
      </c>
      <c r="I23" s="38">
        <f>MAX(0,I22)*Inputs!$B$60</f>
        <v/>
      </c>
    </row>
    <row r="24">
      <c r="A24" s="2" t="inlineStr">
        <is>
          <t>NOPAT</t>
        </is>
      </c>
      <c r="C24" s="38">
        <f>C22-C23</f>
        <v/>
      </c>
      <c r="D24" s="38">
        <f>D22-D23</f>
        <v/>
      </c>
      <c r="E24" s="38">
        <f>E22-E23</f>
        <v/>
      </c>
      <c r="F24" s="38">
        <f>F22-F23</f>
        <v/>
      </c>
      <c r="G24" s="38">
        <f>G22-G23</f>
        <v/>
      </c>
      <c r="H24" s="38">
        <f>H22-H23</f>
        <v/>
      </c>
      <c r="I24" s="38">
        <f>I22-I23</f>
        <v/>
      </c>
      <c r="J24" s="38">
        <f>I24*(1+Inputs!$B$63)</f>
        <v/>
      </c>
    </row>
    <row r="25">
      <c r="A25" s="2" t="inlineStr">
        <is>
          <t>D&amp;A</t>
        </is>
      </c>
      <c r="B25" s="36">
        <f>Inputs!$B$35</f>
        <v/>
      </c>
      <c r="C25" s="38">
        <f>B25+Inputs!$B$66*(B26-B25)</f>
        <v/>
      </c>
      <c r="D25" s="38">
        <f>C25+Inputs!$B$66*(C26-C25)</f>
        <v/>
      </c>
      <c r="E25" s="38">
        <f>D25+Inputs!$B$66*(D26-D25)</f>
        <v/>
      </c>
      <c r="F25" s="38">
        <f>E25+Inputs!$B$66*(E26-E25)</f>
        <v/>
      </c>
      <c r="G25" s="38">
        <f>F25+Inputs!$B$66*(F26-F25)</f>
        <v/>
      </c>
      <c r="H25" s="38">
        <f>G25+Inputs!$B$66*(G26-G25)</f>
        <v/>
      </c>
      <c r="I25" s="38">
        <f>H25+Inputs!$B$66*(H26-H25)</f>
        <v/>
      </c>
      <c r="J25" s="38">
        <f>I25*(1+Inputs!$B$63)</f>
        <v/>
      </c>
    </row>
    <row r="26">
      <c r="A26" s="2" t="inlineStr">
        <is>
          <t>Capex</t>
        </is>
      </c>
      <c r="B26" s="36">
        <f>Inputs!$B$36</f>
        <v/>
      </c>
      <c r="C26" s="36">
        <f>Inputs!C122*Inputs!$B$74</f>
        <v/>
      </c>
      <c r="D26" s="36">
        <f>Inputs!D122*Inputs!$B$74</f>
        <v/>
      </c>
      <c r="E26" s="36">
        <f>Inputs!E122*Inputs!$B$74</f>
        <v/>
      </c>
      <c r="F26" s="36">
        <f>Inputs!F122*Inputs!$B$74</f>
        <v/>
      </c>
      <c r="G26" s="36">
        <f>Inputs!G122*Inputs!$B$74</f>
        <v/>
      </c>
      <c r="H26" s="36">
        <f>Inputs!H122*Inputs!$B$74</f>
        <v/>
      </c>
      <c r="I26" s="36">
        <f>Inputs!I122*Inputs!$B$74</f>
        <v/>
      </c>
      <c r="J26" s="38">
        <f>J25*Inputs!$B$64</f>
        <v/>
      </c>
    </row>
    <row r="27">
      <c r="A27" s="2" t="inlineStr">
        <is>
          <t>Change in net working capital</t>
        </is>
      </c>
      <c r="C27" s="38">
        <f>Inputs!$B$65*(C14-B14)</f>
        <v/>
      </c>
      <c r="D27" s="38">
        <f>Inputs!$B$65*(D14-C14)</f>
        <v/>
      </c>
      <c r="E27" s="38">
        <f>Inputs!$B$65*(E14-D14)</f>
        <v/>
      </c>
      <c r="F27" s="38">
        <f>Inputs!$B$65*(F14-E14)</f>
        <v/>
      </c>
      <c r="G27" s="38">
        <f>Inputs!$B$65*(G14-F14)</f>
        <v/>
      </c>
      <c r="H27" s="38">
        <f>Inputs!$B$65*(H14-G14)</f>
        <v/>
      </c>
      <c r="I27" s="38">
        <f>Inputs!$B$65*(I14-H14)</f>
        <v/>
      </c>
      <c r="J27" s="38">
        <f>Inputs!$B$65*(J14-I14)</f>
        <v/>
      </c>
    </row>
    <row r="28">
      <c r="A28" s="28" t="inlineStr">
        <is>
          <t>Unlevered free cash flow</t>
        </is>
      </c>
      <c r="B28" s="30" t="n"/>
      <c r="C28" s="54">
        <f>C24+C25-C26-C27</f>
        <v/>
      </c>
      <c r="D28" s="54">
        <f>D24+D25-D26-D27</f>
        <v/>
      </c>
      <c r="E28" s="54">
        <f>E24+E25-E26-E27</f>
        <v/>
      </c>
      <c r="F28" s="54">
        <f>F24+F25-F26-F27</f>
        <v/>
      </c>
      <c r="G28" s="54">
        <f>G24+G25-G26-G27</f>
        <v/>
      </c>
      <c r="H28" s="54">
        <f>H24+H25-H26-H27</f>
        <v/>
      </c>
      <c r="I28" s="54">
        <f>I24+I25-I26-I27</f>
        <v/>
      </c>
      <c r="J28" s="54">
        <f>J24+J25-J26-J27</f>
        <v/>
      </c>
    </row>
    <row r="29">
      <c r="A29" s="2" t="inlineStr">
        <is>
          <t xml:space="preserve">  FCF margin</t>
        </is>
      </c>
      <c r="C29" s="39">
        <f>IF(C14=0,0,C28/C14)</f>
        <v/>
      </c>
      <c r="D29" s="39">
        <f>IF(D14=0,0,D28/D14)</f>
        <v/>
      </c>
      <c r="E29" s="39">
        <f>IF(E14=0,0,E28/E14)</f>
        <v/>
      </c>
      <c r="F29" s="39">
        <f>IF(F14=0,0,F28/F14)</f>
        <v/>
      </c>
      <c r="G29" s="39">
        <f>IF(G14=0,0,G28/G14)</f>
        <v/>
      </c>
      <c r="H29" s="39">
        <f>IF(H14=0,0,H28/H14)</f>
        <v/>
      </c>
      <c r="I29" s="39">
        <f>IF(I14=0,0,I28/I14)</f>
        <v/>
      </c>
      <c r="J29" s="39">
        <f>IF(J14=0,0,J28/J14)</f>
        <v/>
      </c>
    </row>
    <row r="30">
      <c r="A30" s="2" t="inlineStr">
        <is>
          <t>Discount factor</t>
        </is>
      </c>
      <c r="C30" s="31">
        <f>1/(1+Inputs!$B$62)^C4</f>
        <v/>
      </c>
      <c r="D30" s="31">
        <f>1/(1+Inputs!$B$62)^D4</f>
        <v/>
      </c>
      <c r="E30" s="31">
        <f>1/(1+Inputs!$B$62)^E4</f>
        <v/>
      </c>
      <c r="F30" s="31">
        <f>1/(1+Inputs!$B$62)^F4</f>
        <v/>
      </c>
      <c r="G30" s="31">
        <f>1/(1+Inputs!$B$62)^G4</f>
        <v/>
      </c>
      <c r="H30" s="31">
        <f>1/(1+Inputs!$B$62)^H4</f>
        <v/>
      </c>
      <c r="I30" s="31">
        <f>1/(1+Inputs!$B$62)^I4</f>
        <v/>
      </c>
    </row>
    <row r="31">
      <c r="A31" s="2" t="inlineStr">
        <is>
          <t>PV of FCF</t>
        </is>
      </c>
      <c r="C31" s="38">
        <f>C28*C30</f>
        <v/>
      </c>
      <c r="D31" s="38">
        <f>D28*D30</f>
        <v/>
      </c>
      <c r="E31" s="38">
        <f>E28*E30</f>
        <v/>
      </c>
      <c r="F31" s="38">
        <f>F28*F30</f>
        <v/>
      </c>
      <c r="G31" s="38">
        <f>G28*G30</f>
        <v/>
      </c>
      <c r="H31" s="38">
        <f>H28*H30</f>
        <v/>
      </c>
      <c r="I31" s="38">
        <f>I28*I30</f>
        <v/>
      </c>
    </row>
    <row r="33">
      <c r="A33" s="1" t="inlineStr">
        <is>
          <t>VALUATION (value per share floored at $0: equity has limited liability)</t>
        </is>
      </c>
    </row>
    <row r="34">
      <c r="A34" s="2" t="inlineStr">
        <is>
          <t>Sum of PV of explicit FCF (2027-2033)</t>
        </is>
      </c>
      <c r="B34" s="38">
        <f>SUM(C31:I31)</f>
        <v/>
      </c>
    </row>
    <row r="35">
      <c r="A35" s="2" t="inlineStr">
        <is>
          <t>Terminal value at end-2033</t>
        </is>
      </c>
      <c r="B35" s="38">
        <f>IF(Inputs!$B$62&lt;=Inputs!$B$63,0,J28/(Inputs!$B$62-Inputs!$B$63))</f>
        <v/>
      </c>
    </row>
    <row r="36">
      <c r="A36" s="2" t="inlineStr">
        <is>
          <t>PV of terminal value</t>
        </is>
      </c>
      <c r="B36" s="38">
        <f>B35*I30</f>
        <v/>
      </c>
    </row>
    <row r="37">
      <c r="A37" s="1" t="inlineStr">
        <is>
          <t>Enterprise value</t>
        </is>
      </c>
      <c r="B37" s="38">
        <f>B34+B36</f>
        <v/>
      </c>
    </row>
    <row r="38">
      <c r="A38" s="2" t="inlineStr">
        <is>
          <t>+ Net cash (incl. Aug-26 raise)</t>
        </is>
      </c>
      <c r="B38" s="36">
        <f>Inputs!$B$16</f>
        <v/>
      </c>
    </row>
    <row r="39">
      <c r="A39" s="2" t="inlineStr">
        <is>
          <t>+ Altera stake</t>
        </is>
      </c>
      <c r="B39" s="36">
        <f>Inputs!$B$14</f>
        <v/>
      </c>
    </row>
    <row r="40">
      <c r="A40" s="2" t="inlineStr">
        <is>
          <t>- Non-controlling interests</t>
        </is>
      </c>
      <c r="B40" s="36">
        <f>-Inputs!$B$15</f>
        <v/>
      </c>
    </row>
    <row r="41">
      <c r="A41" s="1" t="inlineStr">
        <is>
          <t>Equity value</t>
        </is>
      </c>
      <c r="B41" s="38">
        <f>B37+B38+B39+B40</f>
        <v/>
      </c>
    </row>
    <row r="42">
      <c r="A42" s="2" t="inlineStr">
        <is>
          <t>Diluted shares (bn)</t>
        </is>
      </c>
      <c r="B42" s="37">
        <f>Inputs!$B$9</f>
        <v/>
      </c>
    </row>
    <row r="43">
      <c r="A43" s="1" t="inlineStr">
        <is>
          <t>Value per share ($)</t>
        </is>
      </c>
      <c r="B43" s="34">
        <f>IF(B42=0,0,MAX(0,B41/B42))</f>
        <v/>
      </c>
    </row>
    <row r="44">
      <c r="A44" s="2" t="inlineStr">
        <is>
          <t>Current share price ($)</t>
        </is>
      </c>
      <c r="B44" s="33">
        <f>Inputs!$B$4</f>
        <v/>
      </c>
    </row>
    <row r="45">
      <c r="A45" s="2" t="inlineStr">
        <is>
          <t>Upside / (downside) vs price</t>
        </is>
      </c>
      <c r="B45" s="39">
        <f>IF(B44=0,0,B43/B44-1)</f>
        <v/>
      </c>
    </row>
    <row r="46">
      <c r="A46" s="2" t="inlineStr">
        <is>
          <t>Terminal value as % of EV</t>
        </is>
      </c>
      <c r="B46" s="39">
        <f>IF(B37=0,0,B36/B37)</f>
        <v/>
      </c>
    </row>
    <row r="47">
      <c r="A47" s="2" t="inlineStr">
        <is>
          <t>Implied P/E on 2027 NOPAT/share at value</t>
        </is>
      </c>
      <c r="B47" s="11">
        <f>IF(C24&lt;=0,0,B43/(C24/B42))</f>
        <v/>
      </c>
    </row>
    <row r="48">
      <c r="A48" s="2" t="inlineStr">
        <is>
          <t>Market P/E on 2027 NOPAT/share</t>
        </is>
      </c>
      <c r="B48" s="11">
        <f>IF(C24&lt;=0,0,B44/(C24/B42))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Base scenario: US$ bn</t>
        </is>
      </c>
    </row>
    <row r="2"/>
    <row r="3">
      <c r="A3" s="3" t="inlineStr">
        <is>
          <t>Line item</t>
        </is>
      </c>
      <c r="B3" s="3" t="inlineStr">
        <is>
          <t>2026E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  <c r="G3" s="3" t="inlineStr">
        <is>
          <t>2031</t>
        </is>
      </c>
      <c r="H3" s="3" t="inlineStr">
        <is>
          <t>2032</t>
        </is>
      </c>
      <c r="I3" s="3" t="inlineStr">
        <is>
          <t>2033</t>
        </is>
      </c>
      <c r="J3" s="3" t="inlineStr">
        <is>
          <t>Terminal</t>
        </is>
      </c>
    </row>
    <row r="4">
      <c r="A4" s="2" t="inlineStr">
        <is>
          <t>Discount period (yrs from 30 Sep 2026)</t>
        </is>
      </c>
      <c r="C4" s="27">
        <f>Inputs!$B$67+1</f>
        <v/>
      </c>
      <c r="D4" s="27">
        <f>Inputs!$B$67+2</f>
        <v/>
      </c>
      <c r="E4" s="27">
        <f>Inputs!$B$67+3</f>
        <v/>
      </c>
      <c r="F4" s="27">
        <f>Inputs!$B$67+4</f>
        <v/>
      </c>
      <c r="G4" s="27">
        <f>Inputs!$B$67+5</f>
        <v/>
      </c>
      <c r="H4" s="27">
        <f>Inputs!$B$67+6</f>
        <v/>
      </c>
      <c r="I4" s="27">
        <f>Inputs!$B$67+7</f>
        <v/>
      </c>
    </row>
    <row r="5">
      <c r="A5" s="2" t="inlineStr">
        <is>
          <t>DCAI (server/data center) revenue</t>
        </is>
      </c>
      <c r="B5" s="36">
        <f>Inputs!$B$38</f>
        <v/>
      </c>
      <c r="C5" s="38">
        <f>B5*(1+C6)</f>
        <v/>
      </c>
      <c r="D5" s="38">
        <f>C5*(1+D6)</f>
        <v/>
      </c>
      <c r="E5" s="38">
        <f>D5*(1+E6)</f>
        <v/>
      </c>
      <c r="F5" s="38">
        <f>E5*(1+F6)</f>
        <v/>
      </c>
      <c r="G5" s="38">
        <f>F5*(1+G6)</f>
        <v/>
      </c>
      <c r="H5" s="38">
        <f>G5*(1+H6)</f>
        <v/>
      </c>
      <c r="I5" s="38">
        <f>H5*(1+I6)</f>
        <v/>
      </c>
    </row>
    <row r="6">
      <c r="A6" s="2" t="inlineStr">
        <is>
          <t xml:space="preserve">  growth</t>
        </is>
      </c>
      <c r="C6" s="32">
        <f>Inputs!C87+Inputs!$B$72</f>
        <v/>
      </c>
      <c r="D6" s="32">
        <f>Inputs!D87+Inputs!$B$72</f>
        <v/>
      </c>
      <c r="E6" s="32">
        <f>Inputs!E87+Inputs!$B$72</f>
        <v/>
      </c>
      <c r="F6" s="32">
        <f>Inputs!F87+Inputs!$B$72</f>
        <v/>
      </c>
      <c r="G6" s="32">
        <f>Inputs!G87+Inputs!$B$72</f>
        <v/>
      </c>
      <c r="H6" s="32">
        <f>Inputs!H87+Inputs!$B$72</f>
        <v/>
      </c>
      <c r="I6" s="32">
        <f>Inputs!I87+Inputs!$B$72</f>
        <v/>
      </c>
    </row>
    <row r="7">
      <c r="A7" s="2" t="inlineStr">
        <is>
          <t>CCPG (client) revenue</t>
        </is>
      </c>
      <c r="B7" s="36">
        <f>Inputs!$B$39</f>
        <v/>
      </c>
      <c r="C7" s="38">
        <f>B7*(1+C8)</f>
        <v/>
      </c>
      <c r="D7" s="38">
        <f>C7*(1+D8)</f>
        <v/>
      </c>
      <c r="E7" s="38">
        <f>D7*(1+E8)</f>
        <v/>
      </c>
      <c r="F7" s="38">
        <f>E7*(1+F8)</f>
        <v/>
      </c>
      <c r="G7" s="38">
        <f>F7*(1+G8)</f>
        <v/>
      </c>
      <c r="H7" s="38">
        <f>G7*(1+H8)</f>
        <v/>
      </c>
      <c r="I7" s="38">
        <f>H7*(1+I8)</f>
        <v/>
      </c>
    </row>
    <row r="8">
      <c r="A8" s="2" t="inlineStr">
        <is>
          <t xml:space="preserve">  growth</t>
        </is>
      </c>
      <c r="C8" s="32">
        <f>Inputs!C93</f>
        <v/>
      </c>
      <c r="D8" s="32">
        <f>Inputs!D93</f>
        <v/>
      </c>
      <c r="E8" s="32">
        <f>Inputs!E93</f>
        <v/>
      </c>
      <c r="F8" s="32">
        <f>Inputs!F93</f>
        <v/>
      </c>
      <c r="G8" s="32">
        <f>Inputs!G93</f>
        <v/>
      </c>
      <c r="H8" s="32">
        <f>Inputs!H93</f>
        <v/>
      </c>
      <c r="I8" s="32">
        <f>Inputs!I93</f>
        <v/>
      </c>
    </row>
    <row r="9">
      <c r="A9" s="2" t="inlineStr">
        <is>
          <t>External foundry + packaging revenue</t>
        </is>
      </c>
      <c r="B9" s="36">
        <f>Inputs!$B$40</f>
        <v/>
      </c>
      <c r="C9" s="36">
        <f>Inputs!C99*Inputs!$B$73</f>
        <v/>
      </c>
      <c r="D9" s="36">
        <f>Inputs!D99*Inputs!$B$73</f>
        <v/>
      </c>
      <c r="E9" s="36">
        <f>Inputs!E99*Inputs!$B$73</f>
        <v/>
      </c>
      <c r="F9" s="36">
        <f>Inputs!F99*Inputs!$B$73</f>
        <v/>
      </c>
      <c r="G9" s="36">
        <f>Inputs!G99*Inputs!$B$73</f>
        <v/>
      </c>
      <c r="H9" s="36">
        <f>Inputs!H99*Inputs!$B$73</f>
        <v/>
      </c>
      <c r="I9" s="36">
        <f>Inputs!I99*Inputs!$B$73</f>
        <v/>
      </c>
    </row>
    <row r="10">
      <c r="A10" s="2" t="inlineStr">
        <is>
          <t>Other revenue (Mobileye etc.)</t>
        </is>
      </c>
      <c r="B10" s="36">
        <f>Inputs!$B$41</f>
        <v/>
      </c>
      <c r="C10" s="38">
        <f>B10*(1+Inputs!$B$68)</f>
        <v/>
      </c>
      <c r="D10" s="38">
        <f>C10*(1+Inputs!$B$68)</f>
        <v/>
      </c>
      <c r="E10" s="38">
        <f>D10*(1+Inputs!$B$68)</f>
        <v/>
      </c>
      <c r="F10" s="38">
        <f>E10*(1+Inputs!$B$68)</f>
        <v/>
      </c>
      <c r="G10" s="38">
        <f>F10*(1+Inputs!$B$68)</f>
        <v/>
      </c>
      <c r="H10" s="38">
        <f>G10*(1+Inputs!$B$68)</f>
        <v/>
      </c>
      <c r="I10" s="38">
        <f>H10*(1+Inputs!$B$68)</f>
        <v/>
      </c>
    </row>
    <row r="11">
      <c r="A11" s="2" t="inlineStr">
        <is>
          <t>China domestic-demand revenue exposed (pre-erosion)</t>
        </is>
      </c>
      <c r="B11" s="38">
        <f>(B5+B7)*Inputs!$B$49*Inputs!$B$50</f>
        <v/>
      </c>
      <c r="C11" s="38">
        <f>(C5+C7)*Inputs!$B$49*Inputs!$B$50</f>
        <v/>
      </c>
      <c r="D11" s="38">
        <f>(D5+D7)*Inputs!$B$49*Inputs!$B$50</f>
        <v/>
      </c>
      <c r="E11" s="38">
        <f>(E5+E7)*Inputs!$B$49*Inputs!$B$50</f>
        <v/>
      </c>
      <c r="F11" s="38">
        <f>(F5+F7)*Inputs!$B$49*Inputs!$B$50</f>
        <v/>
      </c>
      <c r="G11" s="38">
        <f>(G5+G7)*Inputs!$B$49*Inputs!$B$50</f>
        <v/>
      </c>
      <c r="H11" s="38">
        <f>(H5+H7)*Inputs!$B$49*Inputs!$B$50</f>
        <v/>
      </c>
      <c r="I11" s="38">
        <f>(I5+I7)*Inputs!$B$49*Inputs!$B$50</f>
        <v/>
      </c>
    </row>
    <row r="12">
      <c r="A12" s="2" t="inlineStr">
        <is>
          <t xml:space="preserve">  China erosion index (2026 = 1.00)</t>
        </is>
      </c>
      <c r="B12" s="26" t="n">
        <v>1</v>
      </c>
      <c r="C12" s="27">
        <f>MAX(0,B12*(1+Inputs!C117+Inputs!$B$75))</f>
        <v/>
      </c>
      <c r="D12" s="27">
        <f>MAX(0,C12*(1+Inputs!D117+Inputs!$B$75))</f>
        <v/>
      </c>
      <c r="E12" s="27">
        <f>MAX(0,D12*(1+Inputs!E117+Inputs!$B$75))</f>
        <v/>
      </c>
      <c r="F12" s="27">
        <f>MAX(0,E12*(1+Inputs!F117+Inputs!$B$75))</f>
        <v/>
      </c>
      <c r="G12" s="27">
        <f>MAX(0,F12*(1+Inputs!G117+Inputs!$B$75))</f>
        <v/>
      </c>
      <c r="H12" s="27">
        <f>MAX(0,G12*(1+Inputs!H117+Inputs!$B$75))</f>
        <v/>
      </c>
      <c r="I12" s="27">
        <f>MAX(0,H12*(1+Inputs!I117+Inputs!$B$75))</f>
        <v/>
      </c>
    </row>
    <row r="13">
      <c r="A13" s="2" t="inlineStr">
        <is>
          <t>Less: China localization / trade revenue loss</t>
        </is>
      </c>
      <c r="B13" s="38">
        <f>-B11*(1-B12)</f>
        <v/>
      </c>
      <c r="C13" s="38">
        <f>-C11*(1-C12)</f>
        <v/>
      </c>
      <c r="D13" s="38">
        <f>-D11*(1-D12)</f>
        <v/>
      </c>
      <c r="E13" s="38">
        <f>-E11*(1-E12)</f>
        <v/>
      </c>
      <c r="F13" s="38">
        <f>-F11*(1-F12)</f>
        <v/>
      </c>
      <c r="G13" s="38">
        <f>-G11*(1-G12)</f>
        <v/>
      </c>
      <c r="H13" s="38">
        <f>-H11*(1-H12)</f>
        <v/>
      </c>
      <c r="I13" s="38">
        <f>-I11*(1-I12)</f>
        <v/>
      </c>
    </row>
    <row r="14">
      <c r="A14" s="28" t="inlineStr">
        <is>
          <t>Total revenue</t>
        </is>
      </c>
      <c r="B14" s="54">
        <f>SUM(B5,B7,B9,B10,B13)</f>
        <v/>
      </c>
      <c r="C14" s="54">
        <f>SUM(C5,C7,C9,C10,C13)</f>
        <v/>
      </c>
      <c r="D14" s="54">
        <f>SUM(D5,D7,D9,D10,D13)</f>
        <v/>
      </c>
      <c r="E14" s="54">
        <f>SUM(E5,E7,E9,E10,E13)</f>
        <v/>
      </c>
      <c r="F14" s="54">
        <f>SUM(F5,F7,F9,F10,F13)</f>
        <v/>
      </c>
      <c r="G14" s="54">
        <f>SUM(G5,G7,G9,G10,G13)</f>
        <v/>
      </c>
      <c r="H14" s="54">
        <f>SUM(H5,H7,H9,H10,H13)</f>
        <v/>
      </c>
      <c r="I14" s="54">
        <f>SUM(I5,I7,I9,I10,I13)</f>
        <v/>
      </c>
      <c r="J14" s="54">
        <f>I14*(1+Inputs!$B$63)</f>
        <v/>
      </c>
    </row>
    <row r="15">
      <c r="A15" s="2" t="inlineStr">
        <is>
          <t xml:space="preserve">  growth</t>
        </is>
      </c>
      <c r="C15" s="39">
        <f>IF(B14=0,0,C14/B14-1)</f>
        <v/>
      </c>
      <c r="D15" s="39">
        <f>IF(C14=0,0,D14/C14-1)</f>
        <v/>
      </c>
      <c r="E15" s="39">
        <f>IF(D14=0,0,E14/D14-1)</f>
        <v/>
      </c>
      <c r="F15" s="39">
        <f>IF(E14=0,0,F14/E14-1)</f>
        <v/>
      </c>
      <c r="G15" s="39">
        <f>IF(F14=0,0,G14/F14-1)</f>
        <v/>
      </c>
      <c r="H15" s="39">
        <f>IF(G14=0,0,H14/G14-1)</f>
        <v/>
      </c>
      <c r="I15" s="39">
        <f>IF(H14=0,0,I14/H14-1)</f>
        <v/>
      </c>
    </row>
    <row r="16">
      <c r="A16" s="2" t="inlineStr">
        <is>
          <t>Non-GAAP gross margin</t>
        </is>
      </c>
      <c r="B16" s="32">
        <f>Inputs!$B$32+Inputs!$B$71</f>
        <v/>
      </c>
      <c r="C16" s="32">
        <f>Inputs!C105+Inputs!$B$71</f>
        <v/>
      </c>
      <c r="D16" s="32">
        <f>Inputs!D105+Inputs!$B$71</f>
        <v/>
      </c>
      <c r="E16" s="32">
        <f>Inputs!E105+Inputs!$B$71</f>
        <v/>
      </c>
      <c r="F16" s="32">
        <f>Inputs!F105+Inputs!$B$71</f>
        <v/>
      </c>
      <c r="G16" s="32">
        <f>Inputs!G105+Inputs!$B$71</f>
        <v/>
      </c>
      <c r="H16" s="32">
        <f>Inputs!H105+Inputs!$B$71</f>
        <v/>
      </c>
      <c r="I16" s="32">
        <f>Inputs!I105+Inputs!$B$71</f>
        <v/>
      </c>
    </row>
    <row r="17">
      <c r="A17" s="2" t="inlineStr">
        <is>
          <t>Gross profit</t>
        </is>
      </c>
      <c r="B17" s="38">
        <f>B14*B16</f>
        <v/>
      </c>
      <c r="C17" s="38">
        <f>C14*C16</f>
        <v/>
      </c>
      <c r="D17" s="38">
        <f>D14*D16</f>
        <v/>
      </c>
      <c r="E17" s="38">
        <f>E14*E16</f>
        <v/>
      </c>
      <c r="F17" s="38">
        <f>F14*F16</f>
        <v/>
      </c>
      <c r="G17" s="38">
        <f>G14*G16</f>
        <v/>
      </c>
      <c r="H17" s="38">
        <f>H14*H16</f>
        <v/>
      </c>
      <c r="I17" s="38">
        <f>I14*I16</f>
        <v/>
      </c>
    </row>
    <row r="18">
      <c r="A18" s="2" t="inlineStr">
        <is>
          <t>Non-GAAP opex</t>
        </is>
      </c>
      <c r="B18" s="36">
        <f>Inputs!$B$33</f>
        <v/>
      </c>
      <c r="C18" s="38">
        <f>B18*(1+Inputs!C111)</f>
        <v/>
      </c>
      <c r="D18" s="38">
        <f>C18*(1+Inputs!D111)</f>
        <v/>
      </c>
      <c r="E18" s="38">
        <f>D18*(1+Inputs!E111)</f>
        <v/>
      </c>
      <c r="F18" s="38">
        <f>E18*(1+Inputs!F111)</f>
        <v/>
      </c>
      <c r="G18" s="38">
        <f>F18*(1+Inputs!G111)</f>
        <v/>
      </c>
      <c r="H18" s="38">
        <f>G18*(1+Inputs!H111)</f>
        <v/>
      </c>
      <c r="I18" s="38">
        <f>H18*(1+Inputs!I111)</f>
        <v/>
      </c>
    </row>
    <row r="19">
      <c r="A19" s="28" t="inlineStr">
        <is>
          <t>Non-GAAP operating income</t>
        </is>
      </c>
      <c r="B19" s="54">
        <f>B17-B18</f>
        <v/>
      </c>
      <c r="C19" s="54">
        <f>C17-C18</f>
        <v/>
      </c>
      <c r="D19" s="54">
        <f>D17-D18</f>
        <v/>
      </c>
      <c r="E19" s="54">
        <f>E17-E18</f>
        <v/>
      </c>
      <c r="F19" s="54">
        <f>F17-F18</f>
        <v/>
      </c>
      <c r="G19" s="54">
        <f>G17-G18</f>
        <v/>
      </c>
      <c r="H19" s="54">
        <f>H17-H18</f>
        <v/>
      </c>
      <c r="I19" s="54">
        <f>I17-I18</f>
        <v/>
      </c>
      <c r="J19" s="30" t="n"/>
    </row>
    <row r="20">
      <c r="A20" s="2" t="inlineStr">
        <is>
          <t xml:space="preserve">  operating margin</t>
        </is>
      </c>
      <c r="B20" s="39">
        <f>IF(B14=0,0,B19/B14)</f>
        <v/>
      </c>
      <c r="C20" s="39">
        <f>IF(C14=0,0,C19/C14)</f>
        <v/>
      </c>
      <c r="D20" s="39">
        <f>IF(D14=0,0,D19/D14)</f>
        <v/>
      </c>
      <c r="E20" s="39">
        <f>IF(E14=0,0,E19/E14)</f>
        <v/>
      </c>
      <c r="F20" s="39">
        <f>IF(F14=0,0,F19/F14)</f>
        <v/>
      </c>
      <c r="G20" s="39">
        <f>IF(G14=0,0,G19/G14)</f>
        <v/>
      </c>
      <c r="H20" s="39">
        <f>IF(H14=0,0,H19/H14)</f>
        <v/>
      </c>
      <c r="I20" s="39">
        <f>IF(I14=0,0,I19/I14)</f>
        <v/>
      </c>
    </row>
    <row r="21">
      <c r="A21" s="2" t="inlineStr">
        <is>
          <t>Stock-based compensation</t>
        </is>
      </c>
      <c r="B21" s="36">
        <f>Inputs!$B$34</f>
        <v/>
      </c>
      <c r="C21" s="38">
        <f>B21*(1+Inputs!C111)</f>
        <v/>
      </c>
      <c r="D21" s="38">
        <f>C21*(1+Inputs!D111)</f>
        <v/>
      </c>
      <c r="E21" s="38">
        <f>D21*(1+Inputs!E111)</f>
        <v/>
      </c>
      <c r="F21" s="38">
        <f>E21*(1+Inputs!F111)</f>
        <v/>
      </c>
      <c r="G21" s="38">
        <f>F21*(1+Inputs!G111)</f>
        <v/>
      </c>
      <c r="H21" s="38">
        <f>G21*(1+Inputs!H111)</f>
        <v/>
      </c>
      <c r="I21" s="38">
        <f>H21*(1+Inputs!I111)</f>
        <v/>
      </c>
    </row>
    <row r="22">
      <c r="A22" s="2" t="inlineStr">
        <is>
          <t>EBIT after SBC</t>
        </is>
      </c>
      <c r="C22" s="38">
        <f>C19-C21</f>
        <v/>
      </c>
      <c r="D22" s="38">
        <f>D19-D21</f>
        <v/>
      </c>
      <c r="E22" s="38">
        <f>E19-E21</f>
        <v/>
      </c>
      <c r="F22" s="38">
        <f>F19-F21</f>
        <v/>
      </c>
      <c r="G22" s="38">
        <f>G19-G21</f>
        <v/>
      </c>
      <c r="H22" s="38">
        <f>H19-H21</f>
        <v/>
      </c>
      <c r="I22" s="38">
        <f>I19-I21</f>
        <v/>
      </c>
    </row>
    <row r="23">
      <c r="A23" s="2" t="inlineStr">
        <is>
          <t>Taxes on EBIT</t>
        </is>
      </c>
      <c r="C23" s="38">
        <f>MAX(0,C22)*Inputs!$B$60</f>
        <v/>
      </c>
      <c r="D23" s="38">
        <f>MAX(0,D22)*Inputs!$B$60</f>
        <v/>
      </c>
      <c r="E23" s="38">
        <f>MAX(0,E22)*Inputs!$B$60</f>
        <v/>
      </c>
      <c r="F23" s="38">
        <f>MAX(0,F22)*Inputs!$B$60</f>
        <v/>
      </c>
      <c r="G23" s="38">
        <f>MAX(0,G22)*Inputs!$B$60</f>
        <v/>
      </c>
      <c r="H23" s="38">
        <f>MAX(0,H22)*Inputs!$B$60</f>
        <v/>
      </c>
      <c r="I23" s="38">
        <f>MAX(0,I22)*Inputs!$B$60</f>
        <v/>
      </c>
    </row>
    <row r="24">
      <c r="A24" s="2" t="inlineStr">
        <is>
          <t>NOPAT</t>
        </is>
      </c>
      <c r="C24" s="38">
        <f>C22-C23</f>
        <v/>
      </c>
      <c r="D24" s="38">
        <f>D22-D23</f>
        <v/>
      </c>
      <c r="E24" s="38">
        <f>E22-E23</f>
        <v/>
      </c>
      <c r="F24" s="38">
        <f>F22-F23</f>
        <v/>
      </c>
      <c r="G24" s="38">
        <f>G22-G23</f>
        <v/>
      </c>
      <c r="H24" s="38">
        <f>H22-H23</f>
        <v/>
      </c>
      <c r="I24" s="38">
        <f>I22-I23</f>
        <v/>
      </c>
      <c r="J24" s="38">
        <f>I24*(1+Inputs!$B$63)</f>
        <v/>
      </c>
    </row>
    <row r="25">
      <c r="A25" s="2" t="inlineStr">
        <is>
          <t>D&amp;A</t>
        </is>
      </c>
      <c r="B25" s="36">
        <f>Inputs!$B$35</f>
        <v/>
      </c>
      <c r="C25" s="38">
        <f>B25+Inputs!$B$66*(B26-B25)</f>
        <v/>
      </c>
      <c r="D25" s="38">
        <f>C25+Inputs!$B$66*(C26-C25)</f>
        <v/>
      </c>
      <c r="E25" s="38">
        <f>D25+Inputs!$B$66*(D26-D25)</f>
        <v/>
      </c>
      <c r="F25" s="38">
        <f>E25+Inputs!$B$66*(E26-E25)</f>
        <v/>
      </c>
      <c r="G25" s="38">
        <f>F25+Inputs!$B$66*(F26-F25)</f>
        <v/>
      </c>
      <c r="H25" s="38">
        <f>G25+Inputs!$B$66*(G26-G25)</f>
        <v/>
      </c>
      <c r="I25" s="38">
        <f>H25+Inputs!$B$66*(H26-H25)</f>
        <v/>
      </c>
      <c r="J25" s="38">
        <f>I25*(1+Inputs!$B$63)</f>
        <v/>
      </c>
    </row>
    <row r="26">
      <c r="A26" s="2" t="inlineStr">
        <is>
          <t>Capex</t>
        </is>
      </c>
      <c r="B26" s="36">
        <f>Inputs!$B$36</f>
        <v/>
      </c>
      <c r="C26" s="36">
        <f>Inputs!C123*Inputs!$B$74</f>
        <v/>
      </c>
      <c r="D26" s="36">
        <f>Inputs!D123*Inputs!$B$74</f>
        <v/>
      </c>
      <c r="E26" s="36">
        <f>Inputs!E123*Inputs!$B$74</f>
        <v/>
      </c>
      <c r="F26" s="36">
        <f>Inputs!F123*Inputs!$B$74</f>
        <v/>
      </c>
      <c r="G26" s="36">
        <f>Inputs!G123*Inputs!$B$74</f>
        <v/>
      </c>
      <c r="H26" s="36">
        <f>Inputs!H123*Inputs!$B$74</f>
        <v/>
      </c>
      <c r="I26" s="36">
        <f>Inputs!I123*Inputs!$B$74</f>
        <v/>
      </c>
      <c r="J26" s="38">
        <f>J25*Inputs!$B$64</f>
        <v/>
      </c>
    </row>
    <row r="27">
      <c r="A27" s="2" t="inlineStr">
        <is>
          <t>Change in net working capital</t>
        </is>
      </c>
      <c r="C27" s="38">
        <f>Inputs!$B$65*(C14-B14)</f>
        <v/>
      </c>
      <c r="D27" s="38">
        <f>Inputs!$B$65*(D14-C14)</f>
        <v/>
      </c>
      <c r="E27" s="38">
        <f>Inputs!$B$65*(E14-D14)</f>
        <v/>
      </c>
      <c r="F27" s="38">
        <f>Inputs!$B$65*(F14-E14)</f>
        <v/>
      </c>
      <c r="G27" s="38">
        <f>Inputs!$B$65*(G14-F14)</f>
        <v/>
      </c>
      <c r="H27" s="38">
        <f>Inputs!$B$65*(H14-G14)</f>
        <v/>
      </c>
      <c r="I27" s="38">
        <f>Inputs!$B$65*(I14-H14)</f>
        <v/>
      </c>
      <c r="J27" s="38">
        <f>Inputs!$B$65*(J14-I14)</f>
        <v/>
      </c>
    </row>
    <row r="28">
      <c r="A28" s="28" t="inlineStr">
        <is>
          <t>Unlevered free cash flow</t>
        </is>
      </c>
      <c r="B28" s="30" t="n"/>
      <c r="C28" s="54">
        <f>C24+C25-C26-C27</f>
        <v/>
      </c>
      <c r="D28" s="54">
        <f>D24+D25-D26-D27</f>
        <v/>
      </c>
      <c r="E28" s="54">
        <f>E24+E25-E26-E27</f>
        <v/>
      </c>
      <c r="F28" s="54">
        <f>F24+F25-F26-F27</f>
        <v/>
      </c>
      <c r="G28" s="54">
        <f>G24+G25-G26-G27</f>
        <v/>
      </c>
      <c r="H28" s="54">
        <f>H24+H25-H26-H27</f>
        <v/>
      </c>
      <c r="I28" s="54">
        <f>I24+I25-I26-I27</f>
        <v/>
      </c>
      <c r="J28" s="54">
        <f>J24+J25-J26-J27</f>
        <v/>
      </c>
    </row>
    <row r="29">
      <c r="A29" s="2" t="inlineStr">
        <is>
          <t xml:space="preserve">  FCF margin</t>
        </is>
      </c>
      <c r="C29" s="39">
        <f>IF(C14=0,0,C28/C14)</f>
        <v/>
      </c>
      <c r="D29" s="39">
        <f>IF(D14=0,0,D28/D14)</f>
        <v/>
      </c>
      <c r="E29" s="39">
        <f>IF(E14=0,0,E28/E14)</f>
        <v/>
      </c>
      <c r="F29" s="39">
        <f>IF(F14=0,0,F28/F14)</f>
        <v/>
      </c>
      <c r="G29" s="39">
        <f>IF(G14=0,0,G28/G14)</f>
        <v/>
      </c>
      <c r="H29" s="39">
        <f>IF(H14=0,0,H28/H14)</f>
        <v/>
      </c>
      <c r="I29" s="39">
        <f>IF(I14=0,0,I28/I14)</f>
        <v/>
      </c>
      <c r="J29" s="39">
        <f>IF(J14=0,0,J28/J14)</f>
        <v/>
      </c>
    </row>
    <row r="30">
      <c r="A30" s="2" t="inlineStr">
        <is>
          <t>Discount factor</t>
        </is>
      </c>
      <c r="C30" s="31">
        <f>1/(1+Inputs!$B$62)^C4</f>
        <v/>
      </c>
      <c r="D30" s="31">
        <f>1/(1+Inputs!$B$62)^D4</f>
        <v/>
      </c>
      <c r="E30" s="31">
        <f>1/(1+Inputs!$B$62)^E4</f>
        <v/>
      </c>
      <c r="F30" s="31">
        <f>1/(1+Inputs!$B$62)^F4</f>
        <v/>
      </c>
      <c r="G30" s="31">
        <f>1/(1+Inputs!$B$62)^G4</f>
        <v/>
      </c>
      <c r="H30" s="31">
        <f>1/(1+Inputs!$B$62)^H4</f>
        <v/>
      </c>
      <c r="I30" s="31">
        <f>1/(1+Inputs!$B$62)^I4</f>
        <v/>
      </c>
    </row>
    <row r="31">
      <c r="A31" s="2" t="inlineStr">
        <is>
          <t>PV of FCF</t>
        </is>
      </c>
      <c r="C31" s="38">
        <f>C28*C30</f>
        <v/>
      </c>
      <c r="D31" s="38">
        <f>D28*D30</f>
        <v/>
      </c>
      <c r="E31" s="38">
        <f>E28*E30</f>
        <v/>
      </c>
      <c r="F31" s="38">
        <f>F28*F30</f>
        <v/>
      </c>
      <c r="G31" s="38">
        <f>G28*G30</f>
        <v/>
      </c>
      <c r="H31" s="38">
        <f>H28*H30</f>
        <v/>
      </c>
      <c r="I31" s="38">
        <f>I28*I30</f>
        <v/>
      </c>
    </row>
    <row r="32"/>
    <row r="33">
      <c r="A33" s="1" t="inlineStr">
        <is>
          <t>VALUATION (value per share floored at $0: equity has limited liability)</t>
        </is>
      </c>
    </row>
    <row r="34">
      <c r="A34" s="2" t="inlineStr">
        <is>
          <t>Sum of PV of explicit FCF (2027-2033)</t>
        </is>
      </c>
      <c r="B34" s="38">
        <f>SUM(C31:I31)</f>
        <v/>
      </c>
    </row>
    <row r="35">
      <c r="A35" s="2" t="inlineStr">
        <is>
          <t>Terminal value at end-2033</t>
        </is>
      </c>
      <c r="B35" s="38">
        <f>IF(Inputs!$B$62&lt;=Inputs!$B$63,0,J28/(Inputs!$B$62-Inputs!$B$63))</f>
        <v/>
      </c>
    </row>
    <row r="36">
      <c r="A36" s="2" t="inlineStr">
        <is>
          <t>PV of terminal value</t>
        </is>
      </c>
      <c r="B36" s="38">
        <f>B35*I30</f>
        <v/>
      </c>
    </row>
    <row r="37">
      <c r="A37" s="1" t="inlineStr">
        <is>
          <t>Enterprise value</t>
        </is>
      </c>
      <c r="B37" s="38">
        <f>B34+B36</f>
        <v/>
      </c>
    </row>
    <row r="38">
      <c r="A38" s="2" t="inlineStr">
        <is>
          <t>+ Net cash (incl. Aug-26 raise)</t>
        </is>
      </c>
      <c r="B38" s="36">
        <f>Inputs!$B$16</f>
        <v/>
      </c>
    </row>
    <row r="39">
      <c r="A39" s="2" t="inlineStr">
        <is>
          <t>+ Altera stake</t>
        </is>
      </c>
      <c r="B39" s="36">
        <f>Inputs!$B$14</f>
        <v/>
      </c>
    </row>
    <row r="40">
      <c r="A40" s="2" t="inlineStr">
        <is>
          <t>- Non-controlling interests</t>
        </is>
      </c>
      <c r="B40" s="36">
        <f>-Inputs!$B$15</f>
        <v/>
      </c>
    </row>
    <row r="41">
      <c r="A41" s="1" t="inlineStr">
        <is>
          <t>Equity value</t>
        </is>
      </c>
      <c r="B41" s="38">
        <f>B37+B38+B39+B40</f>
        <v/>
      </c>
    </row>
    <row r="42">
      <c r="A42" s="2" t="inlineStr">
        <is>
          <t>Diluted shares (bn)</t>
        </is>
      </c>
      <c r="B42" s="37">
        <f>Inputs!$B$9</f>
        <v/>
      </c>
    </row>
    <row r="43">
      <c r="A43" s="1" t="inlineStr">
        <is>
          <t>Value per share ($)</t>
        </is>
      </c>
      <c r="B43" s="34">
        <f>IF(B42=0,0,MAX(0,B41/B42))</f>
        <v/>
      </c>
    </row>
    <row r="44">
      <c r="A44" s="2" t="inlineStr">
        <is>
          <t>Current share price ($)</t>
        </is>
      </c>
      <c r="B44" s="33">
        <f>Inputs!$B$4</f>
        <v/>
      </c>
    </row>
    <row r="45">
      <c r="A45" s="2" t="inlineStr">
        <is>
          <t>Upside / (downside) vs price</t>
        </is>
      </c>
      <c r="B45" s="39">
        <f>IF(B44=0,0,B43/B44-1)</f>
        <v/>
      </c>
    </row>
    <row r="46">
      <c r="A46" s="2" t="inlineStr">
        <is>
          <t>Terminal value as % of EV</t>
        </is>
      </c>
      <c r="B46" s="39">
        <f>IF(B37=0,0,B36/B37)</f>
        <v/>
      </c>
    </row>
    <row r="47">
      <c r="A47" s="2" t="inlineStr">
        <is>
          <t>Implied P/E on 2027 NOPAT/share at value</t>
        </is>
      </c>
      <c r="B47" s="11">
        <f>IF(C24&lt;=0,0,B43/(C24/B42))</f>
        <v/>
      </c>
    </row>
    <row r="48">
      <c r="A48" s="2" t="inlineStr">
        <is>
          <t>Market P/E on 2027 NOPAT/share</t>
        </is>
      </c>
      <c r="B48" s="11">
        <f>IF(C24&lt;=0,0,B44/(C24/B42))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Bull scenario: US$ bn</t>
        </is>
      </c>
    </row>
    <row r="3">
      <c r="A3" s="3" t="inlineStr">
        <is>
          <t>Line item</t>
        </is>
      </c>
      <c r="B3" s="3" t="inlineStr">
        <is>
          <t>2026E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  <c r="G3" s="3" t="inlineStr">
        <is>
          <t>2031</t>
        </is>
      </c>
      <c r="H3" s="3" t="inlineStr">
        <is>
          <t>2032</t>
        </is>
      </c>
      <c r="I3" s="3" t="inlineStr">
        <is>
          <t>2033</t>
        </is>
      </c>
      <c r="J3" s="3" t="inlineStr">
        <is>
          <t>Terminal</t>
        </is>
      </c>
    </row>
    <row r="4">
      <c r="A4" s="2" t="inlineStr">
        <is>
          <t>Discount period (yrs from 30 Sep 2026)</t>
        </is>
      </c>
      <c r="C4" s="27">
        <f>Inputs!$B$67+1</f>
        <v/>
      </c>
      <c r="D4" s="27">
        <f>Inputs!$B$67+2</f>
        <v/>
      </c>
      <c r="E4" s="27">
        <f>Inputs!$B$67+3</f>
        <v/>
      </c>
      <c r="F4" s="27">
        <f>Inputs!$B$67+4</f>
        <v/>
      </c>
      <c r="G4" s="27">
        <f>Inputs!$B$67+5</f>
        <v/>
      </c>
      <c r="H4" s="27">
        <f>Inputs!$B$67+6</f>
        <v/>
      </c>
      <c r="I4" s="27">
        <f>Inputs!$B$67+7</f>
        <v/>
      </c>
    </row>
    <row r="5">
      <c r="A5" s="2" t="inlineStr">
        <is>
          <t>DCAI (server/data center) revenue</t>
        </is>
      </c>
      <c r="B5" s="36">
        <f>Inputs!$B$38</f>
        <v/>
      </c>
      <c r="C5" s="38">
        <f>B5*(1+C6)</f>
        <v/>
      </c>
      <c r="D5" s="38">
        <f>C5*(1+D6)</f>
        <v/>
      </c>
      <c r="E5" s="38">
        <f>D5*(1+E6)</f>
        <v/>
      </c>
      <c r="F5" s="38">
        <f>E5*(1+F6)</f>
        <v/>
      </c>
      <c r="G5" s="38">
        <f>F5*(1+G6)</f>
        <v/>
      </c>
      <c r="H5" s="38">
        <f>G5*(1+H6)</f>
        <v/>
      </c>
      <c r="I5" s="38">
        <f>H5*(1+I6)</f>
        <v/>
      </c>
    </row>
    <row r="6">
      <c r="A6" s="2" t="inlineStr">
        <is>
          <t xml:space="preserve">  growth</t>
        </is>
      </c>
      <c r="C6" s="32">
        <f>Inputs!C88+Inputs!$B$72</f>
        <v/>
      </c>
      <c r="D6" s="32">
        <f>Inputs!D88+Inputs!$B$72</f>
        <v/>
      </c>
      <c r="E6" s="32">
        <f>Inputs!E88+Inputs!$B$72</f>
        <v/>
      </c>
      <c r="F6" s="32">
        <f>Inputs!F88+Inputs!$B$72</f>
        <v/>
      </c>
      <c r="G6" s="32">
        <f>Inputs!G88+Inputs!$B$72</f>
        <v/>
      </c>
      <c r="H6" s="32">
        <f>Inputs!H88+Inputs!$B$72</f>
        <v/>
      </c>
      <c r="I6" s="32">
        <f>Inputs!I88+Inputs!$B$72</f>
        <v/>
      </c>
    </row>
    <row r="7">
      <c r="A7" s="2" t="inlineStr">
        <is>
          <t>CCPG (client) revenue</t>
        </is>
      </c>
      <c r="B7" s="36">
        <f>Inputs!$B$39</f>
        <v/>
      </c>
      <c r="C7" s="38">
        <f>B7*(1+C8)</f>
        <v/>
      </c>
      <c r="D7" s="38">
        <f>C7*(1+D8)</f>
        <v/>
      </c>
      <c r="E7" s="38">
        <f>D7*(1+E8)</f>
        <v/>
      </c>
      <c r="F7" s="38">
        <f>E7*(1+F8)</f>
        <v/>
      </c>
      <c r="G7" s="38">
        <f>F7*(1+G8)</f>
        <v/>
      </c>
      <c r="H7" s="38">
        <f>G7*(1+H8)</f>
        <v/>
      </c>
      <c r="I7" s="38">
        <f>H7*(1+I8)</f>
        <v/>
      </c>
    </row>
    <row r="8">
      <c r="A8" s="2" t="inlineStr">
        <is>
          <t xml:space="preserve">  growth</t>
        </is>
      </c>
      <c r="C8" s="32">
        <f>Inputs!C94</f>
        <v/>
      </c>
      <c r="D8" s="32">
        <f>Inputs!D94</f>
        <v/>
      </c>
      <c r="E8" s="32">
        <f>Inputs!E94</f>
        <v/>
      </c>
      <c r="F8" s="32">
        <f>Inputs!F94</f>
        <v/>
      </c>
      <c r="G8" s="32">
        <f>Inputs!G94</f>
        <v/>
      </c>
      <c r="H8" s="32">
        <f>Inputs!H94</f>
        <v/>
      </c>
      <c r="I8" s="32">
        <f>Inputs!I94</f>
        <v/>
      </c>
    </row>
    <row r="9">
      <c r="A9" s="2" t="inlineStr">
        <is>
          <t>External foundry + packaging revenue</t>
        </is>
      </c>
      <c r="B9" s="36">
        <f>Inputs!$B$40</f>
        <v/>
      </c>
      <c r="C9" s="36">
        <f>Inputs!C100*Inputs!$B$73</f>
        <v/>
      </c>
      <c r="D9" s="36">
        <f>Inputs!D100*Inputs!$B$73</f>
        <v/>
      </c>
      <c r="E9" s="36">
        <f>Inputs!E100*Inputs!$B$73</f>
        <v/>
      </c>
      <c r="F9" s="36">
        <f>Inputs!F100*Inputs!$B$73</f>
        <v/>
      </c>
      <c r="G9" s="36">
        <f>Inputs!G100*Inputs!$B$73</f>
        <v/>
      </c>
      <c r="H9" s="36">
        <f>Inputs!H100*Inputs!$B$73</f>
        <v/>
      </c>
      <c r="I9" s="36">
        <f>Inputs!I100*Inputs!$B$73</f>
        <v/>
      </c>
    </row>
    <row r="10">
      <c r="A10" s="2" t="inlineStr">
        <is>
          <t>Other revenue (Mobileye etc.)</t>
        </is>
      </c>
      <c r="B10" s="36">
        <f>Inputs!$B$41</f>
        <v/>
      </c>
      <c r="C10" s="38">
        <f>B10*(1+Inputs!$B$68)</f>
        <v/>
      </c>
      <c r="D10" s="38">
        <f>C10*(1+Inputs!$B$68)</f>
        <v/>
      </c>
      <c r="E10" s="38">
        <f>D10*(1+Inputs!$B$68)</f>
        <v/>
      </c>
      <c r="F10" s="38">
        <f>E10*(1+Inputs!$B$68)</f>
        <v/>
      </c>
      <c r="G10" s="38">
        <f>F10*(1+Inputs!$B$68)</f>
        <v/>
      </c>
      <c r="H10" s="38">
        <f>G10*(1+Inputs!$B$68)</f>
        <v/>
      </c>
      <c r="I10" s="38">
        <f>H10*(1+Inputs!$B$68)</f>
        <v/>
      </c>
    </row>
    <row r="11">
      <c r="A11" s="2" t="inlineStr">
        <is>
          <t>China domestic-demand revenue exposed (pre-erosion)</t>
        </is>
      </c>
      <c r="B11" s="38">
        <f>(B5+B7)*Inputs!$B$49*Inputs!$B$50</f>
        <v/>
      </c>
      <c r="C11" s="38">
        <f>(C5+C7)*Inputs!$B$49*Inputs!$B$50</f>
        <v/>
      </c>
      <c r="D11" s="38">
        <f>(D5+D7)*Inputs!$B$49*Inputs!$B$50</f>
        <v/>
      </c>
      <c r="E11" s="38">
        <f>(E5+E7)*Inputs!$B$49*Inputs!$B$50</f>
        <v/>
      </c>
      <c r="F11" s="38">
        <f>(F5+F7)*Inputs!$B$49*Inputs!$B$50</f>
        <v/>
      </c>
      <c r="G11" s="38">
        <f>(G5+G7)*Inputs!$B$49*Inputs!$B$50</f>
        <v/>
      </c>
      <c r="H11" s="38">
        <f>(H5+H7)*Inputs!$B$49*Inputs!$B$50</f>
        <v/>
      </c>
      <c r="I11" s="38">
        <f>(I5+I7)*Inputs!$B$49*Inputs!$B$50</f>
        <v/>
      </c>
    </row>
    <row r="12">
      <c r="A12" s="2" t="inlineStr">
        <is>
          <t xml:space="preserve">  China erosion index (2026 = 1.00)</t>
        </is>
      </c>
      <c r="B12" s="26" t="n">
        <v>1</v>
      </c>
      <c r="C12" s="27">
        <f>MAX(0,B12*(1+Inputs!C118+Inputs!$B$75))</f>
        <v/>
      </c>
      <c r="D12" s="27">
        <f>MAX(0,C12*(1+Inputs!D118+Inputs!$B$75))</f>
        <v/>
      </c>
      <c r="E12" s="27">
        <f>MAX(0,D12*(1+Inputs!E118+Inputs!$B$75))</f>
        <v/>
      </c>
      <c r="F12" s="27">
        <f>MAX(0,E12*(1+Inputs!F118+Inputs!$B$75))</f>
        <v/>
      </c>
      <c r="G12" s="27">
        <f>MAX(0,F12*(1+Inputs!G118+Inputs!$B$75))</f>
        <v/>
      </c>
      <c r="H12" s="27">
        <f>MAX(0,G12*(1+Inputs!H118+Inputs!$B$75))</f>
        <v/>
      </c>
      <c r="I12" s="27">
        <f>MAX(0,H12*(1+Inputs!I118+Inputs!$B$75))</f>
        <v/>
      </c>
    </row>
    <row r="13">
      <c r="A13" s="2" t="inlineStr">
        <is>
          <t>Less: China localization / trade revenue loss</t>
        </is>
      </c>
      <c r="B13" s="38">
        <f>-B11*(1-B12)</f>
        <v/>
      </c>
      <c r="C13" s="38">
        <f>-C11*(1-C12)</f>
        <v/>
      </c>
      <c r="D13" s="38">
        <f>-D11*(1-D12)</f>
        <v/>
      </c>
      <c r="E13" s="38">
        <f>-E11*(1-E12)</f>
        <v/>
      </c>
      <c r="F13" s="38">
        <f>-F11*(1-F12)</f>
        <v/>
      </c>
      <c r="G13" s="38">
        <f>-G11*(1-G12)</f>
        <v/>
      </c>
      <c r="H13" s="38">
        <f>-H11*(1-H12)</f>
        <v/>
      </c>
      <c r="I13" s="38">
        <f>-I11*(1-I12)</f>
        <v/>
      </c>
    </row>
    <row r="14">
      <c r="A14" s="28" t="inlineStr">
        <is>
          <t>Total revenue</t>
        </is>
      </c>
      <c r="B14" s="54">
        <f>SUM(B5,B7,B9,B10,B13)</f>
        <v/>
      </c>
      <c r="C14" s="54">
        <f>SUM(C5,C7,C9,C10,C13)</f>
        <v/>
      </c>
      <c r="D14" s="54">
        <f>SUM(D5,D7,D9,D10,D13)</f>
        <v/>
      </c>
      <c r="E14" s="54">
        <f>SUM(E5,E7,E9,E10,E13)</f>
        <v/>
      </c>
      <c r="F14" s="54">
        <f>SUM(F5,F7,F9,F10,F13)</f>
        <v/>
      </c>
      <c r="G14" s="54">
        <f>SUM(G5,G7,G9,G10,G13)</f>
        <v/>
      </c>
      <c r="H14" s="54">
        <f>SUM(H5,H7,H9,H10,H13)</f>
        <v/>
      </c>
      <c r="I14" s="54">
        <f>SUM(I5,I7,I9,I10,I13)</f>
        <v/>
      </c>
      <c r="J14" s="54">
        <f>I14*(1+Inputs!$B$63)</f>
        <v/>
      </c>
    </row>
    <row r="15">
      <c r="A15" s="2" t="inlineStr">
        <is>
          <t xml:space="preserve">  growth</t>
        </is>
      </c>
      <c r="C15" s="39">
        <f>IF(B14=0,0,C14/B14-1)</f>
        <v/>
      </c>
      <c r="D15" s="39">
        <f>IF(C14=0,0,D14/C14-1)</f>
        <v/>
      </c>
      <c r="E15" s="39">
        <f>IF(D14=0,0,E14/D14-1)</f>
        <v/>
      </c>
      <c r="F15" s="39">
        <f>IF(E14=0,0,F14/E14-1)</f>
        <v/>
      </c>
      <c r="G15" s="39">
        <f>IF(F14=0,0,G14/F14-1)</f>
        <v/>
      </c>
      <c r="H15" s="39">
        <f>IF(G14=0,0,H14/G14-1)</f>
        <v/>
      </c>
      <c r="I15" s="39">
        <f>IF(H14=0,0,I14/H14-1)</f>
        <v/>
      </c>
    </row>
    <row r="16">
      <c r="A16" s="2" t="inlineStr">
        <is>
          <t>Non-GAAP gross margin</t>
        </is>
      </c>
      <c r="B16" s="32">
        <f>Inputs!$B$32+Inputs!$B$71</f>
        <v/>
      </c>
      <c r="C16" s="32">
        <f>Inputs!C106+Inputs!$B$71</f>
        <v/>
      </c>
      <c r="D16" s="32">
        <f>Inputs!D106+Inputs!$B$71</f>
        <v/>
      </c>
      <c r="E16" s="32">
        <f>Inputs!E106+Inputs!$B$71</f>
        <v/>
      </c>
      <c r="F16" s="32">
        <f>Inputs!F106+Inputs!$B$71</f>
        <v/>
      </c>
      <c r="G16" s="32">
        <f>Inputs!G106+Inputs!$B$71</f>
        <v/>
      </c>
      <c r="H16" s="32">
        <f>Inputs!H106+Inputs!$B$71</f>
        <v/>
      </c>
      <c r="I16" s="32">
        <f>Inputs!I106+Inputs!$B$71</f>
        <v/>
      </c>
    </row>
    <row r="17">
      <c r="A17" s="2" t="inlineStr">
        <is>
          <t>Gross profit</t>
        </is>
      </c>
      <c r="B17" s="38">
        <f>B14*B16</f>
        <v/>
      </c>
      <c r="C17" s="38">
        <f>C14*C16</f>
        <v/>
      </c>
      <c r="D17" s="38">
        <f>D14*D16</f>
        <v/>
      </c>
      <c r="E17" s="38">
        <f>E14*E16</f>
        <v/>
      </c>
      <c r="F17" s="38">
        <f>F14*F16</f>
        <v/>
      </c>
      <c r="G17" s="38">
        <f>G14*G16</f>
        <v/>
      </c>
      <c r="H17" s="38">
        <f>H14*H16</f>
        <v/>
      </c>
      <c r="I17" s="38">
        <f>I14*I16</f>
        <v/>
      </c>
    </row>
    <row r="18">
      <c r="A18" s="2" t="inlineStr">
        <is>
          <t>Non-GAAP opex</t>
        </is>
      </c>
      <c r="B18" s="36">
        <f>Inputs!$B$33</f>
        <v/>
      </c>
      <c r="C18" s="38">
        <f>B18*(1+Inputs!C112)</f>
        <v/>
      </c>
      <c r="D18" s="38">
        <f>C18*(1+Inputs!D112)</f>
        <v/>
      </c>
      <c r="E18" s="38">
        <f>D18*(1+Inputs!E112)</f>
        <v/>
      </c>
      <c r="F18" s="38">
        <f>E18*(1+Inputs!F112)</f>
        <v/>
      </c>
      <c r="G18" s="38">
        <f>F18*(1+Inputs!G112)</f>
        <v/>
      </c>
      <c r="H18" s="38">
        <f>G18*(1+Inputs!H112)</f>
        <v/>
      </c>
      <c r="I18" s="38">
        <f>H18*(1+Inputs!I112)</f>
        <v/>
      </c>
    </row>
    <row r="19">
      <c r="A19" s="28" t="inlineStr">
        <is>
          <t>Non-GAAP operating income</t>
        </is>
      </c>
      <c r="B19" s="54">
        <f>B17-B18</f>
        <v/>
      </c>
      <c r="C19" s="54">
        <f>C17-C18</f>
        <v/>
      </c>
      <c r="D19" s="54">
        <f>D17-D18</f>
        <v/>
      </c>
      <c r="E19" s="54">
        <f>E17-E18</f>
        <v/>
      </c>
      <c r="F19" s="54">
        <f>F17-F18</f>
        <v/>
      </c>
      <c r="G19" s="54">
        <f>G17-G18</f>
        <v/>
      </c>
      <c r="H19" s="54">
        <f>H17-H18</f>
        <v/>
      </c>
      <c r="I19" s="54">
        <f>I17-I18</f>
        <v/>
      </c>
      <c r="J19" s="30" t="n"/>
    </row>
    <row r="20">
      <c r="A20" s="2" t="inlineStr">
        <is>
          <t xml:space="preserve">  operating margin</t>
        </is>
      </c>
      <c r="B20" s="39">
        <f>IF(B14=0,0,B19/B14)</f>
        <v/>
      </c>
      <c r="C20" s="39">
        <f>IF(C14=0,0,C19/C14)</f>
        <v/>
      </c>
      <c r="D20" s="39">
        <f>IF(D14=0,0,D19/D14)</f>
        <v/>
      </c>
      <c r="E20" s="39">
        <f>IF(E14=0,0,E19/E14)</f>
        <v/>
      </c>
      <c r="F20" s="39">
        <f>IF(F14=0,0,F19/F14)</f>
        <v/>
      </c>
      <c r="G20" s="39">
        <f>IF(G14=0,0,G19/G14)</f>
        <v/>
      </c>
      <c r="H20" s="39">
        <f>IF(H14=0,0,H19/H14)</f>
        <v/>
      </c>
      <c r="I20" s="39">
        <f>IF(I14=0,0,I19/I14)</f>
        <v/>
      </c>
    </row>
    <row r="21">
      <c r="A21" s="2" t="inlineStr">
        <is>
          <t>Stock-based compensation</t>
        </is>
      </c>
      <c r="B21" s="36">
        <f>Inputs!$B$34</f>
        <v/>
      </c>
      <c r="C21" s="38">
        <f>B21*(1+Inputs!C112)</f>
        <v/>
      </c>
      <c r="D21" s="38">
        <f>C21*(1+Inputs!D112)</f>
        <v/>
      </c>
      <c r="E21" s="38">
        <f>D21*(1+Inputs!E112)</f>
        <v/>
      </c>
      <c r="F21" s="38">
        <f>E21*(1+Inputs!F112)</f>
        <v/>
      </c>
      <c r="G21" s="38">
        <f>F21*(1+Inputs!G112)</f>
        <v/>
      </c>
      <c r="H21" s="38">
        <f>G21*(1+Inputs!H112)</f>
        <v/>
      </c>
      <c r="I21" s="38">
        <f>H21*(1+Inputs!I112)</f>
        <v/>
      </c>
    </row>
    <row r="22">
      <c r="A22" s="2" t="inlineStr">
        <is>
          <t>EBIT after SBC</t>
        </is>
      </c>
      <c r="C22" s="38">
        <f>C19-C21</f>
        <v/>
      </c>
      <c r="D22" s="38">
        <f>D19-D21</f>
        <v/>
      </c>
      <c r="E22" s="38">
        <f>E19-E21</f>
        <v/>
      </c>
      <c r="F22" s="38">
        <f>F19-F21</f>
        <v/>
      </c>
      <c r="G22" s="38">
        <f>G19-G21</f>
        <v/>
      </c>
      <c r="H22" s="38">
        <f>H19-H21</f>
        <v/>
      </c>
      <c r="I22" s="38">
        <f>I19-I21</f>
        <v/>
      </c>
    </row>
    <row r="23">
      <c r="A23" s="2" t="inlineStr">
        <is>
          <t>Taxes on EBIT</t>
        </is>
      </c>
      <c r="C23" s="38">
        <f>MAX(0,C22)*Inputs!$B$60</f>
        <v/>
      </c>
      <c r="D23" s="38">
        <f>MAX(0,D22)*Inputs!$B$60</f>
        <v/>
      </c>
      <c r="E23" s="38">
        <f>MAX(0,E22)*Inputs!$B$60</f>
        <v/>
      </c>
      <c r="F23" s="38">
        <f>MAX(0,F22)*Inputs!$B$60</f>
        <v/>
      </c>
      <c r="G23" s="38">
        <f>MAX(0,G22)*Inputs!$B$60</f>
        <v/>
      </c>
      <c r="H23" s="38">
        <f>MAX(0,H22)*Inputs!$B$60</f>
        <v/>
      </c>
      <c r="I23" s="38">
        <f>MAX(0,I22)*Inputs!$B$60</f>
        <v/>
      </c>
    </row>
    <row r="24">
      <c r="A24" s="2" t="inlineStr">
        <is>
          <t>NOPAT</t>
        </is>
      </c>
      <c r="C24" s="38">
        <f>C22-C23</f>
        <v/>
      </c>
      <c r="D24" s="38">
        <f>D22-D23</f>
        <v/>
      </c>
      <c r="E24" s="38">
        <f>E22-E23</f>
        <v/>
      </c>
      <c r="F24" s="38">
        <f>F22-F23</f>
        <v/>
      </c>
      <c r="G24" s="38">
        <f>G22-G23</f>
        <v/>
      </c>
      <c r="H24" s="38">
        <f>H22-H23</f>
        <v/>
      </c>
      <c r="I24" s="38">
        <f>I22-I23</f>
        <v/>
      </c>
      <c r="J24" s="38">
        <f>I24*(1+Inputs!$B$63)</f>
        <v/>
      </c>
    </row>
    <row r="25">
      <c r="A25" s="2" t="inlineStr">
        <is>
          <t>D&amp;A</t>
        </is>
      </c>
      <c r="B25" s="36">
        <f>Inputs!$B$35</f>
        <v/>
      </c>
      <c r="C25" s="38">
        <f>B25+Inputs!$B$66*(B26-B25)</f>
        <v/>
      </c>
      <c r="D25" s="38">
        <f>C25+Inputs!$B$66*(C26-C25)</f>
        <v/>
      </c>
      <c r="E25" s="38">
        <f>D25+Inputs!$B$66*(D26-D25)</f>
        <v/>
      </c>
      <c r="F25" s="38">
        <f>E25+Inputs!$B$66*(E26-E25)</f>
        <v/>
      </c>
      <c r="G25" s="38">
        <f>F25+Inputs!$B$66*(F26-F25)</f>
        <v/>
      </c>
      <c r="H25" s="38">
        <f>G25+Inputs!$B$66*(G26-G25)</f>
        <v/>
      </c>
      <c r="I25" s="38">
        <f>H25+Inputs!$B$66*(H26-H25)</f>
        <v/>
      </c>
      <c r="J25" s="38">
        <f>I25*(1+Inputs!$B$63)</f>
        <v/>
      </c>
    </row>
    <row r="26">
      <c r="A26" s="2" t="inlineStr">
        <is>
          <t>Capex</t>
        </is>
      </c>
      <c r="B26" s="36">
        <f>Inputs!$B$36</f>
        <v/>
      </c>
      <c r="C26" s="36">
        <f>Inputs!C124*Inputs!$B$74</f>
        <v/>
      </c>
      <c r="D26" s="36">
        <f>Inputs!D124*Inputs!$B$74</f>
        <v/>
      </c>
      <c r="E26" s="36">
        <f>Inputs!E124*Inputs!$B$74</f>
        <v/>
      </c>
      <c r="F26" s="36">
        <f>Inputs!F124*Inputs!$B$74</f>
        <v/>
      </c>
      <c r="G26" s="36">
        <f>Inputs!G124*Inputs!$B$74</f>
        <v/>
      </c>
      <c r="H26" s="36">
        <f>Inputs!H124*Inputs!$B$74</f>
        <v/>
      </c>
      <c r="I26" s="36">
        <f>Inputs!I124*Inputs!$B$74</f>
        <v/>
      </c>
      <c r="J26" s="38">
        <f>J25*Inputs!$B$64</f>
        <v/>
      </c>
    </row>
    <row r="27">
      <c r="A27" s="2" t="inlineStr">
        <is>
          <t>Change in net working capital</t>
        </is>
      </c>
      <c r="C27" s="38">
        <f>Inputs!$B$65*(C14-B14)</f>
        <v/>
      </c>
      <c r="D27" s="38">
        <f>Inputs!$B$65*(D14-C14)</f>
        <v/>
      </c>
      <c r="E27" s="38">
        <f>Inputs!$B$65*(E14-D14)</f>
        <v/>
      </c>
      <c r="F27" s="38">
        <f>Inputs!$B$65*(F14-E14)</f>
        <v/>
      </c>
      <c r="G27" s="38">
        <f>Inputs!$B$65*(G14-F14)</f>
        <v/>
      </c>
      <c r="H27" s="38">
        <f>Inputs!$B$65*(H14-G14)</f>
        <v/>
      </c>
      <c r="I27" s="38">
        <f>Inputs!$B$65*(I14-H14)</f>
        <v/>
      </c>
      <c r="J27" s="38">
        <f>Inputs!$B$65*(J14-I14)</f>
        <v/>
      </c>
    </row>
    <row r="28">
      <c r="A28" s="28" t="inlineStr">
        <is>
          <t>Unlevered free cash flow</t>
        </is>
      </c>
      <c r="B28" s="30" t="n"/>
      <c r="C28" s="54">
        <f>C24+C25-C26-C27</f>
        <v/>
      </c>
      <c r="D28" s="54">
        <f>D24+D25-D26-D27</f>
        <v/>
      </c>
      <c r="E28" s="54">
        <f>E24+E25-E26-E27</f>
        <v/>
      </c>
      <c r="F28" s="54">
        <f>F24+F25-F26-F27</f>
        <v/>
      </c>
      <c r="G28" s="54">
        <f>G24+G25-G26-G27</f>
        <v/>
      </c>
      <c r="H28" s="54">
        <f>H24+H25-H26-H27</f>
        <v/>
      </c>
      <c r="I28" s="54">
        <f>I24+I25-I26-I27</f>
        <v/>
      </c>
      <c r="J28" s="54">
        <f>J24+J25-J26-J27</f>
        <v/>
      </c>
    </row>
    <row r="29">
      <c r="A29" s="2" t="inlineStr">
        <is>
          <t xml:space="preserve">  FCF margin</t>
        </is>
      </c>
      <c r="C29" s="39">
        <f>IF(C14=0,0,C28/C14)</f>
        <v/>
      </c>
      <c r="D29" s="39">
        <f>IF(D14=0,0,D28/D14)</f>
        <v/>
      </c>
      <c r="E29" s="39">
        <f>IF(E14=0,0,E28/E14)</f>
        <v/>
      </c>
      <c r="F29" s="39">
        <f>IF(F14=0,0,F28/F14)</f>
        <v/>
      </c>
      <c r="G29" s="39">
        <f>IF(G14=0,0,G28/G14)</f>
        <v/>
      </c>
      <c r="H29" s="39">
        <f>IF(H14=0,0,H28/H14)</f>
        <v/>
      </c>
      <c r="I29" s="39">
        <f>IF(I14=0,0,I28/I14)</f>
        <v/>
      </c>
      <c r="J29" s="39">
        <f>IF(J14=0,0,J28/J14)</f>
        <v/>
      </c>
    </row>
    <row r="30">
      <c r="A30" s="2" t="inlineStr">
        <is>
          <t>Discount factor</t>
        </is>
      </c>
      <c r="C30" s="31">
        <f>1/(1+Inputs!$B$62)^C4</f>
        <v/>
      </c>
      <c r="D30" s="31">
        <f>1/(1+Inputs!$B$62)^D4</f>
        <v/>
      </c>
      <c r="E30" s="31">
        <f>1/(1+Inputs!$B$62)^E4</f>
        <v/>
      </c>
      <c r="F30" s="31">
        <f>1/(1+Inputs!$B$62)^F4</f>
        <v/>
      </c>
      <c r="G30" s="31">
        <f>1/(1+Inputs!$B$62)^G4</f>
        <v/>
      </c>
      <c r="H30" s="31">
        <f>1/(1+Inputs!$B$62)^H4</f>
        <v/>
      </c>
      <c r="I30" s="31">
        <f>1/(1+Inputs!$B$62)^I4</f>
        <v/>
      </c>
    </row>
    <row r="31">
      <c r="A31" s="2" t="inlineStr">
        <is>
          <t>PV of FCF</t>
        </is>
      </c>
      <c r="C31" s="38">
        <f>C28*C30</f>
        <v/>
      </c>
      <c r="D31" s="38">
        <f>D28*D30</f>
        <v/>
      </c>
      <c r="E31" s="38">
        <f>E28*E30</f>
        <v/>
      </c>
      <c r="F31" s="38">
        <f>F28*F30</f>
        <v/>
      </c>
      <c r="G31" s="38">
        <f>G28*G30</f>
        <v/>
      </c>
      <c r="H31" s="38">
        <f>H28*H30</f>
        <v/>
      </c>
      <c r="I31" s="38">
        <f>I28*I30</f>
        <v/>
      </c>
    </row>
    <row r="33">
      <c r="A33" s="1" t="inlineStr">
        <is>
          <t>VALUATION (value per share floored at $0: equity has limited liability)</t>
        </is>
      </c>
    </row>
    <row r="34">
      <c r="A34" s="2" t="inlineStr">
        <is>
          <t>Sum of PV of explicit FCF (2027-2033)</t>
        </is>
      </c>
      <c r="B34" s="38">
        <f>SUM(C31:I31)</f>
        <v/>
      </c>
    </row>
    <row r="35">
      <c r="A35" s="2" t="inlineStr">
        <is>
          <t>Terminal value at end-2033</t>
        </is>
      </c>
      <c r="B35" s="38">
        <f>IF(Inputs!$B$62&lt;=Inputs!$B$63,0,J28/(Inputs!$B$62-Inputs!$B$63))</f>
        <v/>
      </c>
    </row>
    <row r="36">
      <c r="A36" s="2" t="inlineStr">
        <is>
          <t>PV of terminal value</t>
        </is>
      </c>
      <c r="B36" s="38">
        <f>B35*I30</f>
        <v/>
      </c>
    </row>
    <row r="37">
      <c r="A37" s="1" t="inlineStr">
        <is>
          <t>Enterprise value</t>
        </is>
      </c>
      <c r="B37" s="38">
        <f>B34+B36</f>
        <v/>
      </c>
    </row>
    <row r="38">
      <c r="A38" s="2" t="inlineStr">
        <is>
          <t>+ Net cash (incl. Aug-26 raise)</t>
        </is>
      </c>
      <c r="B38" s="36">
        <f>Inputs!$B$16</f>
        <v/>
      </c>
    </row>
    <row r="39">
      <c r="A39" s="2" t="inlineStr">
        <is>
          <t>+ Altera stake</t>
        </is>
      </c>
      <c r="B39" s="36">
        <f>Inputs!$B$14</f>
        <v/>
      </c>
    </row>
    <row r="40">
      <c r="A40" s="2" t="inlineStr">
        <is>
          <t>- Non-controlling interests</t>
        </is>
      </c>
      <c r="B40" s="36">
        <f>-Inputs!$B$15</f>
        <v/>
      </c>
    </row>
    <row r="41">
      <c r="A41" s="1" t="inlineStr">
        <is>
          <t>Equity value</t>
        </is>
      </c>
      <c r="B41" s="38">
        <f>B37+B38+B39+B40</f>
        <v/>
      </c>
    </row>
    <row r="42">
      <c r="A42" s="2" t="inlineStr">
        <is>
          <t>Diluted shares (bn)</t>
        </is>
      </c>
      <c r="B42" s="37">
        <f>Inputs!$B$9</f>
        <v/>
      </c>
    </row>
    <row r="43">
      <c r="A43" s="1" t="inlineStr">
        <is>
          <t>Value per share ($)</t>
        </is>
      </c>
      <c r="B43" s="34">
        <f>IF(B42=0,0,MAX(0,B41/B42))</f>
        <v/>
      </c>
    </row>
    <row r="44">
      <c r="A44" s="2" t="inlineStr">
        <is>
          <t>Current share price ($)</t>
        </is>
      </c>
      <c r="B44" s="33">
        <f>Inputs!$B$4</f>
        <v/>
      </c>
    </row>
    <row r="45">
      <c r="A45" s="2" t="inlineStr">
        <is>
          <t>Upside / (downside) vs price</t>
        </is>
      </c>
      <c r="B45" s="39">
        <f>IF(B44=0,0,B43/B44-1)</f>
        <v/>
      </c>
    </row>
    <row r="46">
      <c r="A46" s="2" t="inlineStr">
        <is>
          <t>Terminal value as % of EV</t>
        </is>
      </c>
      <c r="B46" s="39">
        <f>IF(B37=0,0,B36/B37)</f>
        <v/>
      </c>
    </row>
    <row r="47">
      <c r="A47" s="2" t="inlineStr">
        <is>
          <t>Implied P/E on 2027 NOPAT/share at value</t>
        </is>
      </c>
      <c r="B47" s="11">
        <f>IF(C24&lt;=0,0,B43/(C24/B42))</f>
        <v/>
      </c>
    </row>
    <row r="48">
      <c r="A48" s="2" t="inlineStr">
        <is>
          <t>Market P/E on 2027 NOPAT/share</t>
        </is>
      </c>
      <c r="B48" s="11">
        <f>IF(C24&lt;=0,0,B44/(C24/B42))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2026-09-27T10:00:50Z</dcterms:created>
  <dcterms:modified xsi:type="dcterms:W3CDTF">2026-09-27T10:00:50Z</dcterms:modified>
</cp:coreProperties>
</file>
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Sensitivity" sheetId="3" state="visible" r:id="rId3"/>
    <sheet name="Inputs" sheetId="4" state="visible" r:id="rId4"/>
    <sheet name="DCF" sheetId="5" state="visible" r:id="rId5"/>
    <sheet name="ImpliedCalc" sheetId="6" state="visible" r:id="rId6"/>
    <sheet name="Filing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;(0.0%);-"/>
    <numFmt numFmtId="165" formatCode="$#,##0.00;($#,##0.00);-"/>
    <numFmt numFmtId="166" formatCode="#,##0;(#,##0);-"/>
    <numFmt numFmtId="167" formatCode="0.000"/>
    <numFmt numFmtId="168" formatCode="0.0&quot;x&quot;"/>
    <numFmt numFmtId="169" formatCode="$#,##0;($#,##0);-"/>
    <numFmt numFmtId="170" formatCode="&quot;P = &quot;0%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color rgb="000000FF"/>
    </font>
    <font>
      <name val="Arial"/>
      <i val="1"/>
      <color rgb="00595959"/>
    </font>
    <font>
      <name val="Arial"/>
      <b val="1"/>
      <color rgb="00FFFFFF"/>
    </font>
    <font>
      <name val="Arial"/>
      <color rgb="00008000"/>
    </font>
    <font>
      <name val="Arial"/>
      <i val="1"/>
    </font>
    <font>
      <name val="Arial"/>
      <b val="1"/>
      <color rgb="000000FF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165" fontId="7" fillId="0" borderId="1" pivotButton="0" quotePrefix="0" xfId="0"/>
    <xf numFmtId="168" fontId="2" fillId="0" borderId="1" pivotButton="0" quotePrefix="0" xfId="0"/>
    <xf numFmtId="164" fontId="2" fillId="0" borderId="1" pivotButton="0" quotePrefix="0" xfId="0"/>
    <xf numFmtId="164" fontId="7" fillId="0" borderId="1" pivotButton="0" quotePrefix="0" xfId="0"/>
    <xf numFmtId="169" fontId="2" fillId="0" borderId="1" pivotButton="0" quotePrefix="0" xfId="0"/>
    <xf numFmtId="169" fontId="3" fillId="0" borderId="1" pivotButton="0" quotePrefix="0" xfId="0"/>
    <xf numFmtId="170" fontId="9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169" fontId="2" fillId="0" borderId="0" pivotButton="0" quotePrefix="0" xfId="0"/>
    <xf numFmtId="0" fontId="4" fillId="2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4" fontId="4" fillId="2" borderId="0" pivotButton="0" quotePrefix="0" xfId="0"/>
    <xf numFmtId="164" fontId="7" fillId="0" borderId="0" pivotButton="0" quotePrefix="0" xfId="0"/>
    <xf numFmtId="167" fontId="2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4" fillId="0" borderId="0" pivotButton="0" quotePrefix="0" xfId="0"/>
    <xf numFmtId="166" fontId="2" fillId="0" borderId="0" pivotButton="0" quotePrefix="0" xfId="0"/>
    <xf numFmtId="166" fontId="4" fillId="2" borderId="0" pivotButton="0" quotePrefix="0" xfId="0"/>
    <xf numFmtId="166" fontId="3" fillId="0" borderId="0" pivotButton="0" quotePrefix="0" xfId="0"/>
    <xf numFmtId="0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  <xf numFmtId="0" fontId="3" fillId="4" borderId="0" pivotButton="0" quotePrefix="0" xfId="0"/>
    <xf numFmtId="0" fontId="0" fillId="4" borderId="0" pivotButton="0" quotePrefix="0" xfId="0"/>
    <xf numFmtId="164" fontId="2" fillId="0" borderId="0" pivotButton="0" quotePrefix="0" xfId="0"/>
    <xf numFmtId="165" fontId="3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Software Valuation Model — owner-FCF DCF with durability-weighted buy prices</t>
        </is>
      </c>
    </row>
    <row r="2">
      <c r="A2" s="2" t="inlineStr"/>
    </row>
    <row r="3">
      <c r="A3" s="3" t="inlineStr">
        <is>
          <t>HOW TO UPDATE AFTER A NEW FILING</t>
        </is>
      </c>
    </row>
    <row r="4">
      <c r="A4" s="2" t="inlineStr">
        <is>
          <t>1. Go to 'Inputs'. Change only BLUE cells (yellow = key judgment calls).</t>
        </is>
      </c>
    </row>
    <row r="5">
      <c r="A5" s="2" t="inlineStr">
        <is>
          <t>2. From the 10-Q / 10-K / earnings release, update: price, diluted shares, total debt, cash &amp; investments, FCF (OCF − capex), SBC.</t>
        </is>
      </c>
    </row>
    <row r="6">
      <c r="A6" s="2" t="inlineStr">
        <is>
          <t>3. Put any one-time cash items (tax catch-ups, legal settlements, working-capital swings) in 'One-time items to remove'.</t>
        </is>
      </c>
    </row>
    <row r="7">
      <c r="A7" s="2" t="inlineStr">
        <is>
          <t>4. Revisit the judgment cells: starting growth (anchor to guidance) and P(durable).</t>
        </is>
      </c>
    </row>
    <row r="8">
      <c r="A8" s="2" t="inlineStr">
        <is>
          <t>5. Read results on 'Summary'. Use 'Sensitivity' (pick a ticker in the yellow cell) to see how r and g move value.</t>
        </is>
      </c>
    </row>
    <row r="9">
      <c r="A9" s="2" t="inlineStr">
        <is>
          <t>6. Record what changed on 'Filing Log' so you can see how your target evolved.</t>
        </is>
      </c>
    </row>
    <row r="10">
      <c r="A10" s="2" t="inlineStr"/>
    </row>
    <row r="11">
      <c r="A11" s="3" t="inlineStr">
        <is>
          <t>ADDING A COMPANY</t>
        </is>
      </c>
    </row>
    <row r="12">
      <c r="A12" s="2" t="inlineStr">
        <is>
          <t>Fill an empty column (G or H) on 'Inputs'. Everything else picks it up automatically (6 slots total).</t>
        </is>
      </c>
    </row>
    <row r="13">
      <c r="A13" s="2" t="inlineStr"/>
    </row>
    <row r="14">
      <c r="A14" s="3" t="inlineStr">
        <is>
          <t>COLOR LEGEND</t>
        </is>
      </c>
    </row>
    <row r="15">
      <c r="A15" s="2" t="inlineStr">
        <is>
          <t>Blue text = hardcoded input you edit · Black = formula (do not edit) · Green = link from another sheet · Yellow fill = key judgment assumption</t>
        </is>
      </c>
    </row>
    <row r="16">
      <c r="A16" s="2" t="inlineStr"/>
    </row>
    <row r="17">
      <c r="A17" s="3" t="inlineStr">
        <is>
          <t>METHOD</t>
        </is>
      </c>
    </row>
    <row r="18">
      <c r="A18" s="2" t="inlineStr">
        <is>
          <t>Owner FCF = normalized FCF − stock-based comp (SBC treated as a real cost).</t>
        </is>
      </c>
    </row>
    <row r="19">
      <c r="A19" s="2" t="inlineStr">
        <is>
          <t>Going-concern value: 10-year DCF, growth fades linearly from 'starting growth' to terminal growth, Gordon terminal value, minus net debt, per diluted share.</t>
        </is>
      </c>
    </row>
    <row r="20">
      <c r="A20" s="2" t="inlineStr">
        <is>
          <t>Bear value: owner FCF shrinks by the bear decline rate every year forever: OwnerFCF×(1−d)/(r+d) − net debt.</t>
        </is>
      </c>
    </row>
    <row r="21">
      <c r="A21" s="2" t="inlineStr">
        <is>
          <t>Weighted value (conservative r) = P(durable) × going-concern + (1 − P(durable)) × bear.</t>
        </is>
      </c>
    </row>
    <row r="22">
      <c r="A22" s="2" t="inlineStr">
        <is>
          <t>Buy below = MIN(weighted value, going-concern value × (1 − margin of safety)), both at the conservative discount rate.</t>
        </is>
      </c>
    </row>
    <row r="23">
      <c r="A23" s="2" t="inlineStr">
        <is>
          <t>Market-implied growth = starting growth that makes going-concern value equal the price (solved on the 'ImpliedCalc' grid, 0.5% steps, −20% to +40%).</t>
        </is>
      </c>
    </row>
    <row r="24">
      <c r="A24" s="2" t="inlineStr"/>
    </row>
    <row r="25">
      <c r="A25" s="3" t="inlineStr">
        <is>
          <t>CAVEATS</t>
        </is>
      </c>
    </row>
    <row r="26">
      <c r="A26" s="2" t="inlineStr">
        <is>
          <t>Starting values (Sep-2026) came from web-search summaries of filings/press releases, not the filings themselves — verify against 10-K/10-Q.</t>
        </is>
      </c>
    </row>
    <row r="27">
      <c r="A27" s="2" t="inlineStr">
        <is>
          <t>Cells marked EST in the source notes are analyst estimates. P(durable) is a judgment, not data. This is analysis, not personal financial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4" customWidth="1" min="8" max="8"/>
    <col width="13" customWidth="1" min="9" max="9"/>
    <col width="11" customWidth="1" min="10" max="10"/>
    <col width="14" customWidth="1" min="11" max="11"/>
    <col width="14" customWidth="1" min="12" max="12"/>
    <col width="13" customWidth="1" min="13" max="13"/>
    <col width="12" customWidth="1" min="14" max="14"/>
    <col width="13" customWidth="1" min="15" max="15"/>
    <col width="13" customWidth="1" min="16" max="16"/>
    <col width="12" customWidth="1" min="17" max="17"/>
  </cols>
  <sheetData>
    <row r="1">
      <c r="A1" s="1" t="inlineStr">
        <is>
          <t>Summary — price targets (all formulas; edit 'Inputs')</t>
        </is>
      </c>
    </row>
    <row r="2">
      <c r="A2" s="4">
        <f>"Base r "&amp;TEXT(Inputs!B4,"0.0%")&amp;" · Conservative r "&amp;TEXT(Inputs!B5,"0.0%")&amp;" · Terminal g "&amp;TEXT(Inputs!B6,"0.0%")&amp;" · Bear decline "&amp;TEXT(Inputs!B7,"0.0%")&amp;" · MOS "&amp;TEXT(Inputs!B8,"0%")</f>
        <v/>
      </c>
    </row>
    <row r="4" ht="45" customHeight="1">
      <c r="A4" s="5" t="inlineStr">
        <is>
          <t>Slot</t>
        </is>
      </c>
      <c r="B4" s="5" t="inlineStr">
        <is>
          <t>Ticker</t>
        </is>
      </c>
      <c r="C4" s="5" t="inlineStr">
        <is>
          <t>Price</t>
        </is>
      </c>
      <c r="D4" s="5" t="inlineStr">
        <is>
          <t>EV / owner FCF</t>
        </is>
      </c>
      <c r="E4" s="5" t="inlineStr">
        <is>
          <t>SBC % of FCF</t>
        </is>
      </c>
      <c r="F4" s="5" t="inlineStr">
        <is>
          <t>Starting growth</t>
        </is>
      </c>
      <c r="G4" s="5" t="inlineStr">
        <is>
          <t>Going-concern value (base r)</t>
        </is>
      </c>
      <c r="H4" s="5" t="inlineStr">
        <is>
          <t>Going-concern value (cons. r)</t>
        </is>
      </c>
      <c r="I4" s="5" t="inlineStr">
        <is>
          <t>Bear value (cons. r)</t>
        </is>
      </c>
      <c r="J4" s="5" t="inlineStr">
        <is>
          <t>P(durable)</t>
        </is>
      </c>
      <c r="K4" s="5" t="inlineStr">
        <is>
          <t>Weighted value (cons. r)</t>
        </is>
      </c>
      <c r="L4" s="5" t="inlineStr">
        <is>
          <t>Going-concern × (1−MOS)</t>
        </is>
      </c>
      <c r="M4" s="6" t="inlineStr">
        <is>
          <t>BUY BELOW</t>
        </is>
      </c>
      <c r="N4" s="5" t="inlineStr">
        <is>
          <t>Price vs buy-below</t>
        </is>
      </c>
      <c r="O4" s="5" t="inlineStr">
        <is>
          <t>Implied growth (base r)</t>
        </is>
      </c>
      <c r="P4" s="5" t="inlineStr">
        <is>
          <t>Implied growth (cons. r)</t>
        </is>
      </c>
      <c r="Q4" s="5" t="inlineStr">
        <is>
          <t>Verdict</t>
        </is>
      </c>
    </row>
    <row r="5">
      <c r="A5" s="7" t="n">
        <v>1</v>
      </c>
      <c r="B5" s="8">
        <f>IF(INDEX(Inputs!$C$12:$H$12,$A5)="","",INDEX(Inputs!$C$12:$H$12,$A5))</f>
        <v/>
      </c>
      <c r="C5" s="9">
        <f>IF($B5="","",INDEX(Inputs!$C$14:$H$14,$A5))</f>
        <v/>
      </c>
      <c r="D5" s="10">
        <f>IF($B5="","",(INDEX(Inputs!$C$14:$H$14,$A5)*INDEX(Inputs!$C$15:$H$15,$A5)+INDEX(Inputs!$C$19:$H$19,$A5))/INDEX(Inputs!$C$25:$H$25,$A5))</f>
        <v/>
      </c>
      <c r="E5" s="11">
        <f>IF($B5="","",INDEX(Inputs!$C$24:$H$24,$A5)/INDEX(Inputs!$C$23:$H$23,$A5))</f>
        <v/>
      </c>
      <c r="F5" s="12">
        <f>IF($B5="","",INDEX(Inputs!$C$26:$H$26,$A5))</f>
        <v/>
      </c>
      <c r="G5" s="13">
        <f>IF($B5="","",INDEX(DCF!$C$60:$H$60,$A5))</f>
        <v/>
      </c>
      <c r="H5" s="13">
        <f>IF($B5="","",INDEX(DCF!$C$65:$H$65,$A5))</f>
        <v/>
      </c>
      <c r="I5" s="13">
        <f>IF($B5="","",INDEX(DCF!$C$66:$H$66,$A5))</f>
        <v/>
      </c>
      <c r="J5" s="12">
        <f>IF($B5="","",INDEX(Inputs!$C$27:$H$27,$A5))</f>
        <v/>
      </c>
      <c r="K5" s="13">
        <f>IF($B5="","",J5*H5+(1-J5)*I5)</f>
        <v/>
      </c>
      <c r="L5" s="13">
        <f>IF($B5="","",H5*(1-Inputs!$B$8))</f>
        <v/>
      </c>
      <c r="M5" s="14">
        <f>IF($B5="","",MIN(K5,L5))</f>
        <v/>
      </c>
      <c r="N5" s="11">
        <f>IF($B5="","",M5/C5-1)</f>
        <v/>
      </c>
      <c r="O5" s="11">
        <f>IF($B5="","",IF((INDEX(Inputs!$C$14:$H$14,$A5)*INDEX(Inputs!$C$15:$H$15,$A5)+INDEX(Inputs!$C$19:$H$19,$A5))/INDEX(Inputs!$C$25:$H$25,$A5)&lt;ImpliedCalc!$L$4,"&lt; -20%",IF((INDEX(Inputs!$C$14:$H$14,$A5)*INDEX(Inputs!$C$15:$H$15,$A5)+INDEX(Inputs!$C$19:$H$19,$A5))/INDEX(Inputs!$C$25:$H$25,$A5)&gt;ImpliedCalc!$L$124,"&gt; 40%",INDEX(ImpliedCalc!$A$4:$A$124,MATCH((INDEX(Inputs!$C$14:$H$14,$A5)*INDEX(Inputs!$C$15:$H$15,$A5)+INDEX(Inputs!$C$19:$H$19,$A5))/INDEX(Inputs!$C$25:$H$25,$A5),ImpliedCalc!$L$4:$L$124,1)))))</f>
        <v/>
      </c>
      <c r="P5" s="11">
        <f>IF($B5="","",IF((INDEX(Inputs!$C$14:$H$14,$A5)*INDEX(Inputs!$C$15:$H$15,$A5)+INDEX(Inputs!$C$19:$H$19,$A5))/INDEX(Inputs!$C$25:$H$25,$A5)&lt;ImpliedCalc!$M$4,"&lt; -20%",IF((INDEX(Inputs!$C$14:$H$14,$A5)*INDEX(Inputs!$C$15:$H$15,$A5)+INDEX(Inputs!$C$19:$H$19,$A5))/INDEX(Inputs!$C$25:$H$25,$A5)&gt;ImpliedCalc!$M$124,"&gt; 40%",INDEX(ImpliedCalc!$A$4:$A$124,MATCH((INDEX(Inputs!$C$14:$H$14,$A5)*INDEX(Inputs!$C$15:$H$15,$A5)+INDEX(Inputs!$C$19:$H$19,$A5))/INDEX(Inputs!$C$25:$H$25,$A5),ImpliedCalc!$M$4:$M$124,1)))))</f>
        <v/>
      </c>
      <c r="Q5" s="8">
        <f>IF($B5="","",IF(C5&lt;=M5,"BUY ZONE",IF(C5&lt;=M5*1.1,"WATCH","NO BUY")))</f>
        <v/>
      </c>
    </row>
    <row r="6">
      <c r="A6" s="7" t="n">
        <v>2</v>
      </c>
      <c r="B6" s="8">
        <f>IF(INDEX(Inputs!$C$12:$H$12,$A6)="","",INDEX(Inputs!$C$12:$H$12,$A6))</f>
        <v/>
      </c>
      <c r="C6" s="9">
        <f>IF($B6="","",INDEX(Inputs!$C$14:$H$14,$A6))</f>
        <v/>
      </c>
      <c r="D6" s="10">
        <f>IF($B6="","",(INDEX(Inputs!$C$14:$H$14,$A6)*INDEX(Inputs!$C$15:$H$15,$A6)+INDEX(Inputs!$C$19:$H$19,$A6))/INDEX(Inputs!$C$25:$H$25,$A6))</f>
        <v/>
      </c>
      <c r="E6" s="11">
        <f>IF($B6="","",INDEX(Inputs!$C$24:$H$24,$A6)/INDEX(Inputs!$C$23:$H$23,$A6))</f>
        <v/>
      </c>
      <c r="F6" s="12">
        <f>IF($B6="","",INDEX(Inputs!$C$26:$H$26,$A6))</f>
        <v/>
      </c>
      <c r="G6" s="13">
        <f>IF($B6="","",INDEX(DCF!$C$60:$H$60,$A6))</f>
        <v/>
      </c>
      <c r="H6" s="13">
        <f>IF($B6="","",INDEX(DCF!$C$65:$H$65,$A6))</f>
        <v/>
      </c>
      <c r="I6" s="13">
        <f>IF($B6="","",INDEX(DCF!$C$66:$H$66,$A6))</f>
        <v/>
      </c>
      <c r="J6" s="12">
        <f>IF($B6="","",INDEX(Inputs!$C$27:$H$27,$A6))</f>
        <v/>
      </c>
      <c r="K6" s="13">
        <f>IF($B6="","",J6*H6+(1-J6)*I6)</f>
        <v/>
      </c>
      <c r="L6" s="13">
        <f>IF($B6="","",H6*(1-Inputs!$B$8))</f>
        <v/>
      </c>
      <c r="M6" s="14">
        <f>IF($B6="","",MIN(K6,L6))</f>
        <v/>
      </c>
      <c r="N6" s="11">
        <f>IF($B6="","",M6/C6-1)</f>
        <v/>
      </c>
      <c r="O6" s="11">
        <f>IF($B6="","",IF((INDEX(Inputs!$C$14:$H$14,$A6)*INDEX(Inputs!$C$15:$H$15,$A6)+INDEX(Inputs!$C$19:$H$19,$A6))/INDEX(Inputs!$C$25:$H$25,$A6)&lt;ImpliedCalc!$L$4,"&lt; -20%",IF((INDEX(Inputs!$C$14:$H$14,$A6)*INDEX(Inputs!$C$15:$H$15,$A6)+INDEX(Inputs!$C$19:$H$19,$A6))/INDEX(Inputs!$C$25:$H$25,$A6)&gt;ImpliedCalc!$L$124,"&gt; 40%",INDEX(ImpliedCalc!$A$4:$A$124,MATCH((INDEX(Inputs!$C$14:$H$14,$A6)*INDEX(Inputs!$C$15:$H$15,$A6)+INDEX(Inputs!$C$19:$H$19,$A6))/INDEX(Inputs!$C$25:$H$25,$A6),ImpliedCalc!$L$4:$L$124,1)))))</f>
        <v/>
      </c>
      <c r="P6" s="11">
        <f>IF($B6="","",IF((INDEX(Inputs!$C$14:$H$14,$A6)*INDEX(Inputs!$C$15:$H$15,$A6)+INDEX(Inputs!$C$19:$H$19,$A6))/INDEX(Inputs!$C$25:$H$25,$A6)&lt;ImpliedCalc!$M$4,"&lt; -20%",IF((INDEX(Inputs!$C$14:$H$14,$A6)*INDEX(Inputs!$C$15:$H$15,$A6)+INDEX(Inputs!$C$19:$H$19,$A6))/INDEX(Inputs!$C$25:$H$25,$A6)&gt;ImpliedCalc!$M$124,"&gt; 40%",INDEX(ImpliedCalc!$A$4:$A$124,MATCH((INDEX(Inputs!$C$14:$H$14,$A6)*INDEX(Inputs!$C$15:$H$15,$A6)+INDEX(Inputs!$C$19:$H$19,$A6))/INDEX(Inputs!$C$25:$H$25,$A6),ImpliedCalc!$M$4:$M$124,1)))))</f>
        <v/>
      </c>
      <c r="Q6" s="8">
        <f>IF($B6="","",IF(C6&lt;=M6,"BUY ZONE",IF(C6&lt;=M6*1.1,"WATCH","NO BUY")))</f>
        <v/>
      </c>
    </row>
    <row r="7">
      <c r="A7" s="7" t="n">
        <v>3</v>
      </c>
      <c r="B7" s="8">
        <f>IF(INDEX(Inputs!$C$12:$H$12,$A7)="","",INDEX(Inputs!$C$12:$H$12,$A7))</f>
        <v/>
      </c>
      <c r="C7" s="9">
        <f>IF($B7="","",INDEX(Inputs!$C$14:$H$14,$A7))</f>
        <v/>
      </c>
      <c r="D7" s="10">
        <f>IF($B7="","",(INDEX(Inputs!$C$14:$H$14,$A7)*INDEX(Inputs!$C$15:$H$15,$A7)+INDEX(Inputs!$C$19:$H$19,$A7))/INDEX(Inputs!$C$25:$H$25,$A7))</f>
        <v/>
      </c>
      <c r="E7" s="11">
        <f>IF($B7="","",INDEX(Inputs!$C$24:$H$24,$A7)/INDEX(Inputs!$C$23:$H$23,$A7))</f>
        <v/>
      </c>
      <c r="F7" s="12">
        <f>IF($B7="","",INDEX(Inputs!$C$26:$H$26,$A7))</f>
        <v/>
      </c>
      <c r="G7" s="13">
        <f>IF($B7="","",INDEX(DCF!$C$60:$H$60,$A7))</f>
        <v/>
      </c>
      <c r="H7" s="13">
        <f>IF($B7="","",INDEX(DCF!$C$65:$H$65,$A7))</f>
        <v/>
      </c>
      <c r="I7" s="13">
        <f>IF($B7="","",INDEX(DCF!$C$66:$H$66,$A7))</f>
        <v/>
      </c>
      <c r="J7" s="12">
        <f>IF($B7="","",INDEX(Inputs!$C$27:$H$27,$A7))</f>
        <v/>
      </c>
      <c r="K7" s="13">
        <f>IF($B7="","",J7*H7+(1-J7)*I7)</f>
        <v/>
      </c>
      <c r="L7" s="13">
        <f>IF($B7="","",H7*(1-Inputs!$B$8))</f>
        <v/>
      </c>
      <c r="M7" s="14">
        <f>IF($B7="","",MIN(K7,L7))</f>
        <v/>
      </c>
      <c r="N7" s="11">
        <f>IF($B7="","",M7/C7-1)</f>
        <v/>
      </c>
      <c r="O7" s="11">
        <f>IF($B7="","",IF((INDEX(Inputs!$C$14:$H$14,$A7)*INDEX(Inputs!$C$15:$H$15,$A7)+INDEX(Inputs!$C$19:$H$19,$A7))/INDEX(Inputs!$C$25:$H$25,$A7)&lt;ImpliedCalc!$L$4,"&lt; -20%",IF((INDEX(Inputs!$C$14:$H$14,$A7)*INDEX(Inputs!$C$15:$H$15,$A7)+INDEX(Inputs!$C$19:$H$19,$A7))/INDEX(Inputs!$C$25:$H$25,$A7)&gt;ImpliedCalc!$L$124,"&gt; 40%",INDEX(ImpliedCalc!$A$4:$A$124,MATCH((INDEX(Inputs!$C$14:$H$14,$A7)*INDEX(Inputs!$C$15:$H$15,$A7)+INDEX(Inputs!$C$19:$H$19,$A7))/INDEX(Inputs!$C$25:$H$25,$A7),ImpliedCalc!$L$4:$L$124,1)))))</f>
        <v/>
      </c>
      <c r="P7" s="11">
        <f>IF($B7="","",IF((INDEX(Inputs!$C$14:$H$14,$A7)*INDEX(Inputs!$C$15:$H$15,$A7)+INDEX(Inputs!$C$19:$H$19,$A7))/INDEX(Inputs!$C$25:$H$25,$A7)&lt;ImpliedCalc!$M$4,"&lt; -20%",IF((INDEX(Inputs!$C$14:$H$14,$A7)*INDEX(Inputs!$C$15:$H$15,$A7)+INDEX(Inputs!$C$19:$H$19,$A7))/INDEX(Inputs!$C$25:$H$25,$A7)&gt;ImpliedCalc!$M$124,"&gt; 40%",INDEX(ImpliedCalc!$A$4:$A$124,MATCH((INDEX(Inputs!$C$14:$H$14,$A7)*INDEX(Inputs!$C$15:$H$15,$A7)+INDEX(Inputs!$C$19:$H$19,$A7))/INDEX(Inputs!$C$25:$H$25,$A7),ImpliedCalc!$M$4:$M$124,1)))))</f>
        <v/>
      </c>
      <c r="Q7" s="8">
        <f>IF($B7="","",IF(C7&lt;=M7,"BUY ZONE",IF(C7&lt;=M7*1.1,"WATCH","NO BUY")))</f>
        <v/>
      </c>
    </row>
    <row r="8">
      <c r="A8" s="7" t="n">
        <v>4</v>
      </c>
      <c r="B8" s="8">
        <f>IF(INDEX(Inputs!$C$12:$H$12,$A8)="","",INDEX(Inputs!$C$12:$H$12,$A8))</f>
        <v/>
      </c>
      <c r="C8" s="9">
        <f>IF($B8="","",INDEX(Inputs!$C$14:$H$14,$A8))</f>
        <v/>
      </c>
      <c r="D8" s="10">
        <f>IF($B8="","",(INDEX(Inputs!$C$14:$H$14,$A8)*INDEX(Inputs!$C$15:$H$15,$A8)+INDEX(Inputs!$C$19:$H$19,$A8))/INDEX(Inputs!$C$25:$H$25,$A8))</f>
        <v/>
      </c>
      <c r="E8" s="11">
        <f>IF($B8="","",INDEX(Inputs!$C$24:$H$24,$A8)/INDEX(Inputs!$C$23:$H$23,$A8))</f>
        <v/>
      </c>
      <c r="F8" s="12">
        <f>IF($B8="","",INDEX(Inputs!$C$26:$H$26,$A8))</f>
        <v/>
      </c>
      <c r="G8" s="13">
        <f>IF($B8="","",INDEX(DCF!$C$60:$H$60,$A8))</f>
        <v/>
      </c>
      <c r="H8" s="13">
        <f>IF($B8="","",INDEX(DCF!$C$65:$H$65,$A8))</f>
        <v/>
      </c>
      <c r="I8" s="13">
        <f>IF($B8="","",INDEX(DCF!$C$66:$H$66,$A8))</f>
        <v/>
      </c>
      <c r="J8" s="12">
        <f>IF($B8="","",INDEX(Inputs!$C$27:$H$27,$A8))</f>
        <v/>
      </c>
      <c r="K8" s="13">
        <f>IF($B8="","",J8*H8+(1-J8)*I8)</f>
        <v/>
      </c>
      <c r="L8" s="13">
        <f>IF($B8="","",H8*(1-Inputs!$B$8))</f>
        <v/>
      </c>
      <c r="M8" s="14">
        <f>IF($B8="","",MIN(K8,L8))</f>
        <v/>
      </c>
      <c r="N8" s="11">
        <f>IF($B8="","",M8/C8-1)</f>
        <v/>
      </c>
      <c r="O8" s="11">
        <f>IF($B8="","",IF((INDEX(Inputs!$C$14:$H$14,$A8)*INDEX(Inputs!$C$15:$H$15,$A8)+INDEX(Inputs!$C$19:$H$19,$A8))/INDEX(Inputs!$C$25:$H$25,$A8)&lt;ImpliedCalc!$L$4,"&lt; -20%",IF((INDEX(Inputs!$C$14:$H$14,$A8)*INDEX(Inputs!$C$15:$H$15,$A8)+INDEX(Inputs!$C$19:$H$19,$A8))/INDEX(Inputs!$C$25:$H$25,$A8)&gt;ImpliedCalc!$L$124,"&gt; 40%",INDEX(ImpliedCalc!$A$4:$A$124,MATCH((INDEX(Inputs!$C$14:$H$14,$A8)*INDEX(Inputs!$C$15:$H$15,$A8)+INDEX(Inputs!$C$19:$H$19,$A8))/INDEX(Inputs!$C$25:$H$25,$A8),ImpliedCalc!$L$4:$L$124,1)))))</f>
        <v/>
      </c>
      <c r="P8" s="11">
        <f>IF($B8="","",IF((INDEX(Inputs!$C$14:$H$14,$A8)*INDEX(Inputs!$C$15:$H$15,$A8)+INDEX(Inputs!$C$19:$H$19,$A8))/INDEX(Inputs!$C$25:$H$25,$A8)&lt;ImpliedCalc!$M$4,"&lt; -20%",IF((INDEX(Inputs!$C$14:$H$14,$A8)*INDEX(Inputs!$C$15:$H$15,$A8)+INDEX(Inputs!$C$19:$H$19,$A8))/INDEX(Inputs!$C$25:$H$25,$A8)&gt;ImpliedCalc!$M$124,"&gt; 40%",INDEX(ImpliedCalc!$A$4:$A$124,MATCH((INDEX(Inputs!$C$14:$H$14,$A8)*INDEX(Inputs!$C$15:$H$15,$A8)+INDEX(Inputs!$C$19:$H$19,$A8))/INDEX(Inputs!$C$25:$H$25,$A8),ImpliedCalc!$M$4:$M$124,1)))))</f>
        <v/>
      </c>
      <c r="Q8" s="8">
        <f>IF($B8="","",IF(C8&lt;=M8,"BUY ZONE",IF(C8&lt;=M8*1.1,"WATCH","NO BUY")))</f>
        <v/>
      </c>
    </row>
    <row r="9">
      <c r="A9" s="7" t="n">
        <v>5</v>
      </c>
      <c r="B9" s="8">
        <f>IF(INDEX(Inputs!$C$12:$H$12,$A9)="","",INDEX(Inputs!$C$12:$H$12,$A9))</f>
        <v/>
      </c>
      <c r="C9" s="9">
        <f>IF($B9="","",INDEX(Inputs!$C$14:$H$14,$A9))</f>
        <v/>
      </c>
      <c r="D9" s="10">
        <f>IF($B9="","",(INDEX(Inputs!$C$14:$H$14,$A9)*INDEX(Inputs!$C$15:$H$15,$A9)+INDEX(Inputs!$C$19:$H$19,$A9))/INDEX(Inputs!$C$25:$H$25,$A9))</f>
        <v/>
      </c>
      <c r="E9" s="11">
        <f>IF($B9="","",INDEX(Inputs!$C$24:$H$24,$A9)/INDEX(Inputs!$C$23:$H$23,$A9))</f>
        <v/>
      </c>
      <c r="F9" s="12">
        <f>IF($B9="","",INDEX(Inputs!$C$26:$H$26,$A9))</f>
        <v/>
      </c>
      <c r="G9" s="13">
        <f>IF($B9="","",INDEX(DCF!$C$60:$H$60,$A9))</f>
        <v/>
      </c>
      <c r="H9" s="13">
        <f>IF($B9="","",INDEX(DCF!$C$65:$H$65,$A9))</f>
        <v/>
      </c>
      <c r="I9" s="13">
        <f>IF($B9="","",INDEX(DCF!$C$66:$H$66,$A9))</f>
        <v/>
      </c>
      <c r="J9" s="12">
        <f>IF($B9="","",INDEX(Inputs!$C$27:$H$27,$A9))</f>
        <v/>
      </c>
      <c r="K9" s="13">
        <f>IF($B9="","",J9*H9+(1-J9)*I9)</f>
        <v/>
      </c>
      <c r="L9" s="13">
        <f>IF($B9="","",H9*(1-Inputs!$B$8))</f>
        <v/>
      </c>
      <c r="M9" s="14">
        <f>IF($B9="","",MIN(K9,L9))</f>
        <v/>
      </c>
      <c r="N9" s="11">
        <f>IF($B9="","",M9/C9-1)</f>
        <v/>
      </c>
      <c r="O9" s="11">
        <f>IF($B9="","",IF((INDEX(Inputs!$C$14:$H$14,$A9)*INDEX(Inputs!$C$15:$H$15,$A9)+INDEX(Inputs!$C$19:$H$19,$A9))/INDEX(Inputs!$C$25:$H$25,$A9)&lt;ImpliedCalc!$L$4,"&lt; -20%",IF((INDEX(Inputs!$C$14:$H$14,$A9)*INDEX(Inputs!$C$15:$H$15,$A9)+INDEX(Inputs!$C$19:$H$19,$A9))/INDEX(Inputs!$C$25:$H$25,$A9)&gt;ImpliedCalc!$L$124,"&gt; 40%",INDEX(ImpliedCalc!$A$4:$A$124,MATCH((INDEX(Inputs!$C$14:$H$14,$A9)*INDEX(Inputs!$C$15:$H$15,$A9)+INDEX(Inputs!$C$19:$H$19,$A9))/INDEX(Inputs!$C$25:$H$25,$A9),ImpliedCalc!$L$4:$L$124,1)))))</f>
        <v/>
      </c>
      <c r="P9" s="11">
        <f>IF($B9="","",IF((INDEX(Inputs!$C$14:$H$14,$A9)*INDEX(Inputs!$C$15:$H$15,$A9)+INDEX(Inputs!$C$19:$H$19,$A9))/INDEX(Inputs!$C$25:$H$25,$A9)&lt;ImpliedCalc!$M$4,"&lt; -20%",IF((INDEX(Inputs!$C$14:$H$14,$A9)*INDEX(Inputs!$C$15:$H$15,$A9)+INDEX(Inputs!$C$19:$H$19,$A9))/INDEX(Inputs!$C$25:$H$25,$A9)&gt;ImpliedCalc!$M$124,"&gt; 40%",INDEX(ImpliedCalc!$A$4:$A$124,MATCH((INDEX(Inputs!$C$14:$H$14,$A9)*INDEX(Inputs!$C$15:$H$15,$A9)+INDEX(Inputs!$C$19:$H$19,$A9))/INDEX(Inputs!$C$25:$H$25,$A9),ImpliedCalc!$M$4:$M$124,1)))))</f>
        <v/>
      </c>
      <c r="Q9" s="8">
        <f>IF($B9="","",IF(C9&lt;=M9,"BUY ZONE",IF(C9&lt;=M9*1.1,"WATCH","NO BUY")))</f>
        <v/>
      </c>
    </row>
    <row r="10">
      <c r="A10" s="7" t="n">
        <v>6</v>
      </c>
      <c r="B10" s="8">
        <f>IF(INDEX(Inputs!$C$12:$H$12,$A10)="","",INDEX(Inputs!$C$12:$H$12,$A10))</f>
        <v/>
      </c>
      <c r="C10" s="9">
        <f>IF($B10="","",INDEX(Inputs!$C$14:$H$14,$A10))</f>
        <v/>
      </c>
      <c r="D10" s="10">
        <f>IF($B10="","",(INDEX(Inputs!$C$14:$H$14,$A10)*INDEX(Inputs!$C$15:$H$15,$A10)+INDEX(Inputs!$C$19:$H$19,$A10))/INDEX(Inputs!$C$25:$H$25,$A10))</f>
        <v/>
      </c>
      <c r="E10" s="11">
        <f>IF($B10="","",INDEX(Inputs!$C$24:$H$24,$A10)/INDEX(Inputs!$C$23:$H$23,$A10))</f>
        <v/>
      </c>
      <c r="F10" s="12">
        <f>IF($B10="","",INDEX(Inputs!$C$26:$H$26,$A10))</f>
        <v/>
      </c>
      <c r="G10" s="13">
        <f>IF($B10="","",INDEX(DCF!$C$60:$H$60,$A10))</f>
        <v/>
      </c>
      <c r="H10" s="13">
        <f>IF($B10="","",INDEX(DCF!$C$65:$H$65,$A10))</f>
        <v/>
      </c>
      <c r="I10" s="13">
        <f>IF($B10="","",INDEX(DCF!$C$66:$H$66,$A10))</f>
        <v/>
      </c>
      <c r="J10" s="12">
        <f>IF($B10="","",INDEX(Inputs!$C$27:$H$27,$A10))</f>
        <v/>
      </c>
      <c r="K10" s="13">
        <f>IF($B10="","",J10*H10+(1-J10)*I10)</f>
        <v/>
      </c>
      <c r="L10" s="13">
        <f>IF($B10="","",H10*(1-Inputs!$B$8))</f>
        <v/>
      </c>
      <c r="M10" s="14">
        <f>IF($B10="","",MIN(K10,L10))</f>
        <v/>
      </c>
      <c r="N10" s="11">
        <f>IF($B10="","",M10/C10-1)</f>
        <v/>
      </c>
      <c r="O10" s="11">
        <f>IF($B10="","",IF((INDEX(Inputs!$C$14:$H$14,$A10)*INDEX(Inputs!$C$15:$H$15,$A10)+INDEX(Inputs!$C$19:$H$19,$A10))/INDEX(Inputs!$C$25:$H$25,$A10)&lt;ImpliedCalc!$L$4,"&lt; -20%",IF((INDEX(Inputs!$C$14:$H$14,$A10)*INDEX(Inputs!$C$15:$H$15,$A10)+INDEX(Inputs!$C$19:$H$19,$A10))/INDEX(Inputs!$C$25:$H$25,$A10)&gt;ImpliedCalc!$L$124,"&gt; 40%",INDEX(ImpliedCalc!$A$4:$A$124,MATCH((INDEX(Inputs!$C$14:$H$14,$A10)*INDEX(Inputs!$C$15:$H$15,$A10)+INDEX(Inputs!$C$19:$H$19,$A10))/INDEX(Inputs!$C$25:$H$25,$A10),ImpliedCalc!$L$4:$L$124,1)))))</f>
        <v/>
      </c>
      <c r="P10" s="11">
        <f>IF($B10="","",IF((INDEX(Inputs!$C$14:$H$14,$A10)*INDEX(Inputs!$C$15:$H$15,$A10)+INDEX(Inputs!$C$19:$H$19,$A10))/INDEX(Inputs!$C$25:$H$25,$A10)&lt;ImpliedCalc!$M$4,"&lt; -20%",IF((INDEX(Inputs!$C$14:$H$14,$A10)*INDEX(Inputs!$C$15:$H$15,$A10)+INDEX(Inputs!$C$19:$H$19,$A10))/INDEX(Inputs!$C$25:$H$25,$A10)&gt;ImpliedCalc!$M$124,"&gt; 40%",INDEX(ImpliedCalc!$A$4:$A$124,MATCH((INDEX(Inputs!$C$14:$H$14,$A10)*INDEX(Inputs!$C$15:$H$15,$A10)+INDEX(Inputs!$C$19:$H$19,$A10))/INDEX(Inputs!$C$25:$H$25,$A10),ImpliedCalc!$M$4:$M$124,1)))))</f>
        <v/>
      </c>
      <c r="Q10" s="8">
        <f>IF($B10="","",IF(C10&lt;=M10,"BUY ZONE",IF(C10&lt;=M10*1.1,"WATCH","NO BUY")))</f>
        <v/>
      </c>
    </row>
    <row r="12">
      <c r="A12" s="4" t="inlineStr">
        <is>
          <t>Buy below = MIN(weighted value, going-concern × (1 − MOS)), both at the conservative discount rate. Verdict: BUY ZONE if price ≤ buy-below; WATCH if within 10% above; else NO BUY.</t>
        </is>
      </c>
    </row>
    <row r="13">
      <c r="A13" s="4" t="inlineStr">
        <is>
          <t>Implied growth = starting growth at which going-concern value equals today's price (0.5% steps). Compare with guidance: far above guidance = market optimistic; below = market pessimistic.</t>
        </is>
      </c>
    </row>
    <row r="15">
      <c r="A15" s="3" t="inlineStr">
        <is>
          <t>P(durable) sensitivity of weighted value (cons. r)</t>
        </is>
      </c>
    </row>
    <row r="16">
      <c r="B16" s="5" t="inlineStr">
        <is>
          <t>Ticker</t>
        </is>
      </c>
      <c r="C16" s="15" t="n">
        <v>0.3</v>
      </c>
      <c r="D16" s="15" t="n">
        <v>0.5</v>
      </c>
      <c r="E16" s="15" t="n">
        <v>0.7</v>
      </c>
      <c r="F16" s="15" t="n">
        <v>0.9</v>
      </c>
    </row>
    <row r="17">
      <c r="B17" s="16">
        <f>B5</f>
        <v/>
      </c>
      <c r="C17" s="17">
        <f>IF($B17="","",C$16*$H5+(1-C$16)*$I5)</f>
        <v/>
      </c>
      <c r="D17" s="17">
        <f>IF($B17="","",D$16*$H5+(1-D$16)*$I5)</f>
        <v/>
      </c>
      <c r="E17" s="17">
        <f>IF($B17="","",E$16*$H5+(1-E$16)*$I5)</f>
        <v/>
      </c>
      <c r="F17" s="17">
        <f>IF($B17="","",F$16*$H5+(1-F$16)*$I5)</f>
        <v/>
      </c>
    </row>
    <row r="18">
      <c r="B18" s="16">
        <f>B6</f>
        <v/>
      </c>
      <c r="C18" s="17">
        <f>IF($B18="","",C$16*$H6+(1-C$16)*$I6)</f>
        <v/>
      </c>
      <c r="D18" s="17">
        <f>IF($B18="","",D$16*$H6+(1-D$16)*$I6)</f>
        <v/>
      </c>
      <c r="E18" s="17">
        <f>IF($B18="","",E$16*$H6+(1-E$16)*$I6)</f>
        <v/>
      </c>
      <c r="F18" s="17">
        <f>IF($B18="","",F$16*$H6+(1-F$16)*$I6)</f>
        <v/>
      </c>
    </row>
    <row r="19">
      <c r="B19" s="16">
        <f>B7</f>
        <v/>
      </c>
      <c r="C19" s="17">
        <f>IF($B19="","",C$16*$H7+(1-C$16)*$I7)</f>
        <v/>
      </c>
      <c r="D19" s="17">
        <f>IF($B19="","",D$16*$H7+(1-D$16)*$I7)</f>
        <v/>
      </c>
      <c r="E19" s="17">
        <f>IF($B19="","",E$16*$H7+(1-E$16)*$I7)</f>
        <v/>
      </c>
      <c r="F19" s="17">
        <f>IF($B19="","",F$16*$H7+(1-F$16)*$I7)</f>
        <v/>
      </c>
    </row>
    <row r="20">
      <c r="B20" s="16">
        <f>B8</f>
        <v/>
      </c>
      <c r="C20" s="17">
        <f>IF($B20="","",C$16*$H8+(1-C$16)*$I8)</f>
        <v/>
      </c>
      <c r="D20" s="17">
        <f>IF($B20="","",D$16*$H8+(1-D$16)*$I8)</f>
        <v/>
      </c>
      <c r="E20" s="17">
        <f>IF($B20="","",E$16*$H8+(1-E$16)*$I8)</f>
        <v/>
      </c>
      <c r="F20" s="17">
        <f>IF($B20="","",F$16*$H8+(1-F$16)*$I8)</f>
        <v/>
      </c>
    </row>
    <row r="21">
      <c r="B21" s="16">
        <f>B9</f>
        <v/>
      </c>
      <c r="C21" s="17">
        <f>IF($B21="","",C$16*$H9+(1-C$16)*$I9)</f>
        <v/>
      </c>
      <c r="D21" s="17">
        <f>IF($B21="","",D$16*$H9+(1-D$16)*$I9)</f>
        <v/>
      </c>
      <c r="E21" s="17">
        <f>IF($B21="","",E$16*$H9+(1-E$16)*$I9)</f>
        <v/>
      </c>
      <c r="F21" s="17">
        <f>IF($B21="","",F$16*$H9+(1-F$16)*$I9)</f>
        <v/>
      </c>
    </row>
    <row r="22">
      <c r="B22" s="16">
        <f>B10</f>
        <v/>
      </c>
      <c r="C22" s="17">
        <f>IF($B22="","",C$16*$H10+(1-C$16)*$I10)</f>
        <v/>
      </c>
      <c r="D22" s="17">
        <f>IF($B22="","",D$16*$H10+(1-D$16)*$I10)</f>
        <v/>
      </c>
      <c r="E22" s="17">
        <f>IF($B22="","",E$16*$H10+(1-E$16)*$I10)</f>
        <v/>
      </c>
      <c r="F22" s="17">
        <f>IF($B22="","",F$16*$H10+(1-F$16)*$I10)</f>
        <v/>
      </c>
    </row>
  </sheetData>
  <conditionalFormatting sqref="Q5:Q10">
    <cfRule type="cellIs" priority="1" operator="equal" dxfId="0">
      <formula>"BUY ZONE"</formula>
    </cfRule>
    <cfRule type="cellIs" priority="2" operator="equal" dxfId="1">
      <formula>"WATCH"</formula>
    </cfRule>
    <cfRule type="cellIs" priority="3" operator="equal" dxfId="2">
      <formula>"NO BUY"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Sensitivity — going-concern value per share</t>
        </is>
      </c>
    </row>
    <row r="3">
      <c r="A3" s="3" t="inlineStr">
        <is>
          <t>Pick ticker:</t>
        </is>
      </c>
      <c r="B3" s="18" t="inlineStr">
        <is>
          <t>INTU</t>
        </is>
      </c>
    </row>
    <row r="4">
      <c r="A4" s="2" t="inlineStr">
        <is>
          <t>Slot</t>
        </is>
      </c>
      <c r="B4" s="2">
        <f>MATCH(B3,Inputs!$C$12:$H$12,0)</f>
        <v/>
      </c>
    </row>
    <row r="5">
      <c r="A5" s="2" t="inlineStr">
        <is>
          <t>Price</t>
        </is>
      </c>
      <c r="B5" s="19">
        <f>INDEX(Inputs!$C$14:$H$14,B4)</f>
        <v/>
      </c>
    </row>
    <row r="6">
      <c r="A6" s="2" t="inlineStr">
        <is>
          <t>Owner FCF ($mm)</t>
        </is>
      </c>
      <c r="B6" s="20">
        <f>INDEX(Inputs!$C$25:$H$25,B4)</f>
        <v/>
      </c>
    </row>
    <row r="7">
      <c r="A7" s="2" t="inlineStr">
        <is>
          <t>Net debt ($mm)</t>
        </is>
      </c>
      <c r="B7" s="20">
        <f>INDEX(Inputs!$C$19:$H$19,B4)</f>
        <v/>
      </c>
    </row>
    <row r="8">
      <c r="A8" s="2" t="inlineStr">
        <is>
          <t>Shares (mm)</t>
        </is>
      </c>
      <c r="B8" s="20">
        <f>INDEX(Inputs!$C$15:$H$15,B4)</f>
        <v/>
      </c>
    </row>
    <row r="10">
      <c r="A10" s="3" t="inlineStr">
        <is>
          <t>Discount rate ↓ / Starting growth →  (edit the blue/yellow cells)</t>
        </is>
      </c>
    </row>
    <row r="11">
      <c r="B11" s="21" t="n">
        <v>-0.05</v>
      </c>
      <c r="C11" s="21" t="n">
        <v>0</v>
      </c>
      <c r="D11" s="21" t="n">
        <v>0.05</v>
      </c>
      <c r="E11" s="21" t="n">
        <v>0.09</v>
      </c>
      <c r="F11" s="21" t="n">
        <v>0.13</v>
      </c>
      <c r="G11" s="21" t="n">
        <v>0.17</v>
      </c>
    </row>
    <row r="12">
      <c r="A12" s="21" t="n">
        <v>0.08500000000000001</v>
      </c>
      <c r="B12" s="13">
        <f>IF($B$4="","",($B$6*(SUMPRODUCT(B$27:B$36,1/(1+$A12)^$A$27:$A$36)+B$36*(1+Inputs!$B$6)/($A12-Inputs!$B$6)/(1+$A12)^10)-$B$7)/$B$8)</f>
        <v/>
      </c>
      <c r="C12" s="13">
        <f>IF($B$4="","",($B$6*(SUMPRODUCT(C$27:C$36,1/(1+$A12)^$A$27:$A$36)+C$36*(1+Inputs!$B$6)/($A12-Inputs!$B$6)/(1+$A12)^10)-$B$7)/$B$8)</f>
        <v/>
      </c>
      <c r="D12" s="13">
        <f>IF($B$4="","",($B$6*(SUMPRODUCT(D$27:D$36,1/(1+$A12)^$A$27:$A$36)+D$36*(1+Inputs!$B$6)/($A12-Inputs!$B$6)/(1+$A12)^10)-$B$7)/$B$8)</f>
        <v/>
      </c>
      <c r="E12" s="13">
        <f>IF($B$4="","",($B$6*(SUMPRODUCT(E$27:E$36,1/(1+$A12)^$A$27:$A$36)+E$36*(1+Inputs!$B$6)/($A12-Inputs!$B$6)/(1+$A12)^10)-$B$7)/$B$8)</f>
        <v/>
      </c>
      <c r="F12" s="13">
        <f>IF($B$4="","",($B$6*(SUMPRODUCT(F$27:F$36,1/(1+$A12)^$A$27:$A$36)+F$36*(1+Inputs!$B$6)/($A12-Inputs!$B$6)/(1+$A12)^10)-$B$7)/$B$8)</f>
        <v/>
      </c>
      <c r="G12" s="13">
        <f>IF($B$4="","",($B$6*(SUMPRODUCT(G$27:G$36,1/(1+$A12)^$A$27:$A$36)+G$36*(1+Inputs!$B$6)/($A12-Inputs!$B$6)/(1+$A12)^10)-$B$7)/$B$8)</f>
        <v/>
      </c>
    </row>
    <row r="13">
      <c r="A13" s="21" t="n">
        <v>0.095</v>
      </c>
      <c r="B13" s="13">
        <f>IF($B$4="","",($B$6*(SUMPRODUCT(B$27:B$36,1/(1+$A13)^$A$27:$A$36)+B$36*(1+Inputs!$B$6)/($A13-Inputs!$B$6)/(1+$A13)^10)-$B$7)/$B$8)</f>
        <v/>
      </c>
      <c r="C13" s="13">
        <f>IF($B$4="","",($B$6*(SUMPRODUCT(C$27:C$36,1/(1+$A13)^$A$27:$A$36)+C$36*(1+Inputs!$B$6)/($A13-Inputs!$B$6)/(1+$A13)^10)-$B$7)/$B$8)</f>
        <v/>
      </c>
      <c r="D13" s="13">
        <f>IF($B$4="","",($B$6*(SUMPRODUCT(D$27:D$36,1/(1+$A13)^$A$27:$A$36)+D$36*(1+Inputs!$B$6)/($A13-Inputs!$B$6)/(1+$A13)^10)-$B$7)/$B$8)</f>
        <v/>
      </c>
      <c r="E13" s="13">
        <f>IF($B$4="","",($B$6*(SUMPRODUCT(E$27:E$36,1/(1+$A13)^$A$27:$A$36)+E$36*(1+Inputs!$B$6)/($A13-Inputs!$B$6)/(1+$A13)^10)-$B$7)/$B$8)</f>
        <v/>
      </c>
      <c r="F13" s="13">
        <f>IF($B$4="","",($B$6*(SUMPRODUCT(F$27:F$36,1/(1+$A13)^$A$27:$A$36)+F$36*(1+Inputs!$B$6)/($A13-Inputs!$B$6)/(1+$A13)^10)-$B$7)/$B$8)</f>
        <v/>
      </c>
      <c r="G13" s="13">
        <f>IF($B$4="","",($B$6*(SUMPRODUCT(G$27:G$36,1/(1+$A13)^$A$27:$A$36)+G$36*(1+Inputs!$B$6)/($A13-Inputs!$B$6)/(1+$A13)^10)-$B$7)/$B$8)</f>
        <v/>
      </c>
    </row>
    <row r="14">
      <c r="A14" s="21" t="n">
        <v>0.105</v>
      </c>
      <c r="B14" s="13">
        <f>IF($B$4="","",($B$6*(SUMPRODUCT(B$27:B$36,1/(1+$A14)^$A$27:$A$36)+B$36*(1+Inputs!$B$6)/($A14-Inputs!$B$6)/(1+$A14)^10)-$B$7)/$B$8)</f>
        <v/>
      </c>
      <c r="C14" s="13">
        <f>IF($B$4="","",($B$6*(SUMPRODUCT(C$27:C$36,1/(1+$A14)^$A$27:$A$36)+C$36*(1+Inputs!$B$6)/($A14-Inputs!$B$6)/(1+$A14)^10)-$B$7)/$B$8)</f>
        <v/>
      </c>
      <c r="D14" s="13">
        <f>IF($B$4="","",($B$6*(SUMPRODUCT(D$27:D$36,1/(1+$A14)^$A$27:$A$36)+D$36*(1+Inputs!$B$6)/($A14-Inputs!$B$6)/(1+$A14)^10)-$B$7)/$B$8)</f>
        <v/>
      </c>
      <c r="E14" s="13">
        <f>IF($B$4="","",($B$6*(SUMPRODUCT(E$27:E$36,1/(1+$A14)^$A$27:$A$36)+E$36*(1+Inputs!$B$6)/($A14-Inputs!$B$6)/(1+$A14)^10)-$B$7)/$B$8)</f>
        <v/>
      </c>
      <c r="F14" s="13">
        <f>IF($B$4="","",($B$6*(SUMPRODUCT(F$27:F$36,1/(1+$A14)^$A$27:$A$36)+F$36*(1+Inputs!$B$6)/($A14-Inputs!$B$6)/(1+$A14)^10)-$B$7)/$B$8)</f>
        <v/>
      </c>
      <c r="G14" s="13">
        <f>IF($B$4="","",($B$6*(SUMPRODUCT(G$27:G$36,1/(1+$A14)^$A$27:$A$36)+G$36*(1+Inputs!$B$6)/($A14-Inputs!$B$6)/(1+$A14)^10)-$B$7)/$B$8)</f>
        <v/>
      </c>
    </row>
    <row r="15">
      <c r="A15" s="21" t="n">
        <v>0.115</v>
      </c>
      <c r="B15" s="13">
        <f>IF($B$4="","",($B$6*(SUMPRODUCT(B$27:B$36,1/(1+$A15)^$A$27:$A$36)+B$36*(1+Inputs!$B$6)/($A15-Inputs!$B$6)/(1+$A15)^10)-$B$7)/$B$8)</f>
        <v/>
      </c>
      <c r="C15" s="13">
        <f>IF($B$4="","",($B$6*(SUMPRODUCT(C$27:C$36,1/(1+$A15)^$A$27:$A$36)+C$36*(1+Inputs!$B$6)/($A15-Inputs!$B$6)/(1+$A15)^10)-$B$7)/$B$8)</f>
        <v/>
      </c>
      <c r="D15" s="13">
        <f>IF($B$4="","",($B$6*(SUMPRODUCT(D$27:D$36,1/(1+$A15)^$A$27:$A$36)+D$36*(1+Inputs!$B$6)/($A15-Inputs!$B$6)/(1+$A15)^10)-$B$7)/$B$8)</f>
        <v/>
      </c>
      <c r="E15" s="13">
        <f>IF($B$4="","",($B$6*(SUMPRODUCT(E$27:E$36,1/(1+$A15)^$A$27:$A$36)+E$36*(1+Inputs!$B$6)/($A15-Inputs!$B$6)/(1+$A15)^10)-$B$7)/$B$8)</f>
        <v/>
      </c>
      <c r="F15" s="13">
        <f>IF($B$4="","",($B$6*(SUMPRODUCT(F$27:F$36,1/(1+$A15)^$A$27:$A$36)+F$36*(1+Inputs!$B$6)/($A15-Inputs!$B$6)/(1+$A15)^10)-$B$7)/$B$8)</f>
        <v/>
      </c>
      <c r="G15" s="13">
        <f>IF($B$4="","",($B$6*(SUMPRODUCT(G$27:G$36,1/(1+$A15)^$A$27:$A$36)+G$36*(1+Inputs!$B$6)/($A15-Inputs!$B$6)/(1+$A15)^10)-$B$7)/$B$8)</f>
        <v/>
      </c>
    </row>
    <row r="16">
      <c r="A16" s="21" t="n">
        <v>0.125</v>
      </c>
      <c r="B16" s="13">
        <f>IF($B$4="","",($B$6*(SUMPRODUCT(B$27:B$36,1/(1+$A16)^$A$27:$A$36)+B$36*(1+Inputs!$B$6)/($A16-Inputs!$B$6)/(1+$A16)^10)-$B$7)/$B$8)</f>
        <v/>
      </c>
      <c r="C16" s="13">
        <f>IF($B$4="","",($B$6*(SUMPRODUCT(C$27:C$36,1/(1+$A16)^$A$27:$A$36)+C$36*(1+Inputs!$B$6)/($A16-Inputs!$B$6)/(1+$A16)^10)-$B$7)/$B$8)</f>
        <v/>
      </c>
      <c r="D16" s="13">
        <f>IF($B$4="","",($B$6*(SUMPRODUCT(D$27:D$36,1/(1+$A16)^$A$27:$A$36)+D$36*(1+Inputs!$B$6)/($A16-Inputs!$B$6)/(1+$A16)^10)-$B$7)/$B$8)</f>
        <v/>
      </c>
      <c r="E16" s="13">
        <f>IF($B$4="","",($B$6*(SUMPRODUCT(E$27:E$36,1/(1+$A16)^$A$27:$A$36)+E$36*(1+Inputs!$B$6)/($A16-Inputs!$B$6)/(1+$A16)^10)-$B$7)/$B$8)</f>
        <v/>
      </c>
      <c r="F16" s="13">
        <f>IF($B$4="","",($B$6*(SUMPRODUCT(F$27:F$36,1/(1+$A16)^$A$27:$A$36)+F$36*(1+Inputs!$B$6)/($A16-Inputs!$B$6)/(1+$A16)^10)-$B$7)/$B$8)</f>
        <v/>
      </c>
      <c r="G16" s="13">
        <f>IF($B$4="","",($B$6*(SUMPRODUCT(G$27:G$36,1/(1+$A16)^$A$27:$A$36)+G$36*(1+Inputs!$B$6)/($A16-Inputs!$B$6)/(1+$A16)^10)-$B$7)/$B$8)</f>
        <v/>
      </c>
    </row>
    <row r="18">
      <c r="A18" s="4" t="inlineStr">
        <is>
          <t>Green = value above today's price; red = below. Terminal growth comes from Inputs!B6; change it there to test 2% vs 3%.</t>
        </is>
      </c>
    </row>
    <row r="25">
      <c r="A25" s="3" t="inlineStr">
        <is>
          <t>Helper: cumulative growth factors per column (do not edit)</t>
        </is>
      </c>
    </row>
    <row r="26">
      <c r="A26" s="3" t="inlineStr">
        <is>
          <t>Year</t>
        </is>
      </c>
      <c r="B26" s="22">
        <f>B11</f>
        <v/>
      </c>
      <c r="C26" s="22">
        <f>C11</f>
        <v/>
      </c>
      <c r="D26" s="22">
        <f>D11</f>
        <v/>
      </c>
      <c r="E26" s="22">
        <f>E11</f>
        <v/>
      </c>
      <c r="F26" s="22">
        <f>F11</f>
        <v/>
      </c>
      <c r="G26" s="22">
        <f>G11</f>
        <v/>
      </c>
    </row>
    <row r="27">
      <c r="A27" s="2" t="n">
        <v>1</v>
      </c>
      <c r="B27" s="23">
        <f>1*(1+B$11+(Inputs!$B$6-B$11)*($A27-1)/9)</f>
        <v/>
      </c>
      <c r="C27" s="23">
        <f>1*(1+C$11+(Inputs!$B$6-C$11)*($A27-1)/9)</f>
        <v/>
      </c>
      <c r="D27" s="23">
        <f>1*(1+D$11+(Inputs!$B$6-D$11)*($A27-1)/9)</f>
        <v/>
      </c>
      <c r="E27" s="23">
        <f>1*(1+E$11+(Inputs!$B$6-E$11)*($A27-1)/9)</f>
        <v/>
      </c>
      <c r="F27" s="23">
        <f>1*(1+F$11+(Inputs!$B$6-F$11)*($A27-1)/9)</f>
        <v/>
      </c>
      <c r="G27" s="23">
        <f>1*(1+G$11+(Inputs!$B$6-G$11)*($A27-1)/9)</f>
        <v/>
      </c>
    </row>
    <row r="28">
      <c r="A28" s="2" t="n">
        <v>2</v>
      </c>
      <c r="B28" s="23">
        <f>B27*(1+B$11+(Inputs!$B$6-B$11)*($A28-1)/9)</f>
        <v/>
      </c>
      <c r="C28" s="23">
        <f>C27*(1+C$11+(Inputs!$B$6-C$11)*($A28-1)/9)</f>
        <v/>
      </c>
      <c r="D28" s="23">
        <f>D27*(1+D$11+(Inputs!$B$6-D$11)*($A28-1)/9)</f>
        <v/>
      </c>
      <c r="E28" s="23">
        <f>E27*(1+E$11+(Inputs!$B$6-E$11)*($A28-1)/9)</f>
        <v/>
      </c>
      <c r="F28" s="23">
        <f>F27*(1+F$11+(Inputs!$B$6-F$11)*($A28-1)/9)</f>
        <v/>
      </c>
      <c r="G28" s="23">
        <f>G27*(1+G$11+(Inputs!$B$6-G$11)*($A28-1)/9)</f>
        <v/>
      </c>
    </row>
    <row r="29">
      <c r="A29" s="2" t="n">
        <v>3</v>
      </c>
      <c r="B29" s="23">
        <f>B28*(1+B$11+(Inputs!$B$6-B$11)*($A29-1)/9)</f>
        <v/>
      </c>
      <c r="C29" s="23">
        <f>C28*(1+C$11+(Inputs!$B$6-C$11)*($A29-1)/9)</f>
        <v/>
      </c>
      <c r="D29" s="23">
        <f>D28*(1+D$11+(Inputs!$B$6-D$11)*($A29-1)/9)</f>
        <v/>
      </c>
      <c r="E29" s="23">
        <f>E28*(1+E$11+(Inputs!$B$6-E$11)*($A29-1)/9)</f>
        <v/>
      </c>
      <c r="F29" s="23">
        <f>F28*(1+F$11+(Inputs!$B$6-F$11)*($A29-1)/9)</f>
        <v/>
      </c>
      <c r="G29" s="23">
        <f>G28*(1+G$11+(Inputs!$B$6-G$11)*($A29-1)/9)</f>
        <v/>
      </c>
    </row>
    <row r="30">
      <c r="A30" s="2" t="n">
        <v>4</v>
      </c>
      <c r="B30" s="23">
        <f>B29*(1+B$11+(Inputs!$B$6-B$11)*($A30-1)/9)</f>
        <v/>
      </c>
      <c r="C30" s="23">
        <f>C29*(1+C$11+(Inputs!$B$6-C$11)*($A30-1)/9)</f>
        <v/>
      </c>
      <c r="D30" s="23">
        <f>D29*(1+D$11+(Inputs!$B$6-D$11)*($A30-1)/9)</f>
        <v/>
      </c>
      <c r="E30" s="23">
        <f>E29*(1+E$11+(Inputs!$B$6-E$11)*($A30-1)/9)</f>
        <v/>
      </c>
      <c r="F30" s="23">
        <f>F29*(1+F$11+(Inputs!$B$6-F$11)*($A30-1)/9)</f>
        <v/>
      </c>
      <c r="G30" s="23">
        <f>G29*(1+G$11+(Inputs!$B$6-G$11)*($A30-1)/9)</f>
        <v/>
      </c>
    </row>
    <row r="31">
      <c r="A31" s="2" t="n">
        <v>5</v>
      </c>
      <c r="B31" s="23">
        <f>B30*(1+B$11+(Inputs!$B$6-B$11)*($A31-1)/9)</f>
        <v/>
      </c>
      <c r="C31" s="23">
        <f>C30*(1+C$11+(Inputs!$B$6-C$11)*($A31-1)/9)</f>
        <v/>
      </c>
      <c r="D31" s="23">
        <f>D30*(1+D$11+(Inputs!$B$6-D$11)*($A31-1)/9)</f>
        <v/>
      </c>
      <c r="E31" s="23">
        <f>E30*(1+E$11+(Inputs!$B$6-E$11)*($A31-1)/9)</f>
        <v/>
      </c>
      <c r="F31" s="23">
        <f>F30*(1+F$11+(Inputs!$B$6-F$11)*($A31-1)/9)</f>
        <v/>
      </c>
      <c r="G31" s="23">
        <f>G30*(1+G$11+(Inputs!$B$6-G$11)*($A31-1)/9)</f>
        <v/>
      </c>
    </row>
    <row r="32">
      <c r="A32" s="2" t="n">
        <v>6</v>
      </c>
      <c r="B32" s="23">
        <f>B31*(1+B$11+(Inputs!$B$6-B$11)*($A32-1)/9)</f>
        <v/>
      </c>
      <c r="C32" s="23">
        <f>C31*(1+C$11+(Inputs!$B$6-C$11)*($A32-1)/9)</f>
        <v/>
      </c>
      <c r="D32" s="23">
        <f>D31*(1+D$11+(Inputs!$B$6-D$11)*($A32-1)/9)</f>
        <v/>
      </c>
      <c r="E32" s="23">
        <f>E31*(1+E$11+(Inputs!$B$6-E$11)*($A32-1)/9)</f>
        <v/>
      </c>
      <c r="F32" s="23">
        <f>F31*(1+F$11+(Inputs!$B$6-F$11)*($A32-1)/9)</f>
        <v/>
      </c>
      <c r="G32" s="23">
        <f>G31*(1+G$11+(Inputs!$B$6-G$11)*($A32-1)/9)</f>
        <v/>
      </c>
    </row>
    <row r="33">
      <c r="A33" s="2" t="n">
        <v>7</v>
      </c>
      <c r="B33" s="23">
        <f>B32*(1+B$11+(Inputs!$B$6-B$11)*($A33-1)/9)</f>
        <v/>
      </c>
      <c r="C33" s="23">
        <f>C32*(1+C$11+(Inputs!$B$6-C$11)*($A33-1)/9)</f>
        <v/>
      </c>
      <c r="D33" s="23">
        <f>D32*(1+D$11+(Inputs!$B$6-D$11)*($A33-1)/9)</f>
        <v/>
      </c>
      <c r="E33" s="23">
        <f>E32*(1+E$11+(Inputs!$B$6-E$11)*($A33-1)/9)</f>
        <v/>
      </c>
      <c r="F33" s="23">
        <f>F32*(1+F$11+(Inputs!$B$6-F$11)*($A33-1)/9)</f>
        <v/>
      </c>
      <c r="G33" s="23">
        <f>G32*(1+G$11+(Inputs!$B$6-G$11)*($A33-1)/9)</f>
        <v/>
      </c>
    </row>
    <row r="34">
      <c r="A34" s="2" t="n">
        <v>8</v>
      </c>
      <c r="B34" s="23">
        <f>B33*(1+B$11+(Inputs!$B$6-B$11)*($A34-1)/9)</f>
        <v/>
      </c>
      <c r="C34" s="23">
        <f>C33*(1+C$11+(Inputs!$B$6-C$11)*($A34-1)/9)</f>
        <v/>
      </c>
      <c r="D34" s="23">
        <f>D33*(1+D$11+(Inputs!$B$6-D$11)*($A34-1)/9)</f>
        <v/>
      </c>
      <c r="E34" s="23">
        <f>E33*(1+E$11+(Inputs!$B$6-E$11)*($A34-1)/9)</f>
        <v/>
      </c>
      <c r="F34" s="23">
        <f>F33*(1+F$11+(Inputs!$B$6-F$11)*($A34-1)/9)</f>
        <v/>
      </c>
      <c r="G34" s="23">
        <f>G33*(1+G$11+(Inputs!$B$6-G$11)*($A34-1)/9)</f>
        <v/>
      </c>
    </row>
    <row r="35">
      <c r="A35" s="2" t="n">
        <v>9</v>
      </c>
      <c r="B35" s="23">
        <f>B34*(1+B$11+(Inputs!$B$6-B$11)*($A35-1)/9)</f>
        <v/>
      </c>
      <c r="C35" s="23">
        <f>C34*(1+C$11+(Inputs!$B$6-C$11)*($A35-1)/9)</f>
        <v/>
      </c>
      <c r="D35" s="23">
        <f>D34*(1+D$11+(Inputs!$B$6-D$11)*($A35-1)/9)</f>
        <v/>
      </c>
      <c r="E35" s="23">
        <f>E34*(1+E$11+(Inputs!$B$6-E$11)*($A35-1)/9)</f>
        <v/>
      </c>
      <c r="F35" s="23">
        <f>F34*(1+F$11+(Inputs!$B$6-F$11)*($A35-1)/9)</f>
        <v/>
      </c>
      <c r="G35" s="23">
        <f>G34*(1+G$11+(Inputs!$B$6-G$11)*($A35-1)/9)</f>
        <v/>
      </c>
    </row>
    <row r="36">
      <c r="A36" s="2" t="n">
        <v>10</v>
      </c>
      <c r="B36" s="23">
        <f>B35*(1+B$11+(Inputs!$B$6-B$11)*($A36-1)/9)</f>
        <v/>
      </c>
      <c r="C36" s="23">
        <f>C35*(1+C$11+(Inputs!$B$6-C$11)*($A36-1)/9)</f>
        <v/>
      </c>
      <c r="D36" s="23">
        <f>D35*(1+D$11+(Inputs!$B$6-D$11)*($A36-1)/9)</f>
        <v/>
      </c>
      <c r="E36" s="23">
        <f>E35*(1+E$11+(Inputs!$B$6-E$11)*($A36-1)/9)</f>
        <v/>
      </c>
      <c r="F36" s="23">
        <f>F35*(1+F$11+(Inputs!$B$6-F$11)*($A36-1)/9)</f>
        <v/>
      </c>
      <c r="G36" s="23">
        <f>G35*(1+G$11+(Inputs!$B$6-G$11)*($A36-1)/9)</f>
        <v/>
      </c>
    </row>
  </sheetData>
  <conditionalFormatting sqref="B12:G16">
    <cfRule type="expression" priority="1" dxfId="0">
      <formula>B12&gt;=$B$5</formula>
    </cfRule>
    <cfRule type="expression" priority="2" dxfId="2">
      <formula>B12&lt;$B$5</formula>
    </cfRule>
  </conditionalFormatting>
  <dataValidations count="1">
    <dataValidation sqref="B3" showDropDown="0" showInputMessage="0" showErrorMessage="0" allowBlank="0" type="list">
      <formula1>=Inputs!$C$12:$H$12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0" customWidth="1" min="9" max="9"/>
  </cols>
  <sheetData>
    <row r="1">
      <c r="A1" s="1" t="inlineStr">
        <is>
          <t>Inputs — edit BLUE cells only</t>
        </is>
      </c>
    </row>
    <row r="3">
      <c r="A3" s="3" t="inlineStr">
        <is>
          <t>GLOBAL ASSUMPTIONS</t>
        </is>
      </c>
    </row>
    <row r="4">
      <c r="A4" s="2" t="inlineStr">
        <is>
          <t>Base discount rate</t>
        </is>
      </c>
      <c r="B4" s="21" t="n">
        <v>0.095</v>
      </c>
      <c r="I4" s="24" t="inlineStr">
        <is>
          <t>Typical large-cap software cost of equity; CAPM with raw betas 1.3–1.5 gives ~10–11%.</t>
        </is>
      </c>
    </row>
    <row r="5">
      <c r="A5" s="2" t="inlineStr">
        <is>
          <t>Conservative discount rate (used for buy price)</t>
        </is>
      </c>
      <c r="B5" s="21" t="n">
        <v>0.105</v>
      </c>
      <c r="I5" s="24" t="inlineStr">
        <is>
          <t>Higher hurdle used for weighted value and buy-below price.</t>
        </is>
      </c>
    </row>
    <row r="6">
      <c r="A6" s="2" t="inlineStr">
        <is>
          <t>Terminal growth</t>
        </is>
      </c>
      <c r="B6" s="21" t="n">
        <v>0.03</v>
      </c>
      <c r="I6" s="24" t="inlineStr">
        <is>
          <t>Perpetual growth after year 10. 2% cuts value ~11% vs 3%.</t>
        </is>
      </c>
    </row>
    <row r="7">
      <c r="A7" s="2" t="inlineStr">
        <is>
          <t>Bear case: annual owner-FCF decline</t>
        </is>
      </c>
      <c r="B7" s="21" t="n">
        <v>0.05</v>
      </c>
      <c r="I7" s="24" t="inlineStr">
        <is>
          <t>Structural-decline scenario (e.g., AI disruption).</t>
        </is>
      </c>
    </row>
    <row r="8">
      <c r="A8" s="2" t="inlineStr">
        <is>
          <t>Margin of safety on going-concern value</t>
        </is>
      </c>
      <c r="B8" s="21" t="n">
        <v>0.3</v>
      </c>
      <c r="I8" s="24" t="inlineStr">
        <is>
          <t>Buy-below cross-check: going-concern × (1 − this).</t>
        </is>
      </c>
    </row>
    <row r="10">
      <c r="A10" s="3" t="inlineStr">
        <is>
          <t>COMPANY INPUTS</t>
        </is>
      </c>
    </row>
    <row r="11">
      <c r="A11" s="5" t="inlineStr">
        <is>
          <t>Item</t>
        </is>
      </c>
      <c r="B11" s="5" t="inlineStr">
        <is>
          <t>Units</t>
        </is>
      </c>
      <c r="C11" s="5" t="inlineStr">
        <is>
          <t>Slot 1</t>
        </is>
      </c>
      <c r="D11" s="5" t="inlineStr">
        <is>
          <t>Slot 2</t>
        </is>
      </c>
      <c r="E11" s="5" t="inlineStr">
        <is>
          <t>Slot 3</t>
        </is>
      </c>
      <c r="F11" s="5" t="inlineStr">
        <is>
          <t>Slot 4</t>
        </is>
      </c>
      <c r="G11" s="5" t="inlineStr">
        <is>
          <t>Slot 5</t>
        </is>
      </c>
      <c r="H11" s="5" t="inlineStr">
        <is>
          <t>Slot 6</t>
        </is>
      </c>
      <c r="I11" s="5" t="inlineStr">
        <is>
          <t>Notes</t>
        </is>
      </c>
    </row>
    <row r="12">
      <c r="A12" s="2" t="inlineStr">
        <is>
          <t>Ticker</t>
        </is>
      </c>
      <c r="B12" s="2" t="inlineStr">
        <is>
          <t>text</t>
        </is>
      </c>
      <c r="C12" s="25" t="inlineStr">
        <is>
          <t>INTU</t>
        </is>
      </c>
      <c r="D12" s="25" t="inlineStr">
        <is>
          <t>ADBE</t>
        </is>
      </c>
      <c r="E12" s="25" t="inlineStr">
        <is>
          <t>ADSK</t>
        </is>
      </c>
      <c r="F12" s="25" t="inlineStr">
        <is>
          <t>CRM</t>
        </is>
      </c>
      <c r="G12" s="26" t="n"/>
      <c r="H12" s="26" t="n"/>
    </row>
    <row r="13">
      <c r="A13" s="2" t="inlineStr">
        <is>
          <t>Price date</t>
        </is>
      </c>
      <c r="B13" s="2" t="inlineStr">
        <is>
          <t>text</t>
        </is>
      </c>
      <c r="C13" s="25" t="inlineStr">
        <is>
          <t>2026-09-26</t>
        </is>
      </c>
      <c r="D13" s="25" t="inlineStr">
        <is>
          <t>2026-09-26</t>
        </is>
      </c>
      <c r="E13" s="25" t="inlineStr">
        <is>
          <t>2026-09-26</t>
        </is>
      </c>
      <c r="F13" s="25" t="inlineStr">
        <is>
          <t>2026-09-26</t>
        </is>
      </c>
      <c r="G13" s="26" t="n"/>
      <c r="H13" s="26" t="n"/>
    </row>
    <row r="14">
      <c r="A14" s="2" t="inlineStr">
        <is>
          <t>Share price</t>
        </is>
      </c>
      <c r="B14" s="2" t="inlineStr">
        <is>
          <t>$</t>
        </is>
      </c>
      <c r="C14" s="27" t="n">
        <v>275.79</v>
      </c>
      <c r="D14" s="27" t="n">
        <v>235.47</v>
      </c>
      <c r="E14" s="27" t="n">
        <v>209.4</v>
      </c>
      <c r="F14" s="27" t="n">
        <v>234.02</v>
      </c>
      <c r="G14" s="27" t="n"/>
      <c r="H14" s="27" t="n"/>
    </row>
    <row r="15">
      <c r="A15" s="2" t="inlineStr">
        <is>
          <t>Diluted shares</t>
        </is>
      </c>
      <c r="B15" s="2" t="inlineStr">
        <is>
          <t>mm</t>
        </is>
      </c>
      <c r="C15" s="26" t="n">
        <v>267</v>
      </c>
      <c r="D15" s="26" t="n">
        <v>396</v>
      </c>
      <c r="E15" s="26" t="n">
        <v>214</v>
      </c>
      <c r="F15" s="26" t="n">
        <v>821</v>
      </c>
      <c r="G15" s="26" t="n"/>
      <c r="H15" s="26" t="n"/>
      <c r="I15" s="24" t="inlineStr">
        <is>
          <t>Use latest diluted count (CRM fell 962M→821M after the ASR).</t>
        </is>
      </c>
    </row>
    <row r="16">
      <c r="A16" s="2" t="inlineStr">
        <is>
          <t>Total debt</t>
        </is>
      </c>
      <c r="B16" s="2" t="inlineStr">
        <is>
          <t>$mm</t>
        </is>
      </c>
      <c r="C16" s="26" t="n">
        <v>7700</v>
      </c>
      <c r="D16" s="26" t="n">
        <v>6360</v>
      </c>
      <c r="E16" s="26" t="n">
        <v>3980</v>
      </c>
      <c r="F16" s="26" t="n">
        <v>39500</v>
      </c>
      <c r="G16" s="26" t="n"/>
      <c r="H16" s="26" t="n"/>
    </row>
    <row r="17">
      <c r="A17" s="2" t="inlineStr">
        <is>
          <t>Cash &amp; investments</t>
        </is>
      </c>
      <c r="B17" s="2" t="inlineStr">
        <is>
          <t>$mm</t>
        </is>
      </c>
      <c r="C17" s="26" t="n">
        <v>7200</v>
      </c>
      <c r="D17" s="26" t="n">
        <v>5640</v>
      </c>
      <c r="E17" s="26" t="n">
        <v>1830</v>
      </c>
      <c r="F17" s="26" t="n">
        <v>11400</v>
      </c>
      <c r="G17" s="26" t="n"/>
      <c r="H17" s="26" t="n"/>
    </row>
    <row r="18">
      <c r="A18" s="2" t="inlineStr">
        <is>
          <t>Other claims (pending deals, etc.)</t>
        </is>
      </c>
      <c r="B18" s="2" t="inlineStr">
        <is>
          <t>$mm</t>
        </is>
      </c>
      <c r="C18" s="26" t="n">
        <v>0</v>
      </c>
      <c r="D18" s="26" t="n">
        <v>0</v>
      </c>
      <c r="E18" s="26" t="n">
        <v>0</v>
      </c>
      <c r="F18" s="26" t="n">
        <v>1500</v>
      </c>
      <c r="G18" s="26" t="n"/>
      <c r="H18" s="26" t="n"/>
      <c r="I18" s="24" t="inlineStr">
        <is>
          <t>Pending cash acquisitions, underfunded pensions, etc.</t>
        </is>
      </c>
    </row>
    <row r="19">
      <c r="A19" s="2" t="inlineStr">
        <is>
          <t>Net debt</t>
        </is>
      </c>
      <c r="B19" s="2" t="inlineStr">
        <is>
          <t>$mm</t>
        </is>
      </c>
      <c r="C19" s="28">
        <f>IF(C12="","",C16-C17+C18)</f>
        <v/>
      </c>
      <c r="D19" s="28">
        <f>IF(D12="","",D16-D17+D18)</f>
        <v/>
      </c>
      <c r="E19" s="28">
        <f>IF(E12="","",E16-E17+E18)</f>
        <v/>
      </c>
      <c r="F19" s="28">
        <f>IF(F12="","",F16-F17+F18)</f>
        <v/>
      </c>
      <c r="G19" s="28">
        <f>IF(G12="","",G16-G17+G18)</f>
        <v/>
      </c>
      <c r="H19" s="28">
        <f>IF(H12="","",H16-H17+H18)</f>
        <v/>
      </c>
    </row>
    <row r="20">
      <c r="A20" s="2" t="inlineStr">
        <is>
          <t>Reported FCF (OCF − capex), TTM or guided</t>
        </is>
      </c>
      <c r="B20" s="2" t="inlineStr">
        <is>
          <t>$mm</t>
        </is>
      </c>
      <c r="C20" s="26" t="n">
        <v>8620</v>
      </c>
      <c r="D20" s="26" t="n">
        <v>10500</v>
      </c>
      <c r="E20" s="26" t="n">
        <v>2740</v>
      </c>
      <c r="F20" s="26" t="n">
        <v>15050</v>
      </c>
      <c r="G20" s="26" t="n"/>
      <c r="H20" s="26" t="n"/>
    </row>
    <row r="21">
      <c r="A21" s="2" t="inlineStr">
        <is>
          <t>One-time items to remove</t>
        </is>
      </c>
      <c r="B21" s="2" t="inlineStr">
        <is>
          <t>$mm</t>
        </is>
      </c>
      <c r="C21" s="29" t="n">
        <v>1120</v>
      </c>
      <c r="D21" s="29" t="n">
        <v>0</v>
      </c>
      <c r="E21" s="29" t="n">
        <v>0</v>
      </c>
      <c r="F21" s="29" t="n">
        <v>0</v>
      </c>
      <c r="G21" s="29" t="n"/>
      <c r="H21" s="29" t="n"/>
      <c r="I21" s="24" t="inlineStr">
        <is>
          <t>Remove non-recurring cash (e.g., INTU FY26 R&amp;D tax catch-up, EST $1.12B).</t>
        </is>
      </c>
    </row>
    <row r="22">
      <c r="A22" s="2" t="inlineStr">
        <is>
          <t>After-tax net interest add-back (unlevered)</t>
        </is>
      </c>
      <c r="B22" s="2" t="inlineStr">
        <is>
          <t>$mm</t>
        </is>
      </c>
      <c r="C22" s="26" t="n">
        <v>0</v>
      </c>
      <c r="D22" s="26" t="n">
        <v>0</v>
      </c>
      <c r="E22" s="26" t="n">
        <v>0</v>
      </c>
      <c r="F22" s="26" t="n">
        <v>950</v>
      </c>
      <c r="G22" s="26" t="n"/>
      <c r="H22" s="26" t="n"/>
      <c r="I22" s="24" t="inlineStr">
        <is>
          <t>Use if FCF is after big interest costs and you subtract net debt (avoids double count).</t>
        </is>
      </c>
    </row>
    <row r="23">
      <c r="A23" s="2" t="inlineStr">
        <is>
          <t>Normalized FCF</t>
        </is>
      </c>
      <c r="B23" s="2" t="inlineStr">
        <is>
          <t>$mm</t>
        </is>
      </c>
      <c r="C23" s="28">
        <f>IF(C12="","",C20-C21+C22)</f>
        <v/>
      </c>
      <c r="D23" s="28">
        <f>IF(D12="","",D20-D21+D22)</f>
        <v/>
      </c>
      <c r="E23" s="28">
        <f>IF(E12="","",E20-E21+E22)</f>
        <v/>
      </c>
      <c r="F23" s="28">
        <f>IF(F12="","",F20-F21+F22)</f>
        <v/>
      </c>
      <c r="G23" s="28">
        <f>IF(G12="","",G20-G21+G22)</f>
        <v/>
      </c>
      <c r="H23" s="28">
        <f>IF(H12="","",H20-H21+H22)</f>
        <v/>
      </c>
    </row>
    <row r="24">
      <c r="A24" s="2" t="inlineStr">
        <is>
          <t>Stock-based compensation</t>
        </is>
      </c>
      <c r="B24" s="2" t="inlineStr">
        <is>
          <t>$mm</t>
        </is>
      </c>
      <c r="C24" s="26" t="n">
        <v>1900</v>
      </c>
      <c r="D24" s="26" t="n">
        <v>2100</v>
      </c>
      <c r="E24" s="26" t="n">
        <v>850</v>
      </c>
      <c r="F24" s="26" t="n">
        <v>3600</v>
      </c>
      <c r="G24" s="26" t="n"/>
      <c r="H24" s="26" t="n"/>
    </row>
    <row r="25">
      <c r="A25" s="2" t="inlineStr">
        <is>
          <t>Owner FCF (normalized FCF − SBC)</t>
        </is>
      </c>
      <c r="B25" s="2" t="inlineStr">
        <is>
          <t>$mm</t>
        </is>
      </c>
      <c r="C25" s="30">
        <f>IF(C12="","",C23-C24)</f>
        <v/>
      </c>
      <c r="D25" s="30">
        <f>IF(D12="","",D23-D24)</f>
        <v/>
      </c>
      <c r="E25" s="30">
        <f>IF(E12="","",E23-E24)</f>
        <v/>
      </c>
      <c r="F25" s="30">
        <f>IF(F12="","",F23-F24)</f>
        <v/>
      </c>
      <c r="G25" s="30">
        <f>IF(G12="","",G23-G24)</f>
        <v/>
      </c>
      <c r="H25" s="30">
        <f>IF(H12="","",H23-H24)</f>
        <v/>
      </c>
    </row>
    <row r="26">
      <c r="A26" s="2" t="inlineStr">
        <is>
          <t>Starting growth (year 1)</t>
        </is>
      </c>
      <c r="B26" s="2" t="inlineStr">
        <is>
          <t>%</t>
        </is>
      </c>
      <c r="C26" s="21" t="n">
        <v>0.09</v>
      </c>
      <c r="D26" s="21" t="n">
        <v>0.1</v>
      </c>
      <c r="E26" s="21" t="n">
        <v>0.12</v>
      </c>
      <c r="F26" s="21" t="n">
        <v>0.09</v>
      </c>
      <c r="G26" s="21" t="n"/>
      <c r="H26" s="21" t="n"/>
      <c r="I26" s="24" t="inlineStr">
        <is>
          <t>Anchor to revenue/FCF guidance; fades linearly to terminal growth by year 10.</t>
        </is>
      </c>
    </row>
    <row r="27">
      <c r="A27" s="2" t="inlineStr">
        <is>
          <t>P(durable) — judgment</t>
        </is>
      </c>
      <c r="B27" s="2" t="inlineStr">
        <is>
          <t>%</t>
        </is>
      </c>
      <c r="C27" s="21" t="n">
        <v>0.5</v>
      </c>
      <c r="D27" s="21" t="n">
        <v>0.5</v>
      </c>
      <c r="E27" s="21" t="n">
        <v>0.8</v>
      </c>
      <c r="F27" s="21" t="n">
        <v>0.8</v>
      </c>
      <c r="G27" s="21" t="n"/>
      <c r="H27" s="21" t="n"/>
      <c r="I27" s="24" t="inlineStr">
        <is>
          <t>Your probability the business stays a durable going concern (vs structural decline). Biggest driver for INTU/ADBE.</t>
        </is>
      </c>
    </row>
    <row r="28">
      <c r="A28" s="2" t="inlineStr">
        <is>
          <t>FCF period / basis</t>
        </is>
      </c>
      <c r="B28" s="2" t="inlineStr">
        <is>
          <t>text</t>
        </is>
      </c>
      <c r="C28" s="25" t="inlineStr">
        <is>
          <t>FY26 (Jul-26) reported</t>
        </is>
      </c>
      <c r="D28" s="25" t="inlineStr">
        <is>
          <t>TTM to Aug-26 (est.)</t>
        </is>
      </c>
      <c r="E28" s="25" t="inlineStr">
        <is>
          <t>FY27 (Jan-27) guidance midpoint</t>
        </is>
      </c>
      <c r="F28" s="25" t="inlineStr">
        <is>
          <t>FY27 (Jan-27) guidance (+4-5%)</t>
        </is>
      </c>
      <c r="G28" s="26" t="n"/>
      <c r="H28" s="26" t="n"/>
    </row>
    <row r="29">
      <c r="A29" s="2" t="inlineStr">
        <is>
          <t>Last updated</t>
        </is>
      </c>
      <c r="B29" s="2" t="inlineStr">
        <is>
          <t>text</t>
        </is>
      </c>
      <c r="C29" s="25" t="inlineStr">
        <is>
          <t>2026-09-27</t>
        </is>
      </c>
      <c r="D29" s="25" t="inlineStr">
        <is>
          <t>2026-09-27</t>
        </is>
      </c>
      <c r="E29" s="25" t="inlineStr">
        <is>
          <t>2026-09-27</t>
        </is>
      </c>
      <c r="F29" s="25" t="inlineStr">
        <is>
          <t>2026-09-27</t>
        </is>
      </c>
      <c r="G29" s="26" t="n"/>
      <c r="H29" s="26" t="n"/>
    </row>
    <row r="30" ht="120" customHeight="1">
      <c r="A30" s="2" t="inlineStr">
        <is>
          <t>Source notes</t>
        </is>
      </c>
      <c r="B30" s="2" t="inlineStr">
        <is>
          <t>text</t>
        </is>
      </c>
      <c r="C30" s="31" t="inlineStr">
        <is>
          <t>FY26 10-K/Q4 release: OCF $8.84B, capex $221M, cash+inv $7.2B, debt $7.7B. One-time = EST R&amp;D-expensing tax catch-up. SBC ~$1.7-2.1B. FY27 rev guide +9-10%.</t>
        </is>
      </c>
      <c r="D30" s="31" t="inlineStr">
        <is>
          <t>Q3 FY26 10-Q (Aug-28-26): cash $4.36B + ST inv $1.28B; debt $6.36B. TTM FCF ~$10.3-10.5B. SBC ~$2.1B/yr. FY26 rev ~+12%, ARR +11.2%.</t>
        </is>
      </c>
      <c r="E30" s="31" t="inlineStr">
        <is>
          <t>Q2 FY27 10-Q: cash $4.36B, debt $2.98B; then MaintainX $3.53B paid Aug-3 with $1.0B term loan (EST post-deal). FY27 FCF guide $2.725-2.75B; SBC FY26 $788M.</t>
        </is>
      </c>
      <c r="F30" s="31" t="inlineStr">
        <is>
          <t>Q2 FY27: cash $8.31B + securities $3.09B; debt ~$39.5B after $25B ASR; Contentful $1.5B pending. FY27 FCF guide +4-5% on $14.4B. Interest add-back EST. Diluted shares 821M.</t>
        </is>
      </c>
      <c r="G30" s="32" t="n"/>
      <c r="H30" s="3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DCF engine — all formulas (no inputs here)</t>
        </is>
      </c>
    </row>
    <row r="3">
      <c r="A3" s="5" t="inlineStr">
        <is>
          <t>Line</t>
        </is>
      </c>
      <c r="B3" s="5" t="inlineStr">
        <is>
          <t>Year</t>
        </is>
      </c>
      <c r="C3" s="5" t="inlineStr">
        <is>
          <t>Slot 1</t>
        </is>
      </c>
      <c r="D3" s="5" t="inlineStr">
        <is>
          <t>Slot 2</t>
        </is>
      </c>
      <c r="E3" s="5" t="inlineStr">
        <is>
          <t>Slot 3</t>
        </is>
      </c>
      <c r="F3" s="5" t="inlineStr">
        <is>
          <t>Slot 4</t>
        </is>
      </c>
      <c r="G3" s="5" t="inlineStr">
        <is>
          <t>Slot 5</t>
        </is>
      </c>
      <c r="H3" s="5" t="inlineStr">
        <is>
          <t>Slot 6</t>
        </is>
      </c>
    </row>
    <row r="4">
      <c r="A4" s="3" t="inlineStr">
        <is>
          <t>Ticker</t>
        </is>
      </c>
      <c r="C4" s="16">
        <f>IF(Inputs!C12="","",Inputs!C12)</f>
        <v/>
      </c>
      <c r="D4" s="16">
        <f>IF(Inputs!D12="","",Inputs!D12)</f>
        <v/>
      </c>
      <c r="E4" s="16">
        <f>IF(Inputs!E12="","",Inputs!E12)</f>
        <v/>
      </c>
      <c r="F4" s="16">
        <f>IF(Inputs!F12="","",Inputs!F12)</f>
        <v/>
      </c>
      <c r="G4" s="16">
        <f>IF(Inputs!G12="","",Inputs!G12)</f>
        <v/>
      </c>
      <c r="H4" s="16">
        <f>IF(Inputs!H12="","",Inputs!H12)</f>
        <v/>
      </c>
    </row>
    <row r="5">
      <c r="A5" s="2" t="inlineStr">
        <is>
          <t>Owner FCF, year 0 ($mm)</t>
        </is>
      </c>
      <c r="C5" s="20">
        <f>IF(C$4="","",Inputs!C25)</f>
        <v/>
      </c>
      <c r="D5" s="20">
        <f>IF(D$4="","",Inputs!D25)</f>
        <v/>
      </c>
      <c r="E5" s="20">
        <f>IF(E$4="","",Inputs!E25)</f>
        <v/>
      </c>
      <c r="F5" s="20">
        <f>IF(F$4="","",Inputs!F25)</f>
        <v/>
      </c>
      <c r="G5" s="20">
        <f>IF(G$4="","",Inputs!G25)</f>
        <v/>
      </c>
      <c r="H5" s="20">
        <f>IF(H$4="","",Inputs!H25)</f>
        <v/>
      </c>
    </row>
    <row r="6">
      <c r="A6" s="2" t="inlineStr">
        <is>
          <t>Starting growth</t>
        </is>
      </c>
      <c r="C6" s="22">
        <f>IF(C$4="","",Inputs!C26)</f>
        <v/>
      </c>
      <c r="D6" s="22">
        <f>IF(D$4="","",Inputs!D26)</f>
        <v/>
      </c>
      <c r="E6" s="22">
        <f>IF(E$4="","",Inputs!E26)</f>
        <v/>
      </c>
      <c r="F6" s="22">
        <f>IF(F$4="","",Inputs!F26)</f>
        <v/>
      </c>
      <c r="G6" s="22">
        <f>IF(G$4="","",Inputs!G26)</f>
        <v/>
      </c>
      <c r="H6" s="22">
        <f>IF(H$4="","",Inputs!H26)</f>
        <v/>
      </c>
    </row>
    <row r="8">
      <c r="A8" s="33" t="inlineStr">
        <is>
          <t>Growth rate by year</t>
        </is>
      </c>
      <c r="B8" s="34" t="n"/>
      <c r="C8" s="34" t="n"/>
      <c r="D8" s="34" t="n"/>
      <c r="E8" s="34" t="n"/>
      <c r="F8" s="34" t="n"/>
      <c r="G8" s="34" t="n"/>
      <c r="H8" s="34" t="n"/>
    </row>
    <row r="9">
      <c r="A9" s="2" t="inlineStr">
        <is>
          <t>Year 1</t>
        </is>
      </c>
      <c r="B9" s="2" t="n">
        <v>1</v>
      </c>
      <c r="C9" s="35">
        <f>IF(C$4="","",C$6+(Inputs!$B$6-C$6)*($B9-1)/9)</f>
        <v/>
      </c>
      <c r="D9" s="35">
        <f>IF(D$4="","",D$6+(Inputs!$B$6-D$6)*($B9-1)/9)</f>
        <v/>
      </c>
      <c r="E9" s="35">
        <f>IF(E$4="","",E$6+(Inputs!$B$6-E$6)*($B9-1)/9)</f>
        <v/>
      </c>
      <c r="F9" s="35">
        <f>IF(F$4="","",F$6+(Inputs!$B$6-F$6)*($B9-1)/9)</f>
        <v/>
      </c>
      <c r="G9" s="35">
        <f>IF(G$4="","",G$6+(Inputs!$B$6-G$6)*($B9-1)/9)</f>
        <v/>
      </c>
      <c r="H9" s="35">
        <f>IF(H$4="","",H$6+(Inputs!$B$6-H$6)*($B9-1)/9)</f>
        <v/>
      </c>
    </row>
    <row r="10">
      <c r="A10" s="2" t="inlineStr">
        <is>
          <t>Year 2</t>
        </is>
      </c>
      <c r="B10" s="2" t="n">
        <v>2</v>
      </c>
      <c r="C10" s="35">
        <f>IF(C$4="","",C$6+(Inputs!$B$6-C$6)*($B10-1)/9)</f>
        <v/>
      </c>
      <c r="D10" s="35">
        <f>IF(D$4="","",D$6+(Inputs!$B$6-D$6)*($B10-1)/9)</f>
        <v/>
      </c>
      <c r="E10" s="35">
        <f>IF(E$4="","",E$6+(Inputs!$B$6-E$6)*($B10-1)/9)</f>
        <v/>
      </c>
      <c r="F10" s="35">
        <f>IF(F$4="","",F$6+(Inputs!$B$6-F$6)*($B10-1)/9)</f>
        <v/>
      </c>
      <c r="G10" s="35">
        <f>IF(G$4="","",G$6+(Inputs!$B$6-G$6)*($B10-1)/9)</f>
        <v/>
      </c>
      <c r="H10" s="35">
        <f>IF(H$4="","",H$6+(Inputs!$B$6-H$6)*($B10-1)/9)</f>
        <v/>
      </c>
    </row>
    <row r="11">
      <c r="A11" s="2" t="inlineStr">
        <is>
          <t>Year 3</t>
        </is>
      </c>
      <c r="B11" s="2" t="n">
        <v>3</v>
      </c>
      <c r="C11" s="35">
        <f>IF(C$4="","",C$6+(Inputs!$B$6-C$6)*($B11-1)/9)</f>
        <v/>
      </c>
      <c r="D11" s="35">
        <f>IF(D$4="","",D$6+(Inputs!$B$6-D$6)*($B11-1)/9)</f>
        <v/>
      </c>
      <c r="E11" s="35">
        <f>IF(E$4="","",E$6+(Inputs!$B$6-E$6)*($B11-1)/9)</f>
        <v/>
      </c>
      <c r="F11" s="35">
        <f>IF(F$4="","",F$6+(Inputs!$B$6-F$6)*($B11-1)/9)</f>
        <v/>
      </c>
      <c r="G11" s="35">
        <f>IF(G$4="","",G$6+(Inputs!$B$6-G$6)*($B11-1)/9)</f>
        <v/>
      </c>
      <c r="H11" s="35">
        <f>IF(H$4="","",H$6+(Inputs!$B$6-H$6)*($B11-1)/9)</f>
        <v/>
      </c>
    </row>
    <row r="12">
      <c r="A12" s="2" t="inlineStr">
        <is>
          <t>Year 4</t>
        </is>
      </c>
      <c r="B12" s="2" t="n">
        <v>4</v>
      </c>
      <c r="C12" s="35">
        <f>IF(C$4="","",C$6+(Inputs!$B$6-C$6)*($B12-1)/9)</f>
        <v/>
      </c>
      <c r="D12" s="35">
        <f>IF(D$4="","",D$6+(Inputs!$B$6-D$6)*($B12-1)/9)</f>
        <v/>
      </c>
      <c r="E12" s="35">
        <f>IF(E$4="","",E$6+(Inputs!$B$6-E$6)*($B12-1)/9)</f>
        <v/>
      </c>
      <c r="F12" s="35">
        <f>IF(F$4="","",F$6+(Inputs!$B$6-F$6)*($B12-1)/9)</f>
        <v/>
      </c>
      <c r="G12" s="35">
        <f>IF(G$4="","",G$6+(Inputs!$B$6-G$6)*($B12-1)/9)</f>
        <v/>
      </c>
      <c r="H12" s="35">
        <f>IF(H$4="","",H$6+(Inputs!$B$6-H$6)*($B12-1)/9)</f>
        <v/>
      </c>
    </row>
    <row r="13">
      <c r="A13" s="2" t="inlineStr">
        <is>
          <t>Year 5</t>
        </is>
      </c>
      <c r="B13" s="2" t="n">
        <v>5</v>
      </c>
      <c r="C13" s="35">
        <f>IF(C$4="","",C$6+(Inputs!$B$6-C$6)*($B13-1)/9)</f>
        <v/>
      </c>
      <c r="D13" s="35">
        <f>IF(D$4="","",D$6+(Inputs!$B$6-D$6)*($B13-1)/9)</f>
        <v/>
      </c>
      <c r="E13" s="35">
        <f>IF(E$4="","",E$6+(Inputs!$B$6-E$6)*($B13-1)/9)</f>
        <v/>
      </c>
      <c r="F13" s="35">
        <f>IF(F$4="","",F$6+(Inputs!$B$6-F$6)*($B13-1)/9)</f>
        <v/>
      </c>
      <c r="G13" s="35">
        <f>IF(G$4="","",G$6+(Inputs!$B$6-G$6)*($B13-1)/9)</f>
        <v/>
      </c>
      <c r="H13" s="35">
        <f>IF(H$4="","",H$6+(Inputs!$B$6-H$6)*($B13-1)/9)</f>
        <v/>
      </c>
    </row>
    <row r="14">
      <c r="A14" s="2" t="inlineStr">
        <is>
          <t>Year 6</t>
        </is>
      </c>
      <c r="B14" s="2" t="n">
        <v>6</v>
      </c>
      <c r="C14" s="35">
        <f>IF(C$4="","",C$6+(Inputs!$B$6-C$6)*($B14-1)/9)</f>
        <v/>
      </c>
      <c r="D14" s="35">
        <f>IF(D$4="","",D$6+(Inputs!$B$6-D$6)*($B14-1)/9)</f>
        <v/>
      </c>
      <c r="E14" s="35">
        <f>IF(E$4="","",E$6+(Inputs!$B$6-E$6)*($B14-1)/9)</f>
        <v/>
      </c>
      <c r="F14" s="35">
        <f>IF(F$4="","",F$6+(Inputs!$B$6-F$6)*($B14-1)/9)</f>
        <v/>
      </c>
      <c r="G14" s="35">
        <f>IF(G$4="","",G$6+(Inputs!$B$6-G$6)*($B14-1)/9)</f>
        <v/>
      </c>
      <c r="H14" s="35">
        <f>IF(H$4="","",H$6+(Inputs!$B$6-H$6)*($B14-1)/9)</f>
        <v/>
      </c>
    </row>
    <row r="15">
      <c r="A15" s="2" t="inlineStr">
        <is>
          <t>Year 7</t>
        </is>
      </c>
      <c r="B15" s="2" t="n">
        <v>7</v>
      </c>
      <c r="C15" s="35">
        <f>IF(C$4="","",C$6+(Inputs!$B$6-C$6)*($B15-1)/9)</f>
        <v/>
      </c>
      <c r="D15" s="35">
        <f>IF(D$4="","",D$6+(Inputs!$B$6-D$6)*($B15-1)/9)</f>
        <v/>
      </c>
      <c r="E15" s="35">
        <f>IF(E$4="","",E$6+(Inputs!$B$6-E$6)*($B15-1)/9)</f>
        <v/>
      </c>
      <c r="F15" s="35">
        <f>IF(F$4="","",F$6+(Inputs!$B$6-F$6)*($B15-1)/9)</f>
        <v/>
      </c>
      <c r="G15" s="35">
        <f>IF(G$4="","",G$6+(Inputs!$B$6-G$6)*($B15-1)/9)</f>
        <v/>
      </c>
      <c r="H15" s="35">
        <f>IF(H$4="","",H$6+(Inputs!$B$6-H$6)*($B15-1)/9)</f>
        <v/>
      </c>
    </row>
    <row r="16">
      <c r="A16" s="2" t="inlineStr">
        <is>
          <t>Year 8</t>
        </is>
      </c>
      <c r="B16" s="2" t="n">
        <v>8</v>
      </c>
      <c r="C16" s="35">
        <f>IF(C$4="","",C$6+(Inputs!$B$6-C$6)*($B16-1)/9)</f>
        <v/>
      </c>
      <c r="D16" s="35">
        <f>IF(D$4="","",D$6+(Inputs!$B$6-D$6)*($B16-1)/9)</f>
        <v/>
      </c>
      <c r="E16" s="35">
        <f>IF(E$4="","",E$6+(Inputs!$B$6-E$6)*($B16-1)/9)</f>
        <v/>
      </c>
      <c r="F16" s="35">
        <f>IF(F$4="","",F$6+(Inputs!$B$6-F$6)*($B16-1)/9)</f>
        <v/>
      </c>
      <c r="G16" s="35">
        <f>IF(G$4="","",G$6+(Inputs!$B$6-G$6)*($B16-1)/9)</f>
        <v/>
      </c>
      <c r="H16" s="35">
        <f>IF(H$4="","",H$6+(Inputs!$B$6-H$6)*($B16-1)/9)</f>
        <v/>
      </c>
    </row>
    <row r="17">
      <c r="A17" s="2" t="inlineStr">
        <is>
          <t>Year 9</t>
        </is>
      </c>
      <c r="B17" s="2" t="n">
        <v>9</v>
      </c>
      <c r="C17" s="35">
        <f>IF(C$4="","",C$6+(Inputs!$B$6-C$6)*($B17-1)/9)</f>
        <v/>
      </c>
      <c r="D17" s="35">
        <f>IF(D$4="","",D$6+(Inputs!$B$6-D$6)*($B17-1)/9)</f>
        <v/>
      </c>
      <c r="E17" s="35">
        <f>IF(E$4="","",E$6+(Inputs!$B$6-E$6)*($B17-1)/9)</f>
        <v/>
      </c>
      <c r="F17" s="35">
        <f>IF(F$4="","",F$6+(Inputs!$B$6-F$6)*($B17-1)/9)</f>
        <v/>
      </c>
      <c r="G17" s="35">
        <f>IF(G$4="","",G$6+(Inputs!$B$6-G$6)*($B17-1)/9)</f>
        <v/>
      </c>
      <c r="H17" s="35">
        <f>IF(H$4="","",H$6+(Inputs!$B$6-H$6)*($B17-1)/9)</f>
        <v/>
      </c>
    </row>
    <row r="18">
      <c r="A18" s="2" t="inlineStr">
        <is>
          <t>Year 10</t>
        </is>
      </c>
      <c r="B18" s="2" t="n">
        <v>10</v>
      </c>
      <c r="C18" s="35">
        <f>IF(C$4="","",C$6+(Inputs!$B$6-C$6)*($B18-1)/9)</f>
        <v/>
      </c>
      <c r="D18" s="35">
        <f>IF(D$4="","",D$6+(Inputs!$B$6-D$6)*($B18-1)/9)</f>
        <v/>
      </c>
      <c r="E18" s="35">
        <f>IF(E$4="","",E$6+(Inputs!$B$6-E$6)*($B18-1)/9)</f>
        <v/>
      </c>
      <c r="F18" s="35">
        <f>IF(F$4="","",F$6+(Inputs!$B$6-F$6)*($B18-1)/9)</f>
        <v/>
      </c>
      <c r="G18" s="35">
        <f>IF(G$4="","",G$6+(Inputs!$B$6-G$6)*($B18-1)/9)</f>
        <v/>
      </c>
      <c r="H18" s="35">
        <f>IF(H$4="","",H$6+(Inputs!$B$6-H$6)*($B18-1)/9)</f>
        <v/>
      </c>
    </row>
    <row r="20">
      <c r="A20" s="33" t="inlineStr">
        <is>
          <t>Owner FCF ($mm)</t>
        </is>
      </c>
      <c r="B20" s="34" t="n"/>
      <c r="C20" s="34" t="n"/>
      <c r="D20" s="34" t="n"/>
      <c r="E20" s="34" t="n"/>
      <c r="F20" s="34" t="n"/>
      <c r="G20" s="34" t="n"/>
      <c r="H20" s="34" t="n"/>
    </row>
    <row r="21">
      <c r="A21" s="2" t="inlineStr">
        <is>
          <t>Year 1</t>
        </is>
      </c>
      <c r="B21" s="2" t="n">
        <v>1</v>
      </c>
      <c r="C21" s="28">
        <f>IF(C$4="","",C$5*(1+C9))</f>
        <v/>
      </c>
      <c r="D21" s="28">
        <f>IF(D$4="","",D$5*(1+D9))</f>
        <v/>
      </c>
      <c r="E21" s="28">
        <f>IF(E$4="","",E$5*(1+E9))</f>
        <v/>
      </c>
      <c r="F21" s="28">
        <f>IF(F$4="","",F$5*(1+F9))</f>
        <v/>
      </c>
      <c r="G21" s="28">
        <f>IF(G$4="","",G$5*(1+G9))</f>
        <v/>
      </c>
      <c r="H21" s="28">
        <f>IF(H$4="","",H$5*(1+H9))</f>
        <v/>
      </c>
    </row>
    <row r="22">
      <c r="A22" s="2" t="inlineStr">
        <is>
          <t>Year 2</t>
        </is>
      </c>
      <c r="B22" s="2" t="n">
        <v>2</v>
      </c>
      <c r="C22" s="28">
        <f>IF(C$4="","",C21*(1+C10))</f>
        <v/>
      </c>
      <c r="D22" s="28">
        <f>IF(D$4="","",D21*(1+D10))</f>
        <v/>
      </c>
      <c r="E22" s="28">
        <f>IF(E$4="","",E21*(1+E10))</f>
        <v/>
      </c>
      <c r="F22" s="28">
        <f>IF(F$4="","",F21*(1+F10))</f>
        <v/>
      </c>
      <c r="G22" s="28">
        <f>IF(G$4="","",G21*(1+G10))</f>
        <v/>
      </c>
      <c r="H22" s="28">
        <f>IF(H$4="","",H21*(1+H10))</f>
        <v/>
      </c>
    </row>
    <row r="23">
      <c r="A23" s="2" t="inlineStr">
        <is>
          <t>Year 3</t>
        </is>
      </c>
      <c r="B23" s="2" t="n">
        <v>3</v>
      </c>
      <c r="C23" s="28">
        <f>IF(C$4="","",C22*(1+C11))</f>
        <v/>
      </c>
      <c r="D23" s="28">
        <f>IF(D$4="","",D22*(1+D11))</f>
        <v/>
      </c>
      <c r="E23" s="28">
        <f>IF(E$4="","",E22*(1+E11))</f>
        <v/>
      </c>
      <c r="F23" s="28">
        <f>IF(F$4="","",F22*(1+F11))</f>
        <v/>
      </c>
      <c r="G23" s="28">
        <f>IF(G$4="","",G22*(1+G11))</f>
        <v/>
      </c>
      <c r="H23" s="28">
        <f>IF(H$4="","",H22*(1+H11))</f>
        <v/>
      </c>
    </row>
    <row r="24">
      <c r="A24" s="2" t="inlineStr">
        <is>
          <t>Year 4</t>
        </is>
      </c>
      <c r="B24" s="2" t="n">
        <v>4</v>
      </c>
      <c r="C24" s="28">
        <f>IF(C$4="","",C23*(1+C12))</f>
        <v/>
      </c>
      <c r="D24" s="28">
        <f>IF(D$4="","",D23*(1+D12))</f>
        <v/>
      </c>
      <c r="E24" s="28">
        <f>IF(E$4="","",E23*(1+E12))</f>
        <v/>
      </c>
      <c r="F24" s="28">
        <f>IF(F$4="","",F23*(1+F12))</f>
        <v/>
      </c>
      <c r="G24" s="28">
        <f>IF(G$4="","",G23*(1+G12))</f>
        <v/>
      </c>
      <c r="H24" s="28">
        <f>IF(H$4="","",H23*(1+H12))</f>
        <v/>
      </c>
    </row>
    <row r="25">
      <c r="A25" s="2" t="inlineStr">
        <is>
          <t>Year 5</t>
        </is>
      </c>
      <c r="B25" s="2" t="n">
        <v>5</v>
      </c>
      <c r="C25" s="28">
        <f>IF(C$4="","",C24*(1+C13))</f>
        <v/>
      </c>
      <c r="D25" s="28">
        <f>IF(D$4="","",D24*(1+D13))</f>
        <v/>
      </c>
      <c r="E25" s="28">
        <f>IF(E$4="","",E24*(1+E13))</f>
        <v/>
      </c>
      <c r="F25" s="28">
        <f>IF(F$4="","",F24*(1+F13))</f>
        <v/>
      </c>
      <c r="G25" s="28">
        <f>IF(G$4="","",G24*(1+G13))</f>
        <v/>
      </c>
      <c r="H25" s="28">
        <f>IF(H$4="","",H24*(1+H13))</f>
        <v/>
      </c>
    </row>
    <row r="26">
      <c r="A26" s="2" t="inlineStr">
        <is>
          <t>Year 6</t>
        </is>
      </c>
      <c r="B26" s="2" t="n">
        <v>6</v>
      </c>
      <c r="C26" s="28">
        <f>IF(C$4="","",C25*(1+C14))</f>
        <v/>
      </c>
      <c r="D26" s="28">
        <f>IF(D$4="","",D25*(1+D14))</f>
        <v/>
      </c>
      <c r="E26" s="28">
        <f>IF(E$4="","",E25*(1+E14))</f>
        <v/>
      </c>
      <c r="F26" s="28">
        <f>IF(F$4="","",F25*(1+F14))</f>
        <v/>
      </c>
      <c r="G26" s="28">
        <f>IF(G$4="","",G25*(1+G14))</f>
        <v/>
      </c>
      <c r="H26" s="28">
        <f>IF(H$4="","",H25*(1+H14))</f>
        <v/>
      </c>
    </row>
    <row r="27">
      <c r="A27" s="2" t="inlineStr">
        <is>
          <t>Year 7</t>
        </is>
      </c>
      <c r="B27" s="2" t="n">
        <v>7</v>
      </c>
      <c r="C27" s="28">
        <f>IF(C$4="","",C26*(1+C15))</f>
        <v/>
      </c>
      <c r="D27" s="28">
        <f>IF(D$4="","",D26*(1+D15))</f>
        <v/>
      </c>
      <c r="E27" s="28">
        <f>IF(E$4="","",E26*(1+E15))</f>
        <v/>
      </c>
      <c r="F27" s="28">
        <f>IF(F$4="","",F26*(1+F15))</f>
        <v/>
      </c>
      <c r="G27" s="28">
        <f>IF(G$4="","",G26*(1+G15))</f>
        <v/>
      </c>
      <c r="H27" s="28">
        <f>IF(H$4="","",H26*(1+H15))</f>
        <v/>
      </c>
    </row>
    <row r="28">
      <c r="A28" s="2" t="inlineStr">
        <is>
          <t>Year 8</t>
        </is>
      </c>
      <c r="B28" s="2" t="n">
        <v>8</v>
      </c>
      <c r="C28" s="28">
        <f>IF(C$4="","",C27*(1+C16))</f>
        <v/>
      </c>
      <c r="D28" s="28">
        <f>IF(D$4="","",D27*(1+D16))</f>
        <v/>
      </c>
      <c r="E28" s="28">
        <f>IF(E$4="","",E27*(1+E16))</f>
        <v/>
      </c>
      <c r="F28" s="28">
        <f>IF(F$4="","",F27*(1+F16))</f>
        <v/>
      </c>
      <c r="G28" s="28">
        <f>IF(G$4="","",G27*(1+G16))</f>
        <v/>
      </c>
      <c r="H28" s="28">
        <f>IF(H$4="","",H27*(1+H16))</f>
        <v/>
      </c>
    </row>
    <row r="29">
      <c r="A29" s="2" t="inlineStr">
        <is>
          <t>Year 9</t>
        </is>
      </c>
      <c r="B29" s="2" t="n">
        <v>9</v>
      </c>
      <c r="C29" s="28">
        <f>IF(C$4="","",C28*(1+C17))</f>
        <v/>
      </c>
      <c r="D29" s="28">
        <f>IF(D$4="","",D28*(1+D17))</f>
        <v/>
      </c>
      <c r="E29" s="28">
        <f>IF(E$4="","",E28*(1+E17))</f>
        <v/>
      </c>
      <c r="F29" s="28">
        <f>IF(F$4="","",F28*(1+F17))</f>
        <v/>
      </c>
      <c r="G29" s="28">
        <f>IF(G$4="","",G28*(1+G17))</f>
        <v/>
      </c>
      <c r="H29" s="28">
        <f>IF(H$4="","",H28*(1+H17))</f>
        <v/>
      </c>
    </row>
    <row r="30">
      <c r="A30" s="2" t="inlineStr">
        <is>
          <t>Year 10</t>
        </is>
      </c>
      <c r="B30" s="2" t="n">
        <v>10</v>
      </c>
      <c r="C30" s="28">
        <f>IF(C$4="","",C29*(1+C18))</f>
        <v/>
      </c>
      <c r="D30" s="28">
        <f>IF(D$4="","",D29*(1+D18))</f>
        <v/>
      </c>
      <c r="E30" s="28">
        <f>IF(E$4="","",E29*(1+E18))</f>
        <v/>
      </c>
      <c r="F30" s="28">
        <f>IF(F$4="","",F29*(1+F18))</f>
        <v/>
      </c>
      <c r="G30" s="28">
        <f>IF(G$4="","",G29*(1+G18))</f>
        <v/>
      </c>
      <c r="H30" s="28">
        <f>IF(H$4="","",H29*(1+H18))</f>
        <v/>
      </c>
    </row>
    <row r="32">
      <c r="A32" s="33" t="inlineStr">
        <is>
          <t>PV of owner FCF @ base discount rate ($mm)</t>
        </is>
      </c>
      <c r="B32" s="34" t="n"/>
      <c r="C32" s="34" t="n"/>
      <c r="D32" s="34" t="n"/>
      <c r="E32" s="34" t="n"/>
      <c r="F32" s="34" t="n"/>
      <c r="G32" s="34" t="n"/>
      <c r="H32" s="34" t="n"/>
    </row>
    <row r="33">
      <c r="A33" s="2" t="inlineStr">
        <is>
          <t>Year 1</t>
        </is>
      </c>
      <c r="B33" s="2" t="n">
        <v>1</v>
      </c>
      <c r="C33" s="28">
        <f>IF(C$4="","",C21/(1+Inputs!$B$4)^$B33)</f>
        <v/>
      </c>
      <c r="D33" s="28">
        <f>IF(D$4="","",D21/(1+Inputs!$B$4)^$B33)</f>
        <v/>
      </c>
      <c r="E33" s="28">
        <f>IF(E$4="","",E21/(1+Inputs!$B$4)^$B33)</f>
        <v/>
      </c>
      <c r="F33" s="28">
        <f>IF(F$4="","",F21/(1+Inputs!$B$4)^$B33)</f>
        <v/>
      </c>
      <c r="G33" s="28">
        <f>IF(G$4="","",G21/(1+Inputs!$B$4)^$B33)</f>
        <v/>
      </c>
      <c r="H33" s="28">
        <f>IF(H$4="","",H21/(1+Inputs!$B$4)^$B33)</f>
        <v/>
      </c>
    </row>
    <row r="34">
      <c r="A34" s="2" t="inlineStr">
        <is>
          <t>Year 2</t>
        </is>
      </c>
      <c r="B34" s="2" t="n">
        <v>2</v>
      </c>
      <c r="C34" s="28">
        <f>IF(C$4="","",C22/(1+Inputs!$B$4)^$B34)</f>
        <v/>
      </c>
      <c r="D34" s="28">
        <f>IF(D$4="","",D22/(1+Inputs!$B$4)^$B34)</f>
        <v/>
      </c>
      <c r="E34" s="28">
        <f>IF(E$4="","",E22/(1+Inputs!$B$4)^$B34)</f>
        <v/>
      </c>
      <c r="F34" s="28">
        <f>IF(F$4="","",F22/(1+Inputs!$B$4)^$B34)</f>
        <v/>
      </c>
      <c r="G34" s="28">
        <f>IF(G$4="","",G22/(1+Inputs!$B$4)^$B34)</f>
        <v/>
      </c>
      <c r="H34" s="28">
        <f>IF(H$4="","",H22/(1+Inputs!$B$4)^$B34)</f>
        <v/>
      </c>
    </row>
    <row r="35">
      <c r="A35" s="2" t="inlineStr">
        <is>
          <t>Year 3</t>
        </is>
      </c>
      <c r="B35" s="2" t="n">
        <v>3</v>
      </c>
      <c r="C35" s="28">
        <f>IF(C$4="","",C23/(1+Inputs!$B$4)^$B35)</f>
        <v/>
      </c>
      <c r="D35" s="28">
        <f>IF(D$4="","",D23/(1+Inputs!$B$4)^$B35)</f>
        <v/>
      </c>
      <c r="E35" s="28">
        <f>IF(E$4="","",E23/(1+Inputs!$B$4)^$B35)</f>
        <v/>
      </c>
      <c r="F35" s="28">
        <f>IF(F$4="","",F23/(1+Inputs!$B$4)^$B35)</f>
        <v/>
      </c>
      <c r="G35" s="28">
        <f>IF(G$4="","",G23/(1+Inputs!$B$4)^$B35)</f>
        <v/>
      </c>
      <c r="H35" s="28">
        <f>IF(H$4="","",H23/(1+Inputs!$B$4)^$B35)</f>
        <v/>
      </c>
    </row>
    <row r="36">
      <c r="A36" s="2" t="inlineStr">
        <is>
          <t>Year 4</t>
        </is>
      </c>
      <c r="B36" s="2" t="n">
        <v>4</v>
      </c>
      <c r="C36" s="28">
        <f>IF(C$4="","",C24/(1+Inputs!$B$4)^$B36)</f>
        <v/>
      </c>
      <c r="D36" s="28">
        <f>IF(D$4="","",D24/(1+Inputs!$B$4)^$B36)</f>
        <v/>
      </c>
      <c r="E36" s="28">
        <f>IF(E$4="","",E24/(1+Inputs!$B$4)^$B36)</f>
        <v/>
      </c>
      <c r="F36" s="28">
        <f>IF(F$4="","",F24/(1+Inputs!$B$4)^$B36)</f>
        <v/>
      </c>
      <c r="G36" s="28">
        <f>IF(G$4="","",G24/(1+Inputs!$B$4)^$B36)</f>
        <v/>
      </c>
      <c r="H36" s="28">
        <f>IF(H$4="","",H24/(1+Inputs!$B$4)^$B36)</f>
        <v/>
      </c>
    </row>
    <row r="37">
      <c r="A37" s="2" t="inlineStr">
        <is>
          <t>Year 5</t>
        </is>
      </c>
      <c r="B37" s="2" t="n">
        <v>5</v>
      </c>
      <c r="C37" s="28">
        <f>IF(C$4="","",C25/(1+Inputs!$B$4)^$B37)</f>
        <v/>
      </c>
      <c r="D37" s="28">
        <f>IF(D$4="","",D25/(1+Inputs!$B$4)^$B37)</f>
        <v/>
      </c>
      <c r="E37" s="28">
        <f>IF(E$4="","",E25/(1+Inputs!$B$4)^$B37)</f>
        <v/>
      </c>
      <c r="F37" s="28">
        <f>IF(F$4="","",F25/(1+Inputs!$B$4)^$B37)</f>
        <v/>
      </c>
      <c r="G37" s="28">
        <f>IF(G$4="","",G25/(1+Inputs!$B$4)^$B37)</f>
        <v/>
      </c>
      <c r="H37" s="28">
        <f>IF(H$4="","",H25/(1+Inputs!$B$4)^$B37)</f>
        <v/>
      </c>
    </row>
    <row r="38">
      <c r="A38" s="2" t="inlineStr">
        <is>
          <t>Year 6</t>
        </is>
      </c>
      <c r="B38" s="2" t="n">
        <v>6</v>
      </c>
      <c r="C38" s="28">
        <f>IF(C$4="","",C26/(1+Inputs!$B$4)^$B38)</f>
        <v/>
      </c>
      <c r="D38" s="28">
        <f>IF(D$4="","",D26/(1+Inputs!$B$4)^$B38)</f>
        <v/>
      </c>
      <c r="E38" s="28">
        <f>IF(E$4="","",E26/(1+Inputs!$B$4)^$B38)</f>
        <v/>
      </c>
      <c r="F38" s="28">
        <f>IF(F$4="","",F26/(1+Inputs!$B$4)^$B38)</f>
        <v/>
      </c>
      <c r="G38" s="28">
        <f>IF(G$4="","",G26/(1+Inputs!$B$4)^$B38)</f>
        <v/>
      </c>
      <c r="H38" s="28">
        <f>IF(H$4="","",H26/(1+Inputs!$B$4)^$B38)</f>
        <v/>
      </c>
    </row>
    <row r="39">
      <c r="A39" s="2" t="inlineStr">
        <is>
          <t>Year 7</t>
        </is>
      </c>
      <c r="B39" s="2" t="n">
        <v>7</v>
      </c>
      <c r="C39" s="28">
        <f>IF(C$4="","",C27/(1+Inputs!$B$4)^$B39)</f>
        <v/>
      </c>
      <c r="D39" s="28">
        <f>IF(D$4="","",D27/(1+Inputs!$B$4)^$B39)</f>
        <v/>
      </c>
      <c r="E39" s="28">
        <f>IF(E$4="","",E27/(1+Inputs!$B$4)^$B39)</f>
        <v/>
      </c>
      <c r="F39" s="28">
        <f>IF(F$4="","",F27/(1+Inputs!$B$4)^$B39)</f>
        <v/>
      </c>
      <c r="G39" s="28">
        <f>IF(G$4="","",G27/(1+Inputs!$B$4)^$B39)</f>
        <v/>
      </c>
      <c r="H39" s="28">
        <f>IF(H$4="","",H27/(1+Inputs!$B$4)^$B39)</f>
        <v/>
      </c>
    </row>
    <row r="40">
      <c r="A40" s="2" t="inlineStr">
        <is>
          <t>Year 8</t>
        </is>
      </c>
      <c r="B40" s="2" t="n">
        <v>8</v>
      </c>
      <c r="C40" s="28">
        <f>IF(C$4="","",C28/(1+Inputs!$B$4)^$B40)</f>
        <v/>
      </c>
      <c r="D40" s="28">
        <f>IF(D$4="","",D28/(1+Inputs!$B$4)^$B40)</f>
        <v/>
      </c>
      <c r="E40" s="28">
        <f>IF(E$4="","",E28/(1+Inputs!$B$4)^$B40)</f>
        <v/>
      </c>
      <c r="F40" s="28">
        <f>IF(F$4="","",F28/(1+Inputs!$B$4)^$B40)</f>
        <v/>
      </c>
      <c r="G40" s="28">
        <f>IF(G$4="","",G28/(1+Inputs!$B$4)^$B40)</f>
        <v/>
      </c>
      <c r="H40" s="28">
        <f>IF(H$4="","",H28/(1+Inputs!$B$4)^$B40)</f>
        <v/>
      </c>
    </row>
    <row r="41">
      <c r="A41" s="2" t="inlineStr">
        <is>
          <t>Year 9</t>
        </is>
      </c>
      <c r="B41" s="2" t="n">
        <v>9</v>
      </c>
      <c r="C41" s="28">
        <f>IF(C$4="","",C29/(1+Inputs!$B$4)^$B41)</f>
        <v/>
      </c>
      <c r="D41" s="28">
        <f>IF(D$4="","",D29/(1+Inputs!$B$4)^$B41)</f>
        <v/>
      </c>
      <c r="E41" s="28">
        <f>IF(E$4="","",E29/(1+Inputs!$B$4)^$B41)</f>
        <v/>
      </c>
      <c r="F41" s="28">
        <f>IF(F$4="","",F29/(1+Inputs!$B$4)^$B41)</f>
        <v/>
      </c>
      <c r="G41" s="28">
        <f>IF(G$4="","",G29/(1+Inputs!$B$4)^$B41)</f>
        <v/>
      </c>
      <c r="H41" s="28">
        <f>IF(H$4="","",H29/(1+Inputs!$B$4)^$B41)</f>
        <v/>
      </c>
    </row>
    <row r="42">
      <c r="A42" s="2" t="inlineStr">
        <is>
          <t>Year 10</t>
        </is>
      </c>
      <c r="B42" s="2" t="n">
        <v>10</v>
      </c>
      <c r="C42" s="28">
        <f>IF(C$4="","",C30/(1+Inputs!$B$4)^$B42)</f>
        <v/>
      </c>
      <c r="D42" s="28">
        <f>IF(D$4="","",D30/(1+Inputs!$B$4)^$B42)</f>
        <v/>
      </c>
      <c r="E42" s="28">
        <f>IF(E$4="","",E30/(1+Inputs!$B$4)^$B42)</f>
        <v/>
      </c>
      <c r="F42" s="28">
        <f>IF(F$4="","",F30/(1+Inputs!$B$4)^$B42)</f>
        <v/>
      </c>
      <c r="G42" s="28">
        <f>IF(G$4="","",G30/(1+Inputs!$B$4)^$B42)</f>
        <v/>
      </c>
      <c r="H42" s="28">
        <f>IF(H$4="","",H30/(1+Inputs!$B$4)^$B42)</f>
        <v/>
      </c>
    </row>
    <row r="44">
      <c r="A44" s="33" t="inlineStr">
        <is>
          <t>PV of owner FCF @ conservative discount rate ($mm)</t>
        </is>
      </c>
      <c r="B44" s="34" t="n"/>
      <c r="C44" s="34" t="n"/>
      <c r="D44" s="34" t="n"/>
      <c r="E44" s="34" t="n"/>
      <c r="F44" s="34" t="n"/>
      <c r="G44" s="34" t="n"/>
      <c r="H44" s="34" t="n"/>
    </row>
    <row r="45">
      <c r="A45" s="2" t="inlineStr">
        <is>
          <t>Year 1</t>
        </is>
      </c>
      <c r="B45" s="2" t="n">
        <v>1</v>
      </c>
      <c r="C45" s="28">
        <f>IF(C$4="","",C21/(1+Inputs!$B$5)^$B45)</f>
        <v/>
      </c>
      <c r="D45" s="28">
        <f>IF(D$4="","",D21/(1+Inputs!$B$5)^$B45)</f>
        <v/>
      </c>
      <c r="E45" s="28">
        <f>IF(E$4="","",E21/(1+Inputs!$B$5)^$B45)</f>
        <v/>
      </c>
      <c r="F45" s="28">
        <f>IF(F$4="","",F21/(1+Inputs!$B$5)^$B45)</f>
        <v/>
      </c>
      <c r="G45" s="28">
        <f>IF(G$4="","",G21/(1+Inputs!$B$5)^$B45)</f>
        <v/>
      </c>
      <c r="H45" s="28">
        <f>IF(H$4="","",H21/(1+Inputs!$B$5)^$B45)</f>
        <v/>
      </c>
    </row>
    <row r="46">
      <c r="A46" s="2" t="inlineStr">
        <is>
          <t>Year 2</t>
        </is>
      </c>
      <c r="B46" s="2" t="n">
        <v>2</v>
      </c>
      <c r="C46" s="28">
        <f>IF(C$4="","",C22/(1+Inputs!$B$5)^$B46)</f>
        <v/>
      </c>
      <c r="D46" s="28">
        <f>IF(D$4="","",D22/(1+Inputs!$B$5)^$B46)</f>
        <v/>
      </c>
      <c r="E46" s="28">
        <f>IF(E$4="","",E22/(1+Inputs!$B$5)^$B46)</f>
        <v/>
      </c>
      <c r="F46" s="28">
        <f>IF(F$4="","",F22/(1+Inputs!$B$5)^$B46)</f>
        <v/>
      </c>
      <c r="G46" s="28">
        <f>IF(G$4="","",G22/(1+Inputs!$B$5)^$B46)</f>
        <v/>
      </c>
      <c r="H46" s="28">
        <f>IF(H$4="","",H22/(1+Inputs!$B$5)^$B46)</f>
        <v/>
      </c>
    </row>
    <row r="47">
      <c r="A47" s="2" t="inlineStr">
        <is>
          <t>Year 3</t>
        </is>
      </c>
      <c r="B47" s="2" t="n">
        <v>3</v>
      </c>
      <c r="C47" s="28">
        <f>IF(C$4="","",C23/(1+Inputs!$B$5)^$B47)</f>
        <v/>
      </c>
      <c r="D47" s="28">
        <f>IF(D$4="","",D23/(1+Inputs!$B$5)^$B47)</f>
        <v/>
      </c>
      <c r="E47" s="28">
        <f>IF(E$4="","",E23/(1+Inputs!$B$5)^$B47)</f>
        <v/>
      </c>
      <c r="F47" s="28">
        <f>IF(F$4="","",F23/(1+Inputs!$B$5)^$B47)</f>
        <v/>
      </c>
      <c r="G47" s="28">
        <f>IF(G$4="","",G23/(1+Inputs!$B$5)^$B47)</f>
        <v/>
      </c>
      <c r="H47" s="28">
        <f>IF(H$4="","",H23/(1+Inputs!$B$5)^$B47)</f>
        <v/>
      </c>
    </row>
    <row r="48">
      <c r="A48" s="2" t="inlineStr">
        <is>
          <t>Year 4</t>
        </is>
      </c>
      <c r="B48" s="2" t="n">
        <v>4</v>
      </c>
      <c r="C48" s="28">
        <f>IF(C$4="","",C24/(1+Inputs!$B$5)^$B48)</f>
        <v/>
      </c>
      <c r="D48" s="28">
        <f>IF(D$4="","",D24/(1+Inputs!$B$5)^$B48)</f>
        <v/>
      </c>
      <c r="E48" s="28">
        <f>IF(E$4="","",E24/(1+Inputs!$B$5)^$B48)</f>
        <v/>
      </c>
      <c r="F48" s="28">
        <f>IF(F$4="","",F24/(1+Inputs!$B$5)^$B48)</f>
        <v/>
      </c>
      <c r="G48" s="28">
        <f>IF(G$4="","",G24/(1+Inputs!$B$5)^$B48)</f>
        <v/>
      </c>
      <c r="H48" s="28">
        <f>IF(H$4="","",H24/(1+Inputs!$B$5)^$B48)</f>
        <v/>
      </c>
    </row>
    <row r="49">
      <c r="A49" s="2" t="inlineStr">
        <is>
          <t>Year 5</t>
        </is>
      </c>
      <c r="B49" s="2" t="n">
        <v>5</v>
      </c>
      <c r="C49" s="28">
        <f>IF(C$4="","",C25/(1+Inputs!$B$5)^$B49)</f>
        <v/>
      </c>
      <c r="D49" s="28">
        <f>IF(D$4="","",D25/(1+Inputs!$B$5)^$B49)</f>
        <v/>
      </c>
      <c r="E49" s="28">
        <f>IF(E$4="","",E25/(1+Inputs!$B$5)^$B49)</f>
        <v/>
      </c>
      <c r="F49" s="28">
        <f>IF(F$4="","",F25/(1+Inputs!$B$5)^$B49)</f>
        <v/>
      </c>
      <c r="G49" s="28">
        <f>IF(G$4="","",G25/(1+Inputs!$B$5)^$B49)</f>
        <v/>
      </c>
      <c r="H49" s="28">
        <f>IF(H$4="","",H25/(1+Inputs!$B$5)^$B49)</f>
        <v/>
      </c>
    </row>
    <row r="50">
      <c r="A50" s="2" t="inlineStr">
        <is>
          <t>Year 6</t>
        </is>
      </c>
      <c r="B50" s="2" t="n">
        <v>6</v>
      </c>
      <c r="C50" s="28">
        <f>IF(C$4="","",C26/(1+Inputs!$B$5)^$B50)</f>
        <v/>
      </c>
      <c r="D50" s="28">
        <f>IF(D$4="","",D26/(1+Inputs!$B$5)^$B50)</f>
        <v/>
      </c>
      <c r="E50" s="28">
        <f>IF(E$4="","",E26/(1+Inputs!$B$5)^$B50)</f>
        <v/>
      </c>
      <c r="F50" s="28">
        <f>IF(F$4="","",F26/(1+Inputs!$B$5)^$B50)</f>
        <v/>
      </c>
      <c r="G50" s="28">
        <f>IF(G$4="","",G26/(1+Inputs!$B$5)^$B50)</f>
        <v/>
      </c>
      <c r="H50" s="28">
        <f>IF(H$4="","",H26/(1+Inputs!$B$5)^$B50)</f>
        <v/>
      </c>
    </row>
    <row r="51">
      <c r="A51" s="2" t="inlineStr">
        <is>
          <t>Year 7</t>
        </is>
      </c>
      <c r="B51" s="2" t="n">
        <v>7</v>
      </c>
      <c r="C51" s="28">
        <f>IF(C$4="","",C27/(1+Inputs!$B$5)^$B51)</f>
        <v/>
      </c>
      <c r="D51" s="28">
        <f>IF(D$4="","",D27/(1+Inputs!$B$5)^$B51)</f>
        <v/>
      </c>
      <c r="E51" s="28">
        <f>IF(E$4="","",E27/(1+Inputs!$B$5)^$B51)</f>
        <v/>
      </c>
      <c r="F51" s="28">
        <f>IF(F$4="","",F27/(1+Inputs!$B$5)^$B51)</f>
        <v/>
      </c>
      <c r="G51" s="28">
        <f>IF(G$4="","",G27/(1+Inputs!$B$5)^$B51)</f>
        <v/>
      </c>
      <c r="H51" s="28">
        <f>IF(H$4="","",H27/(1+Inputs!$B$5)^$B51)</f>
        <v/>
      </c>
    </row>
    <row r="52">
      <c r="A52" s="2" t="inlineStr">
        <is>
          <t>Year 8</t>
        </is>
      </c>
      <c r="B52" s="2" t="n">
        <v>8</v>
      </c>
      <c r="C52" s="28">
        <f>IF(C$4="","",C28/(1+Inputs!$B$5)^$B52)</f>
        <v/>
      </c>
      <c r="D52" s="28">
        <f>IF(D$4="","",D28/(1+Inputs!$B$5)^$B52)</f>
        <v/>
      </c>
      <c r="E52" s="28">
        <f>IF(E$4="","",E28/(1+Inputs!$B$5)^$B52)</f>
        <v/>
      </c>
      <c r="F52" s="28">
        <f>IF(F$4="","",F28/(1+Inputs!$B$5)^$B52)</f>
        <v/>
      </c>
      <c r="G52" s="28">
        <f>IF(G$4="","",G28/(1+Inputs!$B$5)^$B52)</f>
        <v/>
      </c>
      <c r="H52" s="28">
        <f>IF(H$4="","",H28/(1+Inputs!$B$5)^$B52)</f>
        <v/>
      </c>
    </row>
    <row r="53">
      <c r="A53" s="2" t="inlineStr">
        <is>
          <t>Year 9</t>
        </is>
      </c>
      <c r="B53" s="2" t="n">
        <v>9</v>
      </c>
      <c r="C53" s="28">
        <f>IF(C$4="","",C29/(1+Inputs!$B$5)^$B53)</f>
        <v/>
      </c>
      <c r="D53" s="28">
        <f>IF(D$4="","",D29/(1+Inputs!$B$5)^$B53)</f>
        <v/>
      </c>
      <c r="E53" s="28">
        <f>IF(E$4="","",E29/(1+Inputs!$B$5)^$B53)</f>
        <v/>
      </c>
      <c r="F53" s="28">
        <f>IF(F$4="","",F29/(1+Inputs!$B$5)^$B53)</f>
        <v/>
      </c>
      <c r="G53" s="28">
        <f>IF(G$4="","",G29/(1+Inputs!$B$5)^$B53)</f>
        <v/>
      </c>
      <c r="H53" s="28">
        <f>IF(H$4="","",H29/(1+Inputs!$B$5)^$B53)</f>
        <v/>
      </c>
    </row>
    <row r="54">
      <c r="A54" s="2" t="inlineStr">
        <is>
          <t>Year 10</t>
        </is>
      </c>
      <c r="B54" s="2" t="n">
        <v>10</v>
      </c>
      <c r="C54" s="28">
        <f>IF(C$4="","",C30/(1+Inputs!$B$5)^$B54)</f>
        <v/>
      </c>
      <c r="D54" s="28">
        <f>IF(D$4="","",D30/(1+Inputs!$B$5)^$B54)</f>
        <v/>
      </c>
      <c r="E54" s="28">
        <f>IF(E$4="","",E30/(1+Inputs!$B$5)^$B54)</f>
        <v/>
      </c>
      <c r="F54" s="28">
        <f>IF(F$4="","",F30/(1+Inputs!$B$5)^$B54)</f>
        <v/>
      </c>
      <c r="G54" s="28">
        <f>IF(G$4="","",G30/(1+Inputs!$B$5)^$B54)</f>
        <v/>
      </c>
      <c r="H54" s="28">
        <f>IF(H$4="","",H30/(1+Inputs!$B$5)^$B54)</f>
        <v/>
      </c>
    </row>
    <row r="56">
      <c r="A56" s="33" t="inlineStr">
        <is>
          <t>Valuation</t>
        </is>
      </c>
      <c r="B56" s="34" t="n"/>
      <c r="C56" s="34" t="n"/>
      <c r="D56" s="34" t="n"/>
      <c r="E56" s="34" t="n"/>
      <c r="F56" s="34" t="n"/>
      <c r="G56" s="34" t="n"/>
      <c r="H56" s="34" t="n"/>
    </row>
    <row r="57">
      <c r="A57" s="2" t="inlineStr">
        <is>
          <t>Sum PV years 1-10 (base)</t>
        </is>
      </c>
      <c r="C57" s="28">
        <f>IF(C$4="","",SUM(C33:C42))</f>
        <v/>
      </c>
      <c r="D57" s="28">
        <f>IF(D$4="","",SUM(D33:D42))</f>
        <v/>
      </c>
      <c r="E57" s="28">
        <f>IF(E$4="","",SUM(E33:E42))</f>
        <v/>
      </c>
      <c r="F57" s="28">
        <f>IF(F$4="","",SUM(F33:F42))</f>
        <v/>
      </c>
      <c r="G57" s="28">
        <f>IF(G$4="","",SUM(G33:G42))</f>
        <v/>
      </c>
      <c r="H57" s="28">
        <f>IF(H$4="","",SUM(H33:H42))</f>
        <v/>
      </c>
    </row>
    <row r="58">
      <c r="A58" s="2" t="inlineStr">
        <is>
          <t>PV terminal value (base)</t>
        </is>
      </c>
      <c r="C58" s="28">
        <f>IF(C$4="","",C30*(1+Inputs!$B$6)/(Inputs!$B$4-Inputs!$B$6)/(1+Inputs!$B$4)^10)</f>
        <v/>
      </c>
      <c r="D58" s="28">
        <f>IF(D$4="","",D30*(1+Inputs!$B$6)/(Inputs!$B$4-Inputs!$B$6)/(1+Inputs!$B$4)^10)</f>
        <v/>
      </c>
      <c r="E58" s="28">
        <f>IF(E$4="","",E30*(1+Inputs!$B$6)/(Inputs!$B$4-Inputs!$B$6)/(1+Inputs!$B$4)^10)</f>
        <v/>
      </c>
      <c r="F58" s="28">
        <f>IF(F$4="","",F30*(1+Inputs!$B$6)/(Inputs!$B$4-Inputs!$B$6)/(1+Inputs!$B$4)^10)</f>
        <v/>
      </c>
      <c r="G58" s="28">
        <f>IF(G$4="","",G30*(1+Inputs!$B$6)/(Inputs!$B$4-Inputs!$B$6)/(1+Inputs!$B$4)^10)</f>
        <v/>
      </c>
      <c r="H58" s="28">
        <f>IF(H$4="","",H30*(1+Inputs!$B$6)/(Inputs!$B$4-Inputs!$B$6)/(1+Inputs!$B$4)^10)</f>
        <v/>
      </c>
    </row>
    <row r="59">
      <c r="A59" s="2" t="inlineStr">
        <is>
          <t>Enterprise value (base)</t>
        </is>
      </c>
      <c r="C59" s="28">
        <f>IF(C$4="","",C57+C58)</f>
        <v/>
      </c>
      <c r="D59" s="28">
        <f>IF(D$4="","",D57+D58)</f>
        <v/>
      </c>
      <c r="E59" s="28">
        <f>IF(E$4="","",E57+E58)</f>
        <v/>
      </c>
      <c r="F59" s="28">
        <f>IF(F$4="","",F57+F58)</f>
        <v/>
      </c>
      <c r="G59" s="28">
        <f>IF(G$4="","",G57+G58)</f>
        <v/>
      </c>
      <c r="H59" s="28">
        <f>IF(H$4="","",H57+H58)</f>
        <v/>
      </c>
    </row>
    <row r="60">
      <c r="A60" s="3" t="inlineStr">
        <is>
          <t>Going-concern value / share (base)</t>
        </is>
      </c>
      <c r="C60" s="36">
        <f>IF(C$4="","",(C59-Inputs!C19)/Inputs!C15)</f>
        <v/>
      </c>
      <c r="D60" s="36">
        <f>IF(D$4="","",(D59-Inputs!D19)/Inputs!D15)</f>
        <v/>
      </c>
      <c r="E60" s="36">
        <f>IF(E$4="","",(E59-Inputs!E19)/Inputs!E15)</f>
        <v/>
      </c>
      <c r="F60" s="36">
        <f>IF(F$4="","",(F59-Inputs!F19)/Inputs!F15)</f>
        <v/>
      </c>
      <c r="G60" s="36">
        <f>IF(G$4="","",(G59-Inputs!G19)/Inputs!G15)</f>
        <v/>
      </c>
      <c r="H60" s="36">
        <f>IF(H$4="","",(H59-Inputs!H19)/Inputs!H15)</f>
        <v/>
      </c>
    </row>
    <row r="61">
      <c r="A61" s="2" t="inlineStr">
        <is>
          <t>Terminal value % of EV (base)</t>
        </is>
      </c>
      <c r="C61" s="35">
        <f>IF(C$4="","",C58/C59)</f>
        <v/>
      </c>
      <c r="D61" s="35">
        <f>IF(D$4="","",D58/D59)</f>
        <v/>
      </c>
      <c r="E61" s="35">
        <f>IF(E$4="","",E58/E59)</f>
        <v/>
      </c>
      <c r="F61" s="35">
        <f>IF(F$4="","",F58/F59)</f>
        <v/>
      </c>
      <c r="G61" s="35">
        <f>IF(G$4="","",G58/G59)</f>
        <v/>
      </c>
      <c r="H61" s="35">
        <f>IF(H$4="","",H58/H59)</f>
        <v/>
      </c>
    </row>
    <row r="62">
      <c r="A62" s="2" t="inlineStr">
        <is>
          <t>Sum PV years 1-10 (conservative)</t>
        </is>
      </c>
      <c r="C62" s="28">
        <f>IF(C$4="","",SUM(C45:C54))</f>
        <v/>
      </c>
      <c r="D62" s="28">
        <f>IF(D$4="","",SUM(D45:D54))</f>
        <v/>
      </c>
      <c r="E62" s="28">
        <f>IF(E$4="","",SUM(E45:E54))</f>
        <v/>
      </c>
      <c r="F62" s="28">
        <f>IF(F$4="","",SUM(F45:F54))</f>
        <v/>
      </c>
      <c r="G62" s="28">
        <f>IF(G$4="","",SUM(G45:G54))</f>
        <v/>
      </c>
      <c r="H62" s="28">
        <f>IF(H$4="","",SUM(H45:H54))</f>
        <v/>
      </c>
    </row>
    <row r="63">
      <c r="A63" s="2" t="inlineStr">
        <is>
          <t>PV terminal value (conservative)</t>
        </is>
      </c>
      <c r="C63" s="28">
        <f>IF(C$4="","",C30*(1+Inputs!$B$6)/(Inputs!$B$5-Inputs!$B$6)/(1+Inputs!$B$5)^10)</f>
        <v/>
      </c>
      <c r="D63" s="28">
        <f>IF(D$4="","",D30*(1+Inputs!$B$6)/(Inputs!$B$5-Inputs!$B$6)/(1+Inputs!$B$5)^10)</f>
        <v/>
      </c>
      <c r="E63" s="28">
        <f>IF(E$4="","",E30*(1+Inputs!$B$6)/(Inputs!$B$5-Inputs!$B$6)/(1+Inputs!$B$5)^10)</f>
        <v/>
      </c>
      <c r="F63" s="28">
        <f>IF(F$4="","",F30*(1+Inputs!$B$6)/(Inputs!$B$5-Inputs!$B$6)/(1+Inputs!$B$5)^10)</f>
        <v/>
      </c>
      <c r="G63" s="28">
        <f>IF(G$4="","",G30*(1+Inputs!$B$6)/(Inputs!$B$5-Inputs!$B$6)/(1+Inputs!$B$5)^10)</f>
        <v/>
      </c>
      <c r="H63" s="28">
        <f>IF(H$4="","",H30*(1+Inputs!$B$6)/(Inputs!$B$5-Inputs!$B$6)/(1+Inputs!$B$5)^10)</f>
        <v/>
      </c>
    </row>
    <row r="64">
      <c r="A64" s="2" t="inlineStr">
        <is>
          <t>Enterprise value (conservative)</t>
        </is>
      </c>
      <c r="C64" s="28">
        <f>IF(C$4="","",C62+C63)</f>
        <v/>
      </c>
      <c r="D64" s="28">
        <f>IF(D$4="","",D62+D63)</f>
        <v/>
      </c>
      <c r="E64" s="28">
        <f>IF(E$4="","",E62+E63)</f>
        <v/>
      </c>
      <c r="F64" s="28">
        <f>IF(F$4="","",F62+F63)</f>
        <v/>
      </c>
      <c r="G64" s="28">
        <f>IF(G$4="","",G62+G63)</f>
        <v/>
      </c>
      <c r="H64" s="28">
        <f>IF(H$4="","",H62+H63)</f>
        <v/>
      </c>
    </row>
    <row r="65">
      <c r="A65" s="3" t="inlineStr">
        <is>
          <t>Going-concern value / share (conservative)</t>
        </is>
      </c>
      <c r="C65" s="36">
        <f>IF(C$4="","",(C64-Inputs!C19)/Inputs!C15)</f>
        <v/>
      </c>
      <c r="D65" s="36">
        <f>IF(D$4="","",(D64-Inputs!D19)/Inputs!D15)</f>
        <v/>
      </c>
      <c r="E65" s="36">
        <f>IF(E$4="","",(E64-Inputs!E19)/Inputs!E15)</f>
        <v/>
      </c>
      <c r="F65" s="36">
        <f>IF(F$4="","",(F64-Inputs!F19)/Inputs!F15)</f>
        <v/>
      </c>
      <c r="G65" s="36">
        <f>IF(G$4="","",(G64-Inputs!G19)/Inputs!G15)</f>
        <v/>
      </c>
      <c r="H65" s="36">
        <f>IF(H$4="","",(H64-Inputs!H19)/Inputs!H15)</f>
        <v/>
      </c>
    </row>
    <row r="66">
      <c r="A66" s="3" t="inlineStr">
        <is>
          <t>Bear value / share (conservative)</t>
        </is>
      </c>
      <c r="C66" s="36">
        <f>IF(C$4="","",(C$5*(1-Inputs!$B$7)/(Inputs!$B$5+Inputs!$B$7)-Inputs!C19)/Inputs!C15)</f>
        <v/>
      </c>
      <c r="D66" s="36">
        <f>IF(D$4="","",(D$5*(1-Inputs!$B$7)/(Inputs!$B$5+Inputs!$B$7)-Inputs!D19)/Inputs!D15)</f>
        <v/>
      </c>
      <c r="E66" s="36">
        <f>IF(E$4="","",(E$5*(1-Inputs!$B$7)/(Inputs!$B$5+Inputs!$B$7)-Inputs!E19)/Inputs!E15)</f>
        <v/>
      </c>
      <c r="F66" s="36">
        <f>IF(F$4="","",(F$5*(1-Inputs!$B$7)/(Inputs!$B$5+Inputs!$B$7)-Inputs!F19)/Inputs!F15)</f>
        <v/>
      </c>
      <c r="G66" s="36">
        <f>IF(G$4="","",(G$5*(1-Inputs!$B$7)/(Inputs!$B$5+Inputs!$B$7)-Inputs!G19)/Inputs!G15)</f>
        <v/>
      </c>
      <c r="H66" s="36">
        <f>IF(H$4="","",(H$5*(1-Inputs!$B$7)/(Inputs!$B$5+Inputs!$B$7)-Inputs!H19)/Inputs!H15)</f>
        <v/>
      </c>
    </row>
    <row r="67">
      <c r="A67" s="3" t="inlineStr">
        <is>
          <t>Bear value / share (base)</t>
        </is>
      </c>
      <c r="C67" s="36">
        <f>IF(C$4="","",(C$5*(1-Inputs!$B$7)/(Inputs!$B$4+Inputs!$B$7)-Inputs!C19)/Inputs!C15)</f>
        <v/>
      </c>
      <c r="D67" s="36">
        <f>IF(D$4="","",(D$5*(1-Inputs!$B$7)/(Inputs!$B$4+Inputs!$B$7)-Inputs!D19)/Inputs!D15)</f>
        <v/>
      </c>
      <c r="E67" s="36">
        <f>IF(E$4="","",(E$5*(1-Inputs!$B$7)/(Inputs!$B$4+Inputs!$B$7)-Inputs!E19)/Inputs!E15)</f>
        <v/>
      </c>
      <c r="F67" s="36">
        <f>IF(F$4="","",(F$5*(1-Inputs!$B$7)/(Inputs!$B$4+Inputs!$B$7)-Inputs!F19)/Inputs!F15)</f>
        <v/>
      </c>
      <c r="G67" s="36">
        <f>IF(G$4="","",(G$5*(1-Inputs!$B$7)/(Inputs!$B$4+Inputs!$B$7)-Inputs!G19)/Inputs!G15)</f>
        <v/>
      </c>
      <c r="H67" s="36">
        <f>IF(H$4="","",(H$5*(1-Inputs!$B$7)/(Inputs!$B$4+Inputs!$B$7)-Inputs!H19)/Inputs!H15)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Helper: value multiple of year-0 owner FCF for each starting growth (do not edit)</t>
        </is>
      </c>
    </row>
    <row r="2">
      <c r="L2" s="4" t="inlineStr">
        <is>
          <t>Years 1-10 = cumulative growth factors</t>
        </is>
      </c>
    </row>
    <row r="3">
      <c r="A3" s="3" t="inlineStr">
        <is>
          <t>Start g</t>
        </is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inlineStr">
        <is>
          <t>Mult @ base r</t>
        </is>
      </c>
      <c r="M3" s="3" t="inlineStr">
        <is>
          <t>Mult @ cons r</t>
        </is>
      </c>
    </row>
    <row r="4">
      <c r="A4" s="35">
        <f>ROUND(-0.2+0*0.005,4)</f>
        <v/>
      </c>
      <c r="B4" s="23">
        <f>1*(1+$A4+(Inputs!$B$6-$A4)*(B$3-1)/9)</f>
        <v/>
      </c>
      <c r="C4" s="23">
        <f>B4*(1+$A4+(Inputs!$B$6-$A4)*(C$3-1)/9)</f>
        <v/>
      </c>
      <c r="D4" s="23">
        <f>C4*(1+$A4+(Inputs!$B$6-$A4)*(D$3-1)/9)</f>
        <v/>
      </c>
      <c r="E4" s="23">
        <f>D4*(1+$A4+(Inputs!$B$6-$A4)*(E$3-1)/9)</f>
        <v/>
      </c>
      <c r="F4" s="23">
        <f>E4*(1+$A4+(Inputs!$B$6-$A4)*(F$3-1)/9)</f>
        <v/>
      </c>
      <c r="G4" s="23">
        <f>F4*(1+$A4+(Inputs!$B$6-$A4)*(G$3-1)/9)</f>
        <v/>
      </c>
      <c r="H4" s="23">
        <f>G4*(1+$A4+(Inputs!$B$6-$A4)*(H$3-1)/9)</f>
        <v/>
      </c>
      <c r="I4" s="23">
        <f>H4*(1+$A4+(Inputs!$B$6-$A4)*(I$3-1)/9)</f>
        <v/>
      </c>
      <c r="J4" s="23">
        <f>I4*(1+$A4+(Inputs!$B$6-$A4)*(J$3-1)/9)</f>
        <v/>
      </c>
      <c r="K4" s="23">
        <f>J4*(1+$A4+(Inputs!$B$6-$A4)*(K$3-1)/9)</f>
        <v/>
      </c>
      <c r="L4" s="37">
        <f>SUMPRODUCT(B4:K4,1/(1+Inputs!$B$4)^$B$3:$K$3)+K4*(1+Inputs!$B$6)/(Inputs!$B$4-Inputs!$B$6)/(1+Inputs!$B$4)^10</f>
        <v/>
      </c>
      <c r="M4" s="37">
        <f>SUMPRODUCT(B4:K4,1/(1+Inputs!$B$5)^$B$3:$K$3)+K4*(1+Inputs!$B$6)/(Inputs!$B$5-Inputs!$B$6)/(1+Inputs!$B$5)^10</f>
        <v/>
      </c>
    </row>
    <row r="5">
      <c r="A5" s="35">
        <f>ROUND(-0.2+1*0.005,4)</f>
        <v/>
      </c>
      <c r="B5" s="23">
        <f>1*(1+$A5+(Inputs!$B$6-$A5)*(B$3-1)/9)</f>
        <v/>
      </c>
      <c r="C5" s="23">
        <f>B5*(1+$A5+(Inputs!$B$6-$A5)*(C$3-1)/9)</f>
        <v/>
      </c>
      <c r="D5" s="23">
        <f>C5*(1+$A5+(Inputs!$B$6-$A5)*(D$3-1)/9)</f>
        <v/>
      </c>
      <c r="E5" s="23">
        <f>D5*(1+$A5+(Inputs!$B$6-$A5)*(E$3-1)/9)</f>
        <v/>
      </c>
      <c r="F5" s="23">
        <f>E5*(1+$A5+(Inputs!$B$6-$A5)*(F$3-1)/9)</f>
        <v/>
      </c>
      <c r="G5" s="23">
        <f>F5*(1+$A5+(Inputs!$B$6-$A5)*(G$3-1)/9)</f>
        <v/>
      </c>
      <c r="H5" s="23">
        <f>G5*(1+$A5+(Inputs!$B$6-$A5)*(H$3-1)/9)</f>
        <v/>
      </c>
      <c r="I5" s="23">
        <f>H5*(1+$A5+(Inputs!$B$6-$A5)*(I$3-1)/9)</f>
        <v/>
      </c>
      <c r="J5" s="23">
        <f>I5*(1+$A5+(Inputs!$B$6-$A5)*(J$3-1)/9)</f>
        <v/>
      </c>
      <c r="K5" s="23">
        <f>J5*(1+$A5+(Inputs!$B$6-$A5)*(K$3-1)/9)</f>
        <v/>
      </c>
      <c r="L5" s="37">
        <f>SUMPRODUCT(B5:K5,1/(1+Inputs!$B$4)^$B$3:$K$3)+K5*(1+Inputs!$B$6)/(Inputs!$B$4-Inputs!$B$6)/(1+Inputs!$B$4)^10</f>
        <v/>
      </c>
      <c r="M5" s="37">
        <f>SUMPRODUCT(B5:K5,1/(1+Inputs!$B$5)^$B$3:$K$3)+K5*(1+Inputs!$B$6)/(Inputs!$B$5-Inputs!$B$6)/(1+Inputs!$B$5)^10</f>
        <v/>
      </c>
    </row>
    <row r="6">
      <c r="A6" s="35">
        <f>ROUND(-0.2+2*0.005,4)</f>
        <v/>
      </c>
      <c r="B6" s="23">
        <f>1*(1+$A6+(Inputs!$B$6-$A6)*(B$3-1)/9)</f>
        <v/>
      </c>
      <c r="C6" s="23">
        <f>B6*(1+$A6+(Inputs!$B$6-$A6)*(C$3-1)/9)</f>
        <v/>
      </c>
      <c r="D6" s="23">
        <f>C6*(1+$A6+(Inputs!$B$6-$A6)*(D$3-1)/9)</f>
        <v/>
      </c>
      <c r="E6" s="23">
        <f>D6*(1+$A6+(Inputs!$B$6-$A6)*(E$3-1)/9)</f>
        <v/>
      </c>
      <c r="F6" s="23">
        <f>E6*(1+$A6+(Inputs!$B$6-$A6)*(F$3-1)/9)</f>
        <v/>
      </c>
      <c r="G6" s="23">
        <f>F6*(1+$A6+(Inputs!$B$6-$A6)*(G$3-1)/9)</f>
        <v/>
      </c>
      <c r="H6" s="23">
        <f>G6*(1+$A6+(Inputs!$B$6-$A6)*(H$3-1)/9)</f>
        <v/>
      </c>
      <c r="I6" s="23">
        <f>H6*(1+$A6+(Inputs!$B$6-$A6)*(I$3-1)/9)</f>
        <v/>
      </c>
      <c r="J6" s="23">
        <f>I6*(1+$A6+(Inputs!$B$6-$A6)*(J$3-1)/9)</f>
        <v/>
      </c>
      <c r="K6" s="23">
        <f>J6*(1+$A6+(Inputs!$B$6-$A6)*(K$3-1)/9)</f>
        <v/>
      </c>
      <c r="L6" s="37">
        <f>SUMPRODUCT(B6:K6,1/(1+Inputs!$B$4)^$B$3:$K$3)+K6*(1+Inputs!$B$6)/(Inputs!$B$4-Inputs!$B$6)/(1+Inputs!$B$4)^10</f>
        <v/>
      </c>
      <c r="M6" s="37">
        <f>SUMPRODUCT(B6:K6,1/(1+Inputs!$B$5)^$B$3:$K$3)+K6*(1+Inputs!$B$6)/(Inputs!$B$5-Inputs!$B$6)/(1+Inputs!$B$5)^10</f>
        <v/>
      </c>
    </row>
    <row r="7">
      <c r="A7" s="35">
        <f>ROUND(-0.2+3*0.005,4)</f>
        <v/>
      </c>
      <c r="B7" s="23">
        <f>1*(1+$A7+(Inputs!$B$6-$A7)*(B$3-1)/9)</f>
        <v/>
      </c>
      <c r="C7" s="23">
        <f>B7*(1+$A7+(Inputs!$B$6-$A7)*(C$3-1)/9)</f>
        <v/>
      </c>
      <c r="D7" s="23">
        <f>C7*(1+$A7+(Inputs!$B$6-$A7)*(D$3-1)/9)</f>
        <v/>
      </c>
      <c r="E7" s="23">
        <f>D7*(1+$A7+(Inputs!$B$6-$A7)*(E$3-1)/9)</f>
        <v/>
      </c>
      <c r="F7" s="23">
        <f>E7*(1+$A7+(Inputs!$B$6-$A7)*(F$3-1)/9)</f>
        <v/>
      </c>
      <c r="G7" s="23">
        <f>F7*(1+$A7+(Inputs!$B$6-$A7)*(G$3-1)/9)</f>
        <v/>
      </c>
      <c r="H7" s="23">
        <f>G7*(1+$A7+(Inputs!$B$6-$A7)*(H$3-1)/9)</f>
        <v/>
      </c>
      <c r="I7" s="23">
        <f>H7*(1+$A7+(Inputs!$B$6-$A7)*(I$3-1)/9)</f>
        <v/>
      </c>
      <c r="J7" s="23">
        <f>I7*(1+$A7+(Inputs!$B$6-$A7)*(J$3-1)/9)</f>
        <v/>
      </c>
      <c r="K7" s="23">
        <f>J7*(1+$A7+(Inputs!$B$6-$A7)*(K$3-1)/9)</f>
        <v/>
      </c>
      <c r="L7" s="37">
        <f>SUMPRODUCT(B7:K7,1/(1+Inputs!$B$4)^$B$3:$K$3)+K7*(1+Inputs!$B$6)/(Inputs!$B$4-Inputs!$B$6)/(1+Inputs!$B$4)^10</f>
        <v/>
      </c>
      <c r="M7" s="37">
        <f>SUMPRODUCT(B7:K7,1/(1+Inputs!$B$5)^$B$3:$K$3)+K7*(1+Inputs!$B$6)/(Inputs!$B$5-Inputs!$B$6)/(1+Inputs!$B$5)^10</f>
        <v/>
      </c>
    </row>
    <row r="8">
      <c r="A8" s="35">
        <f>ROUND(-0.2+4*0.005,4)</f>
        <v/>
      </c>
      <c r="B8" s="23">
        <f>1*(1+$A8+(Inputs!$B$6-$A8)*(B$3-1)/9)</f>
        <v/>
      </c>
      <c r="C8" s="23">
        <f>B8*(1+$A8+(Inputs!$B$6-$A8)*(C$3-1)/9)</f>
        <v/>
      </c>
      <c r="D8" s="23">
        <f>C8*(1+$A8+(Inputs!$B$6-$A8)*(D$3-1)/9)</f>
        <v/>
      </c>
      <c r="E8" s="23">
        <f>D8*(1+$A8+(Inputs!$B$6-$A8)*(E$3-1)/9)</f>
        <v/>
      </c>
      <c r="F8" s="23">
        <f>E8*(1+$A8+(Inputs!$B$6-$A8)*(F$3-1)/9)</f>
        <v/>
      </c>
      <c r="G8" s="23">
        <f>F8*(1+$A8+(Inputs!$B$6-$A8)*(G$3-1)/9)</f>
        <v/>
      </c>
      <c r="H8" s="23">
        <f>G8*(1+$A8+(Inputs!$B$6-$A8)*(H$3-1)/9)</f>
        <v/>
      </c>
      <c r="I8" s="23">
        <f>H8*(1+$A8+(Inputs!$B$6-$A8)*(I$3-1)/9)</f>
        <v/>
      </c>
      <c r="J8" s="23">
        <f>I8*(1+$A8+(Inputs!$B$6-$A8)*(J$3-1)/9)</f>
        <v/>
      </c>
      <c r="K8" s="23">
        <f>J8*(1+$A8+(Inputs!$B$6-$A8)*(K$3-1)/9)</f>
        <v/>
      </c>
      <c r="L8" s="37">
        <f>SUMPRODUCT(B8:K8,1/(1+Inputs!$B$4)^$B$3:$K$3)+K8*(1+Inputs!$B$6)/(Inputs!$B$4-Inputs!$B$6)/(1+Inputs!$B$4)^10</f>
        <v/>
      </c>
      <c r="M8" s="37">
        <f>SUMPRODUCT(B8:K8,1/(1+Inputs!$B$5)^$B$3:$K$3)+K8*(1+Inputs!$B$6)/(Inputs!$B$5-Inputs!$B$6)/(1+Inputs!$B$5)^10</f>
        <v/>
      </c>
    </row>
    <row r="9">
      <c r="A9" s="35">
        <f>ROUND(-0.2+5*0.005,4)</f>
        <v/>
      </c>
      <c r="B9" s="23">
        <f>1*(1+$A9+(Inputs!$B$6-$A9)*(B$3-1)/9)</f>
        <v/>
      </c>
      <c r="C9" s="23">
        <f>B9*(1+$A9+(Inputs!$B$6-$A9)*(C$3-1)/9)</f>
        <v/>
      </c>
      <c r="D9" s="23">
        <f>C9*(1+$A9+(Inputs!$B$6-$A9)*(D$3-1)/9)</f>
        <v/>
      </c>
      <c r="E9" s="23">
        <f>D9*(1+$A9+(Inputs!$B$6-$A9)*(E$3-1)/9)</f>
        <v/>
      </c>
      <c r="F9" s="23">
        <f>E9*(1+$A9+(Inputs!$B$6-$A9)*(F$3-1)/9)</f>
        <v/>
      </c>
      <c r="G9" s="23">
        <f>F9*(1+$A9+(Inputs!$B$6-$A9)*(G$3-1)/9)</f>
        <v/>
      </c>
      <c r="H9" s="23">
        <f>G9*(1+$A9+(Inputs!$B$6-$A9)*(H$3-1)/9)</f>
        <v/>
      </c>
      <c r="I9" s="23">
        <f>H9*(1+$A9+(Inputs!$B$6-$A9)*(I$3-1)/9)</f>
        <v/>
      </c>
      <c r="J9" s="23">
        <f>I9*(1+$A9+(Inputs!$B$6-$A9)*(J$3-1)/9)</f>
        <v/>
      </c>
      <c r="K9" s="23">
        <f>J9*(1+$A9+(Inputs!$B$6-$A9)*(K$3-1)/9)</f>
        <v/>
      </c>
      <c r="L9" s="37">
        <f>SUMPRODUCT(B9:K9,1/(1+Inputs!$B$4)^$B$3:$K$3)+K9*(1+Inputs!$B$6)/(Inputs!$B$4-Inputs!$B$6)/(1+Inputs!$B$4)^10</f>
        <v/>
      </c>
      <c r="M9" s="37">
        <f>SUMPRODUCT(B9:K9,1/(1+Inputs!$B$5)^$B$3:$K$3)+K9*(1+Inputs!$B$6)/(Inputs!$B$5-Inputs!$B$6)/(1+Inputs!$B$5)^10</f>
        <v/>
      </c>
    </row>
    <row r="10">
      <c r="A10" s="35">
        <f>ROUND(-0.2+6*0.005,4)</f>
        <v/>
      </c>
      <c r="B10" s="23">
        <f>1*(1+$A10+(Inputs!$B$6-$A10)*(B$3-1)/9)</f>
        <v/>
      </c>
      <c r="C10" s="23">
        <f>B10*(1+$A10+(Inputs!$B$6-$A10)*(C$3-1)/9)</f>
        <v/>
      </c>
      <c r="D10" s="23">
        <f>C10*(1+$A10+(Inputs!$B$6-$A10)*(D$3-1)/9)</f>
        <v/>
      </c>
      <c r="E10" s="23">
        <f>D10*(1+$A10+(Inputs!$B$6-$A10)*(E$3-1)/9)</f>
        <v/>
      </c>
      <c r="F10" s="23">
        <f>E10*(1+$A10+(Inputs!$B$6-$A10)*(F$3-1)/9)</f>
        <v/>
      </c>
      <c r="G10" s="23">
        <f>F10*(1+$A10+(Inputs!$B$6-$A10)*(G$3-1)/9)</f>
        <v/>
      </c>
      <c r="H10" s="23">
        <f>G10*(1+$A10+(Inputs!$B$6-$A10)*(H$3-1)/9)</f>
        <v/>
      </c>
      <c r="I10" s="23">
        <f>H10*(1+$A10+(Inputs!$B$6-$A10)*(I$3-1)/9)</f>
        <v/>
      </c>
      <c r="J10" s="23">
        <f>I10*(1+$A10+(Inputs!$B$6-$A10)*(J$3-1)/9)</f>
        <v/>
      </c>
      <c r="K10" s="23">
        <f>J10*(1+$A10+(Inputs!$B$6-$A10)*(K$3-1)/9)</f>
        <v/>
      </c>
      <c r="L10" s="37">
        <f>SUMPRODUCT(B10:K10,1/(1+Inputs!$B$4)^$B$3:$K$3)+K10*(1+Inputs!$B$6)/(Inputs!$B$4-Inputs!$B$6)/(1+Inputs!$B$4)^10</f>
        <v/>
      </c>
      <c r="M10" s="37">
        <f>SUMPRODUCT(B10:K10,1/(1+Inputs!$B$5)^$B$3:$K$3)+K10*(1+Inputs!$B$6)/(Inputs!$B$5-Inputs!$B$6)/(1+Inputs!$B$5)^10</f>
        <v/>
      </c>
    </row>
    <row r="11">
      <c r="A11" s="35">
        <f>ROUND(-0.2+7*0.005,4)</f>
        <v/>
      </c>
      <c r="B11" s="23">
        <f>1*(1+$A11+(Inputs!$B$6-$A11)*(B$3-1)/9)</f>
        <v/>
      </c>
      <c r="C11" s="23">
        <f>B11*(1+$A11+(Inputs!$B$6-$A11)*(C$3-1)/9)</f>
        <v/>
      </c>
      <c r="D11" s="23">
        <f>C11*(1+$A11+(Inputs!$B$6-$A11)*(D$3-1)/9)</f>
        <v/>
      </c>
      <c r="E11" s="23">
        <f>D11*(1+$A11+(Inputs!$B$6-$A11)*(E$3-1)/9)</f>
        <v/>
      </c>
      <c r="F11" s="23">
        <f>E11*(1+$A11+(Inputs!$B$6-$A11)*(F$3-1)/9)</f>
        <v/>
      </c>
      <c r="G11" s="23">
        <f>F11*(1+$A11+(Inputs!$B$6-$A11)*(G$3-1)/9)</f>
        <v/>
      </c>
      <c r="H11" s="23">
        <f>G11*(1+$A11+(Inputs!$B$6-$A11)*(H$3-1)/9)</f>
        <v/>
      </c>
      <c r="I11" s="23">
        <f>H11*(1+$A11+(Inputs!$B$6-$A11)*(I$3-1)/9)</f>
        <v/>
      </c>
      <c r="J11" s="23">
        <f>I11*(1+$A11+(Inputs!$B$6-$A11)*(J$3-1)/9)</f>
        <v/>
      </c>
      <c r="K11" s="23">
        <f>J11*(1+$A11+(Inputs!$B$6-$A11)*(K$3-1)/9)</f>
        <v/>
      </c>
      <c r="L11" s="37">
        <f>SUMPRODUCT(B11:K11,1/(1+Inputs!$B$4)^$B$3:$K$3)+K11*(1+Inputs!$B$6)/(Inputs!$B$4-Inputs!$B$6)/(1+Inputs!$B$4)^10</f>
        <v/>
      </c>
      <c r="M11" s="37">
        <f>SUMPRODUCT(B11:K11,1/(1+Inputs!$B$5)^$B$3:$K$3)+K11*(1+Inputs!$B$6)/(Inputs!$B$5-Inputs!$B$6)/(1+Inputs!$B$5)^10</f>
        <v/>
      </c>
    </row>
    <row r="12">
      <c r="A12" s="35">
        <f>ROUND(-0.2+8*0.005,4)</f>
        <v/>
      </c>
      <c r="B12" s="23">
        <f>1*(1+$A12+(Inputs!$B$6-$A12)*(B$3-1)/9)</f>
        <v/>
      </c>
      <c r="C12" s="23">
        <f>B12*(1+$A12+(Inputs!$B$6-$A12)*(C$3-1)/9)</f>
        <v/>
      </c>
      <c r="D12" s="23">
        <f>C12*(1+$A12+(Inputs!$B$6-$A12)*(D$3-1)/9)</f>
        <v/>
      </c>
      <c r="E12" s="23">
        <f>D12*(1+$A12+(Inputs!$B$6-$A12)*(E$3-1)/9)</f>
        <v/>
      </c>
      <c r="F12" s="23">
        <f>E12*(1+$A12+(Inputs!$B$6-$A12)*(F$3-1)/9)</f>
        <v/>
      </c>
      <c r="G12" s="23">
        <f>F12*(1+$A12+(Inputs!$B$6-$A12)*(G$3-1)/9)</f>
        <v/>
      </c>
      <c r="H12" s="23">
        <f>G12*(1+$A12+(Inputs!$B$6-$A12)*(H$3-1)/9)</f>
        <v/>
      </c>
      <c r="I12" s="23">
        <f>H12*(1+$A12+(Inputs!$B$6-$A12)*(I$3-1)/9)</f>
        <v/>
      </c>
      <c r="J12" s="23">
        <f>I12*(1+$A12+(Inputs!$B$6-$A12)*(J$3-1)/9)</f>
        <v/>
      </c>
      <c r="K12" s="23">
        <f>J12*(1+$A12+(Inputs!$B$6-$A12)*(K$3-1)/9)</f>
        <v/>
      </c>
      <c r="L12" s="37">
        <f>SUMPRODUCT(B12:K12,1/(1+Inputs!$B$4)^$B$3:$K$3)+K12*(1+Inputs!$B$6)/(Inputs!$B$4-Inputs!$B$6)/(1+Inputs!$B$4)^10</f>
        <v/>
      </c>
      <c r="M12" s="37">
        <f>SUMPRODUCT(B12:K12,1/(1+Inputs!$B$5)^$B$3:$K$3)+K12*(1+Inputs!$B$6)/(Inputs!$B$5-Inputs!$B$6)/(1+Inputs!$B$5)^10</f>
        <v/>
      </c>
    </row>
    <row r="13">
      <c r="A13" s="35">
        <f>ROUND(-0.2+9*0.005,4)</f>
        <v/>
      </c>
      <c r="B13" s="23">
        <f>1*(1+$A13+(Inputs!$B$6-$A13)*(B$3-1)/9)</f>
        <v/>
      </c>
      <c r="C13" s="23">
        <f>B13*(1+$A13+(Inputs!$B$6-$A13)*(C$3-1)/9)</f>
        <v/>
      </c>
      <c r="D13" s="23">
        <f>C13*(1+$A13+(Inputs!$B$6-$A13)*(D$3-1)/9)</f>
        <v/>
      </c>
      <c r="E13" s="23">
        <f>D13*(1+$A13+(Inputs!$B$6-$A13)*(E$3-1)/9)</f>
        <v/>
      </c>
      <c r="F13" s="23">
        <f>E13*(1+$A13+(Inputs!$B$6-$A13)*(F$3-1)/9)</f>
        <v/>
      </c>
      <c r="G13" s="23">
        <f>F13*(1+$A13+(Inputs!$B$6-$A13)*(G$3-1)/9)</f>
        <v/>
      </c>
      <c r="H13" s="23">
        <f>G13*(1+$A13+(Inputs!$B$6-$A13)*(H$3-1)/9)</f>
        <v/>
      </c>
      <c r="I13" s="23">
        <f>H13*(1+$A13+(Inputs!$B$6-$A13)*(I$3-1)/9)</f>
        <v/>
      </c>
      <c r="J13" s="23">
        <f>I13*(1+$A13+(Inputs!$B$6-$A13)*(J$3-1)/9)</f>
        <v/>
      </c>
      <c r="K13" s="23">
        <f>J13*(1+$A13+(Inputs!$B$6-$A13)*(K$3-1)/9)</f>
        <v/>
      </c>
      <c r="L13" s="37">
        <f>SUMPRODUCT(B13:K13,1/(1+Inputs!$B$4)^$B$3:$K$3)+K13*(1+Inputs!$B$6)/(Inputs!$B$4-Inputs!$B$6)/(1+Inputs!$B$4)^10</f>
        <v/>
      </c>
      <c r="M13" s="37">
        <f>SUMPRODUCT(B13:K13,1/(1+Inputs!$B$5)^$B$3:$K$3)+K13*(1+Inputs!$B$6)/(Inputs!$B$5-Inputs!$B$6)/(1+Inputs!$B$5)^10</f>
        <v/>
      </c>
    </row>
    <row r="14">
      <c r="A14" s="35">
        <f>ROUND(-0.2+10*0.005,4)</f>
        <v/>
      </c>
      <c r="B14" s="23">
        <f>1*(1+$A14+(Inputs!$B$6-$A14)*(B$3-1)/9)</f>
        <v/>
      </c>
      <c r="C14" s="23">
        <f>B14*(1+$A14+(Inputs!$B$6-$A14)*(C$3-1)/9)</f>
        <v/>
      </c>
      <c r="D14" s="23">
        <f>C14*(1+$A14+(Inputs!$B$6-$A14)*(D$3-1)/9)</f>
        <v/>
      </c>
      <c r="E14" s="23">
        <f>D14*(1+$A14+(Inputs!$B$6-$A14)*(E$3-1)/9)</f>
        <v/>
      </c>
      <c r="F14" s="23">
        <f>E14*(1+$A14+(Inputs!$B$6-$A14)*(F$3-1)/9)</f>
        <v/>
      </c>
      <c r="G14" s="23">
        <f>F14*(1+$A14+(Inputs!$B$6-$A14)*(G$3-1)/9)</f>
        <v/>
      </c>
      <c r="H14" s="23">
        <f>G14*(1+$A14+(Inputs!$B$6-$A14)*(H$3-1)/9)</f>
        <v/>
      </c>
      <c r="I14" s="23">
        <f>H14*(1+$A14+(Inputs!$B$6-$A14)*(I$3-1)/9)</f>
        <v/>
      </c>
      <c r="J14" s="23">
        <f>I14*(1+$A14+(Inputs!$B$6-$A14)*(J$3-1)/9)</f>
        <v/>
      </c>
      <c r="K14" s="23">
        <f>J14*(1+$A14+(Inputs!$B$6-$A14)*(K$3-1)/9)</f>
        <v/>
      </c>
      <c r="L14" s="37">
        <f>SUMPRODUCT(B14:K14,1/(1+Inputs!$B$4)^$B$3:$K$3)+K14*(1+Inputs!$B$6)/(Inputs!$B$4-Inputs!$B$6)/(1+Inputs!$B$4)^10</f>
        <v/>
      </c>
      <c r="M14" s="37">
        <f>SUMPRODUCT(B14:K14,1/(1+Inputs!$B$5)^$B$3:$K$3)+K14*(1+Inputs!$B$6)/(Inputs!$B$5-Inputs!$B$6)/(1+Inputs!$B$5)^10</f>
        <v/>
      </c>
    </row>
    <row r="15">
      <c r="A15" s="35">
        <f>ROUND(-0.2+11*0.005,4)</f>
        <v/>
      </c>
      <c r="B15" s="23">
        <f>1*(1+$A15+(Inputs!$B$6-$A15)*(B$3-1)/9)</f>
        <v/>
      </c>
      <c r="C15" s="23">
        <f>B15*(1+$A15+(Inputs!$B$6-$A15)*(C$3-1)/9)</f>
        <v/>
      </c>
      <c r="D15" s="23">
        <f>C15*(1+$A15+(Inputs!$B$6-$A15)*(D$3-1)/9)</f>
        <v/>
      </c>
      <c r="E15" s="23">
        <f>D15*(1+$A15+(Inputs!$B$6-$A15)*(E$3-1)/9)</f>
        <v/>
      </c>
      <c r="F15" s="23">
        <f>E15*(1+$A15+(Inputs!$B$6-$A15)*(F$3-1)/9)</f>
        <v/>
      </c>
      <c r="G15" s="23">
        <f>F15*(1+$A15+(Inputs!$B$6-$A15)*(G$3-1)/9)</f>
        <v/>
      </c>
      <c r="H15" s="23">
        <f>G15*(1+$A15+(Inputs!$B$6-$A15)*(H$3-1)/9)</f>
        <v/>
      </c>
      <c r="I15" s="23">
        <f>H15*(1+$A15+(Inputs!$B$6-$A15)*(I$3-1)/9)</f>
        <v/>
      </c>
      <c r="J15" s="23">
        <f>I15*(1+$A15+(Inputs!$B$6-$A15)*(J$3-1)/9)</f>
        <v/>
      </c>
      <c r="K15" s="23">
        <f>J15*(1+$A15+(Inputs!$B$6-$A15)*(K$3-1)/9)</f>
        <v/>
      </c>
      <c r="L15" s="37">
        <f>SUMPRODUCT(B15:K15,1/(1+Inputs!$B$4)^$B$3:$K$3)+K15*(1+Inputs!$B$6)/(Inputs!$B$4-Inputs!$B$6)/(1+Inputs!$B$4)^10</f>
        <v/>
      </c>
      <c r="M15" s="37">
        <f>SUMPRODUCT(B15:K15,1/(1+Inputs!$B$5)^$B$3:$K$3)+K15*(1+Inputs!$B$6)/(Inputs!$B$5-Inputs!$B$6)/(1+Inputs!$B$5)^10</f>
        <v/>
      </c>
    </row>
    <row r="16">
      <c r="A16" s="35">
        <f>ROUND(-0.2+12*0.005,4)</f>
        <v/>
      </c>
      <c r="B16" s="23">
        <f>1*(1+$A16+(Inputs!$B$6-$A16)*(B$3-1)/9)</f>
        <v/>
      </c>
      <c r="C16" s="23">
        <f>B16*(1+$A16+(Inputs!$B$6-$A16)*(C$3-1)/9)</f>
        <v/>
      </c>
      <c r="D16" s="23">
        <f>C16*(1+$A16+(Inputs!$B$6-$A16)*(D$3-1)/9)</f>
        <v/>
      </c>
      <c r="E16" s="23">
        <f>D16*(1+$A16+(Inputs!$B$6-$A16)*(E$3-1)/9)</f>
        <v/>
      </c>
      <c r="F16" s="23">
        <f>E16*(1+$A16+(Inputs!$B$6-$A16)*(F$3-1)/9)</f>
        <v/>
      </c>
      <c r="G16" s="23">
        <f>F16*(1+$A16+(Inputs!$B$6-$A16)*(G$3-1)/9)</f>
        <v/>
      </c>
      <c r="H16" s="23">
        <f>G16*(1+$A16+(Inputs!$B$6-$A16)*(H$3-1)/9)</f>
        <v/>
      </c>
      <c r="I16" s="23">
        <f>H16*(1+$A16+(Inputs!$B$6-$A16)*(I$3-1)/9)</f>
        <v/>
      </c>
      <c r="J16" s="23">
        <f>I16*(1+$A16+(Inputs!$B$6-$A16)*(J$3-1)/9)</f>
        <v/>
      </c>
      <c r="K16" s="23">
        <f>J16*(1+$A16+(Inputs!$B$6-$A16)*(K$3-1)/9)</f>
        <v/>
      </c>
      <c r="L16" s="37">
        <f>SUMPRODUCT(B16:K16,1/(1+Inputs!$B$4)^$B$3:$K$3)+K16*(1+Inputs!$B$6)/(Inputs!$B$4-Inputs!$B$6)/(1+Inputs!$B$4)^10</f>
        <v/>
      </c>
      <c r="M16" s="37">
        <f>SUMPRODUCT(B16:K16,1/(1+Inputs!$B$5)^$B$3:$K$3)+K16*(1+Inputs!$B$6)/(Inputs!$B$5-Inputs!$B$6)/(1+Inputs!$B$5)^10</f>
        <v/>
      </c>
    </row>
    <row r="17">
      <c r="A17" s="35">
        <f>ROUND(-0.2+13*0.005,4)</f>
        <v/>
      </c>
      <c r="B17" s="23">
        <f>1*(1+$A17+(Inputs!$B$6-$A17)*(B$3-1)/9)</f>
        <v/>
      </c>
      <c r="C17" s="23">
        <f>B17*(1+$A17+(Inputs!$B$6-$A17)*(C$3-1)/9)</f>
        <v/>
      </c>
      <c r="D17" s="23">
        <f>C17*(1+$A17+(Inputs!$B$6-$A17)*(D$3-1)/9)</f>
        <v/>
      </c>
      <c r="E17" s="23">
        <f>D17*(1+$A17+(Inputs!$B$6-$A17)*(E$3-1)/9)</f>
        <v/>
      </c>
      <c r="F17" s="23">
        <f>E17*(1+$A17+(Inputs!$B$6-$A17)*(F$3-1)/9)</f>
        <v/>
      </c>
      <c r="G17" s="23">
        <f>F17*(1+$A17+(Inputs!$B$6-$A17)*(G$3-1)/9)</f>
        <v/>
      </c>
      <c r="H17" s="23">
        <f>G17*(1+$A17+(Inputs!$B$6-$A17)*(H$3-1)/9)</f>
        <v/>
      </c>
      <c r="I17" s="23">
        <f>H17*(1+$A17+(Inputs!$B$6-$A17)*(I$3-1)/9)</f>
        <v/>
      </c>
      <c r="J17" s="23">
        <f>I17*(1+$A17+(Inputs!$B$6-$A17)*(J$3-1)/9)</f>
        <v/>
      </c>
      <c r="K17" s="23">
        <f>J17*(1+$A17+(Inputs!$B$6-$A17)*(K$3-1)/9)</f>
        <v/>
      </c>
      <c r="L17" s="37">
        <f>SUMPRODUCT(B17:K17,1/(1+Inputs!$B$4)^$B$3:$K$3)+K17*(1+Inputs!$B$6)/(Inputs!$B$4-Inputs!$B$6)/(1+Inputs!$B$4)^10</f>
        <v/>
      </c>
      <c r="M17" s="37">
        <f>SUMPRODUCT(B17:K17,1/(1+Inputs!$B$5)^$B$3:$K$3)+K17*(1+Inputs!$B$6)/(Inputs!$B$5-Inputs!$B$6)/(1+Inputs!$B$5)^10</f>
        <v/>
      </c>
    </row>
    <row r="18">
      <c r="A18" s="35">
        <f>ROUND(-0.2+14*0.005,4)</f>
        <v/>
      </c>
      <c r="B18" s="23">
        <f>1*(1+$A18+(Inputs!$B$6-$A18)*(B$3-1)/9)</f>
        <v/>
      </c>
      <c r="C18" s="23">
        <f>B18*(1+$A18+(Inputs!$B$6-$A18)*(C$3-1)/9)</f>
        <v/>
      </c>
      <c r="D18" s="23">
        <f>C18*(1+$A18+(Inputs!$B$6-$A18)*(D$3-1)/9)</f>
        <v/>
      </c>
      <c r="E18" s="23">
        <f>D18*(1+$A18+(Inputs!$B$6-$A18)*(E$3-1)/9)</f>
        <v/>
      </c>
      <c r="F18" s="23">
        <f>E18*(1+$A18+(Inputs!$B$6-$A18)*(F$3-1)/9)</f>
        <v/>
      </c>
      <c r="G18" s="23">
        <f>F18*(1+$A18+(Inputs!$B$6-$A18)*(G$3-1)/9)</f>
        <v/>
      </c>
      <c r="H18" s="23">
        <f>G18*(1+$A18+(Inputs!$B$6-$A18)*(H$3-1)/9)</f>
        <v/>
      </c>
      <c r="I18" s="23">
        <f>H18*(1+$A18+(Inputs!$B$6-$A18)*(I$3-1)/9)</f>
        <v/>
      </c>
      <c r="J18" s="23">
        <f>I18*(1+$A18+(Inputs!$B$6-$A18)*(J$3-1)/9)</f>
        <v/>
      </c>
      <c r="K18" s="23">
        <f>J18*(1+$A18+(Inputs!$B$6-$A18)*(K$3-1)/9)</f>
        <v/>
      </c>
      <c r="L18" s="37">
        <f>SUMPRODUCT(B18:K18,1/(1+Inputs!$B$4)^$B$3:$K$3)+K18*(1+Inputs!$B$6)/(Inputs!$B$4-Inputs!$B$6)/(1+Inputs!$B$4)^10</f>
        <v/>
      </c>
      <c r="M18" s="37">
        <f>SUMPRODUCT(B18:K18,1/(1+Inputs!$B$5)^$B$3:$K$3)+K18*(1+Inputs!$B$6)/(Inputs!$B$5-Inputs!$B$6)/(1+Inputs!$B$5)^10</f>
        <v/>
      </c>
    </row>
    <row r="19">
      <c r="A19" s="35">
        <f>ROUND(-0.2+15*0.005,4)</f>
        <v/>
      </c>
      <c r="B19" s="23">
        <f>1*(1+$A19+(Inputs!$B$6-$A19)*(B$3-1)/9)</f>
        <v/>
      </c>
      <c r="C19" s="23">
        <f>B19*(1+$A19+(Inputs!$B$6-$A19)*(C$3-1)/9)</f>
        <v/>
      </c>
      <c r="D19" s="23">
        <f>C19*(1+$A19+(Inputs!$B$6-$A19)*(D$3-1)/9)</f>
        <v/>
      </c>
      <c r="E19" s="23">
        <f>D19*(1+$A19+(Inputs!$B$6-$A19)*(E$3-1)/9)</f>
        <v/>
      </c>
      <c r="F19" s="23">
        <f>E19*(1+$A19+(Inputs!$B$6-$A19)*(F$3-1)/9)</f>
        <v/>
      </c>
      <c r="G19" s="23">
        <f>F19*(1+$A19+(Inputs!$B$6-$A19)*(G$3-1)/9)</f>
        <v/>
      </c>
      <c r="H19" s="23">
        <f>G19*(1+$A19+(Inputs!$B$6-$A19)*(H$3-1)/9)</f>
        <v/>
      </c>
      <c r="I19" s="23">
        <f>H19*(1+$A19+(Inputs!$B$6-$A19)*(I$3-1)/9)</f>
        <v/>
      </c>
      <c r="J19" s="23">
        <f>I19*(1+$A19+(Inputs!$B$6-$A19)*(J$3-1)/9)</f>
        <v/>
      </c>
      <c r="K19" s="23">
        <f>J19*(1+$A19+(Inputs!$B$6-$A19)*(K$3-1)/9)</f>
        <v/>
      </c>
      <c r="L19" s="37">
        <f>SUMPRODUCT(B19:K19,1/(1+Inputs!$B$4)^$B$3:$K$3)+K19*(1+Inputs!$B$6)/(Inputs!$B$4-Inputs!$B$6)/(1+Inputs!$B$4)^10</f>
        <v/>
      </c>
      <c r="M19" s="37">
        <f>SUMPRODUCT(B19:K19,1/(1+Inputs!$B$5)^$B$3:$K$3)+K19*(1+Inputs!$B$6)/(Inputs!$B$5-Inputs!$B$6)/(1+Inputs!$B$5)^10</f>
        <v/>
      </c>
    </row>
    <row r="20">
      <c r="A20" s="35">
        <f>ROUND(-0.2+16*0.005,4)</f>
        <v/>
      </c>
      <c r="B20" s="23">
        <f>1*(1+$A20+(Inputs!$B$6-$A20)*(B$3-1)/9)</f>
        <v/>
      </c>
      <c r="C20" s="23">
        <f>B20*(1+$A20+(Inputs!$B$6-$A20)*(C$3-1)/9)</f>
        <v/>
      </c>
      <c r="D20" s="23">
        <f>C20*(1+$A20+(Inputs!$B$6-$A20)*(D$3-1)/9)</f>
        <v/>
      </c>
      <c r="E20" s="23">
        <f>D20*(1+$A20+(Inputs!$B$6-$A20)*(E$3-1)/9)</f>
        <v/>
      </c>
      <c r="F20" s="23">
        <f>E20*(1+$A20+(Inputs!$B$6-$A20)*(F$3-1)/9)</f>
        <v/>
      </c>
      <c r="G20" s="23">
        <f>F20*(1+$A20+(Inputs!$B$6-$A20)*(G$3-1)/9)</f>
        <v/>
      </c>
      <c r="H20" s="23">
        <f>G20*(1+$A20+(Inputs!$B$6-$A20)*(H$3-1)/9)</f>
        <v/>
      </c>
      <c r="I20" s="23">
        <f>H20*(1+$A20+(Inputs!$B$6-$A20)*(I$3-1)/9)</f>
        <v/>
      </c>
      <c r="J20" s="23">
        <f>I20*(1+$A20+(Inputs!$B$6-$A20)*(J$3-1)/9)</f>
        <v/>
      </c>
      <c r="K20" s="23">
        <f>J20*(1+$A20+(Inputs!$B$6-$A20)*(K$3-1)/9)</f>
        <v/>
      </c>
      <c r="L20" s="37">
        <f>SUMPRODUCT(B20:K20,1/(1+Inputs!$B$4)^$B$3:$K$3)+K20*(1+Inputs!$B$6)/(Inputs!$B$4-Inputs!$B$6)/(1+Inputs!$B$4)^10</f>
        <v/>
      </c>
      <c r="M20" s="37">
        <f>SUMPRODUCT(B20:K20,1/(1+Inputs!$B$5)^$B$3:$K$3)+K20*(1+Inputs!$B$6)/(Inputs!$B$5-Inputs!$B$6)/(1+Inputs!$B$5)^10</f>
        <v/>
      </c>
    </row>
    <row r="21">
      <c r="A21" s="35">
        <f>ROUND(-0.2+17*0.005,4)</f>
        <v/>
      </c>
      <c r="B21" s="23">
        <f>1*(1+$A21+(Inputs!$B$6-$A21)*(B$3-1)/9)</f>
        <v/>
      </c>
      <c r="C21" s="23">
        <f>B21*(1+$A21+(Inputs!$B$6-$A21)*(C$3-1)/9)</f>
        <v/>
      </c>
      <c r="D21" s="23">
        <f>C21*(1+$A21+(Inputs!$B$6-$A21)*(D$3-1)/9)</f>
        <v/>
      </c>
      <c r="E21" s="23">
        <f>D21*(1+$A21+(Inputs!$B$6-$A21)*(E$3-1)/9)</f>
        <v/>
      </c>
      <c r="F21" s="23">
        <f>E21*(1+$A21+(Inputs!$B$6-$A21)*(F$3-1)/9)</f>
        <v/>
      </c>
      <c r="G21" s="23">
        <f>F21*(1+$A21+(Inputs!$B$6-$A21)*(G$3-1)/9)</f>
        <v/>
      </c>
      <c r="H21" s="23">
        <f>G21*(1+$A21+(Inputs!$B$6-$A21)*(H$3-1)/9)</f>
        <v/>
      </c>
      <c r="I21" s="23">
        <f>H21*(1+$A21+(Inputs!$B$6-$A21)*(I$3-1)/9)</f>
        <v/>
      </c>
      <c r="J21" s="23">
        <f>I21*(1+$A21+(Inputs!$B$6-$A21)*(J$3-1)/9)</f>
        <v/>
      </c>
      <c r="K21" s="23">
        <f>J21*(1+$A21+(Inputs!$B$6-$A21)*(K$3-1)/9)</f>
        <v/>
      </c>
      <c r="L21" s="37">
        <f>SUMPRODUCT(B21:K21,1/(1+Inputs!$B$4)^$B$3:$K$3)+K21*(1+Inputs!$B$6)/(Inputs!$B$4-Inputs!$B$6)/(1+Inputs!$B$4)^10</f>
        <v/>
      </c>
      <c r="M21" s="37">
        <f>SUMPRODUCT(B21:K21,1/(1+Inputs!$B$5)^$B$3:$K$3)+K21*(1+Inputs!$B$6)/(Inputs!$B$5-Inputs!$B$6)/(1+Inputs!$B$5)^10</f>
        <v/>
      </c>
    </row>
    <row r="22">
      <c r="A22" s="35">
        <f>ROUND(-0.2+18*0.005,4)</f>
        <v/>
      </c>
      <c r="B22" s="23">
        <f>1*(1+$A22+(Inputs!$B$6-$A22)*(B$3-1)/9)</f>
        <v/>
      </c>
      <c r="C22" s="23">
        <f>B22*(1+$A22+(Inputs!$B$6-$A22)*(C$3-1)/9)</f>
        <v/>
      </c>
      <c r="D22" s="23">
        <f>C22*(1+$A22+(Inputs!$B$6-$A22)*(D$3-1)/9)</f>
        <v/>
      </c>
      <c r="E22" s="23">
        <f>D22*(1+$A22+(Inputs!$B$6-$A22)*(E$3-1)/9)</f>
        <v/>
      </c>
      <c r="F22" s="23">
        <f>E22*(1+$A22+(Inputs!$B$6-$A22)*(F$3-1)/9)</f>
        <v/>
      </c>
      <c r="G22" s="23">
        <f>F22*(1+$A22+(Inputs!$B$6-$A22)*(G$3-1)/9)</f>
        <v/>
      </c>
      <c r="H22" s="23">
        <f>G22*(1+$A22+(Inputs!$B$6-$A22)*(H$3-1)/9)</f>
        <v/>
      </c>
      <c r="I22" s="23">
        <f>H22*(1+$A22+(Inputs!$B$6-$A22)*(I$3-1)/9)</f>
        <v/>
      </c>
      <c r="J22" s="23">
        <f>I22*(1+$A22+(Inputs!$B$6-$A22)*(J$3-1)/9)</f>
        <v/>
      </c>
      <c r="K22" s="23">
        <f>J22*(1+$A22+(Inputs!$B$6-$A22)*(K$3-1)/9)</f>
        <v/>
      </c>
      <c r="L22" s="37">
        <f>SUMPRODUCT(B22:K22,1/(1+Inputs!$B$4)^$B$3:$K$3)+K22*(1+Inputs!$B$6)/(Inputs!$B$4-Inputs!$B$6)/(1+Inputs!$B$4)^10</f>
        <v/>
      </c>
      <c r="M22" s="37">
        <f>SUMPRODUCT(B22:K22,1/(1+Inputs!$B$5)^$B$3:$K$3)+K22*(1+Inputs!$B$6)/(Inputs!$B$5-Inputs!$B$6)/(1+Inputs!$B$5)^10</f>
        <v/>
      </c>
    </row>
    <row r="23">
      <c r="A23" s="35">
        <f>ROUND(-0.2+19*0.005,4)</f>
        <v/>
      </c>
      <c r="B23" s="23">
        <f>1*(1+$A23+(Inputs!$B$6-$A23)*(B$3-1)/9)</f>
        <v/>
      </c>
      <c r="C23" s="23">
        <f>B23*(1+$A23+(Inputs!$B$6-$A23)*(C$3-1)/9)</f>
        <v/>
      </c>
      <c r="D23" s="23">
        <f>C23*(1+$A23+(Inputs!$B$6-$A23)*(D$3-1)/9)</f>
        <v/>
      </c>
      <c r="E23" s="23">
        <f>D23*(1+$A23+(Inputs!$B$6-$A23)*(E$3-1)/9)</f>
        <v/>
      </c>
      <c r="F23" s="23">
        <f>E23*(1+$A23+(Inputs!$B$6-$A23)*(F$3-1)/9)</f>
        <v/>
      </c>
      <c r="G23" s="23">
        <f>F23*(1+$A23+(Inputs!$B$6-$A23)*(G$3-1)/9)</f>
        <v/>
      </c>
      <c r="H23" s="23">
        <f>G23*(1+$A23+(Inputs!$B$6-$A23)*(H$3-1)/9)</f>
        <v/>
      </c>
      <c r="I23" s="23">
        <f>H23*(1+$A23+(Inputs!$B$6-$A23)*(I$3-1)/9)</f>
        <v/>
      </c>
      <c r="J23" s="23">
        <f>I23*(1+$A23+(Inputs!$B$6-$A23)*(J$3-1)/9)</f>
        <v/>
      </c>
      <c r="K23" s="23">
        <f>J23*(1+$A23+(Inputs!$B$6-$A23)*(K$3-1)/9)</f>
        <v/>
      </c>
      <c r="L23" s="37">
        <f>SUMPRODUCT(B23:K23,1/(1+Inputs!$B$4)^$B$3:$K$3)+K23*(1+Inputs!$B$6)/(Inputs!$B$4-Inputs!$B$6)/(1+Inputs!$B$4)^10</f>
        <v/>
      </c>
      <c r="M23" s="37">
        <f>SUMPRODUCT(B23:K23,1/(1+Inputs!$B$5)^$B$3:$K$3)+K23*(1+Inputs!$B$6)/(Inputs!$B$5-Inputs!$B$6)/(1+Inputs!$B$5)^10</f>
        <v/>
      </c>
    </row>
    <row r="24">
      <c r="A24" s="35">
        <f>ROUND(-0.2+20*0.005,4)</f>
        <v/>
      </c>
      <c r="B24" s="23">
        <f>1*(1+$A24+(Inputs!$B$6-$A24)*(B$3-1)/9)</f>
        <v/>
      </c>
      <c r="C24" s="23">
        <f>B24*(1+$A24+(Inputs!$B$6-$A24)*(C$3-1)/9)</f>
        <v/>
      </c>
      <c r="D24" s="23">
        <f>C24*(1+$A24+(Inputs!$B$6-$A24)*(D$3-1)/9)</f>
        <v/>
      </c>
      <c r="E24" s="23">
        <f>D24*(1+$A24+(Inputs!$B$6-$A24)*(E$3-1)/9)</f>
        <v/>
      </c>
      <c r="F24" s="23">
        <f>E24*(1+$A24+(Inputs!$B$6-$A24)*(F$3-1)/9)</f>
        <v/>
      </c>
      <c r="G24" s="23">
        <f>F24*(1+$A24+(Inputs!$B$6-$A24)*(G$3-1)/9)</f>
        <v/>
      </c>
      <c r="H24" s="23">
        <f>G24*(1+$A24+(Inputs!$B$6-$A24)*(H$3-1)/9)</f>
        <v/>
      </c>
      <c r="I24" s="23">
        <f>H24*(1+$A24+(Inputs!$B$6-$A24)*(I$3-1)/9)</f>
        <v/>
      </c>
      <c r="J24" s="23">
        <f>I24*(1+$A24+(Inputs!$B$6-$A24)*(J$3-1)/9)</f>
        <v/>
      </c>
      <c r="K24" s="23">
        <f>J24*(1+$A24+(Inputs!$B$6-$A24)*(K$3-1)/9)</f>
        <v/>
      </c>
      <c r="L24" s="37">
        <f>SUMPRODUCT(B24:K24,1/(1+Inputs!$B$4)^$B$3:$K$3)+K24*(1+Inputs!$B$6)/(Inputs!$B$4-Inputs!$B$6)/(1+Inputs!$B$4)^10</f>
        <v/>
      </c>
      <c r="M24" s="37">
        <f>SUMPRODUCT(B24:K24,1/(1+Inputs!$B$5)^$B$3:$K$3)+K24*(1+Inputs!$B$6)/(Inputs!$B$5-Inputs!$B$6)/(1+Inputs!$B$5)^10</f>
        <v/>
      </c>
    </row>
    <row r="25">
      <c r="A25" s="35">
        <f>ROUND(-0.2+21*0.005,4)</f>
        <v/>
      </c>
      <c r="B25" s="23">
        <f>1*(1+$A25+(Inputs!$B$6-$A25)*(B$3-1)/9)</f>
        <v/>
      </c>
      <c r="C25" s="23">
        <f>B25*(1+$A25+(Inputs!$B$6-$A25)*(C$3-1)/9)</f>
        <v/>
      </c>
      <c r="D25" s="23">
        <f>C25*(1+$A25+(Inputs!$B$6-$A25)*(D$3-1)/9)</f>
        <v/>
      </c>
      <c r="E25" s="23">
        <f>D25*(1+$A25+(Inputs!$B$6-$A25)*(E$3-1)/9)</f>
        <v/>
      </c>
      <c r="F25" s="23">
        <f>E25*(1+$A25+(Inputs!$B$6-$A25)*(F$3-1)/9)</f>
        <v/>
      </c>
      <c r="G25" s="23">
        <f>F25*(1+$A25+(Inputs!$B$6-$A25)*(G$3-1)/9)</f>
        <v/>
      </c>
      <c r="H25" s="23">
        <f>G25*(1+$A25+(Inputs!$B$6-$A25)*(H$3-1)/9)</f>
        <v/>
      </c>
      <c r="I25" s="23">
        <f>H25*(1+$A25+(Inputs!$B$6-$A25)*(I$3-1)/9)</f>
        <v/>
      </c>
      <c r="J25" s="23">
        <f>I25*(1+$A25+(Inputs!$B$6-$A25)*(J$3-1)/9)</f>
        <v/>
      </c>
      <c r="K25" s="23">
        <f>J25*(1+$A25+(Inputs!$B$6-$A25)*(K$3-1)/9)</f>
        <v/>
      </c>
      <c r="L25" s="37">
        <f>SUMPRODUCT(B25:K25,1/(1+Inputs!$B$4)^$B$3:$K$3)+K25*(1+Inputs!$B$6)/(Inputs!$B$4-Inputs!$B$6)/(1+Inputs!$B$4)^10</f>
        <v/>
      </c>
      <c r="M25" s="37">
        <f>SUMPRODUCT(B25:K25,1/(1+Inputs!$B$5)^$B$3:$K$3)+K25*(1+Inputs!$B$6)/(Inputs!$B$5-Inputs!$B$6)/(1+Inputs!$B$5)^10</f>
        <v/>
      </c>
    </row>
    <row r="26">
      <c r="A26" s="35">
        <f>ROUND(-0.2+22*0.005,4)</f>
        <v/>
      </c>
      <c r="B26" s="23">
        <f>1*(1+$A26+(Inputs!$B$6-$A26)*(B$3-1)/9)</f>
        <v/>
      </c>
      <c r="C26" s="23">
        <f>B26*(1+$A26+(Inputs!$B$6-$A26)*(C$3-1)/9)</f>
        <v/>
      </c>
      <c r="D26" s="23">
        <f>C26*(1+$A26+(Inputs!$B$6-$A26)*(D$3-1)/9)</f>
        <v/>
      </c>
      <c r="E26" s="23">
        <f>D26*(1+$A26+(Inputs!$B$6-$A26)*(E$3-1)/9)</f>
        <v/>
      </c>
      <c r="F26" s="23">
        <f>E26*(1+$A26+(Inputs!$B$6-$A26)*(F$3-1)/9)</f>
        <v/>
      </c>
      <c r="G26" s="23">
        <f>F26*(1+$A26+(Inputs!$B$6-$A26)*(G$3-1)/9)</f>
        <v/>
      </c>
      <c r="H26" s="23">
        <f>G26*(1+$A26+(Inputs!$B$6-$A26)*(H$3-1)/9)</f>
        <v/>
      </c>
      <c r="I26" s="23">
        <f>H26*(1+$A26+(Inputs!$B$6-$A26)*(I$3-1)/9)</f>
        <v/>
      </c>
      <c r="J26" s="23">
        <f>I26*(1+$A26+(Inputs!$B$6-$A26)*(J$3-1)/9)</f>
        <v/>
      </c>
      <c r="K26" s="23">
        <f>J26*(1+$A26+(Inputs!$B$6-$A26)*(K$3-1)/9)</f>
        <v/>
      </c>
      <c r="L26" s="37">
        <f>SUMPRODUCT(B26:K26,1/(1+Inputs!$B$4)^$B$3:$K$3)+K26*(1+Inputs!$B$6)/(Inputs!$B$4-Inputs!$B$6)/(1+Inputs!$B$4)^10</f>
        <v/>
      </c>
      <c r="M26" s="37">
        <f>SUMPRODUCT(B26:K26,1/(1+Inputs!$B$5)^$B$3:$K$3)+K26*(1+Inputs!$B$6)/(Inputs!$B$5-Inputs!$B$6)/(1+Inputs!$B$5)^10</f>
        <v/>
      </c>
    </row>
    <row r="27">
      <c r="A27" s="35">
        <f>ROUND(-0.2+23*0.005,4)</f>
        <v/>
      </c>
      <c r="B27" s="23">
        <f>1*(1+$A27+(Inputs!$B$6-$A27)*(B$3-1)/9)</f>
        <v/>
      </c>
      <c r="C27" s="23">
        <f>B27*(1+$A27+(Inputs!$B$6-$A27)*(C$3-1)/9)</f>
        <v/>
      </c>
      <c r="D27" s="23">
        <f>C27*(1+$A27+(Inputs!$B$6-$A27)*(D$3-1)/9)</f>
        <v/>
      </c>
      <c r="E27" s="23">
        <f>D27*(1+$A27+(Inputs!$B$6-$A27)*(E$3-1)/9)</f>
        <v/>
      </c>
      <c r="F27" s="23">
        <f>E27*(1+$A27+(Inputs!$B$6-$A27)*(F$3-1)/9)</f>
        <v/>
      </c>
      <c r="G27" s="23">
        <f>F27*(1+$A27+(Inputs!$B$6-$A27)*(G$3-1)/9)</f>
        <v/>
      </c>
      <c r="H27" s="23">
        <f>G27*(1+$A27+(Inputs!$B$6-$A27)*(H$3-1)/9)</f>
        <v/>
      </c>
      <c r="I27" s="23">
        <f>H27*(1+$A27+(Inputs!$B$6-$A27)*(I$3-1)/9)</f>
        <v/>
      </c>
      <c r="J27" s="23">
        <f>I27*(1+$A27+(Inputs!$B$6-$A27)*(J$3-1)/9)</f>
        <v/>
      </c>
      <c r="K27" s="23">
        <f>J27*(1+$A27+(Inputs!$B$6-$A27)*(K$3-1)/9)</f>
        <v/>
      </c>
      <c r="L27" s="37">
        <f>SUMPRODUCT(B27:K27,1/(1+Inputs!$B$4)^$B$3:$K$3)+K27*(1+Inputs!$B$6)/(Inputs!$B$4-Inputs!$B$6)/(1+Inputs!$B$4)^10</f>
        <v/>
      </c>
      <c r="M27" s="37">
        <f>SUMPRODUCT(B27:K27,1/(1+Inputs!$B$5)^$B$3:$K$3)+K27*(1+Inputs!$B$6)/(Inputs!$B$5-Inputs!$B$6)/(1+Inputs!$B$5)^10</f>
        <v/>
      </c>
    </row>
    <row r="28">
      <c r="A28" s="35">
        <f>ROUND(-0.2+24*0.005,4)</f>
        <v/>
      </c>
      <c r="B28" s="23">
        <f>1*(1+$A28+(Inputs!$B$6-$A28)*(B$3-1)/9)</f>
        <v/>
      </c>
      <c r="C28" s="23">
        <f>B28*(1+$A28+(Inputs!$B$6-$A28)*(C$3-1)/9)</f>
        <v/>
      </c>
      <c r="D28" s="23">
        <f>C28*(1+$A28+(Inputs!$B$6-$A28)*(D$3-1)/9)</f>
        <v/>
      </c>
      <c r="E28" s="23">
        <f>D28*(1+$A28+(Inputs!$B$6-$A28)*(E$3-1)/9)</f>
        <v/>
      </c>
      <c r="F28" s="23">
        <f>E28*(1+$A28+(Inputs!$B$6-$A28)*(F$3-1)/9)</f>
        <v/>
      </c>
      <c r="G28" s="23">
        <f>F28*(1+$A28+(Inputs!$B$6-$A28)*(G$3-1)/9)</f>
        <v/>
      </c>
      <c r="H28" s="23">
        <f>G28*(1+$A28+(Inputs!$B$6-$A28)*(H$3-1)/9)</f>
        <v/>
      </c>
      <c r="I28" s="23">
        <f>H28*(1+$A28+(Inputs!$B$6-$A28)*(I$3-1)/9)</f>
        <v/>
      </c>
      <c r="J28" s="23">
        <f>I28*(1+$A28+(Inputs!$B$6-$A28)*(J$3-1)/9)</f>
        <v/>
      </c>
      <c r="K28" s="23">
        <f>J28*(1+$A28+(Inputs!$B$6-$A28)*(K$3-1)/9)</f>
        <v/>
      </c>
      <c r="L28" s="37">
        <f>SUMPRODUCT(B28:K28,1/(1+Inputs!$B$4)^$B$3:$K$3)+K28*(1+Inputs!$B$6)/(Inputs!$B$4-Inputs!$B$6)/(1+Inputs!$B$4)^10</f>
        <v/>
      </c>
      <c r="M28" s="37">
        <f>SUMPRODUCT(B28:K28,1/(1+Inputs!$B$5)^$B$3:$K$3)+K28*(1+Inputs!$B$6)/(Inputs!$B$5-Inputs!$B$6)/(1+Inputs!$B$5)^10</f>
        <v/>
      </c>
    </row>
    <row r="29">
      <c r="A29" s="35">
        <f>ROUND(-0.2+25*0.005,4)</f>
        <v/>
      </c>
      <c r="B29" s="23">
        <f>1*(1+$A29+(Inputs!$B$6-$A29)*(B$3-1)/9)</f>
        <v/>
      </c>
      <c r="C29" s="23">
        <f>B29*(1+$A29+(Inputs!$B$6-$A29)*(C$3-1)/9)</f>
        <v/>
      </c>
      <c r="D29" s="23">
        <f>C29*(1+$A29+(Inputs!$B$6-$A29)*(D$3-1)/9)</f>
        <v/>
      </c>
      <c r="E29" s="23">
        <f>D29*(1+$A29+(Inputs!$B$6-$A29)*(E$3-1)/9)</f>
        <v/>
      </c>
      <c r="F29" s="23">
        <f>E29*(1+$A29+(Inputs!$B$6-$A29)*(F$3-1)/9)</f>
        <v/>
      </c>
      <c r="G29" s="23">
        <f>F29*(1+$A29+(Inputs!$B$6-$A29)*(G$3-1)/9)</f>
        <v/>
      </c>
      <c r="H29" s="23">
        <f>G29*(1+$A29+(Inputs!$B$6-$A29)*(H$3-1)/9)</f>
        <v/>
      </c>
      <c r="I29" s="23">
        <f>H29*(1+$A29+(Inputs!$B$6-$A29)*(I$3-1)/9)</f>
        <v/>
      </c>
      <c r="J29" s="23">
        <f>I29*(1+$A29+(Inputs!$B$6-$A29)*(J$3-1)/9)</f>
        <v/>
      </c>
      <c r="K29" s="23">
        <f>J29*(1+$A29+(Inputs!$B$6-$A29)*(K$3-1)/9)</f>
        <v/>
      </c>
      <c r="L29" s="37">
        <f>SUMPRODUCT(B29:K29,1/(1+Inputs!$B$4)^$B$3:$K$3)+K29*(1+Inputs!$B$6)/(Inputs!$B$4-Inputs!$B$6)/(1+Inputs!$B$4)^10</f>
        <v/>
      </c>
      <c r="M29" s="37">
        <f>SUMPRODUCT(B29:K29,1/(1+Inputs!$B$5)^$B$3:$K$3)+K29*(1+Inputs!$B$6)/(Inputs!$B$5-Inputs!$B$6)/(1+Inputs!$B$5)^10</f>
        <v/>
      </c>
    </row>
    <row r="30">
      <c r="A30" s="35">
        <f>ROUND(-0.2+26*0.005,4)</f>
        <v/>
      </c>
      <c r="B30" s="23">
        <f>1*(1+$A30+(Inputs!$B$6-$A30)*(B$3-1)/9)</f>
        <v/>
      </c>
      <c r="C30" s="23">
        <f>B30*(1+$A30+(Inputs!$B$6-$A30)*(C$3-1)/9)</f>
        <v/>
      </c>
      <c r="D30" s="23">
        <f>C30*(1+$A30+(Inputs!$B$6-$A30)*(D$3-1)/9)</f>
        <v/>
      </c>
      <c r="E30" s="23">
        <f>D30*(1+$A30+(Inputs!$B$6-$A30)*(E$3-1)/9)</f>
        <v/>
      </c>
      <c r="F30" s="23">
        <f>E30*(1+$A30+(Inputs!$B$6-$A30)*(F$3-1)/9)</f>
        <v/>
      </c>
      <c r="G30" s="23">
        <f>F30*(1+$A30+(Inputs!$B$6-$A30)*(G$3-1)/9)</f>
        <v/>
      </c>
      <c r="H30" s="23">
        <f>G30*(1+$A30+(Inputs!$B$6-$A30)*(H$3-1)/9)</f>
        <v/>
      </c>
      <c r="I30" s="23">
        <f>H30*(1+$A30+(Inputs!$B$6-$A30)*(I$3-1)/9)</f>
        <v/>
      </c>
      <c r="J30" s="23">
        <f>I30*(1+$A30+(Inputs!$B$6-$A30)*(J$3-1)/9)</f>
        <v/>
      </c>
      <c r="K30" s="23">
        <f>J30*(1+$A30+(Inputs!$B$6-$A30)*(K$3-1)/9)</f>
        <v/>
      </c>
      <c r="L30" s="37">
        <f>SUMPRODUCT(B30:K30,1/(1+Inputs!$B$4)^$B$3:$K$3)+K30*(1+Inputs!$B$6)/(Inputs!$B$4-Inputs!$B$6)/(1+Inputs!$B$4)^10</f>
        <v/>
      </c>
      <c r="M30" s="37">
        <f>SUMPRODUCT(B30:K30,1/(1+Inputs!$B$5)^$B$3:$K$3)+K30*(1+Inputs!$B$6)/(Inputs!$B$5-Inputs!$B$6)/(1+Inputs!$B$5)^10</f>
        <v/>
      </c>
    </row>
    <row r="31">
      <c r="A31" s="35">
        <f>ROUND(-0.2+27*0.005,4)</f>
        <v/>
      </c>
      <c r="B31" s="23">
        <f>1*(1+$A31+(Inputs!$B$6-$A31)*(B$3-1)/9)</f>
        <v/>
      </c>
      <c r="C31" s="23">
        <f>B31*(1+$A31+(Inputs!$B$6-$A31)*(C$3-1)/9)</f>
        <v/>
      </c>
      <c r="D31" s="23">
        <f>C31*(1+$A31+(Inputs!$B$6-$A31)*(D$3-1)/9)</f>
        <v/>
      </c>
      <c r="E31" s="23">
        <f>D31*(1+$A31+(Inputs!$B$6-$A31)*(E$3-1)/9)</f>
        <v/>
      </c>
      <c r="F31" s="23">
        <f>E31*(1+$A31+(Inputs!$B$6-$A31)*(F$3-1)/9)</f>
        <v/>
      </c>
      <c r="G31" s="23">
        <f>F31*(1+$A31+(Inputs!$B$6-$A31)*(G$3-1)/9)</f>
        <v/>
      </c>
      <c r="H31" s="23">
        <f>G31*(1+$A31+(Inputs!$B$6-$A31)*(H$3-1)/9)</f>
        <v/>
      </c>
      <c r="I31" s="23">
        <f>H31*(1+$A31+(Inputs!$B$6-$A31)*(I$3-1)/9)</f>
        <v/>
      </c>
      <c r="J31" s="23">
        <f>I31*(1+$A31+(Inputs!$B$6-$A31)*(J$3-1)/9)</f>
        <v/>
      </c>
      <c r="K31" s="23">
        <f>J31*(1+$A31+(Inputs!$B$6-$A31)*(K$3-1)/9)</f>
        <v/>
      </c>
      <c r="L31" s="37">
        <f>SUMPRODUCT(B31:K31,1/(1+Inputs!$B$4)^$B$3:$K$3)+K31*(1+Inputs!$B$6)/(Inputs!$B$4-Inputs!$B$6)/(1+Inputs!$B$4)^10</f>
        <v/>
      </c>
      <c r="M31" s="37">
        <f>SUMPRODUCT(B31:K31,1/(1+Inputs!$B$5)^$B$3:$K$3)+K31*(1+Inputs!$B$6)/(Inputs!$B$5-Inputs!$B$6)/(1+Inputs!$B$5)^10</f>
        <v/>
      </c>
    </row>
    <row r="32">
      <c r="A32" s="35">
        <f>ROUND(-0.2+28*0.005,4)</f>
        <v/>
      </c>
      <c r="B32" s="23">
        <f>1*(1+$A32+(Inputs!$B$6-$A32)*(B$3-1)/9)</f>
        <v/>
      </c>
      <c r="C32" s="23">
        <f>B32*(1+$A32+(Inputs!$B$6-$A32)*(C$3-1)/9)</f>
        <v/>
      </c>
      <c r="D32" s="23">
        <f>C32*(1+$A32+(Inputs!$B$6-$A32)*(D$3-1)/9)</f>
        <v/>
      </c>
      <c r="E32" s="23">
        <f>D32*(1+$A32+(Inputs!$B$6-$A32)*(E$3-1)/9)</f>
        <v/>
      </c>
      <c r="F32" s="23">
        <f>E32*(1+$A32+(Inputs!$B$6-$A32)*(F$3-1)/9)</f>
        <v/>
      </c>
      <c r="G32" s="23">
        <f>F32*(1+$A32+(Inputs!$B$6-$A32)*(G$3-1)/9)</f>
        <v/>
      </c>
      <c r="H32" s="23">
        <f>G32*(1+$A32+(Inputs!$B$6-$A32)*(H$3-1)/9)</f>
        <v/>
      </c>
      <c r="I32" s="23">
        <f>H32*(1+$A32+(Inputs!$B$6-$A32)*(I$3-1)/9)</f>
        <v/>
      </c>
      <c r="J32" s="23">
        <f>I32*(1+$A32+(Inputs!$B$6-$A32)*(J$3-1)/9)</f>
        <v/>
      </c>
      <c r="K32" s="23">
        <f>J32*(1+$A32+(Inputs!$B$6-$A32)*(K$3-1)/9)</f>
        <v/>
      </c>
      <c r="L32" s="37">
        <f>SUMPRODUCT(B32:K32,1/(1+Inputs!$B$4)^$B$3:$K$3)+K32*(1+Inputs!$B$6)/(Inputs!$B$4-Inputs!$B$6)/(1+Inputs!$B$4)^10</f>
        <v/>
      </c>
      <c r="M32" s="37">
        <f>SUMPRODUCT(B32:K32,1/(1+Inputs!$B$5)^$B$3:$K$3)+K32*(1+Inputs!$B$6)/(Inputs!$B$5-Inputs!$B$6)/(1+Inputs!$B$5)^10</f>
        <v/>
      </c>
    </row>
    <row r="33">
      <c r="A33" s="35">
        <f>ROUND(-0.2+29*0.005,4)</f>
        <v/>
      </c>
      <c r="B33" s="23">
        <f>1*(1+$A33+(Inputs!$B$6-$A33)*(B$3-1)/9)</f>
        <v/>
      </c>
      <c r="C33" s="23">
        <f>B33*(1+$A33+(Inputs!$B$6-$A33)*(C$3-1)/9)</f>
        <v/>
      </c>
      <c r="D33" s="23">
        <f>C33*(1+$A33+(Inputs!$B$6-$A33)*(D$3-1)/9)</f>
        <v/>
      </c>
      <c r="E33" s="23">
        <f>D33*(1+$A33+(Inputs!$B$6-$A33)*(E$3-1)/9)</f>
        <v/>
      </c>
      <c r="F33" s="23">
        <f>E33*(1+$A33+(Inputs!$B$6-$A33)*(F$3-1)/9)</f>
        <v/>
      </c>
      <c r="G33" s="23">
        <f>F33*(1+$A33+(Inputs!$B$6-$A33)*(G$3-1)/9)</f>
        <v/>
      </c>
      <c r="H33" s="23">
        <f>G33*(1+$A33+(Inputs!$B$6-$A33)*(H$3-1)/9)</f>
        <v/>
      </c>
      <c r="I33" s="23">
        <f>H33*(1+$A33+(Inputs!$B$6-$A33)*(I$3-1)/9)</f>
        <v/>
      </c>
      <c r="J33" s="23">
        <f>I33*(1+$A33+(Inputs!$B$6-$A33)*(J$3-1)/9)</f>
        <v/>
      </c>
      <c r="K33" s="23">
        <f>J33*(1+$A33+(Inputs!$B$6-$A33)*(K$3-1)/9)</f>
        <v/>
      </c>
      <c r="L33" s="37">
        <f>SUMPRODUCT(B33:K33,1/(1+Inputs!$B$4)^$B$3:$K$3)+K33*(1+Inputs!$B$6)/(Inputs!$B$4-Inputs!$B$6)/(1+Inputs!$B$4)^10</f>
        <v/>
      </c>
      <c r="M33" s="37">
        <f>SUMPRODUCT(B33:K33,1/(1+Inputs!$B$5)^$B$3:$K$3)+K33*(1+Inputs!$B$6)/(Inputs!$B$5-Inputs!$B$6)/(1+Inputs!$B$5)^10</f>
        <v/>
      </c>
    </row>
    <row r="34">
      <c r="A34" s="35">
        <f>ROUND(-0.2+30*0.005,4)</f>
        <v/>
      </c>
      <c r="B34" s="23">
        <f>1*(1+$A34+(Inputs!$B$6-$A34)*(B$3-1)/9)</f>
        <v/>
      </c>
      <c r="C34" s="23">
        <f>B34*(1+$A34+(Inputs!$B$6-$A34)*(C$3-1)/9)</f>
        <v/>
      </c>
      <c r="D34" s="23">
        <f>C34*(1+$A34+(Inputs!$B$6-$A34)*(D$3-1)/9)</f>
        <v/>
      </c>
      <c r="E34" s="23">
        <f>D34*(1+$A34+(Inputs!$B$6-$A34)*(E$3-1)/9)</f>
        <v/>
      </c>
      <c r="F34" s="23">
        <f>E34*(1+$A34+(Inputs!$B$6-$A34)*(F$3-1)/9)</f>
        <v/>
      </c>
      <c r="G34" s="23">
        <f>F34*(1+$A34+(Inputs!$B$6-$A34)*(G$3-1)/9)</f>
        <v/>
      </c>
      <c r="H34" s="23">
        <f>G34*(1+$A34+(Inputs!$B$6-$A34)*(H$3-1)/9)</f>
        <v/>
      </c>
      <c r="I34" s="23">
        <f>H34*(1+$A34+(Inputs!$B$6-$A34)*(I$3-1)/9)</f>
        <v/>
      </c>
      <c r="J34" s="23">
        <f>I34*(1+$A34+(Inputs!$B$6-$A34)*(J$3-1)/9)</f>
        <v/>
      </c>
      <c r="K34" s="23">
        <f>J34*(1+$A34+(Inputs!$B$6-$A34)*(K$3-1)/9)</f>
        <v/>
      </c>
      <c r="L34" s="37">
        <f>SUMPRODUCT(B34:K34,1/(1+Inputs!$B$4)^$B$3:$K$3)+K34*(1+Inputs!$B$6)/(Inputs!$B$4-Inputs!$B$6)/(1+Inputs!$B$4)^10</f>
        <v/>
      </c>
      <c r="M34" s="37">
        <f>SUMPRODUCT(B34:K34,1/(1+Inputs!$B$5)^$B$3:$K$3)+K34*(1+Inputs!$B$6)/(Inputs!$B$5-Inputs!$B$6)/(1+Inputs!$B$5)^10</f>
        <v/>
      </c>
    </row>
    <row r="35">
      <c r="A35" s="35">
        <f>ROUND(-0.2+31*0.005,4)</f>
        <v/>
      </c>
      <c r="B35" s="23">
        <f>1*(1+$A35+(Inputs!$B$6-$A35)*(B$3-1)/9)</f>
        <v/>
      </c>
      <c r="C35" s="23">
        <f>B35*(1+$A35+(Inputs!$B$6-$A35)*(C$3-1)/9)</f>
        <v/>
      </c>
      <c r="D35" s="23">
        <f>C35*(1+$A35+(Inputs!$B$6-$A35)*(D$3-1)/9)</f>
        <v/>
      </c>
      <c r="E35" s="23">
        <f>D35*(1+$A35+(Inputs!$B$6-$A35)*(E$3-1)/9)</f>
        <v/>
      </c>
      <c r="F35" s="23">
        <f>E35*(1+$A35+(Inputs!$B$6-$A35)*(F$3-1)/9)</f>
        <v/>
      </c>
      <c r="G35" s="23">
        <f>F35*(1+$A35+(Inputs!$B$6-$A35)*(G$3-1)/9)</f>
        <v/>
      </c>
      <c r="H35" s="23">
        <f>G35*(1+$A35+(Inputs!$B$6-$A35)*(H$3-1)/9)</f>
        <v/>
      </c>
      <c r="I35" s="23">
        <f>H35*(1+$A35+(Inputs!$B$6-$A35)*(I$3-1)/9)</f>
        <v/>
      </c>
      <c r="J35" s="23">
        <f>I35*(1+$A35+(Inputs!$B$6-$A35)*(J$3-1)/9)</f>
        <v/>
      </c>
      <c r="K35" s="23">
        <f>J35*(1+$A35+(Inputs!$B$6-$A35)*(K$3-1)/9)</f>
        <v/>
      </c>
      <c r="L35" s="37">
        <f>SUMPRODUCT(B35:K35,1/(1+Inputs!$B$4)^$B$3:$K$3)+K35*(1+Inputs!$B$6)/(Inputs!$B$4-Inputs!$B$6)/(1+Inputs!$B$4)^10</f>
        <v/>
      </c>
      <c r="M35" s="37">
        <f>SUMPRODUCT(B35:K35,1/(1+Inputs!$B$5)^$B$3:$K$3)+K35*(1+Inputs!$B$6)/(Inputs!$B$5-Inputs!$B$6)/(1+Inputs!$B$5)^10</f>
        <v/>
      </c>
    </row>
    <row r="36">
      <c r="A36" s="35">
        <f>ROUND(-0.2+32*0.005,4)</f>
        <v/>
      </c>
      <c r="B36" s="23">
        <f>1*(1+$A36+(Inputs!$B$6-$A36)*(B$3-1)/9)</f>
        <v/>
      </c>
      <c r="C36" s="23">
        <f>B36*(1+$A36+(Inputs!$B$6-$A36)*(C$3-1)/9)</f>
        <v/>
      </c>
      <c r="D36" s="23">
        <f>C36*(1+$A36+(Inputs!$B$6-$A36)*(D$3-1)/9)</f>
        <v/>
      </c>
      <c r="E36" s="23">
        <f>D36*(1+$A36+(Inputs!$B$6-$A36)*(E$3-1)/9)</f>
        <v/>
      </c>
      <c r="F36" s="23">
        <f>E36*(1+$A36+(Inputs!$B$6-$A36)*(F$3-1)/9)</f>
        <v/>
      </c>
      <c r="G36" s="23">
        <f>F36*(1+$A36+(Inputs!$B$6-$A36)*(G$3-1)/9)</f>
        <v/>
      </c>
      <c r="H36" s="23">
        <f>G36*(1+$A36+(Inputs!$B$6-$A36)*(H$3-1)/9)</f>
        <v/>
      </c>
      <c r="I36" s="23">
        <f>H36*(1+$A36+(Inputs!$B$6-$A36)*(I$3-1)/9)</f>
        <v/>
      </c>
      <c r="J36" s="23">
        <f>I36*(1+$A36+(Inputs!$B$6-$A36)*(J$3-1)/9)</f>
        <v/>
      </c>
      <c r="K36" s="23">
        <f>J36*(1+$A36+(Inputs!$B$6-$A36)*(K$3-1)/9)</f>
        <v/>
      </c>
      <c r="L36" s="37">
        <f>SUMPRODUCT(B36:K36,1/(1+Inputs!$B$4)^$B$3:$K$3)+K36*(1+Inputs!$B$6)/(Inputs!$B$4-Inputs!$B$6)/(1+Inputs!$B$4)^10</f>
        <v/>
      </c>
      <c r="M36" s="37">
        <f>SUMPRODUCT(B36:K36,1/(1+Inputs!$B$5)^$B$3:$K$3)+K36*(1+Inputs!$B$6)/(Inputs!$B$5-Inputs!$B$6)/(1+Inputs!$B$5)^10</f>
        <v/>
      </c>
    </row>
    <row r="37">
      <c r="A37" s="35">
        <f>ROUND(-0.2+33*0.005,4)</f>
        <v/>
      </c>
      <c r="B37" s="23">
        <f>1*(1+$A37+(Inputs!$B$6-$A37)*(B$3-1)/9)</f>
        <v/>
      </c>
      <c r="C37" s="23">
        <f>B37*(1+$A37+(Inputs!$B$6-$A37)*(C$3-1)/9)</f>
        <v/>
      </c>
      <c r="D37" s="23">
        <f>C37*(1+$A37+(Inputs!$B$6-$A37)*(D$3-1)/9)</f>
        <v/>
      </c>
      <c r="E37" s="23">
        <f>D37*(1+$A37+(Inputs!$B$6-$A37)*(E$3-1)/9)</f>
        <v/>
      </c>
      <c r="F37" s="23">
        <f>E37*(1+$A37+(Inputs!$B$6-$A37)*(F$3-1)/9)</f>
        <v/>
      </c>
      <c r="G37" s="23">
        <f>F37*(1+$A37+(Inputs!$B$6-$A37)*(G$3-1)/9)</f>
        <v/>
      </c>
      <c r="H37" s="23">
        <f>G37*(1+$A37+(Inputs!$B$6-$A37)*(H$3-1)/9)</f>
        <v/>
      </c>
      <c r="I37" s="23">
        <f>H37*(1+$A37+(Inputs!$B$6-$A37)*(I$3-1)/9)</f>
        <v/>
      </c>
      <c r="J37" s="23">
        <f>I37*(1+$A37+(Inputs!$B$6-$A37)*(J$3-1)/9)</f>
        <v/>
      </c>
      <c r="K37" s="23">
        <f>J37*(1+$A37+(Inputs!$B$6-$A37)*(K$3-1)/9)</f>
        <v/>
      </c>
      <c r="L37" s="37">
        <f>SUMPRODUCT(B37:K37,1/(1+Inputs!$B$4)^$B$3:$K$3)+K37*(1+Inputs!$B$6)/(Inputs!$B$4-Inputs!$B$6)/(1+Inputs!$B$4)^10</f>
        <v/>
      </c>
      <c r="M37" s="37">
        <f>SUMPRODUCT(B37:K37,1/(1+Inputs!$B$5)^$B$3:$K$3)+K37*(1+Inputs!$B$6)/(Inputs!$B$5-Inputs!$B$6)/(1+Inputs!$B$5)^10</f>
        <v/>
      </c>
    </row>
    <row r="38">
      <c r="A38" s="35">
        <f>ROUND(-0.2+34*0.005,4)</f>
        <v/>
      </c>
      <c r="B38" s="23">
        <f>1*(1+$A38+(Inputs!$B$6-$A38)*(B$3-1)/9)</f>
        <v/>
      </c>
      <c r="C38" s="23">
        <f>B38*(1+$A38+(Inputs!$B$6-$A38)*(C$3-1)/9)</f>
        <v/>
      </c>
      <c r="D38" s="23">
        <f>C38*(1+$A38+(Inputs!$B$6-$A38)*(D$3-1)/9)</f>
        <v/>
      </c>
      <c r="E38" s="23">
        <f>D38*(1+$A38+(Inputs!$B$6-$A38)*(E$3-1)/9)</f>
        <v/>
      </c>
      <c r="F38" s="23">
        <f>E38*(1+$A38+(Inputs!$B$6-$A38)*(F$3-1)/9)</f>
        <v/>
      </c>
      <c r="G38" s="23">
        <f>F38*(1+$A38+(Inputs!$B$6-$A38)*(G$3-1)/9)</f>
        <v/>
      </c>
      <c r="H38" s="23">
        <f>G38*(1+$A38+(Inputs!$B$6-$A38)*(H$3-1)/9)</f>
        <v/>
      </c>
      <c r="I38" s="23">
        <f>H38*(1+$A38+(Inputs!$B$6-$A38)*(I$3-1)/9)</f>
        <v/>
      </c>
      <c r="J38" s="23">
        <f>I38*(1+$A38+(Inputs!$B$6-$A38)*(J$3-1)/9)</f>
        <v/>
      </c>
      <c r="K38" s="23">
        <f>J38*(1+$A38+(Inputs!$B$6-$A38)*(K$3-1)/9)</f>
        <v/>
      </c>
      <c r="L38" s="37">
        <f>SUMPRODUCT(B38:K38,1/(1+Inputs!$B$4)^$B$3:$K$3)+K38*(1+Inputs!$B$6)/(Inputs!$B$4-Inputs!$B$6)/(1+Inputs!$B$4)^10</f>
        <v/>
      </c>
      <c r="M38" s="37">
        <f>SUMPRODUCT(B38:K38,1/(1+Inputs!$B$5)^$B$3:$K$3)+K38*(1+Inputs!$B$6)/(Inputs!$B$5-Inputs!$B$6)/(1+Inputs!$B$5)^10</f>
        <v/>
      </c>
    </row>
    <row r="39">
      <c r="A39" s="35">
        <f>ROUND(-0.2+35*0.005,4)</f>
        <v/>
      </c>
      <c r="B39" s="23">
        <f>1*(1+$A39+(Inputs!$B$6-$A39)*(B$3-1)/9)</f>
        <v/>
      </c>
      <c r="C39" s="23">
        <f>B39*(1+$A39+(Inputs!$B$6-$A39)*(C$3-1)/9)</f>
        <v/>
      </c>
      <c r="D39" s="23">
        <f>C39*(1+$A39+(Inputs!$B$6-$A39)*(D$3-1)/9)</f>
        <v/>
      </c>
      <c r="E39" s="23">
        <f>D39*(1+$A39+(Inputs!$B$6-$A39)*(E$3-1)/9)</f>
        <v/>
      </c>
      <c r="F39" s="23">
        <f>E39*(1+$A39+(Inputs!$B$6-$A39)*(F$3-1)/9)</f>
        <v/>
      </c>
      <c r="G39" s="23">
        <f>F39*(1+$A39+(Inputs!$B$6-$A39)*(G$3-1)/9)</f>
        <v/>
      </c>
      <c r="H39" s="23">
        <f>G39*(1+$A39+(Inputs!$B$6-$A39)*(H$3-1)/9)</f>
        <v/>
      </c>
      <c r="I39" s="23">
        <f>H39*(1+$A39+(Inputs!$B$6-$A39)*(I$3-1)/9)</f>
        <v/>
      </c>
      <c r="J39" s="23">
        <f>I39*(1+$A39+(Inputs!$B$6-$A39)*(J$3-1)/9)</f>
        <v/>
      </c>
      <c r="K39" s="23">
        <f>J39*(1+$A39+(Inputs!$B$6-$A39)*(K$3-1)/9)</f>
        <v/>
      </c>
      <c r="L39" s="37">
        <f>SUMPRODUCT(B39:K39,1/(1+Inputs!$B$4)^$B$3:$K$3)+K39*(1+Inputs!$B$6)/(Inputs!$B$4-Inputs!$B$6)/(1+Inputs!$B$4)^10</f>
        <v/>
      </c>
      <c r="M39" s="37">
        <f>SUMPRODUCT(B39:K39,1/(1+Inputs!$B$5)^$B$3:$K$3)+K39*(1+Inputs!$B$6)/(Inputs!$B$5-Inputs!$B$6)/(1+Inputs!$B$5)^10</f>
        <v/>
      </c>
    </row>
    <row r="40">
      <c r="A40" s="35">
        <f>ROUND(-0.2+36*0.005,4)</f>
        <v/>
      </c>
      <c r="B40" s="23">
        <f>1*(1+$A40+(Inputs!$B$6-$A40)*(B$3-1)/9)</f>
        <v/>
      </c>
      <c r="C40" s="23">
        <f>B40*(1+$A40+(Inputs!$B$6-$A40)*(C$3-1)/9)</f>
        <v/>
      </c>
      <c r="D40" s="23">
        <f>C40*(1+$A40+(Inputs!$B$6-$A40)*(D$3-1)/9)</f>
        <v/>
      </c>
      <c r="E40" s="23">
        <f>D40*(1+$A40+(Inputs!$B$6-$A40)*(E$3-1)/9)</f>
        <v/>
      </c>
      <c r="F40" s="23">
        <f>E40*(1+$A40+(Inputs!$B$6-$A40)*(F$3-1)/9)</f>
        <v/>
      </c>
      <c r="G40" s="23">
        <f>F40*(1+$A40+(Inputs!$B$6-$A40)*(G$3-1)/9)</f>
        <v/>
      </c>
      <c r="H40" s="23">
        <f>G40*(1+$A40+(Inputs!$B$6-$A40)*(H$3-1)/9)</f>
        <v/>
      </c>
      <c r="I40" s="23">
        <f>H40*(1+$A40+(Inputs!$B$6-$A40)*(I$3-1)/9)</f>
        <v/>
      </c>
      <c r="J40" s="23">
        <f>I40*(1+$A40+(Inputs!$B$6-$A40)*(J$3-1)/9)</f>
        <v/>
      </c>
      <c r="K40" s="23">
        <f>J40*(1+$A40+(Inputs!$B$6-$A40)*(K$3-1)/9)</f>
        <v/>
      </c>
      <c r="L40" s="37">
        <f>SUMPRODUCT(B40:K40,1/(1+Inputs!$B$4)^$B$3:$K$3)+K40*(1+Inputs!$B$6)/(Inputs!$B$4-Inputs!$B$6)/(1+Inputs!$B$4)^10</f>
        <v/>
      </c>
      <c r="M40" s="37">
        <f>SUMPRODUCT(B40:K40,1/(1+Inputs!$B$5)^$B$3:$K$3)+K40*(1+Inputs!$B$6)/(Inputs!$B$5-Inputs!$B$6)/(1+Inputs!$B$5)^10</f>
        <v/>
      </c>
    </row>
    <row r="41">
      <c r="A41" s="35">
        <f>ROUND(-0.2+37*0.005,4)</f>
        <v/>
      </c>
      <c r="B41" s="23">
        <f>1*(1+$A41+(Inputs!$B$6-$A41)*(B$3-1)/9)</f>
        <v/>
      </c>
      <c r="C41" s="23">
        <f>B41*(1+$A41+(Inputs!$B$6-$A41)*(C$3-1)/9)</f>
        <v/>
      </c>
      <c r="D41" s="23">
        <f>C41*(1+$A41+(Inputs!$B$6-$A41)*(D$3-1)/9)</f>
        <v/>
      </c>
      <c r="E41" s="23">
        <f>D41*(1+$A41+(Inputs!$B$6-$A41)*(E$3-1)/9)</f>
        <v/>
      </c>
      <c r="F41" s="23">
        <f>E41*(1+$A41+(Inputs!$B$6-$A41)*(F$3-1)/9)</f>
        <v/>
      </c>
      <c r="G41" s="23">
        <f>F41*(1+$A41+(Inputs!$B$6-$A41)*(G$3-1)/9)</f>
        <v/>
      </c>
      <c r="H41" s="23">
        <f>G41*(1+$A41+(Inputs!$B$6-$A41)*(H$3-1)/9)</f>
        <v/>
      </c>
      <c r="I41" s="23">
        <f>H41*(1+$A41+(Inputs!$B$6-$A41)*(I$3-1)/9)</f>
        <v/>
      </c>
      <c r="J41" s="23">
        <f>I41*(1+$A41+(Inputs!$B$6-$A41)*(J$3-1)/9)</f>
        <v/>
      </c>
      <c r="K41" s="23">
        <f>J41*(1+$A41+(Inputs!$B$6-$A41)*(K$3-1)/9)</f>
        <v/>
      </c>
      <c r="L41" s="37">
        <f>SUMPRODUCT(B41:K41,1/(1+Inputs!$B$4)^$B$3:$K$3)+K41*(1+Inputs!$B$6)/(Inputs!$B$4-Inputs!$B$6)/(1+Inputs!$B$4)^10</f>
        <v/>
      </c>
      <c r="M41" s="37">
        <f>SUMPRODUCT(B41:K41,1/(1+Inputs!$B$5)^$B$3:$K$3)+K41*(1+Inputs!$B$6)/(Inputs!$B$5-Inputs!$B$6)/(1+Inputs!$B$5)^10</f>
        <v/>
      </c>
    </row>
    <row r="42">
      <c r="A42" s="35">
        <f>ROUND(-0.2+38*0.005,4)</f>
        <v/>
      </c>
      <c r="B42" s="23">
        <f>1*(1+$A42+(Inputs!$B$6-$A42)*(B$3-1)/9)</f>
        <v/>
      </c>
      <c r="C42" s="23">
        <f>B42*(1+$A42+(Inputs!$B$6-$A42)*(C$3-1)/9)</f>
        <v/>
      </c>
      <c r="D42" s="23">
        <f>C42*(1+$A42+(Inputs!$B$6-$A42)*(D$3-1)/9)</f>
        <v/>
      </c>
      <c r="E42" s="23">
        <f>D42*(1+$A42+(Inputs!$B$6-$A42)*(E$3-1)/9)</f>
        <v/>
      </c>
      <c r="F42" s="23">
        <f>E42*(1+$A42+(Inputs!$B$6-$A42)*(F$3-1)/9)</f>
        <v/>
      </c>
      <c r="G42" s="23">
        <f>F42*(1+$A42+(Inputs!$B$6-$A42)*(G$3-1)/9)</f>
        <v/>
      </c>
      <c r="H42" s="23">
        <f>G42*(1+$A42+(Inputs!$B$6-$A42)*(H$3-1)/9)</f>
        <v/>
      </c>
      <c r="I42" s="23">
        <f>H42*(1+$A42+(Inputs!$B$6-$A42)*(I$3-1)/9)</f>
        <v/>
      </c>
      <c r="J42" s="23">
        <f>I42*(1+$A42+(Inputs!$B$6-$A42)*(J$3-1)/9)</f>
        <v/>
      </c>
      <c r="K42" s="23">
        <f>J42*(1+$A42+(Inputs!$B$6-$A42)*(K$3-1)/9)</f>
        <v/>
      </c>
      <c r="L42" s="37">
        <f>SUMPRODUCT(B42:K42,1/(1+Inputs!$B$4)^$B$3:$K$3)+K42*(1+Inputs!$B$6)/(Inputs!$B$4-Inputs!$B$6)/(1+Inputs!$B$4)^10</f>
        <v/>
      </c>
      <c r="M42" s="37">
        <f>SUMPRODUCT(B42:K42,1/(1+Inputs!$B$5)^$B$3:$K$3)+K42*(1+Inputs!$B$6)/(Inputs!$B$5-Inputs!$B$6)/(1+Inputs!$B$5)^10</f>
        <v/>
      </c>
    </row>
    <row r="43">
      <c r="A43" s="35">
        <f>ROUND(-0.2+39*0.005,4)</f>
        <v/>
      </c>
      <c r="B43" s="23">
        <f>1*(1+$A43+(Inputs!$B$6-$A43)*(B$3-1)/9)</f>
        <v/>
      </c>
      <c r="C43" s="23">
        <f>B43*(1+$A43+(Inputs!$B$6-$A43)*(C$3-1)/9)</f>
        <v/>
      </c>
      <c r="D43" s="23">
        <f>C43*(1+$A43+(Inputs!$B$6-$A43)*(D$3-1)/9)</f>
        <v/>
      </c>
      <c r="E43" s="23">
        <f>D43*(1+$A43+(Inputs!$B$6-$A43)*(E$3-1)/9)</f>
        <v/>
      </c>
      <c r="F43" s="23">
        <f>E43*(1+$A43+(Inputs!$B$6-$A43)*(F$3-1)/9)</f>
        <v/>
      </c>
      <c r="G43" s="23">
        <f>F43*(1+$A43+(Inputs!$B$6-$A43)*(G$3-1)/9)</f>
        <v/>
      </c>
      <c r="H43" s="23">
        <f>G43*(1+$A43+(Inputs!$B$6-$A43)*(H$3-1)/9)</f>
        <v/>
      </c>
      <c r="I43" s="23">
        <f>H43*(1+$A43+(Inputs!$B$6-$A43)*(I$3-1)/9)</f>
        <v/>
      </c>
      <c r="J43" s="23">
        <f>I43*(1+$A43+(Inputs!$B$6-$A43)*(J$3-1)/9)</f>
        <v/>
      </c>
      <c r="K43" s="23">
        <f>J43*(1+$A43+(Inputs!$B$6-$A43)*(K$3-1)/9)</f>
        <v/>
      </c>
      <c r="L43" s="37">
        <f>SUMPRODUCT(B43:K43,1/(1+Inputs!$B$4)^$B$3:$K$3)+K43*(1+Inputs!$B$6)/(Inputs!$B$4-Inputs!$B$6)/(1+Inputs!$B$4)^10</f>
        <v/>
      </c>
      <c r="M43" s="37">
        <f>SUMPRODUCT(B43:K43,1/(1+Inputs!$B$5)^$B$3:$K$3)+K43*(1+Inputs!$B$6)/(Inputs!$B$5-Inputs!$B$6)/(1+Inputs!$B$5)^10</f>
        <v/>
      </c>
    </row>
    <row r="44">
      <c r="A44" s="35">
        <f>ROUND(-0.2+40*0.005,4)</f>
        <v/>
      </c>
      <c r="B44" s="23">
        <f>1*(1+$A44+(Inputs!$B$6-$A44)*(B$3-1)/9)</f>
        <v/>
      </c>
      <c r="C44" s="23">
        <f>B44*(1+$A44+(Inputs!$B$6-$A44)*(C$3-1)/9)</f>
        <v/>
      </c>
      <c r="D44" s="23">
        <f>C44*(1+$A44+(Inputs!$B$6-$A44)*(D$3-1)/9)</f>
        <v/>
      </c>
      <c r="E44" s="23">
        <f>D44*(1+$A44+(Inputs!$B$6-$A44)*(E$3-1)/9)</f>
        <v/>
      </c>
      <c r="F44" s="23">
        <f>E44*(1+$A44+(Inputs!$B$6-$A44)*(F$3-1)/9)</f>
        <v/>
      </c>
      <c r="G44" s="23">
        <f>F44*(1+$A44+(Inputs!$B$6-$A44)*(G$3-1)/9)</f>
        <v/>
      </c>
      <c r="H44" s="23">
        <f>G44*(1+$A44+(Inputs!$B$6-$A44)*(H$3-1)/9)</f>
        <v/>
      </c>
      <c r="I44" s="23">
        <f>H44*(1+$A44+(Inputs!$B$6-$A44)*(I$3-1)/9)</f>
        <v/>
      </c>
      <c r="J44" s="23">
        <f>I44*(1+$A44+(Inputs!$B$6-$A44)*(J$3-1)/9)</f>
        <v/>
      </c>
      <c r="K44" s="23">
        <f>J44*(1+$A44+(Inputs!$B$6-$A44)*(K$3-1)/9)</f>
        <v/>
      </c>
      <c r="L44" s="37">
        <f>SUMPRODUCT(B44:K44,1/(1+Inputs!$B$4)^$B$3:$K$3)+K44*(1+Inputs!$B$6)/(Inputs!$B$4-Inputs!$B$6)/(1+Inputs!$B$4)^10</f>
        <v/>
      </c>
      <c r="M44" s="37">
        <f>SUMPRODUCT(B44:K44,1/(1+Inputs!$B$5)^$B$3:$K$3)+K44*(1+Inputs!$B$6)/(Inputs!$B$5-Inputs!$B$6)/(1+Inputs!$B$5)^10</f>
        <v/>
      </c>
    </row>
    <row r="45">
      <c r="A45" s="35">
        <f>ROUND(-0.2+41*0.005,4)</f>
        <v/>
      </c>
      <c r="B45" s="23">
        <f>1*(1+$A45+(Inputs!$B$6-$A45)*(B$3-1)/9)</f>
        <v/>
      </c>
      <c r="C45" s="23">
        <f>B45*(1+$A45+(Inputs!$B$6-$A45)*(C$3-1)/9)</f>
        <v/>
      </c>
      <c r="D45" s="23">
        <f>C45*(1+$A45+(Inputs!$B$6-$A45)*(D$3-1)/9)</f>
        <v/>
      </c>
      <c r="E45" s="23">
        <f>D45*(1+$A45+(Inputs!$B$6-$A45)*(E$3-1)/9)</f>
        <v/>
      </c>
      <c r="F45" s="23">
        <f>E45*(1+$A45+(Inputs!$B$6-$A45)*(F$3-1)/9)</f>
        <v/>
      </c>
      <c r="G45" s="23">
        <f>F45*(1+$A45+(Inputs!$B$6-$A45)*(G$3-1)/9)</f>
        <v/>
      </c>
      <c r="H45" s="23">
        <f>G45*(1+$A45+(Inputs!$B$6-$A45)*(H$3-1)/9)</f>
        <v/>
      </c>
      <c r="I45" s="23">
        <f>H45*(1+$A45+(Inputs!$B$6-$A45)*(I$3-1)/9)</f>
        <v/>
      </c>
      <c r="J45" s="23">
        <f>I45*(1+$A45+(Inputs!$B$6-$A45)*(J$3-1)/9)</f>
        <v/>
      </c>
      <c r="K45" s="23">
        <f>J45*(1+$A45+(Inputs!$B$6-$A45)*(K$3-1)/9)</f>
        <v/>
      </c>
      <c r="L45" s="37">
        <f>SUMPRODUCT(B45:K45,1/(1+Inputs!$B$4)^$B$3:$K$3)+K45*(1+Inputs!$B$6)/(Inputs!$B$4-Inputs!$B$6)/(1+Inputs!$B$4)^10</f>
        <v/>
      </c>
      <c r="M45" s="37">
        <f>SUMPRODUCT(B45:K45,1/(1+Inputs!$B$5)^$B$3:$K$3)+K45*(1+Inputs!$B$6)/(Inputs!$B$5-Inputs!$B$6)/(1+Inputs!$B$5)^10</f>
        <v/>
      </c>
    </row>
    <row r="46">
      <c r="A46" s="35">
        <f>ROUND(-0.2+42*0.005,4)</f>
        <v/>
      </c>
      <c r="B46" s="23">
        <f>1*(1+$A46+(Inputs!$B$6-$A46)*(B$3-1)/9)</f>
        <v/>
      </c>
      <c r="C46" s="23">
        <f>B46*(1+$A46+(Inputs!$B$6-$A46)*(C$3-1)/9)</f>
        <v/>
      </c>
      <c r="D46" s="23">
        <f>C46*(1+$A46+(Inputs!$B$6-$A46)*(D$3-1)/9)</f>
        <v/>
      </c>
      <c r="E46" s="23">
        <f>D46*(1+$A46+(Inputs!$B$6-$A46)*(E$3-1)/9)</f>
        <v/>
      </c>
      <c r="F46" s="23">
        <f>E46*(1+$A46+(Inputs!$B$6-$A46)*(F$3-1)/9)</f>
        <v/>
      </c>
      <c r="G46" s="23">
        <f>F46*(1+$A46+(Inputs!$B$6-$A46)*(G$3-1)/9)</f>
        <v/>
      </c>
      <c r="H46" s="23">
        <f>G46*(1+$A46+(Inputs!$B$6-$A46)*(H$3-1)/9)</f>
        <v/>
      </c>
      <c r="I46" s="23">
        <f>H46*(1+$A46+(Inputs!$B$6-$A46)*(I$3-1)/9)</f>
        <v/>
      </c>
      <c r="J46" s="23">
        <f>I46*(1+$A46+(Inputs!$B$6-$A46)*(J$3-1)/9)</f>
        <v/>
      </c>
      <c r="K46" s="23">
        <f>J46*(1+$A46+(Inputs!$B$6-$A46)*(K$3-1)/9)</f>
        <v/>
      </c>
      <c r="L46" s="37">
        <f>SUMPRODUCT(B46:K46,1/(1+Inputs!$B$4)^$B$3:$K$3)+K46*(1+Inputs!$B$6)/(Inputs!$B$4-Inputs!$B$6)/(1+Inputs!$B$4)^10</f>
        <v/>
      </c>
      <c r="M46" s="37">
        <f>SUMPRODUCT(B46:K46,1/(1+Inputs!$B$5)^$B$3:$K$3)+K46*(1+Inputs!$B$6)/(Inputs!$B$5-Inputs!$B$6)/(1+Inputs!$B$5)^10</f>
        <v/>
      </c>
    </row>
    <row r="47">
      <c r="A47" s="35">
        <f>ROUND(-0.2+43*0.005,4)</f>
        <v/>
      </c>
      <c r="B47" s="23">
        <f>1*(1+$A47+(Inputs!$B$6-$A47)*(B$3-1)/9)</f>
        <v/>
      </c>
      <c r="C47" s="23">
        <f>B47*(1+$A47+(Inputs!$B$6-$A47)*(C$3-1)/9)</f>
        <v/>
      </c>
      <c r="D47" s="23">
        <f>C47*(1+$A47+(Inputs!$B$6-$A47)*(D$3-1)/9)</f>
        <v/>
      </c>
      <c r="E47" s="23">
        <f>D47*(1+$A47+(Inputs!$B$6-$A47)*(E$3-1)/9)</f>
        <v/>
      </c>
      <c r="F47" s="23">
        <f>E47*(1+$A47+(Inputs!$B$6-$A47)*(F$3-1)/9)</f>
        <v/>
      </c>
      <c r="G47" s="23">
        <f>F47*(1+$A47+(Inputs!$B$6-$A47)*(G$3-1)/9)</f>
        <v/>
      </c>
      <c r="H47" s="23">
        <f>G47*(1+$A47+(Inputs!$B$6-$A47)*(H$3-1)/9)</f>
        <v/>
      </c>
      <c r="I47" s="23">
        <f>H47*(1+$A47+(Inputs!$B$6-$A47)*(I$3-1)/9)</f>
        <v/>
      </c>
      <c r="J47" s="23">
        <f>I47*(1+$A47+(Inputs!$B$6-$A47)*(J$3-1)/9)</f>
        <v/>
      </c>
      <c r="K47" s="23">
        <f>J47*(1+$A47+(Inputs!$B$6-$A47)*(K$3-1)/9)</f>
        <v/>
      </c>
      <c r="L47" s="37">
        <f>SUMPRODUCT(B47:K47,1/(1+Inputs!$B$4)^$B$3:$K$3)+K47*(1+Inputs!$B$6)/(Inputs!$B$4-Inputs!$B$6)/(1+Inputs!$B$4)^10</f>
        <v/>
      </c>
      <c r="M47" s="37">
        <f>SUMPRODUCT(B47:K47,1/(1+Inputs!$B$5)^$B$3:$K$3)+K47*(1+Inputs!$B$6)/(Inputs!$B$5-Inputs!$B$6)/(1+Inputs!$B$5)^10</f>
        <v/>
      </c>
    </row>
    <row r="48">
      <c r="A48" s="35">
        <f>ROUND(-0.2+44*0.005,4)</f>
        <v/>
      </c>
      <c r="B48" s="23">
        <f>1*(1+$A48+(Inputs!$B$6-$A48)*(B$3-1)/9)</f>
        <v/>
      </c>
      <c r="C48" s="23">
        <f>B48*(1+$A48+(Inputs!$B$6-$A48)*(C$3-1)/9)</f>
        <v/>
      </c>
      <c r="D48" s="23">
        <f>C48*(1+$A48+(Inputs!$B$6-$A48)*(D$3-1)/9)</f>
        <v/>
      </c>
      <c r="E48" s="23">
        <f>D48*(1+$A48+(Inputs!$B$6-$A48)*(E$3-1)/9)</f>
        <v/>
      </c>
      <c r="F48" s="23">
        <f>E48*(1+$A48+(Inputs!$B$6-$A48)*(F$3-1)/9)</f>
        <v/>
      </c>
      <c r="G48" s="23">
        <f>F48*(1+$A48+(Inputs!$B$6-$A48)*(G$3-1)/9)</f>
        <v/>
      </c>
      <c r="H48" s="23">
        <f>G48*(1+$A48+(Inputs!$B$6-$A48)*(H$3-1)/9)</f>
        <v/>
      </c>
      <c r="I48" s="23">
        <f>H48*(1+$A48+(Inputs!$B$6-$A48)*(I$3-1)/9)</f>
        <v/>
      </c>
      <c r="J48" s="23">
        <f>I48*(1+$A48+(Inputs!$B$6-$A48)*(J$3-1)/9)</f>
        <v/>
      </c>
      <c r="K48" s="23">
        <f>J48*(1+$A48+(Inputs!$B$6-$A48)*(K$3-1)/9)</f>
        <v/>
      </c>
      <c r="L48" s="37">
        <f>SUMPRODUCT(B48:K48,1/(1+Inputs!$B$4)^$B$3:$K$3)+K48*(1+Inputs!$B$6)/(Inputs!$B$4-Inputs!$B$6)/(1+Inputs!$B$4)^10</f>
        <v/>
      </c>
      <c r="M48" s="37">
        <f>SUMPRODUCT(B48:K48,1/(1+Inputs!$B$5)^$B$3:$K$3)+K48*(1+Inputs!$B$6)/(Inputs!$B$5-Inputs!$B$6)/(1+Inputs!$B$5)^10</f>
        <v/>
      </c>
    </row>
    <row r="49">
      <c r="A49" s="35">
        <f>ROUND(-0.2+45*0.005,4)</f>
        <v/>
      </c>
      <c r="B49" s="23">
        <f>1*(1+$A49+(Inputs!$B$6-$A49)*(B$3-1)/9)</f>
        <v/>
      </c>
      <c r="C49" s="23">
        <f>B49*(1+$A49+(Inputs!$B$6-$A49)*(C$3-1)/9)</f>
        <v/>
      </c>
      <c r="D49" s="23">
        <f>C49*(1+$A49+(Inputs!$B$6-$A49)*(D$3-1)/9)</f>
        <v/>
      </c>
      <c r="E49" s="23">
        <f>D49*(1+$A49+(Inputs!$B$6-$A49)*(E$3-1)/9)</f>
        <v/>
      </c>
      <c r="F49" s="23">
        <f>E49*(1+$A49+(Inputs!$B$6-$A49)*(F$3-1)/9)</f>
        <v/>
      </c>
      <c r="G49" s="23">
        <f>F49*(1+$A49+(Inputs!$B$6-$A49)*(G$3-1)/9)</f>
        <v/>
      </c>
      <c r="H49" s="23">
        <f>G49*(1+$A49+(Inputs!$B$6-$A49)*(H$3-1)/9)</f>
        <v/>
      </c>
      <c r="I49" s="23">
        <f>H49*(1+$A49+(Inputs!$B$6-$A49)*(I$3-1)/9)</f>
        <v/>
      </c>
      <c r="J49" s="23">
        <f>I49*(1+$A49+(Inputs!$B$6-$A49)*(J$3-1)/9)</f>
        <v/>
      </c>
      <c r="K49" s="23">
        <f>J49*(1+$A49+(Inputs!$B$6-$A49)*(K$3-1)/9)</f>
        <v/>
      </c>
      <c r="L49" s="37">
        <f>SUMPRODUCT(B49:K49,1/(1+Inputs!$B$4)^$B$3:$K$3)+K49*(1+Inputs!$B$6)/(Inputs!$B$4-Inputs!$B$6)/(1+Inputs!$B$4)^10</f>
        <v/>
      </c>
      <c r="M49" s="37">
        <f>SUMPRODUCT(B49:K49,1/(1+Inputs!$B$5)^$B$3:$K$3)+K49*(1+Inputs!$B$6)/(Inputs!$B$5-Inputs!$B$6)/(1+Inputs!$B$5)^10</f>
        <v/>
      </c>
    </row>
    <row r="50">
      <c r="A50" s="35">
        <f>ROUND(-0.2+46*0.005,4)</f>
        <v/>
      </c>
      <c r="B50" s="23">
        <f>1*(1+$A50+(Inputs!$B$6-$A50)*(B$3-1)/9)</f>
        <v/>
      </c>
      <c r="C50" s="23">
        <f>B50*(1+$A50+(Inputs!$B$6-$A50)*(C$3-1)/9)</f>
        <v/>
      </c>
      <c r="D50" s="23">
        <f>C50*(1+$A50+(Inputs!$B$6-$A50)*(D$3-1)/9)</f>
        <v/>
      </c>
      <c r="E50" s="23">
        <f>D50*(1+$A50+(Inputs!$B$6-$A50)*(E$3-1)/9)</f>
        <v/>
      </c>
      <c r="F50" s="23">
        <f>E50*(1+$A50+(Inputs!$B$6-$A50)*(F$3-1)/9)</f>
        <v/>
      </c>
      <c r="G50" s="23">
        <f>F50*(1+$A50+(Inputs!$B$6-$A50)*(G$3-1)/9)</f>
        <v/>
      </c>
      <c r="H50" s="23">
        <f>G50*(1+$A50+(Inputs!$B$6-$A50)*(H$3-1)/9)</f>
        <v/>
      </c>
      <c r="I50" s="23">
        <f>H50*(1+$A50+(Inputs!$B$6-$A50)*(I$3-1)/9)</f>
        <v/>
      </c>
      <c r="J50" s="23">
        <f>I50*(1+$A50+(Inputs!$B$6-$A50)*(J$3-1)/9)</f>
        <v/>
      </c>
      <c r="K50" s="23">
        <f>J50*(1+$A50+(Inputs!$B$6-$A50)*(K$3-1)/9)</f>
        <v/>
      </c>
      <c r="L50" s="37">
        <f>SUMPRODUCT(B50:K50,1/(1+Inputs!$B$4)^$B$3:$K$3)+K50*(1+Inputs!$B$6)/(Inputs!$B$4-Inputs!$B$6)/(1+Inputs!$B$4)^10</f>
        <v/>
      </c>
      <c r="M50" s="37">
        <f>SUMPRODUCT(B50:K50,1/(1+Inputs!$B$5)^$B$3:$K$3)+K50*(1+Inputs!$B$6)/(Inputs!$B$5-Inputs!$B$6)/(1+Inputs!$B$5)^10</f>
        <v/>
      </c>
    </row>
    <row r="51">
      <c r="A51" s="35">
        <f>ROUND(-0.2+47*0.005,4)</f>
        <v/>
      </c>
      <c r="B51" s="23">
        <f>1*(1+$A51+(Inputs!$B$6-$A51)*(B$3-1)/9)</f>
        <v/>
      </c>
      <c r="C51" s="23">
        <f>B51*(1+$A51+(Inputs!$B$6-$A51)*(C$3-1)/9)</f>
        <v/>
      </c>
      <c r="D51" s="23">
        <f>C51*(1+$A51+(Inputs!$B$6-$A51)*(D$3-1)/9)</f>
        <v/>
      </c>
      <c r="E51" s="23">
        <f>D51*(1+$A51+(Inputs!$B$6-$A51)*(E$3-1)/9)</f>
        <v/>
      </c>
      <c r="F51" s="23">
        <f>E51*(1+$A51+(Inputs!$B$6-$A51)*(F$3-1)/9)</f>
        <v/>
      </c>
      <c r="G51" s="23">
        <f>F51*(1+$A51+(Inputs!$B$6-$A51)*(G$3-1)/9)</f>
        <v/>
      </c>
      <c r="H51" s="23">
        <f>G51*(1+$A51+(Inputs!$B$6-$A51)*(H$3-1)/9)</f>
        <v/>
      </c>
      <c r="I51" s="23">
        <f>H51*(1+$A51+(Inputs!$B$6-$A51)*(I$3-1)/9)</f>
        <v/>
      </c>
      <c r="J51" s="23">
        <f>I51*(1+$A51+(Inputs!$B$6-$A51)*(J$3-1)/9)</f>
        <v/>
      </c>
      <c r="K51" s="23">
        <f>J51*(1+$A51+(Inputs!$B$6-$A51)*(K$3-1)/9)</f>
        <v/>
      </c>
      <c r="L51" s="37">
        <f>SUMPRODUCT(B51:K51,1/(1+Inputs!$B$4)^$B$3:$K$3)+K51*(1+Inputs!$B$6)/(Inputs!$B$4-Inputs!$B$6)/(1+Inputs!$B$4)^10</f>
        <v/>
      </c>
      <c r="M51" s="37">
        <f>SUMPRODUCT(B51:K51,1/(1+Inputs!$B$5)^$B$3:$K$3)+K51*(1+Inputs!$B$6)/(Inputs!$B$5-Inputs!$B$6)/(1+Inputs!$B$5)^10</f>
        <v/>
      </c>
    </row>
    <row r="52">
      <c r="A52" s="35">
        <f>ROUND(-0.2+48*0.005,4)</f>
        <v/>
      </c>
      <c r="B52" s="23">
        <f>1*(1+$A52+(Inputs!$B$6-$A52)*(B$3-1)/9)</f>
        <v/>
      </c>
      <c r="C52" s="23">
        <f>B52*(1+$A52+(Inputs!$B$6-$A52)*(C$3-1)/9)</f>
        <v/>
      </c>
      <c r="D52" s="23">
        <f>C52*(1+$A52+(Inputs!$B$6-$A52)*(D$3-1)/9)</f>
        <v/>
      </c>
      <c r="E52" s="23">
        <f>D52*(1+$A52+(Inputs!$B$6-$A52)*(E$3-1)/9)</f>
        <v/>
      </c>
      <c r="F52" s="23">
        <f>E52*(1+$A52+(Inputs!$B$6-$A52)*(F$3-1)/9)</f>
        <v/>
      </c>
      <c r="G52" s="23">
        <f>F52*(1+$A52+(Inputs!$B$6-$A52)*(G$3-1)/9)</f>
        <v/>
      </c>
      <c r="H52" s="23">
        <f>G52*(1+$A52+(Inputs!$B$6-$A52)*(H$3-1)/9)</f>
        <v/>
      </c>
      <c r="I52" s="23">
        <f>H52*(1+$A52+(Inputs!$B$6-$A52)*(I$3-1)/9)</f>
        <v/>
      </c>
      <c r="J52" s="23">
        <f>I52*(1+$A52+(Inputs!$B$6-$A52)*(J$3-1)/9)</f>
        <v/>
      </c>
      <c r="K52" s="23">
        <f>J52*(1+$A52+(Inputs!$B$6-$A52)*(K$3-1)/9)</f>
        <v/>
      </c>
      <c r="L52" s="37">
        <f>SUMPRODUCT(B52:K52,1/(1+Inputs!$B$4)^$B$3:$K$3)+K52*(1+Inputs!$B$6)/(Inputs!$B$4-Inputs!$B$6)/(1+Inputs!$B$4)^10</f>
        <v/>
      </c>
      <c r="M52" s="37">
        <f>SUMPRODUCT(B52:K52,1/(1+Inputs!$B$5)^$B$3:$K$3)+K52*(1+Inputs!$B$6)/(Inputs!$B$5-Inputs!$B$6)/(1+Inputs!$B$5)^10</f>
        <v/>
      </c>
    </row>
    <row r="53">
      <c r="A53" s="35">
        <f>ROUND(-0.2+49*0.005,4)</f>
        <v/>
      </c>
      <c r="B53" s="23">
        <f>1*(1+$A53+(Inputs!$B$6-$A53)*(B$3-1)/9)</f>
        <v/>
      </c>
      <c r="C53" s="23">
        <f>B53*(1+$A53+(Inputs!$B$6-$A53)*(C$3-1)/9)</f>
        <v/>
      </c>
      <c r="D53" s="23">
        <f>C53*(1+$A53+(Inputs!$B$6-$A53)*(D$3-1)/9)</f>
        <v/>
      </c>
      <c r="E53" s="23">
        <f>D53*(1+$A53+(Inputs!$B$6-$A53)*(E$3-1)/9)</f>
        <v/>
      </c>
      <c r="F53" s="23">
        <f>E53*(1+$A53+(Inputs!$B$6-$A53)*(F$3-1)/9)</f>
        <v/>
      </c>
      <c r="G53" s="23">
        <f>F53*(1+$A53+(Inputs!$B$6-$A53)*(G$3-1)/9)</f>
        <v/>
      </c>
      <c r="H53" s="23">
        <f>G53*(1+$A53+(Inputs!$B$6-$A53)*(H$3-1)/9)</f>
        <v/>
      </c>
      <c r="I53" s="23">
        <f>H53*(1+$A53+(Inputs!$B$6-$A53)*(I$3-1)/9)</f>
        <v/>
      </c>
      <c r="J53" s="23">
        <f>I53*(1+$A53+(Inputs!$B$6-$A53)*(J$3-1)/9)</f>
        <v/>
      </c>
      <c r="K53" s="23">
        <f>J53*(1+$A53+(Inputs!$B$6-$A53)*(K$3-1)/9)</f>
        <v/>
      </c>
      <c r="L53" s="37">
        <f>SUMPRODUCT(B53:K53,1/(1+Inputs!$B$4)^$B$3:$K$3)+K53*(1+Inputs!$B$6)/(Inputs!$B$4-Inputs!$B$6)/(1+Inputs!$B$4)^10</f>
        <v/>
      </c>
      <c r="M53" s="37">
        <f>SUMPRODUCT(B53:K53,1/(1+Inputs!$B$5)^$B$3:$K$3)+K53*(1+Inputs!$B$6)/(Inputs!$B$5-Inputs!$B$6)/(1+Inputs!$B$5)^10</f>
        <v/>
      </c>
    </row>
    <row r="54">
      <c r="A54" s="35">
        <f>ROUND(-0.2+50*0.005,4)</f>
        <v/>
      </c>
      <c r="B54" s="23">
        <f>1*(1+$A54+(Inputs!$B$6-$A54)*(B$3-1)/9)</f>
        <v/>
      </c>
      <c r="C54" s="23">
        <f>B54*(1+$A54+(Inputs!$B$6-$A54)*(C$3-1)/9)</f>
        <v/>
      </c>
      <c r="D54" s="23">
        <f>C54*(1+$A54+(Inputs!$B$6-$A54)*(D$3-1)/9)</f>
        <v/>
      </c>
      <c r="E54" s="23">
        <f>D54*(1+$A54+(Inputs!$B$6-$A54)*(E$3-1)/9)</f>
        <v/>
      </c>
      <c r="F54" s="23">
        <f>E54*(1+$A54+(Inputs!$B$6-$A54)*(F$3-1)/9)</f>
        <v/>
      </c>
      <c r="G54" s="23">
        <f>F54*(1+$A54+(Inputs!$B$6-$A54)*(G$3-1)/9)</f>
        <v/>
      </c>
      <c r="H54" s="23">
        <f>G54*(1+$A54+(Inputs!$B$6-$A54)*(H$3-1)/9)</f>
        <v/>
      </c>
      <c r="I54" s="23">
        <f>H54*(1+$A54+(Inputs!$B$6-$A54)*(I$3-1)/9)</f>
        <v/>
      </c>
      <c r="J54" s="23">
        <f>I54*(1+$A54+(Inputs!$B$6-$A54)*(J$3-1)/9)</f>
        <v/>
      </c>
      <c r="K54" s="23">
        <f>J54*(1+$A54+(Inputs!$B$6-$A54)*(K$3-1)/9)</f>
        <v/>
      </c>
      <c r="L54" s="37">
        <f>SUMPRODUCT(B54:K54,1/(1+Inputs!$B$4)^$B$3:$K$3)+K54*(1+Inputs!$B$6)/(Inputs!$B$4-Inputs!$B$6)/(1+Inputs!$B$4)^10</f>
        <v/>
      </c>
      <c r="M54" s="37">
        <f>SUMPRODUCT(B54:K54,1/(1+Inputs!$B$5)^$B$3:$K$3)+K54*(1+Inputs!$B$6)/(Inputs!$B$5-Inputs!$B$6)/(1+Inputs!$B$5)^10</f>
        <v/>
      </c>
    </row>
    <row r="55">
      <c r="A55" s="35">
        <f>ROUND(-0.2+51*0.005,4)</f>
        <v/>
      </c>
      <c r="B55" s="23">
        <f>1*(1+$A55+(Inputs!$B$6-$A55)*(B$3-1)/9)</f>
        <v/>
      </c>
      <c r="C55" s="23">
        <f>B55*(1+$A55+(Inputs!$B$6-$A55)*(C$3-1)/9)</f>
        <v/>
      </c>
      <c r="D55" s="23">
        <f>C55*(1+$A55+(Inputs!$B$6-$A55)*(D$3-1)/9)</f>
        <v/>
      </c>
      <c r="E55" s="23">
        <f>D55*(1+$A55+(Inputs!$B$6-$A55)*(E$3-1)/9)</f>
        <v/>
      </c>
      <c r="F55" s="23">
        <f>E55*(1+$A55+(Inputs!$B$6-$A55)*(F$3-1)/9)</f>
        <v/>
      </c>
      <c r="G55" s="23">
        <f>F55*(1+$A55+(Inputs!$B$6-$A55)*(G$3-1)/9)</f>
        <v/>
      </c>
      <c r="H55" s="23">
        <f>G55*(1+$A55+(Inputs!$B$6-$A55)*(H$3-1)/9)</f>
        <v/>
      </c>
      <c r="I55" s="23">
        <f>H55*(1+$A55+(Inputs!$B$6-$A55)*(I$3-1)/9)</f>
        <v/>
      </c>
      <c r="J55" s="23">
        <f>I55*(1+$A55+(Inputs!$B$6-$A55)*(J$3-1)/9)</f>
        <v/>
      </c>
      <c r="K55" s="23">
        <f>J55*(1+$A55+(Inputs!$B$6-$A55)*(K$3-1)/9)</f>
        <v/>
      </c>
      <c r="L55" s="37">
        <f>SUMPRODUCT(B55:K55,1/(1+Inputs!$B$4)^$B$3:$K$3)+K55*(1+Inputs!$B$6)/(Inputs!$B$4-Inputs!$B$6)/(1+Inputs!$B$4)^10</f>
        <v/>
      </c>
      <c r="M55" s="37">
        <f>SUMPRODUCT(B55:K55,1/(1+Inputs!$B$5)^$B$3:$K$3)+K55*(1+Inputs!$B$6)/(Inputs!$B$5-Inputs!$B$6)/(1+Inputs!$B$5)^10</f>
        <v/>
      </c>
    </row>
    <row r="56">
      <c r="A56" s="35">
        <f>ROUND(-0.2+52*0.005,4)</f>
        <v/>
      </c>
      <c r="B56" s="23">
        <f>1*(1+$A56+(Inputs!$B$6-$A56)*(B$3-1)/9)</f>
        <v/>
      </c>
      <c r="C56" s="23">
        <f>B56*(1+$A56+(Inputs!$B$6-$A56)*(C$3-1)/9)</f>
        <v/>
      </c>
      <c r="D56" s="23">
        <f>C56*(1+$A56+(Inputs!$B$6-$A56)*(D$3-1)/9)</f>
        <v/>
      </c>
      <c r="E56" s="23">
        <f>D56*(1+$A56+(Inputs!$B$6-$A56)*(E$3-1)/9)</f>
        <v/>
      </c>
      <c r="F56" s="23">
        <f>E56*(1+$A56+(Inputs!$B$6-$A56)*(F$3-1)/9)</f>
        <v/>
      </c>
      <c r="G56" s="23">
        <f>F56*(1+$A56+(Inputs!$B$6-$A56)*(G$3-1)/9)</f>
        <v/>
      </c>
      <c r="H56" s="23">
        <f>G56*(1+$A56+(Inputs!$B$6-$A56)*(H$3-1)/9)</f>
        <v/>
      </c>
      <c r="I56" s="23">
        <f>H56*(1+$A56+(Inputs!$B$6-$A56)*(I$3-1)/9)</f>
        <v/>
      </c>
      <c r="J56" s="23">
        <f>I56*(1+$A56+(Inputs!$B$6-$A56)*(J$3-1)/9)</f>
        <v/>
      </c>
      <c r="K56" s="23">
        <f>J56*(1+$A56+(Inputs!$B$6-$A56)*(K$3-1)/9)</f>
        <v/>
      </c>
      <c r="L56" s="37">
        <f>SUMPRODUCT(B56:K56,1/(1+Inputs!$B$4)^$B$3:$K$3)+K56*(1+Inputs!$B$6)/(Inputs!$B$4-Inputs!$B$6)/(1+Inputs!$B$4)^10</f>
        <v/>
      </c>
      <c r="M56" s="37">
        <f>SUMPRODUCT(B56:K56,1/(1+Inputs!$B$5)^$B$3:$K$3)+K56*(1+Inputs!$B$6)/(Inputs!$B$5-Inputs!$B$6)/(1+Inputs!$B$5)^10</f>
        <v/>
      </c>
    </row>
    <row r="57">
      <c r="A57" s="35">
        <f>ROUND(-0.2+53*0.005,4)</f>
        <v/>
      </c>
      <c r="B57" s="23">
        <f>1*(1+$A57+(Inputs!$B$6-$A57)*(B$3-1)/9)</f>
        <v/>
      </c>
      <c r="C57" s="23">
        <f>B57*(1+$A57+(Inputs!$B$6-$A57)*(C$3-1)/9)</f>
        <v/>
      </c>
      <c r="D57" s="23">
        <f>C57*(1+$A57+(Inputs!$B$6-$A57)*(D$3-1)/9)</f>
        <v/>
      </c>
      <c r="E57" s="23">
        <f>D57*(1+$A57+(Inputs!$B$6-$A57)*(E$3-1)/9)</f>
        <v/>
      </c>
      <c r="F57" s="23">
        <f>E57*(1+$A57+(Inputs!$B$6-$A57)*(F$3-1)/9)</f>
        <v/>
      </c>
      <c r="G57" s="23">
        <f>F57*(1+$A57+(Inputs!$B$6-$A57)*(G$3-1)/9)</f>
        <v/>
      </c>
      <c r="H57" s="23">
        <f>G57*(1+$A57+(Inputs!$B$6-$A57)*(H$3-1)/9)</f>
        <v/>
      </c>
      <c r="I57" s="23">
        <f>H57*(1+$A57+(Inputs!$B$6-$A57)*(I$3-1)/9)</f>
        <v/>
      </c>
      <c r="J57" s="23">
        <f>I57*(1+$A57+(Inputs!$B$6-$A57)*(J$3-1)/9)</f>
        <v/>
      </c>
      <c r="K57" s="23">
        <f>J57*(1+$A57+(Inputs!$B$6-$A57)*(K$3-1)/9)</f>
        <v/>
      </c>
      <c r="L57" s="37">
        <f>SUMPRODUCT(B57:K57,1/(1+Inputs!$B$4)^$B$3:$K$3)+K57*(1+Inputs!$B$6)/(Inputs!$B$4-Inputs!$B$6)/(1+Inputs!$B$4)^10</f>
        <v/>
      </c>
      <c r="M57" s="37">
        <f>SUMPRODUCT(B57:K57,1/(1+Inputs!$B$5)^$B$3:$K$3)+K57*(1+Inputs!$B$6)/(Inputs!$B$5-Inputs!$B$6)/(1+Inputs!$B$5)^10</f>
        <v/>
      </c>
    </row>
    <row r="58">
      <c r="A58" s="35">
        <f>ROUND(-0.2+54*0.005,4)</f>
        <v/>
      </c>
      <c r="B58" s="23">
        <f>1*(1+$A58+(Inputs!$B$6-$A58)*(B$3-1)/9)</f>
        <v/>
      </c>
      <c r="C58" s="23">
        <f>B58*(1+$A58+(Inputs!$B$6-$A58)*(C$3-1)/9)</f>
        <v/>
      </c>
      <c r="D58" s="23">
        <f>C58*(1+$A58+(Inputs!$B$6-$A58)*(D$3-1)/9)</f>
        <v/>
      </c>
      <c r="E58" s="23">
        <f>D58*(1+$A58+(Inputs!$B$6-$A58)*(E$3-1)/9)</f>
        <v/>
      </c>
      <c r="F58" s="23">
        <f>E58*(1+$A58+(Inputs!$B$6-$A58)*(F$3-1)/9)</f>
        <v/>
      </c>
      <c r="G58" s="23">
        <f>F58*(1+$A58+(Inputs!$B$6-$A58)*(G$3-1)/9)</f>
        <v/>
      </c>
      <c r="H58" s="23">
        <f>G58*(1+$A58+(Inputs!$B$6-$A58)*(H$3-1)/9)</f>
        <v/>
      </c>
      <c r="I58" s="23">
        <f>H58*(1+$A58+(Inputs!$B$6-$A58)*(I$3-1)/9)</f>
        <v/>
      </c>
      <c r="J58" s="23">
        <f>I58*(1+$A58+(Inputs!$B$6-$A58)*(J$3-1)/9)</f>
        <v/>
      </c>
      <c r="K58" s="23">
        <f>J58*(1+$A58+(Inputs!$B$6-$A58)*(K$3-1)/9)</f>
        <v/>
      </c>
      <c r="L58" s="37">
        <f>SUMPRODUCT(B58:K58,1/(1+Inputs!$B$4)^$B$3:$K$3)+K58*(1+Inputs!$B$6)/(Inputs!$B$4-Inputs!$B$6)/(1+Inputs!$B$4)^10</f>
        <v/>
      </c>
      <c r="M58" s="37">
        <f>SUMPRODUCT(B58:K58,1/(1+Inputs!$B$5)^$B$3:$K$3)+K58*(1+Inputs!$B$6)/(Inputs!$B$5-Inputs!$B$6)/(1+Inputs!$B$5)^10</f>
        <v/>
      </c>
    </row>
    <row r="59">
      <c r="A59" s="35">
        <f>ROUND(-0.2+55*0.005,4)</f>
        <v/>
      </c>
      <c r="B59" s="23">
        <f>1*(1+$A59+(Inputs!$B$6-$A59)*(B$3-1)/9)</f>
        <v/>
      </c>
      <c r="C59" s="23">
        <f>B59*(1+$A59+(Inputs!$B$6-$A59)*(C$3-1)/9)</f>
        <v/>
      </c>
      <c r="D59" s="23">
        <f>C59*(1+$A59+(Inputs!$B$6-$A59)*(D$3-1)/9)</f>
        <v/>
      </c>
      <c r="E59" s="23">
        <f>D59*(1+$A59+(Inputs!$B$6-$A59)*(E$3-1)/9)</f>
        <v/>
      </c>
      <c r="F59" s="23">
        <f>E59*(1+$A59+(Inputs!$B$6-$A59)*(F$3-1)/9)</f>
        <v/>
      </c>
      <c r="G59" s="23">
        <f>F59*(1+$A59+(Inputs!$B$6-$A59)*(G$3-1)/9)</f>
        <v/>
      </c>
      <c r="H59" s="23">
        <f>G59*(1+$A59+(Inputs!$B$6-$A59)*(H$3-1)/9)</f>
        <v/>
      </c>
      <c r="I59" s="23">
        <f>H59*(1+$A59+(Inputs!$B$6-$A59)*(I$3-1)/9)</f>
        <v/>
      </c>
      <c r="J59" s="23">
        <f>I59*(1+$A59+(Inputs!$B$6-$A59)*(J$3-1)/9)</f>
        <v/>
      </c>
      <c r="K59" s="23">
        <f>J59*(1+$A59+(Inputs!$B$6-$A59)*(K$3-1)/9)</f>
        <v/>
      </c>
      <c r="L59" s="37">
        <f>SUMPRODUCT(B59:K59,1/(1+Inputs!$B$4)^$B$3:$K$3)+K59*(1+Inputs!$B$6)/(Inputs!$B$4-Inputs!$B$6)/(1+Inputs!$B$4)^10</f>
        <v/>
      </c>
      <c r="M59" s="37">
        <f>SUMPRODUCT(B59:K59,1/(1+Inputs!$B$5)^$B$3:$K$3)+K59*(1+Inputs!$B$6)/(Inputs!$B$5-Inputs!$B$6)/(1+Inputs!$B$5)^10</f>
        <v/>
      </c>
    </row>
    <row r="60">
      <c r="A60" s="35">
        <f>ROUND(-0.2+56*0.005,4)</f>
        <v/>
      </c>
      <c r="B60" s="23">
        <f>1*(1+$A60+(Inputs!$B$6-$A60)*(B$3-1)/9)</f>
        <v/>
      </c>
      <c r="C60" s="23">
        <f>B60*(1+$A60+(Inputs!$B$6-$A60)*(C$3-1)/9)</f>
        <v/>
      </c>
      <c r="D60" s="23">
        <f>C60*(1+$A60+(Inputs!$B$6-$A60)*(D$3-1)/9)</f>
        <v/>
      </c>
      <c r="E60" s="23">
        <f>D60*(1+$A60+(Inputs!$B$6-$A60)*(E$3-1)/9)</f>
        <v/>
      </c>
      <c r="F60" s="23">
        <f>E60*(1+$A60+(Inputs!$B$6-$A60)*(F$3-1)/9)</f>
        <v/>
      </c>
      <c r="G60" s="23">
        <f>F60*(1+$A60+(Inputs!$B$6-$A60)*(G$3-1)/9)</f>
        <v/>
      </c>
      <c r="H60" s="23">
        <f>G60*(1+$A60+(Inputs!$B$6-$A60)*(H$3-1)/9)</f>
        <v/>
      </c>
      <c r="I60" s="23">
        <f>H60*(1+$A60+(Inputs!$B$6-$A60)*(I$3-1)/9)</f>
        <v/>
      </c>
      <c r="J60" s="23">
        <f>I60*(1+$A60+(Inputs!$B$6-$A60)*(J$3-1)/9)</f>
        <v/>
      </c>
      <c r="K60" s="23">
        <f>J60*(1+$A60+(Inputs!$B$6-$A60)*(K$3-1)/9)</f>
        <v/>
      </c>
      <c r="L60" s="37">
        <f>SUMPRODUCT(B60:K60,1/(1+Inputs!$B$4)^$B$3:$K$3)+K60*(1+Inputs!$B$6)/(Inputs!$B$4-Inputs!$B$6)/(1+Inputs!$B$4)^10</f>
        <v/>
      </c>
      <c r="M60" s="37">
        <f>SUMPRODUCT(B60:K60,1/(1+Inputs!$B$5)^$B$3:$K$3)+K60*(1+Inputs!$B$6)/(Inputs!$B$5-Inputs!$B$6)/(1+Inputs!$B$5)^10</f>
        <v/>
      </c>
    </row>
    <row r="61">
      <c r="A61" s="35">
        <f>ROUND(-0.2+57*0.005,4)</f>
        <v/>
      </c>
      <c r="B61" s="23">
        <f>1*(1+$A61+(Inputs!$B$6-$A61)*(B$3-1)/9)</f>
        <v/>
      </c>
      <c r="C61" s="23">
        <f>B61*(1+$A61+(Inputs!$B$6-$A61)*(C$3-1)/9)</f>
        <v/>
      </c>
      <c r="D61" s="23">
        <f>C61*(1+$A61+(Inputs!$B$6-$A61)*(D$3-1)/9)</f>
        <v/>
      </c>
      <c r="E61" s="23">
        <f>D61*(1+$A61+(Inputs!$B$6-$A61)*(E$3-1)/9)</f>
        <v/>
      </c>
      <c r="F61" s="23">
        <f>E61*(1+$A61+(Inputs!$B$6-$A61)*(F$3-1)/9)</f>
        <v/>
      </c>
      <c r="G61" s="23">
        <f>F61*(1+$A61+(Inputs!$B$6-$A61)*(G$3-1)/9)</f>
        <v/>
      </c>
      <c r="H61" s="23">
        <f>G61*(1+$A61+(Inputs!$B$6-$A61)*(H$3-1)/9)</f>
        <v/>
      </c>
      <c r="I61" s="23">
        <f>H61*(1+$A61+(Inputs!$B$6-$A61)*(I$3-1)/9)</f>
        <v/>
      </c>
      <c r="J61" s="23">
        <f>I61*(1+$A61+(Inputs!$B$6-$A61)*(J$3-1)/9)</f>
        <v/>
      </c>
      <c r="K61" s="23">
        <f>J61*(1+$A61+(Inputs!$B$6-$A61)*(K$3-1)/9)</f>
        <v/>
      </c>
      <c r="L61" s="37">
        <f>SUMPRODUCT(B61:K61,1/(1+Inputs!$B$4)^$B$3:$K$3)+K61*(1+Inputs!$B$6)/(Inputs!$B$4-Inputs!$B$6)/(1+Inputs!$B$4)^10</f>
        <v/>
      </c>
      <c r="M61" s="37">
        <f>SUMPRODUCT(B61:K61,1/(1+Inputs!$B$5)^$B$3:$K$3)+K61*(1+Inputs!$B$6)/(Inputs!$B$5-Inputs!$B$6)/(1+Inputs!$B$5)^10</f>
        <v/>
      </c>
    </row>
    <row r="62">
      <c r="A62" s="35">
        <f>ROUND(-0.2+58*0.005,4)</f>
        <v/>
      </c>
      <c r="B62" s="23">
        <f>1*(1+$A62+(Inputs!$B$6-$A62)*(B$3-1)/9)</f>
        <v/>
      </c>
      <c r="C62" s="23">
        <f>B62*(1+$A62+(Inputs!$B$6-$A62)*(C$3-1)/9)</f>
        <v/>
      </c>
      <c r="D62" s="23">
        <f>C62*(1+$A62+(Inputs!$B$6-$A62)*(D$3-1)/9)</f>
        <v/>
      </c>
      <c r="E62" s="23">
        <f>D62*(1+$A62+(Inputs!$B$6-$A62)*(E$3-1)/9)</f>
        <v/>
      </c>
      <c r="F62" s="23">
        <f>E62*(1+$A62+(Inputs!$B$6-$A62)*(F$3-1)/9)</f>
        <v/>
      </c>
      <c r="G62" s="23">
        <f>F62*(1+$A62+(Inputs!$B$6-$A62)*(G$3-1)/9)</f>
        <v/>
      </c>
      <c r="H62" s="23">
        <f>G62*(1+$A62+(Inputs!$B$6-$A62)*(H$3-1)/9)</f>
        <v/>
      </c>
      <c r="I62" s="23">
        <f>H62*(1+$A62+(Inputs!$B$6-$A62)*(I$3-1)/9)</f>
        <v/>
      </c>
      <c r="J62" s="23">
        <f>I62*(1+$A62+(Inputs!$B$6-$A62)*(J$3-1)/9)</f>
        <v/>
      </c>
      <c r="K62" s="23">
        <f>J62*(1+$A62+(Inputs!$B$6-$A62)*(K$3-1)/9)</f>
        <v/>
      </c>
      <c r="L62" s="37">
        <f>SUMPRODUCT(B62:K62,1/(1+Inputs!$B$4)^$B$3:$K$3)+K62*(1+Inputs!$B$6)/(Inputs!$B$4-Inputs!$B$6)/(1+Inputs!$B$4)^10</f>
        <v/>
      </c>
      <c r="M62" s="37">
        <f>SUMPRODUCT(B62:K62,1/(1+Inputs!$B$5)^$B$3:$K$3)+K62*(1+Inputs!$B$6)/(Inputs!$B$5-Inputs!$B$6)/(1+Inputs!$B$5)^10</f>
        <v/>
      </c>
    </row>
    <row r="63">
      <c r="A63" s="35">
        <f>ROUND(-0.2+59*0.005,4)</f>
        <v/>
      </c>
      <c r="B63" s="23">
        <f>1*(1+$A63+(Inputs!$B$6-$A63)*(B$3-1)/9)</f>
        <v/>
      </c>
      <c r="C63" s="23">
        <f>B63*(1+$A63+(Inputs!$B$6-$A63)*(C$3-1)/9)</f>
        <v/>
      </c>
      <c r="D63" s="23">
        <f>C63*(1+$A63+(Inputs!$B$6-$A63)*(D$3-1)/9)</f>
        <v/>
      </c>
      <c r="E63" s="23">
        <f>D63*(1+$A63+(Inputs!$B$6-$A63)*(E$3-1)/9)</f>
        <v/>
      </c>
      <c r="F63" s="23">
        <f>E63*(1+$A63+(Inputs!$B$6-$A63)*(F$3-1)/9)</f>
        <v/>
      </c>
      <c r="G63" s="23">
        <f>F63*(1+$A63+(Inputs!$B$6-$A63)*(G$3-1)/9)</f>
        <v/>
      </c>
      <c r="H63" s="23">
        <f>G63*(1+$A63+(Inputs!$B$6-$A63)*(H$3-1)/9)</f>
        <v/>
      </c>
      <c r="I63" s="23">
        <f>H63*(1+$A63+(Inputs!$B$6-$A63)*(I$3-1)/9)</f>
        <v/>
      </c>
      <c r="J63" s="23">
        <f>I63*(1+$A63+(Inputs!$B$6-$A63)*(J$3-1)/9)</f>
        <v/>
      </c>
      <c r="K63" s="23">
        <f>J63*(1+$A63+(Inputs!$B$6-$A63)*(K$3-1)/9)</f>
        <v/>
      </c>
      <c r="L63" s="37">
        <f>SUMPRODUCT(B63:K63,1/(1+Inputs!$B$4)^$B$3:$K$3)+K63*(1+Inputs!$B$6)/(Inputs!$B$4-Inputs!$B$6)/(1+Inputs!$B$4)^10</f>
        <v/>
      </c>
      <c r="M63" s="37">
        <f>SUMPRODUCT(B63:K63,1/(1+Inputs!$B$5)^$B$3:$K$3)+K63*(1+Inputs!$B$6)/(Inputs!$B$5-Inputs!$B$6)/(1+Inputs!$B$5)^10</f>
        <v/>
      </c>
    </row>
    <row r="64">
      <c r="A64" s="35">
        <f>ROUND(-0.2+60*0.005,4)</f>
        <v/>
      </c>
      <c r="B64" s="23">
        <f>1*(1+$A64+(Inputs!$B$6-$A64)*(B$3-1)/9)</f>
        <v/>
      </c>
      <c r="C64" s="23">
        <f>B64*(1+$A64+(Inputs!$B$6-$A64)*(C$3-1)/9)</f>
        <v/>
      </c>
      <c r="D64" s="23">
        <f>C64*(1+$A64+(Inputs!$B$6-$A64)*(D$3-1)/9)</f>
        <v/>
      </c>
      <c r="E64" s="23">
        <f>D64*(1+$A64+(Inputs!$B$6-$A64)*(E$3-1)/9)</f>
        <v/>
      </c>
      <c r="F64" s="23">
        <f>E64*(1+$A64+(Inputs!$B$6-$A64)*(F$3-1)/9)</f>
        <v/>
      </c>
      <c r="G64" s="23">
        <f>F64*(1+$A64+(Inputs!$B$6-$A64)*(G$3-1)/9)</f>
        <v/>
      </c>
      <c r="H64" s="23">
        <f>G64*(1+$A64+(Inputs!$B$6-$A64)*(H$3-1)/9)</f>
        <v/>
      </c>
      <c r="I64" s="23">
        <f>H64*(1+$A64+(Inputs!$B$6-$A64)*(I$3-1)/9)</f>
        <v/>
      </c>
      <c r="J64" s="23">
        <f>I64*(1+$A64+(Inputs!$B$6-$A64)*(J$3-1)/9)</f>
        <v/>
      </c>
      <c r="K64" s="23">
        <f>J64*(1+$A64+(Inputs!$B$6-$A64)*(K$3-1)/9)</f>
        <v/>
      </c>
      <c r="L64" s="37">
        <f>SUMPRODUCT(B64:K64,1/(1+Inputs!$B$4)^$B$3:$K$3)+K64*(1+Inputs!$B$6)/(Inputs!$B$4-Inputs!$B$6)/(1+Inputs!$B$4)^10</f>
        <v/>
      </c>
      <c r="M64" s="37">
        <f>SUMPRODUCT(B64:K64,1/(1+Inputs!$B$5)^$B$3:$K$3)+K64*(1+Inputs!$B$6)/(Inputs!$B$5-Inputs!$B$6)/(1+Inputs!$B$5)^10</f>
        <v/>
      </c>
    </row>
    <row r="65">
      <c r="A65" s="35">
        <f>ROUND(-0.2+61*0.005,4)</f>
        <v/>
      </c>
      <c r="B65" s="23">
        <f>1*(1+$A65+(Inputs!$B$6-$A65)*(B$3-1)/9)</f>
        <v/>
      </c>
      <c r="C65" s="23">
        <f>B65*(1+$A65+(Inputs!$B$6-$A65)*(C$3-1)/9)</f>
        <v/>
      </c>
      <c r="D65" s="23">
        <f>C65*(1+$A65+(Inputs!$B$6-$A65)*(D$3-1)/9)</f>
        <v/>
      </c>
      <c r="E65" s="23">
        <f>D65*(1+$A65+(Inputs!$B$6-$A65)*(E$3-1)/9)</f>
        <v/>
      </c>
      <c r="F65" s="23">
        <f>E65*(1+$A65+(Inputs!$B$6-$A65)*(F$3-1)/9)</f>
        <v/>
      </c>
      <c r="G65" s="23">
        <f>F65*(1+$A65+(Inputs!$B$6-$A65)*(G$3-1)/9)</f>
        <v/>
      </c>
      <c r="H65" s="23">
        <f>G65*(1+$A65+(Inputs!$B$6-$A65)*(H$3-1)/9)</f>
        <v/>
      </c>
      <c r="I65" s="23">
        <f>H65*(1+$A65+(Inputs!$B$6-$A65)*(I$3-1)/9)</f>
        <v/>
      </c>
      <c r="J65" s="23">
        <f>I65*(1+$A65+(Inputs!$B$6-$A65)*(J$3-1)/9)</f>
        <v/>
      </c>
      <c r="K65" s="23">
        <f>J65*(1+$A65+(Inputs!$B$6-$A65)*(K$3-1)/9)</f>
        <v/>
      </c>
      <c r="L65" s="37">
        <f>SUMPRODUCT(B65:K65,1/(1+Inputs!$B$4)^$B$3:$K$3)+K65*(1+Inputs!$B$6)/(Inputs!$B$4-Inputs!$B$6)/(1+Inputs!$B$4)^10</f>
        <v/>
      </c>
      <c r="M65" s="37">
        <f>SUMPRODUCT(B65:K65,1/(1+Inputs!$B$5)^$B$3:$K$3)+K65*(1+Inputs!$B$6)/(Inputs!$B$5-Inputs!$B$6)/(1+Inputs!$B$5)^10</f>
        <v/>
      </c>
    </row>
    <row r="66">
      <c r="A66" s="35">
        <f>ROUND(-0.2+62*0.005,4)</f>
        <v/>
      </c>
      <c r="B66" s="23">
        <f>1*(1+$A66+(Inputs!$B$6-$A66)*(B$3-1)/9)</f>
        <v/>
      </c>
      <c r="C66" s="23">
        <f>B66*(1+$A66+(Inputs!$B$6-$A66)*(C$3-1)/9)</f>
        <v/>
      </c>
      <c r="D66" s="23">
        <f>C66*(1+$A66+(Inputs!$B$6-$A66)*(D$3-1)/9)</f>
        <v/>
      </c>
      <c r="E66" s="23">
        <f>D66*(1+$A66+(Inputs!$B$6-$A66)*(E$3-1)/9)</f>
        <v/>
      </c>
      <c r="F66" s="23">
        <f>E66*(1+$A66+(Inputs!$B$6-$A66)*(F$3-1)/9)</f>
        <v/>
      </c>
      <c r="G66" s="23">
        <f>F66*(1+$A66+(Inputs!$B$6-$A66)*(G$3-1)/9)</f>
        <v/>
      </c>
      <c r="H66" s="23">
        <f>G66*(1+$A66+(Inputs!$B$6-$A66)*(H$3-1)/9)</f>
        <v/>
      </c>
      <c r="I66" s="23">
        <f>H66*(1+$A66+(Inputs!$B$6-$A66)*(I$3-1)/9)</f>
        <v/>
      </c>
      <c r="J66" s="23">
        <f>I66*(1+$A66+(Inputs!$B$6-$A66)*(J$3-1)/9)</f>
        <v/>
      </c>
      <c r="K66" s="23">
        <f>J66*(1+$A66+(Inputs!$B$6-$A66)*(K$3-1)/9)</f>
        <v/>
      </c>
      <c r="L66" s="37">
        <f>SUMPRODUCT(B66:K66,1/(1+Inputs!$B$4)^$B$3:$K$3)+K66*(1+Inputs!$B$6)/(Inputs!$B$4-Inputs!$B$6)/(1+Inputs!$B$4)^10</f>
        <v/>
      </c>
      <c r="M66" s="37">
        <f>SUMPRODUCT(B66:K66,1/(1+Inputs!$B$5)^$B$3:$K$3)+K66*(1+Inputs!$B$6)/(Inputs!$B$5-Inputs!$B$6)/(1+Inputs!$B$5)^10</f>
        <v/>
      </c>
    </row>
    <row r="67">
      <c r="A67" s="35">
        <f>ROUND(-0.2+63*0.005,4)</f>
        <v/>
      </c>
      <c r="B67" s="23">
        <f>1*(1+$A67+(Inputs!$B$6-$A67)*(B$3-1)/9)</f>
        <v/>
      </c>
      <c r="C67" s="23">
        <f>B67*(1+$A67+(Inputs!$B$6-$A67)*(C$3-1)/9)</f>
        <v/>
      </c>
      <c r="D67" s="23">
        <f>C67*(1+$A67+(Inputs!$B$6-$A67)*(D$3-1)/9)</f>
        <v/>
      </c>
      <c r="E67" s="23">
        <f>D67*(1+$A67+(Inputs!$B$6-$A67)*(E$3-1)/9)</f>
        <v/>
      </c>
      <c r="F67" s="23">
        <f>E67*(1+$A67+(Inputs!$B$6-$A67)*(F$3-1)/9)</f>
        <v/>
      </c>
      <c r="G67" s="23">
        <f>F67*(1+$A67+(Inputs!$B$6-$A67)*(G$3-1)/9)</f>
        <v/>
      </c>
      <c r="H67" s="23">
        <f>G67*(1+$A67+(Inputs!$B$6-$A67)*(H$3-1)/9)</f>
        <v/>
      </c>
      <c r="I67" s="23">
        <f>H67*(1+$A67+(Inputs!$B$6-$A67)*(I$3-1)/9)</f>
        <v/>
      </c>
      <c r="J67" s="23">
        <f>I67*(1+$A67+(Inputs!$B$6-$A67)*(J$3-1)/9)</f>
        <v/>
      </c>
      <c r="K67" s="23">
        <f>J67*(1+$A67+(Inputs!$B$6-$A67)*(K$3-1)/9)</f>
        <v/>
      </c>
      <c r="L67" s="37">
        <f>SUMPRODUCT(B67:K67,1/(1+Inputs!$B$4)^$B$3:$K$3)+K67*(1+Inputs!$B$6)/(Inputs!$B$4-Inputs!$B$6)/(1+Inputs!$B$4)^10</f>
        <v/>
      </c>
      <c r="M67" s="37">
        <f>SUMPRODUCT(B67:K67,1/(1+Inputs!$B$5)^$B$3:$K$3)+K67*(1+Inputs!$B$6)/(Inputs!$B$5-Inputs!$B$6)/(1+Inputs!$B$5)^10</f>
        <v/>
      </c>
    </row>
    <row r="68">
      <c r="A68" s="35">
        <f>ROUND(-0.2+64*0.005,4)</f>
        <v/>
      </c>
      <c r="B68" s="23">
        <f>1*(1+$A68+(Inputs!$B$6-$A68)*(B$3-1)/9)</f>
        <v/>
      </c>
      <c r="C68" s="23">
        <f>B68*(1+$A68+(Inputs!$B$6-$A68)*(C$3-1)/9)</f>
        <v/>
      </c>
      <c r="D68" s="23">
        <f>C68*(1+$A68+(Inputs!$B$6-$A68)*(D$3-1)/9)</f>
        <v/>
      </c>
      <c r="E68" s="23">
        <f>D68*(1+$A68+(Inputs!$B$6-$A68)*(E$3-1)/9)</f>
        <v/>
      </c>
      <c r="F68" s="23">
        <f>E68*(1+$A68+(Inputs!$B$6-$A68)*(F$3-1)/9)</f>
        <v/>
      </c>
      <c r="G68" s="23">
        <f>F68*(1+$A68+(Inputs!$B$6-$A68)*(G$3-1)/9)</f>
        <v/>
      </c>
      <c r="H68" s="23">
        <f>G68*(1+$A68+(Inputs!$B$6-$A68)*(H$3-1)/9)</f>
        <v/>
      </c>
      <c r="I68" s="23">
        <f>H68*(1+$A68+(Inputs!$B$6-$A68)*(I$3-1)/9)</f>
        <v/>
      </c>
      <c r="J68" s="23">
        <f>I68*(1+$A68+(Inputs!$B$6-$A68)*(J$3-1)/9)</f>
        <v/>
      </c>
      <c r="K68" s="23">
        <f>J68*(1+$A68+(Inputs!$B$6-$A68)*(K$3-1)/9)</f>
        <v/>
      </c>
      <c r="L68" s="37">
        <f>SUMPRODUCT(B68:K68,1/(1+Inputs!$B$4)^$B$3:$K$3)+K68*(1+Inputs!$B$6)/(Inputs!$B$4-Inputs!$B$6)/(1+Inputs!$B$4)^10</f>
        <v/>
      </c>
      <c r="M68" s="37">
        <f>SUMPRODUCT(B68:K68,1/(1+Inputs!$B$5)^$B$3:$K$3)+K68*(1+Inputs!$B$6)/(Inputs!$B$5-Inputs!$B$6)/(1+Inputs!$B$5)^10</f>
        <v/>
      </c>
    </row>
    <row r="69">
      <c r="A69" s="35">
        <f>ROUND(-0.2+65*0.005,4)</f>
        <v/>
      </c>
      <c r="B69" s="23">
        <f>1*(1+$A69+(Inputs!$B$6-$A69)*(B$3-1)/9)</f>
        <v/>
      </c>
      <c r="C69" s="23">
        <f>B69*(1+$A69+(Inputs!$B$6-$A69)*(C$3-1)/9)</f>
        <v/>
      </c>
      <c r="D69" s="23">
        <f>C69*(1+$A69+(Inputs!$B$6-$A69)*(D$3-1)/9)</f>
        <v/>
      </c>
      <c r="E69" s="23">
        <f>D69*(1+$A69+(Inputs!$B$6-$A69)*(E$3-1)/9)</f>
        <v/>
      </c>
      <c r="F69" s="23">
        <f>E69*(1+$A69+(Inputs!$B$6-$A69)*(F$3-1)/9)</f>
        <v/>
      </c>
      <c r="G69" s="23">
        <f>F69*(1+$A69+(Inputs!$B$6-$A69)*(G$3-1)/9)</f>
        <v/>
      </c>
      <c r="H69" s="23">
        <f>G69*(1+$A69+(Inputs!$B$6-$A69)*(H$3-1)/9)</f>
        <v/>
      </c>
      <c r="I69" s="23">
        <f>H69*(1+$A69+(Inputs!$B$6-$A69)*(I$3-1)/9)</f>
        <v/>
      </c>
      <c r="J69" s="23">
        <f>I69*(1+$A69+(Inputs!$B$6-$A69)*(J$3-1)/9)</f>
        <v/>
      </c>
      <c r="K69" s="23">
        <f>J69*(1+$A69+(Inputs!$B$6-$A69)*(K$3-1)/9)</f>
        <v/>
      </c>
      <c r="L69" s="37">
        <f>SUMPRODUCT(B69:K69,1/(1+Inputs!$B$4)^$B$3:$K$3)+K69*(1+Inputs!$B$6)/(Inputs!$B$4-Inputs!$B$6)/(1+Inputs!$B$4)^10</f>
        <v/>
      </c>
      <c r="M69" s="37">
        <f>SUMPRODUCT(B69:K69,1/(1+Inputs!$B$5)^$B$3:$K$3)+K69*(1+Inputs!$B$6)/(Inputs!$B$5-Inputs!$B$6)/(1+Inputs!$B$5)^10</f>
        <v/>
      </c>
    </row>
    <row r="70">
      <c r="A70" s="35">
        <f>ROUND(-0.2+66*0.005,4)</f>
        <v/>
      </c>
      <c r="B70" s="23">
        <f>1*(1+$A70+(Inputs!$B$6-$A70)*(B$3-1)/9)</f>
        <v/>
      </c>
      <c r="C70" s="23">
        <f>B70*(1+$A70+(Inputs!$B$6-$A70)*(C$3-1)/9)</f>
        <v/>
      </c>
      <c r="D70" s="23">
        <f>C70*(1+$A70+(Inputs!$B$6-$A70)*(D$3-1)/9)</f>
        <v/>
      </c>
      <c r="E70" s="23">
        <f>D70*(1+$A70+(Inputs!$B$6-$A70)*(E$3-1)/9)</f>
        <v/>
      </c>
      <c r="F70" s="23">
        <f>E70*(1+$A70+(Inputs!$B$6-$A70)*(F$3-1)/9)</f>
        <v/>
      </c>
      <c r="G70" s="23">
        <f>F70*(1+$A70+(Inputs!$B$6-$A70)*(G$3-1)/9)</f>
        <v/>
      </c>
      <c r="H70" s="23">
        <f>G70*(1+$A70+(Inputs!$B$6-$A70)*(H$3-1)/9)</f>
        <v/>
      </c>
      <c r="I70" s="23">
        <f>H70*(1+$A70+(Inputs!$B$6-$A70)*(I$3-1)/9)</f>
        <v/>
      </c>
      <c r="J70" s="23">
        <f>I70*(1+$A70+(Inputs!$B$6-$A70)*(J$3-1)/9)</f>
        <v/>
      </c>
      <c r="K70" s="23">
        <f>J70*(1+$A70+(Inputs!$B$6-$A70)*(K$3-1)/9)</f>
        <v/>
      </c>
      <c r="L70" s="37">
        <f>SUMPRODUCT(B70:K70,1/(1+Inputs!$B$4)^$B$3:$K$3)+K70*(1+Inputs!$B$6)/(Inputs!$B$4-Inputs!$B$6)/(1+Inputs!$B$4)^10</f>
        <v/>
      </c>
      <c r="M70" s="37">
        <f>SUMPRODUCT(B70:K70,1/(1+Inputs!$B$5)^$B$3:$K$3)+K70*(1+Inputs!$B$6)/(Inputs!$B$5-Inputs!$B$6)/(1+Inputs!$B$5)^10</f>
        <v/>
      </c>
    </row>
    <row r="71">
      <c r="A71" s="35">
        <f>ROUND(-0.2+67*0.005,4)</f>
        <v/>
      </c>
      <c r="B71" s="23">
        <f>1*(1+$A71+(Inputs!$B$6-$A71)*(B$3-1)/9)</f>
        <v/>
      </c>
      <c r="C71" s="23">
        <f>B71*(1+$A71+(Inputs!$B$6-$A71)*(C$3-1)/9)</f>
        <v/>
      </c>
      <c r="D71" s="23">
        <f>C71*(1+$A71+(Inputs!$B$6-$A71)*(D$3-1)/9)</f>
        <v/>
      </c>
      <c r="E71" s="23">
        <f>D71*(1+$A71+(Inputs!$B$6-$A71)*(E$3-1)/9)</f>
        <v/>
      </c>
      <c r="F71" s="23">
        <f>E71*(1+$A71+(Inputs!$B$6-$A71)*(F$3-1)/9)</f>
        <v/>
      </c>
      <c r="G71" s="23">
        <f>F71*(1+$A71+(Inputs!$B$6-$A71)*(G$3-1)/9)</f>
        <v/>
      </c>
      <c r="H71" s="23">
        <f>G71*(1+$A71+(Inputs!$B$6-$A71)*(H$3-1)/9)</f>
        <v/>
      </c>
      <c r="I71" s="23">
        <f>H71*(1+$A71+(Inputs!$B$6-$A71)*(I$3-1)/9)</f>
        <v/>
      </c>
      <c r="J71" s="23">
        <f>I71*(1+$A71+(Inputs!$B$6-$A71)*(J$3-1)/9)</f>
        <v/>
      </c>
      <c r="K71" s="23">
        <f>J71*(1+$A71+(Inputs!$B$6-$A71)*(K$3-1)/9)</f>
        <v/>
      </c>
      <c r="L71" s="37">
        <f>SUMPRODUCT(B71:K71,1/(1+Inputs!$B$4)^$B$3:$K$3)+K71*(1+Inputs!$B$6)/(Inputs!$B$4-Inputs!$B$6)/(1+Inputs!$B$4)^10</f>
        <v/>
      </c>
      <c r="M71" s="37">
        <f>SUMPRODUCT(B71:K71,1/(1+Inputs!$B$5)^$B$3:$K$3)+K71*(1+Inputs!$B$6)/(Inputs!$B$5-Inputs!$B$6)/(1+Inputs!$B$5)^10</f>
        <v/>
      </c>
    </row>
    <row r="72">
      <c r="A72" s="35">
        <f>ROUND(-0.2+68*0.005,4)</f>
        <v/>
      </c>
      <c r="B72" s="23">
        <f>1*(1+$A72+(Inputs!$B$6-$A72)*(B$3-1)/9)</f>
        <v/>
      </c>
      <c r="C72" s="23">
        <f>B72*(1+$A72+(Inputs!$B$6-$A72)*(C$3-1)/9)</f>
        <v/>
      </c>
      <c r="D72" s="23">
        <f>C72*(1+$A72+(Inputs!$B$6-$A72)*(D$3-1)/9)</f>
        <v/>
      </c>
      <c r="E72" s="23">
        <f>D72*(1+$A72+(Inputs!$B$6-$A72)*(E$3-1)/9)</f>
        <v/>
      </c>
      <c r="F72" s="23">
        <f>E72*(1+$A72+(Inputs!$B$6-$A72)*(F$3-1)/9)</f>
        <v/>
      </c>
      <c r="G72" s="23">
        <f>F72*(1+$A72+(Inputs!$B$6-$A72)*(G$3-1)/9)</f>
        <v/>
      </c>
      <c r="H72" s="23">
        <f>G72*(1+$A72+(Inputs!$B$6-$A72)*(H$3-1)/9)</f>
        <v/>
      </c>
      <c r="I72" s="23">
        <f>H72*(1+$A72+(Inputs!$B$6-$A72)*(I$3-1)/9)</f>
        <v/>
      </c>
      <c r="J72" s="23">
        <f>I72*(1+$A72+(Inputs!$B$6-$A72)*(J$3-1)/9)</f>
        <v/>
      </c>
      <c r="K72" s="23">
        <f>J72*(1+$A72+(Inputs!$B$6-$A72)*(K$3-1)/9)</f>
        <v/>
      </c>
      <c r="L72" s="37">
        <f>SUMPRODUCT(B72:K72,1/(1+Inputs!$B$4)^$B$3:$K$3)+K72*(1+Inputs!$B$6)/(Inputs!$B$4-Inputs!$B$6)/(1+Inputs!$B$4)^10</f>
        <v/>
      </c>
      <c r="M72" s="37">
        <f>SUMPRODUCT(B72:K72,1/(1+Inputs!$B$5)^$B$3:$K$3)+K72*(1+Inputs!$B$6)/(Inputs!$B$5-Inputs!$B$6)/(1+Inputs!$B$5)^10</f>
        <v/>
      </c>
    </row>
    <row r="73">
      <c r="A73" s="35">
        <f>ROUND(-0.2+69*0.005,4)</f>
        <v/>
      </c>
      <c r="B73" s="23">
        <f>1*(1+$A73+(Inputs!$B$6-$A73)*(B$3-1)/9)</f>
        <v/>
      </c>
      <c r="C73" s="23">
        <f>B73*(1+$A73+(Inputs!$B$6-$A73)*(C$3-1)/9)</f>
        <v/>
      </c>
      <c r="D73" s="23">
        <f>C73*(1+$A73+(Inputs!$B$6-$A73)*(D$3-1)/9)</f>
        <v/>
      </c>
      <c r="E73" s="23">
        <f>D73*(1+$A73+(Inputs!$B$6-$A73)*(E$3-1)/9)</f>
        <v/>
      </c>
      <c r="F73" s="23">
        <f>E73*(1+$A73+(Inputs!$B$6-$A73)*(F$3-1)/9)</f>
        <v/>
      </c>
      <c r="G73" s="23">
        <f>F73*(1+$A73+(Inputs!$B$6-$A73)*(G$3-1)/9)</f>
        <v/>
      </c>
      <c r="H73" s="23">
        <f>G73*(1+$A73+(Inputs!$B$6-$A73)*(H$3-1)/9)</f>
        <v/>
      </c>
      <c r="I73" s="23">
        <f>H73*(1+$A73+(Inputs!$B$6-$A73)*(I$3-1)/9)</f>
        <v/>
      </c>
      <c r="J73" s="23">
        <f>I73*(1+$A73+(Inputs!$B$6-$A73)*(J$3-1)/9)</f>
        <v/>
      </c>
      <c r="K73" s="23">
        <f>J73*(1+$A73+(Inputs!$B$6-$A73)*(K$3-1)/9)</f>
        <v/>
      </c>
      <c r="L73" s="37">
        <f>SUMPRODUCT(B73:K73,1/(1+Inputs!$B$4)^$B$3:$K$3)+K73*(1+Inputs!$B$6)/(Inputs!$B$4-Inputs!$B$6)/(1+Inputs!$B$4)^10</f>
        <v/>
      </c>
      <c r="M73" s="37">
        <f>SUMPRODUCT(B73:K73,1/(1+Inputs!$B$5)^$B$3:$K$3)+K73*(1+Inputs!$B$6)/(Inputs!$B$5-Inputs!$B$6)/(1+Inputs!$B$5)^10</f>
        <v/>
      </c>
    </row>
    <row r="74">
      <c r="A74" s="35">
        <f>ROUND(-0.2+70*0.005,4)</f>
        <v/>
      </c>
      <c r="B74" s="23">
        <f>1*(1+$A74+(Inputs!$B$6-$A74)*(B$3-1)/9)</f>
        <v/>
      </c>
      <c r="C74" s="23">
        <f>B74*(1+$A74+(Inputs!$B$6-$A74)*(C$3-1)/9)</f>
        <v/>
      </c>
      <c r="D74" s="23">
        <f>C74*(1+$A74+(Inputs!$B$6-$A74)*(D$3-1)/9)</f>
        <v/>
      </c>
      <c r="E74" s="23">
        <f>D74*(1+$A74+(Inputs!$B$6-$A74)*(E$3-1)/9)</f>
        <v/>
      </c>
      <c r="F74" s="23">
        <f>E74*(1+$A74+(Inputs!$B$6-$A74)*(F$3-1)/9)</f>
        <v/>
      </c>
      <c r="G74" s="23">
        <f>F74*(1+$A74+(Inputs!$B$6-$A74)*(G$3-1)/9)</f>
        <v/>
      </c>
      <c r="H74" s="23">
        <f>G74*(1+$A74+(Inputs!$B$6-$A74)*(H$3-1)/9)</f>
        <v/>
      </c>
      <c r="I74" s="23">
        <f>H74*(1+$A74+(Inputs!$B$6-$A74)*(I$3-1)/9)</f>
        <v/>
      </c>
      <c r="J74" s="23">
        <f>I74*(1+$A74+(Inputs!$B$6-$A74)*(J$3-1)/9)</f>
        <v/>
      </c>
      <c r="K74" s="23">
        <f>J74*(1+$A74+(Inputs!$B$6-$A74)*(K$3-1)/9)</f>
        <v/>
      </c>
      <c r="L74" s="37">
        <f>SUMPRODUCT(B74:K74,1/(1+Inputs!$B$4)^$B$3:$K$3)+K74*(1+Inputs!$B$6)/(Inputs!$B$4-Inputs!$B$6)/(1+Inputs!$B$4)^10</f>
        <v/>
      </c>
      <c r="M74" s="37">
        <f>SUMPRODUCT(B74:K74,1/(1+Inputs!$B$5)^$B$3:$K$3)+K74*(1+Inputs!$B$6)/(Inputs!$B$5-Inputs!$B$6)/(1+Inputs!$B$5)^10</f>
        <v/>
      </c>
    </row>
    <row r="75">
      <c r="A75" s="35">
        <f>ROUND(-0.2+71*0.005,4)</f>
        <v/>
      </c>
      <c r="B75" s="23">
        <f>1*(1+$A75+(Inputs!$B$6-$A75)*(B$3-1)/9)</f>
        <v/>
      </c>
      <c r="C75" s="23">
        <f>B75*(1+$A75+(Inputs!$B$6-$A75)*(C$3-1)/9)</f>
        <v/>
      </c>
      <c r="D75" s="23">
        <f>C75*(1+$A75+(Inputs!$B$6-$A75)*(D$3-1)/9)</f>
        <v/>
      </c>
      <c r="E75" s="23">
        <f>D75*(1+$A75+(Inputs!$B$6-$A75)*(E$3-1)/9)</f>
        <v/>
      </c>
      <c r="F75" s="23">
        <f>E75*(1+$A75+(Inputs!$B$6-$A75)*(F$3-1)/9)</f>
        <v/>
      </c>
      <c r="G75" s="23">
        <f>F75*(1+$A75+(Inputs!$B$6-$A75)*(G$3-1)/9)</f>
        <v/>
      </c>
      <c r="H75" s="23">
        <f>G75*(1+$A75+(Inputs!$B$6-$A75)*(H$3-1)/9)</f>
        <v/>
      </c>
      <c r="I75" s="23">
        <f>H75*(1+$A75+(Inputs!$B$6-$A75)*(I$3-1)/9)</f>
        <v/>
      </c>
      <c r="J75" s="23">
        <f>I75*(1+$A75+(Inputs!$B$6-$A75)*(J$3-1)/9)</f>
        <v/>
      </c>
      <c r="K75" s="23">
        <f>J75*(1+$A75+(Inputs!$B$6-$A75)*(K$3-1)/9)</f>
        <v/>
      </c>
      <c r="L75" s="37">
        <f>SUMPRODUCT(B75:K75,1/(1+Inputs!$B$4)^$B$3:$K$3)+K75*(1+Inputs!$B$6)/(Inputs!$B$4-Inputs!$B$6)/(1+Inputs!$B$4)^10</f>
        <v/>
      </c>
      <c r="M75" s="37">
        <f>SUMPRODUCT(B75:K75,1/(1+Inputs!$B$5)^$B$3:$K$3)+K75*(1+Inputs!$B$6)/(Inputs!$B$5-Inputs!$B$6)/(1+Inputs!$B$5)^10</f>
        <v/>
      </c>
    </row>
    <row r="76">
      <c r="A76" s="35">
        <f>ROUND(-0.2+72*0.005,4)</f>
        <v/>
      </c>
      <c r="B76" s="23">
        <f>1*(1+$A76+(Inputs!$B$6-$A76)*(B$3-1)/9)</f>
        <v/>
      </c>
      <c r="C76" s="23">
        <f>B76*(1+$A76+(Inputs!$B$6-$A76)*(C$3-1)/9)</f>
        <v/>
      </c>
      <c r="D76" s="23">
        <f>C76*(1+$A76+(Inputs!$B$6-$A76)*(D$3-1)/9)</f>
        <v/>
      </c>
      <c r="E76" s="23">
        <f>D76*(1+$A76+(Inputs!$B$6-$A76)*(E$3-1)/9)</f>
        <v/>
      </c>
      <c r="F76" s="23">
        <f>E76*(1+$A76+(Inputs!$B$6-$A76)*(F$3-1)/9)</f>
        <v/>
      </c>
      <c r="G76" s="23">
        <f>F76*(1+$A76+(Inputs!$B$6-$A76)*(G$3-1)/9)</f>
        <v/>
      </c>
      <c r="H76" s="23">
        <f>G76*(1+$A76+(Inputs!$B$6-$A76)*(H$3-1)/9)</f>
        <v/>
      </c>
      <c r="I76" s="23">
        <f>H76*(1+$A76+(Inputs!$B$6-$A76)*(I$3-1)/9)</f>
        <v/>
      </c>
      <c r="J76" s="23">
        <f>I76*(1+$A76+(Inputs!$B$6-$A76)*(J$3-1)/9)</f>
        <v/>
      </c>
      <c r="K76" s="23">
        <f>J76*(1+$A76+(Inputs!$B$6-$A76)*(K$3-1)/9)</f>
        <v/>
      </c>
      <c r="L76" s="37">
        <f>SUMPRODUCT(B76:K76,1/(1+Inputs!$B$4)^$B$3:$K$3)+K76*(1+Inputs!$B$6)/(Inputs!$B$4-Inputs!$B$6)/(1+Inputs!$B$4)^10</f>
        <v/>
      </c>
      <c r="M76" s="37">
        <f>SUMPRODUCT(B76:K76,1/(1+Inputs!$B$5)^$B$3:$K$3)+K76*(1+Inputs!$B$6)/(Inputs!$B$5-Inputs!$B$6)/(1+Inputs!$B$5)^10</f>
        <v/>
      </c>
    </row>
    <row r="77">
      <c r="A77" s="35">
        <f>ROUND(-0.2+73*0.005,4)</f>
        <v/>
      </c>
      <c r="B77" s="23">
        <f>1*(1+$A77+(Inputs!$B$6-$A77)*(B$3-1)/9)</f>
        <v/>
      </c>
      <c r="C77" s="23">
        <f>B77*(1+$A77+(Inputs!$B$6-$A77)*(C$3-1)/9)</f>
        <v/>
      </c>
      <c r="D77" s="23">
        <f>C77*(1+$A77+(Inputs!$B$6-$A77)*(D$3-1)/9)</f>
        <v/>
      </c>
      <c r="E77" s="23">
        <f>D77*(1+$A77+(Inputs!$B$6-$A77)*(E$3-1)/9)</f>
        <v/>
      </c>
      <c r="F77" s="23">
        <f>E77*(1+$A77+(Inputs!$B$6-$A77)*(F$3-1)/9)</f>
        <v/>
      </c>
      <c r="G77" s="23">
        <f>F77*(1+$A77+(Inputs!$B$6-$A77)*(G$3-1)/9)</f>
        <v/>
      </c>
      <c r="H77" s="23">
        <f>G77*(1+$A77+(Inputs!$B$6-$A77)*(H$3-1)/9)</f>
        <v/>
      </c>
      <c r="I77" s="23">
        <f>H77*(1+$A77+(Inputs!$B$6-$A77)*(I$3-1)/9)</f>
        <v/>
      </c>
      <c r="J77" s="23">
        <f>I77*(1+$A77+(Inputs!$B$6-$A77)*(J$3-1)/9)</f>
        <v/>
      </c>
      <c r="K77" s="23">
        <f>J77*(1+$A77+(Inputs!$B$6-$A77)*(K$3-1)/9)</f>
        <v/>
      </c>
      <c r="L77" s="37">
        <f>SUMPRODUCT(B77:K77,1/(1+Inputs!$B$4)^$B$3:$K$3)+K77*(1+Inputs!$B$6)/(Inputs!$B$4-Inputs!$B$6)/(1+Inputs!$B$4)^10</f>
        <v/>
      </c>
      <c r="M77" s="37">
        <f>SUMPRODUCT(B77:K77,1/(1+Inputs!$B$5)^$B$3:$K$3)+K77*(1+Inputs!$B$6)/(Inputs!$B$5-Inputs!$B$6)/(1+Inputs!$B$5)^10</f>
        <v/>
      </c>
    </row>
    <row r="78">
      <c r="A78" s="35">
        <f>ROUND(-0.2+74*0.005,4)</f>
        <v/>
      </c>
      <c r="B78" s="23">
        <f>1*(1+$A78+(Inputs!$B$6-$A78)*(B$3-1)/9)</f>
        <v/>
      </c>
      <c r="C78" s="23">
        <f>B78*(1+$A78+(Inputs!$B$6-$A78)*(C$3-1)/9)</f>
        <v/>
      </c>
      <c r="D78" s="23">
        <f>C78*(1+$A78+(Inputs!$B$6-$A78)*(D$3-1)/9)</f>
        <v/>
      </c>
      <c r="E78" s="23">
        <f>D78*(1+$A78+(Inputs!$B$6-$A78)*(E$3-1)/9)</f>
        <v/>
      </c>
      <c r="F78" s="23">
        <f>E78*(1+$A78+(Inputs!$B$6-$A78)*(F$3-1)/9)</f>
        <v/>
      </c>
      <c r="G78" s="23">
        <f>F78*(1+$A78+(Inputs!$B$6-$A78)*(G$3-1)/9)</f>
        <v/>
      </c>
      <c r="H78" s="23">
        <f>G78*(1+$A78+(Inputs!$B$6-$A78)*(H$3-1)/9)</f>
        <v/>
      </c>
      <c r="I78" s="23">
        <f>H78*(1+$A78+(Inputs!$B$6-$A78)*(I$3-1)/9)</f>
        <v/>
      </c>
      <c r="J78" s="23">
        <f>I78*(1+$A78+(Inputs!$B$6-$A78)*(J$3-1)/9)</f>
        <v/>
      </c>
      <c r="K78" s="23">
        <f>J78*(1+$A78+(Inputs!$B$6-$A78)*(K$3-1)/9)</f>
        <v/>
      </c>
      <c r="L78" s="37">
        <f>SUMPRODUCT(B78:K78,1/(1+Inputs!$B$4)^$B$3:$K$3)+K78*(1+Inputs!$B$6)/(Inputs!$B$4-Inputs!$B$6)/(1+Inputs!$B$4)^10</f>
        <v/>
      </c>
      <c r="M78" s="37">
        <f>SUMPRODUCT(B78:K78,1/(1+Inputs!$B$5)^$B$3:$K$3)+K78*(1+Inputs!$B$6)/(Inputs!$B$5-Inputs!$B$6)/(1+Inputs!$B$5)^10</f>
        <v/>
      </c>
    </row>
    <row r="79">
      <c r="A79" s="35">
        <f>ROUND(-0.2+75*0.005,4)</f>
        <v/>
      </c>
      <c r="B79" s="23">
        <f>1*(1+$A79+(Inputs!$B$6-$A79)*(B$3-1)/9)</f>
        <v/>
      </c>
      <c r="C79" s="23">
        <f>B79*(1+$A79+(Inputs!$B$6-$A79)*(C$3-1)/9)</f>
        <v/>
      </c>
      <c r="D79" s="23">
        <f>C79*(1+$A79+(Inputs!$B$6-$A79)*(D$3-1)/9)</f>
        <v/>
      </c>
      <c r="E79" s="23">
        <f>D79*(1+$A79+(Inputs!$B$6-$A79)*(E$3-1)/9)</f>
        <v/>
      </c>
      <c r="F79" s="23">
        <f>E79*(1+$A79+(Inputs!$B$6-$A79)*(F$3-1)/9)</f>
        <v/>
      </c>
      <c r="G79" s="23">
        <f>F79*(1+$A79+(Inputs!$B$6-$A79)*(G$3-1)/9)</f>
        <v/>
      </c>
      <c r="H79" s="23">
        <f>G79*(1+$A79+(Inputs!$B$6-$A79)*(H$3-1)/9)</f>
        <v/>
      </c>
      <c r="I79" s="23">
        <f>H79*(1+$A79+(Inputs!$B$6-$A79)*(I$3-1)/9)</f>
        <v/>
      </c>
      <c r="J79" s="23">
        <f>I79*(1+$A79+(Inputs!$B$6-$A79)*(J$3-1)/9)</f>
        <v/>
      </c>
      <c r="K79" s="23">
        <f>J79*(1+$A79+(Inputs!$B$6-$A79)*(K$3-1)/9)</f>
        <v/>
      </c>
      <c r="L79" s="37">
        <f>SUMPRODUCT(B79:K79,1/(1+Inputs!$B$4)^$B$3:$K$3)+K79*(1+Inputs!$B$6)/(Inputs!$B$4-Inputs!$B$6)/(1+Inputs!$B$4)^10</f>
        <v/>
      </c>
      <c r="M79" s="37">
        <f>SUMPRODUCT(B79:K79,1/(1+Inputs!$B$5)^$B$3:$K$3)+K79*(1+Inputs!$B$6)/(Inputs!$B$5-Inputs!$B$6)/(1+Inputs!$B$5)^10</f>
        <v/>
      </c>
    </row>
    <row r="80">
      <c r="A80" s="35">
        <f>ROUND(-0.2+76*0.005,4)</f>
        <v/>
      </c>
      <c r="B80" s="23">
        <f>1*(1+$A80+(Inputs!$B$6-$A80)*(B$3-1)/9)</f>
        <v/>
      </c>
      <c r="C80" s="23">
        <f>B80*(1+$A80+(Inputs!$B$6-$A80)*(C$3-1)/9)</f>
        <v/>
      </c>
      <c r="D80" s="23">
        <f>C80*(1+$A80+(Inputs!$B$6-$A80)*(D$3-1)/9)</f>
        <v/>
      </c>
      <c r="E80" s="23">
        <f>D80*(1+$A80+(Inputs!$B$6-$A80)*(E$3-1)/9)</f>
        <v/>
      </c>
      <c r="F80" s="23">
        <f>E80*(1+$A80+(Inputs!$B$6-$A80)*(F$3-1)/9)</f>
        <v/>
      </c>
      <c r="G80" s="23">
        <f>F80*(1+$A80+(Inputs!$B$6-$A80)*(G$3-1)/9)</f>
        <v/>
      </c>
      <c r="H80" s="23">
        <f>G80*(1+$A80+(Inputs!$B$6-$A80)*(H$3-1)/9)</f>
        <v/>
      </c>
      <c r="I80" s="23">
        <f>H80*(1+$A80+(Inputs!$B$6-$A80)*(I$3-1)/9)</f>
        <v/>
      </c>
      <c r="J80" s="23">
        <f>I80*(1+$A80+(Inputs!$B$6-$A80)*(J$3-1)/9)</f>
        <v/>
      </c>
      <c r="K80" s="23">
        <f>J80*(1+$A80+(Inputs!$B$6-$A80)*(K$3-1)/9)</f>
        <v/>
      </c>
      <c r="L80" s="37">
        <f>SUMPRODUCT(B80:K80,1/(1+Inputs!$B$4)^$B$3:$K$3)+K80*(1+Inputs!$B$6)/(Inputs!$B$4-Inputs!$B$6)/(1+Inputs!$B$4)^10</f>
        <v/>
      </c>
      <c r="M80" s="37">
        <f>SUMPRODUCT(B80:K80,1/(1+Inputs!$B$5)^$B$3:$K$3)+K80*(1+Inputs!$B$6)/(Inputs!$B$5-Inputs!$B$6)/(1+Inputs!$B$5)^10</f>
        <v/>
      </c>
    </row>
    <row r="81">
      <c r="A81" s="35">
        <f>ROUND(-0.2+77*0.005,4)</f>
        <v/>
      </c>
      <c r="B81" s="23">
        <f>1*(1+$A81+(Inputs!$B$6-$A81)*(B$3-1)/9)</f>
        <v/>
      </c>
      <c r="C81" s="23">
        <f>B81*(1+$A81+(Inputs!$B$6-$A81)*(C$3-1)/9)</f>
        <v/>
      </c>
      <c r="D81" s="23">
        <f>C81*(1+$A81+(Inputs!$B$6-$A81)*(D$3-1)/9)</f>
        <v/>
      </c>
      <c r="E81" s="23">
        <f>D81*(1+$A81+(Inputs!$B$6-$A81)*(E$3-1)/9)</f>
        <v/>
      </c>
      <c r="F81" s="23">
        <f>E81*(1+$A81+(Inputs!$B$6-$A81)*(F$3-1)/9)</f>
        <v/>
      </c>
      <c r="G81" s="23">
        <f>F81*(1+$A81+(Inputs!$B$6-$A81)*(G$3-1)/9)</f>
        <v/>
      </c>
      <c r="H81" s="23">
        <f>G81*(1+$A81+(Inputs!$B$6-$A81)*(H$3-1)/9)</f>
        <v/>
      </c>
      <c r="I81" s="23">
        <f>H81*(1+$A81+(Inputs!$B$6-$A81)*(I$3-1)/9)</f>
        <v/>
      </c>
      <c r="J81" s="23">
        <f>I81*(1+$A81+(Inputs!$B$6-$A81)*(J$3-1)/9)</f>
        <v/>
      </c>
      <c r="K81" s="23">
        <f>J81*(1+$A81+(Inputs!$B$6-$A81)*(K$3-1)/9)</f>
        <v/>
      </c>
      <c r="L81" s="37">
        <f>SUMPRODUCT(B81:K81,1/(1+Inputs!$B$4)^$B$3:$K$3)+K81*(1+Inputs!$B$6)/(Inputs!$B$4-Inputs!$B$6)/(1+Inputs!$B$4)^10</f>
        <v/>
      </c>
      <c r="M81" s="37">
        <f>SUMPRODUCT(B81:K81,1/(1+Inputs!$B$5)^$B$3:$K$3)+K81*(1+Inputs!$B$6)/(Inputs!$B$5-Inputs!$B$6)/(1+Inputs!$B$5)^10</f>
        <v/>
      </c>
    </row>
    <row r="82">
      <c r="A82" s="35">
        <f>ROUND(-0.2+78*0.005,4)</f>
        <v/>
      </c>
      <c r="B82" s="23">
        <f>1*(1+$A82+(Inputs!$B$6-$A82)*(B$3-1)/9)</f>
        <v/>
      </c>
      <c r="C82" s="23">
        <f>B82*(1+$A82+(Inputs!$B$6-$A82)*(C$3-1)/9)</f>
        <v/>
      </c>
      <c r="D82" s="23">
        <f>C82*(1+$A82+(Inputs!$B$6-$A82)*(D$3-1)/9)</f>
        <v/>
      </c>
      <c r="E82" s="23">
        <f>D82*(1+$A82+(Inputs!$B$6-$A82)*(E$3-1)/9)</f>
        <v/>
      </c>
      <c r="F82" s="23">
        <f>E82*(1+$A82+(Inputs!$B$6-$A82)*(F$3-1)/9)</f>
        <v/>
      </c>
      <c r="G82" s="23">
        <f>F82*(1+$A82+(Inputs!$B$6-$A82)*(G$3-1)/9)</f>
        <v/>
      </c>
      <c r="H82" s="23">
        <f>G82*(1+$A82+(Inputs!$B$6-$A82)*(H$3-1)/9)</f>
        <v/>
      </c>
      <c r="I82" s="23">
        <f>H82*(1+$A82+(Inputs!$B$6-$A82)*(I$3-1)/9)</f>
        <v/>
      </c>
      <c r="J82" s="23">
        <f>I82*(1+$A82+(Inputs!$B$6-$A82)*(J$3-1)/9)</f>
        <v/>
      </c>
      <c r="K82" s="23">
        <f>J82*(1+$A82+(Inputs!$B$6-$A82)*(K$3-1)/9)</f>
        <v/>
      </c>
      <c r="L82" s="37">
        <f>SUMPRODUCT(B82:K82,1/(1+Inputs!$B$4)^$B$3:$K$3)+K82*(1+Inputs!$B$6)/(Inputs!$B$4-Inputs!$B$6)/(1+Inputs!$B$4)^10</f>
        <v/>
      </c>
      <c r="M82" s="37">
        <f>SUMPRODUCT(B82:K82,1/(1+Inputs!$B$5)^$B$3:$K$3)+K82*(1+Inputs!$B$6)/(Inputs!$B$5-Inputs!$B$6)/(1+Inputs!$B$5)^10</f>
        <v/>
      </c>
    </row>
    <row r="83">
      <c r="A83" s="35">
        <f>ROUND(-0.2+79*0.005,4)</f>
        <v/>
      </c>
      <c r="B83" s="23">
        <f>1*(1+$A83+(Inputs!$B$6-$A83)*(B$3-1)/9)</f>
        <v/>
      </c>
      <c r="C83" s="23">
        <f>B83*(1+$A83+(Inputs!$B$6-$A83)*(C$3-1)/9)</f>
        <v/>
      </c>
      <c r="D83" s="23">
        <f>C83*(1+$A83+(Inputs!$B$6-$A83)*(D$3-1)/9)</f>
        <v/>
      </c>
      <c r="E83" s="23">
        <f>D83*(1+$A83+(Inputs!$B$6-$A83)*(E$3-1)/9)</f>
        <v/>
      </c>
      <c r="F83" s="23">
        <f>E83*(1+$A83+(Inputs!$B$6-$A83)*(F$3-1)/9)</f>
        <v/>
      </c>
      <c r="G83" s="23">
        <f>F83*(1+$A83+(Inputs!$B$6-$A83)*(G$3-1)/9)</f>
        <v/>
      </c>
      <c r="H83" s="23">
        <f>G83*(1+$A83+(Inputs!$B$6-$A83)*(H$3-1)/9)</f>
        <v/>
      </c>
      <c r="I83" s="23">
        <f>H83*(1+$A83+(Inputs!$B$6-$A83)*(I$3-1)/9)</f>
        <v/>
      </c>
      <c r="J83" s="23">
        <f>I83*(1+$A83+(Inputs!$B$6-$A83)*(J$3-1)/9)</f>
        <v/>
      </c>
      <c r="K83" s="23">
        <f>J83*(1+$A83+(Inputs!$B$6-$A83)*(K$3-1)/9)</f>
        <v/>
      </c>
      <c r="L83" s="37">
        <f>SUMPRODUCT(B83:K83,1/(1+Inputs!$B$4)^$B$3:$K$3)+K83*(1+Inputs!$B$6)/(Inputs!$B$4-Inputs!$B$6)/(1+Inputs!$B$4)^10</f>
        <v/>
      </c>
      <c r="M83" s="37">
        <f>SUMPRODUCT(B83:K83,1/(1+Inputs!$B$5)^$B$3:$K$3)+K83*(1+Inputs!$B$6)/(Inputs!$B$5-Inputs!$B$6)/(1+Inputs!$B$5)^10</f>
        <v/>
      </c>
    </row>
    <row r="84">
      <c r="A84" s="35">
        <f>ROUND(-0.2+80*0.005,4)</f>
        <v/>
      </c>
      <c r="B84" s="23">
        <f>1*(1+$A84+(Inputs!$B$6-$A84)*(B$3-1)/9)</f>
        <v/>
      </c>
      <c r="C84" s="23">
        <f>B84*(1+$A84+(Inputs!$B$6-$A84)*(C$3-1)/9)</f>
        <v/>
      </c>
      <c r="D84" s="23">
        <f>C84*(1+$A84+(Inputs!$B$6-$A84)*(D$3-1)/9)</f>
        <v/>
      </c>
      <c r="E84" s="23">
        <f>D84*(1+$A84+(Inputs!$B$6-$A84)*(E$3-1)/9)</f>
        <v/>
      </c>
      <c r="F84" s="23">
        <f>E84*(1+$A84+(Inputs!$B$6-$A84)*(F$3-1)/9)</f>
        <v/>
      </c>
      <c r="G84" s="23">
        <f>F84*(1+$A84+(Inputs!$B$6-$A84)*(G$3-1)/9)</f>
        <v/>
      </c>
      <c r="H84" s="23">
        <f>G84*(1+$A84+(Inputs!$B$6-$A84)*(H$3-1)/9)</f>
        <v/>
      </c>
      <c r="I84" s="23">
        <f>H84*(1+$A84+(Inputs!$B$6-$A84)*(I$3-1)/9)</f>
        <v/>
      </c>
      <c r="J84" s="23">
        <f>I84*(1+$A84+(Inputs!$B$6-$A84)*(J$3-1)/9)</f>
        <v/>
      </c>
      <c r="K84" s="23">
        <f>J84*(1+$A84+(Inputs!$B$6-$A84)*(K$3-1)/9)</f>
        <v/>
      </c>
      <c r="L84" s="37">
        <f>SUMPRODUCT(B84:K84,1/(1+Inputs!$B$4)^$B$3:$K$3)+K84*(1+Inputs!$B$6)/(Inputs!$B$4-Inputs!$B$6)/(1+Inputs!$B$4)^10</f>
        <v/>
      </c>
      <c r="M84" s="37">
        <f>SUMPRODUCT(B84:K84,1/(1+Inputs!$B$5)^$B$3:$K$3)+K84*(1+Inputs!$B$6)/(Inputs!$B$5-Inputs!$B$6)/(1+Inputs!$B$5)^10</f>
        <v/>
      </c>
    </row>
    <row r="85">
      <c r="A85" s="35">
        <f>ROUND(-0.2+81*0.005,4)</f>
        <v/>
      </c>
      <c r="B85" s="23">
        <f>1*(1+$A85+(Inputs!$B$6-$A85)*(B$3-1)/9)</f>
        <v/>
      </c>
      <c r="C85" s="23">
        <f>B85*(1+$A85+(Inputs!$B$6-$A85)*(C$3-1)/9)</f>
        <v/>
      </c>
      <c r="D85" s="23">
        <f>C85*(1+$A85+(Inputs!$B$6-$A85)*(D$3-1)/9)</f>
        <v/>
      </c>
      <c r="E85" s="23">
        <f>D85*(1+$A85+(Inputs!$B$6-$A85)*(E$3-1)/9)</f>
        <v/>
      </c>
      <c r="F85" s="23">
        <f>E85*(1+$A85+(Inputs!$B$6-$A85)*(F$3-1)/9)</f>
        <v/>
      </c>
      <c r="G85" s="23">
        <f>F85*(1+$A85+(Inputs!$B$6-$A85)*(G$3-1)/9)</f>
        <v/>
      </c>
      <c r="H85" s="23">
        <f>G85*(1+$A85+(Inputs!$B$6-$A85)*(H$3-1)/9)</f>
        <v/>
      </c>
      <c r="I85" s="23">
        <f>H85*(1+$A85+(Inputs!$B$6-$A85)*(I$3-1)/9)</f>
        <v/>
      </c>
      <c r="J85" s="23">
        <f>I85*(1+$A85+(Inputs!$B$6-$A85)*(J$3-1)/9)</f>
        <v/>
      </c>
      <c r="K85" s="23">
        <f>J85*(1+$A85+(Inputs!$B$6-$A85)*(K$3-1)/9)</f>
        <v/>
      </c>
      <c r="L85" s="37">
        <f>SUMPRODUCT(B85:K85,1/(1+Inputs!$B$4)^$B$3:$K$3)+K85*(1+Inputs!$B$6)/(Inputs!$B$4-Inputs!$B$6)/(1+Inputs!$B$4)^10</f>
        <v/>
      </c>
      <c r="M85" s="37">
        <f>SUMPRODUCT(B85:K85,1/(1+Inputs!$B$5)^$B$3:$K$3)+K85*(1+Inputs!$B$6)/(Inputs!$B$5-Inputs!$B$6)/(1+Inputs!$B$5)^10</f>
        <v/>
      </c>
    </row>
    <row r="86">
      <c r="A86" s="35">
        <f>ROUND(-0.2+82*0.005,4)</f>
        <v/>
      </c>
      <c r="B86" s="23">
        <f>1*(1+$A86+(Inputs!$B$6-$A86)*(B$3-1)/9)</f>
        <v/>
      </c>
      <c r="C86" s="23">
        <f>B86*(1+$A86+(Inputs!$B$6-$A86)*(C$3-1)/9)</f>
        <v/>
      </c>
      <c r="D86" s="23">
        <f>C86*(1+$A86+(Inputs!$B$6-$A86)*(D$3-1)/9)</f>
        <v/>
      </c>
      <c r="E86" s="23">
        <f>D86*(1+$A86+(Inputs!$B$6-$A86)*(E$3-1)/9)</f>
        <v/>
      </c>
      <c r="F86" s="23">
        <f>E86*(1+$A86+(Inputs!$B$6-$A86)*(F$3-1)/9)</f>
        <v/>
      </c>
      <c r="G86" s="23">
        <f>F86*(1+$A86+(Inputs!$B$6-$A86)*(G$3-1)/9)</f>
        <v/>
      </c>
      <c r="H86" s="23">
        <f>G86*(1+$A86+(Inputs!$B$6-$A86)*(H$3-1)/9)</f>
        <v/>
      </c>
      <c r="I86" s="23">
        <f>H86*(1+$A86+(Inputs!$B$6-$A86)*(I$3-1)/9)</f>
        <v/>
      </c>
      <c r="J86" s="23">
        <f>I86*(1+$A86+(Inputs!$B$6-$A86)*(J$3-1)/9)</f>
        <v/>
      </c>
      <c r="K86" s="23">
        <f>J86*(1+$A86+(Inputs!$B$6-$A86)*(K$3-1)/9)</f>
        <v/>
      </c>
      <c r="L86" s="37">
        <f>SUMPRODUCT(B86:K86,1/(1+Inputs!$B$4)^$B$3:$K$3)+K86*(1+Inputs!$B$6)/(Inputs!$B$4-Inputs!$B$6)/(1+Inputs!$B$4)^10</f>
        <v/>
      </c>
      <c r="M86" s="37">
        <f>SUMPRODUCT(B86:K86,1/(1+Inputs!$B$5)^$B$3:$K$3)+K86*(1+Inputs!$B$6)/(Inputs!$B$5-Inputs!$B$6)/(1+Inputs!$B$5)^10</f>
        <v/>
      </c>
    </row>
    <row r="87">
      <c r="A87" s="35">
        <f>ROUND(-0.2+83*0.005,4)</f>
        <v/>
      </c>
      <c r="B87" s="23">
        <f>1*(1+$A87+(Inputs!$B$6-$A87)*(B$3-1)/9)</f>
        <v/>
      </c>
      <c r="C87" s="23">
        <f>B87*(1+$A87+(Inputs!$B$6-$A87)*(C$3-1)/9)</f>
        <v/>
      </c>
      <c r="D87" s="23">
        <f>C87*(1+$A87+(Inputs!$B$6-$A87)*(D$3-1)/9)</f>
        <v/>
      </c>
      <c r="E87" s="23">
        <f>D87*(1+$A87+(Inputs!$B$6-$A87)*(E$3-1)/9)</f>
        <v/>
      </c>
      <c r="F87" s="23">
        <f>E87*(1+$A87+(Inputs!$B$6-$A87)*(F$3-1)/9)</f>
        <v/>
      </c>
      <c r="G87" s="23">
        <f>F87*(1+$A87+(Inputs!$B$6-$A87)*(G$3-1)/9)</f>
        <v/>
      </c>
      <c r="H87" s="23">
        <f>G87*(1+$A87+(Inputs!$B$6-$A87)*(H$3-1)/9)</f>
        <v/>
      </c>
      <c r="I87" s="23">
        <f>H87*(1+$A87+(Inputs!$B$6-$A87)*(I$3-1)/9)</f>
        <v/>
      </c>
      <c r="J87" s="23">
        <f>I87*(1+$A87+(Inputs!$B$6-$A87)*(J$3-1)/9)</f>
        <v/>
      </c>
      <c r="K87" s="23">
        <f>J87*(1+$A87+(Inputs!$B$6-$A87)*(K$3-1)/9)</f>
        <v/>
      </c>
      <c r="L87" s="37">
        <f>SUMPRODUCT(B87:K87,1/(1+Inputs!$B$4)^$B$3:$K$3)+K87*(1+Inputs!$B$6)/(Inputs!$B$4-Inputs!$B$6)/(1+Inputs!$B$4)^10</f>
        <v/>
      </c>
      <c r="M87" s="37">
        <f>SUMPRODUCT(B87:K87,1/(1+Inputs!$B$5)^$B$3:$K$3)+K87*(1+Inputs!$B$6)/(Inputs!$B$5-Inputs!$B$6)/(1+Inputs!$B$5)^10</f>
        <v/>
      </c>
    </row>
    <row r="88">
      <c r="A88" s="35">
        <f>ROUND(-0.2+84*0.005,4)</f>
        <v/>
      </c>
      <c r="B88" s="23">
        <f>1*(1+$A88+(Inputs!$B$6-$A88)*(B$3-1)/9)</f>
        <v/>
      </c>
      <c r="C88" s="23">
        <f>B88*(1+$A88+(Inputs!$B$6-$A88)*(C$3-1)/9)</f>
        <v/>
      </c>
      <c r="D88" s="23">
        <f>C88*(1+$A88+(Inputs!$B$6-$A88)*(D$3-1)/9)</f>
        <v/>
      </c>
      <c r="E88" s="23">
        <f>D88*(1+$A88+(Inputs!$B$6-$A88)*(E$3-1)/9)</f>
        <v/>
      </c>
      <c r="F88" s="23">
        <f>E88*(1+$A88+(Inputs!$B$6-$A88)*(F$3-1)/9)</f>
        <v/>
      </c>
      <c r="G88" s="23">
        <f>F88*(1+$A88+(Inputs!$B$6-$A88)*(G$3-1)/9)</f>
        <v/>
      </c>
      <c r="H88" s="23">
        <f>G88*(1+$A88+(Inputs!$B$6-$A88)*(H$3-1)/9)</f>
        <v/>
      </c>
      <c r="I88" s="23">
        <f>H88*(1+$A88+(Inputs!$B$6-$A88)*(I$3-1)/9)</f>
        <v/>
      </c>
      <c r="J88" s="23">
        <f>I88*(1+$A88+(Inputs!$B$6-$A88)*(J$3-1)/9)</f>
        <v/>
      </c>
      <c r="K88" s="23">
        <f>J88*(1+$A88+(Inputs!$B$6-$A88)*(K$3-1)/9)</f>
        <v/>
      </c>
      <c r="L88" s="37">
        <f>SUMPRODUCT(B88:K88,1/(1+Inputs!$B$4)^$B$3:$K$3)+K88*(1+Inputs!$B$6)/(Inputs!$B$4-Inputs!$B$6)/(1+Inputs!$B$4)^10</f>
        <v/>
      </c>
      <c r="M88" s="37">
        <f>SUMPRODUCT(B88:K88,1/(1+Inputs!$B$5)^$B$3:$K$3)+K88*(1+Inputs!$B$6)/(Inputs!$B$5-Inputs!$B$6)/(1+Inputs!$B$5)^10</f>
        <v/>
      </c>
    </row>
    <row r="89">
      <c r="A89" s="35">
        <f>ROUND(-0.2+85*0.005,4)</f>
        <v/>
      </c>
      <c r="B89" s="23">
        <f>1*(1+$A89+(Inputs!$B$6-$A89)*(B$3-1)/9)</f>
        <v/>
      </c>
      <c r="C89" s="23">
        <f>B89*(1+$A89+(Inputs!$B$6-$A89)*(C$3-1)/9)</f>
        <v/>
      </c>
      <c r="D89" s="23">
        <f>C89*(1+$A89+(Inputs!$B$6-$A89)*(D$3-1)/9)</f>
        <v/>
      </c>
      <c r="E89" s="23">
        <f>D89*(1+$A89+(Inputs!$B$6-$A89)*(E$3-1)/9)</f>
        <v/>
      </c>
      <c r="F89" s="23">
        <f>E89*(1+$A89+(Inputs!$B$6-$A89)*(F$3-1)/9)</f>
        <v/>
      </c>
      <c r="G89" s="23">
        <f>F89*(1+$A89+(Inputs!$B$6-$A89)*(G$3-1)/9)</f>
        <v/>
      </c>
      <c r="H89" s="23">
        <f>G89*(1+$A89+(Inputs!$B$6-$A89)*(H$3-1)/9)</f>
        <v/>
      </c>
      <c r="I89" s="23">
        <f>H89*(1+$A89+(Inputs!$B$6-$A89)*(I$3-1)/9)</f>
        <v/>
      </c>
      <c r="J89" s="23">
        <f>I89*(1+$A89+(Inputs!$B$6-$A89)*(J$3-1)/9)</f>
        <v/>
      </c>
      <c r="K89" s="23">
        <f>J89*(1+$A89+(Inputs!$B$6-$A89)*(K$3-1)/9)</f>
        <v/>
      </c>
      <c r="L89" s="37">
        <f>SUMPRODUCT(B89:K89,1/(1+Inputs!$B$4)^$B$3:$K$3)+K89*(1+Inputs!$B$6)/(Inputs!$B$4-Inputs!$B$6)/(1+Inputs!$B$4)^10</f>
        <v/>
      </c>
      <c r="M89" s="37">
        <f>SUMPRODUCT(B89:K89,1/(1+Inputs!$B$5)^$B$3:$K$3)+K89*(1+Inputs!$B$6)/(Inputs!$B$5-Inputs!$B$6)/(1+Inputs!$B$5)^10</f>
        <v/>
      </c>
    </row>
    <row r="90">
      <c r="A90" s="35">
        <f>ROUND(-0.2+86*0.005,4)</f>
        <v/>
      </c>
      <c r="B90" s="23">
        <f>1*(1+$A90+(Inputs!$B$6-$A90)*(B$3-1)/9)</f>
        <v/>
      </c>
      <c r="C90" s="23">
        <f>B90*(1+$A90+(Inputs!$B$6-$A90)*(C$3-1)/9)</f>
        <v/>
      </c>
      <c r="D90" s="23">
        <f>C90*(1+$A90+(Inputs!$B$6-$A90)*(D$3-1)/9)</f>
        <v/>
      </c>
      <c r="E90" s="23">
        <f>D90*(1+$A90+(Inputs!$B$6-$A90)*(E$3-1)/9)</f>
        <v/>
      </c>
      <c r="F90" s="23">
        <f>E90*(1+$A90+(Inputs!$B$6-$A90)*(F$3-1)/9)</f>
        <v/>
      </c>
      <c r="G90" s="23">
        <f>F90*(1+$A90+(Inputs!$B$6-$A90)*(G$3-1)/9)</f>
        <v/>
      </c>
      <c r="H90" s="23">
        <f>G90*(1+$A90+(Inputs!$B$6-$A90)*(H$3-1)/9)</f>
        <v/>
      </c>
      <c r="I90" s="23">
        <f>H90*(1+$A90+(Inputs!$B$6-$A90)*(I$3-1)/9)</f>
        <v/>
      </c>
      <c r="J90" s="23">
        <f>I90*(1+$A90+(Inputs!$B$6-$A90)*(J$3-1)/9)</f>
        <v/>
      </c>
      <c r="K90" s="23">
        <f>J90*(1+$A90+(Inputs!$B$6-$A90)*(K$3-1)/9)</f>
        <v/>
      </c>
      <c r="L90" s="37">
        <f>SUMPRODUCT(B90:K90,1/(1+Inputs!$B$4)^$B$3:$K$3)+K90*(1+Inputs!$B$6)/(Inputs!$B$4-Inputs!$B$6)/(1+Inputs!$B$4)^10</f>
        <v/>
      </c>
      <c r="M90" s="37">
        <f>SUMPRODUCT(B90:K90,1/(1+Inputs!$B$5)^$B$3:$K$3)+K90*(1+Inputs!$B$6)/(Inputs!$B$5-Inputs!$B$6)/(1+Inputs!$B$5)^10</f>
        <v/>
      </c>
    </row>
    <row r="91">
      <c r="A91" s="35">
        <f>ROUND(-0.2+87*0.005,4)</f>
        <v/>
      </c>
      <c r="B91" s="23">
        <f>1*(1+$A91+(Inputs!$B$6-$A91)*(B$3-1)/9)</f>
        <v/>
      </c>
      <c r="C91" s="23">
        <f>B91*(1+$A91+(Inputs!$B$6-$A91)*(C$3-1)/9)</f>
        <v/>
      </c>
      <c r="D91" s="23">
        <f>C91*(1+$A91+(Inputs!$B$6-$A91)*(D$3-1)/9)</f>
        <v/>
      </c>
      <c r="E91" s="23">
        <f>D91*(1+$A91+(Inputs!$B$6-$A91)*(E$3-1)/9)</f>
        <v/>
      </c>
      <c r="F91" s="23">
        <f>E91*(1+$A91+(Inputs!$B$6-$A91)*(F$3-1)/9)</f>
        <v/>
      </c>
      <c r="G91" s="23">
        <f>F91*(1+$A91+(Inputs!$B$6-$A91)*(G$3-1)/9)</f>
        <v/>
      </c>
      <c r="H91" s="23">
        <f>G91*(1+$A91+(Inputs!$B$6-$A91)*(H$3-1)/9)</f>
        <v/>
      </c>
      <c r="I91" s="23">
        <f>H91*(1+$A91+(Inputs!$B$6-$A91)*(I$3-1)/9)</f>
        <v/>
      </c>
      <c r="J91" s="23">
        <f>I91*(1+$A91+(Inputs!$B$6-$A91)*(J$3-1)/9)</f>
        <v/>
      </c>
      <c r="K91" s="23">
        <f>J91*(1+$A91+(Inputs!$B$6-$A91)*(K$3-1)/9)</f>
        <v/>
      </c>
      <c r="L91" s="37">
        <f>SUMPRODUCT(B91:K91,1/(1+Inputs!$B$4)^$B$3:$K$3)+K91*(1+Inputs!$B$6)/(Inputs!$B$4-Inputs!$B$6)/(1+Inputs!$B$4)^10</f>
        <v/>
      </c>
      <c r="M91" s="37">
        <f>SUMPRODUCT(B91:K91,1/(1+Inputs!$B$5)^$B$3:$K$3)+K91*(1+Inputs!$B$6)/(Inputs!$B$5-Inputs!$B$6)/(1+Inputs!$B$5)^10</f>
        <v/>
      </c>
    </row>
    <row r="92">
      <c r="A92" s="35">
        <f>ROUND(-0.2+88*0.005,4)</f>
        <v/>
      </c>
      <c r="B92" s="23">
        <f>1*(1+$A92+(Inputs!$B$6-$A92)*(B$3-1)/9)</f>
        <v/>
      </c>
      <c r="C92" s="23">
        <f>B92*(1+$A92+(Inputs!$B$6-$A92)*(C$3-1)/9)</f>
        <v/>
      </c>
      <c r="D92" s="23">
        <f>C92*(1+$A92+(Inputs!$B$6-$A92)*(D$3-1)/9)</f>
        <v/>
      </c>
      <c r="E92" s="23">
        <f>D92*(1+$A92+(Inputs!$B$6-$A92)*(E$3-1)/9)</f>
        <v/>
      </c>
      <c r="F92" s="23">
        <f>E92*(1+$A92+(Inputs!$B$6-$A92)*(F$3-1)/9)</f>
        <v/>
      </c>
      <c r="G92" s="23">
        <f>F92*(1+$A92+(Inputs!$B$6-$A92)*(G$3-1)/9)</f>
        <v/>
      </c>
      <c r="H92" s="23">
        <f>G92*(1+$A92+(Inputs!$B$6-$A92)*(H$3-1)/9)</f>
        <v/>
      </c>
      <c r="I92" s="23">
        <f>H92*(1+$A92+(Inputs!$B$6-$A92)*(I$3-1)/9)</f>
        <v/>
      </c>
      <c r="J92" s="23">
        <f>I92*(1+$A92+(Inputs!$B$6-$A92)*(J$3-1)/9)</f>
        <v/>
      </c>
      <c r="K92" s="23">
        <f>J92*(1+$A92+(Inputs!$B$6-$A92)*(K$3-1)/9)</f>
        <v/>
      </c>
      <c r="L92" s="37">
        <f>SUMPRODUCT(B92:K92,1/(1+Inputs!$B$4)^$B$3:$K$3)+K92*(1+Inputs!$B$6)/(Inputs!$B$4-Inputs!$B$6)/(1+Inputs!$B$4)^10</f>
        <v/>
      </c>
      <c r="M92" s="37">
        <f>SUMPRODUCT(B92:K92,1/(1+Inputs!$B$5)^$B$3:$K$3)+K92*(1+Inputs!$B$6)/(Inputs!$B$5-Inputs!$B$6)/(1+Inputs!$B$5)^10</f>
        <v/>
      </c>
    </row>
    <row r="93">
      <c r="A93" s="35">
        <f>ROUND(-0.2+89*0.005,4)</f>
        <v/>
      </c>
      <c r="B93" s="23">
        <f>1*(1+$A93+(Inputs!$B$6-$A93)*(B$3-1)/9)</f>
        <v/>
      </c>
      <c r="C93" s="23">
        <f>B93*(1+$A93+(Inputs!$B$6-$A93)*(C$3-1)/9)</f>
        <v/>
      </c>
      <c r="D93" s="23">
        <f>C93*(1+$A93+(Inputs!$B$6-$A93)*(D$3-1)/9)</f>
        <v/>
      </c>
      <c r="E93" s="23">
        <f>D93*(1+$A93+(Inputs!$B$6-$A93)*(E$3-1)/9)</f>
        <v/>
      </c>
      <c r="F93" s="23">
        <f>E93*(1+$A93+(Inputs!$B$6-$A93)*(F$3-1)/9)</f>
        <v/>
      </c>
      <c r="G93" s="23">
        <f>F93*(1+$A93+(Inputs!$B$6-$A93)*(G$3-1)/9)</f>
        <v/>
      </c>
      <c r="H93" s="23">
        <f>G93*(1+$A93+(Inputs!$B$6-$A93)*(H$3-1)/9)</f>
        <v/>
      </c>
      <c r="I93" s="23">
        <f>H93*(1+$A93+(Inputs!$B$6-$A93)*(I$3-1)/9)</f>
        <v/>
      </c>
      <c r="J93" s="23">
        <f>I93*(1+$A93+(Inputs!$B$6-$A93)*(J$3-1)/9)</f>
        <v/>
      </c>
      <c r="K93" s="23">
        <f>J93*(1+$A93+(Inputs!$B$6-$A93)*(K$3-1)/9)</f>
        <v/>
      </c>
      <c r="L93" s="37">
        <f>SUMPRODUCT(B93:K93,1/(1+Inputs!$B$4)^$B$3:$K$3)+K93*(1+Inputs!$B$6)/(Inputs!$B$4-Inputs!$B$6)/(1+Inputs!$B$4)^10</f>
        <v/>
      </c>
      <c r="M93" s="37">
        <f>SUMPRODUCT(B93:K93,1/(1+Inputs!$B$5)^$B$3:$K$3)+K93*(1+Inputs!$B$6)/(Inputs!$B$5-Inputs!$B$6)/(1+Inputs!$B$5)^10</f>
        <v/>
      </c>
    </row>
    <row r="94">
      <c r="A94" s="35">
        <f>ROUND(-0.2+90*0.005,4)</f>
        <v/>
      </c>
      <c r="B94" s="23">
        <f>1*(1+$A94+(Inputs!$B$6-$A94)*(B$3-1)/9)</f>
        <v/>
      </c>
      <c r="C94" s="23">
        <f>B94*(1+$A94+(Inputs!$B$6-$A94)*(C$3-1)/9)</f>
        <v/>
      </c>
      <c r="D94" s="23">
        <f>C94*(1+$A94+(Inputs!$B$6-$A94)*(D$3-1)/9)</f>
        <v/>
      </c>
      <c r="E94" s="23">
        <f>D94*(1+$A94+(Inputs!$B$6-$A94)*(E$3-1)/9)</f>
        <v/>
      </c>
      <c r="F94" s="23">
        <f>E94*(1+$A94+(Inputs!$B$6-$A94)*(F$3-1)/9)</f>
        <v/>
      </c>
      <c r="G94" s="23">
        <f>F94*(1+$A94+(Inputs!$B$6-$A94)*(G$3-1)/9)</f>
        <v/>
      </c>
      <c r="H94" s="23">
        <f>G94*(1+$A94+(Inputs!$B$6-$A94)*(H$3-1)/9)</f>
        <v/>
      </c>
      <c r="I94" s="23">
        <f>H94*(1+$A94+(Inputs!$B$6-$A94)*(I$3-1)/9)</f>
        <v/>
      </c>
      <c r="J94" s="23">
        <f>I94*(1+$A94+(Inputs!$B$6-$A94)*(J$3-1)/9)</f>
        <v/>
      </c>
      <c r="K94" s="23">
        <f>J94*(1+$A94+(Inputs!$B$6-$A94)*(K$3-1)/9)</f>
        <v/>
      </c>
      <c r="L94" s="37">
        <f>SUMPRODUCT(B94:K94,1/(1+Inputs!$B$4)^$B$3:$K$3)+K94*(1+Inputs!$B$6)/(Inputs!$B$4-Inputs!$B$6)/(1+Inputs!$B$4)^10</f>
        <v/>
      </c>
      <c r="M94" s="37">
        <f>SUMPRODUCT(B94:K94,1/(1+Inputs!$B$5)^$B$3:$K$3)+K94*(1+Inputs!$B$6)/(Inputs!$B$5-Inputs!$B$6)/(1+Inputs!$B$5)^10</f>
        <v/>
      </c>
    </row>
    <row r="95">
      <c r="A95" s="35">
        <f>ROUND(-0.2+91*0.005,4)</f>
        <v/>
      </c>
      <c r="B95" s="23">
        <f>1*(1+$A95+(Inputs!$B$6-$A95)*(B$3-1)/9)</f>
        <v/>
      </c>
      <c r="C95" s="23">
        <f>B95*(1+$A95+(Inputs!$B$6-$A95)*(C$3-1)/9)</f>
        <v/>
      </c>
      <c r="D95" s="23">
        <f>C95*(1+$A95+(Inputs!$B$6-$A95)*(D$3-1)/9)</f>
        <v/>
      </c>
      <c r="E95" s="23">
        <f>D95*(1+$A95+(Inputs!$B$6-$A95)*(E$3-1)/9)</f>
        <v/>
      </c>
      <c r="F95" s="23">
        <f>E95*(1+$A95+(Inputs!$B$6-$A95)*(F$3-1)/9)</f>
        <v/>
      </c>
      <c r="G95" s="23">
        <f>F95*(1+$A95+(Inputs!$B$6-$A95)*(G$3-1)/9)</f>
        <v/>
      </c>
      <c r="H95" s="23">
        <f>G95*(1+$A95+(Inputs!$B$6-$A95)*(H$3-1)/9)</f>
        <v/>
      </c>
      <c r="I95" s="23">
        <f>H95*(1+$A95+(Inputs!$B$6-$A95)*(I$3-1)/9)</f>
        <v/>
      </c>
      <c r="J95" s="23">
        <f>I95*(1+$A95+(Inputs!$B$6-$A95)*(J$3-1)/9)</f>
        <v/>
      </c>
      <c r="K95" s="23">
        <f>J95*(1+$A95+(Inputs!$B$6-$A95)*(K$3-1)/9)</f>
        <v/>
      </c>
      <c r="L95" s="37">
        <f>SUMPRODUCT(B95:K95,1/(1+Inputs!$B$4)^$B$3:$K$3)+K95*(1+Inputs!$B$6)/(Inputs!$B$4-Inputs!$B$6)/(1+Inputs!$B$4)^10</f>
        <v/>
      </c>
      <c r="M95" s="37">
        <f>SUMPRODUCT(B95:K95,1/(1+Inputs!$B$5)^$B$3:$K$3)+K95*(1+Inputs!$B$6)/(Inputs!$B$5-Inputs!$B$6)/(1+Inputs!$B$5)^10</f>
        <v/>
      </c>
    </row>
    <row r="96">
      <c r="A96" s="35">
        <f>ROUND(-0.2+92*0.005,4)</f>
        <v/>
      </c>
      <c r="B96" s="23">
        <f>1*(1+$A96+(Inputs!$B$6-$A96)*(B$3-1)/9)</f>
        <v/>
      </c>
      <c r="C96" s="23">
        <f>B96*(1+$A96+(Inputs!$B$6-$A96)*(C$3-1)/9)</f>
        <v/>
      </c>
      <c r="D96" s="23">
        <f>C96*(1+$A96+(Inputs!$B$6-$A96)*(D$3-1)/9)</f>
        <v/>
      </c>
      <c r="E96" s="23">
        <f>D96*(1+$A96+(Inputs!$B$6-$A96)*(E$3-1)/9)</f>
        <v/>
      </c>
      <c r="F96" s="23">
        <f>E96*(1+$A96+(Inputs!$B$6-$A96)*(F$3-1)/9)</f>
        <v/>
      </c>
      <c r="G96" s="23">
        <f>F96*(1+$A96+(Inputs!$B$6-$A96)*(G$3-1)/9)</f>
        <v/>
      </c>
      <c r="H96" s="23">
        <f>G96*(1+$A96+(Inputs!$B$6-$A96)*(H$3-1)/9)</f>
        <v/>
      </c>
      <c r="I96" s="23">
        <f>H96*(1+$A96+(Inputs!$B$6-$A96)*(I$3-1)/9)</f>
        <v/>
      </c>
      <c r="J96" s="23">
        <f>I96*(1+$A96+(Inputs!$B$6-$A96)*(J$3-1)/9)</f>
        <v/>
      </c>
      <c r="K96" s="23">
        <f>J96*(1+$A96+(Inputs!$B$6-$A96)*(K$3-1)/9)</f>
        <v/>
      </c>
      <c r="L96" s="37">
        <f>SUMPRODUCT(B96:K96,1/(1+Inputs!$B$4)^$B$3:$K$3)+K96*(1+Inputs!$B$6)/(Inputs!$B$4-Inputs!$B$6)/(1+Inputs!$B$4)^10</f>
        <v/>
      </c>
      <c r="M96" s="37">
        <f>SUMPRODUCT(B96:K96,1/(1+Inputs!$B$5)^$B$3:$K$3)+K96*(1+Inputs!$B$6)/(Inputs!$B$5-Inputs!$B$6)/(1+Inputs!$B$5)^10</f>
        <v/>
      </c>
    </row>
    <row r="97">
      <c r="A97" s="35">
        <f>ROUND(-0.2+93*0.005,4)</f>
        <v/>
      </c>
      <c r="B97" s="23">
        <f>1*(1+$A97+(Inputs!$B$6-$A97)*(B$3-1)/9)</f>
        <v/>
      </c>
      <c r="C97" s="23">
        <f>B97*(1+$A97+(Inputs!$B$6-$A97)*(C$3-1)/9)</f>
        <v/>
      </c>
      <c r="D97" s="23">
        <f>C97*(1+$A97+(Inputs!$B$6-$A97)*(D$3-1)/9)</f>
        <v/>
      </c>
      <c r="E97" s="23">
        <f>D97*(1+$A97+(Inputs!$B$6-$A97)*(E$3-1)/9)</f>
        <v/>
      </c>
      <c r="F97" s="23">
        <f>E97*(1+$A97+(Inputs!$B$6-$A97)*(F$3-1)/9)</f>
        <v/>
      </c>
      <c r="G97" s="23">
        <f>F97*(1+$A97+(Inputs!$B$6-$A97)*(G$3-1)/9)</f>
        <v/>
      </c>
      <c r="H97" s="23">
        <f>G97*(1+$A97+(Inputs!$B$6-$A97)*(H$3-1)/9)</f>
        <v/>
      </c>
      <c r="I97" s="23">
        <f>H97*(1+$A97+(Inputs!$B$6-$A97)*(I$3-1)/9)</f>
        <v/>
      </c>
      <c r="J97" s="23">
        <f>I97*(1+$A97+(Inputs!$B$6-$A97)*(J$3-1)/9)</f>
        <v/>
      </c>
      <c r="K97" s="23">
        <f>J97*(1+$A97+(Inputs!$B$6-$A97)*(K$3-1)/9)</f>
        <v/>
      </c>
      <c r="L97" s="37">
        <f>SUMPRODUCT(B97:K97,1/(1+Inputs!$B$4)^$B$3:$K$3)+K97*(1+Inputs!$B$6)/(Inputs!$B$4-Inputs!$B$6)/(1+Inputs!$B$4)^10</f>
        <v/>
      </c>
      <c r="M97" s="37">
        <f>SUMPRODUCT(B97:K97,1/(1+Inputs!$B$5)^$B$3:$K$3)+K97*(1+Inputs!$B$6)/(Inputs!$B$5-Inputs!$B$6)/(1+Inputs!$B$5)^10</f>
        <v/>
      </c>
    </row>
    <row r="98">
      <c r="A98" s="35">
        <f>ROUND(-0.2+94*0.005,4)</f>
        <v/>
      </c>
      <c r="B98" s="23">
        <f>1*(1+$A98+(Inputs!$B$6-$A98)*(B$3-1)/9)</f>
        <v/>
      </c>
      <c r="C98" s="23">
        <f>B98*(1+$A98+(Inputs!$B$6-$A98)*(C$3-1)/9)</f>
        <v/>
      </c>
      <c r="D98" s="23">
        <f>C98*(1+$A98+(Inputs!$B$6-$A98)*(D$3-1)/9)</f>
        <v/>
      </c>
      <c r="E98" s="23">
        <f>D98*(1+$A98+(Inputs!$B$6-$A98)*(E$3-1)/9)</f>
        <v/>
      </c>
      <c r="F98" s="23">
        <f>E98*(1+$A98+(Inputs!$B$6-$A98)*(F$3-1)/9)</f>
        <v/>
      </c>
      <c r="G98" s="23">
        <f>F98*(1+$A98+(Inputs!$B$6-$A98)*(G$3-1)/9)</f>
        <v/>
      </c>
      <c r="H98" s="23">
        <f>G98*(1+$A98+(Inputs!$B$6-$A98)*(H$3-1)/9)</f>
        <v/>
      </c>
      <c r="I98" s="23">
        <f>H98*(1+$A98+(Inputs!$B$6-$A98)*(I$3-1)/9)</f>
        <v/>
      </c>
      <c r="J98" s="23">
        <f>I98*(1+$A98+(Inputs!$B$6-$A98)*(J$3-1)/9)</f>
        <v/>
      </c>
      <c r="K98" s="23">
        <f>J98*(1+$A98+(Inputs!$B$6-$A98)*(K$3-1)/9)</f>
        <v/>
      </c>
      <c r="L98" s="37">
        <f>SUMPRODUCT(B98:K98,1/(1+Inputs!$B$4)^$B$3:$K$3)+K98*(1+Inputs!$B$6)/(Inputs!$B$4-Inputs!$B$6)/(1+Inputs!$B$4)^10</f>
        <v/>
      </c>
      <c r="M98" s="37">
        <f>SUMPRODUCT(B98:K98,1/(1+Inputs!$B$5)^$B$3:$K$3)+K98*(1+Inputs!$B$6)/(Inputs!$B$5-Inputs!$B$6)/(1+Inputs!$B$5)^10</f>
        <v/>
      </c>
    </row>
    <row r="99">
      <c r="A99" s="35">
        <f>ROUND(-0.2+95*0.005,4)</f>
        <v/>
      </c>
      <c r="B99" s="23">
        <f>1*(1+$A99+(Inputs!$B$6-$A99)*(B$3-1)/9)</f>
        <v/>
      </c>
      <c r="C99" s="23">
        <f>B99*(1+$A99+(Inputs!$B$6-$A99)*(C$3-1)/9)</f>
        <v/>
      </c>
      <c r="D99" s="23">
        <f>C99*(1+$A99+(Inputs!$B$6-$A99)*(D$3-1)/9)</f>
        <v/>
      </c>
      <c r="E99" s="23">
        <f>D99*(1+$A99+(Inputs!$B$6-$A99)*(E$3-1)/9)</f>
        <v/>
      </c>
      <c r="F99" s="23">
        <f>E99*(1+$A99+(Inputs!$B$6-$A99)*(F$3-1)/9)</f>
        <v/>
      </c>
      <c r="G99" s="23">
        <f>F99*(1+$A99+(Inputs!$B$6-$A99)*(G$3-1)/9)</f>
        <v/>
      </c>
      <c r="H99" s="23">
        <f>G99*(1+$A99+(Inputs!$B$6-$A99)*(H$3-1)/9)</f>
        <v/>
      </c>
      <c r="I99" s="23">
        <f>H99*(1+$A99+(Inputs!$B$6-$A99)*(I$3-1)/9)</f>
        <v/>
      </c>
      <c r="J99" s="23">
        <f>I99*(1+$A99+(Inputs!$B$6-$A99)*(J$3-1)/9)</f>
        <v/>
      </c>
      <c r="K99" s="23">
        <f>J99*(1+$A99+(Inputs!$B$6-$A99)*(K$3-1)/9)</f>
        <v/>
      </c>
      <c r="L99" s="37">
        <f>SUMPRODUCT(B99:K99,1/(1+Inputs!$B$4)^$B$3:$K$3)+K99*(1+Inputs!$B$6)/(Inputs!$B$4-Inputs!$B$6)/(1+Inputs!$B$4)^10</f>
        <v/>
      </c>
      <c r="M99" s="37">
        <f>SUMPRODUCT(B99:K99,1/(1+Inputs!$B$5)^$B$3:$K$3)+K99*(1+Inputs!$B$6)/(Inputs!$B$5-Inputs!$B$6)/(1+Inputs!$B$5)^10</f>
        <v/>
      </c>
    </row>
    <row r="100">
      <c r="A100" s="35">
        <f>ROUND(-0.2+96*0.005,4)</f>
        <v/>
      </c>
      <c r="B100" s="23">
        <f>1*(1+$A100+(Inputs!$B$6-$A100)*(B$3-1)/9)</f>
        <v/>
      </c>
      <c r="C100" s="23">
        <f>B100*(1+$A100+(Inputs!$B$6-$A100)*(C$3-1)/9)</f>
        <v/>
      </c>
      <c r="D100" s="23">
        <f>C100*(1+$A100+(Inputs!$B$6-$A100)*(D$3-1)/9)</f>
        <v/>
      </c>
      <c r="E100" s="23">
        <f>D100*(1+$A100+(Inputs!$B$6-$A100)*(E$3-1)/9)</f>
        <v/>
      </c>
      <c r="F100" s="23">
        <f>E100*(1+$A100+(Inputs!$B$6-$A100)*(F$3-1)/9)</f>
        <v/>
      </c>
      <c r="G100" s="23">
        <f>F100*(1+$A100+(Inputs!$B$6-$A100)*(G$3-1)/9)</f>
        <v/>
      </c>
      <c r="H100" s="23">
        <f>G100*(1+$A100+(Inputs!$B$6-$A100)*(H$3-1)/9)</f>
        <v/>
      </c>
      <c r="I100" s="23">
        <f>H100*(1+$A100+(Inputs!$B$6-$A100)*(I$3-1)/9)</f>
        <v/>
      </c>
      <c r="J100" s="23">
        <f>I100*(1+$A100+(Inputs!$B$6-$A100)*(J$3-1)/9)</f>
        <v/>
      </c>
      <c r="K100" s="23">
        <f>J100*(1+$A100+(Inputs!$B$6-$A100)*(K$3-1)/9)</f>
        <v/>
      </c>
      <c r="L100" s="37">
        <f>SUMPRODUCT(B100:K100,1/(1+Inputs!$B$4)^$B$3:$K$3)+K100*(1+Inputs!$B$6)/(Inputs!$B$4-Inputs!$B$6)/(1+Inputs!$B$4)^10</f>
        <v/>
      </c>
      <c r="M100" s="37">
        <f>SUMPRODUCT(B100:K100,1/(1+Inputs!$B$5)^$B$3:$K$3)+K100*(1+Inputs!$B$6)/(Inputs!$B$5-Inputs!$B$6)/(1+Inputs!$B$5)^10</f>
        <v/>
      </c>
    </row>
    <row r="101">
      <c r="A101" s="35">
        <f>ROUND(-0.2+97*0.005,4)</f>
        <v/>
      </c>
      <c r="B101" s="23">
        <f>1*(1+$A101+(Inputs!$B$6-$A101)*(B$3-1)/9)</f>
        <v/>
      </c>
      <c r="C101" s="23">
        <f>B101*(1+$A101+(Inputs!$B$6-$A101)*(C$3-1)/9)</f>
        <v/>
      </c>
      <c r="D101" s="23">
        <f>C101*(1+$A101+(Inputs!$B$6-$A101)*(D$3-1)/9)</f>
        <v/>
      </c>
      <c r="E101" s="23">
        <f>D101*(1+$A101+(Inputs!$B$6-$A101)*(E$3-1)/9)</f>
        <v/>
      </c>
      <c r="F101" s="23">
        <f>E101*(1+$A101+(Inputs!$B$6-$A101)*(F$3-1)/9)</f>
        <v/>
      </c>
      <c r="G101" s="23">
        <f>F101*(1+$A101+(Inputs!$B$6-$A101)*(G$3-1)/9)</f>
        <v/>
      </c>
      <c r="H101" s="23">
        <f>G101*(1+$A101+(Inputs!$B$6-$A101)*(H$3-1)/9)</f>
        <v/>
      </c>
      <c r="I101" s="23">
        <f>H101*(1+$A101+(Inputs!$B$6-$A101)*(I$3-1)/9)</f>
        <v/>
      </c>
      <c r="J101" s="23">
        <f>I101*(1+$A101+(Inputs!$B$6-$A101)*(J$3-1)/9)</f>
        <v/>
      </c>
      <c r="K101" s="23">
        <f>J101*(1+$A101+(Inputs!$B$6-$A101)*(K$3-1)/9)</f>
        <v/>
      </c>
      <c r="L101" s="37">
        <f>SUMPRODUCT(B101:K101,1/(1+Inputs!$B$4)^$B$3:$K$3)+K101*(1+Inputs!$B$6)/(Inputs!$B$4-Inputs!$B$6)/(1+Inputs!$B$4)^10</f>
        <v/>
      </c>
      <c r="M101" s="37">
        <f>SUMPRODUCT(B101:K101,1/(1+Inputs!$B$5)^$B$3:$K$3)+K101*(1+Inputs!$B$6)/(Inputs!$B$5-Inputs!$B$6)/(1+Inputs!$B$5)^10</f>
        <v/>
      </c>
    </row>
    <row r="102">
      <c r="A102" s="35">
        <f>ROUND(-0.2+98*0.005,4)</f>
        <v/>
      </c>
      <c r="B102" s="23">
        <f>1*(1+$A102+(Inputs!$B$6-$A102)*(B$3-1)/9)</f>
        <v/>
      </c>
      <c r="C102" s="23">
        <f>B102*(1+$A102+(Inputs!$B$6-$A102)*(C$3-1)/9)</f>
        <v/>
      </c>
      <c r="D102" s="23">
        <f>C102*(1+$A102+(Inputs!$B$6-$A102)*(D$3-1)/9)</f>
        <v/>
      </c>
      <c r="E102" s="23">
        <f>D102*(1+$A102+(Inputs!$B$6-$A102)*(E$3-1)/9)</f>
        <v/>
      </c>
      <c r="F102" s="23">
        <f>E102*(1+$A102+(Inputs!$B$6-$A102)*(F$3-1)/9)</f>
        <v/>
      </c>
      <c r="G102" s="23">
        <f>F102*(1+$A102+(Inputs!$B$6-$A102)*(G$3-1)/9)</f>
        <v/>
      </c>
      <c r="H102" s="23">
        <f>G102*(1+$A102+(Inputs!$B$6-$A102)*(H$3-1)/9)</f>
        <v/>
      </c>
      <c r="I102" s="23">
        <f>H102*(1+$A102+(Inputs!$B$6-$A102)*(I$3-1)/9)</f>
        <v/>
      </c>
      <c r="J102" s="23">
        <f>I102*(1+$A102+(Inputs!$B$6-$A102)*(J$3-1)/9)</f>
        <v/>
      </c>
      <c r="K102" s="23">
        <f>J102*(1+$A102+(Inputs!$B$6-$A102)*(K$3-1)/9)</f>
        <v/>
      </c>
      <c r="L102" s="37">
        <f>SUMPRODUCT(B102:K102,1/(1+Inputs!$B$4)^$B$3:$K$3)+K102*(1+Inputs!$B$6)/(Inputs!$B$4-Inputs!$B$6)/(1+Inputs!$B$4)^10</f>
        <v/>
      </c>
      <c r="M102" s="37">
        <f>SUMPRODUCT(B102:K102,1/(1+Inputs!$B$5)^$B$3:$K$3)+K102*(1+Inputs!$B$6)/(Inputs!$B$5-Inputs!$B$6)/(1+Inputs!$B$5)^10</f>
        <v/>
      </c>
    </row>
    <row r="103">
      <c r="A103" s="35">
        <f>ROUND(-0.2+99*0.005,4)</f>
        <v/>
      </c>
      <c r="B103" s="23">
        <f>1*(1+$A103+(Inputs!$B$6-$A103)*(B$3-1)/9)</f>
        <v/>
      </c>
      <c r="C103" s="23">
        <f>B103*(1+$A103+(Inputs!$B$6-$A103)*(C$3-1)/9)</f>
        <v/>
      </c>
      <c r="D103" s="23">
        <f>C103*(1+$A103+(Inputs!$B$6-$A103)*(D$3-1)/9)</f>
        <v/>
      </c>
      <c r="E103" s="23">
        <f>D103*(1+$A103+(Inputs!$B$6-$A103)*(E$3-1)/9)</f>
        <v/>
      </c>
      <c r="F103" s="23">
        <f>E103*(1+$A103+(Inputs!$B$6-$A103)*(F$3-1)/9)</f>
        <v/>
      </c>
      <c r="G103" s="23">
        <f>F103*(1+$A103+(Inputs!$B$6-$A103)*(G$3-1)/9)</f>
        <v/>
      </c>
      <c r="H103" s="23">
        <f>G103*(1+$A103+(Inputs!$B$6-$A103)*(H$3-1)/9)</f>
        <v/>
      </c>
      <c r="I103" s="23">
        <f>H103*(1+$A103+(Inputs!$B$6-$A103)*(I$3-1)/9)</f>
        <v/>
      </c>
      <c r="J103" s="23">
        <f>I103*(1+$A103+(Inputs!$B$6-$A103)*(J$3-1)/9)</f>
        <v/>
      </c>
      <c r="K103" s="23">
        <f>J103*(1+$A103+(Inputs!$B$6-$A103)*(K$3-1)/9)</f>
        <v/>
      </c>
      <c r="L103" s="37">
        <f>SUMPRODUCT(B103:K103,1/(1+Inputs!$B$4)^$B$3:$K$3)+K103*(1+Inputs!$B$6)/(Inputs!$B$4-Inputs!$B$6)/(1+Inputs!$B$4)^10</f>
        <v/>
      </c>
      <c r="M103" s="37">
        <f>SUMPRODUCT(B103:K103,1/(1+Inputs!$B$5)^$B$3:$K$3)+K103*(1+Inputs!$B$6)/(Inputs!$B$5-Inputs!$B$6)/(1+Inputs!$B$5)^10</f>
        <v/>
      </c>
    </row>
    <row r="104">
      <c r="A104" s="35">
        <f>ROUND(-0.2+100*0.005,4)</f>
        <v/>
      </c>
      <c r="B104" s="23">
        <f>1*(1+$A104+(Inputs!$B$6-$A104)*(B$3-1)/9)</f>
        <v/>
      </c>
      <c r="C104" s="23">
        <f>B104*(1+$A104+(Inputs!$B$6-$A104)*(C$3-1)/9)</f>
        <v/>
      </c>
      <c r="D104" s="23">
        <f>C104*(1+$A104+(Inputs!$B$6-$A104)*(D$3-1)/9)</f>
        <v/>
      </c>
      <c r="E104" s="23">
        <f>D104*(1+$A104+(Inputs!$B$6-$A104)*(E$3-1)/9)</f>
        <v/>
      </c>
      <c r="F104" s="23">
        <f>E104*(1+$A104+(Inputs!$B$6-$A104)*(F$3-1)/9)</f>
        <v/>
      </c>
      <c r="G104" s="23">
        <f>F104*(1+$A104+(Inputs!$B$6-$A104)*(G$3-1)/9)</f>
        <v/>
      </c>
      <c r="H104" s="23">
        <f>G104*(1+$A104+(Inputs!$B$6-$A104)*(H$3-1)/9)</f>
        <v/>
      </c>
      <c r="I104" s="23">
        <f>H104*(1+$A104+(Inputs!$B$6-$A104)*(I$3-1)/9)</f>
        <v/>
      </c>
      <c r="J104" s="23">
        <f>I104*(1+$A104+(Inputs!$B$6-$A104)*(J$3-1)/9)</f>
        <v/>
      </c>
      <c r="K104" s="23">
        <f>J104*(1+$A104+(Inputs!$B$6-$A104)*(K$3-1)/9)</f>
        <v/>
      </c>
      <c r="L104" s="37">
        <f>SUMPRODUCT(B104:K104,1/(1+Inputs!$B$4)^$B$3:$K$3)+K104*(1+Inputs!$B$6)/(Inputs!$B$4-Inputs!$B$6)/(1+Inputs!$B$4)^10</f>
        <v/>
      </c>
      <c r="M104" s="37">
        <f>SUMPRODUCT(B104:K104,1/(1+Inputs!$B$5)^$B$3:$K$3)+K104*(1+Inputs!$B$6)/(Inputs!$B$5-Inputs!$B$6)/(1+Inputs!$B$5)^10</f>
        <v/>
      </c>
    </row>
    <row r="105">
      <c r="A105" s="35">
        <f>ROUND(-0.2+101*0.005,4)</f>
        <v/>
      </c>
      <c r="B105" s="23">
        <f>1*(1+$A105+(Inputs!$B$6-$A105)*(B$3-1)/9)</f>
        <v/>
      </c>
      <c r="C105" s="23">
        <f>B105*(1+$A105+(Inputs!$B$6-$A105)*(C$3-1)/9)</f>
        <v/>
      </c>
      <c r="D105" s="23">
        <f>C105*(1+$A105+(Inputs!$B$6-$A105)*(D$3-1)/9)</f>
        <v/>
      </c>
      <c r="E105" s="23">
        <f>D105*(1+$A105+(Inputs!$B$6-$A105)*(E$3-1)/9)</f>
        <v/>
      </c>
      <c r="F105" s="23">
        <f>E105*(1+$A105+(Inputs!$B$6-$A105)*(F$3-1)/9)</f>
        <v/>
      </c>
      <c r="G105" s="23">
        <f>F105*(1+$A105+(Inputs!$B$6-$A105)*(G$3-1)/9)</f>
        <v/>
      </c>
      <c r="H105" s="23">
        <f>G105*(1+$A105+(Inputs!$B$6-$A105)*(H$3-1)/9)</f>
        <v/>
      </c>
      <c r="I105" s="23">
        <f>H105*(1+$A105+(Inputs!$B$6-$A105)*(I$3-1)/9)</f>
        <v/>
      </c>
      <c r="J105" s="23">
        <f>I105*(1+$A105+(Inputs!$B$6-$A105)*(J$3-1)/9)</f>
        <v/>
      </c>
      <c r="K105" s="23">
        <f>J105*(1+$A105+(Inputs!$B$6-$A105)*(K$3-1)/9)</f>
        <v/>
      </c>
      <c r="L105" s="37">
        <f>SUMPRODUCT(B105:K105,1/(1+Inputs!$B$4)^$B$3:$K$3)+K105*(1+Inputs!$B$6)/(Inputs!$B$4-Inputs!$B$6)/(1+Inputs!$B$4)^10</f>
        <v/>
      </c>
      <c r="M105" s="37">
        <f>SUMPRODUCT(B105:K105,1/(1+Inputs!$B$5)^$B$3:$K$3)+K105*(1+Inputs!$B$6)/(Inputs!$B$5-Inputs!$B$6)/(1+Inputs!$B$5)^10</f>
        <v/>
      </c>
    </row>
    <row r="106">
      <c r="A106" s="35">
        <f>ROUND(-0.2+102*0.005,4)</f>
        <v/>
      </c>
      <c r="B106" s="23">
        <f>1*(1+$A106+(Inputs!$B$6-$A106)*(B$3-1)/9)</f>
        <v/>
      </c>
      <c r="C106" s="23">
        <f>B106*(1+$A106+(Inputs!$B$6-$A106)*(C$3-1)/9)</f>
        <v/>
      </c>
      <c r="D106" s="23">
        <f>C106*(1+$A106+(Inputs!$B$6-$A106)*(D$3-1)/9)</f>
        <v/>
      </c>
      <c r="E106" s="23">
        <f>D106*(1+$A106+(Inputs!$B$6-$A106)*(E$3-1)/9)</f>
        <v/>
      </c>
      <c r="F106" s="23">
        <f>E106*(1+$A106+(Inputs!$B$6-$A106)*(F$3-1)/9)</f>
        <v/>
      </c>
      <c r="G106" s="23">
        <f>F106*(1+$A106+(Inputs!$B$6-$A106)*(G$3-1)/9)</f>
        <v/>
      </c>
      <c r="H106" s="23">
        <f>G106*(1+$A106+(Inputs!$B$6-$A106)*(H$3-1)/9)</f>
        <v/>
      </c>
      <c r="I106" s="23">
        <f>H106*(1+$A106+(Inputs!$B$6-$A106)*(I$3-1)/9)</f>
        <v/>
      </c>
      <c r="J106" s="23">
        <f>I106*(1+$A106+(Inputs!$B$6-$A106)*(J$3-1)/9)</f>
        <v/>
      </c>
      <c r="K106" s="23">
        <f>J106*(1+$A106+(Inputs!$B$6-$A106)*(K$3-1)/9)</f>
        <v/>
      </c>
      <c r="L106" s="37">
        <f>SUMPRODUCT(B106:K106,1/(1+Inputs!$B$4)^$B$3:$K$3)+K106*(1+Inputs!$B$6)/(Inputs!$B$4-Inputs!$B$6)/(1+Inputs!$B$4)^10</f>
        <v/>
      </c>
      <c r="M106" s="37">
        <f>SUMPRODUCT(B106:K106,1/(1+Inputs!$B$5)^$B$3:$K$3)+K106*(1+Inputs!$B$6)/(Inputs!$B$5-Inputs!$B$6)/(1+Inputs!$B$5)^10</f>
        <v/>
      </c>
    </row>
    <row r="107">
      <c r="A107" s="35">
        <f>ROUND(-0.2+103*0.005,4)</f>
        <v/>
      </c>
      <c r="B107" s="23">
        <f>1*(1+$A107+(Inputs!$B$6-$A107)*(B$3-1)/9)</f>
        <v/>
      </c>
      <c r="C107" s="23">
        <f>B107*(1+$A107+(Inputs!$B$6-$A107)*(C$3-1)/9)</f>
        <v/>
      </c>
      <c r="D107" s="23">
        <f>C107*(1+$A107+(Inputs!$B$6-$A107)*(D$3-1)/9)</f>
        <v/>
      </c>
      <c r="E107" s="23">
        <f>D107*(1+$A107+(Inputs!$B$6-$A107)*(E$3-1)/9)</f>
        <v/>
      </c>
      <c r="F107" s="23">
        <f>E107*(1+$A107+(Inputs!$B$6-$A107)*(F$3-1)/9)</f>
        <v/>
      </c>
      <c r="G107" s="23">
        <f>F107*(1+$A107+(Inputs!$B$6-$A107)*(G$3-1)/9)</f>
        <v/>
      </c>
      <c r="H107" s="23">
        <f>G107*(1+$A107+(Inputs!$B$6-$A107)*(H$3-1)/9)</f>
        <v/>
      </c>
      <c r="I107" s="23">
        <f>H107*(1+$A107+(Inputs!$B$6-$A107)*(I$3-1)/9)</f>
        <v/>
      </c>
      <c r="J107" s="23">
        <f>I107*(1+$A107+(Inputs!$B$6-$A107)*(J$3-1)/9)</f>
        <v/>
      </c>
      <c r="K107" s="23">
        <f>J107*(1+$A107+(Inputs!$B$6-$A107)*(K$3-1)/9)</f>
        <v/>
      </c>
      <c r="L107" s="37">
        <f>SUMPRODUCT(B107:K107,1/(1+Inputs!$B$4)^$B$3:$K$3)+K107*(1+Inputs!$B$6)/(Inputs!$B$4-Inputs!$B$6)/(1+Inputs!$B$4)^10</f>
        <v/>
      </c>
      <c r="M107" s="37">
        <f>SUMPRODUCT(B107:K107,1/(1+Inputs!$B$5)^$B$3:$K$3)+K107*(1+Inputs!$B$6)/(Inputs!$B$5-Inputs!$B$6)/(1+Inputs!$B$5)^10</f>
        <v/>
      </c>
    </row>
    <row r="108">
      <c r="A108" s="35">
        <f>ROUND(-0.2+104*0.005,4)</f>
        <v/>
      </c>
      <c r="B108" s="23">
        <f>1*(1+$A108+(Inputs!$B$6-$A108)*(B$3-1)/9)</f>
        <v/>
      </c>
      <c r="C108" s="23">
        <f>B108*(1+$A108+(Inputs!$B$6-$A108)*(C$3-1)/9)</f>
        <v/>
      </c>
      <c r="D108" s="23">
        <f>C108*(1+$A108+(Inputs!$B$6-$A108)*(D$3-1)/9)</f>
        <v/>
      </c>
      <c r="E108" s="23">
        <f>D108*(1+$A108+(Inputs!$B$6-$A108)*(E$3-1)/9)</f>
        <v/>
      </c>
      <c r="F108" s="23">
        <f>E108*(1+$A108+(Inputs!$B$6-$A108)*(F$3-1)/9)</f>
        <v/>
      </c>
      <c r="G108" s="23">
        <f>F108*(1+$A108+(Inputs!$B$6-$A108)*(G$3-1)/9)</f>
        <v/>
      </c>
      <c r="H108" s="23">
        <f>G108*(1+$A108+(Inputs!$B$6-$A108)*(H$3-1)/9)</f>
        <v/>
      </c>
      <c r="I108" s="23">
        <f>H108*(1+$A108+(Inputs!$B$6-$A108)*(I$3-1)/9)</f>
        <v/>
      </c>
      <c r="J108" s="23">
        <f>I108*(1+$A108+(Inputs!$B$6-$A108)*(J$3-1)/9)</f>
        <v/>
      </c>
      <c r="K108" s="23">
        <f>J108*(1+$A108+(Inputs!$B$6-$A108)*(K$3-1)/9)</f>
        <v/>
      </c>
      <c r="L108" s="37">
        <f>SUMPRODUCT(B108:K108,1/(1+Inputs!$B$4)^$B$3:$K$3)+K108*(1+Inputs!$B$6)/(Inputs!$B$4-Inputs!$B$6)/(1+Inputs!$B$4)^10</f>
        <v/>
      </c>
      <c r="M108" s="37">
        <f>SUMPRODUCT(B108:K108,1/(1+Inputs!$B$5)^$B$3:$K$3)+K108*(1+Inputs!$B$6)/(Inputs!$B$5-Inputs!$B$6)/(1+Inputs!$B$5)^10</f>
        <v/>
      </c>
    </row>
    <row r="109">
      <c r="A109" s="35">
        <f>ROUND(-0.2+105*0.005,4)</f>
        <v/>
      </c>
      <c r="B109" s="23">
        <f>1*(1+$A109+(Inputs!$B$6-$A109)*(B$3-1)/9)</f>
        <v/>
      </c>
      <c r="C109" s="23">
        <f>B109*(1+$A109+(Inputs!$B$6-$A109)*(C$3-1)/9)</f>
        <v/>
      </c>
      <c r="D109" s="23">
        <f>C109*(1+$A109+(Inputs!$B$6-$A109)*(D$3-1)/9)</f>
        <v/>
      </c>
      <c r="E109" s="23">
        <f>D109*(1+$A109+(Inputs!$B$6-$A109)*(E$3-1)/9)</f>
        <v/>
      </c>
      <c r="F109" s="23">
        <f>E109*(1+$A109+(Inputs!$B$6-$A109)*(F$3-1)/9)</f>
        <v/>
      </c>
      <c r="G109" s="23">
        <f>F109*(1+$A109+(Inputs!$B$6-$A109)*(G$3-1)/9)</f>
        <v/>
      </c>
      <c r="H109" s="23">
        <f>G109*(1+$A109+(Inputs!$B$6-$A109)*(H$3-1)/9)</f>
        <v/>
      </c>
      <c r="I109" s="23">
        <f>H109*(1+$A109+(Inputs!$B$6-$A109)*(I$3-1)/9)</f>
        <v/>
      </c>
      <c r="J109" s="23">
        <f>I109*(1+$A109+(Inputs!$B$6-$A109)*(J$3-1)/9)</f>
        <v/>
      </c>
      <c r="K109" s="23">
        <f>J109*(1+$A109+(Inputs!$B$6-$A109)*(K$3-1)/9)</f>
        <v/>
      </c>
      <c r="L109" s="37">
        <f>SUMPRODUCT(B109:K109,1/(1+Inputs!$B$4)^$B$3:$K$3)+K109*(1+Inputs!$B$6)/(Inputs!$B$4-Inputs!$B$6)/(1+Inputs!$B$4)^10</f>
        <v/>
      </c>
      <c r="M109" s="37">
        <f>SUMPRODUCT(B109:K109,1/(1+Inputs!$B$5)^$B$3:$K$3)+K109*(1+Inputs!$B$6)/(Inputs!$B$5-Inputs!$B$6)/(1+Inputs!$B$5)^10</f>
        <v/>
      </c>
    </row>
    <row r="110">
      <c r="A110" s="35">
        <f>ROUND(-0.2+106*0.005,4)</f>
        <v/>
      </c>
      <c r="B110" s="23">
        <f>1*(1+$A110+(Inputs!$B$6-$A110)*(B$3-1)/9)</f>
        <v/>
      </c>
      <c r="C110" s="23">
        <f>B110*(1+$A110+(Inputs!$B$6-$A110)*(C$3-1)/9)</f>
        <v/>
      </c>
      <c r="D110" s="23">
        <f>C110*(1+$A110+(Inputs!$B$6-$A110)*(D$3-1)/9)</f>
        <v/>
      </c>
      <c r="E110" s="23">
        <f>D110*(1+$A110+(Inputs!$B$6-$A110)*(E$3-1)/9)</f>
        <v/>
      </c>
      <c r="F110" s="23">
        <f>E110*(1+$A110+(Inputs!$B$6-$A110)*(F$3-1)/9)</f>
        <v/>
      </c>
      <c r="G110" s="23">
        <f>F110*(1+$A110+(Inputs!$B$6-$A110)*(G$3-1)/9)</f>
        <v/>
      </c>
      <c r="H110" s="23">
        <f>G110*(1+$A110+(Inputs!$B$6-$A110)*(H$3-1)/9)</f>
        <v/>
      </c>
      <c r="I110" s="23">
        <f>H110*(1+$A110+(Inputs!$B$6-$A110)*(I$3-1)/9)</f>
        <v/>
      </c>
      <c r="J110" s="23">
        <f>I110*(1+$A110+(Inputs!$B$6-$A110)*(J$3-1)/9)</f>
        <v/>
      </c>
      <c r="K110" s="23">
        <f>J110*(1+$A110+(Inputs!$B$6-$A110)*(K$3-1)/9)</f>
        <v/>
      </c>
      <c r="L110" s="37">
        <f>SUMPRODUCT(B110:K110,1/(1+Inputs!$B$4)^$B$3:$K$3)+K110*(1+Inputs!$B$6)/(Inputs!$B$4-Inputs!$B$6)/(1+Inputs!$B$4)^10</f>
        <v/>
      </c>
      <c r="M110" s="37">
        <f>SUMPRODUCT(B110:K110,1/(1+Inputs!$B$5)^$B$3:$K$3)+K110*(1+Inputs!$B$6)/(Inputs!$B$5-Inputs!$B$6)/(1+Inputs!$B$5)^10</f>
        <v/>
      </c>
    </row>
    <row r="111">
      <c r="A111" s="35">
        <f>ROUND(-0.2+107*0.005,4)</f>
        <v/>
      </c>
      <c r="B111" s="23">
        <f>1*(1+$A111+(Inputs!$B$6-$A111)*(B$3-1)/9)</f>
        <v/>
      </c>
      <c r="C111" s="23">
        <f>B111*(1+$A111+(Inputs!$B$6-$A111)*(C$3-1)/9)</f>
        <v/>
      </c>
      <c r="D111" s="23">
        <f>C111*(1+$A111+(Inputs!$B$6-$A111)*(D$3-1)/9)</f>
        <v/>
      </c>
      <c r="E111" s="23">
        <f>D111*(1+$A111+(Inputs!$B$6-$A111)*(E$3-1)/9)</f>
        <v/>
      </c>
      <c r="F111" s="23">
        <f>E111*(1+$A111+(Inputs!$B$6-$A111)*(F$3-1)/9)</f>
        <v/>
      </c>
      <c r="G111" s="23">
        <f>F111*(1+$A111+(Inputs!$B$6-$A111)*(G$3-1)/9)</f>
        <v/>
      </c>
      <c r="H111" s="23">
        <f>G111*(1+$A111+(Inputs!$B$6-$A111)*(H$3-1)/9)</f>
        <v/>
      </c>
      <c r="I111" s="23">
        <f>H111*(1+$A111+(Inputs!$B$6-$A111)*(I$3-1)/9)</f>
        <v/>
      </c>
      <c r="J111" s="23">
        <f>I111*(1+$A111+(Inputs!$B$6-$A111)*(J$3-1)/9)</f>
        <v/>
      </c>
      <c r="K111" s="23">
        <f>J111*(1+$A111+(Inputs!$B$6-$A111)*(K$3-1)/9)</f>
        <v/>
      </c>
      <c r="L111" s="37">
        <f>SUMPRODUCT(B111:K111,1/(1+Inputs!$B$4)^$B$3:$K$3)+K111*(1+Inputs!$B$6)/(Inputs!$B$4-Inputs!$B$6)/(1+Inputs!$B$4)^10</f>
        <v/>
      </c>
      <c r="M111" s="37">
        <f>SUMPRODUCT(B111:K111,1/(1+Inputs!$B$5)^$B$3:$K$3)+K111*(1+Inputs!$B$6)/(Inputs!$B$5-Inputs!$B$6)/(1+Inputs!$B$5)^10</f>
        <v/>
      </c>
    </row>
    <row r="112">
      <c r="A112" s="35">
        <f>ROUND(-0.2+108*0.005,4)</f>
        <v/>
      </c>
      <c r="B112" s="23">
        <f>1*(1+$A112+(Inputs!$B$6-$A112)*(B$3-1)/9)</f>
        <v/>
      </c>
      <c r="C112" s="23">
        <f>B112*(1+$A112+(Inputs!$B$6-$A112)*(C$3-1)/9)</f>
        <v/>
      </c>
      <c r="D112" s="23">
        <f>C112*(1+$A112+(Inputs!$B$6-$A112)*(D$3-1)/9)</f>
        <v/>
      </c>
      <c r="E112" s="23">
        <f>D112*(1+$A112+(Inputs!$B$6-$A112)*(E$3-1)/9)</f>
        <v/>
      </c>
      <c r="F112" s="23">
        <f>E112*(1+$A112+(Inputs!$B$6-$A112)*(F$3-1)/9)</f>
        <v/>
      </c>
      <c r="G112" s="23">
        <f>F112*(1+$A112+(Inputs!$B$6-$A112)*(G$3-1)/9)</f>
        <v/>
      </c>
      <c r="H112" s="23">
        <f>G112*(1+$A112+(Inputs!$B$6-$A112)*(H$3-1)/9)</f>
        <v/>
      </c>
      <c r="I112" s="23">
        <f>H112*(1+$A112+(Inputs!$B$6-$A112)*(I$3-1)/9)</f>
        <v/>
      </c>
      <c r="J112" s="23">
        <f>I112*(1+$A112+(Inputs!$B$6-$A112)*(J$3-1)/9)</f>
        <v/>
      </c>
      <c r="K112" s="23">
        <f>J112*(1+$A112+(Inputs!$B$6-$A112)*(K$3-1)/9)</f>
        <v/>
      </c>
      <c r="L112" s="37">
        <f>SUMPRODUCT(B112:K112,1/(1+Inputs!$B$4)^$B$3:$K$3)+K112*(1+Inputs!$B$6)/(Inputs!$B$4-Inputs!$B$6)/(1+Inputs!$B$4)^10</f>
        <v/>
      </c>
      <c r="M112" s="37">
        <f>SUMPRODUCT(B112:K112,1/(1+Inputs!$B$5)^$B$3:$K$3)+K112*(1+Inputs!$B$6)/(Inputs!$B$5-Inputs!$B$6)/(1+Inputs!$B$5)^10</f>
        <v/>
      </c>
    </row>
    <row r="113">
      <c r="A113" s="35">
        <f>ROUND(-0.2+109*0.005,4)</f>
        <v/>
      </c>
      <c r="B113" s="23">
        <f>1*(1+$A113+(Inputs!$B$6-$A113)*(B$3-1)/9)</f>
        <v/>
      </c>
      <c r="C113" s="23">
        <f>B113*(1+$A113+(Inputs!$B$6-$A113)*(C$3-1)/9)</f>
        <v/>
      </c>
      <c r="D113" s="23">
        <f>C113*(1+$A113+(Inputs!$B$6-$A113)*(D$3-1)/9)</f>
        <v/>
      </c>
      <c r="E113" s="23">
        <f>D113*(1+$A113+(Inputs!$B$6-$A113)*(E$3-1)/9)</f>
        <v/>
      </c>
      <c r="F113" s="23">
        <f>E113*(1+$A113+(Inputs!$B$6-$A113)*(F$3-1)/9)</f>
        <v/>
      </c>
      <c r="G113" s="23">
        <f>F113*(1+$A113+(Inputs!$B$6-$A113)*(G$3-1)/9)</f>
        <v/>
      </c>
      <c r="H113" s="23">
        <f>G113*(1+$A113+(Inputs!$B$6-$A113)*(H$3-1)/9)</f>
        <v/>
      </c>
      <c r="I113" s="23">
        <f>H113*(1+$A113+(Inputs!$B$6-$A113)*(I$3-1)/9)</f>
        <v/>
      </c>
      <c r="J113" s="23">
        <f>I113*(1+$A113+(Inputs!$B$6-$A113)*(J$3-1)/9)</f>
        <v/>
      </c>
      <c r="K113" s="23">
        <f>J113*(1+$A113+(Inputs!$B$6-$A113)*(K$3-1)/9)</f>
        <v/>
      </c>
      <c r="L113" s="37">
        <f>SUMPRODUCT(B113:K113,1/(1+Inputs!$B$4)^$B$3:$K$3)+K113*(1+Inputs!$B$6)/(Inputs!$B$4-Inputs!$B$6)/(1+Inputs!$B$4)^10</f>
        <v/>
      </c>
      <c r="M113" s="37">
        <f>SUMPRODUCT(B113:K113,1/(1+Inputs!$B$5)^$B$3:$K$3)+K113*(1+Inputs!$B$6)/(Inputs!$B$5-Inputs!$B$6)/(1+Inputs!$B$5)^10</f>
        <v/>
      </c>
    </row>
    <row r="114">
      <c r="A114" s="35">
        <f>ROUND(-0.2+110*0.005,4)</f>
        <v/>
      </c>
      <c r="B114" s="23">
        <f>1*(1+$A114+(Inputs!$B$6-$A114)*(B$3-1)/9)</f>
        <v/>
      </c>
      <c r="C114" s="23">
        <f>B114*(1+$A114+(Inputs!$B$6-$A114)*(C$3-1)/9)</f>
        <v/>
      </c>
      <c r="D114" s="23">
        <f>C114*(1+$A114+(Inputs!$B$6-$A114)*(D$3-1)/9)</f>
        <v/>
      </c>
      <c r="E114" s="23">
        <f>D114*(1+$A114+(Inputs!$B$6-$A114)*(E$3-1)/9)</f>
        <v/>
      </c>
      <c r="F114" s="23">
        <f>E114*(1+$A114+(Inputs!$B$6-$A114)*(F$3-1)/9)</f>
        <v/>
      </c>
      <c r="G114" s="23">
        <f>F114*(1+$A114+(Inputs!$B$6-$A114)*(G$3-1)/9)</f>
        <v/>
      </c>
      <c r="H114" s="23">
        <f>G114*(1+$A114+(Inputs!$B$6-$A114)*(H$3-1)/9)</f>
        <v/>
      </c>
      <c r="I114" s="23">
        <f>H114*(1+$A114+(Inputs!$B$6-$A114)*(I$3-1)/9)</f>
        <v/>
      </c>
      <c r="J114" s="23">
        <f>I114*(1+$A114+(Inputs!$B$6-$A114)*(J$3-1)/9)</f>
        <v/>
      </c>
      <c r="K114" s="23">
        <f>J114*(1+$A114+(Inputs!$B$6-$A114)*(K$3-1)/9)</f>
        <v/>
      </c>
      <c r="L114" s="37">
        <f>SUMPRODUCT(B114:K114,1/(1+Inputs!$B$4)^$B$3:$K$3)+K114*(1+Inputs!$B$6)/(Inputs!$B$4-Inputs!$B$6)/(1+Inputs!$B$4)^10</f>
        <v/>
      </c>
      <c r="M114" s="37">
        <f>SUMPRODUCT(B114:K114,1/(1+Inputs!$B$5)^$B$3:$K$3)+K114*(1+Inputs!$B$6)/(Inputs!$B$5-Inputs!$B$6)/(1+Inputs!$B$5)^10</f>
        <v/>
      </c>
    </row>
    <row r="115">
      <c r="A115" s="35">
        <f>ROUND(-0.2+111*0.005,4)</f>
        <v/>
      </c>
      <c r="B115" s="23">
        <f>1*(1+$A115+(Inputs!$B$6-$A115)*(B$3-1)/9)</f>
        <v/>
      </c>
      <c r="C115" s="23">
        <f>B115*(1+$A115+(Inputs!$B$6-$A115)*(C$3-1)/9)</f>
        <v/>
      </c>
      <c r="D115" s="23">
        <f>C115*(1+$A115+(Inputs!$B$6-$A115)*(D$3-1)/9)</f>
        <v/>
      </c>
      <c r="E115" s="23">
        <f>D115*(1+$A115+(Inputs!$B$6-$A115)*(E$3-1)/9)</f>
        <v/>
      </c>
      <c r="F115" s="23">
        <f>E115*(1+$A115+(Inputs!$B$6-$A115)*(F$3-1)/9)</f>
        <v/>
      </c>
      <c r="G115" s="23">
        <f>F115*(1+$A115+(Inputs!$B$6-$A115)*(G$3-1)/9)</f>
        <v/>
      </c>
      <c r="H115" s="23">
        <f>G115*(1+$A115+(Inputs!$B$6-$A115)*(H$3-1)/9)</f>
        <v/>
      </c>
      <c r="I115" s="23">
        <f>H115*(1+$A115+(Inputs!$B$6-$A115)*(I$3-1)/9)</f>
        <v/>
      </c>
      <c r="J115" s="23">
        <f>I115*(1+$A115+(Inputs!$B$6-$A115)*(J$3-1)/9)</f>
        <v/>
      </c>
      <c r="K115" s="23">
        <f>J115*(1+$A115+(Inputs!$B$6-$A115)*(K$3-1)/9)</f>
        <v/>
      </c>
      <c r="L115" s="37">
        <f>SUMPRODUCT(B115:K115,1/(1+Inputs!$B$4)^$B$3:$K$3)+K115*(1+Inputs!$B$6)/(Inputs!$B$4-Inputs!$B$6)/(1+Inputs!$B$4)^10</f>
        <v/>
      </c>
      <c r="M115" s="37">
        <f>SUMPRODUCT(B115:K115,1/(1+Inputs!$B$5)^$B$3:$K$3)+K115*(1+Inputs!$B$6)/(Inputs!$B$5-Inputs!$B$6)/(1+Inputs!$B$5)^10</f>
        <v/>
      </c>
    </row>
    <row r="116">
      <c r="A116" s="35">
        <f>ROUND(-0.2+112*0.005,4)</f>
        <v/>
      </c>
      <c r="B116" s="23">
        <f>1*(1+$A116+(Inputs!$B$6-$A116)*(B$3-1)/9)</f>
        <v/>
      </c>
      <c r="C116" s="23">
        <f>B116*(1+$A116+(Inputs!$B$6-$A116)*(C$3-1)/9)</f>
        <v/>
      </c>
      <c r="D116" s="23">
        <f>C116*(1+$A116+(Inputs!$B$6-$A116)*(D$3-1)/9)</f>
        <v/>
      </c>
      <c r="E116" s="23">
        <f>D116*(1+$A116+(Inputs!$B$6-$A116)*(E$3-1)/9)</f>
        <v/>
      </c>
      <c r="F116" s="23">
        <f>E116*(1+$A116+(Inputs!$B$6-$A116)*(F$3-1)/9)</f>
        <v/>
      </c>
      <c r="G116" s="23">
        <f>F116*(1+$A116+(Inputs!$B$6-$A116)*(G$3-1)/9)</f>
        <v/>
      </c>
      <c r="H116" s="23">
        <f>G116*(1+$A116+(Inputs!$B$6-$A116)*(H$3-1)/9)</f>
        <v/>
      </c>
      <c r="I116" s="23">
        <f>H116*(1+$A116+(Inputs!$B$6-$A116)*(I$3-1)/9)</f>
        <v/>
      </c>
      <c r="J116" s="23">
        <f>I116*(1+$A116+(Inputs!$B$6-$A116)*(J$3-1)/9)</f>
        <v/>
      </c>
      <c r="K116" s="23">
        <f>J116*(1+$A116+(Inputs!$B$6-$A116)*(K$3-1)/9)</f>
        <v/>
      </c>
      <c r="L116" s="37">
        <f>SUMPRODUCT(B116:K116,1/(1+Inputs!$B$4)^$B$3:$K$3)+K116*(1+Inputs!$B$6)/(Inputs!$B$4-Inputs!$B$6)/(1+Inputs!$B$4)^10</f>
        <v/>
      </c>
      <c r="M116" s="37">
        <f>SUMPRODUCT(B116:K116,1/(1+Inputs!$B$5)^$B$3:$K$3)+K116*(1+Inputs!$B$6)/(Inputs!$B$5-Inputs!$B$6)/(1+Inputs!$B$5)^10</f>
        <v/>
      </c>
    </row>
    <row r="117">
      <c r="A117" s="35">
        <f>ROUND(-0.2+113*0.005,4)</f>
        <v/>
      </c>
      <c r="B117" s="23">
        <f>1*(1+$A117+(Inputs!$B$6-$A117)*(B$3-1)/9)</f>
        <v/>
      </c>
      <c r="C117" s="23">
        <f>B117*(1+$A117+(Inputs!$B$6-$A117)*(C$3-1)/9)</f>
        <v/>
      </c>
      <c r="D117" s="23">
        <f>C117*(1+$A117+(Inputs!$B$6-$A117)*(D$3-1)/9)</f>
        <v/>
      </c>
      <c r="E117" s="23">
        <f>D117*(1+$A117+(Inputs!$B$6-$A117)*(E$3-1)/9)</f>
        <v/>
      </c>
      <c r="F117" s="23">
        <f>E117*(1+$A117+(Inputs!$B$6-$A117)*(F$3-1)/9)</f>
        <v/>
      </c>
      <c r="G117" s="23">
        <f>F117*(1+$A117+(Inputs!$B$6-$A117)*(G$3-1)/9)</f>
        <v/>
      </c>
      <c r="H117" s="23">
        <f>G117*(1+$A117+(Inputs!$B$6-$A117)*(H$3-1)/9)</f>
        <v/>
      </c>
      <c r="I117" s="23">
        <f>H117*(1+$A117+(Inputs!$B$6-$A117)*(I$3-1)/9)</f>
        <v/>
      </c>
      <c r="J117" s="23">
        <f>I117*(1+$A117+(Inputs!$B$6-$A117)*(J$3-1)/9)</f>
        <v/>
      </c>
      <c r="K117" s="23">
        <f>J117*(1+$A117+(Inputs!$B$6-$A117)*(K$3-1)/9)</f>
        <v/>
      </c>
      <c r="L117" s="37">
        <f>SUMPRODUCT(B117:K117,1/(1+Inputs!$B$4)^$B$3:$K$3)+K117*(1+Inputs!$B$6)/(Inputs!$B$4-Inputs!$B$6)/(1+Inputs!$B$4)^10</f>
        <v/>
      </c>
      <c r="M117" s="37">
        <f>SUMPRODUCT(B117:K117,1/(1+Inputs!$B$5)^$B$3:$K$3)+K117*(1+Inputs!$B$6)/(Inputs!$B$5-Inputs!$B$6)/(1+Inputs!$B$5)^10</f>
        <v/>
      </c>
    </row>
    <row r="118">
      <c r="A118" s="35">
        <f>ROUND(-0.2+114*0.005,4)</f>
        <v/>
      </c>
      <c r="B118" s="23">
        <f>1*(1+$A118+(Inputs!$B$6-$A118)*(B$3-1)/9)</f>
        <v/>
      </c>
      <c r="C118" s="23">
        <f>B118*(1+$A118+(Inputs!$B$6-$A118)*(C$3-1)/9)</f>
        <v/>
      </c>
      <c r="D118" s="23">
        <f>C118*(1+$A118+(Inputs!$B$6-$A118)*(D$3-1)/9)</f>
        <v/>
      </c>
      <c r="E118" s="23">
        <f>D118*(1+$A118+(Inputs!$B$6-$A118)*(E$3-1)/9)</f>
        <v/>
      </c>
      <c r="F118" s="23">
        <f>E118*(1+$A118+(Inputs!$B$6-$A118)*(F$3-1)/9)</f>
        <v/>
      </c>
      <c r="G118" s="23">
        <f>F118*(1+$A118+(Inputs!$B$6-$A118)*(G$3-1)/9)</f>
        <v/>
      </c>
      <c r="H118" s="23">
        <f>G118*(1+$A118+(Inputs!$B$6-$A118)*(H$3-1)/9)</f>
        <v/>
      </c>
      <c r="I118" s="23">
        <f>H118*(1+$A118+(Inputs!$B$6-$A118)*(I$3-1)/9)</f>
        <v/>
      </c>
      <c r="J118" s="23">
        <f>I118*(1+$A118+(Inputs!$B$6-$A118)*(J$3-1)/9)</f>
        <v/>
      </c>
      <c r="K118" s="23">
        <f>J118*(1+$A118+(Inputs!$B$6-$A118)*(K$3-1)/9)</f>
        <v/>
      </c>
      <c r="L118" s="37">
        <f>SUMPRODUCT(B118:K118,1/(1+Inputs!$B$4)^$B$3:$K$3)+K118*(1+Inputs!$B$6)/(Inputs!$B$4-Inputs!$B$6)/(1+Inputs!$B$4)^10</f>
        <v/>
      </c>
      <c r="M118" s="37">
        <f>SUMPRODUCT(B118:K118,1/(1+Inputs!$B$5)^$B$3:$K$3)+K118*(1+Inputs!$B$6)/(Inputs!$B$5-Inputs!$B$6)/(1+Inputs!$B$5)^10</f>
        <v/>
      </c>
    </row>
    <row r="119">
      <c r="A119" s="35">
        <f>ROUND(-0.2+115*0.005,4)</f>
        <v/>
      </c>
      <c r="B119" s="23">
        <f>1*(1+$A119+(Inputs!$B$6-$A119)*(B$3-1)/9)</f>
        <v/>
      </c>
      <c r="C119" s="23">
        <f>B119*(1+$A119+(Inputs!$B$6-$A119)*(C$3-1)/9)</f>
        <v/>
      </c>
      <c r="D119" s="23">
        <f>C119*(1+$A119+(Inputs!$B$6-$A119)*(D$3-1)/9)</f>
        <v/>
      </c>
      <c r="E119" s="23">
        <f>D119*(1+$A119+(Inputs!$B$6-$A119)*(E$3-1)/9)</f>
        <v/>
      </c>
      <c r="F119" s="23">
        <f>E119*(1+$A119+(Inputs!$B$6-$A119)*(F$3-1)/9)</f>
        <v/>
      </c>
      <c r="G119" s="23">
        <f>F119*(1+$A119+(Inputs!$B$6-$A119)*(G$3-1)/9)</f>
        <v/>
      </c>
      <c r="H119" s="23">
        <f>G119*(1+$A119+(Inputs!$B$6-$A119)*(H$3-1)/9)</f>
        <v/>
      </c>
      <c r="I119" s="23">
        <f>H119*(1+$A119+(Inputs!$B$6-$A119)*(I$3-1)/9)</f>
        <v/>
      </c>
      <c r="J119" s="23">
        <f>I119*(1+$A119+(Inputs!$B$6-$A119)*(J$3-1)/9)</f>
        <v/>
      </c>
      <c r="K119" s="23">
        <f>J119*(1+$A119+(Inputs!$B$6-$A119)*(K$3-1)/9)</f>
        <v/>
      </c>
      <c r="L119" s="37">
        <f>SUMPRODUCT(B119:K119,1/(1+Inputs!$B$4)^$B$3:$K$3)+K119*(1+Inputs!$B$6)/(Inputs!$B$4-Inputs!$B$6)/(1+Inputs!$B$4)^10</f>
        <v/>
      </c>
      <c r="M119" s="37">
        <f>SUMPRODUCT(B119:K119,1/(1+Inputs!$B$5)^$B$3:$K$3)+K119*(1+Inputs!$B$6)/(Inputs!$B$5-Inputs!$B$6)/(1+Inputs!$B$5)^10</f>
        <v/>
      </c>
    </row>
    <row r="120">
      <c r="A120" s="35">
        <f>ROUND(-0.2+116*0.005,4)</f>
        <v/>
      </c>
      <c r="B120" s="23">
        <f>1*(1+$A120+(Inputs!$B$6-$A120)*(B$3-1)/9)</f>
        <v/>
      </c>
      <c r="C120" s="23">
        <f>B120*(1+$A120+(Inputs!$B$6-$A120)*(C$3-1)/9)</f>
        <v/>
      </c>
      <c r="D120" s="23">
        <f>C120*(1+$A120+(Inputs!$B$6-$A120)*(D$3-1)/9)</f>
        <v/>
      </c>
      <c r="E120" s="23">
        <f>D120*(1+$A120+(Inputs!$B$6-$A120)*(E$3-1)/9)</f>
        <v/>
      </c>
      <c r="F120" s="23">
        <f>E120*(1+$A120+(Inputs!$B$6-$A120)*(F$3-1)/9)</f>
        <v/>
      </c>
      <c r="G120" s="23">
        <f>F120*(1+$A120+(Inputs!$B$6-$A120)*(G$3-1)/9)</f>
        <v/>
      </c>
      <c r="H120" s="23">
        <f>G120*(1+$A120+(Inputs!$B$6-$A120)*(H$3-1)/9)</f>
        <v/>
      </c>
      <c r="I120" s="23">
        <f>H120*(1+$A120+(Inputs!$B$6-$A120)*(I$3-1)/9)</f>
        <v/>
      </c>
      <c r="J120" s="23">
        <f>I120*(1+$A120+(Inputs!$B$6-$A120)*(J$3-1)/9)</f>
        <v/>
      </c>
      <c r="K120" s="23">
        <f>J120*(1+$A120+(Inputs!$B$6-$A120)*(K$3-1)/9)</f>
        <v/>
      </c>
      <c r="L120" s="37">
        <f>SUMPRODUCT(B120:K120,1/(1+Inputs!$B$4)^$B$3:$K$3)+K120*(1+Inputs!$B$6)/(Inputs!$B$4-Inputs!$B$6)/(1+Inputs!$B$4)^10</f>
        <v/>
      </c>
      <c r="M120" s="37">
        <f>SUMPRODUCT(B120:K120,1/(1+Inputs!$B$5)^$B$3:$K$3)+K120*(1+Inputs!$B$6)/(Inputs!$B$5-Inputs!$B$6)/(1+Inputs!$B$5)^10</f>
        <v/>
      </c>
    </row>
    <row r="121">
      <c r="A121" s="35">
        <f>ROUND(-0.2+117*0.005,4)</f>
        <v/>
      </c>
      <c r="B121" s="23">
        <f>1*(1+$A121+(Inputs!$B$6-$A121)*(B$3-1)/9)</f>
        <v/>
      </c>
      <c r="C121" s="23">
        <f>B121*(1+$A121+(Inputs!$B$6-$A121)*(C$3-1)/9)</f>
        <v/>
      </c>
      <c r="D121" s="23">
        <f>C121*(1+$A121+(Inputs!$B$6-$A121)*(D$3-1)/9)</f>
        <v/>
      </c>
      <c r="E121" s="23">
        <f>D121*(1+$A121+(Inputs!$B$6-$A121)*(E$3-1)/9)</f>
        <v/>
      </c>
      <c r="F121" s="23">
        <f>E121*(1+$A121+(Inputs!$B$6-$A121)*(F$3-1)/9)</f>
        <v/>
      </c>
      <c r="G121" s="23">
        <f>F121*(1+$A121+(Inputs!$B$6-$A121)*(G$3-1)/9)</f>
        <v/>
      </c>
      <c r="H121" s="23">
        <f>G121*(1+$A121+(Inputs!$B$6-$A121)*(H$3-1)/9)</f>
        <v/>
      </c>
      <c r="I121" s="23">
        <f>H121*(1+$A121+(Inputs!$B$6-$A121)*(I$3-1)/9)</f>
        <v/>
      </c>
      <c r="J121" s="23">
        <f>I121*(1+$A121+(Inputs!$B$6-$A121)*(J$3-1)/9)</f>
        <v/>
      </c>
      <c r="K121" s="23">
        <f>J121*(1+$A121+(Inputs!$B$6-$A121)*(K$3-1)/9)</f>
        <v/>
      </c>
      <c r="L121" s="37">
        <f>SUMPRODUCT(B121:K121,1/(1+Inputs!$B$4)^$B$3:$K$3)+K121*(1+Inputs!$B$6)/(Inputs!$B$4-Inputs!$B$6)/(1+Inputs!$B$4)^10</f>
        <v/>
      </c>
      <c r="M121" s="37">
        <f>SUMPRODUCT(B121:K121,1/(1+Inputs!$B$5)^$B$3:$K$3)+K121*(1+Inputs!$B$6)/(Inputs!$B$5-Inputs!$B$6)/(1+Inputs!$B$5)^10</f>
        <v/>
      </c>
    </row>
    <row r="122">
      <c r="A122" s="35">
        <f>ROUND(-0.2+118*0.005,4)</f>
        <v/>
      </c>
      <c r="B122" s="23">
        <f>1*(1+$A122+(Inputs!$B$6-$A122)*(B$3-1)/9)</f>
        <v/>
      </c>
      <c r="C122" s="23">
        <f>B122*(1+$A122+(Inputs!$B$6-$A122)*(C$3-1)/9)</f>
        <v/>
      </c>
      <c r="D122" s="23">
        <f>C122*(1+$A122+(Inputs!$B$6-$A122)*(D$3-1)/9)</f>
        <v/>
      </c>
      <c r="E122" s="23">
        <f>D122*(1+$A122+(Inputs!$B$6-$A122)*(E$3-1)/9)</f>
        <v/>
      </c>
      <c r="F122" s="23">
        <f>E122*(1+$A122+(Inputs!$B$6-$A122)*(F$3-1)/9)</f>
        <v/>
      </c>
      <c r="G122" s="23">
        <f>F122*(1+$A122+(Inputs!$B$6-$A122)*(G$3-1)/9)</f>
        <v/>
      </c>
      <c r="H122" s="23">
        <f>G122*(1+$A122+(Inputs!$B$6-$A122)*(H$3-1)/9)</f>
        <v/>
      </c>
      <c r="I122" s="23">
        <f>H122*(1+$A122+(Inputs!$B$6-$A122)*(I$3-1)/9)</f>
        <v/>
      </c>
      <c r="J122" s="23">
        <f>I122*(1+$A122+(Inputs!$B$6-$A122)*(J$3-1)/9)</f>
        <v/>
      </c>
      <c r="K122" s="23">
        <f>J122*(1+$A122+(Inputs!$B$6-$A122)*(K$3-1)/9)</f>
        <v/>
      </c>
      <c r="L122" s="37">
        <f>SUMPRODUCT(B122:K122,1/(1+Inputs!$B$4)^$B$3:$K$3)+K122*(1+Inputs!$B$6)/(Inputs!$B$4-Inputs!$B$6)/(1+Inputs!$B$4)^10</f>
        <v/>
      </c>
      <c r="M122" s="37">
        <f>SUMPRODUCT(B122:K122,1/(1+Inputs!$B$5)^$B$3:$K$3)+K122*(1+Inputs!$B$6)/(Inputs!$B$5-Inputs!$B$6)/(1+Inputs!$B$5)^10</f>
        <v/>
      </c>
    </row>
    <row r="123">
      <c r="A123" s="35">
        <f>ROUND(-0.2+119*0.005,4)</f>
        <v/>
      </c>
      <c r="B123" s="23">
        <f>1*(1+$A123+(Inputs!$B$6-$A123)*(B$3-1)/9)</f>
        <v/>
      </c>
      <c r="C123" s="23">
        <f>B123*(1+$A123+(Inputs!$B$6-$A123)*(C$3-1)/9)</f>
        <v/>
      </c>
      <c r="D123" s="23">
        <f>C123*(1+$A123+(Inputs!$B$6-$A123)*(D$3-1)/9)</f>
        <v/>
      </c>
      <c r="E123" s="23">
        <f>D123*(1+$A123+(Inputs!$B$6-$A123)*(E$3-1)/9)</f>
        <v/>
      </c>
      <c r="F123" s="23">
        <f>E123*(1+$A123+(Inputs!$B$6-$A123)*(F$3-1)/9)</f>
        <v/>
      </c>
      <c r="G123" s="23">
        <f>F123*(1+$A123+(Inputs!$B$6-$A123)*(G$3-1)/9)</f>
        <v/>
      </c>
      <c r="H123" s="23">
        <f>G123*(1+$A123+(Inputs!$B$6-$A123)*(H$3-1)/9)</f>
        <v/>
      </c>
      <c r="I123" s="23">
        <f>H123*(1+$A123+(Inputs!$B$6-$A123)*(I$3-1)/9)</f>
        <v/>
      </c>
      <c r="J123" s="23">
        <f>I123*(1+$A123+(Inputs!$B$6-$A123)*(J$3-1)/9)</f>
        <v/>
      </c>
      <c r="K123" s="23">
        <f>J123*(1+$A123+(Inputs!$B$6-$A123)*(K$3-1)/9)</f>
        <v/>
      </c>
      <c r="L123" s="37">
        <f>SUMPRODUCT(B123:K123,1/(1+Inputs!$B$4)^$B$3:$K$3)+K123*(1+Inputs!$B$6)/(Inputs!$B$4-Inputs!$B$6)/(1+Inputs!$B$4)^10</f>
        <v/>
      </c>
      <c r="M123" s="37">
        <f>SUMPRODUCT(B123:K123,1/(1+Inputs!$B$5)^$B$3:$K$3)+K123*(1+Inputs!$B$6)/(Inputs!$B$5-Inputs!$B$6)/(1+Inputs!$B$5)^10</f>
        <v/>
      </c>
    </row>
    <row r="124">
      <c r="A124" s="35">
        <f>ROUND(-0.2+120*0.005,4)</f>
        <v/>
      </c>
      <c r="B124" s="23">
        <f>1*(1+$A124+(Inputs!$B$6-$A124)*(B$3-1)/9)</f>
        <v/>
      </c>
      <c r="C124" s="23">
        <f>B124*(1+$A124+(Inputs!$B$6-$A124)*(C$3-1)/9)</f>
        <v/>
      </c>
      <c r="D124" s="23">
        <f>C124*(1+$A124+(Inputs!$B$6-$A124)*(D$3-1)/9)</f>
        <v/>
      </c>
      <c r="E124" s="23">
        <f>D124*(1+$A124+(Inputs!$B$6-$A124)*(E$3-1)/9)</f>
        <v/>
      </c>
      <c r="F124" s="23">
        <f>E124*(1+$A124+(Inputs!$B$6-$A124)*(F$3-1)/9)</f>
        <v/>
      </c>
      <c r="G124" s="23">
        <f>F124*(1+$A124+(Inputs!$B$6-$A124)*(G$3-1)/9)</f>
        <v/>
      </c>
      <c r="H124" s="23">
        <f>G124*(1+$A124+(Inputs!$B$6-$A124)*(H$3-1)/9)</f>
        <v/>
      </c>
      <c r="I124" s="23">
        <f>H124*(1+$A124+(Inputs!$B$6-$A124)*(I$3-1)/9)</f>
        <v/>
      </c>
      <c r="J124" s="23">
        <f>I124*(1+$A124+(Inputs!$B$6-$A124)*(J$3-1)/9)</f>
        <v/>
      </c>
      <c r="K124" s="23">
        <f>J124*(1+$A124+(Inputs!$B$6-$A124)*(K$3-1)/9)</f>
        <v/>
      </c>
      <c r="L124" s="37">
        <f>SUMPRODUCT(B124:K124,1/(1+Inputs!$B$4)^$B$3:$K$3)+K124*(1+Inputs!$B$6)/(Inputs!$B$4-Inputs!$B$6)/(1+Inputs!$B$4)^10</f>
        <v/>
      </c>
      <c r="M124" s="37">
        <f>SUMPRODUCT(B124:K124,1/(1+Inputs!$B$5)^$B$3:$K$3)+K124*(1+Inputs!$B$6)/(Inputs!$B$5-Inputs!$B$6)/(1+Inputs!$B$5)^10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4" customWidth="1" min="3" max="3"/>
    <col width="60" customWidth="1" min="4" max="4"/>
    <col width="13" customWidth="1" min="5" max="5"/>
    <col width="13" customWidth="1" min="6" max="6"/>
    <col width="12" customWidth="1" min="7" max="7"/>
    <col width="50" customWidth="1" min="8" max="8"/>
  </cols>
  <sheetData>
    <row r="1">
      <c r="A1" s="1" t="inlineStr">
        <is>
          <t>Filing log — record every update</t>
        </is>
      </c>
    </row>
    <row r="3">
      <c r="A3" s="5" t="inlineStr">
        <is>
          <t>Date</t>
        </is>
      </c>
      <c r="B3" s="5" t="inlineStr">
        <is>
          <t>Ticker</t>
        </is>
      </c>
      <c r="C3" s="5" t="inlineStr">
        <is>
          <t>Filing / event</t>
        </is>
      </c>
      <c r="D3" s="5" t="inlineStr">
        <is>
          <t>What changed (inputs)</t>
        </is>
      </c>
      <c r="E3" s="5" t="inlineStr">
        <is>
          <t>Old buy-below</t>
        </is>
      </c>
      <c r="F3" s="5" t="inlineStr">
        <is>
          <t>New buy-below</t>
        </is>
      </c>
      <c r="G3" s="5" t="inlineStr">
        <is>
          <t>Price on date</t>
        </is>
      </c>
      <c r="H3" s="5" t="inlineStr">
        <is>
          <t>Thesis status / notes</t>
        </is>
      </c>
    </row>
    <row r="4">
      <c r="A4" s="25" t="inlineStr">
        <is>
          <t>2026-09-27</t>
        </is>
      </c>
      <c r="B4" s="25" t="inlineStr">
        <is>
          <t>ALL</t>
        </is>
      </c>
      <c r="C4" s="25" t="inlineStr">
        <is>
          <t>Initial build (Q2/Q3 filings, Sep-26 prices)</t>
        </is>
      </c>
      <c r="D4" s="25" t="inlineStr">
        <is>
          <t>Baseline inputs; INTU FCF normalized for tax catch-up; CRM post-ASR shares/debt; ADSK post-MaintainX debt</t>
        </is>
      </c>
      <c r="E4" s="25" t="n"/>
      <c r="F4" s="25" t="n"/>
      <c r="G4" s="25" t="n"/>
      <c r="H4" s="25" t="inlineStr">
        <is>
          <t>INTU watch ~$245; ADBE buy small ~$255; ADSK/CRM no buy</t>
        </is>
      </c>
    </row>
    <row r="6">
      <c r="A6" s="4" t="inlineStr">
        <is>
          <t>Tip: copy the Summary 'BUY BELOW' value as a number into 'New buy-below' each time, so history is preserved.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2026-09-27T09:46:04Z</dcterms:created>
  <dcterms:modified xsi:type="dcterms:W3CDTF">2026-09-27T09:46:04Z</dcterms:modified>
</cp:coreProperties>
</file>